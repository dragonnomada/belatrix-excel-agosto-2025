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ink/ink9.xml" ContentType="application/inkml+xml"/>
  <Override PartName="/xl/ink/ink10.xml" ContentType="application/inkml+xml"/>
  <Override PartName="/xl/ink/ink11.xml" ContentType="application/inkml+xml"/>
  <Override PartName="/xl/ink/ink12.xml" ContentType="application/inkml+xml"/>
  <Override PartName="/xl/ink/ink13.xml" ContentType="application/inkml+xml"/>
  <Override PartName="/xl/ink/ink14.xml" ContentType="application/inkml+xml"/>
  <Override PartName="/xl/ink/ink15.xml" ContentType="application/inkml+xml"/>
  <Override PartName="/xl/ink/ink16.xml" ContentType="application/inkml+xml"/>
  <Override PartName="/xl/ink/ink17.xml" ContentType="application/inkml+xml"/>
  <Override PartName="/xl/ink/ink18.xml" ContentType="application/inkml+xml"/>
  <Override PartName="/xl/ink/ink19.xml" ContentType="application/inkml+xml"/>
  <Override PartName="/xl/ink/ink20.xml" ContentType="application/inkml+xml"/>
  <Override PartName="/xl/ink/ink21.xml" ContentType="application/inkml+xml"/>
  <Override PartName="/xl/ink/ink22.xml" ContentType="application/inkml+xml"/>
  <Override PartName="/xl/ink/ink23.xml" ContentType="application/inkml+xml"/>
  <Override PartName="/xl/ink/ink24.xml" ContentType="application/inkml+xml"/>
  <Override PartName="/xl/ink/ink25.xml" ContentType="application/inkml+xml"/>
  <Override PartName="/xl/ink/ink26.xml" ContentType="application/inkml+xml"/>
  <Override PartName="/xl/ink/ink27.xml" ContentType="application/inkml+xml"/>
  <Override PartName="/xl/ink/ink28.xml" ContentType="application/inkml+xml"/>
  <Override PartName="/xl/ink/ink29.xml" ContentType="application/inkml+xml"/>
  <Override PartName="/xl/ink/ink30.xml" ContentType="application/inkml+xml"/>
  <Override PartName="/xl/ink/ink31.xml" ContentType="application/inkml+xml"/>
  <Override PartName="/xl/ink/ink32.xml" ContentType="application/inkml+xml"/>
  <Override PartName="/xl/ink/ink33.xml" ContentType="application/inkml+xml"/>
  <Override PartName="/xl/ink/ink34.xml" ContentType="application/inkml+xml"/>
  <Override PartName="/xl/ink/ink35.xml" ContentType="application/inkml+xml"/>
  <Override PartName="/xl/ink/ink36.xml" ContentType="application/inkml+xml"/>
  <Override PartName="/xl/ink/ink37.xml" ContentType="application/inkml+xml"/>
  <Override PartName="/xl/ink/ink38.xml" ContentType="application/inkml+xml"/>
  <Override PartName="/xl/ink/ink39.xml" ContentType="application/inkml+xml"/>
  <Override PartName="/xl/ink/ink40.xml" ContentType="application/inkml+xml"/>
  <Override PartName="/xl/ink/ink41.xml" ContentType="application/inkml+xml"/>
  <Override PartName="/xl/ink/ink42.xml" ContentType="application/inkml+xml"/>
  <Override PartName="/xl/ink/ink43.xml" ContentType="application/inkml+xml"/>
  <Override PartName="/xl/ink/ink44.xml" ContentType="application/inkml+xml"/>
  <Override PartName="/xl/ink/ink45.xml" ContentType="application/inkml+xml"/>
  <Override PartName="/xl/ink/ink46.xml" ContentType="application/inkml+xml"/>
  <Override PartName="/xl/ink/ink47.xml" ContentType="application/inkml+xml"/>
  <Override PartName="/xl/ink/ink48.xml" ContentType="application/inkml+xml"/>
  <Override PartName="/xl/ink/ink49.xml" ContentType="application/inkml+xml"/>
  <Override PartName="/xl/ink/ink50.xml" ContentType="application/inkml+xml"/>
  <Override PartName="/xl/ink/ink51.xml" ContentType="application/inkml+xml"/>
  <Override PartName="/xl/ink/ink52.xml" ContentType="application/inkml+xml"/>
  <Override PartName="/xl/ink/ink53.xml" ContentType="application/inkml+xml"/>
  <Override PartName="/xl/ink/ink54.xml" ContentType="application/inkml+xml"/>
  <Override PartName="/xl/ink/ink55.xml" ContentType="application/inkml+xml"/>
  <Override PartName="/xl/ink/ink56.xml" ContentType="application/inkml+xml"/>
  <Override PartName="/xl/ink/ink57.xml" ContentType="application/inkml+xml"/>
  <Override PartName="/xl/ink/ink58.xml" ContentType="application/inkml+xml"/>
  <Override PartName="/xl/ink/ink59.xml" ContentType="application/inkml+xml"/>
  <Override PartName="/xl/ink/ink60.xml" ContentType="application/inkml+xml"/>
  <Override PartName="/xl/ink/ink61.xml" ContentType="application/inkml+xml"/>
  <Override PartName="/xl/ink/ink62.xml" ContentType="application/inkml+xml"/>
  <Override PartName="/xl/ink/ink63.xml" ContentType="application/inkml+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8.xml" ContentType="application/vnd.openxmlformats-officedocument.spreadsheetml.pivotTab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dragonnomada/Documents/Cursos 2025/BELATRIX-EXCEL/curso/sesion10/"/>
    </mc:Choice>
  </mc:AlternateContent>
  <xr:revisionPtr revIDLastSave="0" documentId="13_ncr:1_{1390A5BF-EA87-AF4E-8B64-3B5A322DAC42}" xr6:coauthVersionLast="47" xr6:coauthVersionMax="47" xr10:uidLastSave="{00000000-0000-0000-0000-000000000000}"/>
  <bookViews>
    <workbookView xWindow="-38400" yWindow="-3600" windowWidth="25460" windowHeight="21600" firstSheet="3" activeTab="7" xr2:uid="{D3E155B7-8606-594C-847E-051218EA8554}"/>
  </bookViews>
  <sheets>
    <sheet name="Schema" sheetId="1" r:id="rId1"/>
    <sheet name="Tablas" sheetId="10" r:id="rId2"/>
    <sheet name="TablasAnalisis" sheetId="12" r:id="rId3"/>
    <sheet name="KPI" sheetId="14" r:id="rId4"/>
    <sheet name="Dasboard-Orders" sheetId="13" r:id="rId5"/>
    <sheet name="Dashboard1" sheetId="15" r:id="rId6"/>
    <sheet name="Report2" sheetId="16" r:id="rId7"/>
    <sheet name="Dashboards2" sheetId="19" r:id="rId8"/>
    <sheet name="Dasboard3" sheetId="20" r:id="rId9"/>
    <sheet name="OrderCosts" sheetId="18" r:id="rId10"/>
    <sheet name="Orders" sheetId="2" r:id="rId11"/>
    <sheet name="OrderDetails" sheetId="3" r:id="rId12"/>
    <sheet name="Products" sheetId="8" r:id="rId13"/>
    <sheet name="Customers" sheetId="4" r:id="rId14"/>
    <sheet name="Employees" sheetId="5" r:id="rId15"/>
    <sheet name="Shippers" sheetId="6" r:id="rId16"/>
    <sheet name="Suppliers" sheetId="7" r:id="rId17"/>
    <sheet name="Categories" sheetId="9" r:id="rId18"/>
  </sheets>
  <definedNames>
    <definedName name="_xleta.COUNTA" hidden="1" xlm="1">#NAME?</definedName>
    <definedName name="_xleta.FILTER" hidden="1" xlm="1">#NAME?</definedName>
    <definedName name="_xleta.SORT" hidden="1" xlm="1">#NAME?</definedName>
    <definedName name="_xleta.VLOOKUP" hidden="1" xlm="1">#NAME?</definedName>
    <definedName name="NativeTimeline_orderDate">#N/A</definedName>
    <definedName name="SegmentaciónDeDatos_shipCountry">#N/A</definedName>
  </definedNames>
  <calcPr calcId="191029"/>
  <pivotCaches>
    <pivotCache cacheId="52" r:id="rId19"/>
    <pivotCache cacheId="51" r:id="rId20"/>
  </pivotCaches>
  <extLst>
    <ext xmlns:x14="http://schemas.microsoft.com/office/spreadsheetml/2009/9/main" uri="{BBE1A952-AA13-448e-AADC-164F8A28A991}">
      <x14:slicerCaches>
        <x14:slicerCache r:id="rId2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22"/>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2" i="2" l="1"/>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Q126" i="2"/>
  <c r="Q127" i="2"/>
  <c r="Q128" i="2"/>
  <c r="Q129" i="2"/>
  <c r="Q130" i="2"/>
  <c r="Q131" i="2"/>
  <c r="Q132"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07" i="2"/>
  <c r="Q208" i="2"/>
  <c r="Q209" i="2"/>
  <c r="Q210" i="2"/>
  <c r="Q211" i="2"/>
  <c r="Q212" i="2"/>
  <c r="Q213" i="2"/>
  <c r="Q214" i="2"/>
  <c r="Q215" i="2"/>
  <c r="Q216" i="2"/>
  <c r="Q217" i="2"/>
  <c r="Q218" i="2"/>
  <c r="Q219" i="2"/>
  <c r="Q220" i="2"/>
  <c r="Q221" i="2"/>
  <c r="Q222" i="2"/>
  <c r="Q223" i="2"/>
  <c r="Q224" i="2"/>
  <c r="Q225" i="2"/>
  <c r="Q226" i="2"/>
  <c r="Q227" i="2"/>
  <c r="Q228" i="2"/>
  <c r="Q229" i="2"/>
  <c r="Q230" i="2"/>
  <c r="Q231" i="2"/>
  <c r="Q232" i="2"/>
  <c r="Q233" i="2"/>
  <c r="Q234" i="2"/>
  <c r="Q235" i="2"/>
  <c r="Q236" i="2"/>
  <c r="Q237" i="2"/>
  <c r="Q238" i="2"/>
  <c r="Q239" i="2"/>
  <c r="Q240" i="2"/>
  <c r="Q241" i="2"/>
  <c r="Q242" i="2"/>
  <c r="Q243" i="2"/>
  <c r="Q244" i="2"/>
  <c r="Q245" i="2"/>
  <c r="Q246" i="2"/>
  <c r="Q247" i="2"/>
  <c r="Q248" i="2"/>
  <c r="Q249" i="2"/>
  <c r="Q250" i="2"/>
  <c r="Q251" i="2"/>
  <c r="Q252" i="2"/>
  <c r="Q253" i="2"/>
  <c r="Q254" i="2"/>
  <c r="Q255" i="2"/>
  <c r="Q256" i="2"/>
  <c r="Q257" i="2"/>
  <c r="Q258" i="2"/>
  <c r="Q259" i="2"/>
  <c r="Q260" i="2"/>
  <c r="Q261" i="2"/>
  <c r="Q262" i="2"/>
  <c r="Q263" i="2"/>
  <c r="Q264" i="2"/>
  <c r="Q265" i="2"/>
  <c r="Q266" i="2"/>
  <c r="Q267" i="2"/>
  <c r="Q268" i="2"/>
  <c r="Q269" i="2"/>
  <c r="Q270" i="2"/>
  <c r="Q271" i="2"/>
  <c r="Q272" i="2"/>
  <c r="Q273" i="2"/>
  <c r="Q274" i="2"/>
  <c r="Q275" i="2"/>
  <c r="Q276" i="2"/>
  <c r="Q277" i="2"/>
  <c r="Q278" i="2"/>
  <c r="Q279" i="2"/>
  <c r="Q280" i="2"/>
  <c r="Q281" i="2"/>
  <c r="Q282" i="2"/>
  <c r="Q283" i="2"/>
  <c r="Q284" i="2"/>
  <c r="Q285" i="2"/>
  <c r="Q286" i="2"/>
  <c r="Q287" i="2"/>
  <c r="Q288" i="2"/>
  <c r="Q289" i="2"/>
  <c r="Q290" i="2"/>
  <c r="Q291" i="2"/>
  <c r="Q292" i="2"/>
  <c r="Q293" i="2"/>
  <c r="Q294" i="2"/>
  <c r="Q295" i="2"/>
  <c r="Q296" i="2"/>
  <c r="Q297" i="2"/>
  <c r="Q298" i="2"/>
  <c r="Q299" i="2"/>
  <c r="Q300" i="2"/>
  <c r="Q301" i="2"/>
  <c r="Q302" i="2"/>
  <c r="Q303" i="2"/>
  <c r="Q304" i="2"/>
  <c r="Q305" i="2"/>
  <c r="Q306" i="2"/>
  <c r="Q307" i="2"/>
  <c r="Q308" i="2"/>
  <c r="Q309" i="2"/>
  <c r="Q310" i="2"/>
  <c r="Q311" i="2"/>
  <c r="Q312" i="2"/>
  <c r="Q313" i="2"/>
  <c r="Q314" i="2"/>
  <c r="Q315" i="2"/>
  <c r="Q316" i="2"/>
  <c r="Q317" i="2"/>
  <c r="Q318" i="2"/>
  <c r="Q319" i="2"/>
  <c r="Q320" i="2"/>
  <c r="Q321" i="2"/>
  <c r="Q322" i="2"/>
  <c r="Q323" i="2"/>
  <c r="Q324" i="2"/>
  <c r="Q325" i="2"/>
  <c r="Q326" i="2"/>
  <c r="Q327" i="2"/>
  <c r="Q328" i="2"/>
  <c r="Q329" i="2"/>
  <c r="Q330" i="2"/>
  <c r="Q331" i="2"/>
  <c r="Q332" i="2"/>
  <c r="Q333" i="2"/>
  <c r="Q334" i="2"/>
  <c r="Q335" i="2"/>
  <c r="Q336" i="2"/>
  <c r="Q337" i="2"/>
  <c r="Q338" i="2"/>
  <c r="Q339" i="2"/>
  <c r="Q340" i="2"/>
  <c r="Q341" i="2"/>
  <c r="Q342" i="2"/>
  <c r="Q343" i="2"/>
  <c r="Q344" i="2"/>
  <c r="Q345" i="2"/>
  <c r="Q346" i="2"/>
  <c r="Q347" i="2"/>
  <c r="Q348" i="2"/>
  <c r="Q349" i="2"/>
  <c r="Q350" i="2"/>
  <c r="Q351" i="2"/>
  <c r="Q352" i="2"/>
  <c r="Q353" i="2"/>
  <c r="Q354" i="2"/>
  <c r="Q355" i="2"/>
  <c r="Q356" i="2"/>
  <c r="Q357" i="2"/>
  <c r="Q358" i="2"/>
  <c r="Q359" i="2"/>
  <c r="Q360" i="2"/>
  <c r="Q361" i="2"/>
  <c r="Q362" i="2"/>
  <c r="Q363" i="2"/>
  <c r="Q364" i="2"/>
  <c r="Q365" i="2"/>
  <c r="Q366" i="2"/>
  <c r="Q367" i="2"/>
  <c r="Q368" i="2"/>
  <c r="Q369" i="2"/>
  <c r="Q370" i="2"/>
  <c r="Q371" i="2"/>
  <c r="Q372" i="2"/>
  <c r="Q373" i="2"/>
  <c r="Q374" i="2"/>
  <c r="Q375" i="2"/>
  <c r="Q376" i="2"/>
  <c r="Q377" i="2"/>
  <c r="Q378" i="2"/>
  <c r="Q379" i="2"/>
  <c r="Q380" i="2"/>
  <c r="Q381" i="2"/>
  <c r="Q382" i="2"/>
  <c r="Q383" i="2"/>
  <c r="Q384" i="2"/>
  <c r="Q385" i="2"/>
  <c r="Q386" i="2"/>
  <c r="Q387" i="2"/>
  <c r="Q388" i="2"/>
  <c r="Q389" i="2"/>
  <c r="Q390" i="2"/>
  <c r="Q391" i="2"/>
  <c r="Q392" i="2"/>
  <c r="Q393" i="2"/>
  <c r="Q394" i="2"/>
  <c r="Q395" i="2"/>
  <c r="Q396" i="2"/>
  <c r="Q397" i="2"/>
  <c r="Q398" i="2"/>
  <c r="Q399" i="2"/>
  <c r="Q400" i="2"/>
  <c r="Q401" i="2"/>
  <c r="Q402" i="2"/>
  <c r="Q403" i="2"/>
  <c r="Q404" i="2"/>
  <c r="Q405" i="2"/>
  <c r="Q406" i="2"/>
  <c r="Q407" i="2"/>
  <c r="Q408" i="2"/>
  <c r="Q409" i="2"/>
  <c r="Q410" i="2"/>
  <c r="Q411" i="2"/>
  <c r="Q412" i="2"/>
  <c r="Q413" i="2"/>
  <c r="Q414" i="2"/>
  <c r="Q415" i="2"/>
  <c r="Q416" i="2"/>
  <c r="Q417" i="2"/>
  <c r="Q418" i="2"/>
  <c r="Q419" i="2"/>
  <c r="Q420" i="2"/>
  <c r="Q421" i="2"/>
  <c r="Q422" i="2"/>
  <c r="Q423" i="2"/>
  <c r="Q424" i="2"/>
  <c r="Q425" i="2"/>
  <c r="Q426" i="2"/>
  <c r="Q427" i="2"/>
  <c r="Q428" i="2"/>
  <c r="Q429" i="2"/>
  <c r="Q430" i="2"/>
  <c r="Q431" i="2"/>
  <c r="Q432" i="2"/>
  <c r="Q433" i="2"/>
  <c r="Q434" i="2"/>
  <c r="Q435" i="2"/>
  <c r="Q436" i="2"/>
  <c r="Q437" i="2"/>
  <c r="Q438" i="2"/>
  <c r="Q439" i="2"/>
  <c r="Q440" i="2"/>
  <c r="Q441" i="2"/>
  <c r="Q442" i="2"/>
  <c r="Q443" i="2"/>
  <c r="Q444" i="2"/>
  <c r="Q445" i="2"/>
  <c r="Q446" i="2"/>
  <c r="Q447" i="2"/>
  <c r="Q448" i="2"/>
  <c r="Q449" i="2"/>
  <c r="Q450" i="2"/>
  <c r="Q451" i="2"/>
  <c r="Q452" i="2"/>
  <c r="Q453" i="2"/>
  <c r="Q454" i="2"/>
  <c r="Q455" i="2"/>
  <c r="Q456" i="2"/>
  <c r="Q457" i="2"/>
  <c r="Q458" i="2"/>
  <c r="Q459" i="2"/>
  <c r="Q460" i="2"/>
  <c r="Q461" i="2"/>
  <c r="Q462" i="2"/>
  <c r="Q463" i="2"/>
  <c r="Q464" i="2"/>
  <c r="Q465" i="2"/>
  <c r="Q466" i="2"/>
  <c r="Q467" i="2"/>
  <c r="Q468" i="2"/>
  <c r="Q469" i="2"/>
  <c r="Q470" i="2"/>
  <c r="Q471" i="2"/>
  <c r="Q472" i="2"/>
  <c r="Q473" i="2"/>
  <c r="Q474" i="2"/>
  <c r="Q475" i="2"/>
  <c r="Q476" i="2"/>
  <c r="Q477" i="2"/>
  <c r="Q478" i="2"/>
  <c r="Q479" i="2"/>
  <c r="Q480" i="2"/>
  <c r="Q481" i="2"/>
  <c r="Q482" i="2"/>
  <c r="Q483" i="2"/>
  <c r="Q484" i="2"/>
  <c r="Q485" i="2"/>
  <c r="Q486" i="2"/>
  <c r="Q487" i="2"/>
  <c r="Q488" i="2"/>
  <c r="Q489" i="2"/>
  <c r="Q490" i="2"/>
  <c r="Q491" i="2"/>
  <c r="Q492" i="2"/>
  <c r="Q493" i="2"/>
  <c r="Q494" i="2"/>
  <c r="Q495" i="2"/>
  <c r="Q496" i="2"/>
  <c r="Q497" i="2"/>
  <c r="Q498" i="2"/>
  <c r="Q499" i="2"/>
  <c r="Q500" i="2"/>
  <c r="Q501" i="2"/>
  <c r="Q502" i="2"/>
  <c r="Q503" i="2"/>
  <c r="Q504" i="2"/>
  <c r="Q505" i="2"/>
  <c r="Q506" i="2"/>
  <c r="Q507" i="2"/>
  <c r="Q508" i="2"/>
  <c r="Q509" i="2"/>
  <c r="Q510" i="2"/>
  <c r="Q511" i="2"/>
  <c r="Q512" i="2"/>
  <c r="Q513" i="2"/>
  <c r="Q514" i="2"/>
  <c r="Q515" i="2"/>
  <c r="Q516" i="2"/>
  <c r="Q517" i="2"/>
  <c r="Q518" i="2"/>
  <c r="Q519" i="2"/>
  <c r="Q520" i="2"/>
  <c r="Q521" i="2"/>
  <c r="Q522" i="2"/>
  <c r="Q523" i="2"/>
  <c r="Q524" i="2"/>
  <c r="Q525" i="2"/>
  <c r="Q526" i="2"/>
  <c r="Q527" i="2"/>
  <c r="Q528" i="2"/>
  <c r="Q529" i="2"/>
  <c r="Q530" i="2"/>
  <c r="Q531" i="2"/>
  <c r="Q532" i="2"/>
  <c r="Q533" i="2"/>
  <c r="Q534" i="2"/>
  <c r="Q535" i="2"/>
  <c r="Q536" i="2"/>
  <c r="Q537" i="2"/>
  <c r="Q538" i="2"/>
  <c r="Q539" i="2"/>
  <c r="Q540" i="2"/>
  <c r="Q541" i="2"/>
  <c r="Q542" i="2"/>
  <c r="Q543" i="2"/>
  <c r="Q544" i="2"/>
  <c r="Q545" i="2"/>
  <c r="Q546" i="2"/>
  <c r="Q547" i="2"/>
  <c r="Q548" i="2"/>
  <c r="Q549" i="2"/>
  <c r="Q550" i="2"/>
  <c r="Q551" i="2"/>
  <c r="Q552" i="2"/>
  <c r="Q553" i="2"/>
  <c r="Q554" i="2"/>
  <c r="Q555" i="2"/>
  <c r="Q556" i="2"/>
  <c r="Q557" i="2"/>
  <c r="Q558" i="2"/>
  <c r="Q559" i="2"/>
  <c r="Q560" i="2"/>
  <c r="Q561" i="2"/>
  <c r="Q562" i="2"/>
  <c r="Q563" i="2"/>
  <c r="Q564" i="2"/>
  <c r="Q565" i="2"/>
  <c r="Q566" i="2"/>
  <c r="Q567" i="2"/>
  <c r="Q568" i="2"/>
  <c r="Q569" i="2"/>
  <c r="Q570" i="2"/>
  <c r="Q571" i="2"/>
  <c r="Q572" i="2"/>
  <c r="Q573" i="2"/>
  <c r="Q574" i="2"/>
  <c r="Q575" i="2"/>
  <c r="Q576" i="2"/>
  <c r="Q577" i="2"/>
  <c r="Q578" i="2"/>
  <c r="Q579" i="2"/>
  <c r="Q580" i="2"/>
  <c r="Q581" i="2"/>
  <c r="Q582" i="2"/>
  <c r="Q583" i="2"/>
  <c r="Q584" i="2"/>
  <c r="Q585" i="2"/>
  <c r="Q586" i="2"/>
  <c r="Q587" i="2"/>
  <c r="Q588" i="2"/>
  <c r="Q589" i="2"/>
  <c r="Q590" i="2"/>
  <c r="Q591" i="2"/>
  <c r="Q592" i="2"/>
  <c r="Q593" i="2"/>
  <c r="Q594" i="2"/>
  <c r="Q595" i="2"/>
  <c r="Q596" i="2"/>
  <c r="Q597" i="2"/>
  <c r="Q598" i="2"/>
  <c r="Q599" i="2"/>
  <c r="Q600" i="2"/>
  <c r="Q601" i="2"/>
  <c r="Q602" i="2"/>
  <c r="Q603" i="2"/>
  <c r="Q604" i="2"/>
  <c r="Q605" i="2"/>
  <c r="Q606" i="2"/>
  <c r="Q607" i="2"/>
  <c r="Q608" i="2"/>
  <c r="Q609" i="2"/>
  <c r="Q610" i="2"/>
  <c r="Q611" i="2"/>
  <c r="Q612" i="2"/>
  <c r="Q613" i="2"/>
  <c r="Q614" i="2"/>
  <c r="Q615" i="2"/>
  <c r="Q616" i="2"/>
  <c r="Q617" i="2"/>
  <c r="Q618" i="2"/>
  <c r="Q619" i="2"/>
  <c r="Q620" i="2"/>
  <c r="Q621" i="2"/>
  <c r="Q622" i="2"/>
  <c r="Q623" i="2"/>
  <c r="Q624" i="2"/>
  <c r="Q625" i="2"/>
  <c r="Q626" i="2"/>
  <c r="Q627" i="2"/>
  <c r="Q628" i="2"/>
  <c r="Q629" i="2"/>
  <c r="Q630" i="2"/>
  <c r="Q631" i="2"/>
  <c r="Q632" i="2"/>
  <c r="Q633" i="2"/>
  <c r="Q634" i="2"/>
  <c r="Q635" i="2"/>
  <c r="Q636" i="2"/>
  <c r="Q637" i="2"/>
  <c r="Q638" i="2"/>
  <c r="Q639" i="2"/>
  <c r="Q640" i="2"/>
  <c r="Q641" i="2"/>
  <c r="Q642" i="2"/>
  <c r="Q643" i="2"/>
  <c r="Q644" i="2"/>
  <c r="Q645" i="2"/>
  <c r="Q646" i="2"/>
  <c r="Q647" i="2"/>
  <c r="Q648" i="2"/>
  <c r="Q649" i="2"/>
  <c r="Q650" i="2"/>
  <c r="Q651" i="2"/>
  <c r="Q652" i="2"/>
  <c r="Q653" i="2"/>
  <c r="Q654" i="2"/>
  <c r="Q655" i="2"/>
  <c r="Q656" i="2"/>
  <c r="Q657" i="2"/>
  <c r="Q658" i="2"/>
  <c r="Q659" i="2"/>
  <c r="Q660" i="2"/>
  <c r="Q661" i="2"/>
  <c r="Q662" i="2"/>
  <c r="Q663" i="2"/>
  <c r="Q664" i="2"/>
  <c r="Q665" i="2"/>
  <c r="Q666" i="2"/>
  <c r="Q667" i="2"/>
  <c r="Q668" i="2"/>
  <c r="Q669" i="2"/>
  <c r="Q670" i="2"/>
  <c r="Q671" i="2"/>
  <c r="Q672" i="2"/>
  <c r="Q673" i="2"/>
  <c r="Q674" i="2"/>
  <c r="Q675" i="2"/>
  <c r="Q676" i="2"/>
  <c r="Q677" i="2"/>
  <c r="Q678" i="2"/>
  <c r="Q679" i="2"/>
  <c r="Q680" i="2"/>
  <c r="Q681" i="2"/>
  <c r="Q682" i="2"/>
  <c r="Q683" i="2"/>
  <c r="Q684" i="2"/>
  <c r="Q685" i="2"/>
  <c r="Q686" i="2"/>
  <c r="Q687" i="2"/>
  <c r="Q688" i="2"/>
  <c r="Q689" i="2"/>
  <c r="Q690" i="2"/>
  <c r="Q691" i="2"/>
  <c r="Q692" i="2"/>
  <c r="Q693" i="2"/>
  <c r="Q694" i="2"/>
  <c r="Q695" i="2"/>
  <c r="Q696" i="2"/>
  <c r="Q697" i="2"/>
  <c r="Q698" i="2"/>
  <c r="Q699" i="2"/>
  <c r="Q700" i="2"/>
  <c r="Q701" i="2"/>
  <c r="Q702" i="2"/>
  <c r="Q703" i="2"/>
  <c r="Q704" i="2"/>
  <c r="Q705" i="2"/>
  <c r="Q706" i="2"/>
  <c r="Q707" i="2"/>
  <c r="Q708" i="2"/>
  <c r="Q709" i="2"/>
  <c r="Q710" i="2"/>
  <c r="Q711" i="2"/>
  <c r="Q712" i="2"/>
  <c r="Q713" i="2"/>
  <c r="Q714" i="2"/>
  <c r="Q715" i="2"/>
  <c r="Q716" i="2"/>
  <c r="Q717" i="2"/>
  <c r="Q718" i="2"/>
  <c r="Q719" i="2"/>
  <c r="Q720" i="2"/>
  <c r="Q721" i="2"/>
  <c r="Q722" i="2"/>
  <c r="Q723" i="2"/>
  <c r="Q724" i="2"/>
  <c r="Q725" i="2"/>
  <c r="Q726" i="2"/>
  <c r="Q727" i="2"/>
  <c r="Q728" i="2"/>
  <c r="Q729" i="2"/>
  <c r="Q730" i="2"/>
  <c r="Q731" i="2"/>
  <c r="Q732" i="2"/>
  <c r="Q733" i="2"/>
  <c r="Q734" i="2"/>
  <c r="Q735" i="2"/>
  <c r="Q736" i="2"/>
  <c r="Q737" i="2"/>
  <c r="Q738" i="2"/>
  <c r="Q739" i="2"/>
  <c r="Q740" i="2"/>
  <c r="Q741" i="2"/>
  <c r="Q742" i="2"/>
  <c r="Q743" i="2"/>
  <c r="Q744" i="2"/>
  <c r="Q745" i="2"/>
  <c r="Q746" i="2"/>
  <c r="Q747" i="2"/>
  <c r="Q748" i="2"/>
  <c r="Q749" i="2"/>
  <c r="Q750" i="2"/>
  <c r="Q751" i="2"/>
  <c r="Q752" i="2"/>
  <c r="Q753" i="2"/>
  <c r="Q754" i="2"/>
  <c r="Q755" i="2"/>
  <c r="Q756" i="2"/>
  <c r="Q757" i="2"/>
  <c r="Q758" i="2"/>
  <c r="Q759" i="2"/>
  <c r="Q760" i="2"/>
  <c r="Q761" i="2"/>
  <c r="Q762" i="2"/>
  <c r="Q763" i="2"/>
  <c r="Q764" i="2"/>
  <c r="Q765" i="2"/>
  <c r="Q766" i="2"/>
  <c r="Q767" i="2"/>
  <c r="Q768" i="2"/>
  <c r="Q769" i="2"/>
  <c r="Q770" i="2"/>
  <c r="Q771" i="2"/>
  <c r="Q772" i="2"/>
  <c r="Q773" i="2"/>
  <c r="Q774" i="2"/>
  <c r="Q775" i="2"/>
  <c r="Q776" i="2"/>
  <c r="Q777" i="2"/>
  <c r="Q778" i="2"/>
  <c r="Q779" i="2"/>
  <c r="Q780" i="2"/>
  <c r="Q781" i="2"/>
  <c r="Q782" i="2"/>
  <c r="Q783" i="2"/>
  <c r="Q784" i="2"/>
  <c r="Q785" i="2"/>
  <c r="Q786" i="2"/>
  <c r="Q787" i="2"/>
  <c r="Q788" i="2"/>
  <c r="Q789" i="2"/>
  <c r="Q790" i="2"/>
  <c r="Q791" i="2"/>
  <c r="Q792" i="2"/>
  <c r="Q793" i="2"/>
  <c r="Q794" i="2"/>
  <c r="Q795" i="2"/>
  <c r="Q796" i="2"/>
  <c r="Q797" i="2"/>
  <c r="Q798" i="2"/>
  <c r="Q799" i="2"/>
  <c r="Q800" i="2"/>
  <c r="Q801" i="2"/>
  <c r="Q802" i="2"/>
  <c r="Q803" i="2"/>
  <c r="Q804" i="2"/>
  <c r="Q805" i="2"/>
  <c r="Q806" i="2"/>
  <c r="Q807" i="2"/>
  <c r="Q808" i="2"/>
  <c r="Q809" i="2"/>
  <c r="Q810" i="2"/>
  <c r="Q811" i="2"/>
  <c r="Q812" i="2"/>
  <c r="Q813" i="2"/>
  <c r="Q814" i="2"/>
  <c r="Q815" i="2"/>
  <c r="Q816" i="2"/>
  <c r="Q817" i="2"/>
  <c r="Q818" i="2"/>
  <c r="Q819" i="2"/>
  <c r="Q820" i="2"/>
  <c r="Q821" i="2"/>
  <c r="Q822" i="2"/>
  <c r="Q823" i="2"/>
  <c r="Q824" i="2"/>
  <c r="Q825" i="2"/>
  <c r="Q826" i="2"/>
  <c r="Q827" i="2"/>
  <c r="Q828" i="2"/>
  <c r="Q829" i="2"/>
  <c r="Q830" i="2"/>
  <c r="Q831" i="2"/>
  <c r="P2"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685" i="2"/>
  <c r="P686" i="2"/>
  <c r="P687" i="2"/>
  <c r="P688" i="2"/>
  <c r="P689" i="2"/>
  <c r="P690" i="2"/>
  <c r="P691" i="2"/>
  <c r="P692" i="2"/>
  <c r="P693" i="2"/>
  <c r="P694" i="2"/>
  <c r="P695" i="2"/>
  <c r="P696" i="2"/>
  <c r="P697" i="2"/>
  <c r="P698" i="2"/>
  <c r="P699" i="2"/>
  <c r="P700" i="2"/>
  <c r="P701" i="2"/>
  <c r="P702" i="2"/>
  <c r="P703" i="2"/>
  <c r="P704" i="2"/>
  <c r="P705" i="2"/>
  <c r="P706" i="2"/>
  <c r="P707" i="2"/>
  <c r="P708" i="2"/>
  <c r="P709" i="2"/>
  <c r="P710" i="2"/>
  <c r="P711" i="2"/>
  <c r="P712" i="2"/>
  <c r="P713" i="2"/>
  <c r="P714" i="2"/>
  <c r="P715" i="2"/>
  <c r="P716" i="2"/>
  <c r="P717" i="2"/>
  <c r="P718" i="2"/>
  <c r="P719" i="2"/>
  <c r="P720" i="2"/>
  <c r="P721" i="2"/>
  <c r="P722" i="2"/>
  <c r="P723" i="2"/>
  <c r="P724" i="2"/>
  <c r="P725" i="2"/>
  <c r="P726" i="2"/>
  <c r="P727" i="2"/>
  <c r="P728" i="2"/>
  <c r="P729" i="2"/>
  <c r="P730" i="2"/>
  <c r="P731" i="2"/>
  <c r="P732" i="2"/>
  <c r="P733" i="2"/>
  <c r="P734" i="2"/>
  <c r="P735" i="2"/>
  <c r="P736" i="2"/>
  <c r="P737" i="2"/>
  <c r="P738" i="2"/>
  <c r="P739" i="2"/>
  <c r="P740" i="2"/>
  <c r="P741" i="2"/>
  <c r="P742" i="2"/>
  <c r="P743" i="2"/>
  <c r="P744" i="2"/>
  <c r="P745" i="2"/>
  <c r="P746" i="2"/>
  <c r="P747" i="2"/>
  <c r="P748" i="2"/>
  <c r="P749" i="2"/>
  <c r="P750" i="2"/>
  <c r="P751" i="2"/>
  <c r="P752" i="2"/>
  <c r="P753" i="2"/>
  <c r="P754" i="2"/>
  <c r="P755" i="2"/>
  <c r="P756" i="2"/>
  <c r="P757" i="2"/>
  <c r="P758" i="2"/>
  <c r="P759" i="2"/>
  <c r="P760" i="2"/>
  <c r="P761" i="2"/>
  <c r="P762" i="2"/>
  <c r="P763" i="2"/>
  <c r="P764" i="2"/>
  <c r="P765" i="2"/>
  <c r="P766" i="2"/>
  <c r="P767" i="2"/>
  <c r="P768" i="2"/>
  <c r="P769" i="2"/>
  <c r="P770" i="2"/>
  <c r="P771" i="2"/>
  <c r="P772" i="2"/>
  <c r="P773" i="2"/>
  <c r="P774" i="2"/>
  <c r="P775" i="2"/>
  <c r="P776" i="2"/>
  <c r="P777" i="2"/>
  <c r="P778" i="2"/>
  <c r="P779" i="2"/>
  <c r="P780" i="2"/>
  <c r="P781" i="2"/>
  <c r="P782" i="2"/>
  <c r="P783" i="2"/>
  <c r="P784" i="2"/>
  <c r="P785" i="2"/>
  <c r="P786" i="2"/>
  <c r="P787" i="2"/>
  <c r="P788" i="2"/>
  <c r="P789" i="2"/>
  <c r="P790" i="2"/>
  <c r="P791" i="2"/>
  <c r="P792" i="2"/>
  <c r="P793" i="2"/>
  <c r="P794" i="2"/>
  <c r="P795" i="2"/>
  <c r="P796" i="2"/>
  <c r="P797" i="2"/>
  <c r="P798" i="2"/>
  <c r="P799" i="2"/>
  <c r="P800" i="2"/>
  <c r="P801"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O680" i="2"/>
  <c r="O681" i="2"/>
  <c r="O682" i="2"/>
  <c r="O683" i="2"/>
  <c r="O684" i="2"/>
  <c r="O685" i="2"/>
  <c r="O686" i="2"/>
  <c r="O687" i="2"/>
  <c r="O688" i="2"/>
  <c r="O689" i="2"/>
  <c r="O690" i="2"/>
  <c r="O691" i="2"/>
  <c r="O692" i="2"/>
  <c r="O693" i="2"/>
  <c r="O694" i="2"/>
  <c r="O695" i="2"/>
  <c r="O696" i="2"/>
  <c r="O697" i="2"/>
  <c r="O698" i="2"/>
  <c r="O699" i="2"/>
  <c r="O700" i="2"/>
  <c r="O701" i="2"/>
  <c r="O702" i="2"/>
  <c r="O703" i="2"/>
  <c r="O704" i="2"/>
  <c r="O705" i="2"/>
  <c r="O706" i="2"/>
  <c r="O707" i="2"/>
  <c r="O708" i="2"/>
  <c r="O709" i="2"/>
  <c r="O710" i="2"/>
  <c r="O711" i="2"/>
  <c r="O712" i="2"/>
  <c r="O713" i="2"/>
  <c r="O714" i="2"/>
  <c r="O715" i="2"/>
  <c r="O716" i="2"/>
  <c r="O717" i="2"/>
  <c r="O718" i="2"/>
  <c r="O719" i="2"/>
  <c r="O720" i="2"/>
  <c r="O721" i="2"/>
  <c r="O722" i="2"/>
  <c r="O723" i="2"/>
  <c r="O724" i="2"/>
  <c r="O725" i="2"/>
  <c r="O726" i="2"/>
  <c r="O727" i="2"/>
  <c r="O728" i="2"/>
  <c r="O729" i="2"/>
  <c r="O730" i="2"/>
  <c r="O731" i="2"/>
  <c r="O732" i="2"/>
  <c r="O733" i="2"/>
  <c r="O734" i="2"/>
  <c r="O735" i="2"/>
  <c r="O736" i="2"/>
  <c r="O737" i="2"/>
  <c r="O738" i="2"/>
  <c r="O739" i="2"/>
  <c r="O740" i="2"/>
  <c r="O741" i="2"/>
  <c r="O742" i="2"/>
  <c r="O743" i="2"/>
  <c r="O744" i="2"/>
  <c r="O745" i="2"/>
  <c r="O746" i="2"/>
  <c r="O747" i="2"/>
  <c r="O748" i="2"/>
  <c r="O749" i="2"/>
  <c r="O750" i="2"/>
  <c r="O751" i="2"/>
  <c r="O752" i="2"/>
  <c r="O753" i="2"/>
  <c r="O754" i="2"/>
  <c r="O755" i="2"/>
  <c r="O756" i="2"/>
  <c r="O757" i="2"/>
  <c r="O758" i="2"/>
  <c r="O759" i="2"/>
  <c r="O760" i="2"/>
  <c r="O761" i="2"/>
  <c r="O762" i="2"/>
  <c r="O763" i="2"/>
  <c r="O764" i="2"/>
  <c r="O765" i="2"/>
  <c r="O766" i="2"/>
  <c r="O767" i="2"/>
  <c r="O768" i="2"/>
  <c r="O769" i="2"/>
  <c r="O770" i="2"/>
  <c r="O771" i="2"/>
  <c r="O772" i="2"/>
  <c r="O773" i="2"/>
  <c r="O774" i="2"/>
  <c r="O775" i="2"/>
  <c r="O776" i="2"/>
  <c r="O777" i="2"/>
  <c r="O778" i="2"/>
  <c r="O779" i="2"/>
  <c r="O780" i="2"/>
  <c r="O781" i="2"/>
  <c r="O782" i="2"/>
  <c r="O783" i="2"/>
  <c r="O784" i="2"/>
  <c r="O785" i="2"/>
  <c r="O786" i="2"/>
  <c r="O787" i="2"/>
  <c r="O788" i="2"/>
  <c r="O789" i="2"/>
  <c r="O790" i="2"/>
  <c r="O791" i="2"/>
  <c r="O792" i="2"/>
  <c r="O793" i="2"/>
  <c r="O794" i="2"/>
  <c r="O795" i="2"/>
  <c r="O796" i="2"/>
  <c r="O797" i="2"/>
  <c r="O798" i="2"/>
  <c r="O799" i="2"/>
  <c r="O800" i="2"/>
  <c r="O801" i="2"/>
  <c r="O802" i="2"/>
  <c r="O803" i="2"/>
  <c r="O804" i="2"/>
  <c r="O805" i="2"/>
  <c r="O806" i="2"/>
  <c r="O807" i="2"/>
  <c r="O808" i="2"/>
  <c r="O809" i="2"/>
  <c r="O810" i="2"/>
  <c r="O811" i="2"/>
  <c r="O812" i="2"/>
  <c r="O813" i="2"/>
  <c r="O814" i="2"/>
  <c r="O815" i="2"/>
  <c r="O816" i="2"/>
  <c r="O817" i="2"/>
  <c r="O818" i="2"/>
  <c r="O819" i="2"/>
  <c r="O820" i="2"/>
  <c r="O821" i="2"/>
  <c r="O822" i="2"/>
  <c r="O823" i="2"/>
  <c r="O824" i="2"/>
  <c r="O825" i="2"/>
  <c r="O826" i="2"/>
  <c r="O827" i="2"/>
  <c r="O828" i="2"/>
  <c r="O829" i="2"/>
  <c r="O830" i="2"/>
  <c r="O831" i="2"/>
  <c r="J6" i="16"/>
  <c r="N6" i="16" a="1"/>
  <c r="O513" i="16" s="1" a="1"/>
  <c r="O513" i="16" s="1"/>
  <c r="L7" i="16"/>
  <c r="L8" i="16"/>
  <c r="L9" i="16"/>
  <c r="L10" i="16"/>
  <c r="L11" i="16"/>
  <c r="L12" i="16"/>
  <c r="L13" i="16"/>
  <c r="L14" i="16"/>
  <c r="L15" i="16"/>
  <c r="L16" i="16"/>
  <c r="L17" i="16"/>
  <c r="L18" i="16"/>
  <c r="L19" i="16"/>
  <c r="L20" i="16"/>
  <c r="L21" i="16"/>
  <c r="L22" i="16"/>
  <c r="L23" i="16"/>
  <c r="L24" i="16"/>
  <c r="L25" i="16"/>
  <c r="L26" i="16"/>
  <c r="L27" i="16"/>
  <c r="L28" i="16"/>
  <c r="L29" i="16"/>
  <c r="L30" i="16"/>
  <c r="L31" i="16"/>
  <c r="L32" i="16"/>
  <c r="L33" i="16"/>
  <c r="L34" i="16"/>
  <c r="L35" i="16"/>
  <c r="L36" i="16"/>
  <c r="L37" i="16"/>
  <c r="L38" i="16"/>
  <c r="L39" i="16"/>
  <c r="L40" i="16"/>
  <c r="L41" i="16"/>
  <c r="L42" i="16"/>
  <c r="L43" i="16"/>
  <c r="L44" i="16"/>
  <c r="L45" i="16"/>
  <c r="L46" i="16"/>
  <c r="L47" i="16"/>
  <c r="L48" i="16"/>
  <c r="L49" i="16"/>
  <c r="L50" i="16"/>
  <c r="L51" i="16"/>
  <c r="L52" i="16"/>
  <c r="L53" i="16"/>
  <c r="L54" i="16"/>
  <c r="L55" i="16"/>
  <c r="L56" i="16"/>
  <c r="L57" i="16"/>
  <c r="L58" i="16"/>
  <c r="L59" i="16"/>
  <c r="L60" i="16"/>
  <c r="L61" i="16"/>
  <c r="L62" i="16"/>
  <c r="L63" i="16"/>
  <c r="L64" i="16"/>
  <c r="L65" i="16"/>
  <c r="L66" i="16"/>
  <c r="L67" i="16"/>
  <c r="L68" i="16"/>
  <c r="L69" i="16"/>
  <c r="L70" i="16"/>
  <c r="L71" i="16"/>
  <c r="L72" i="16"/>
  <c r="L73" i="16"/>
  <c r="L74" i="16"/>
  <c r="L75" i="16"/>
  <c r="L76" i="16"/>
  <c r="L77" i="16"/>
  <c r="L78" i="16"/>
  <c r="L79" i="16"/>
  <c r="L80" i="16"/>
  <c r="L81" i="16"/>
  <c r="L82" i="16"/>
  <c r="L83" i="16"/>
  <c r="L84" i="16"/>
  <c r="L85" i="16"/>
  <c r="L86" i="16"/>
  <c r="L87" i="16"/>
  <c r="L88" i="16"/>
  <c r="L89" i="16"/>
  <c r="L90" i="16"/>
  <c r="L91" i="16"/>
  <c r="L92" i="16"/>
  <c r="L93" i="16"/>
  <c r="L94" i="16"/>
  <c r="L95" i="16"/>
  <c r="L96" i="16"/>
  <c r="L97" i="16"/>
  <c r="L98" i="16"/>
  <c r="L99" i="16"/>
  <c r="L100" i="16"/>
  <c r="L101" i="16"/>
  <c r="L102" i="16"/>
  <c r="L103" i="16"/>
  <c r="L104" i="16"/>
  <c r="L105" i="16"/>
  <c r="L106" i="16"/>
  <c r="L107" i="16"/>
  <c r="L108" i="16"/>
  <c r="L109" i="16"/>
  <c r="L110" i="16"/>
  <c r="L111" i="16"/>
  <c r="L112" i="16"/>
  <c r="L113" i="16"/>
  <c r="L114" i="16"/>
  <c r="L115" i="16"/>
  <c r="L116" i="16"/>
  <c r="L117" i="16"/>
  <c r="L118" i="16"/>
  <c r="L119" i="16"/>
  <c r="L120" i="16"/>
  <c r="L121" i="16"/>
  <c r="L122" i="16"/>
  <c r="L123" i="16"/>
  <c r="L124" i="16"/>
  <c r="L125" i="16"/>
  <c r="L126" i="16"/>
  <c r="L127" i="16"/>
  <c r="L128" i="16"/>
  <c r="L129" i="16"/>
  <c r="L130" i="16"/>
  <c r="L131" i="16"/>
  <c r="L132" i="16"/>
  <c r="L133" i="16"/>
  <c r="L134" i="16"/>
  <c r="L135" i="16"/>
  <c r="L136" i="16"/>
  <c r="L137" i="16"/>
  <c r="L138" i="16"/>
  <c r="L139" i="16"/>
  <c r="L140" i="16"/>
  <c r="L141" i="16"/>
  <c r="L142" i="16"/>
  <c r="L143" i="16"/>
  <c r="L144" i="16"/>
  <c r="L145" i="16"/>
  <c r="L146" i="16"/>
  <c r="L147" i="16"/>
  <c r="L148" i="16"/>
  <c r="L149" i="16"/>
  <c r="L150" i="16"/>
  <c r="L151" i="16"/>
  <c r="L152" i="16"/>
  <c r="L153" i="16"/>
  <c r="L154" i="16"/>
  <c r="L155" i="16"/>
  <c r="L156" i="16"/>
  <c r="L157" i="16"/>
  <c r="L158" i="16"/>
  <c r="L159" i="16"/>
  <c r="L160" i="16"/>
  <c r="L161" i="16"/>
  <c r="L162" i="16"/>
  <c r="L163" i="16"/>
  <c r="L164" i="16"/>
  <c r="L165" i="16"/>
  <c r="L166" i="16"/>
  <c r="L167" i="16"/>
  <c r="L168" i="16"/>
  <c r="L169" i="16"/>
  <c r="L170" i="16"/>
  <c r="L171" i="16"/>
  <c r="L172" i="16"/>
  <c r="L173" i="16"/>
  <c r="L174" i="16"/>
  <c r="L175" i="16"/>
  <c r="L176" i="16"/>
  <c r="L177" i="16"/>
  <c r="L178" i="16"/>
  <c r="L179" i="16"/>
  <c r="L180" i="16"/>
  <c r="L181" i="16"/>
  <c r="L182" i="16"/>
  <c r="L183" i="16"/>
  <c r="L184" i="16"/>
  <c r="L185" i="16"/>
  <c r="L186" i="16"/>
  <c r="L187" i="16"/>
  <c r="L188" i="16"/>
  <c r="L189" i="16"/>
  <c r="L190" i="16"/>
  <c r="L191" i="16"/>
  <c r="L192" i="16"/>
  <c r="L193" i="16"/>
  <c r="L194" i="16"/>
  <c r="L195" i="16"/>
  <c r="L196" i="16"/>
  <c r="L197" i="16"/>
  <c r="L198" i="16"/>
  <c r="L199" i="16"/>
  <c r="L200" i="16"/>
  <c r="L201" i="16"/>
  <c r="L202" i="16"/>
  <c r="L203" i="16"/>
  <c r="L204" i="16"/>
  <c r="L205" i="16"/>
  <c r="L206" i="16"/>
  <c r="L207" i="16"/>
  <c r="L208" i="16"/>
  <c r="L209" i="16"/>
  <c r="L210" i="16"/>
  <c r="L211" i="16"/>
  <c r="L212" i="16"/>
  <c r="L213" i="16"/>
  <c r="L214" i="16"/>
  <c r="L215" i="16"/>
  <c r="L216" i="16"/>
  <c r="L217" i="16"/>
  <c r="L218" i="16"/>
  <c r="L219" i="16"/>
  <c r="L220" i="16"/>
  <c r="L221" i="16"/>
  <c r="L222" i="16"/>
  <c r="L223" i="16"/>
  <c r="L224" i="16"/>
  <c r="L225" i="16"/>
  <c r="L226" i="16"/>
  <c r="L227" i="16"/>
  <c r="L228" i="16"/>
  <c r="L229" i="16"/>
  <c r="L230" i="16"/>
  <c r="L231" i="16"/>
  <c r="L232" i="16"/>
  <c r="L233" i="16"/>
  <c r="L234" i="16"/>
  <c r="L235" i="16"/>
  <c r="L236" i="16"/>
  <c r="L237" i="16"/>
  <c r="L238" i="16"/>
  <c r="L239" i="16"/>
  <c r="L240" i="16"/>
  <c r="L241" i="16"/>
  <c r="L242" i="16"/>
  <c r="L243" i="16"/>
  <c r="L244" i="16"/>
  <c r="L245" i="16"/>
  <c r="L246" i="16"/>
  <c r="L247" i="16"/>
  <c r="L248" i="16"/>
  <c r="L249" i="16"/>
  <c r="L250" i="16"/>
  <c r="L251" i="16"/>
  <c r="L252" i="16"/>
  <c r="L253" i="16"/>
  <c r="L254" i="16"/>
  <c r="L255" i="16"/>
  <c r="L256" i="16"/>
  <c r="L257" i="16"/>
  <c r="L258" i="16"/>
  <c r="L259" i="16"/>
  <c r="L260" i="16"/>
  <c r="L261" i="16"/>
  <c r="L262" i="16"/>
  <c r="L263" i="16"/>
  <c r="L264" i="16"/>
  <c r="L265" i="16"/>
  <c r="L266" i="16"/>
  <c r="L267" i="16"/>
  <c r="L268" i="16"/>
  <c r="L269" i="16"/>
  <c r="L270" i="16"/>
  <c r="L271" i="16"/>
  <c r="L272" i="16"/>
  <c r="L273" i="16"/>
  <c r="L274" i="16"/>
  <c r="L275" i="16"/>
  <c r="L276" i="16"/>
  <c r="L277" i="16"/>
  <c r="L278" i="16"/>
  <c r="L279" i="16"/>
  <c r="L280" i="16"/>
  <c r="L281" i="16"/>
  <c r="L282" i="16"/>
  <c r="L283" i="16"/>
  <c r="L284" i="16"/>
  <c r="L285" i="16"/>
  <c r="L286" i="16"/>
  <c r="L287" i="16"/>
  <c r="L288" i="16"/>
  <c r="L289" i="16"/>
  <c r="L290" i="16"/>
  <c r="L291" i="16"/>
  <c r="L292" i="16"/>
  <c r="L293" i="16"/>
  <c r="L294" i="16"/>
  <c r="L295" i="16"/>
  <c r="L296" i="16"/>
  <c r="L297" i="16"/>
  <c r="L298" i="16"/>
  <c r="L299" i="16"/>
  <c r="L300" i="16"/>
  <c r="L301" i="16"/>
  <c r="L302" i="16"/>
  <c r="L303" i="16"/>
  <c r="L304" i="16"/>
  <c r="L305" i="16"/>
  <c r="L306" i="16"/>
  <c r="L307" i="16"/>
  <c r="L308" i="16"/>
  <c r="L309" i="16"/>
  <c r="L310" i="16"/>
  <c r="L311" i="16"/>
  <c r="L312" i="16"/>
  <c r="L313" i="16"/>
  <c r="L314" i="16"/>
  <c r="L315" i="16"/>
  <c r="L316" i="16"/>
  <c r="L317" i="16"/>
  <c r="L318" i="16"/>
  <c r="L319" i="16"/>
  <c r="L320" i="16"/>
  <c r="L321" i="16"/>
  <c r="L322" i="16"/>
  <c r="L323" i="16"/>
  <c r="L324" i="16"/>
  <c r="L325" i="16"/>
  <c r="L326" i="16"/>
  <c r="L327" i="16"/>
  <c r="L328" i="16"/>
  <c r="L329" i="16"/>
  <c r="L330" i="16"/>
  <c r="L331" i="16"/>
  <c r="L332" i="16"/>
  <c r="L333" i="16"/>
  <c r="L334" i="16"/>
  <c r="L335" i="16"/>
  <c r="L336" i="16"/>
  <c r="L337" i="16"/>
  <c r="L338" i="16"/>
  <c r="L339" i="16"/>
  <c r="L340" i="16"/>
  <c r="L341" i="16"/>
  <c r="L342" i="16"/>
  <c r="L343" i="16"/>
  <c r="L344" i="16"/>
  <c r="L345" i="16"/>
  <c r="L346" i="16"/>
  <c r="L347" i="16"/>
  <c r="L348" i="16"/>
  <c r="L349" i="16"/>
  <c r="L350" i="16"/>
  <c r="L351" i="16"/>
  <c r="L352" i="16"/>
  <c r="L353" i="16"/>
  <c r="L354" i="16"/>
  <c r="L355" i="16"/>
  <c r="L356" i="16"/>
  <c r="L357" i="16"/>
  <c r="L358" i="16"/>
  <c r="L359" i="16"/>
  <c r="L360" i="16"/>
  <c r="L361" i="16"/>
  <c r="L362" i="16"/>
  <c r="L363" i="16"/>
  <c r="L364" i="16"/>
  <c r="L365" i="16"/>
  <c r="L366" i="16"/>
  <c r="L367" i="16"/>
  <c r="L368" i="16"/>
  <c r="L369" i="16"/>
  <c r="L370" i="16"/>
  <c r="L371" i="16"/>
  <c r="L372" i="16"/>
  <c r="L373" i="16"/>
  <c r="L374" i="16"/>
  <c r="L375" i="16"/>
  <c r="L376" i="16"/>
  <c r="L377" i="16"/>
  <c r="L378" i="16"/>
  <c r="L379" i="16"/>
  <c r="L380" i="16"/>
  <c r="L381" i="16"/>
  <c r="L382" i="16"/>
  <c r="L383" i="16"/>
  <c r="L384" i="16"/>
  <c r="L385" i="16"/>
  <c r="L386" i="16"/>
  <c r="L387" i="16"/>
  <c r="L388" i="16"/>
  <c r="L389" i="16"/>
  <c r="L390" i="16"/>
  <c r="L391" i="16"/>
  <c r="L392" i="16"/>
  <c r="L393" i="16"/>
  <c r="L394" i="16"/>
  <c r="L395" i="16"/>
  <c r="L396" i="16"/>
  <c r="L397" i="16"/>
  <c r="L398" i="16"/>
  <c r="L399" i="16"/>
  <c r="L400" i="16"/>
  <c r="L401" i="16"/>
  <c r="L402" i="16"/>
  <c r="L403" i="16"/>
  <c r="L404" i="16"/>
  <c r="L405" i="16"/>
  <c r="L406" i="16"/>
  <c r="L407" i="16"/>
  <c r="L408" i="16"/>
  <c r="L409" i="16"/>
  <c r="L410" i="16"/>
  <c r="L411" i="16"/>
  <c r="L412" i="16"/>
  <c r="L413" i="16"/>
  <c r="L414" i="16"/>
  <c r="L415" i="16"/>
  <c r="L416" i="16"/>
  <c r="L417" i="16"/>
  <c r="L418" i="16"/>
  <c r="L419" i="16"/>
  <c r="L420" i="16"/>
  <c r="L421" i="16"/>
  <c r="L422" i="16"/>
  <c r="L423" i="16"/>
  <c r="L424" i="16"/>
  <c r="L425" i="16"/>
  <c r="L426" i="16"/>
  <c r="L427" i="16"/>
  <c r="L428" i="16"/>
  <c r="L429" i="16"/>
  <c r="L430" i="16"/>
  <c r="L431" i="16"/>
  <c r="L432" i="16"/>
  <c r="L433" i="16"/>
  <c r="L434" i="16"/>
  <c r="L435" i="16"/>
  <c r="L436" i="16"/>
  <c r="L437" i="16"/>
  <c r="L438" i="16"/>
  <c r="L439" i="16"/>
  <c r="L440" i="16"/>
  <c r="L441" i="16"/>
  <c r="L442" i="16"/>
  <c r="L443" i="16"/>
  <c r="L444" i="16"/>
  <c r="L445" i="16"/>
  <c r="L446" i="16"/>
  <c r="L447" i="16"/>
  <c r="L448" i="16"/>
  <c r="L449" i="16"/>
  <c r="L450" i="16"/>
  <c r="L451" i="16"/>
  <c r="L452" i="16"/>
  <c r="L453" i="16"/>
  <c r="L454" i="16"/>
  <c r="L455" i="16"/>
  <c r="L456" i="16"/>
  <c r="L457" i="16"/>
  <c r="L458" i="16"/>
  <c r="L459" i="16"/>
  <c r="L460" i="16"/>
  <c r="L461" i="16"/>
  <c r="L462" i="16"/>
  <c r="L463" i="16"/>
  <c r="L464" i="16"/>
  <c r="L465" i="16"/>
  <c r="L466" i="16"/>
  <c r="L467" i="16"/>
  <c r="L468" i="16"/>
  <c r="L469" i="16"/>
  <c r="L470" i="16"/>
  <c r="L471" i="16"/>
  <c r="L472" i="16"/>
  <c r="L473" i="16"/>
  <c r="L474" i="16"/>
  <c r="L475" i="16"/>
  <c r="L476" i="16"/>
  <c r="L477" i="16"/>
  <c r="L478" i="16"/>
  <c r="L479" i="16"/>
  <c r="L480" i="16"/>
  <c r="L481" i="16"/>
  <c r="L482" i="16"/>
  <c r="L483" i="16"/>
  <c r="L484" i="16"/>
  <c r="L485" i="16"/>
  <c r="L486" i="16"/>
  <c r="L487" i="16"/>
  <c r="L488" i="16"/>
  <c r="L489" i="16"/>
  <c r="L490" i="16"/>
  <c r="L491" i="16"/>
  <c r="L492" i="16"/>
  <c r="L493" i="16"/>
  <c r="L494" i="16"/>
  <c r="L495" i="16"/>
  <c r="L496" i="16"/>
  <c r="L497" i="16"/>
  <c r="L498" i="16"/>
  <c r="L499" i="16"/>
  <c r="L500" i="16"/>
  <c r="L501" i="16"/>
  <c r="L502" i="16"/>
  <c r="L503" i="16"/>
  <c r="L504" i="16"/>
  <c r="L505" i="16"/>
  <c r="L506" i="16"/>
  <c r="L507" i="16"/>
  <c r="L508" i="16"/>
  <c r="L509" i="16"/>
  <c r="L510" i="16"/>
  <c r="L511" i="16"/>
  <c r="L512" i="16"/>
  <c r="L513" i="16"/>
  <c r="L514" i="16"/>
  <c r="L515" i="16"/>
  <c r="L516" i="16"/>
  <c r="L517" i="16"/>
  <c r="L518" i="16"/>
  <c r="L519" i="16"/>
  <c r="L520" i="16"/>
  <c r="L521" i="16"/>
  <c r="L522" i="16"/>
  <c r="L523" i="16"/>
  <c r="L524" i="16"/>
  <c r="L525" i="16"/>
  <c r="L526" i="16"/>
  <c r="L527" i="16"/>
  <c r="L528" i="16"/>
  <c r="L529" i="16"/>
  <c r="L530" i="16"/>
  <c r="L531" i="16"/>
  <c r="L532" i="16"/>
  <c r="L533" i="16"/>
  <c r="L534" i="16"/>
  <c r="L535" i="16"/>
  <c r="L536" i="16"/>
  <c r="L537" i="16"/>
  <c r="L538" i="16"/>
  <c r="L539" i="16"/>
  <c r="L540" i="16"/>
  <c r="L541" i="16"/>
  <c r="L542" i="16"/>
  <c r="L543" i="16"/>
  <c r="L544" i="16"/>
  <c r="L545" i="16"/>
  <c r="L546" i="16"/>
  <c r="L547" i="16"/>
  <c r="L548" i="16"/>
  <c r="L549" i="16"/>
  <c r="L550" i="16"/>
  <c r="L551" i="16"/>
  <c r="L552" i="16"/>
  <c r="L553" i="16"/>
  <c r="L554" i="16"/>
  <c r="L555" i="16"/>
  <c r="L556" i="16"/>
  <c r="L557" i="16"/>
  <c r="L558" i="16"/>
  <c r="L559" i="16"/>
  <c r="L560" i="16"/>
  <c r="L561" i="16"/>
  <c r="L562" i="16"/>
  <c r="L563" i="16"/>
  <c r="L564" i="16"/>
  <c r="L565" i="16"/>
  <c r="L566" i="16"/>
  <c r="L567" i="16"/>
  <c r="L568" i="16"/>
  <c r="L569" i="16"/>
  <c r="L570" i="16"/>
  <c r="L571" i="16"/>
  <c r="L572" i="16"/>
  <c r="L573" i="16"/>
  <c r="L574" i="16"/>
  <c r="L575" i="16"/>
  <c r="L576" i="16"/>
  <c r="L577" i="16"/>
  <c r="L578" i="16"/>
  <c r="L579" i="16"/>
  <c r="L580" i="16"/>
  <c r="L581" i="16"/>
  <c r="L582" i="16"/>
  <c r="L583" i="16"/>
  <c r="L584" i="16"/>
  <c r="L585" i="16"/>
  <c r="L586" i="16"/>
  <c r="L587" i="16"/>
  <c r="L588" i="16"/>
  <c r="L589" i="16"/>
  <c r="L590" i="16"/>
  <c r="L591" i="16"/>
  <c r="L592" i="16"/>
  <c r="L593" i="16"/>
  <c r="L594" i="16"/>
  <c r="L595" i="16"/>
  <c r="L596" i="16"/>
  <c r="L597" i="16"/>
  <c r="L598" i="16"/>
  <c r="L599" i="16"/>
  <c r="L600" i="16"/>
  <c r="L601" i="16"/>
  <c r="L602" i="16"/>
  <c r="L603" i="16"/>
  <c r="L604" i="16"/>
  <c r="L605" i="16"/>
  <c r="L606" i="16"/>
  <c r="L607" i="16"/>
  <c r="L608" i="16"/>
  <c r="L609" i="16"/>
  <c r="L610" i="16"/>
  <c r="L611" i="16"/>
  <c r="L612" i="16"/>
  <c r="L613" i="16"/>
  <c r="L614" i="16"/>
  <c r="L615" i="16"/>
  <c r="L616" i="16"/>
  <c r="L617" i="16"/>
  <c r="L618" i="16"/>
  <c r="L619" i="16"/>
  <c r="L620" i="16"/>
  <c r="L621" i="16"/>
  <c r="L622" i="16"/>
  <c r="L623" i="16"/>
  <c r="L624" i="16"/>
  <c r="L625" i="16"/>
  <c r="L626" i="16"/>
  <c r="L627" i="16"/>
  <c r="L628" i="16"/>
  <c r="L629" i="16"/>
  <c r="L630" i="16"/>
  <c r="L631" i="16"/>
  <c r="L632" i="16"/>
  <c r="L633" i="16"/>
  <c r="L634" i="16"/>
  <c r="L635" i="16"/>
  <c r="L636" i="16"/>
  <c r="L637" i="16"/>
  <c r="L638" i="16"/>
  <c r="L639" i="16"/>
  <c r="L640" i="16"/>
  <c r="L641" i="16"/>
  <c r="L642" i="16"/>
  <c r="L643" i="16"/>
  <c r="L644" i="16"/>
  <c r="L645" i="16"/>
  <c r="L646" i="16"/>
  <c r="L647" i="16"/>
  <c r="L648" i="16"/>
  <c r="L649" i="16"/>
  <c r="L650" i="16"/>
  <c r="L651" i="16"/>
  <c r="L652" i="16"/>
  <c r="L653" i="16"/>
  <c r="L654" i="16"/>
  <c r="L655" i="16"/>
  <c r="L656" i="16"/>
  <c r="L657" i="16"/>
  <c r="L658" i="16"/>
  <c r="L659" i="16"/>
  <c r="L660" i="16"/>
  <c r="L661" i="16"/>
  <c r="L662" i="16"/>
  <c r="L663" i="16"/>
  <c r="L664" i="16"/>
  <c r="L665" i="16"/>
  <c r="L666" i="16"/>
  <c r="L667" i="16"/>
  <c r="L668" i="16"/>
  <c r="L669" i="16"/>
  <c r="L670" i="16"/>
  <c r="L671" i="16"/>
  <c r="L672" i="16"/>
  <c r="L673" i="16"/>
  <c r="L674" i="16"/>
  <c r="L675" i="16"/>
  <c r="L676" i="16"/>
  <c r="L677" i="16"/>
  <c r="L678" i="16"/>
  <c r="L679" i="16"/>
  <c r="L680" i="16"/>
  <c r="L681" i="16"/>
  <c r="L682" i="16"/>
  <c r="L683" i="16"/>
  <c r="L684" i="16"/>
  <c r="L685" i="16"/>
  <c r="L686" i="16"/>
  <c r="L687" i="16"/>
  <c r="L688" i="16"/>
  <c r="L689" i="16"/>
  <c r="L690" i="16"/>
  <c r="L691" i="16"/>
  <c r="L692" i="16"/>
  <c r="L693" i="16"/>
  <c r="L694" i="16"/>
  <c r="L695" i="16"/>
  <c r="L696" i="16"/>
  <c r="L697" i="16"/>
  <c r="L698" i="16"/>
  <c r="L699" i="16"/>
  <c r="L700" i="16"/>
  <c r="L701" i="16"/>
  <c r="L702" i="16"/>
  <c r="L703" i="16"/>
  <c r="L704" i="16"/>
  <c r="L705" i="16"/>
  <c r="L706" i="16"/>
  <c r="L707" i="16"/>
  <c r="L708" i="16"/>
  <c r="L709" i="16"/>
  <c r="L710" i="16"/>
  <c r="L711" i="16"/>
  <c r="L712" i="16"/>
  <c r="L713" i="16"/>
  <c r="L714" i="16"/>
  <c r="L715" i="16"/>
  <c r="L716" i="16"/>
  <c r="L717" i="16"/>
  <c r="L718" i="16"/>
  <c r="L719" i="16"/>
  <c r="L720" i="16"/>
  <c r="L721" i="16"/>
  <c r="L722" i="16"/>
  <c r="L723" i="16"/>
  <c r="L724" i="16"/>
  <c r="L725" i="16"/>
  <c r="L726" i="16"/>
  <c r="L727" i="16"/>
  <c r="L728" i="16"/>
  <c r="L729" i="16"/>
  <c r="L730" i="16"/>
  <c r="L731" i="16"/>
  <c r="L732" i="16"/>
  <c r="L733" i="16"/>
  <c r="L734" i="16"/>
  <c r="L735" i="16"/>
  <c r="L736" i="16"/>
  <c r="L737" i="16"/>
  <c r="L738" i="16"/>
  <c r="L739" i="16"/>
  <c r="L740" i="16"/>
  <c r="L741" i="16"/>
  <c r="L742" i="16"/>
  <c r="L743" i="16"/>
  <c r="L744" i="16"/>
  <c r="L745" i="16"/>
  <c r="L746" i="16"/>
  <c r="L747" i="16"/>
  <c r="L748" i="16"/>
  <c r="L749" i="16"/>
  <c r="L750" i="16"/>
  <c r="L751" i="16"/>
  <c r="L752" i="16"/>
  <c r="L753" i="16"/>
  <c r="L754" i="16"/>
  <c r="L755" i="16"/>
  <c r="L756" i="16"/>
  <c r="L757" i="16"/>
  <c r="L758" i="16"/>
  <c r="L759" i="16"/>
  <c r="L760" i="16"/>
  <c r="L761" i="16"/>
  <c r="L762" i="16"/>
  <c r="L763" i="16"/>
  <c r="L764" i="16"/>
  <c r="L765" i="16"/>
  <c r="L766" i="16"/>
  <c r="L767" i="16"/>
  <c r="L768" i="16"/>
  <c r="L769" i="16"/>
  <c r="L770" i="16"/>
  <c r="L771" i="16"/>
  <c r="L772" i="16"/>
  <c r="L773" i="16"/>
  <c r="L774" i="16"/>
  <c r="L775" i="16"/>
  <c r="L776" i="16"/>
  <c r="L777" i="16"/>
  <c r="L778" i="16"/>
  <c r="L779" i="16"/>
  <c r="L780" i="16"/>
  <c r="L781" i="16"/>
  <c r="L782" i="16"/>
  <c r="L783" i="16"/>
  <c r="L784" i="16"/>
  <c r="L785" i="16"/>
  <c r="L786" i="16"/>
  <c r="L787" i="16"/>
  <c r="L788" i="16"/>
  <c r="L789" i="16"/>
  <c r="L790" i="16"/>
  <c r="L791" i="16"/>
  <c r="L792" i="16"/>
  <c r="L793" i="16"/>
  <c r="L794" i="16"/>
  <c r="L795" i="16"/>
  <c r="L796" i="16"/>
  <c r="L797" i="16"/>
  <c r="L798" i="16"/>
  <c r="L799" i="16"/>
  <c r="L800" i="16"/>
  <c r="L801" i="16"/>
  <c r="L802" i="16"/>
  <c r="L803" i="16"/>
  <c r="L804" i="16"/>
  <c r="L805" i="16"/>
  <c r="L806" i="16"/>
  <c r="L807" i="16"/>
  <c r="L808" i="16"/>
  <c r="L809" i="16"/>
  <c r="L810" i="16"/>
  <c r="L811" i="16"/>
  <c r="L812" i="16"/>
  <c r="L813" i="16"/>
  <c r="L814" i="16"/>
  <c r="L815" i="16"/>
  <c r="L816" i="16"/>
  <c r="L817" i="16"/>
  <c r="L818" i="16"/>
  <c r="L819" i="16"/>
  <c r="L820" i="16"/>
  <c r="L821" i="16"/>
  <c r="L822" i="16"/>
  <c r="L823" i="16"/>
  <c r="L824" i="16"/>
  <c r="L825" i="16"/>
  <c r="L826" i="16"/>
  <c r="L827" i="16"/>
  <c r="L828" i="16"/>
  <c r="L829" i="16"/>
  <c r="L830" i="16"/>
  <c r="L831" i="16"/>
  <c r="L832" i="16"/>
  <c r="L833" i="16"/>
  <c r="L834" i="16"/>
  <c r="L835" i="16"/>
  <c r="L836" i="16"/>
  <c r="L837" i="16"/>
  <c r="L838" i="16"/>
  <c r="L839" i="16"/>
  <c r="L840" i="16"/>
  <c r="L841" i="16"/>
  <c r="L842" i="16"/>
  <c r="L843" i="16"/>
  <c r="L844" i="16"/>
  <c r="L845" i="16"/>
  <c r="L846" i="16"/>
  <c r="L847" i="16"/>
  <c r="L848" i="16"/>
  <c r="L849" i="16"/>
  <c r="L850" i="16"/>
  <c r="L851" i="16"/>
  <c r="L852" i="16"/>
  <c r="L853" i="16"/>
  <c r="L854" i="16"/>
  <c r="L855" i="16"/>
  <c r="L856" i="16"/>
  <c r="L857" i="16"/>
  <c r="L858" i="16"/>
  <c r="L859" i="16"/>
  <c r="L860" i="16"/>
  <c r="L861" i="16"/>
  <c r="L862" i="16"/>
  <c r="L863" i="16"/>
  <c r="L864" i="16"/>
  <c r="L865" i="16"/>
  <c r="L866" i="16"/>
  <c r="L867" i="16"/>
  <c r="L868" i="16"/>
  <c r="L869" i="16"/>
  <c r="L870" i="16"/>
  <c r="L871" i="16"/>
  <c r="L872" i="16"/>
  <c r="L873" i="16"/>
  <c r="L874" i="16"/>
  <c r="L875" i="16"/>
  <c r="L876" i="16"/>
  <c r="L877" i="16"/>
  <c r="L878" i="16"/>
  <c r="L879" i="16"/>
  <c r="L880" i="16"/>
  <c r="L881" i="16"/>
  <c r="L882" i="16"/>
  <c r="L883" i="16"/>
  <c r="L884" i="16"/>
  <c r="L885" i="16"/>
  <c r="L886" i="16"/>
  <c r="L887" i="16"/>
  <c r="L888" i="16"/>
  <c r="L889" i="16"/>
  <c r="L890" i="16"/>
  <c r="L891" i="16"/>
  <c r="L892" i="16"/>
  <c r="L893" i="16"/>
  <c r="L894" i="16"/>
  <c r="L895" i="16"/>
  <c r="L896" i="16"/>
  <c r="L897" i="16"/>
  <c r="L898" i="16"/>
  <c r="L899" i="16"/>
  <c r="L900" i="16"/>
  <c r="L901" i="16"/>
  <c r="L902" i="16"/>
  <c r="L903" i="16"/>
  <c r="L904" i="16"/>
  <c r="L905" i="16"/>
  <c r="L906" i="16"/>
  <c r="L907" i="16"/>
  <c r="L908" i="16"/>
  <c r="L909" i="16"/>
  <c r="L910" i="16"/>
  <c r="L911" i="16"/>
  <c r="L912" i="16"/>
  <c r="L913" i="16"/>
  <c r="L914" i="16"/>
  <c r="L915" i="16"/>
  <c r="L916" i="16"/>
  <c r="L917" i="16"/>
  <c r="L918" i="16"/>
  <c r="L919" i="16"/>
  <c r="L920" i="16"/>
  <c r="L921" i="16"/>
  <c r="L922" i="16"/>
  <c r="L923" i="16"/>
  <c r="L924" i="16"/>
  <c r="L925" i="16"/>
  <c r="L926" i="16"/>
  <c r="L927" i="16"/>
  <c r="L928" i="16"/>
  <c r="L929" i="16"/>
  <c r="L930" i="16"/>
  <c r="L931" i="16"/>
  <c r="L932" i="16"/>
  <c r="L933" i="16"/>
  <c r="L934" i="16"/>
  <c r="L935" i="16"/>
  <c r="L936" i="16"/>
  <c r="L937" i="16"/>
  <c r="L938" i="16"/>
  <c r="L939" i="16"/>
  <c r="L940" i="16"/>
  <c r="L941" i="16"/>
  <c r="L942" i="16"/>
  <c r="L943" i="16"/>
  <c r="L944" i="16"/>
  <c r="L945" i="16"/>
  <c r="L946" i="16"/>
  <c r="L947" i="16"/>
  <c r="L948" i="16"/>
  <c r="L949" i="16"/>
  <c r="L950" i="16"/>
  <c r="L951" i="16"/>
  <c r="L952" i="16"/>
  <c r="L953" i="16"/>
  <c r="L954" i="16"/>
  <c r="L955" i="16"/>
  <c r="L956" i="16"/>
  <c r="L957" i="16"/>
  <c r="L958" i="16"/>
  <c r="L959" i="16"/>
  <c r="L960" i="16"/>
  <c r="L961" i="16"/>
  <c r="L962" i="16"/>
  <c r="L963" i="16"/>
  <c r="L964" i="16"/>
  <c r="L965" i="16"/>
  <c r="L966" i="16"/>
  <c r="L967" i="16"/>
  <c r="L968" i="16"/>
  <c r="L969" i="16"/>
  <c r="L970" i="16"/>
  <c r="L971" i="16"/>
  <c r="L972" i="16"/>
  <c r="L973" i="16"/>
  <c r="L974" i="16"/>
  <c r="L975" i="16"/>
  <c r="L976" i="16"/>
  <c r="L977" i="16"/>
  <c r="L978" i="16"/>
  <c r="L979" i="16"/>
  <c r="L980" i="16"/>
  <c r="L981" i="16"/>
  <c r="L982" i="16"/>
  <c r="L983" i="16"/>
  <c r="L984" i="16"/>
  <c r="L985" i="16"/>
  <c r="L986" i="16"/>
  <c r="L987" i="16"/>
  <c r="L988" i="16"/>
  <c r="L989" i="16"/>
  <c r="L990" i="16"/>
  <c r="L991" i="16"/>
  <c r="L992" i="16"/>
  <c r="L993" i="16"/>
  <c r="L994" i="16"/>
  <c r="L995" i="16"/>
  <c r="L996" i="16"/>
  <c r="L997" i="16"/>
  <c r="L998" i="16"/>
  <c r="L999" i="16"/>
  <c r="L1000" i="16"/>
  <c r="L1001" i="16"/>
  <c r="L1002" i="16"/>
  <c r="L1003" i="16"/>
  <c r="L1004" i="16"/>
  <c r="L1005" i="16"/>
  <c r="L1006" i="16"/>
  <c r="L1007" i="16"/>
  <c r="L1008" i="16"/>
  <c r="L1009" i="16"/>
  <c r="L1010" i="16"/>
  <c r="L1011" i="16"/>
  <c r="L1012" i="16"/>
  <c r="L1013" i="16"/>
  <c r="L1014" i="16"/>
  <c r="L1015" i="16"/>
  <c r="L1016" i="16"/>
  <c r="L1017" i="16"/>
  <c r="L1018" i="16"/>
  <c r="L1019" i="16"/>
  <c r="L1020" i="16"/>
  <c r="L1021" i="16"/>
  <c r="L1022" i="16"/>
  <c r="L1023" i="16"/>
  <c r="L1024" i="16"/>
  <c r="L1025" i="16"/>
  <c r="L1026" i="16"/>
  <c r="L1027" i="16"/>
  <c r="L1028" i="16"/>
  <c r="L1029" i="16"/>
  <c r="L1030" i="16"/>
  <c r="L1031" i="16"/>
  <c r="L1032" i="16"/>
  <c r="L1033" i="16"/>
  <c r="L1034" i="16"/>
  <c r="L1035" i="16"/>
  <c r="L1036" i="16"/>
  <c r="L1037" i="16"/>
  <c r="L1038" i="16"/>
  <c r="L1039" i="16"/>
  <c r="L1040" i="16"/>
  <c r="L1041" i="16"/>
  <c r="L1042" i="16"/>
  <c r="L1043" i="16"/>
  <c r="L1044" i="16"/>
  <c r="L1045" i="16"/>
  <c r="L1046" i="16"/>
  <c r="L1047" i="16"/>
  <c r="L1048" i="16"/>
  <c r="L1049" i="16"/>
  <c r="L1050" i="16"/>
  <c r="L1051" i="16"/>
  <c r="L1052" i="16"/>
  <c r="L1053" i="16"/>
  <c r="L1054" i="16"/>
  <c r="L1055" i="16"/>
  <c r="L1056" i="16"/>
  <c r="L1057" i="16"/>
  <c r="L1058" i="16"/>
  <c r="L1059" i="16"/>
  <c r="L1060" i="16"/>
  <c r="L1061" i="16"/>
  <c r="L1062" i="16"/>
  <c r="L1063" i="16"/>
  <c r="L1064" i="16"/>
  <c r="L1065" i="16"/>
  <c r="L1066" i="16"/>
  <c r="L1067" i="16"/>
  <c r="L1068" i="16"/>
  <c r="L1069" i="16"/>
  <c r="L1070" i="16"/>
  <c r="L1071" i="16"/>
  <c r="L1072" i="16"/>
  <c r="L1073" i="16"/>
  <c r="L1074" i="16"/>
  <c r="L1075" i="16"/>
  <c r="L1076" i="16"/>
  <c r="L1077" i="16"/>
  <c r="L1078" i="16"/>
  <c r="L1079" i="16"/>
  <c r="L1080" i="16"/>
  <c r="L1081" i="16"/>
  <c r="L1082" i="16"/>
  <c r="L1083" i="16"/>
  <c r="L1084" i="16"/>
  <c r="L1085" i="16"/>
  <c r="L1086" i="16"/>
  <c r="L1087" i="16"/>
  <c r="L1088" i="16"/>
  <c r="L1089" i="16"/>
  <c r="L1090" i="16"/>
  <c r="L1091" i="16"/>
  <c r="L1092" i="16"/>
  <c r="L1093" i="16"/>
  <c r="L1094" i="16"/>
  <c r="L1095" i="16"/>
  <c r="L1096" i="16"/>
  <c r="L1097" i="16"/>
  <c r="L1098" i="16"/>
  <c r="L1099" i="16"/>
  <c r="L1100" i="16"/>
  <c r="L1101" i="16"/>
  <c r="L1102" i="16"/>
  <c r="L1103" i="16"/>
  <c r="L1104" i="16"/>
  <c r="L1105" i="16"/>
  <c r="L1106" i="16"/>
  <c r="L1107" i="16"/>
  <c r="L1108" i="16"/>
  <c r="L1109" i="16"/>
  <c r="L1110" i="16"/>
  <c r="L1111" i="16"/>
  <c r="L1112" i="16"/>
  <c r="L1113" i="16"/>
  <c r="L1114" i="16"/>
  <c r="L1115" i="16"/>
  <c r="L1116" i="16"/>
  <c r="L1117" i="16"/>
  <c r="L1118" i="16"/>
  <c r="L1119" i="16"/>
  <c r="L1120" i="16"/>
  <c r="L1121" i="16"/>
  <c r="L1122" i="16"/>
  <c r="L1123" i="16"/>
  <c r="L1124" i="16"/>
  <c r="L1125" i="16"/>
  <c r="L1126" i="16"/>
  <c r="L1127" i="16"/>
  <c r="L1128" i="16"/>
  <c r="L1129" i="16"/>
  <c r="L1130" i="16"/>
  <c r="L1131" i="16"/>
  <c r="L1132" i="16"/>
  <c r="L1133" i="16"/>
  <c r="L1134" i="16"/>
  <c r="L1135" i="16"/>
  <c r="L1136" i="16"/>
  <c r="L1137" i="16"/>
  <c r="L1138" i="16"/>
  <c r="L1139" i="16"/>
  <c r="L1140" i="16"/>
  <c r="L1141" i="16"/>
  <c r="L1142" i="16"/>
  <c r="L1143" i="16"/>
  <c r="L1144" i="16"/>
  <c r="L1145" i="16"/>
  <c r="L1146" i="16"/>
  <c r="L1147" i="16"/>
  <c r="L1148" i="16"/>
  <c r="L1149" i="16"/>
  <c r="L1150" i="16"/>
  <c r="L1151" i="16"/>
  <c r="L1152" i="16"/>
  <c r="L1153" i="16"/>
  <c r="L1154" i="16"/>
  <c r="L1155" i="16"/>
  <c r="L1156" i="16"/>
  <c r="L1157" i="16"/>
  <c r="L1158" i="16"/>
  <c r="L1159" i="16"/>
  <c r="L1160" i="16"/>
  <c r="L1161" i="16"/>
  <c r="L1162" i="16"/>
  <c r="L1163" i="16"/>
  <c r="L1164" i="16"/>
  <c r="L1165" i="16"/>
  <c r="L1166" i="16"/>
  <c r="L1167" i="16"/>
  <c r="L1168" i="16"/>
  <c r="L1169" i="16"/>
  <c r="L1170" i="16"/>
  <c r="L1171" i="16"/>
  <c r="L1172" i="16"/>
  <c r="L1173" i="16"/>
  <c r="L1174" i="16"/>
  <c r="L1175" i="16"/>
  <c r="L1176" i="16"/>
  <c r="L1177" i="16"/>
  <c r="L1178" i="16"/>
  <c r="L1179" i="16"/>
  <c r="L1180" i="16"/>
  <c r="L1181" i="16"/>
  <c r="L1182" i="16"/>
  <c r="L1183" i="16"/>
  <c r="L1184" i="16"/>
  <c r="L1185" i="16"/>
  <c r="L1186" i="16"/>
  <c r="L1187" i="16"/>
  <c r="L1188" i="16"/>
  <c r="L1189" i="16"/>
  <c r="L1190" i="16"/>
  <c r="L1191" i="16"/>
  <c r="L1192" i="16"/>
  <c r="L1193" i="16"/>
  <c r="L1194" i="16"/>
  <c r="L1195" i="16"/>
  <c r="L1196" i="16"/>
  <c r="L1197" i="16"/>
  <c r="L1198" i="16"/>
  <c r="L1199" i="16"/>
  <c r="L1200" i="16"/>
  <c r="L1201" i="16"/>
  <c r="L1202" i="16"/>
  <c r="L1203" i="16"/>
  <c r="L1204" i="16"/>
  <c r="L1205" i="16"/>
  <c r="L1206" i="16"/>
  <c r="L1207" i="16"/>
  <c r="L1208" i="16"/>
  <c r="L1209" i="16"/>
  <c r="L1210" i="16"/>
  <c r="L1211" i="16"/>
  <c r="L1212" i="16"/>
  <c r="L1213" i="16"/>
  <c r="L1214" i="16"/>
  <c r="L1215" i="16"/>
  <c r="L1216" i="16"/>
  <c r="L1217" i="16"/>
  <c r="L1218" i="16"/>
  <c r="L1219" i="16"/>
  <c r="L1220" i="16"/>
  <c r="L1221" i="16"/>
  <c r="L1222" i="16"/>
  <c r="L1223" i="16"/>
  <c r="L1224" i="16"/>
  <c r="L1225" i="16"/>
  <c r="L1226" i="16"/>
  <c r="L1227" i="16"/>
  <c r="L1228" i="16"/>
  <c r="L1229" i="16"/>
  <c r="L1230" i="16"/>
  <c r="L1231" i="16"/>
  <c r="L1232" i="16"/>
  <c r="L1233" i="16"/>
  <c r="L1234" i="16"/>
  <c r="L1235" i="16"/>
  <c r="L1236" i="16"/>
  <c r="L1237" i="16"/>
  <c r="L1238" i="16"/>
  <c r="L1239" i="16"/>
  <c r="L1240" i="16"/>
  <c r="L1241" i="16"/>
  <c r="L1242" i="16"/>
  <c r="L1243" i="16"/>
  <c r="L1244" i="16"/>
  <c r="L1245" i="16"/>
  <c r="L1246" i="16"/>
  <c r="L1247" i="16"/>
  <c r="L1248" i="16"/>
  <c r="L1249" i="16"/>
  <c r="L1250" i="16"/>
  <c r="L1251" i="16"/>
  <c r="L1252" i="16"/>
  <c r="L1253" i="16"/>
  <c r="L1254" i="16"/>
  <c r="L1255" i="16"/>
  <c r="L1256" i="16"/>
  <c r="L1257" i="16"/>
  <c r="L1258" i="16"/>
  <c r="L1259" i="16"/>
  <c r="L1260" i="16"/>
  <c r="L1261" i="16"/>
  <c r="L1262" i="16"/>
  <c r="L1263" i="16"/>
  <c r="L1264" i="16"/>
  <c r="L1265" i="16"/>
  <c r="L1266" i="16"/>
  <c r="L1267" i="16"/>
  <c r="L1268" i="16"/>
  <c r="L1269" i="16"/>
  <c r="L1270" i="16"/>
  <c r="L1271" i="16"/>
  <c r="L1272" i="16"/>
  <c r="L1273" i="16"/>
  <c r="L1274" i="16"/>
  <c r="L1275" i="16"/>
  <c r="L1276" i="16"/>
  <c r="L1277" i="16"/>
  <c r="L1278" i="16"/>
  <c r="L1279" i="16"/>
  <c r="L1280" i="16"/>
  <c r="L1281" i="16"/>
  <c r="L1282" i="16"/>
  <c r="L1283" i="16"/>
  <c r="L1284" i="16"/>
  <c r="L1285" i="16"/>
  <c r="L1286" i="16"/>
  <c r="L1287" i="16"/>
  <c r="L1288" i="16"/>
  <c r="L1289" i="16"/>
  <c r="L1290" i="16"/>
  <c r="L1291" i="16"/>
  <c r="L1292" i="16"/>
  <c r="L1293" i="16"/>
  <c r="L1294" i="16"/>
  <c r="L1295" i="16"/>
  <c r="L1296" i="16"/>
  <c r="L1297" i="16"/>
  <c r="L1298" i="16"/>
  <c r="L1299" i="16"/>
  <c r="L1300" i="16"/>
  <c r="L1301" i="16"/>
  <c r="L1302" i="16"/>
  <c r="L1303" i="16"/>
  <c r="L1304" i="16"/>
  <c r="L1305" i="16"/>
  <c r="L1306" i="16"/>
  <c r="L1307" i="16"/>
  <c r="L1308" i="16"/>
  <c r="L1309" i="16"/>
  <c r="L1310" i="16"/>
  <c r="L1311" i="16"/>
  <c r="L1312" i="16"/>
  <c r="L1313" i="16"/>
  <c r="L1314" i="16"/>
  <c r="L1315" i="16"/>
  <c r="L1316" i="16"/>
  <c r="L1317" i="16"/>
  <c r="L1318" i="16"/>
  <c r="L1319" i="16"/>
  <c r="L1320" i="16"/>
  <c r="L1321" i="16"/>
  <c r="L1322" i="16"/>
  <c r="L1323" i="16"/>
  <c r="L1324" i="16"/>
  <c r="L1325" i="16"/>
  <c r="L1326" i="16"/>
  <c r="L1327" i="16"/>
  <c r="L1328" i="16"/>
  <c r="L1329" i="16"/>
  <c r="L1330" i="16"/>
  <c r="L1331" i="16"/>
  <c r="L1332" i="16"/>
  <c r="L1333" i="16"/>
  <c r="L1334" i="16"/>
  <c r="L1335" i="16"/>
  <c r="L1336" i="16"/>
  <c r="L1337" i="16"/>
  <c r="L1338" i="16"/>
  <c r="L1339" i="16"/>
  <c r="L1340" i="16"/>
  <c r="L1341" i="16"/>
  <c r="L1342" i="16"/>
  <c r="L1343" i="16"/>
  <c r="L1344" i="16"/>
  <c r="L1345" i="16"/>
  <c r="L1346" i="16"/>
  <c r="L1347" i="16"/>
  <c r="L1348" i="16"/>
  <c r="L1349" i="16"/>
  <c r="L1350" i="16"/>
  <c r="L1351" i="16"/>
  <c r="L1352" i="16"/>
  <c r="L1353" i="16"/>
  <c r="L1354" i="16"/>
  <c r="L1355" i="16"/>
  <c r="L1356" i="16"/>
  <c r="L1357" i="16"/>
  <c r="L1358" i="16"/>
  <c r="L1359" i="16"/>
  <c r="L1360" i="16"/>
  <c r="L1361" i="16"/>
  <c r="L1362" i="16"/>
  <c r="L1363" i="16"/>
  <c r="L1364" i="16"/>
  <c r="L1365" i="16"/>
  <c r="L1366" i="16"/>
  <c r="L1367" i="16"/>
  <c r="L1368" i="16"/>
  <c r="L1369" i="16"/>
  <c r="L1370" i="16"/>
  <c r="L1371" i="16"/>
  <c r="L1372" i="16"/>
  <c r="L1373" i="16"/>
  <c r="L1374" i="16"/>
  <c r="L1375" i="16"/>
  <c r="L1376" i="16"/>
  <c r="L1377" i="16"/>
  <c r="L1378" i="16"/>
  <c r="L1379" i="16"/>
  <c r="L1380" i="16"/>
  <c r="L1381" i="16"/>
  <c r="L1382" i="16"/>
  <c r="L1383" i="16"/>
  <c r="L1384" i="16"/>
  <c r="L1385" i="16"/>
  <c r="L1386" i="16"/>
  <c r="L1387" i="16"/>
  <c r="L1388" i="16"/>
  <c r="L1389" i="16"/>
  <c r="L1390" i="16"/>
  <c r="L1391" i="16"/>
  <c r="L1392" i="16"/>
  <c r="L1393" i="16"/>
  <c r="L1394" i="16"/>
  <c r="L1395" i="16"/>
  <c r="L1396" i="16"/>
  <c r="L1397" i="16"/>
  <c r="L1398" i="16"/>
  <c r="L1399" i="16"/>
  <c r="L1400" i="16"/>
  <c r="L1401" i="16"/>
  <c r="L1402" i="16"/>
  <c r="L1403" i="16"/>
  <c r="L1404" i="16"/>
  <c r="L1405" i="16"/>
  <c r="L1406" i="16"/>
  <c r="L1407" i="16"/>
  <c r="L1408" i="16"/>
  <c r="L1409" i="16"/>
  <c r="L1410" i="16"/>
  <c r="L1411" i="16"/>
  <c r="L1412" i="16"/>
  <c r="L1413" i="16"/>
  <c r="L1414" i="16"/>
  <c r="L1415" i="16"/>
  <c r="L1416" i="16"/>
  <c r="L1417" i="16"/>
  <c r="L1418" i="16"/>
  <c r="L1419" i="16"/>
  <c r="L1420" i="16"/>
  <c r="L1421" i="16"/>
  <c r="L1422" i="16"/>
  <c r="L1423" i="16"/>
  <c r="L1424" i="16"/>
  <c r="L1425" i="16"/>
  <c r="L1426" i="16"/>
  <c r="L1427" i="16"/>
  <c r="L1428" i="16"/>
  <c r="L1429" i="16"/>
  <c r="L1430" i="16"/>
  <c r="L1431" i="16"/>
  <c r="L1432" i="16"/>
  <c r="L1433" i="16"/>
  <c r="L1434" i="16"/>
  <c r="L1435" i="16"/>
  <c r="L1436" i="16"/>
  <c r="L1437" i="16"/>
  <c r="L1438" i="16"/>
  <c r="L1439" i="16"/>
  <c r="L1440" i="16"/>
  <c r="L1441" i="16"/>
  <c r="L1442" i="16"/>
  <c r="L1443" i="16"/>
  <c r="L1444" i="16"/>
  <c r="L1445" i="16"/>
  <c r="L1446" i="16"/>
  <c r="L1447" i="16"/>
  <c r="L1448" i="16"/>
  <c r="L1449" i="16"/>
  <c r="L1450" i="16"/>
  <c r="L1451" i="16"/>
  <c r="L1452" i="16"/>
  <c r="L1453" i="16"/>
  <c r="L1454" i="16"/>
  <c r="L1455" i="16"/>
  <c r="L1456" i="16"/>
  <c r="L1457" i="16"/>
  <c r="L1458" i="16"/>
  <c r="L1459" i="16"/>
  <c r="L1460" i="16"/>
  <c r="L1461" i="16"/>
  <c r="L1462" i="16"/>
  <c r="L1463" i="16"/>
  <c r="L1464" i="16"/>
  <c r="L1465" i="16"/>
  <c r="L1466" i="16"/>
  <c r="L1467" i="16"/>
  <c r="L1468" i="16"/>
  <c r="L1469" i="16"/>
  <c r="L1470" i="16"/>
  <c r="L1471" i="16"/>
  <c r="L1472" i="16"/>
  <c r="L1473" i="16"/>
  <c r="L1474" i="16"/>
  <c r="L1475" i="16"/>
  <c r="L1476" i="16"/>
  <c r="L1477" i="16"/>
  <c r="L1478" i="16"/>
  <c r="L1479" i="16"/>
  <c r="L1480" i="16"/>
  <c r="L1481" i="16"/>
  <c r="L1482" i="16"/>
  <c r="L1483" i="16"/>
  <c r="L1484" i="16"/>
  <c r="L1485" i="16"/>
  <c r="L1486" i="16"/>
  <c r="L1487" i="16"/>
  <c r="L1488" i="16"/>
  <c r="L1489" i="16"/>
  <c r="L1490" i="16"/>
  <c r="L1491" i="16"/>
  <c r="L1492" i="16"/>
  <c r="L1493" i="16"/>
  <c r="L1494" i="16"/>
  <c r="L1495" i="16"/>
  <c r="L1496" i="16"/>
  <c r="L1497" i="16"/>
  <c r="L1498" i="16"/>
  <c r="L1499" i="16"/>
  <c r="L1500" i="16"/>
  <c r="L1501" i="16"/>
  <c r="L1502" i="16"/>
  <c r="L1503" i="16"/>
  <c r="L1504" i="16"/>
  <c r="L1505" i="16"/>
  <c r="L1506" i="16"/>
  <c r="L1507" i="16"/>
  <c r="L1508" i="16"/>
  <c r="L1509" i="16"/>
  <c r="L1510" i="16"/>
  <c r="L1511" i="16"/>
  <c r="L1512" i="16"/>
  <c r="L1513" i="16"/>
  <c r="L1514" i="16"/>
  <c r="L1515" i="16"/>
  <c r="L1516" i="16"/>
  <c r="L1517" i="16"/>
  <c r="L1518" i="16"/>
  <c r="L1519" i="16"/>
  <c r="L1520" i="16"/>
  <c r="L1521" i="16"/>
  <c r="L1522" i="16"/>
  <c r="L1523" i="16"/>
  <c r="L1524" i="16"/>
  <c r="L1525" i="16"/>
  <c r="L1526" i="16"/>
  <c r="L1527" i="16"/>
  <c r="L1528" i="16"/>
  <c r="L1529" i="16"/>
  <c r="L1530" i="16"/>
  <c r="L1531" i="16"/>
  <c r="L1532" i="16"/>
  <c r="L1533" i="16"/>
  <c r="L1534" i="16"/>
  <c r="L1535" i="16"/>
  <c r="L1536" i="16"/>
  <c r="L1537" i="16"/>
  <c r="L1538" i="16"/>
  <c r="L1539" i="16"/>
  <c r="L1540" i="16"/>
  <c r="L1541" i="16"/>
  <c r="L1542" i="16"/>
  <c r="L1543" i="16"/>
  <c r="L1544" i="16"/>
  <c r="L1545" i="16"/>
  <c r="L1546" i="16"/>
  <c r="L1547" i="16"/>
  <c r="L1548" i="16"/>
  <c r="L1549" i="16"/>
  <c r="L1550" i="16"/>
  <c r="L1551" i="16"/>
  <c r="L1552" i="16"/>
  <c r="L1553" i="16"/>
  <c r="L1554" i="16"/>
  <c r="L1555" i="16"/>
  <c r="L1556" i="16"/>
  <c r="L1557" i="16"/>
  <c r="L1558" i="16"/>
  <c r="L1559" i="16"/>
  <c r="L1560" i="16"/>
  <c r="L1561" i="16"/>
  <c r="L1562" i="16"/>
  <c r="L1563" i="16"/>
  <c r="L1564" i="16"/>
  <c r="L1565" i="16"/>
  <c r="L1566" i="16"/>
  <c r="L1567" i="16"/>
  <c r="L1568" i="16"/>
  <c r="L1569" i="16"/>
  <c r="L1570" i="16"/>
  <c r="L1571" i="16"/>
  <c r="L1572" i="16"/>
  <c r="L1573" i="16"/>
  <c r="L1574" i="16"/>
  <c r="L1575" i="16"/>
  <c r="L1576" i="16"/>
  <c r="L1577" i="16"/>
  <c r="L1578" i="16"/>
  <c r="L1579" i="16"/>
  <c r="L1580" i="16"/>
  <c r="L1581" i="16"/>
  <c r="L1582" i="16"/>
  <c r="L1583" i="16"/>
  <c r="L1584" i="16"/>
  <c r="L1585" i="16"/>
  <c r="L1586" i="16"/>
  <c r="L1587" i="16"/>
  <c r="L1588" i="16"/>
  <c r="L1589" i="16"/>
  <c r="L1590" i="16"/>
  <c r="L1591" i="16"/>
  <c r="L1592" i="16"/>
  <c r="L1593" i="16"/>
  <c r="L1594" i="16"/>
  <c r="L1595" i="16"/>
  <c r="L1596" i="16"/>
  <c r="L1597" i="16"/>
  <c r="L1598" i="16"/>
  <c r="L1599" i="16"/>
  <c r="L1600" i="16"/>
  <c r="L1601" i="16"/>
  <c r="L1602" i="16"/>
  <c r="L1603" i="16"/>
  <c r="L1604" i="16"/>
  <c r="L1605" i="16"/>
  <c r="L1606" i="16"/>
  <c r="L1607" i="16"/>
  <c r="L1608" i="16"/>
  <c r="L1609" i="16"/>
  <c r="L1610" i="16"/>
  <c r="L1611" i="16"/>
  <c r="L1612" i="16"/>
  <c r="L1613" i="16"/>
  <c r="L1614" i="16"/>
  <c r="L1615" i="16"/>
  <c r="L1616" i="16"/>
  <c r="L1617" i="16"/>
  <c r="L1618" i="16"/>
  <c r="L1619" i="16"/>
  <c r="L1620" i="16"/>
  <c r="L1621" i="16"/>
  <c r="L1622" i="16"/>
  <c r="L1623" i="16"/>
  <c r="L1624" i="16"/>
  <c r="L1625" i="16"/>
  <c r="L1626" i="16"/>
  <c r="L1627" i="16"/>
  <c r="L1628" i="16"/>
  <c r="L1629" i="16"/>
  <c r="L1630" i="16"/>
  <c r="L1631" i="16"/>
  <c r="L1632" i="16"/>
  <c r="L1633" i="16"/>
  <c r="L1634" i="16"/>
  <c r="L1635" i="16"/>
  <c r="L1636" i="16"/>
  <c r="L1637" i="16"/>
  <c r="L1638" i="16"/>
  <c r="L1639" i="16"/>
  <c r="L1640" i="16"/>
  <c r="L1641" i="16"/>
  <c r="L1642" i="16"/>
  <c r="L1643" i="16"/>
  <c r="L1644" i="16"/>
  <c r="L1645" i="16"/>
  <c r="L1646" i="16"/>
  <c r="L1647" i="16"/>
  <c r="L1648" i="16"/>
  <c r="L1649" i="16"/>
  <c r="L1650" i="16"/>
  <c r="L1651" i="16"/>
  <c r="L1652" i="16"/>
  <c r="L1653" i="16"/>
  <c r="L1654" i="16"/>
  <c r="L1655" i="16"/>
  <c r="L1656" i="16"/>
  <c r="L1657" i="16"/>
  <c r="L1658" i="16"/>
  <c r="L1659" i="16"/>
  <c r="L1660" i="16"/>
  <c r="L1661" i="16"/>
  <c r="L1662" i="16"/>
  <c r="L1663" i="16"/>
  <c r="L1664" i="16"/>
  <c r="L1665" i="16"/>
  <c r="L1666" i="16"/>
  <c r="L1667" i="16"/>
  <c r="L1668" i="16"/>
  <c r="L1669" i="16"/>
  <c r="L1670" i="16"/>
  <c r="L1671" i="16"/>
  <c r="L1672" i="16"/>
  <c r="L1673" i="16"/>
  <c r="L1674" i="16"/>
  <c r="L1675" i="16"/>
  <c r="L1676" i="16"/>
  <c r="L1677" i="16"/>
  <c r="L1678" i="16"/>
  <c r="L1679" i="16"/>
  <c r="L1680" i="16"/>
  <c r="L1681" i="16"/>
  <c r="L1682" i="16"/>
  <c r="L1683" i="16"/>
  <c r="L1684" i="16"/>
  <c r="L1685" i="16"/>
  <c r="L1686" i="16"/>
  <c r="L1687" i="16"/>
  <c r="L1688" i="16"/>
  <c r="L1689" i="16"/>
  <c r="L1690" i="16"/>
  <c r="L1691" i="16"/>
  <c r="L1692" i="16"/>
  <c r="L1693" i="16"/>
  <c r="L1694" i="16"/>
  <c r="L1695" i="16"/>
  <c r="L1696" i="16"/>
  <c r="L1697" i="16"/>
  <c r="L1698" i="16"/>
  <c r="L1699" i="16"/>
  <c r="L1700" i="16"/>
  <c r="L1701" i="16"/>
  <c r="L1702" i="16"/>
  <c r="L1703" i="16"/>
  <c r="L1704" i="16"/>
  <c r="L1705" i="16"/>
  <c r="L1706" i="16"/>
  <c r="L1707" i="16"/>
  <c r="L1708" i="16"/>
  <c r="L1709" i="16"/>
  <c r="L1710" i="16"/>
  <c r="L1711" i="16"/>
  <c r="L1712" i="16"/>
  <c r="L1713" i="16"/>
  <c r="L1714" i="16"/>
  <c r="L1715" i="16"/>
  <c r="L1716" i="16"/>
  <c r="L1717" i="16"/>
  <c r="L1718" i="16"/>
  <c r="L1719" i="16"/>
  <c r="L1720" i="16"/>
  <c r="L1721" i="16"/>
  <c r="L1722" i="16"/>
  <c r="L1723" i="16"/>
  <c r="L1724" i="16"/>
  <c r="L1725" i="16"/>
  <c r="L1726" i="16"/>
  <c r="L1727" i="16"/>
  <c r="L1728" i="16"/>
  <c r="L1729" i="16"/>
  <c r="L1730" i="16"/>
  <c r="L1731" i="16"/>
  <c r="L1732" i="16"/>
  <c r="L1733" i="16"/>
  <c r="L1734" i="16"/>
  <c r="L1735" i="16"/>
  <c r="L1736" i="16"/>
  <c r="L1737" i="16"/>
  <c r="L1738" i="16"/>
  <c r="L1739" i="16"/>
  <c r="L1740" i="16"/>
  <c r="L1741" i="16"/>
  <c r="L1742" i="16"/>
  <c r="L1743" i="16"/>
  <c r="L1744" i="16"/>
  <c r="L1745" i="16"/>
  <c r="L1746" i="16"/>
  <c r="L1747" i="16"/>
  <c r="L1748" i="16"/>
  <c r="L1749" i="16"/>
  <c r="L1750" i="16"/>
  <c r="L1751" i="16"/>
  <c r="L1752" i="16"/>
  <c r="L1753" i="16"/>
  <c r="L1754" i="16"/>
  <c r="L1755" i="16"/>
  <c r="L1756" i="16"/>
  <c r="L1757" i="16"/>
  <c r="L1758" i="16"/>
  <c r="L1759" i="16"/>
  <c r="L1760" i="16"/>
  <c r="L1761" i="16"/>
  <c r="L1762" i="16"/>
  <c r="L1763" i="16"/>
  <c r="L1764" i="16"/>
  <c r="L1765" i="16"/>
  <c r="L1766" i="16"/>
  <c r="L1767" i="16"/>
  <c r="L1768" i="16"/>
  <c r="L1769" i="16"/>
  <c r="L1770" i="16"/>
  <c r="L1771" i="16"/>
  <c r="L1772" i="16"/>
  <c r="L1773" i="16"/>
  <c r="L1774" i="16"/>
  <c r="L1775" i="16"/>
  <c r="L1776" i="16"/>
  <c r="L1777" i="16"/>
  <c r="L1778" i="16"/>
  <c r="L1779" i="16"/>
  <c r="L1780" i="16"/>
  <c r="L1781" i="16"/>
  <c r="L1782" i="16"/>
  <c r="L1783" i="16"/>
  <c r="L1784" i="16"/>
  <c r="L1785" i="16"/>
  <c r="L1786" i="16"/>
  <c r="L1787" i="16"/>
  <c r="L1788" i="16"/>
  <c r="L1789" i="16"/>
  <c r="L1790" i="16"/>
  <c r="L1791" i="16"/>
  <c r="L1792" i="16"/>
  <c r="L1793" i="16"/>
  <c r="L1794" i="16"/>
  <c r="L1795" i="16"/>
  <c r="L1796" i="16"/>
  <c r="L1797" i="16"/>
  <c r="L1798" i="16"/>
  <c r="L1799" i="16"/>
  <c r="L1800" i="16"/>
  <c r="L1801" i="16"/>
  <c r="L1802" i="16"/>
  <c r="L1803" i="16"/>
  <c r="L1804" i="16"/>
  <c r="L1805" i="16"/>
  <c r="L1806" i="16"/>
  <c r="L1807" i="16"/>
  <c r="L1808" i="16"/>
  <c r="L1809" i="16"/>
  <c r="L1810" i="16"/>
  <c r="L1811" i="16"/>
  <c r="L1812" i="16"/>
  <c r="L1813" i="16"/>
  <c r="L1814" i="16"/>
  <c r="L1815" i="16"/>
  <c r="L1816" i="16"/>
  <c r="L1817" i="16"/>
  <c r="L1818" i="16"/>
  <c r="L1819" i="16"/>
  <c r="L1820" i="16"/>
  <c r="L1821" i="16"/>
  <c r="L1822" i="16"/>
  <c r="L1823" i="16"/>
  <c r="L1824" i="16"/>
  <c r="L1825" i="16"/>
  <c r="L1826" i="16"/>
  <c r="L1827" i="16"/>
  <c r="L1828" i="16"/>
  <c r="L1829" i="16"/>
  <c r="L1830" i="16"/>
  <c r="L1831" i="16"/>
  <c r="L1832" i="16"/>
  <c r="L1833" i="16"/>
  <c r="L1834" i="16"/>
  <c r="L1835" i="16"/>
  <c r="L1836" i="16"/>
  <c r="L1837" i="16"/>
  <c r="L1838" i="16"/>
  <c r="L1839" i="16"/>
  <c r="L1840" i="16"/>
  <c r="L1841" i="16"/>
  <c r="L1842" i="16"/>
  <c r="L1843" i="16"/>
  <c r="L1844" i="16"/>
  <c r="L1845" i="16"/>
  <c r="L1846" i="16"/>
  <c r="L1847" i="16"/>
  <c r="L1848" i="16"/>
  <c r="L1849" i="16"/>
  <c r="L1850" i="16"/>
  <c r="L1851" i="16"/>
  <c r="L1852" i="16"/>
  <c r="L1853" i="16"/>
  <c r="L1854" i="16"/>
  <c r="L1855" i="16"/>
  <c r="L1856" i="16"/>
  <c r="L1857" i="16"/>
  <c r="L1858" i="16"/>
  <c r="L1859" i="16"/>
  <c r="L1860" i="16"/>
  <c r="L1861" i="16"/>
  <c r="L1862" i="16"/>
  <c r="L1863" i="16"/>
  <c r="L1864" i="16"/>
  <c r="L1865" i="16"/>
  <c r="L1866" i="16"/>
  <c r="L1867" i="16"/>
  <c r="L1868" i="16"/>
  <c r="L1869" i="16"/>
  <c r="L1870" i="16"/>
  <c r="L1871" i="16"/>
  <c r="L1872" i="16"/>
  <c r="L1873" i="16"/>
  <c r="L1874" i="16"/>
  <c r="L1875" i="16"/>
  <c r="L1876" i="16"/>
  <c r="L1877" i="16"/>
  <c r="L1878" i="16"/>
  <c r="L1879" i="16"/>
  <c r="L1880" i="16"/>
  <c r="L1881" i="16"/>
  <c r="L1882" i="16"/>
  <c r="L1883" i="16"/>
  <c r="L1884" i="16"/>
  <c r="L1885" i="16"/>
  <c r="L1886" i="16"/>
  <c r="L1887" i="16"/>
  <c r="L1888" i="16"/>
  <c r="L1889" i="16"/>
  <c r="L1890" i="16"/>
  <c r="L1891" i="16"/>
  <c r="L1892" i="16"/>
  <c r="L1893" i="16"/>
  <c r="L1894" i="16"/>
  <c r="L1895" i="16"/>
  <c r="L1896" i="16"/>
  <c r="L1897" i="16"/>
  <c r="L1898" i="16"/>
  <c r="L1899" i="16"/>
  <c r="L1900" i="16"/>
  <c r="L1901" i="16"/>
  <c r="L1902" i="16"/>
  <c r="L1903" i="16"/>
  <c r="L1904" i="16"/>
  <c r="L1905" i="16"/>
  <c r="L1906" i="16"/>
  <c r="L1907" i="16"/>
  <c r="L1908" i="16"/>
  <c r="L1909" i="16"/>
  <c r="L1910" i="16"/>
  <c r="L1911" i="16"/>
  <c r="L1912" i="16"/>
  <c r="L1913" i="16"/>
  <c r="L1914" i="16"/>
  <c r="L1915" i="16"/>
  <c r="L1916" i="16"/>
  <c r="L1917" i="16"/>
  <c r="L1918" i="16"/>
  <c r="L1919" i="16"/>
  <c r="L1920" i="16"/>
  <c r="L1921" i="16"/>
  <c r="L1922" i="16"/>
  <c r="L1923" i="16"/>
  <c r="L1924" i="16"/>
  <c r="L1925" i="16"/>
  <c r="L1926" i="16"/>
  <c r="L1927" i="16"/>
  <c r="L1928" i="16"/>
  <c r="L1929" i="16"/>
  <c r="L1930" i="16"/>
  <c r="L1931" i="16"/>
  <c r="L1932" i="16"/>
  <c r="L1933" i="16"/>
  <c r="L1934" i="16"/>
  <c r="L1935" i="16"/>
  <c r="L1936" i="16"/>
  <c r="L1937" i="16"/>
  <c r="L1938" i="16"/>
  <c r="L1939" i="16"/>
  <c r="L1940" i="16"/>
  <c r="L1941" i="16"/>
  <c r="L1942" i="16"/>
  <c r="L1943" i="16"/>
  <c r="L1944" i="16"/>
  <c r="L1945" i="16"/>
  <c r="L1946" i="16"/>
  <c r="L1947" i="16"/>
  <c r="L1948" i="16"/>
  <c r="L1949" i="16"/>
  <c r="L1950" i="16"/>
  <c r="L1951" i="16"/>
  <c r="L1952" i="16"/>
  <c r="L1953" i="16"/>
  <c r="L1954" i="16"/>
  <c r="L1955" i="16"/>
  <c r="L1956" i="16"/>
  <c r="L1957" i="16"/>
  <c r="L1958" i="16"/>
  <c r="L1959" i="16"/>
  <c r="L1960" i="16"/>
  <c r="L1961" i="16"/>
  <c r="L1962" i="16"/>
  <c r="L1963" i="16"/>
  <c r="L1964" i="16"/>
  <c r="L1965" i="16"/>
  <c r="L1966" i="16"/>
  <c r="L1967" i="16"/>
  <c r="L1968" i="16"/>
  <c r="L1969" i="16"/>
  <c r="L1970" i="16"/>
  <c r="L1971" i="16"/>
  <c r="L1972" i="16"/>
  <c r="L1973" i="16"/>
  <c r="L1974" i="16"/>
  <c r="L1975" i="16"/>
  <c r="L1976" i="16"/>
  <c r="L1977" i="16"/>
  <c r="L1978" i="16"/>
  <c r="L1979" i="16"/>
  <c r="L1980" i="16"/>
  <c r="L1981" i="16"/>
  <c r="L1982" i="16"/>
  <c r="L1983" i="16"/>
  <c r="L1984" i="16"/>
  <c r="L1985" i="16"/>
  <c r="L1986" i="16"/>
  <c r="L1987" i="16"/>
  <c r="L1988" i="16"/>
  <c r="L1989" i="16"/>
  <c r="L1990" i="16"/>
  <c r="L1991" i="16"/>
  <c r="L1992" i="16"/>
  <c r="L1993" i="16"/>
  <c r="L1994" i="16"/>
  <c r="L1995" i="16"/>
  <c r="L1996" i="16"/>
  <c r="L1997" i="16"/>
  <c r="L1998" i="16"/>
  <c r="L1999" i="16"/>
  <c r="L2000" i="16"/>
  <c r="L2001" i="16"/>
  <c r="L2002" i="16"/>
  <c r="L2003" i="16"/>
  <c r="L2004" i="16"/>
  <c r="L2005" i="16"/>
  <c r="L2006" i="16"/>
  <c r="L2007" i="16"/>
  <c r="L2008" i="16"/>
  <c r="L2009" i="16"/>
  <c r="L2010" i="16"/>
  <c r="L2011" i="16"/>
  <c r="L2012" i="16"/>
  <c r="L2013" i="16"/>
  <c r="L2014" i="16"/>
  <c r="L2015" i="16"/>
  <c r="L2016" i="16"/>
  <c r="L2017" i="16"/>
  <c r="L2018" i="16"/>
  <c r="L2019" i="16"/>
  <c r="L2020" i="16"/>
  <c r="L2021" i="16"/>
  <c r="L2022" i="16"/>
  <c r="L2023" i="16"/>
  <c r="L2024" i="16"/>
  <c r="L2025" i="16"/>
  <c r="L2026" i="16"/>
  <c r="L2027" i="16"/>
  <c r="L2028" i="16"/>
  <c r="L2029" i="16"/>
  <c r="L2030" i="16"/>
  <c r="L2031" i="16"/>
  <c r="L2032" i="16"/>
  <c r="L2033" i="16"/>
  <c r="L2034" i="16"/>
  <c r="L2035" i="16"/>
  <c r="L2036" i="16"/>
  <c r="L2037" i="16"/>
  <c r="L2038" i="16"/>
  <c r="L2039" i="16"/>
  <c r="L2040" i="16"/>
  <c r="L2041" i="16"/>
  <c r="L2042" i="16"/>
  <c r="L2043" i="16"/>
  <c r="L2044" i="16"/>
  <c r="L2045" i="16"/>
  <c r="L2046" i="16"/>
  <c r="L2047" i="16"/>
  <c r="L2048" i="16"/>
  <c r="L2049" i="16"/>
  <c r="L2050" i="16"/>
  <c r="L2051" i="16"/>
  <c r="L2052" i="16"/>
  <c r="L2053" i="16"/>
  <c r="L2054" i="16"/>
  <c r="L2055" i="16"/>
  <c r="L2056" i="16"/>
  <c r="L2057" i="16"/>
  <c r="L2058" i="16"/>
  <c r="L2059" i="16"/>
  <c r="L2060" i="16"/>
  <c r="L2061" i="16"/>
  <c r="L2062" i="16"/>
  <c r="L2063" i="16"/>
  <c r="L2064" i="16"/>
  <c r="L2065" i="16"/>
  <c r="L2066" i="16"/>
  <c r="L2067" i="16"/>
  <c r="L2068" i="16"/>
  <c r="L2069" i="16"/>
  <c r="L2070" i="16"/>
  <c r="L2071" i="16"/>
  <c r="L2072" i="16"/>
  <c r="L2073" i="16"/>
  <c r="L2074" i="16"/>
  <c r="L2075" i="16"/>
  <c r="L2076" i="16"/>
  <c r="L2077" i="16"/>
  <c r="L2078" i="16"/>
  <c r="L2079" i="16"/>
  <c r="L2080" i="16"/>
  <c r="L2081" i="16"/>
  <c r="L2082" i="16"/>
  <c r="L2083" i="16"/>
  <c r="L2084" i="16"/>
  <c r="L2085" i="16"/>
  <c r="L2086" i="16"/>
  <c r="L2087" i="16"/>
  <c r="L2088" i="16"/>
  <c r="L2089" i="16"/>
  <c r="L2090" i="16"/>
  <c r="L2091" i="16"/>
  <c r="L2092" i="16"/>
  <c r="L2093" i="16"/>
  <c r="L2094" i="16"/>
  <c r="L2095" i="16"/>
  <c r="L2096" i="16"/>
  <c r="L2097" i="16"/>
  <c r="L2098" i="16"/>
  <c r="L2099" i="16"/>
  <c r="L2100" i="16"/>
  <c r="L2101" i="16"/>
  <c r="L2102" i="16"/>
  <c r="L2103" i="16"/>
  <c r="L2104" i="16"/>
  <c r="L2105" i="16"/>
  <c r="L2106" i="16"/>
  <c r="L2107" i="16"/>
  <c r="L2108" i="16"/>
  <c r="L2109" i="16"/>
  <c r="L2110" i="16"/>
  <c r="L2111" i="16"/>
  <c r="L2112" i="16"/>
  <c r="L2113" i="16"/>
  <c r="L2114" i="16"/>
  <c r="L2115" i="16"/>
  <c r="L2116" i="16"/>
  <c r="L2117" i="16"/>
  <c r="L2118" i="16"/>
  <c r="L2119" i="16"/>
  <c r="L2120" i="16"/>
  <c r="L2121" i="16"/>
  <c r="L2122" i="16"/>
  <c r="L2123" i="16"/>
  <c r="L2124" i="16"/>
  <c r="L2125" i="16"/>
  <c r="L2126" i="16"/>
  <c r="L2127" i="16"/>
  <c r="L2128" i="16"/>
  <c r="L2129" i="16"/>
  <c r="L2130" i="16"/>
  <c r="L2131" i="16"/>
  <c r="L2132" i="16"/>
  <c r="L2133" i="16"/>
  <c r="L2134" i="16"/>
  <c r="L2135" i="16"/>
  <c r="L2136" i="16"/>
  <c r="L2137" i="16"/>
  <c r="L2138" i="16"/>
  <c r="L2139" i="16"/>
  <c r="L2140" i="16"/>
  <c r="L2141" i="16"/>
  <c r="L2142" i="16"/>
  <c r="L2143" i="16"/>
  <c r="L2144" i="16"/>
  <c r="L2145" i="16"/>
  <c r="L2146" i="16"/>
  <c r="L2147" i="16"/>
  <c r="L2148" i="16"/>
  <c r="L2149" i="16"/>
  <c r="L2150" i="16"/>
  <c r="L2151" i="16"/>
  <c r="L2152" i="16"/>
  <c r="L2153" i="16"/>
  <c r="L2154" i="16"/>
  <c r="L2155" i="16"/>
  <c r="L2156" i="16"/>
  <c r="L2157" i="16"/>
  <c r="L2158" i="16"/>
  <c r="L2159" i="16"/>
  <c r="L2160" i="16"/>
  <c r="L6" i="16"/>
  <c r="K7" i="16"/>
  <c r="K8" i="16"/>
  <c r="K9" i="16"/>
  <c r="K10" i="16"/>
  <c r="K11" i="16"/>
  <c r="K12" i="16"/>
  <c r="K13" i="16"/>
  <c r="K14" i="16"/>
  <c r="K15" i="16"/>
  <c r="K16" i="16"/>
  <c r="K17" i="16"/>
  <c r="K18" i="16"/>
  <c r="K19" i="16"/>
  <c r="K20" i="16"/>
  <c r="K21" i="16"/>
  <c r="K22" i="16"/>
  <c r="K23" i="16"/>
  <c r="K24" i="16"/>
  <c r="K25" i="16"/>
  <c r="K26" i="16"/>
  <c r="K27" i="16"/>
  <c r="K28" i="16"/>
  <c r="K29" i="16"/>
  <c r="K30" i="16"/>
  <c r="K31" i="16"/>
  <c r="K32" i="16"/>
  <c r="K33" i="16"/>
  <c r="K34" i="16"/>
  <c r="K35" i="16"/>
  <c r="K36" i="16"/>
  <c r="K37" i="16"/>
  <c r="K38" i="16"/>
  <c r="K39" i="16"/>
  <c r="K40" i="16"/>
  <c r="K41" i="16"/>
  <c r="K42" i="16"/>
  <c r="K43" i="16"/>
  <c r="K44" i="16"/>
  <c r="K45" i="16"/>
  <c r="K46" i="16"/>
  <c r="K47" i="16"/>
  <c r="K48" i="16"/>
  <c r="K49" i="16"/>
  <c r="K50" i="16"/>
  <c r="K51" i="16"/>
  <c r="K52" i="16"/>
  <c r="K53" i="16"/>
  <c r="K54" i="16"/>
  <c r="K55" i="16"/>
  <c r="K56" i="16"/>
  <c r="K57" i="16"/>
  <c r="K58" i="16"/>
  <c r="K59" i="16"/>
  <c r="K60" i="16"/>
  <c r="K61" i="16"/>
  <c r="K62" i="16"/>
  <c r="K63" i="16"/>
  <c r="K64" i="16"/>
  <c r="K65" i="16"/>
  <c r="K66" i="16"/>
  <c r="K67" i="16"/>
  <c r="K68" i="16"/>
  <c r="K69" i="16"/>
  <c r="K70" i="16"/>
  <c r="K71" i="16"/>
  <c r="K72" i="16"/>
  <c r="K73" i="16"/>
  <c r="K74" i="16"/>
  <c r="K75" i="16"/>
  <c r="K76" i="16"/>
  <c r="K77" i="16"/>
  <c r="K78" i="16"/>
  <c r="K79" i="16"/>
  <c r="K80" i="16"/>
  <c r="K81" i="16"/>
  <c r="K82" i="16"/>
  <c r="K83" i="16"/>
  <c r="K84" i="16"/>
  <c r="K85" i="16"/>
  <c r="K86" i="16"/>
  <c r="K87" i="16"/>
  <c r="K88" i="16"/>
  <c r="K89" i="16"/>
  <c r="K90" i="16"/>
  <c r="K91" i="16"/>
  <c r="K92" i="16"/>
  <c r="K93" i="16"/>
  <c r="K94" i="16"/>
  <c r="K95" i="16"/>
  <c r="K96" i="16"/>
  <c r="K97" i="16"/>
  <c r="K98" i="16"/>
  <c r="K99" i="16"/>
  <c r="K100" i="16"/>
  <c r="K101" i="16"/>
  <c r="K102" i="16"/>
  <c r="K103" i="16"/>
  <c r="K104" i="16"/>
  <c r="K105" i="16"/>
  <c r="K106" i="16"/>
  <c r="K107" i="16"/>
  <c r="K108" i="16"/>
  <c r="K109" i="16"/>
  <c r="K110" i="16"/>
  <c r="K111" i="16"/>
  <c r="K112" i="16"/>
  <c r="K113" i="16"/>
  <c r="K114" i="16"/>
  <c r="K115" i="16"/>
  <c r="K116" i="16"/>
  <c r="K117" i="16"/>
  <c r="K118" i="16"/>
  <c r="K119" i="16"/>
  <c r="K120" i="16"/>
  <c r="K121" i="16"/>
  <c r="K122" i="16"/>
  <c r="K123" i="16"/>
  <c r="K124" i="16"/>
  <c r="K125" i="16"/>
  <c r="K126" i="16"/>
  <c r="K127" i="16"/>
  <c r="K128" i="16"/>
  <c r="K129" i="16"/>
  <c r="K130" i="16"/>
  <c r="K131" i="16"/>
  <c r="K132" i="16"/>
  <c r="K133" i="16"/>
  <c r="K134" i="16"/>
  <c r="K135" i="16"/>
  <c r="K136" i="16"/>
  <c r="K137" i="16"/>
  <c r="K138" i="16"/>
  <c r="K139" i="16"/>
  <c r="K140" i="16"/>
  <c r="K141" i="16"/>
  <c r="K142" i="16"/>
  <c r="K143" i="16"/>
  <c r="K144" i="16"/>
  <c r="K145" i="16"/>
  <c r="K146" i="16"/>
  <c r="K147" i="16"/>
  <c r="K148" i="16"/>
  <c r="K149" i="16"/>
  <c r="K150" i="16"/>
  <c r="K151" i="16"/>
  <c r="K152" i="16"/>
  <c r="K153" i="16"/>
  <c r="K154" i="16"/>
  <c r="K155" i="16"/>
  <c r="K156" i="16"/>
  <c r="K157" i="16"/>
  <c r="K158" i="16"/>
  <c r="K159" i="16"/>
  <c r="K160" i="16"/>
  <c r="K161" i="16"/>
  <c r="K162" i="16"/>
  <c r="K163" i="16"/>
  <c r="K164" i="16"/>
  <c r="K165" i="16"/>
  <c r="K166" i="16"/>
  <c r="K167" i="16"/>
  <c r="K168" i="16"/>
  <c r="K169" i="16"/>
  <c r="K170" i="16"/>
  <c r="K171" i="16"/>
  <c r="K172" i="16"/>
  <c r="K173" i="16"/>
  <c r="K174" i="16"/>
  <c r="K175" i="16"/>
  <c r="K176" i="16"/>
  <c r="K177" i="16"/>
  <c r="K178" i="16"/>
  <c r="K179" i="16"/>
  <c r="K180" i="16"/>
  <c r="K181" i="16"/>
  <c r="K182" i="16"/>
  <c r="K183" i="16"/>
  <c r="K184" i="16"/>
  <c r="K185" i="16"/>
  <c r="K186" i="16"/>
  <c r="K187" i="16"/>
  <c r="K188" i="16"/>
  <c r="K189" i="16"/>
  <c r="K190" i="16"/>
  <c r="K191" i="16"/>
  <c r="K192" i="16"/>
  <c r="K193" i="16"/>
  <c r="K194" i="16"/>
  <c r="K195" i="16"/>
  <c r="K196" i="16"/>
  <c r="K197" i="16"/>
  <c r="K198" i="16"/>
  <c r="K199" i="16"/>
  <c r="K200" i="16"/>
  <c r="K201" i="16"/>
  <c r="K202" i="16"/>
  <c r="K203" i="16"/>
  <c r="K204" i="16"/>
  <c r="K205" i="16"/>
  <c r="K206" i="16"/>
  <c r="K207" i="16"/>
  <c r="K208" i="16"/>
  <c r="K209" i="16"/>
  <c r="K210" i="16"/>
  <c r="K211" i="16"/>
  <c r="K212" i="16"/>
  <c r="K213" i="16"/>
  <c r="K214" i="16"/>
  <c r="K215" i="16"/>
  <c r="K216" i="16"/>
  <c r="K217" i="16"/>
  <c r="K218" i="16"/>
  <c r="K219" i="16"/>
  <c r="K220" i="16"/>
  <c r="K221" i="16"/>
  <c r="K222" i="16"/>
  <c r="K223" i="16"/>
  <c r="K224" i="16"/>
  <c r="K225" i="16"/>
  <c r="K226" i="16"/>
  <c r="K227" i="16"/>
  <c r="K228" i="16"/>
  <c r="K229" i="16"/>
  <c r="K230" i="16"/>
  <c r="K231" i="16"/>
  <c r="K232" i="16"/>
  <c r="K233" i="16"/>
  <c r="K234" i="16"/>
  <c r="K235" i="16"/>
  <c r="K236" i="16"/>
  <c r="K237" i="16"/>
  <c r="K238" i="16"/>
  <c r="K239" i="16"/>
  <c r="K240" i="16"/>
  <c r="K241" i="16"/>
  <c r="K242" i="16"/>
  <c r="K243" i="16"/>
  <c r="K244" i="16"/>
  <c r="K245" i="16"/>
  <c r="K246" i="16"/>
  <c r="K247" i="16"/>
  <c r="K248" i="16"/>
  <c r="K249" i="16"/>
  <c r="K250" i="16"/>
  <c r="K251" i="16"/>
  <c r="K252" i="16"/>
  <c r="K253" i="16"/>
  <c r="K254" i="16"/>
  <c r="K255" i="16"/>
  <c r="K256" i="16"/>
  <c r="K257" i="16"/>
  <c r="K258" i="16"/>
  <c r="K259" i="16"/>
  <c r="K260" i="16"/>
  <c r="K261" i="16"/>
  <c r="K262" i="16"/>
  <c r="K263" i="16"/>
  <c r="K264" i="16"/>
  <c r="K265" i="16"/>
  <c r="K266" i="16"/>
  <c r="K267" i="16"/>
  <c r="K268" i="16"/>
  <c r="K269" i="16"/>
  <c r="K270" i="16"/>
  <c r="K271" i="16"/>
  <c r="K272" i="16"/>
  <c r="K273" i="16"/>
  <c r="K274" i="16"/>
  <c r="K275" i="16"/>
  <c r="K276" i="16"/>
  <c r="K277" i="16"/>
  <c r="K278" i="16"/>
  <c r="K279" i="16"/>
  <c r="K280" i="16"/>
  <c r="K281" i="16"/>
  <c r="K282" i="16"/>
  <c r="K283" i="16"/>
  <c r="K284" i="16"/>
  <c r="K285" i="16"/>
  <c r="K286" i="16"/>
  <c r="K287" i="16"/>
  <c r="K288" i="16"/>
  <c r="K289" i="16"/>
  <c r="K290" i="16"/>
  <c r="K291" i="16"/>
  <c r="K292" i="16"/>
  <c r="K293" i="16"/>
  <c r="K294" i="16"/>
  <c r="K295" i="16"/>
  <c r="K296" i="16"/>
  <c r="K297" i="16"/>
  <c r="K298" i="16"/>
  <c r="K299" i="16"/>
  <c r="K300" i="16"/>
  <c r="K301" i="16"/>
  <c r="K302" i="16"/>
  <c r="K303" i="16"/>
  <c r="K304" i="16"/>
  <c r="K305" i="16"/>
  <c r="K306" i="16"/>
  <c r="K307" i="16"/>
  <c r="K308" i="16"/>
  <c r="K309" i="16"/>
  <c r="K310" i="16"/>
  <c r="K311" i="16"/>
  <c r="K312" i="16"/>
  <c r="K313" i="16"/>
  <c r="K314" i="16"/>
  <c r="K315" i="16"/>
  <c r="K316" i="16"/>
  <c r="K317" i="16"/>
  <c r="K318" i="16"/>
  <c r="K319" i="16"/>
  <c r="K320" i="16"/>
  <c r="K321" i="16"/>
  <c r="K322" i="16"/>
  <c r="K323" i="16"/>
  <c r="K324" i="16"/>
  <c r="K325" i="16"/>
  <c r="K326" i="16"/>
  <c r="K327" i="16"/>
  <c r="K328" i="16"/>
  <c r="K329" i="16"/>
  <c r="K330" i="16"/>
  <c r="K331" i="16"/>
  <c r="K332" i="16"/>
  <c r="K333" i="16"/>
  <c r="K334" i="16"/>
  <c r="K335" i="16"/>
  <c r="K336" i="16"/>
  <c r="K337" i="16"/>
  <c r="K338" i="16"/>
  <c r="K339" i="16"/>
  <c r="K340" i="16"/>
  <c r="K341" i="16"/>
  <c r="K342" i="16"/>
  <c r="K343" i="16"/>
  <c r="K344" i="16"/>
  <c r="K345" i="16"/>
  <c r="K346" i="16"/>
  <c r="K347" i="16"/>
  <c r="K348" i="16"/>
  <c r="K349" i="16"/>
  <c r="K350" i="16"/>
  <c r="K351" i="16"/>
  <c r="K352" i="16"/>
  <c r="K353" i="16"/>
  <c r="K354" i="16"/>
  <c r="K355" i="16"/>
  <c r="K356" i="16"/>
  <c r="K357" i="16"/>
  <c r="K358" i="16"/>
  <c r="K359" i="16"/>
  <c r="K360" i="16"/>
  <c r="K361" i="16"/>
  <c r="K362" i="16"/>
  <c r="K363" i="16"/>
  <c r="K364" i="16"/>
  <c r="K365" i="16"/>
  <c r="K366" i="16"/>
  <c r="K367" i="16"/>
  <c r="K368" i="16"/>
  <c r="K369" i="16"/>
  <c r="K370" i="16"/>
  <c r="K371" i="16"/>
  <c r="K372" i="16"/>
  <c r="K373" i="16"/>
  <c r="K374" i="16"/>
  <c r="K375" i="16"/>
  <c r="K376" i="16"/>
  <c r="K377" i="16"/>
  <c r="K378" i="16"/>
  <c r="K379" i="16"/>
  <c r="K380" i="16"/>
  <c r="K381" i="16"/>
  <c r="K382" i="16"/>
  <c r="K383" i="16"/>
  <c r="K384" i="16"/>
  <c r="K385" i="16"/>
  <c r="K386" i="16"/>
  <c r="K387" i="16"/>
  <c r="K388" i="16"/>
  <c r="K389" i="16"/>
  <c r="K390" i="16"/>
  <c r="K391" i="16"/>
  <c r="K392" i="16"/>
  <c r="K393" i="16"/>
  <c r="K394" i="16"/>
  <c r="K395" i="16"/>
  <c r="K396" i="16"/>
  <c r="K397" i="16"/>
  <c r="K398" i="16"/>
  <c r="K399" i="16"/>
  <c r="K400" i="16"/>
  <c r="K401" i="16"/>
  <c r="K402" i="16"/>
  <c r="K403" i="16"/>
  <c r="K404" i="16"/>
  <c r="K405" i="16"/>
  <c r="K406" i="16"/>
  <c r="K407" i="16"/>
  <c r="K408" i="16"/>
  <c r="K409" i="16"/>
  <c r="K410" i="16"/>
  <c r="K411" i="16"/>
  <c r="K412" i="16"/>
  <c r="K413" i="16"/>
  <c r="K414" i="16"/>
  <c r="K415" i="16"/>
  <c r="K416" i="16"/>
  <c r="K417" i="16"/>
  <c r="K418" i="16"/>
  <c r="K419" i="16"/>
  <c r="K420" i="16"/>
  <c r="K421" i="16"/>
  <c r="K422" i="16"/>
  <c r="K423" i="16"/>
  <c r="K424" i="16"/>
  <c r="K425" i="16"/>
  <c r="K426" i="16"/>
  <c r="K427" i="16"/>
  <c r="K428" i="16"/>
  <c r="K429" i="16"/>
  <c r="K430" i="16"/>
  <c r="K431" i="16"/>
  <c r="K432" i="16"/>
  <c r="K433" i="16"/>
  <c r="K434" i="16"/>
  <c r="K435" i="16"/>
  <c r="K436" i="16"/>
  <c r="K437" i="16"/>
  <c r="K438" i="16"/>
  <c r="K439" i="16"/>
  <c r="K440" i="16"/>
  <c r="K441" i="16"/>
  <c r="K442" i="16"/>
  <c r="K443" i="16"/>
  <c r="K444" i="16"/>
  <c r="K445" i="16"/>
  <c r="K446" i="16"/>
  <c r="K447" i="16"/>
  <c r="K448" i="16"/>
  <c r="K449" i="16"/>
  <c r="K450" i="16"/>
  <c r="K451" i="16"/>
  <c r="K452" i="16"/>
  <c r="K453" i="16"/>
  <c r="K454" i="16"/>
  <c r="K455" i="16"/>
  <c r="K456" i="16"/>
  <c r="K457" i="16"/>
  <c r="K458" i="16"/>
  <c r="K459" i="16"/>
  <c r="K460" i="16"/>
  <c r="K461" i="16"/>
  <c r="K462" i="16"/>
  <c r="K463" i="16"/>
  <c r="K464" i="16"/>
  <c r="K465" i="16"/>
  <c r="K466" i="16"/>
  <c r="K467" i="16"/>
  <c r="K468" i="16"/>
  <c r="K469" i="16"/>
  <c r="K470" i="16"/>
  <c r="K471" i="16"/>
  <c r="K472" i="16"/>
  <c r="K473" i="16"/>
  <c r="K474" i="16"/>
  <c r="K475" i="16"/>
  <c r="K476" i="16"/>
  <c r="K477" i="16"/>
  <c r="K478" i="16"/>
  <c r="K479" i="16"/>
  <c r="K480" i="16"/>
  <c r="K481" i="16"/>
  <c r="K482" i="16"/>
  <c r="K483" i="16"/>
  <c r="K484" i="16"/>
  <c r="K485" i="16"/>
  <c r="K486" i="16"/>
  <c r="K487" i="16"/>
  <c r="K488" i="16"/>
  <c r="K489" i="16"/>
  <c r="K490" i="16"/>
  <c r="K491" i="16"/>
  <c r="K492" i="16"/>
  <c r="K493" i="16"/>
  <c r="K494" i="16"/>
  <c r="K495" i="16"/>
  <c r="K496" i="16"/>
  <c r="K497" i="16"/>
  <c r="K498" i="16"/>
  <c r="K499" i="16"/>
  <c r="K500" i="16"/>
  <c r="K501" i="16"/>
  <c r="K502" i="16"/>
  <c r="K503" i="16"/>
  <c r="K504" i="16"/>
  <c r="K505" i="16"/>
  <c r="K506" i="16"/>
  <c r="K507" i="16"/>
  <c r="K508" i="16"/>
  <c r="K509" i="16"/>
  <c r="K510" i="16"/>
  <c r="K511" i="16"/>
  <c r="K512" i="16"/>
  <c r="K513" i="16"/>
  <c r="K514" i="16"/>
  <c r="K515" i="16"/>
  <c r="K516" i="16"/>
  <c r="K517" i="16"/>
  <c r="K518" i="16"/>
  <c r="K519" i="16"/>
  <c r="K520" i="16"/>
  <c r="K521" i="16"/>
  <c r="K522" i="16"/>
  <c r="K523" i="16"/>
  <c r="K524" i="16"/>
  <c r="K525" i="16"/>
  <c r="K526" i="16"/>
  <c r="K527" i="16"/>
  <c r="K528" i="16"/>
  <c r="K529" i="16"/>
  <c r="K530" i="16"/>
  <c r="K531" i="16"/>
  <c r="K532" i="16"/>
  <c r="K533" i="16"/>
  <c r="K534" i="16"/>
  <c r="K535" i="16"/>
  <c r="K536" i="16"/>
  <c r="K537" i="16"/>
  <c r="K538" i="16"/>
  <c r="K539" i="16"/>
  <c r="K540" i="16"/>
  <c r="K541" i="16"/>
  <c r="K542" i="16"/>
  <c r="K543" i="16"/>
  <c r="K544" i="16"/>
  <c r="K545" i="16"/>
  <c r="K546" i="16"/>
  <c r="K547" i="16"/>
  <c r="K548" i="16"/>
  <c r="K549" i="16"/>
  <c r="K550" i="16"/>
  <c r="K551" i="16"/>
  <c r="K552" i="16"/>
  <c r="K553" i="16"/>
  <c r="K554" i="16"/>
  <c r="K555" i="16"/>
  <c r="K556" i="16"/>
  <c r="K557" i="16"/>
  <c r="K558" i="16"/>
  <c r="K559" i="16"/>
  <c r="K560" i="16"/>
  <c r="K561" i="16"/>
  <c r="K562" i="16"/>
  <c r="K563" i="16"/>
  <c r="K564" i="16"/>
  <c r="K565" i="16"/>
  <c r="K566" i="16"/>
  <c r="K567" i="16"/>
  <c r="K568" i="16"/>
  <c r="K569" i="16"/>
  <c r="K570" i="16"/>
  <c r="K571" i="16"/>
  <c r="K572" i="16"/>
  <c r="K573" i="16"/>
  <c r="K574" i="16"/>
  <c r="K575" i="16"/>
  <c r="K576" i="16"/>
  <c r="K577" i="16"/>
  <c r="K578" i="16"/>
  <c r="K579" i="16"/>
  <c r="K580" i="16"/>
  <c r="K581" i="16"/>
  <c r="K582" i="16"/>
  <c r="K583" i="16"/>
  <c r="K584" i="16"/>
  <c r="K585" i="16"/>
  <c r="K586" i="16"/>
  <c r="K587" i="16"/>
  <c r="K588" i="16"/>
  <c r="K589" i="16"/>
  <c r="K590" i="16"/>
  <c r="K591" i="16"/>
  <c r="K592" i="16"/>
  <c r="K593" i="16"/>
  <c r="K594" i="16"/>
  <c r="K595" i="16"/>
  <c r="K596" i="16"/>
  <c r="K597" i="16"/>
  <c r="K598" i="16"/>
  <c r="K599" i="16"/>
  <c r="K600" i="16"/>
  <c r="K601" i="16"/>
  <c r="K602" i="16"/>
  <c r="K603" i="16"/>
  <c r="K604" i="16"/>
  <c r="K605" i="16"/>
  <c r="K606" i="16"/>
  <c r="K607" i="16"/>
  <c r="K608" i="16"/>
  <c r="K609" i="16"/>
  <c r="K610" i="16"/>
  <c r="K611" i="16"/>
  <c r="K612" i="16"/>
  <c r="K613" i="16"/>
  <c r="K614" i="16"/>
  <c r="K615" i="16"/>
  <c r="K616" i="16"/>
  <c r="K617" i="16"/>
  <c r="K618" i="16"/>
  <c r="K619" i="16"/>
  <c r="K620" i="16"/>
  <c r="K621" i="16"/>
  <c r="K622" i="16"/>
  <c r="K623" i="16"/>
  <c r="K624" i="16"/>
  <c r="K625" i="16"/>
  <c r="K626" i="16"/>
  <c r="K627" i="16"/>
  <c r="K628" i="16"/>
  <c r="K629" i="16"/>
  <c r="K630" i="16"/>
  <c r="K631" i="16"/>
  <c r="K632" i="16"/>
  <c r="K633" i="16"/>
  <c r="K634" i="16"/>
  <c r="K635" i="16"/>
  <c r="K636" i="16"/>
  <c r="K637" i="16"/>
  <c r="K638" i="16"/>
  <c r="K639" i="16"/>
  <c r="K640" i="16"/>
  <c r="K641" i="16"/>
  <c r="K642" i="16"/>
  <c r="K643" i="16"/>
  <c r="K644" i="16"/>
  <c r="K645" i="16"/>
  <c r="K646" i="16"/>
  <c r="K647" i="16"/>
  <c r="K648" i="16"/>
  <c r="K649" i="16"/>
  <c r="K650" i="16"/>
  <c r="K651" i="16"/>
  <c r="K652" i="16"/>
  <c r="K653" i="16"/>
  <c r="K654" i="16"/>
  <c r="K655" i="16"/>
  <c r="K656" i="16"/>
  <c r="K657" i="16"/>
  <c r="K658" i="16"/>
  <c r="K659" i="16"/>
  <c r="K660" i="16"/>
  <c r="K661" i="16"/>
  <c r="K662" i="16"/>
  <c r="K663" i="16"/>
  <c r="K664" i="16"/>
  <c r="K665" i="16"/>
  <c r="K666" i="16"/>
  <c r="K667" i="16"/>
  <c r="K668" i="16"/>
  <c r="K669" i="16"/>
  <c r="K670" i="16"/>
  <c r="K671" i="16"/>
  <c r="K672" i="16"/>
  <c r="K673" i="16"/>
  <c r="K674" i="16"/>
  <c r="K675" i="16"/>
  <c r="K676" i="16"/>
  <c r="K677" i="16"/>
  <c r="K678" i="16"/>
  <c r="K679" i="16"/>
  <c r="K680" i="16"/>
  <c r="K681" i="16"/>
  <c r="K682" i="16"/>
  <c r="K683" i="16"/>
  <c r="K684" i="16"/>
  <c r="K685" i="16"/>
  <c r="K686" i="16"/>
  <c r="K687" i="16"/>
  <c r="K688" i="16"/>
  <c r="K689" i="16"/>
  <c r="K690" i="16"/>
  <c r="K691" i="16"/>
  <c r="K692" i="16"/>
  <c r="K693" i="16"/>
  <c r="K694" i="16"/>
  <c r="K695" i="16"/>
  <c r="K696" i="16"/>
  <c r="K697" i="16"/>
  <c r="K698" i="16"/>
  <c r="K699" i="16"/>
  <c r="K700" i="16"/>
  <c r="K701" i="16"/>
  <c r="K702" i="16"/>
  <c r="K703" i="16"/>
  <c r="K704" i="16"/>
  <c r="K705" i="16"/>
  <c r="K706" i="16"/>
  <c r="K707" i="16"/>
  <c r="K708" i="16"/>
  <c r="K709" i="16"/>
  <c r="K710" i="16"/>
  <c r="K711" i="16"/>
  <c r="K712" i="16"/>
  <c r="K713" i="16"/>
  <c r="K714" i="16"/>
  <c r="K715" i="16"/>
  <c r="K716" i="16"/>
  <c r="K717" i="16"/>
  <c r="K718" i="16"/>
  <c r="K719" i="16"/>
  <c r="K720" i="16"/>
  <c r="K721" i="16"/>
  <c r="K722" i="16"/>
  <c r="K723" i="16"/>
  <c r="K724" i="16"/>
  <c r="K725" i="16"/>
  <c r="K726" i="16"/>
  <c r="K727" i="16"/>
  <c r="K728" i="16"/>
  <c r="K729" i="16"/>
  <c r="K730" i="16"/>
  <c r="K731" i="16"/>
  <c r="K732" i="16"/>
  <c r="K733" i="16"/>
  <c r="K734" i="16"/>
  <c r="K735" i="16"/>
  <c r="K736" i="16"/>
  <c r="K737" i="16"/>
  <c r="K738" i="16"/>
  <c r="K739" i="16"/>
  <c r="K740" i="16"/>
  <c r="K741" i="16"/>
  <c r="K742" i="16"/>
  <c r="K743" i="16"/>
  <c r="K744" i="16"/>
  <c r="K745" i="16"/>
  <c r="K746" i="16"/>
  <c r="K747" i="16"/>
  <c r="K748" i="16"/>
  <c r="K749" i="16"/>
  <c r="K750" i="16"/>
  <c r="K751" i="16"/>
  <c r="K752" i="16"/>
  <c r="K753" i="16"/>
  <c r="K754" i="16"/>
  <c r="K755" i="16"/>
  <c r="K756" i="16"/>
  <c r="K757" i="16"/>
  <c r="K758" i="16"/>
  <c r="K759" i="16"/>
  <c r="K760" i="16"/>
  <c r="K761" i="16"/>
  <c r="K762" i="16"/>
  <c r="K763" i="16"/>
  <c r="K764" i="16"/>
  <c r="K765" i="16"/>
  <c r="K766" i="16"/>
  <c r="K767" i="16"/>
  <c r="K768" i="16"/>
  <c r="K769" i="16"/>
  <c r="K770" i="16"/>
  <c r="K771" i="16"/>
  <c r="K772" i="16"/>
  <c r="K773" i="16"/>
  <c r="K774" i="16"/>
  <c r="K775" i="16"/>
  <c r="K776" i="16"/>
  <c r="K777" i="16"/>
  <c r="K778" i="16"/>
  <c r="K779" i="16"/>
  <c r="K780" i="16"/>
  <c r="K781" i="16"/>
  <c r="K782" i="16"/>
  <c r="K783" i="16"/>
  <c r="K784" i="16"/>
  <c r="K785" i="16"/>
  <c r="K786" i="16"/>
  <c r="K787" i="16"/>
  <c r="K788" i="16"/>
  <c r="K789" i="16"/>
  <c r="K790" i="16"/>
  <c r="K791" i="16"/>
  <c r="K792" i="16"/>
  <c r="K793" i="16"/>
  <c r="K794" i="16"/>
  <c r="K795" i="16"/>
  <c r="K796" i="16"/>
  <c r="K797" i="16"/>
  <c r="K798" i="16"/>
  <c r="K799" i="16"/>
  <c r="K800" i="16"/>
  <c r="K801" i="16"/>
  <c r="K802" i="16"/>
  <c r="K803" i="16"/>
  <c r="K804" i="16"/>
  <c r="K805" i="16"/>
  <c r="K806" i="16"/>
  <c r="K807" i="16"/>
  <c r="K808" i="16"/>
  <c r="K809" i="16"/>
  <c r="K810" i="16"/>
  <c r="K811" i="16"/>
  <c r="K812" i="16"/>
  <c r="K813" i="16"/>
  <c r="K814" i="16"/>
  <c r="K815" i="16"/>
  <c r="K816" i="16"/>
  <c r="K817" i="16"/>
  <c r="K818" i="16"/>
  <c r="K819" i="16"/>
  <c r="K820" i="16"/>
  <c r="K821" i="16"/>
  <c r="K822" i="16"/>
  <c r="K823" i="16"/>
  <c r="K824" i="16"/>
  <c r="K825" i="16"/>
  <c r="K826" i="16"/>
  <c r="K827" i="16"/>
  <c r="K828" i="16"/>
  <c r="K829" i="16"/>
  <c r="K830" i="16"/>
  <c r="K831" i="16"/>
  <c r="K832" i="16"/>
  <c r="K833" i="16"/>
  <c r="K834" i="16"/>
  <c r="K835" i="16"/>
  <c r="K836" i="16"/>
  <c r="K837" i="16"/>
  <c r="K838" i="16"/>
  <c r="K839" i="16"/>
  <c r="K840" i="16"/>
  <c r="K841" i="16"/>
  <c r="K842" i="16"/>
  <c r="K843" i="16"/>
  <c r="K844" i="16"/>
  <c r="K845" i="16"/>
  <c r="K846" i="16"/>
  <c r="K847" i="16"/>
  <c r="K848" i="16"/>
  <c r="K849" i="16"/>
  <c r="K850" i="16"/>
  <c r="K851" i="16"/>
  <c r="K852" i="16"/>
  <c r="K853" i="16"/>
  <c r="K854" i="16"/>
  <c r="K855" i="16"/>
  <c r="K856" i="16"/>
  <c r="K857" i="16"/>
  <c r="K858" i="16"/>
  <c r="K859" i="16"/>
  <c r="K860" i="16"/>
  <c r="K861" i="16"/>
  <c r="K862" i="16"/>
  <c r="K863" i="16"/>
  <c r="K864" i="16"/>
  <c r="K865" i="16"/>
  <c r="K866" i="16"/>
  <c r="K867" i="16"/>
  <c r="K868" i="16"/>
  <c r="K869" i="16"/>
  <c r="K870" i="16"/>
  <c r="K871" i="16"/>
  <c r="K872" i="16"/>
  <c r="K873" i="16"/>
  <c r="K874" i="16"/>
  <c r="K875" i="16"/>
  <c r="K876" i="16"/>
  <c r="K877" i="16"/>
  <c r="K878" i="16"/>
  <c r="K879" i="16"/>
  <c r="K880" i="16"/>
  <c r="K881" i="16"/>
  <c r="K882" i="16"/>
  <c r="K883" i="16"/>
  <c r="K884" i="16"/>
  <c r="K885" i="16"/>
  <c r="K886" i="16"/>
  <c r="K887" i="16"/>
  <c r="K888" i="16"/>
  <c r="K889" i="16"/>
  <c r="K890" i="16"/>
  <c r="K891" i="16"/>
  <c r="K892" i="16"/>
  <c r="K893" i="16"/>
  <c r="K894" i="16"/>
  <c r="K895" i="16"/>
  <c r="K896" i="16"/>
  <c r="K897" i="16"/>
  <c r="K898" i="16"/>
  <c r="K899" i="16"/>
  <c r="K900" i="16"/>
  <c r="K901" i="16"/>
  <c r="K902" i="16"/>
  <c r="K903" i="16"/>
  <c r="K904" i="16"/>
  <c r="K905" i="16"/>
  <c r="K906" i="16"/>
  <c r="K907" i="16"/>
  <c r="K908" i="16"/>
  <c r="K909" i="16"/>
  <c r="K910" i="16"/>
  <c r="K911" i="16"/>
  <c r="K912" i="16"/>
  <c r="K913" i="16"/>
  <c r="K914" i="16"/>
  <c r="K915" i="16"/>
  <c r="K916" i="16"/>
  <c r="K917" i="16"/>
  <c r="K918" i="16"/>
  <c r="K919" i="16"/>
  <c r="K920" i="16"/>
  <c r="K921" i="16"/>
  <c r="K922" i="16"/>
  <c r="K923" i="16"/>
  <c r="K924" i="16"/>
  <c r="K925" i="16"/>
  <c r="K926" i="16"/>
  <c r="K927" i="16"/>
  <c r="K928" i="16"/>
  <c r="K929" i="16"/>
  <c r="K930" i="16"/>
  <c r="K931" i="16"/>
  <c r="K932" i="16"/>
  <c r="K933" i="16"/>
  <c r="K934" i="16"/>
  <c r="K935" i="16"/>
  <c r="K936" i="16"/>
  <c r="K937" i="16"/>
  <c r="K938" i="16"/>
  <c r="K939" i="16"/>
  <c r="K940" i="16"/>
  <c r="K941" i="16"/>
  <c r="K942" i="16"/>
  <c r="K943" i="16"/>
  <c r="K944" i="16"/>
  <c r="K945" i="16"/>
  <c r="K946" i="16"/>
  <c r="K947" i="16"/>
  <c r="K948" i="16"/>
  <c r="K949" i="16"/>
  <c r="K950" i="16"/>
  <c r="K951" i="16"/>
  <c r="K952" i="16"/>
  <c r="K953" i="16"/>
  <c r="K954" i="16"/>
  <c r="K955" i="16"/>
  <c r="K956" i="16"/>
  <c r="K957" i="16"/>
  <c r="K958" i="16"/>
  <c r="K959" i="16"/>
  <c r="K960" i="16"/>
  <c r="K961" i="16"/>
  <c r="K962" i="16"/>
  <c r="K963" i="16"/>
  <c r="K964" i="16"/>
  <c r="K965" i="16"/>
  <c r="K966" i="16"/>
  <c r="K967" i="16"/>
  <c r="K968" i="16"/>
  <c r="K969" i="16"/>
  <c r="K970" i="16"/>
  <c r="K971" i="16"/>
  <c r="K972" i="16"/>
  <c r="K973" i="16"/>
  <c r="K974" i="16"/>
  <c r="K975" i="16"/>
  <c r="K976" i="16"/>
  <c r="K977" i="16"/>
  <c r="K978" i="16"/>
  <c r="K979" i="16"/>
  <c r="K980" i="16"/>
  <c r="K981" i="16"/>
  <c r="K982" i="16"/>
  <c r="K983" i="16"/>
  <c r="K984" i="16"/>
  <c r="K985" i="16"/>
  <c r="K986" i="16"/>
  <c r="K987" i="16"/>
  <c r="K988" i="16"/>
  <c r="K989" i="16"/>
  <c r="K990" i="16"/>
  <c r="K991" i="16"/>
  <c r="K992" i="16"/>
  <c r="K993" i="16"/>
  <c r="K994" i="16"/>
  <c r="K995" i="16"/>
  <c r="K996" i="16"/>
  <c r="K997" i="16"/>
  <c r="K998" i="16"/>
  <c r="K999" i="16"/>
  <c r="K1000" i="16"/>
  <c r="K1001" i="16"/>
  <c r="K1002" i="16"/>
  <c r="K1003" i="16"/>
  <c r="K1004" i="16"/>
  <c r="K1005" i="16"/>
  <c r="K1006" i="16"/>
  <c r="K1007" i="16"/>
  <c r="K1008" i="16"/>
  <c r="K1009" i="16"/>
  <c r="K1010" i="16"/>
  <c r="K1011" i="16"/>
  <c r="K1012" i="16"/>
  <c r="K1013" i="16"/>
  <c r="K1014" i="16"/>
  <c r="K1015" i="16"/>
  <c r="K1016" i="16"/>
  <c r="K1017" i="16"/>
  <c r="K1018" i="16"/>
  <c r="K1019" i="16"/>
  <c r="K1020" i="16"/>
  <c r="K1021" i="16"/>
  <c r="K1022" i="16"/>
  <c r="K1023" i="16"/>
  <c r="K1024" i="16"/>
  <c r="K1025" i="16"/>
  <c r="K1026" i="16"/>
  <c r="K1027" i="16"/>
  <c r="K1028" i="16"/>
  <c r="K1029" i="16"/>
  <c r="K1030" i="16"/>
  <c r="K1031" i="16"/>
  <c r="K1032" i="16"/>
  <c r="K1033" i="16"/>
  <c r="K1034" i="16"/>
  <c r="K1035" i="16"/>
  <c r="K1036" i="16"/>
  <c r="K1037" i="16"/>
  <c r="K1038" i="16"/>
  <c r="K1039" i="16"/>
  <c r="K1040" i="16"/>
  <c r="K1041" i="16"/>
  <c r="K1042" i="16"/>
  <c r="K1043" i="16"/>
  <c r="K1044" i="16"/>
  <c r="K1045" i="16"/>
  <c r="K1046" i="16"/>
  <c r="K1047" i="16"/>
  <c r="K1048" i="16"/>
  <c r="K1049" i="16"/>
  <c r="K1050" i="16"/>
  <c r="K1051" i="16"/>
  <c r="K1052" i="16"/>
  <c r="K1053" i="16"/>
  <c r="K1054" i="16"/>
  <c r="K1055" i="16"/>
  <c r="K1056" i="16"/>
  <c r="K1057" i="16"/>
  <c r="K1058" i="16"/>
  <c r="K1059" i="16"/>
  <c r="K1060" i="16"/>
  <c r="K1061" i="16"/>
  <c r="K1062" i="16"/>
  <c r="K1063" i="16"/>
  <c r="K1064" i="16"/>
  <c r="K1065" i="16"/>
  <c r="K1066" i="16"/>
  <c r="K1067" i="16"/>
  <c r="K1068" i="16"/>
  <c r="K1069" i="16"/>
  <c r="K1070" i="16"/>
  <c r="K1071" i="16"/>
  <c r="K1072" i="16"/>
  <c r="K1073" i="16"/>
  <c r="K1074" i="16"/>
  <c r="K1075" i="16"/>
  <c r="K1076" i="16"/>
  <c r="K1077" i="16"/>
  <c r="K1078" i="16"/>
  <c r="K1079" i="16"/>
  <c r="K1080" i="16"/>
  <c r="K1081" i="16"/>
  <c r="K1082" i="16"/>
  <c r="K1083" i="16"/>
  <c r="K1084" i="16"/>
  <c r="K1085" i="16"/>
  <c r="K1086" i="16"/>
  <c r="K1087" i="16"/>
  <c r="K1088" i="16"/>
  <c r="K1089" i="16"/>
  <c r="K1090" i="16"/>
  <c r="K1091" i="16"/>
  <c r="K1092" i="16"/>
  <c r="K1093" i="16"/>
  <c r="K1094" i="16"/>
  <c r="K1095" i="16"/>
  <c r="K1096" i="16"/>
  <c r="K1097" i="16"/>
  <c r="K1098" i="16"/>
  <c r="K1099" i="16"/>
  <c r="K1100" i="16"/>
  <c r="K1101" i="16"/>
  <c r="K1102" i="16"/>
  <c r="K1103" i="16"/>
  <c r="K1104" i="16"/>
  <c r="K1105" i="16"/>
  <c r="K1106" i="16"/>
  <c r="K1107" i="16"/>
  <c r="K1108" i="16"/>
  <c r="K1109" i="16"/>
  <c r="K1110" i="16"/>
  <c r="K1111" i="16"/>
  <c r="K1112" i="16"/>
  <c r="K1113" i="16"/>
  <c r="K1114" i="16"/>
  <c r="K1115" i="16"/>
  <c r="K1116" i="16"/>
  <c r="K1117" i="16"/>
  <c r="K1118" i="16"/>
  <c r="K1119" i="16"/>
  <c r="K1120" i="16"/>
  <c r="K1121" i="16"/>
  <c r="K1122" i="16"/>
  <c r="K1123" i="16"/>
  <c r="K1124" i="16"/>
  <c r="K1125" i="16"/>
  <c r="K1126" i="16"/>
  <c r="K1127" i="16"/>
  <c r="K1128" i="16"/>
  <c r="K1129" i="16"/>
  <c r="K1130" i="16"/>
  <c r="K1131" i="16"/>
  <c r="K1132" i="16"/>
  <c r="K1133" i="16"/>
  <c r="K1134" i="16"/>
  <c r="K1135" i="16"/>
  <c r="K1136" i="16"/>
  <c r="K1137" i="16"/>
  <c r="K1138" i="16"/>
  <c r="K1139" i="16"/>
  <c r="K1140" i="16"/>
  <c r="K1141" i="16"/>
  <c r="K1142" i="16"/>
  <c r="K1143" i="16"/>
  <c r="K1144" i="16"/>
  <c r="K1145" i="16"/>
  <c r="K1146" i="16"/>
  <c r="K1147" i="16"/>
  <c r="K1148" i="16"/>
  <c r="K1149" i="16"/>
  <c r="K1150" i="16"/>
  <c r="K1151" i="16"/>
  <c r="K1152" i="16"/>
  <c r="K1153" i="16"/>
  <c r="K1154" i="16"/>
  <c r="K1155" i="16"/>
  <c r="K1156" i="16"/>
  <c r="K1157" i="16"/>
  <c r="K1158" i="16"/>
  <c r="K1159" i="16"/>
  <c r="K1160" i="16"/>
  <c r="K1161" i="16"/>
  <c r="K1162" i="16"/>
  <c r="K1163" i="16"/>
  <c r="K1164" i="16"/>
  <c r="K1165" i="16"/>
  <c r="K1166" i="16"/>
  <c r="K1167" i="16"/>
  <c r="K1168" i="16"/>
  <c r="K1169" i="16"/>
  <c r="K1170" i="16"/>
  <c r="K1171" i="16"/>
  <c r="K1172" i="16"/>
  <c r="K1173" i="16"/>
  <c r="K1174" i="16"/>
  <c r="K1175" i="16"/>
  <c r="K1176" i="16"/>
  <c r="K1177" i="16"/>
  <c r="K1178" i="16"/>
  <c r="K1179" i="16"/>
  <c r="K1180" i="16"/>
  <c r="K1181" i="16"/>
  <c r="K1182" i="16"/>
  <c r="K1183" i="16"/>
  <c r="K1184" i="16"/>
  <c r="K1185" i="16"/>
  <c r="K1186" i="16"/>
  <c r="K1187" i="16"/>
  <c r="K1188" i="16"/>
  <c r="K1189" i="16"/>
  <c r="K1190" i="16"/>
  <c r="K1191" i="16"/>
  <c r="K1192" i="16"/>
  <c r="K1193" i="16"/>
  <c r="K1194" i="16"/>
  <c r="K1195" i="16"/>
  <c r="K1196" i="16"/>
  <c r="K1197" i="16"/>
  <c r="K1198" i="16"/>
  <c r="K1199" i="16"/>
  <c r="K1200" i="16"/>
  <c r="K1201" i="16"/>
  <c r="K1202" i="16"/>
  <c r="K1203" i="16"/>
  <c r="K1204" i="16"/>
  <c r="K1205" i="16"/>
  <c r="K1206" i="16"/>
  <c r="K1207" i="16"/>
  <c r="K1208" i="16"/>
  <c r="K1209" i="16"/>
  <c r="K1210" i="16"/>
  <c r="K1211" i="16"/>
  <c r="K1212" i="16"/>
  <c r="K1213" i="16"/>
  <c r="K1214" i="16"/>
  <c r="K1215" i="16"/>
  <c r="K1216" i="16"/>
  <c r="K1217" i="16"/>
  <c r="K1218" i="16"/>
  <c r="K1219" i="16"/>
  <c r="K1220" i="16"/>
  <c r="K1221" i="16"/>
  <c r="K1222" i="16"/>
  <c r="K1223" i="16"/>
  <c r="K1224" i="16"/>
  <c r="K1225" i="16"/>
  <c r="K1226" i="16"/>
  <c r="K1227" i="16"/>
  <c r="K1228" i="16"/>
  <c r="K1229" i="16"/>
  <c r="K1230" i="16"/>
  <c r="K1231" i="16"/>
  <c r="K1232" i="16"/>
  <c r="K1233" i="16"/>
  <c r="K1234" i="16"/>
  <c r="K1235" i="16"/>
  <c r="K1236" i="16"/>
  <c r="K1237" i="16"/>
  <c r="K1238" i="16"/>
  <c r="K1239" i="16"/>
  <c r="K1240" i="16"/>
  <c r="K1241" i="16"/>
  <c r="K1242" i="16"/>
  <c r="K1243" i="16"/>
  <c r="K1244" i="16"/>
  <c r="K1245" i="16"/>
  <c r="K1246" i="16"/>
  <c r="K1247" i="16"/>
  <c r="K1248" i="16"/>
  <c r="K1249" i="16"/>
  <c r="K1250" i="16"/>
  <c r="K1251" i="16"/>
  <c r="K1252" i="16"/>
  <c r="K1253" i="16"/>
  <c r="K1254" i="16"/>
  <c r="K1255" i="16"/>
  <c r="K1256" i="16"/>
  <c r="K1257" i="16"/>
  <c r="K1258" i="16"/>
  <c r="K1259" i="16"/>
  <c r="K1260" i="16"/>
  <c r="K1261" i="16"/>
  <c r="K1262" i="16"/>
  <c r="K1263" i="16"/>
  <c r="K1264" i="16"/>
  <c r="K1265" i="16"/>
  <c r="K1266" i="16"/>
  <c r="K1267" i="16"/>
  <c r="K1268" i="16"/>
  <c r="K1269" i="16"/>
  <c r="K1270" i="16"/>
  <c r="K1271" i="16"/>
  <c r="K1272" i="16"/>
  <c r="K1273" i="16"/>
  <c r="K1274" i="16"/>
  <c r="K1275" i="16"/>
  <c r="K1276" i="16"/>
  <c r="K1277" i="16"/>
  <c r="K1278" i="16"/>
  <c r="K1279" i="16"/>
  <c r="K1280" i="16"/>
  <c r="K1281" i="16"/>
  <c r="K1282" i="16"/>
  <c r="K1283" i="16"/>
  <c r="K1284" i="16"/>
  <c r="K1285" i="16"/>
  <c r="K1286" i="16"/>
  <c r="K1287" i="16"/>
  <c r="K1288" i="16"/>
  <c r="K1289" i="16"/>
  <c r="K1290" i="16"/>
  <c r="K1291" i="16"/>
  <c r="K1292" i="16"/>
  <c r="K1293" i="16"/>
  <c r="K1294" i="16"/>
  <c r="K1295" i="16"/>
  <c r="K1296" i="16"/>
  <c r="K1297" i="16"/>
  <c r="K1298" i="16"/>
  <c r="K1299" i="16"/>
  <c r="K1300" i="16"/>
  <c r="K1301" i="16"/>
  <c r="K1302" i="16"/>
  <c r="K1303" i="16"/>
  <c r="K1304" i="16"/>
  <c r="K1305" i="16"/>
  <c r="K1306" i="16"/>
  <c r="K1307" i="16"/>
  <c r="K1308" i="16"/>
  <c r="K1309" i="16"/>
  <c r="K1310" i="16"/>
  <c r="K1311" i="16"/>
  <c r="K1312" i="16"/>
  <c r="K1313" i="16"/>
  <c r="K1314" i="16"/>
  <c r="K1315" i="16"/>
  <c r="K1316" i="16"/>
  <c r="K1317" i="16"/>
  <c r="K1318" i="16"/>
  <c r="K1319" i="16"/>
  <c r="K1320" i="16"/>
  <c r="K1321" i="16"/>
  <c r="K1322" i="16"/>
  <c r="K1323" i="16"/>
  <c r="K1324" i="16"/>
  <c r="K1325" i="16"/>
  <c r="K1326" i="16"/>
  <c r="K1327" i="16"/>
  <c r="K1328" i="16"/>
  <c r="K1329" i="16"/>
  <c r="K1330" i="16"/>
  <c r="K1331" i="16"/>
  <c r="K1332" i="16"/>
  <c r="K1333" i="16"/>
  <c r="K1334" i="16"/>
  <c r="K1335" i="16"/>
  <c r="K1336" i="16"/>
  <c r="K1337" i="16"/>
  <c r="K1338" i="16"/>
  <c r="K1339" i="16"/>
  <c r="K1340" i="16"/>
  <c r="K1341" i="16"/>
  <c r="K1342" i="16"/>
  <c r="K1343" i="16"/>
  <c r="K1344" i="16"/>
  <c r="K1345" i="16"/>
  <c r="K1346" i="16"/>
  <c r="K1347" i="16"/>
  <c r="K1348" i="16"/>
  <c r="K1349" i="16"/>
  <c r="K1350" i="16"/>
  <c r="K1351" i="16"/>
  <c r="K1352" i="16"/>
  <c r="K1353" i="16"/>
  <c r="K1354" i="16"/>
  <c r="K1355" i="16"/>
  <c r="K1356" i="16"/>
  <c r="K1357" i="16"/>
  <c r="K1358" i="16"/>
  <c r="K1359" i="16"/>
  <c r="K1360" i="16"/>
  <c r="K1361" i="16"/>
  <c r="K1362" i="16"/>
  <c r="K1363" i="16"/>
  <c r="K1364" i="16"/>
  <c r="K1365" i="16"/>
  <c r="K1366" i="16"/>
  <c r="K1367" i="16"/>
  <c r="K1368" i="16"/>
  <c r="K1369" i="16"/>
  <c r="K1370" i="16"/>
  <c r="K1371" i="16"/>
  <c r="K1372" i="16"/>
  <c r="K1373" i="16"/>
  <c r="K1374" i="16"/>
  <c r="K1375" i="16"/>
  <c r="K1376" i="16"/>
  <c r="K1377" i="16"/>
  <c r="K1378" i="16"/>
  <c r="K1379" i="16"/>
  <c r="K1380" i="16"/>
  <c r="K1381" i="16"/>
  <c r="K1382" i="16"/>
  <c r="K1383" i="16"/>
  <c r="K1384" i="16"/>
  <c r="K1385" i="16"/>
  <c r="K1386" i="16"/>
  <c r="K1387" i="16"/>
  <c r="K1388" i="16"/>
  <c r="K1389" i="16"/>
  <c r="K1390" i="16"/>
  <c r="K1391" i="16"/>
  <c r="K1392" i="16"/>
  <c r="K1393" i="16"/>
  <c r="K1394" i="16"/>
  <c r="K1395" i="16"/>
  <c r="K1396" i="16"/>
  <c r="K1397" i="16"/>
  <c r="K1398" i="16"/>
  <c r="K1399" i="16"/>
  <c r="K1400" i="16"/>
  <c r="K1401" i="16"/>
  <c r="K1402" i="16"/>
  <c r="K1403" i="16"/>
  <c r="K1404" i="16"/>
  <c r="K1405" i="16"/>
  <c r="K1406" i="16"/>
  <c r="K1407" i="16"/>
  <c r="K1408" i="16"/>
  <c r="K1409" i="16"/>
  <c r="K1410" i="16"/>
  <c r="K1411" i="16"/>
  <c r="K1412" i="16"/>
  <c r="K1413" i="16"/>
  <c r="K1414" i="16"/>
  <c r="K1415" i="16"/>
  <c r="K1416" i="16"/>
  <c r="K1417" i="16"/>
  <c r="K1418" i="16"/>
  <c r="K1419" i="16"/>
  <c r="K1420" i="16"/>
  <c r="K1421" i="16"/>
  <c r="K1422" i="16"/>
  <c r="K1423" i="16"/>
  <c r="K1424" i="16"/>
  <c r="K1425" i="16"/>
  <c r="K1426" i="16"/>
  <c r="K1427" i="16"/>
  <c r="K1428" i="16"/>
  <c r="K1429" i="16"/>
  <c r="K1430" i="16"/>
  <c r="K1431" i="16"/>
  <c r="K1432" i="16"/>
  <c r="K1433" i="16"/>
  <c r="K1434" i="16"/>
  <c r="K1435" i="16"/>
  <c r="K1436" i="16"/>
  <c r="K1437" i="16"/>
  <c r="K1438" i="16"/>
  <c r="K1439" i="16"/>
  <c r="K1440" i="16"/>
  <c r="K1441" i="16"/>
  <c r="K1442" i="16"/>
  <c r="K1443" i="16"/>
  <c r="K1444" i="16"/>
  <c r="K1445" i="16"/>
  <c r="K1446" i="16"/>
  <c r="K1447" i="16"/>
  <c r="K1448" i="16"/>
  <c r="K1449" i="16"/>
  <c r="K1450" i="16"/>
  <c r="K1451" i="16"/>
  <c r="K1452" i="16"/>
  <c r="K1453" i="16"/>
  <c r="K1454" i="16"/>
  <c r="K1455" i="16"/>
  <c r="K1456" i="16"/>
  <c r="K1457" i="16"/>
  <c r="K1458" i="16"/>
  <c r="K1459" i="16"/>
  <c r="K1460" i="16"/>
  <c r="K1461" i="16"/>
  <c r="K1462" i="16"/>
  <c r="K1463" i="16"/>
  <c r="K1464" i="16"/>
  <c r="K1465" i="16"/>
  <c r="K1466" i="16"/>
  <c r="K1467" i="16"/>
  <c r="K1468" i="16"/>
  <c r="K1469" i="16"/>
  <c r="K1470" i="16"/>
  <c r="K1471" i="16"/>
  <c r="K1472" i="16"/>
  <c r="K1473" i="16"/>
  <c r="K1474" i="16"/>
  <c r="K1475" i="16"/>
  <c r="K1476" i="16"/>
  <c r="K1477" i="16"/>
  <c r="K1478" i="16"/>
  <c r="K1479" i="16"/>
  <c r="K1480" i="16"/>
  <c r="K1481" i="16"/>
  <c r="K1482" i="16"/>
  <c r="K1483" i="16"/>
  <c r="K1484" i="16"/>
  <c r="K1485" i="16"/>
  <c r="K1486" i="16"/>
  <c r="K1487" i="16"/>
  <c r="K1488" i="16"/>
  <c r="K1489" i="16"/>
  <c r="K1490" i="16"/>
  <c r="K1491" i="16"/>
  <c r="K1492" i="16"/>
  <c r="K1493" i="16"/>
  <c r="K1494" i="16"/>
  <c r="K1495" i="16"/>
  <c r="K1496" i="16"/>
  <c r="K1497" i="16"/>
  <c r="K1498" i="16"/>
  <c r="K1499" i="16"/>
  <c r="K1500" i="16"/>
  <c r="K1501" i="16"/>
  <c r="K1502" i="16"/>
  <c r="K1503" i="16"/>
  <c r="K1504" i="16"/>
  <c r="K1505" i="16"/>
  <c r="K1506" i="16"/>
  <c r="K1507" i="16"/>
  <c r="K1508" i="16"/>
  <c r="K1509" i="16"/>
  <c r="K1510" i="16"/>
  <c r="K1511" i="16"/>
  <c r="K1512" i="16"/>
  <c r="K1513" i="16"/>
  <c r="K1514" i="16"/>
  <c r="K1515" i="16"/>
  <c r="K1516" i="16"/>
  <c r="K1517" i="16"/>
  <c r="K1518" i="16"/>
  <c r="K1519" i="16"/>
  <c r="K1520" i="16"/>
  <c r="K1521" i="16"/>
  <c r="K1522" i="16"/>
  <c r="K1523" i="16"/>
  <c r="K1524" i="16"/>
  <c r="K1525" i="16"/>
  <c r="K1526" i="16"/>
  <c r="K1527" i="16"/>
  <c r="K1528" i="16"/>
  <c r="K1529" i="16"/>
  <c r="K1530" i="16"/>
  <c r="K1531" i="16"/>
  <c r="K1532" i="16"/>
  <c r="K1533" i="16"/>
  <c r="K1534" i="16"/>
  <c r="K1535" i="16"/>
  <c r="K1536" i="16"/>
  <c r="K1537" i="16"/>
  <c r="K1538" i="16"/>
  <c r="K1539" i="16"/>
  <c r="K1540" i="16"/>
  <c r="K1541" i="16"/>
  <c r="K1542" i="16"/>
  <c r="K1543" i="16"/>
  <c r="K1544" i="16"/>
  <c r="K1545" i="16"/>
  <c r="K1546" i="16"/>
  <c r="K1547" i="16"/>
  <c r="K1548" i="16"/>
  <c r="K1549" i="16"/>
  <c r="K1550" i="16"/>
  <c r="K1551" i="16"/>
  <c r="K1552" i="16"/>
  <c r="K1553" i="16"/>
  <c r="K1554" i="16"/>
  <c r="K1555" i="16"/>
  <c r="K1556" i="16"/>
  <c r="K1557" i="16"/>
  <c r="K1558" i="16"/>
  <c r="K1559" i="16"/>
  <c r="K1560" i="16"/>
  <c r="K1561" i="16"/>
  <c r="K1562" i="16"/>
  <c r="K1563" i="16"/>
  <c r="K1564" i="16"/>
  <c r="K1565" i="16"/>
  <c r="K1566" i="16"/>
  <c r="K1567" i="16"/>
  <c r="K1568" i="16"/>
  <c r="K1569" i="16"/>
  <c r="K1570" i="16"/>
  <c r="K1571" i="16"/>
  <c r="K1572" i="16"/>
  <c r="K1573" i="16"/>
  <c r="K1574" i="16"/>
  <c r="K1575" i="16"/>
  <c r="K1576" i="16"/>
  <c r="K1577" i="16"/>
  <c r="K1578" i="16"/>
  <c r="K1579" i="16"/>
  <c r="K1580" i="16"/>
  <c r="K1581" i="16"/>
  <c r="K1582" i="16"/>
  <c r="K1583" i="16"/>
  <c r="K1584" i="16"/>
  <c r="K1585" i="16"/>
  <c r="K1586" i="16"/>
  <c r="K1587" i="16"/>
  <c r="K1588" i="16"/>
  <c r="K1589" i="16"/>
  <c r="K1590" i="16"/>
  <c r="K1591" i="16"/>
  <c r="K1592" i="16"/>
  <c r="K1593" i="16"/>
  <c r="K1594" i="16"/>
  <c r="K1595" i="16"/>
  <c r="K1596" i="16"/>
  <c r="K1597" i="16"/>
  <c r="K1598" i="16"/>
  <c r="K1599" i="16"/>
  <c r="K1600" i="16"/>
  <c r="K1601" i="16"/>
  <c r="K1602" i="16"/>
  <c r="K1603" i="16"/>
  <c r="K1604" i="16"/>
  <c r="K1605" i="16"/>
  <c r="K1606" i="16"/>
  <c r="K1607" i="16"/>
  <c r="K1608" i="16"/>
  <c r="K1609" i="16"/>
  <c r="K1610" i="16"/>
  <c r="K1611" i="16"/>
  <c r="K1612" i="16"/>
  <c r="K1613" i="16"/>
  <c r="K1614" i="16"/>
  <c r="K1615" i="16"/>
  <c r="K1616" i="16"/>
  <c r="K1617" i="16"/>
  <c r="K1618" i="16"/>
  <c r="K1619" i="16"/>
  <c r="K1620" i="16"/>
  <c r="K1621" i="16"/>
  <c r="K1622" i="16"/>
  <c r="K1623" i="16"/>
  <c r="K1624" i="16"/>
  <c r="K1625" i="16"/>
  <c r="K1626" i="16"/>
  <c r="K1627" i="16"/>
  <c r="K1628" i="16"/>
  <c r="K1629" i="16"/>
  <c r="K1630" i="16"/>
  <c r="K1631" i="16"/>
  <c r="K1632" i="16"/>
  <c r="K1633" i="16"/>
  <c r="K1634" i="16"/>
  <c r="K1635" i="16"/>
  <c r="K1636" i="16"/>
  <c r="K1637" i="16"/>
  <c r="K1638" i="16"/>
  <c r="K1639" i="16"/>
  <c r="K1640" i="16"/>
  <c r="K1641" i="16"/>
  <c r="K1642" i="16"/>
  <c r="K1643" i="16"/>
  <c r="K1644" i="16"/>
  <c r="K1645" i="16"/>
  <c r="K1646" i="16"/>
  <c r="K1647" i="16"/>
  <c r="K1648" i="16"/>
  <c r="K1649" i="16"/>
  <c r="K1650" i="16"/>
  <c r="K1651" i="16"/>
  <c r="K1652" i="16"/>
  <c r="K1653" i="16"/>
  <c r="K1654" i="16"/>
  <c r="K1655" i="16"/>
  <c r="K1656" i="16"/>
  <c r="K1657" i="16"/>
  <c r="K1658" i="16"/>
  <c r="K1659" i="16"/>
  <c r="K1660" i="16"/>
  <c r="K1661" i="16"/>
  <c r="K1662" i="16"/>
  <c r="K1663" i="16"/>
  <c r="K1664" i="16"/>
  <c r="K1665" i="16"/>
  <c r="K1666" i="16"/>
  <c r="K1667" i="16"/>
  <c r="K1668" i="16"/>
  <c r="K1669" i="16"/>
  <c r="K1670" i="16"/>
  <c r="K1671" i="16"/>
  <c r="K1672" i="16"/>
  <c r="K1673" i="16"/>
  <c r="K1674" i="16"/>
  <c r="K1675" i="16"/>
  <c r="K1676" i="16"/>
  <c r="K1677" i="16"/>
  <c r="K1678" i="16"/>
  <c r="K1679" i="16"/>
  <c r="K1680" i="16"/>
  <c r="K1681" i="16"/>
  <c r="K1682" i="16"/>
  <c r="K1683" i="16"/>
  <c r="K1684" i="16"/>
  <c r="K1685" i="16"/>
  <c r="K1686" i="16"/>
  <c r="K1687" i="16"/>
  <c r="K1688" i="16"/>
  <c r="K1689" i="16"/>
  <c r="K1690" i="16"/>
  <c r="K1691" i="16"/>
  <c r="K1692" i="16"/>
  <c r="K1693" i="16"/>
  <c r="K1694" i="16"/>
  <c r="K1695" i="16"/>
  <c r="K1696" i="16"/>
  <c r="K1697" i="16"/>
  <c r="K1698" i="16"/>
  <c r="K1699" i="16"/>
  <c r="K1700" i="16"/>
  <c r="K1701" i="16"/>
  <c r="K1702" i="16"/>
  <c r="K1703" i="16"/>
  <c r="K1704" i="16"/>
  <c r="K1705" i="16"/>
  <c r="K1706" i="16"/>
  <c r="K1707" i="16"/>
  <c r="K1708" i="16"/>
  <c r="K1709" i="16"/>
  <c r="K1710" i="16"/>
  <c r="K1711" i="16"/>
  <c r="K1712" i="16"/>
  <c r="K1713" i="16"/>
  <c r="K1714" i="16"/>
  <c r="K1715" i="16"/>
  <c r="K1716" i="16"/>
  <c r="K1717" i="16"/>
  <c r="K1718" i="16"/>
  <c r="K1719" i="16"/>
  <c r="K1720" i="16"/>
  <c r="K1721" i="16"/>
  <c r="K1722" i="16"/>
  <c r="K1723" i="16"/>
  <c r="K1724" i="16"/>
  <c r="K1725" i="16"/>
  <c r="K1726" i="16"/>
  <c r="K1727" i="16"/>
  <c r="K1728" i="16"/>
  <c r="K1729" i="16"/>
  <c r="K1730" i="16"/>
  <c r="K1731" i="16"/>
  <c r="K1732" i="16"/>
  <c r="K1733" i="16"/>
  <c r="K1734" i="16"/>
  <c r="K1735" i="16"/>
  <c r="K1736" i="16"/>
  <c r="K1737" i="16"/>
  <c r="K1738" i="16"/>
  <c r="K1739" i="16"/>
  <c r="K1740" i="16"/>
  <c r="K1741" i="16"/>
  <c r="K1742" i="16"/>
  <c r="K1743" i="16"/>
  <c r="K1744" i="16"/>
  <c r="K1745" i="16"/>
  <c r="K1746" i="16"/>
  <c r="K1747" i="16"/>
  <c r="K1748" i="16"/>
  <c r="K1749" i="16"/>
  <c r="K1750" i="16"/>
  <c r="K1751" i="16"/>
  <c r="K1752" i="16"/>
  <c r="K1753" i="16"/>
  <c r="K1754" i="16"/>
  <c r="K1755" i="16"/>
  <c r="K1756" i="16"/>
  <c r="K1757" i="16"/>
  <c r="K1758" i="16"/>
  <c r="K1759" i="16"/>
  <c r="K1760" i="16"/>
  <c r="K1761" i="16"/>
  <c r="K1762" i="16"/>
  <c r="K1763" i="16"/>
  <c r="K1764" i="16"/>
  <c r="K1765" i="16"/>
  <c r="K1766" i="16"/>
  <c r="K1767" i="16"/>
  <c r="K1768" i="16"/>
  <c r="K1769" i="16"/>
  <c r="K1770" i="16"/>
  <c r="K1771" i="16"/>
  <c r="K1772" i="16"/>
  <c r="K1773" i="16"/>
  <c r="K1774" i="16"/>
  <c r="K1775" i="16"/>
  <c r="K1776" i="16"/>
  <c r="K1777" i="16"/>
  <c r="K1778" i="16"/>
  <c r="K1779" i="16"/>
  <c r="K1780" i="16"/>
  <c r="K1781" i="16"/>
  <c r="K1782" i="16"/>
  <c r="K1783" i="16"/>
  <c r="K1784" i="16"/>
  <c r="K1785" i="16"/>
  <c r="K1786" i="16"/>
  <c r="K1787" i="16"/>
  <c r="K1788" i="16"/>
  <c r="K1789" i="16"/>
  <c r="K1790" i="16"/>
  <c r="K1791" i="16"/>
  <c r="K1792" i="16"/>
  <c r="K1793" i="16"/>
  <c r="K1794" i="16"/>
  <c r="K1795" i="16"/>
  <c r="K1796" i="16"/>
  <c r="K1797" i="16"/>
  <c r="K1798" i="16"/>
  <c r="K1799" i="16"/>
  <c r="K1800" i="16"/>
  <c r="K1801" i="16"/>
  <c r="K1802" i="16"/>
  <c r="K1803" i="16"/>
  <c r="K1804" i="16"/>
  <c r="K1805" i="16"/>
  <c r="K1806" i="16"/>
  <c r="K1807" i="16"/>
  <c r="K1808" i="16"/>
  <c r="K1809" i="16"/>
  <c r="K1810" i="16"/>
  <c r="K1811" i="16"/>
  <c r="K1812" i="16"/>
  <c r="K1813" i="16"/>
  <c r="K1814" i="16"/>
  <c r="K1815" i="16"/>
  <c r="K1816" i="16"/>
  <c r="K1817" i="16"/>
  <c r="K1818" i="16"/>
  <c r="K1819" i="16"/>
  <c r="K1820" i="16"/>
  <c r="K1821" i="16"/>
  <c r="K1822" i="16"/>
  <c r="K1823" i="16"/>
  <c r="K1824" i="16"/>
  <c r="K1825" i="16"/>
  <c r="K1826" i="16"/>
  <c r="K1827" i="16"/>
  <c r="K1828" i="16"/>
  <c r="K1829" i="16"/>
  <c r="K1830" i="16"/>
  <c r="K1831" i="16"/>
  <c r="K1832" i="16"/>
  <c r="K1833" i="16"/>
  <c r="K1834" i="16"/>
  <c r="K1835" i="16"/>
  <c r="K1836" i="16"/>
  <c r="K1837" i="16"/>
  <c r="K1838" i="16"/>
  <c r="K1839" i="16"/>
  <c r="K1840" i="16"/>
  <c r="K1841" i="16"/>
  <c r="K1842" i="16"/>
  <c r="K1843" i="16"/>
  <c r="K1844" i="16"/>
  <c r="K1845" i="16"/>
  <c r="K1846" i="16"/>
  <c r="K1847" i="16"/>
  <c r="K1848" i="16"/>
  <c r="K1849" i="16"/>
  <c r="K1850" i="16"/>
  <c r="K1851" i="16"/>
  <c r="K1852" i="16"/>
  <c r="K1853" i="16"/>
  <c r="K1854" i="16"/>
  <c r="K1855" i="16"/>
  <c r="K1856" i="16"/>
  <c r="K1857" i="16"/>
  <c r="K1858" i="16"/>
  <c r="K1859" i="16"/>
  <c r="K1860" i="16"/>
  <c r="K1861" i="16"/>
  <c r="K1862" i="16"/>
  <c r="K1863" i="16"/>
  <c r="K1864" i="16"/>
  <c r="K1865" i="16"/>
  <c r="K1866" i="16"/>
  <c r="K1867" i="16"/>
  <c r="K1868" i="16"/>
  <c r="K1869" i="16"/>
  <c r="K1870" i="16"/>
  <c r="K1871" i="16"/>
  <c r="K1872" i="16"/>
  <c r="K1873" i="16"/>
  <c r="K1874" i="16"/>
  <c r="K1875" i="16"/>
  <c r="K1876" i="16"/>
  <c r="K1877" i="16"/>
  <c r="K1878" i="16"/>
  <c r="K1879" i="16"/>
  <c r="K1880" i="16"/>
  <c r="K1881" i="16"/>
  <c r="K1882" i="16"/>
  <c r="K1883" i="16"/>
  <c r="K1884" i="16"/>
  <c r="K1885" i="16"/>
  <c r="K1886" i="16"/>
  <c r="K1887" i="16"/>
  <c r="K1888" i="16"/>
  <c r="K1889" i="16"/>
  <c r="K1890" i="16"/>
  <c r="K1891" i="16"/>
  <c r="K1892" i="16"/>
  <c r="K1893" i="16"/>
  <c r="K1894" i="16"/>
  <c r="K1895" i="16"/>
  <c r="K1896" i="16"/>
  <c r="K1897" i="16"/>
  <c r="K1898" i="16"/>
  <c r="K1899" i="16"/>
  <c r="K1900" i="16"/>
  <c r="K1901" i="16"/>
  <c r="K1902" i="16"/>
  <c r="K1903" i="16"/>
  <c r="K1904" i="16"/>
  <c r="K1905" i="16"/>
  <c r="K1906" i="16"/>
  <c r="K1907" i="16"/>
  <c r="K1908" i="16"/>
  <c r="K1909" i="16"/>
  <c r="K1910" i="16"/>
  <c r="K1911" i="16"/>
  <c r="K1912" i="16"/>
  <c r="K1913" i="16"/>
  <c r="K1914" i="16"/>
  <c r="K1915" i="16"/>
  <c r="K1916" i="16"/>
  <c r="K1917" i="16"/>
  <c r="K1918" i="16"/>
  <c r="K1919" i="16"/>
  <c r="K1920" i="16"/>
  <c r="K1921" i="16"/>
  <c r="K1922" i="16"/>
  <c r="K1923" i="16"/>
  <c r="K1924" i="16"/>
  <c r="K1925" i="16"/>
  <c r="K1926" i="16"/>
  <c r="K1927" i="16"/>
  <c r="K1928" i="16"/>
  <c r="K1929" i="16"/>
  <c r="K1930" i="16"/>
  <c r="K1931" i="16"/>
  <c r="K1932" i="16"/>
  <c r="K1933" i="16"/>
  <c r="K1934" i="16"/>
  <c r="K1935" i="16"/>
  <c r="K1936" i="16"/>
  <c r="K1937" i="16"/>
  <c r="K1938" i="16"/>
  <c r="K1939" i="16"/>
  <c r="K1940" i="16"/>
  <c r="K1941" i="16"/>
  <c r="K1942" i="16"/>
  <c r="K1943" i="16"/>
  <c r="K1944" i="16"/>
  <c r="K1945" i="16"/>
  <c r="K1946" i="16"/>
  <c r="K1947" i="16"/>
  <c r="K1948" i="16"/>
  <c r="K1949" i="16"/>
  <c r="K1950" i="16"/>
  <c r="K1951" i="16"/>
  <c r="K1952" i="16"/>
  <c r="K1953" i="16"/>
  <c r="K1954" i="16"/>
  <c r="K1955" i="16"/>
  <c r="K1956" i="16"/>
  <c r="K1957" i="16"/>
  <c r="K1958" i="16"/>
  <c r="K1959" i="16"/>
  <c r="K1960" i="16"/>
  <c r="K1961" i="16"/>
  <c r="K1962" i="16"/>
  <c r="K1963" i="16"/>
  <c r="K1964" i="16"/>
  <c r="K1965" i="16"/>
  <c r="K1966" i="16"/>
  <c r="K1967" i="16"/>
  <c r="K1968" i="16"/>
  <c r="K1969" i="16"/>
  <c r="K1970" i="16"/>
  <c r="K1971" i="16"/>
  <c r="K1972" i="16"/>
  <c r="K1973" i="16"/>
  <c r="K1974" i="16"/>
  <c r="K1975" i="16"/>
  <c r="K1976" i="16"/>
  <c r="K1977" i="16"/>
  <c r="K1978" i="16"/>
  <c r="K1979" i="16"/>
  <c r="K1980" i="16"/>
  <c r="K1981" i="16"/>
  <c r="K1982" i="16"/>
  <c r="K1983" i="16"/>
  <c r="K1984" i="16"/>
  <c r="K1985" i="16"/>
  <c r="K1986" i="16"/>
  <c r="K1987" i="16"/>
  <c r="K1988" i="16"/>
  <c r="K1989" i="16"/>
  <c r="K1990" i="16"/>
  <c r="K1991" i="16"/>
  <c r="K1992" i="16"/>
  <c r="K1993" i="16"/>
  <c r="K1994" i="16"/>
  <c r="K1995" i="16"/>
  <c r="K1996" i="16"/>
  <c r="K1997" i="16"/>
  <c r="K1998" i="16"/>
  <c r="K1999" i="16"/>
  <c r="K2000" i="16"/>
  <c r="K2001" i="16"/>
  <c r="K2002" i="16"/>
  <c r="K2003" i="16"/>
  <c r="K2004" i="16"/>
  <c r="K2005" i="16"/>
  <c r="K2006" i="16"/>
  <c r="K2007" i="16"/>
  <c r="K2008" i="16"/>
  <c r="K2009" i="16"/>
  <c r="K2010" i="16"/>
  <c r="K2011" i="16"/>
  <c r="K2012" i="16"/>
  <c r="K2013" i="16"/>
  <c r="K2014" i="16"/>
  <c r="K2015" i="16"/>
  <c r="K2016" i="16"/>
  <c r="K2017" i="16"/>
  <c r="K2018" i="16"/>
  <c r="K2019" i="16"/>
  <c r="K2020" i="16"/>
  <c r="K2021" i="16"/>
  <c r="K2022" i="16"/>
  <c r="K2023" i="16"/>
  <c r="K2024" i="16"/>
  <c r="K2025" i="16"/>
  <c r="K2026" i="16"/>
  <c r="K2027" i="16"/>
  <c r="K2028" i="16"/>
  <c r="K2029" i="16"/>
  <c r="K2030" i="16"/>
  <c r="K2031" i="16"/>
  <c r="K2032" i="16"/>
  <c r="K2033" i="16"/>
  <c r="K2034" i="16"/>
  <c r="K2035" i="16"/>
  <c r="K2036" i="16"/>
  <c r="K2037" i="16"/>
  <c r="K2038" i="16"/>
  <c r="K2039" i="16"/>
  <c r="K2040" i="16"/>
  <c r="K2041" i="16"/>
  <c r="K2042" i="16"/>
  <c r="K2043" i="16"/>
  <c r="K2044" i="16"/>
  <c r="K2045" i="16"/>
  <c r="K2046" i="16"/>
  <c r="K2047" i="16"/>
  <c r="K2048" i="16"/>
  <c r="K2049" i="16"/>
  <c r="K2050" i="16"/>
  <c r="K2051" i="16"/>
  <c r="K2052" i="16"/>
  <c r="K2053" i="16"/>
  <c r="K2054" i="16"/>
  <c r="K2055" i="16"/>
  <c r="K2056" i="16"/>
  <c r="K2057" i="16"/>
  <c r="K2058" i="16"/>
  <c r="K2059" i="16"/>
  <c r="K2060" i="16"/>
  <c r="K2061" i="16"/>
  <c r="K2062" i="16"/>
  <c r="K2063" i="16"/>
  <c r="K2064" i="16"/>
  <c r="K2065" i="16"/>
  <c r="K2066" i="16"/>
  <c r="K2067" i="16"/>
  <c r="K2068" i="16"/>
  <c r="K2069" i="16"/>
  <c r="K2070" i="16"/>
  <c r="K2071" i="16"/>
  <c r="K2072" i="16"/>
  <c r="K2073" i="16"/>
  <c r="K2074" i="16"/>
  <c r="K2075" i="16"/>
  <c r="K2076" i="16"/>
  <c r="K2077" i="16"/>
  <c r="K2078" i="16"/>
  <c r="K2079" i="16"/>
  <c r="K2080" i="16"/>
  <c r="K2081" i="16"/>
  <c r="K2082" i="16"/>
  <c r="K2083" i="16"/>
  <c r="K2084" i="16"/>
  <c r="K2085" i="16"/>
  <c r="K2086" i="16"/>
  <c r="K2087" i="16"/>
  <c r="K2088" i="16"/>
  <c r="K2089" i="16"/>
  <c r="K2090" i="16"/>
  <c r="K2091" i="16"/>
  <c r="K2092" i="16"/>
  <c r="K2093" i="16"/>
  <c r="K2094" i="16"/>
  <c r="K2095" i="16"/>
  <c r="K2096" i="16"/>
  <c r="K2097" i="16"/>
  <c r="K2098" i="16"/>
  <c r="K2099" i="16"/>
  <c r="K2100" i="16"/>
  <c r="K2101" i="16"/>
  <c r="K2102" i="16"/>
  <c r="K2103" i="16"/>
  <c r="K2104" i="16"/>
  <c r="K2105" i="16"/>
  <c r="K2106" i="16"/>
  <c r="K2107" i="16"/>
  <c r="K2108" i="16"/>
  <c r="K2109" i="16"/>
  <c r="K2110" i="16"/>
  <c r="K2111" i="16"/>
  <c r="K2112" i="16"/>
  <c r="K2113" i="16"/>
  <c r="K2114" i="16"/>
  <c r="K2115" i="16"/>
  <c r="K2116" i="16"/>
  <c r="K2117" i="16"/>
  <c r="K2118" i="16"/>
  <c r="K2119" i="16"/>
  <c r="K2120" i="16"/>
  <c r="K2121" i="16"/>
  <c r="K2122" i="16"/>
  <c r="K2123" i="16"/>
  <c r="K2124" i="16"/>
  <c r="K2125" i="16"/>
  <c r="K2126" i="16"/>
  <c r="K2127" i="16"/>
  <c r="K2128" i="16"/>
  <c r="K2129" i="16"/>
  <c r="K2130" i="16"/>
  <c r="K2131" i="16"/>
  <c r="K2132" i="16"/>
  <c r="K2133" i="16"/>
  <c r="K2134" i="16"/>
  <c r="K2135" i="16"/>
  <c r="K2136" i="16"/>
  <c r="K2137" i="16"/>
  <c r="K2138" i="16"/>
  <c r="K2139" i="16"/>
  <c r="K2140" i="16"/>
  <c r="K2141" i="16"/>
  <c r="K2142" i="16"/>
  <c r="K2143" i="16"/>
  <c r="K2144" i="16"/>
  <c r="K2145" i="16"/>
  <c r="K2146" i="16"/>
  <c r="K2147" i="16"/>
  <c r="K2148" i="16"/>
  <c r="K2149" i="16"/>
  <c r="K2150" i="16"/>
  <c r="K2151" i="16"/>
  <c r="K2152" i="16"/>
  <c r="K2153" i="16"/>
  <c r="K2154" i="16"/>
  <c r="K2155" i="16"/>
  <c r="K2156" i="16"/>
  <c r="K2157" i="16"/>
  <c r="K2158" i="16"/>
  <c r="K2159" i="16"/>
  <c r="K2160" i="16"/>
  <c r="K6" i="16"/>
  <c r="J7" i="16"/>
  <c r="J8" i="16"/>
  <c r="J9" i="16"/>
  <c r="J10" i="16"/>
  <c r="J11" i="16"/>
  <c r="J12" i="16"/>
  <c r="J13" i="16"/>
  <c r="J14" i="16"/>
  <c r="J15" i="16"/>
  <c r="J16" i="16"/>
  <c r="J17" i="16"/>
  <c r="J18" i="16"/>
  <c r="J19" i="16"/>
  <c r="J20" i="16"/>
  <c r="J21" i="16"/>
  <c r="J22" i="16"/>
  <c r="J23" i="16"/>
  <c r="J24" i="16"/>
  <c r="J25" i="16"/>
  <c r="J26" i="16"/>
  <c r="J27" i="16"/>
  <c r="J28" i="16"/>
  <c r="J29" i="16"/>
  <c r="J30" i="16"/>
  <c r="J31" i="16"/>
  <c r="J32" i="16"/>
  <c r="J33" i="16"/>
  <c r="J34" i="16"/>
  <c r="J35" i="16"/>
  <c r="J36" i="16"/>
  <c r="J37" i="16"/>
  <c r="J38" i="16"/>
  <c r="J39" i="16"/>
  <c r="J40" i="16"/>
  <c r="J41" i="16"/>
  <c r="J42" i="16"/>
  <c r="J43" i="16"/>
  <c r="J44" i="16"/>
  <c r="J45" i="16"/>
  <c r="J46" i="16"/>
  <c r="J47" i="16"/>
  <c r="J48" i="16"/>
  <c r="J49" i="16"/>
  <c r="J50" i="16"/>
  <c r="J51" i="16"/>
  <c r="J52" i="16"/>
  <c r="J53" i="16"/>
  <c r="J54" i="16"/>
  <c r="J55" i="16"/>
  <c r="J56" i="16"/>
  <c r="J57" i="16"/>
  <c r="J58" i="16"/>
  <c r="J59" i="16"/>
  <c r="J60" i="16"/>
  <c r="J61" i="16"/>
  <c r="J62" i="16"/>
  <c r="J63" i="16"/>
  <c r="J64" i="16"/>
  <c r="J65" i="16"/>
  <c r="J66" i="16"/>
  <c r="J67" i="16"/>
  <c r="J68" i="16"/>
  <c r="J69" i="16"/>
  <c r="J70" i="16"/>
  <c r="J71" i="16"/>
  <c r="J72" i="16"/>
  <c r="J73" i="16"/>
  <c r="J74" i="16"/>
  <c r="J75" i="16"/>
  <c r="J76" i="16"/>
  <c r="J77" i="16"/>
  <c r="J78" i="16"/>
  <c r="J79" i="16"/>
  <c r="J80" i="16"/>
  <c r="J81" i="16"/>
  <c r="J82" i="16"/>
  <c r="J83" i="16"/>
  <c r="J84" i="16"/>
  <c r="J85" i="16"/>
  <c r="J86" i="16"/>
  <c r="J87" i="16"/>
  <c r="J88" i="16"/>
  <c r="J89" i="16"/>
  <c r="J90" i="16"/>
  <c r="J91" i="16"/>
  <c r="J92" i="16"/>
  <c r="J93" i="16"/>
  <c r="J94" i="16"/>
  <c r="J95" i="16"/>
  <c r="J96" i="16"/>
  <c r="J97" i="16"/>
  <c r="J98" i="16"/>
  <c r="J99" i="16"/>
  <c r="J100" i="16"/>
  <c r="J101" i="16"/>
  <c r="J102" i="16"/>
  <c r="J103" i="16"/>
  <c r="J104" i="16"/>
  <c r="J105" i="16"/>
  <c r="J106" i="16"/>
  <c r="J107" i="16"/>
  <c r="J108" i="16"/>
  <c r="J109" i="16"/>
  <c r="J110" i="16"/>
  <c r="J111" i="16"/>
  <c r="J112" i="16"/>
  <c r="J113" i="16"/>
  <c r="J114" i="16"/>
  <c r="J115" i="16"/>
  <c r="J116" i="16"/>
  <c r="J117" i="16"/>
  <c r="J118" i="16"/>
  <c r="J119" i="16"/>
  <c r="J120" i="16"/>
  <c r="J121" i="16"/>
  <c r="J122" i="16"/>
  <c r="J123" i="16"/>
  <c r="J124" i="16"/>
  <c r="J125" i="16"/>
  <c r="J126" i="16"/>
  <c r="J127" i="16"/>
  <c r="J128" i="16"/>
  <c r="J129" i="16"/>
  <c r="J130" i="16"/>
  <c r="J131" i="16"/>
  <c r="J132" i="16"/>
  <c r="J133" i="16"/>
  <c r="J134" i="16"/>
  <c r="J135" i="16"/>
  <c r="J136" i="16"/>
  <c r="J137" i="16"/>
  <c r="J138" i="16"/>
  <c r="J139" i="16"/>
  <c r="J140" i="16"/>
  <c r="J141" i="16"/>
  <c r="J142" i="16"/>
  <c r="J143" i="16"/>
  <c r="J144" i="16"/>
  <c r="J145" i="16"/>
  <c r="J146" i="16"/>
  <c r="J147" i="16"/>
  <c r="J148" i="16"/>
  <c r="J149" i="16"/>
  <c r="J150" i="16"/>
  <c r="J151" i="16"/>
  <c r="J152" i="16"/>
  <c r="J153" i="16"/>
  <c r="J154" i="16"/>
  <c r="J155" i="16"/>
  <c r="J156" i="16"/>
  <c r="J157" i="16"/>
  <c r="J158" i="16"/>
  <c r="J159" i="16"/>
  <c r="J160" i="16"/>
  <c r="J161" i="16"/>
  <c r="J162" i="16"/>
  <c r="J163" i="16"/>
  <c r="J164" i="16"/>
  <c r="J165" i="16"/>
  <c r="J166" i="16"/>
  <c r="J167" i="16"/>
  <c r="J168" i="16"/>
  <c r="J169" i="16"/>
  <c r="J170" i="16"/>
  <c r="J171" i="16"/>
  <c r="J172" i="16"/>
  <c r="J173" i="16"/>
  <c r="J174" i="16"/>
  <c r="J175" i="16"/>
  <c r="J176" i="16"/>
  <c r="J177" i="16"/>
  <c r="J178" i="16"/>
  <c r="J179" i="16"/>
  <c r="J180" i="16"/>
  <c r="J181" i="16"/>
  <c r="J182" i="16"/>
  <c r="J183" i="16"/>
  <c r="J184" i="16"/>
  <c r="J185" i="16"/>
  <c r="J186" i="16"/>
  <c r="J187" i="16"/>
  <c r="J188" i="16"/>
  <c r="J189" i="16"/>
  <c r="J190" i="16"/>
  <c r="J191" i="16"/>
  <c r="J192" i="16"/>
  <c r="J193" i="16"/>
  <c r="J194" i="16"/>
  <c r="J195" i="16"/>
  <c r="J196" i="16"/>
  <c r="J197" i="16"/>
  <c r="J198" i="16"/>
  <c r="J199" i="16"/>
  <c r="J200" i="16"/>
  <c r="J201" i="16"/>
  <c r="J202" i="16"/>
  <c r="J203" i="16"/>
  <c r="J204" i="16"/>
  <c r="J205" i="16"/>
  <c r="J206" i="16"/>
  <c r="J207" i="16"/>
  <c r="J208" i="16"/>
  <c r="J209" i="16"/>
  <c r="J210" i="16"/>
  <c r="J211" i="16"/>
  <c r="J212" i="16"/>
  <c r="J213" i="16"/>
  <c r="J214" i="16"/>
  <c r="J215" i="16"/>
  <c r="J216" i="16"/>
  <c r="J217" i="16"/>
  <c r="J218" i="16"/>
  <c r="J219" i="16"/>
  <c r="J220" i="16"/>
  <c r="J221" i="16"/>
  <c r="J222" i="16"/>
  <c r="J223" i="16"/>
  <c r="J224" i="16"/>
  <c r="J225" i="16"/>
  <c r="J226" i="16"/>
  <c r="J227" i="16"/>
  <c r="J228" i="16"/>
  <c r="J229" i="16"/>
  <c r="J230" i="16"/>
  <c r="J231" i="16"/>
  <c r="J232" i="16"/>
  <c r="J233" i="16"/>
  <c r="J234" i="16"/>
  <c r="J235" i="16"/>
  <c r="J236" i="16"/>
  <c r="J237" i="16"/>
  <c r="J238" i="16"/>
  <c r="J239" i="16"/>
  <c r="J240" i="16"/>
  <c r="J241" i="16"/>
  <c r="J242" i="16"/>
  <c r="J243" i="16"/>
  <c r="J244" i="16"/>
  <c r="J245" i="16"/>
  <c r="J246" i="16"/>
  <c r="J247" i="16"/>
  <c r="J248" i="16"/>
  <c r="J249" i="16"/>
  <c r="J250" i="16"/>
  <c r="J251" i="16"/>
  <c r="J252" i="16"/>
  <c r="J253" i="16"/>
  <c r="J254" i="16"/>
  <c r="J255" i="16"/>
  <c r="J256" i="16"/>
  <c r="J257" i="16"/>
  <c r="J258" i="16"/>
  <c r="J259" i="16"/>
  <c r="J260" i="16"/>
  <c r="J261" i="16"/>
  <c r="J262" i="16"/>
  <c r="J263" i="16"/>
  <c r="J264" i="16"/>
  <c r="J265" i="16"/>
  <c r="J266" i="16"/>
  <c r="J267" i="16"/>
  <c r="J268" i="16"/>
  <c r="J269" i="16"/>
  <c r="J270" i="16"/>
  <c r="J271" i="16"/>
  <c r="J272" i="16"/>
  <c r="J273" i="16"/>
  <c r="J274" i="16"/>
  <c r="J275" i="16"/>
  <c r="J276" i="16"/>
  <c r="J277" i="16"/>
  <c r="J278" i="16"/>
  <c r="J279" i="16"/>
  <c r="J280" i="16"/>
  <c r="J281" i="16"/>
  <c r="J282" i="16"/>
  <c r="J283" i="16"/>
  <c r="J284" i="16"/>
  <c r="J285" i="16"/>
  <c r="J286" i="16"/>
  <c r="J287" i="16"/>
  <c r="J288" i="16"/>
  <c r="J289" i="16"/>
  <c r="J290" i="16"/>
  <c r="J291" i="16"/>
  <c r="J292" i="16"/>
  <c r="J293" i="16"/>
  <c r="J294" i="16"/>
  <c r="J295" i="16"/>
  <c r="J296" i="16"/>
  <c r="J297" i="16"/>
  <c r="J298" i="16"/>
  <c r="J299" i="16"/>
  <c r="J300" i="16"/>
  <c r="J301" i="16"/>
  <c r="J302" i="16"/>
  <c r="J303" i="16"/>
  <c r="J304" i="16"/>
  <c r="J305" i="16"/>
  <c r="J306" i="16"/>
  <c r="J307" i="16"/>
  <c r="J308" i="16"/>
  <c r="J309" i="16"/>
  <c r="J310" i="16"/>
  <c r="J311" i="16"/>
  <c r="J312" i="16"/>
  <c r="J313" i="16"/>
  <c r="J314" i="16"/>
  <c r="J315" i="16"/>
  <c r="J316" i="16"/>
  <c r="J317" i="16"/>
  <c r="J318" i="16"/>
  <c r="J319" i="16"/>
  <c r="J320" i="16"/>
  <c r="J321" i="16"/>
  <c r="J322" i="16"/>
  <c r="J323" i="16"/>
  <c r="J324" i="16"/>
  <c r="J325" i="16"/>
  <c r="J326" i="16"/>
  <c r="J327" i="16"/>
  <c r="J328" i="16"/>
  <c r="J329" i="16"/>
  <c r="J330" i="16"/>
  <c r="J331" i="16"/>
  <c r="J332" i="16"/>
  <c r="J333" i="16"/>
  <c r="J334" i="16"/>
  <c r="J335" i="16"/>
  <c r="J336" i="16"/>
  <c r="J337" i="16"/>
  <c r="J338" i="16"/>
  <c r="J339" i="16"/>
  <c r="J340" i="16"/>
  <c r="J341" i="16"/>
  <c r="J342" i="16"/>
  <c r="J343" i="16"/>
  <c r="J344" i="16"/>
  <c r="J345" i="16"/>
  <c r="J346" i="16"/>
  <c r="J347" i="16"/>
  <c r="J348" i="16"/>
  <c r="J349" i="16"/>
  <c r="J350" i="16"/>
  <c r="J351" i="16"/>
  <c r="J352" i="16"/>
  <c r="J353" i="16"/>
  <c r="J354" i="16"/>
  <c r="J355" i="16"/>
  <c r="J356" i="16"/>
  <c r="J357" i="16"/>
  <c r="J358" i="16"/>
  <c r="J359" i="16"/>
  <c r="J360" i="16"/>
  <c r="J361" i="16"/>
  <c r="J362" i="16"/>
  <c r="J363" i="16"/>
  <c r="J364" i="16"/>
  <c r="J365" i="16"/>
  <c r="J366" i="16"/>
  <c r="J367" i="16"/>
  <c r="J368" i="16"/>
  <c r="J369" i="16"/>
  <c r="J370" i="16"/>
  <c r="J371" i="16"/>
  <c r="J372" i="16"/>
  <c r="J373" i="16"/>
  <c r="J374" i="16"/>
  <c r="J375" i="16"/>
  <c r="J376" i="16"/>
  <c r="J377" i="16"/>
  <c r="J378" i="16"/>
  <c r="J379" i="16"/>
  <c r="J380" i="16"/>
  <c r="J381" i="16"/>
  <c r="J382" i="16"/>
  <c r="J383" i="16"/>
  <c r="J384" i="16"/>
  <c r="J385" i="16"/>
  <c r="J386" i="16"/>
  <c r="J387" i="16"/>
  <c r="J388" i="16"/>
  <c r="J389" i="16"/>
  <c r="J390" i="16"/>
  <c r="J391" i="16"/>
  <c r="J392" i="16"/>
  <c r="J393" i="16"/>
  <c r="J394" i="16"/>
  <c r="J395" i="16"/>
  <c r="J396" i="16"/>
  <c r="J397" i="16"/>
  <c r="J398" i="16"/>
  <c r="J399" i="16"/>
  <c r="J400" i="16"/>
  <c r="J401" i="16"/>
  <c r="J402" i="16"/>
  <c r="J403" i="16"/>
  <c r="J404" i="16"/>
  <c r="J405" i="16"/>
  <c r="J406" i="16"/>
  <c r="J407" i="16"/>
  <c r="J408" i="16"/>
  <c r="J409" i="16"/>
  <c r="J410" i="16"/>
  <c r="J411" i="16"/>
  <c r="J412" i="16"/>
  <c r="J413" i="16"/>
  <c r="J414" i="16"/>
  <c r="J415" i="16"/>
  <c r="J416" i="16"/>
  <c r="J417" i="16"/>
  <c r="J418" i="16"/>
  <c r="J419" i="16"/>
  <c r="J420" i="16"/>
  <c r="J421" i="16"/>
  <c r="J422" i="16"/>
  <c r="J423" i="16"/>
  <c r="J424" i="16"/>
  <c r="J425" i="16"/>
  <c r="J426" i="16"/>
  <c r="J427" i="16"/>
  <c r="J428" i="16"/>
  <c r="J429" i="16"/>
  <c r="J430" i="16"/>
  <c r="J431" i="16"/>
  <c r="J432" i="16"/>
  <c r="J433" i="16"/>
  <c r="J434" i="16"/>
  <c r="J435" i="16"/>
  <c r="J436" i="16"/>
  <c r="J437" i="16"/>
  <c r="J438" i="16"/>
  <c r="J439" i="16"/>
  <c r="J440" i="16"/>
  <c r="J441" i="16"/>
  <c r="J442" i="16"/>
  <c r="J443" i="16"/>
  <c r="J444" i="16"/>
  <c r="J445" i="16"/>
  <c r="J446" i="16"/>
  <c r="J447" i="16"/>
  <c r="J448" i="16"/>
  <c r="J449" i="16"/>
  <c r="J450" i="16"/>
  <c r="J451" i="16"/>
  <c r="J452" i="16"/>
  <c r="J453" i="16"/>
  <c r="J454" i="16"/>
  <c r="J455" i="16"/>
  <c r="J456" i="16"/>
  <c r="J457" i="16"/>
  <c r="J458" i="16"/>
  <c r="J459" i="16"/>
  <c r="J460" i="16"/>
  <c r="J461" i="16"/>
  <c r="J462" i="16"/>
  <c r="J463" i="16"/>
  <c r="J464" i="16"/>
  <c r="J465" i="16"/>
  <c r="J466" i="16"/>
  <c r="J467" i="16"/>
  <c r="J468" i="16"/>
  <c r="J469" i="16"/>
  <c r="J470" i="16"/>
  <c r="J471" i="16"/>
  <c r="J472" i="16"/>
  <c r="J473" i="16"/>
  <c r="J474" i="16"/>
  <c r="J475" i="16"/>
  <c r="J476" i="16"/>
  <c r="J477" i="16"/>
  <c r="J478" i="16"/>
  <c r="J479" i="16"/>
  <c r="J480" i="16"/>
  <c r="J481" i="16"/>
  <c r="J482" i="16"/>
  <c r="J483" i="16"/>
  <c r="J484" i="16"/>
  <c r="J485" i="16"/>
  <c r="J486" i="16"/>
  <c r="J487" i="16"/>
  <c r="J488" i="16"/>
  <c r="J489" i="16"/>
  <c r="J490" i="16"/>
  <c r="J491" i="16"/>
  <c r="J492" i="16"/>
  <c r="J493" i="16"/>
  <c r="J494" i="16"/>
  <c r="J495" i="16"/>
  <c r="J496" i="16"/>
  <c r="J497" i="16"/>
  <c r="J498" i="16"/>
  <c r="J499" i="16"/>
  <c r="J500" i="16"/>
  <c r="J501" i="16"/>
  <c r="J502" i="16"/>
  <c r="J503" i="16"/>
  <c r="J504" i="16"/>
  <c r="J505" i="16"/>
  <c r="J506" i="16"/>
  <c r="J507" i="16"/>
  <c r="J508" i="16"/>
  <c r="J509" i="16"/>
  <c r="J510" i="16"/>
  <c r="J511" i="16"/>
  <c r="J512" i="16"/>
  <c r="J513" i="16"/>
  <c r="J514" i="16"/>
  <c r="J515" i="16"/>
  <c r="J516" i="16"/>
  <c r="J517" i="16"/>
  <c r="J518" i="16"/>
  <c r="J519" i="16"/>
  <c r="J520" i="16"/>
  <c r="J521" i="16"/>
  <c r="J522" i="16"/>
  <c r="J523" i="16"/>
  <c r="J524" i="16"/>
  <c r="J525" i="16"/>
  <c r="J526" i="16"/>
  <c r="J527" i="16"/>
  <c r="J528" i="16"/>
  <c r="J529" i="16"/>
  <c r="J530" i="16"/>
  <c r="J531" i="16"/>
  <c r="J532" i="16"/>
  <c r="J533" i="16"/>
  <c r="J534" i="16"/>
  <c r="J535" i="16"/>
  <c r="J536" i="16"/>
  <c r="J537" i="16"/>
  <c r="J538" i="16"/>
  <c r="J539" i="16"/>
  <c r="J540" i="16"/>
  <c r="J541" i="16"/>
  <c r="J542" i="16"/>
  <c r="J543" i="16"/>
  <c r="J544" i="16"/>
  <c r="J545" i="16"/>
  <c r="J546" i="16"/>
  <c r="J547" i="16"/>
  <c r="J548" i="16"/>
  <c r="J549" i="16"/>
  <c r="J550" i="16"/>
  <c r="J551" i="16"/>
  <c r="J552" i="16"/>
  <c r="J553" i="16"/>
  <c r="J554" i="16"/>
  <c r="J555" i="16"/>
  <c r="J556" i="16"/>
  <c r="J557" i="16"/>
  <c r="J558" i="16"/>
  <c r="J559" i="16"/>
  <c r="J560" i="16"/>
  <c r="J561" i="16"/>
  <c r="J562" i="16"/>
  <c r="J563" i="16"/>
  <c r="J564" i="16"/>
  <c r="J565" i="16"/>
  <c r="J566" i="16"/>
  <c r="J567" i="16"/>
  <c r="J568" i="16"/>
  <c r="J569" i="16"/>
  <c r="J570" i="16"/>
  <c r="J571" i="16"/>
  <c r="J572" i="16"/>
  <c r="J573" i="16"/>
  <c r="J574" i="16"/>
  <c r="J575" i="16"/>
  <c r="J576" i="16"/>
  <c r="J577" i="16"/>
  <c r="J578" i="16"/>
  <c r="J579" i="16"/>
  <c r="J580" i="16"/>
  <c r="J581" i="16"/>
  <c r="J582" i="16"/>
  <c r="J583" i="16"/>
  <c r="J584" i="16"/>
  <c r="J585" i="16"/>
  <c r="J586" i="16"/>
  <c r="J587" i="16"/>
  <c r="J588" i="16"/>
  <c r="J589" i="16"/>
  <c r="J590" i="16"/>
  <c r="J591" i="16"/>
  <c r="J592" i="16"/>
  <c r="J593" i="16"/>
  <c r="J594" i="16"/>
  <c r="J595" i="16"/>
  <c r="J596" i="16"/>
  <c r="J597" i="16"/>
  <c r="J598" i="16"/>
  <c r="J599" i="16"/>
  <c r="J600" i="16"/>
  <c r="J601" i="16"/>
  <c r="J602" i="16"/>
  <c r="J603" i="16"/>
  <c r="J604" i="16"/>
  <c r="J605" i="16"/>
  <c r="J606" i="16"/>
  <c r="J607" i="16"/>
  <c r="J608" i="16"/>
  <c r="J609" i="16"/>
  <c r="J610" i="16"/>
  <c r="J611" i="16"/>
  <c r="J612" i="16"/>
  <c r="J613" i="16"/>
  <c r="J614" i="16"/>
  <c r="J615" i="16"/>
  <c r="J616" i="16"/>
  <c r="J617" i="16"/>
  <c r="J618" i="16"/>
  <c r="J619" i="16"/>
  <c r="J620" i="16"/>
  <c r="J621" i="16"/>
  <c r="J622" i="16"/>
  <c r="J623" i="16"/>
  <c r="J624" i="16"/>
  <c r="J625" i="16"/>
  <c r="J626" i="16"/>
  <c r="J627" i="16"/>
  <c r="J628" i="16"/>
  <c r="J629" i="16"/>
  <c r="J630" i="16"/>
  <c r="J631" i="16"/>
  <c r="J632" i="16"/>
  <c r="J633" i="16"/>
  <c r="J634" i="16"/>
  <c r="J635" i="16"/>
  <c r="J636" i="16"/>
  <c r="J637" i="16"/>
  <c r="J638" i="16"/>
  <c r="J639" i="16"/>
  <c r="J640" i="16"/>
  <c r="J641" i="16"/>
  <c r="J642" i="16"/>
  <c r="J643" i="16"/>
  <c r="J644" i="16"/>
  <c r="J645" i="16"/>
  <c r="J646" i="16"/>
  <c r="J647" i="16"/>
  <c r="J648" i="16"/>
  <c r="J649" i="16"/>
  <c r="J650" i="16"/>
  <c r="J651" i="16"/>
  <c r="J652" i="16"/>
  <c r="J653" i="16"/>
  <c r="J654" i="16"/>
  <c r="J655" i="16"/>
  <c r="J656" i="16"/>
  <c r="J657" i="16"/>
  <c r="J658" i="16"/>
  <c r="J659" i="16"/>
  <c r="J660" i="16"/>
  <c r="J661" i="16"/>
  <c r="J662" i="16"/>
  <c r="J663" i="16"/>
  <c r="J664" i="16"/>
  <c r="J665" i="16"/>
  <c r="J666" i="16"/>
  <c r="J667" i="16"/>
  <c r="J668" i="16"/>
  <c r="J669" i="16"/>
  <c r="J670" i="16"/>
  <c r="J671" i="16"/>
  <c r="J672" i="16"/>
  <c r="J673" i="16"/>
  <c r="J674" i="16"/>
  <c r="J675" i="16"/>
  <c r="J676" i="16"/>
  <c r="J677" i="16"/>
  <c r="J678" i="16"/>
  <c r="J679" i="16"/>
  <c r="J680" i="16"/>
  <c r="J681" i="16"/>
  <c r="J682" i="16"/>
  <c r="J683" i="16"/>
  <c r="J684" i="16"/>
  <c r="J685" i="16"/>
  <c r="J686" i="16"/>
  <c r="J687" i="16"/>
  <c r="J688" i="16"/>
  <c r="J689" i="16"/>
  <c r="J690" i="16"/>
  <c r="J691" i="16"/>
  <c r="J692" i="16"/>
  <c r="J693" i="16"/>
  <c r="J694" i="16"/>
  <c r="J695" i="16"/>
  <c r="J696" i="16"/>
  <c r="J697" i="16"/>
  <c r="J698" i="16"/>
  <c r="J699" i="16"/>
  <c r="J700" i="16"/>
  <c r="J701" i="16"/>
  <c r="J702" i="16"/>
  <c r="J703" i="16"/>
  <c r="J704" i="16"/>
  <c r="J705" i="16"/>
  <c r="J706" i="16"/>
  <c r="J707" i="16"/>
  <c r="J708" i="16"/>
  <c r="J709" i="16"/>
  <c r="J710" i="16"/>
  <c r="J711" i="16"/>
  <c r="J712" i="16"/>
  <c r="J713" i="16"/>
  <c r="J714" i="16"/>
  <c r="J715" i="16"/>
  <c r="J716" i="16"/>
  <c r="J717" i="16"/>
  <c r="J718" i="16"/>
  <c r="J719" i="16"/>
  <c r="J720" i="16"/>
  <c r="J721" i="16"/>
  <c r="J722" i="16"/>
  <c r="J723" i="16"/>
  <c r="J724" i="16"/>
  <c r="J725" i="16"/>
  <c r="J726" i="16"/>
  <c r="J727" i="16"/>
  <c r="J728" i="16"/>
  <c r="J729" i="16"/>
  <c r="J730" i="16"/>
  <c r="J731" i="16"/>
  <c r="J732" i="16"/>
  <c r="J733" i="16"/>
  <c r="J734" i="16"/>
  <c r="J735" i="16"/>
  <c r="J736" i="16"/>
  <c r="J737" i="16"/>
  <c r="J738" i="16"/>
  <c r="J739" i="16"/>
  <c r="J740" i="16"/>
  <c r="J741" i="16"/>
  <c r="J742" i="16"/>
  <c r="J743" i="16"/>
  <c r="J744" i="16"/>
  <c r="J745" i="16"/>
  <c r="J746" i="16"/>
  <c r="J747" i="16"/>
  <c r="J748" i="16"/>
  <c r="J749" i="16"/>
  <c r="J750" i="16"/>
  <c r="J751" i="16"/>
  <c r="J752" i="16"/>
  <c r="J753" i="16"/>
  <c r="J754" i="16"/>
  <c r="J755" i="16"/>
  <c r="J756" i="16"/>
  <c r="J757" i="16"/>
  <c r="J758" i="16"/>
  <c r="J759" i="16"/>
  <c r="J760" i="16"/>
  <c r="J761" i="16"/>
  <c r="J762" i="16"/>
  <c r="J763" i="16"/>
  <c r="J764" i="16"/>
  <c r="J765" i="16"/>
  <c r="J766" i="16"/>
  <c r="J767" i="16"/>
  <c r="J768" i="16"/>
  <c r="J769" i="16"/>
  <c r="J770" i="16"/>
  <c r="J771" i="16"/>
  <c r="J772" i="16"/>
  <c r="J773" i="16"/>
  <c r="J774" i="16"/>
  <c r="J775" i="16"/>
  <c r="J776" i="16"/>
  <c r="J777" i="16"/>
  <c r="J778" i="16"/>
  <c r="J779" i="16"/>
  <c r="J780" i="16"/>
  <c r="J781" i="16"/>
  <c r="J782" i="16"/>
  <c r="J783" i="16"/>
  <c r="J784" i="16"/>
  <c r="J785" i="16"/>
  <c r="J786" i="16"/>
  <c r="J787" i="16"/>
  <c r="J788" i="16"/>
  <c r="J789" i="16"/>
  <c r="J790" i="16"/>
  <c r="J791" i="16"/>
  <c r="J792" i="16"/>
  <c r="J793" i="16"/>
  <c r="J794" i="16"/>
  <c r="J795" i="16"/>
  <c r="J796" i="16"/>
  <c r="J797" i="16"/>
  <c r="J798" i="16"/>
  <c r="J799" i="16"/>
  <c r="J800" i="16"/>
  <c r="J801" i="16"/>
  <c r="J802" i="16"/>
  <c r="J803" i="16"/>
  <c r="J804" i="16"/>
  <c r="J805" i="16"/>
  <c r="J806" i="16"/>
  <c r="J807" i="16"/>
  <c r="J808" i="16"/>
  <c r="J809" i="16"/>
  <c r="J810" i="16"/>
  <c r="J811" i="16"/>
  <c r="J812" i="16"/>
  <c r="J813" i="16"/>
  <c r="J814" i="16"/>
  <c r="J815" i="16"/>
  <c r="J816" i="16"/>
  <c r="J817" i="16"/>
  <c r="J818" i="16"/>
  <c r="J819" i="16"/>
  <c r="J820" i="16"/>
  <c r="J821" i="16"/>
  <c r="J822" i="16"/>
  <c r="J823" i="16"/>
  <c r="J824" i="16"/>
  <c r="J825" i="16"/>
  <c r="J826" i="16"/>
  <c r="J827" i="16"/>
  <c r="J828" i="16"/>
  <c r="J829" i="16"/>
  <c r="J830" i="16"/>
  <c r="J831" i="16"/>
  <c r="J832" i="16"/>
  <c r="J833" i="16"/>
  <c r="J834" i="16"/>
  <c r="J835" i="16"/>
  <c r="J836" i="16"/>
  <c r="J837" i="16"/>
  <c r="J838" i="16"/>
  <c r="J839" i="16"/>
  <c r="J840" i="16"/>
  <c r="J841" i="16"/>
  <c r="J842" i="16"/>
  <c r="J843" i="16"/>
  <c r="J844" i="16"/>
  <c r="J845" i="16"/>
  <c r="J846" i="16"/>
  <c r="J847" i="16"/>
  <c r="J848" i="16"/>
  <c r="J849" i="16"/>
  <c r="J850" i="16"/>
  <c r="J851" i="16"/>
  <c r="J852" i="16"/>
  <c r="J853" i="16"/>
  <c r="J854" i="16"/>
  <c r="J855" i="16"/>
  <c r="J856" i="16"/>
  <c r="J857" i="16"/>
  <c r="J858" i="16"/>
  <c r="J859" i="16"/>
  <c r="J860" i="16"/>
  <c r="J861" i="16"/>
  <c r="J862" i="16"/>
  <c r="J863" i="16"/>
  <c r="J864" i="16"/>
  <c r="J865" i="16"/>
  <c r="J866" i="16"/>
  <c r="J867" i="16"/>
  <c r="J868" i="16"/>
  <c r="J869" i="16"/>
  <c r="J870" i="16"/>
  <c r="J871" i="16"/>
  <c r="J872" i="16"/>
  <c r="J873" i="16"/>
  <c r="J874" i="16"/>
  <c r="J875" i="16"/>
  <c r="J876" i="16"/>
  <c r="J877" i="16"/>
  <c r="J878" i="16"/>
  <c r="J879" i="16"/>
  <c r="J880" i="16"/>
  <c r="J881" i="16"/>
  <c r="J882" i="16"/>
  <c r="J883" i="16"/>
  <c r="J884" i="16"/>
  <c r="J885" i="16"/>
  <c r="J886" i="16"/>
  <c r="J887" i="16"/>
  <c r="J888" i="16"/>
  <c r="J889" i="16"/>
  <c r="J890" i="16"/>
  <c r="J891" i="16"/>
  <c r="J892" i="16"/>
  <c r="J893" i="16"/>
  <c r="J894" i="16"/>
  <c r="J895" i="16"/>
  <c r="J896" i="16"/>
  <c r="J897" i="16"/>
  <c r="J898" i="16"/>
  <c r="J899" i="16"/>
  <c r="J900" i="16"/>
  <c r="J901" i="16"/>
  <c r="J902" i="16"/>
  <c r="J903" i="16"/>
  <c r="J904" i="16"/>
  <c r="J905" i="16"/>
  <c r="J906" i="16"/>
  <c r="J907" i="16"/>
  <c r="J908" i="16"/>
  <c r="J909" i="16"/>
  <c r="J910" i="16"/>
  <c r="J911" i="16"/>
  <c r="J912" i="16"/>
  <c r="J913" i="16"/>
  <c r="J914" i="16"/>
  <c r="J915" i="16"/>
  <c r="J916" i="16"/>
  <c r="J917" i="16"/>
  <c r="J918" i="16"/>
  <c r="J919" i="16"/>
  <c r="J920" i="16"/>
  <c r="J921" i="16"/>
  <c r="J922" i="16"/>
  <c r="J923" i="16"/>
  <c r="J924" i="16"/>
  <c r="J925" i="16"/>
  <c r="J926" i="16"/>
  <c r="J927" i="16"/>
  <c r="J928" i="16"/>
  <c r="J929" i="16"/>
  <c r="J930" i="16"/>
  <c r="J931" i="16"/>
  <c r="J932" i="16"/>
  <c r="J933" i="16"/>
  <c r="J934" i="16"/>
  <c r="J935" i="16"/>
  <c r="J936" i="16"/>
  <c r="J937" i="16"/>
  <c r="J938" i="16"/>
  <c r="J939" i="16"/>
  <c r="J940" i="16"/>
  <c r="J941" i="16"/>
  <c r="J942" i="16"/>
  <c r="J943" i="16"/>
  <c r="J944" i="16"/>
  <c r="J945" i="16"/>
  <c r="J946" i="16"/>
  <c r="J947" i="16"/>
  <c r="J948" i="16"/>
  <c r="J949" i="16"/>
  <c r="J950" i="16"/>
  <c r="J951" i="16"/>
  <c r="J952" i="16"/>
  <c r="J953" i="16"/>
  <c r="J954" i="16"/>
  <c r="J955" i="16"/>
  <c r="J956" i="16"/>
  <c r="J957" i="16"/>
  <c r="J958" i="16"/>
  <c r="J959" i="16"/>
  <c r="J960" i="16"/>
  <c r="J961" i="16"/>
  <c r="J962" i="16"/>
  <c r="J963" i="16"/>
  <c r="J964" i="16"/>
  <c r="J965" i="16"/>
  <c r="J966" i="16"/>
  <c r="J967" i="16"/>
  <c r="J968" i="16"/>
  <c r="J969" i="16"/>
  <c r="J970" i="16"/>
  <c r="J971" i="16"/>
  <c r="J972" i="16"/>
  <c r="J973" i="16"/>
  <c r="J974" i="16"/>
  <c r="J975" i="16"/>
  <c r="J976" i="16"/>
  <c r="J977" i="16"/>
  <c r="J978" i="16"/>
  <c r="J979" i="16"/>
  <c r="J980" i="16"/>
  <c r="J981" i="16"/>
  <c r="J982" i="16"/>
  <c r="J983" i="16"/>
  <c r="J984" i="16"/>
  <c r="J985" i="16"/>
  <c r="J986" i="16"/>
  <c r="J987" i="16"/>
  <c r="J988" i="16"/>
  <c r="J989" i="16"/>
  <c r="J990" i="16"/>
  <c r="J991" i="16"/>
  <c r="J992" i="16"/>
  <c r="J993" i="16"/>
  <c r="J994" i="16"/>
  <c r="J995" i="16"/>
  <c r="J996" i="16"/>
  <c r="J997" i="16"/>
  <c r="J998" i="16"/>
  <c r="J999" i="16"/>
  <c r="J1000" i="16"/>
  <c r="J1001" i="16"/>
  <c r="J1002" i="16"/>
  <c r="J1003" i="16"/>
  <c r="J1004" i="16"/>
  <c r="J1005" i="16"/>
  <c r="J1006" i="16"/>
  <c r="J1007" i="16"/>
  <c r="J1008" i="16"/>
  <c r="J1009" i="16"/>
  <c r="J1010" i="16"/>
  <c r="J1011" i="16"/>
  <c r="J1012" i="16"/>
  <c r="J1013" i="16"/>
  <c r="J1014" i="16"/>
  <c r="J1015" i="16"/>
  <c r="J1016" i="16"/>
  <c r="J1017" i="16"/>
  <c r="J1018" i="16"/>
  <c r="J1019" i="16"/>
  <c r="J1020" i="16"/>
  <c r="J1021" i="16"/>
  <c r="J1022" i="16"/>
  <c r="J1023" i="16"/>
  <c r="J1024" i="16"/>
  <c r="J1025" i="16"/>
  <c r="J1026" i="16"/>
  <c r="J1027" i="16"/>
  <c r="J1028" i="16"/>
  <c r="J1029" i="16"/>
  <c r="J1030" i="16"/>
  <c r="J1031" i="16"/>
  <c r="J1032" i="16"/>
  <c r="J1033" i="16"/>
  <c r="J1034" i="16"/>
  <c r="J1035" i="16"/>
  <c r="J1036" i="16"/>
  <c r="J1037" i="16"/>
  <c r="J1038" i="16"/>
  <c r="J1039" i="16"/>
  <c r="J1040" i="16"/>
  <c r="J1041" i="16"/>
  <c r="J1042" i="16"/>
  <c r="J1043" i="16"/>
  <c r="J1044" i="16"/>
  <c r="J1045" i="16"/>
  <c r="J1046" i="16"/>
  <c r="J1047" i="16"/>
  <c r="J1048" i="16"/>
  <c r="J1049" i="16"/>
  <c r="J1050" i="16"/>
  <c r="J1051" i="16"/>
  <c r="J1052" i="16"/>
  <c r="J1053" i="16"/>
  <c r="J1054" i="16"/>
  <c r="J1055" i="16"/>
  <c r="J1056" i="16"/>
  <c r="J1057" i="16"/>
  <c r="J1058" i="16"/>
  <c r="J1059" i="16"/>
  <c r="J1060" i="16"/>
  <c r="J1061" i="16"/>
  <c r="J1062" i="16"/>
  <c r="J1063" i="16"/>
  <c r="J1064" i="16"/>
  <c r="J1065" i="16"/>
  <c r="J1066" i="16"/>
  <c r="J1067" i="16"/>
  <c r="J1068" i="16"/>
  <c r="J1069" i="16"/>
  <c r="J1070" i="16"/>
  <c r="J1071" i="16"/>
  <c r="J1072" i="16"/>
  <c r="J1073" i="16"/>
  <c r="J1074" i="16"/>
  <c r="J1075" i="16"/>
  <c r="J1076" i="16"/>
  <c r="J1077" i="16"/>
  <c r="J1078" i="16"/>
  <c r="J1079" i="16"/>
  <c r="J1080" i="16"/>
  <c r="J1081" i="16"/>
  <c r="J1082" i="16"/>
  <c r="J1083" i="16"/>
  <c r="J1084" i="16"/>
  <c r="J1085" i="16"/>
  <c r="J1086" i="16"/>
  <c r="J1087" i="16"/>
  <c r="J1088" i="16"/>
  <c r="J1089" i="16"/>
  <c r="J1090" i="16"/>
  <c r="J1091" i="16"/>
  <c r="J1092" i="16"/>
  <c r="J1093" i="16"/>
  <c r="J1094" i="16"/>
  <c r="J1095" i="16"/>
  <c r="J1096" i="16"/>
  <c r="J1097" i="16"/>
  <c r="J1098" i="16"/>
  <c r="J1099" i="16"/>
  <c r="J1100" i="16"/>
  <c r="J1101" i="16"/>
  <c r="J1102" i="16"/>
  <c r="J1103" i="16"/>
  <c r="J1104" i="16"/>
  <c r="J1105" i="16"/>
  <c r="J1106" i="16"/>
  <c r="J1107" i="16"/>
  <c r="J1108" i="16"/>
  <c r="J1109" i="16"/>
  <c r="J1110" i="16"/>
  <c r="J1111" i="16"/>
  <c r="J1112" i="16"/>
  <c r="J1113" i="16"/>
  <c r="J1114" i="16"/>
  <c r="J1115" i="16"/>
  <c r="J1116" i="16"/>
  <c r="J1117" i="16"/>
  <c r="J1118" i="16"/>
  <c r="J1119" i="16"/>
  <c r="J1120" i="16"/>
  <c r="J1121" i="16"/>
  <c r="J1122" i="16"/>
  <c r="J1123" i="16"/>
  <c r="J1124" i="16"/>
  <c r="J1125" i="16"/>
  <c r="J1126" i="16"/>
  <c r="J1127" i="16"/>
  <c r="J1128" i="16"/>
  <c r="J1129" i="16"/>
  <c r="J1130" i="16"/>
  <c r="J1131" i="16"/>
  <c r="J1132" i="16"/>
  <c r="J1133" i="16"/>
  <c r="J1134" i="16"/>
  <c r="J1135" i="16"/>
  <c r="J1136" i="16"/>
  <c r="J1137" i="16"/>
  <c r="J1138" i="16"/>
  <c r="J1139" i="16"/>
  <c r="J1140" i="16"/>
  <c r="J1141" i="16"/>
  <c r="J1142" i="16"/>
  <c r="J1143" i="16"/>
  <c r="J1144" i="16"/>
  <c r="J1145" i="16"/>
  <c r="J1146" i="16"/>
  <c r="J1147" i="16"/>
  <c r="J1148" i="16"/>
  <c r="J1149" i="16"/>
  <c r="J1150" i="16"/>
  <c r="J1151" i="16"/>
  <c r="J1152" i="16"/>
  <c r="J1153" i="16"/>
  <c r="J1154" i="16"/>
  <c r="J1155" i="16"/>
  <c r="J1156" i="16"/>
  <c r="J1157" i="16"/>
  <c r="J1158" i="16"/>
  <c r="J1159" i="16"/>
  <c r="J1160" i="16"/>
  <c r="J1161" i="16"/>
  <c r="J1162" i="16"/>
  <c r="J1163" i="16"/>
  <c r="J1164" i="16"/>
  <c r="J1165" i="16"/>
  <c r="J1166" i="16"/>
  <c r="J1167" i="16"/>
  <c r="J1168" i="16"/>
  <c r="J1169" i="16"/>
  <c r="J1170" i="16"/>
  <c r="J1171" i="16"/>
  <c r="J1172" i="16"/>
  <c r="J1173" i="16"/>
  <c r="J1174" i="16"/>
  <c r="J1175" i="16"/>
  <c r="J1176" i="16"/>
  <c r="J1177" i="16"/>
  <c r="J1178" i="16"/>
  <c r="J1179" i="16"/>
  <c r="J1180" i="16"/>
  <c r="J1181" i="16"/>
  <c r="J1182" i="16"/>
  <c r="J1183" i="16"/>
  <c r="J1184" i="16"/>
  <c r="J1185" i="16"/>
  <c r="J1186" i="16"/>
  <c r="J1187" i="16"/>
  <c r="J1188" i="16"/>
  <c r="J1189" i="16"/>
  <c r="J1190" i="16"/>
  <c r="J1191" i="16"/>
  <c r="J1192" i="16"/>
  <c r="J1193" i="16"/>
  <c r="J1194" i="16"/>
  <c r="J1195" i="16"/>
  <c r="J1196" i="16"/>
  <c r="J1197" i="16"/>
  <c r="J1198" i="16"/>
  <c r="J1199" i="16"/>
  <c r="J1200" i="16"/>
  <c r="J1201" i="16"/>
  <c r="J1202" i="16"/>
  <c r="J1203" i="16"/>
  <c r="J1204" i="16"/>
  <c r="J1205" i="16"/>
  <c r="J1206" i="16"/>
  <c r="J1207" i="16"/>
  <c r="J1208" i="16"/>
  <c r="J1209" i="16"/>
  <c r="J1210" i="16"/>
  <c r="J1211" i="16"/>
  <c r="J1212" i="16"/>
  <c r="J1213" i="16"/>
  <c r="J1214" i="16"/>
  <c r="J1215" i="16"/>
  <c r="J1216" i="16"/>
  <c r="J1217" i="16"/>
  <c r="J1218" i="16"/>
  <c r="J1219" i="16"/>
  <c r="J1220" i="16"/>
  <c r="J1221" i="16"/>
  <c r="J1222" i="16"/>
  <c r="J1223" i="16"/>
  <c r="J1224" i="16"/>
  <c r="J1225" i="16"/>
  <c r="J1226" i="16"/>
  <c r="J1227" i="16"/>
  <c r="J1228" i="16"/>
  <c r="J1229" i="16"/>
  <c r="J1230" i="16"/>
  <c r="J1231" i="16"/>
  <c r="J1232" i="16"/>
  <c r="J1233" i="16"/>
  <c r="J1234" i="16"/>
  <c r="J1235" i="16"/>
  <c r="J1236" i="16"/>
  <c r="J1237" i="16"/>
  <c r="J1238" i="16"/>
  <c r="J1239" i="16"/>
  <c r="J1240" i="16"/>
  <c r="J1241" i="16"/>
  <c r="J1242" i="16"/>
  <c r="J1243" i="16"/>
  <c r="J1244" i="16"/>
  <c r="J1245" i="16"/>
  <c r="J1246" i="16"/>
  <c r="J1247" i="16"/>
  <c r="J1248" i="16"/>
  <c r="J1249" i="16"/>
  <c r="J1250" i="16"/>
  <c r="J1251" i="16"/>
  <c r="J1252" i="16"/>
  <c r="J1253" i="16"/>
  <c r="J1254" i="16"/>
  <c r="J1255" i="16"/>
  <c r="J1256" i="16"/>
  <c r="J1257" i="16"/>
  <c r="J1258" i="16"/>
  <c r="J1259" i="16"/>
  <c r="J1260" i="16"/>
  <c r="J1261" i="16"/>
  <c r="J1262" i="16"/>
  <c r="J1263" i="16"/>
  <c r="J1264" i="16"/>
  <c r="J1265" i="16"/>
  <c r="J1266" i="16"/>
  <c r="J1267" i="16"/>
  <c r="J1268" i="16"/>
  <c r="J1269" i="16"/>
  <c r="J1270" i="16"/>
  <c r="J1271" i="16"/>
  <c r="J1272" i="16"/>
  <c r="J1273" i="16"/>
  <c r="J1274" i="16"/>
  <c r="J1275" i="16"/>
  <c r="J1276" i="16"/>
  <c r="J1277" i="16"/>
  <c r="J1278" i="16"/>
  <c r="J1279" i="16"/>
  <c r="J1280" i="16"/>
  <c r="J1281" i="16"/>
  <c r="J1282" i="16"/>
  <c r="J1283" i="16"/>
  <c r="J1284" i="16"/>
  <c r="J1285" i="16"/>
  <c r="J1286" i="16"/>
  <c r="J1287" i="16"/>
  <c r="J1288" i="16"/>
  <c r="J1289" i="16"/>
  <c r="J1290" i="16"/>
  <c r="J1291" i="16"/>
  <c r="J1292" i="16"/>
  <c r="J1293" i="16"/>
  <c r="J1294" i="16"/>
  <c r="J1295" i="16"/>
  <c r="J1296" i="16"/>
  <c r="J1297" i="16"/>
  <c r="J1298" i="16"/>
  <c r="J1299" i="16"/>
  <c r="J1300" i="16"/>
  <c r="J1301" i="16"/>
  <c r="J1302" i="16"/>
  <c r="J1303" i="16"/>
  <c r="J1304" i="16"/>
  <c r="J1305" i="16"/>
  <c r="J1306" i="16"/>
  <c r="J1307" i="16"/>
  <c r="J1308" i="16"/>
  <c r="J1309" i="16"/>
  <c r="J1310" i="16"/>
  <c r="J1311" i="16"/>
  <c r="J1312" i="16"/>
  <c r="J1313" i="16"/>
  <c r="J1314" i="16"/>
  <c r="J1315" i="16"/>
  <c r="J1316" i="16"/>
  <c r="J1317" i="16"/>
  <c r="J1318" i="16"/>
  <c r="J1319" i="16"/>
  <c r="J1320" i="16"/>
  <c r="J1321" i="16"/>
  <c r="J1322" i="16"/>
  <c r="J1323" i="16"/>
  <c r="J1324" i="16"/>
  <c r="J1325" i="16"/>
  <c r="J1326" i="16"/>
  <c r="J1327" i="16"/>
  <c r="J1328" i="16"/>
  <c r="J1329" i="16"/>
  <c r="J1330" i="16"/>
  <c r="J1331" i="16"/>
  <c r="J1332" i="16"/>
  <c r="J1333" i="16"/>
  <c r="J1334" i="16"/>
  <c r="J1335" i="16"/>
  <c r="J1336" i="16"/>
  <c r="J1337" i="16"/>
  <c r="J1338" i="16"/>
  <c r="J1339" i="16"/>
  <c r="J1340" i="16"/>
  <c r="J1341" i="16"/>
  <c r="J1342" i="16"/>
  <c r="J1343" i="16"/>
  <c r="J1344" i="16"/>
  <c r="J1345" i="16"/>
  <c r="J1346" i="16"/>
  <c r="J1347" i="16"/>
  <c r="J1348" i="16"/>
  <c r="J1349" i="16"/>
  <c r="J1350" i="16"/>
  <c r="J1351" i="16"/>
  <c r="J1352" i="16"/>
  <c r="J1353" i="16"/>
  <c r="J1354" i="16"/>
  <c r="J1355" i="16"/>
  <c r="J1356" i="16"/>
  <c r="J1357" i="16"/>
  <c r="J1358" i="16"/>
  <c r="J1359" i="16"/>
  <c r="J1360" i="16"/>
  <c r="J1361" i="16"/>
  <c r="J1362" i="16"/>
  <c r="J1363" i="16"/>
  <c r="J1364" i="16"/>
  <c r="J1365" i="16"/>
  <c r="J1366" i="16"/>
  <c r="J1367" i="16"/>
  <c r="J1368" i="16"/>
  <c r="J1369" i="16"/>
  <c r="J1370" i="16"/>
  <c r="J1371" i="16"/>
  <c r="J1372" i="16"/>
  <c r="J1373" i="16"/>
  <c r="J1374" i="16"/>
  <c r="J1375" i="16"/>
  <c r="J1376" i="16"/>
  <c r="J1377" i="16"/>
  <c r="J1378" i="16"/>
  <c r="J1379" i="16"/>
  <c r="J1380" i="16"/>
  <c r="J1381" i="16"/>
  <c r="J1382" i="16"/>
  <c r="J1383" i="16"/>
  <c r="J1384" i="16"/>
  <c r="J1385" i="16"/>
  <c r="J1386" i="16"/>
  <c r="J1387" i="16"/>
  <c r="J1388" i="16"/>
  <c r="J1389" i="16"/>
  <c r="J1390" i="16"/>
  <c r="J1391" i="16"/>
  <c r="J1392" i="16"/>
  <c r="J1393" i="16"/>
  <c r="J1394" i="16"/>
  <c r="J1395" i="16"/>
  <c r="J1396" i="16"/>
  <c r="J1397" i="16"/>
  <c r="J1398" i="16"/>
  <c r="J1399" i="16"/>
  <c r="J1400" i="16"/>
  <c r="J1401" i="16"/>
  <c r="J1402" i="16"/>
  <c r="J1403" i="16"/>
  <c r="J1404" i="16"/>
  <c r="J1405" i="16"/>
  <c r="J1406" i="16"/>
  <c r="J1407" i="16"/>
  <c r="J1408" i="16"/>
  <c r="J1409" i="16"/>
  <c r="J1410" i="16"/>
  <c r="J1411" i="16"/>
  <c r="J1412" i="16"/>
  <c r="J1413" i="16"/>
  <c r="J1414" i="16"/>
  <c r="J1415" i="16"/>
  <c r="J1416" i="16"/>
  <c r="J1417" i="16"/>
  <c r="J1418" i="16"/>
  <c r="J1419" i="16"/>
  <c r="J1420" i="16"/>
  <c r="J1421" i="16"/>
  <c r="J1422" i="16"/>
  <c r="J1423" i="16"/>
  <c r="J1424" i="16"/>
  <c r="J1425" i="16"/>
  <c r="J1426" i="16"/>
  <c r="J1427" i="16"/>
  <c r="J1428" i="16"/>
  <c r="J1429" i="16"/>
  <c r="J1430" i="16"/>
  <c r="J1431" i="16"/>
  <c r="J1432" i="16"/>
  <c r="J1433" i="16"/>
  <c r="J1434" i="16"/>
  <c r="J1435" i="16"/>
  <c r="J1436" i="16"/>
  <c r="J1437" i="16"/>
  <c r="J1438" i="16"/>
  <c r="J1439" i="16"/>
  <c r="J1440" i="16"/>
  <c r="J1441" i="16"/>
  <c r="J1442" i="16"/>
  <c r="J1443" i="16"/>
  <c r="J1444" i="16"/>
  <c r="J1445" i="16"/>
  <c r="J1446" i="16"/>
  <c r="J1447" i="16"/>
  <c r="J1448" i="16"/>
  <c r="J1449" i="16"/>
  <c r="J1450" i="16"/>
  <c r="J1451" i="16"/>
  <c r="J1452" i="16"/>
  <c r="J1453" i="16"/>
  <c r="J1454" i="16"/>
  <c r="J1455" i="16"/>
  <c r="J1456" i="16"/>
  <c r="J1457" i="16"/>
  <c r="J1458" i="16"/>
  <c r="J1459" i="16"/>
  <c r="J1460" i="16"/>
  <c r="J1461" i="16"/>
  <c r="J1462" i="16"/>
  <c r="J1463" i="16"/>
  <c r="J1464" i="16"/>
  <c r="J1465" i="16"/>
  <c r="J1466" i="16"/>
  <c r="J1467" i="16"/>
  <c r="J1468" i="16"/>
  <c r="J1469" i="16"/>
  <c r="J1470" i="16"/>
  <c r="J1471" i="16"/>
  <c r="J1472" i="16"/>
  <c r="J1473" i="16"/>
  <c r="J1474" i="16"/>
  <c r="J1475" i="16"/>
  <c r="J1476" i="16"/>
  <c r="J1477" i="16"/>
  <c r="J1478" i="16"/>
  <c r="J1479" i="16"/>
  <c r="J1480" i="16"/>
  <c r="J1481" i="16"/>
  <c r="J1482" i="16"/>
  <c r="J1483" i="16"/>
  <c r="J1484" i="16"/>
  <c r="J1485" i="16"/>
  <c r="J1486" i="16"/>
  <c r="J1487" i="16"/>
  <c r="J1488" i="16"/>
  <c r="J1489" i="16"/>
  <c r="J1490" i="16"/>
  <c r="J1491" i="16"/>
  <c r="J1492" i="16"/>
  <c r="J1493" i="16"/>
  <c r="J1494" i="16"/>
  <c r="J1495" i="16"/>
  <c r="J1496" i="16"/>
  <c r="J1497" i="16"/>
  <c r="J1498" i="16"/>
  <c r="J1499" i="16"/>
  <c r="J1500" i="16"/>
  <c r="J1501" i="16"/>
  <c r="J1502" i="16"/>
  <c r="J1503" i="16"/>
  <c r="J1504" i="16"/>
  <c r="J1505" i="16"/>
  <c r="J1506" i="16"/>
  <c r="J1507" i="16"/>
  <c r="J1508" i="16"/>
  <c r="J1509" i="16"/>
  <c r="J1510" i="16"/>
  <c r="J1511" i="16"/>
  <c r="J1512" i="16"/>
  <c r="J1513" i="16"/>
  <c r="J1514" i="16"/>
  <c r="J1515" i="16"/>
  <c r="J1516" i="16"/>
  <c r="J1517" i="16"/>
  <c r="J1518" i="16"/>
  <c r="J1519" i="16"/>
  <c r="J1520" i="16"/>
  <c r="J1521" i="16"/>
  <c r="J1522" i="16"/>
  <c r="J1523" i="16"/>
  <c r="J1524" i="16"/>
  <c r="J1525" i="16"/>
  <c r="J1526" i="16"/>
  <c r="J1527" i="16"/>
  <c r="J1528" i="16"/>
  <c r="J1529" i="16"/>
  <c r="J1530" i="16"/>
  <c r="J1531" i="16"/>
  <c r="J1532" i="16"/>
  <c r="J1533" i="16"/>
  <c r="J1534" i="16"/>
  <c r="J1535" i="16"/>
  <c r="J1536" i="16"/>
  <c r="J1537" i="16"/>
  <c r="J1538" i="16"/>
  <c r="J1539" i="16"/>
  <c r="J1540" i="16"/>
  <c r="J1541" i="16"/>
  <c r="J1542" i="16"/>
  <c r="J1543" i="16"/>
  <c r="J1544" i="16"/>
  <c r="J1545" i="16"/>
  <c r="J1546" i="16"/>
  <c r="J1547" i="16"/>
  <c r="J1548" i="16"/>
  <c r="J1549" i="16"/>
  <c r="J1550" i="16"/>
  <c r="J1551" i="16"/>
  <c r="J1552" i="16"/>
  <c r="J1553" i="16"/>
  <c r="J1554" i="16"/>
  <c r="J1555" i="16"/>
  <c r="J1556" i="16"/>
  <c r="J1557" i="16"/>
  <c r="J1558" i="16"/>
  <c r="J1559" i="16"/>
  <c r="J1560" i="16"/>
  <c r="J1561" i="16"/>
  <c r="J1562" i="16"/>
  <c r="J1563" i="16"/>
  <c r="J1564" i="16"/>
  <c r="J1565" i="16"/>
  <c r="J1566" i="16"/>
  <c r="J1567" i="16"/>
  <c r="J1568" i="16"/>
  <c r="J1569" i="16"/>
  <c r="J1570" i="16"/>
  <c r="J1571" i="16"/>
  <c r="J1572" i="16"/>
  <c r="J1573" i="16"/>
  <c r="J1574" i="16"/>
  <c r="J1575" i="16"/>
  <c r="J1576" i="16"/>
  <c r="J1577" i="16"/>
  <c r="J1578" i="16"/>
  <c r="J1579" i="16"/>
  <c r="J1580" i="16"/>
  <c r="J1581" i="16"/>
  <c r="J1582" i="16"/>
  <c r="J1583" i="16"/>
  <c r="J1584" i="16"/>
  <c r="J1585" i="16"/>
  <c r="J1586" i="16"/>
  <c r="J1587" i="16"/>
  <c r="J1588" i="16"/>
  <c r="J1589" i="16"/>
  <c r="J1590" i="16"/>
  <c r="J1591" i="16"/>
  <c r="J1592" i="16"/>
  <c r="J1593" i="16"/>
  <c r="J1594" i="16"/>
  <c r="J1595" i="16"/>
  <c r="J1596" i="16"/>
  <c r="J1597" i="16"/>
  <c r="J1598" i="16"/>
  <c r="J1599" i="16"/>
  <c r="J1600" i="16"/>
  <c r="J1601" i="16"/>
  <c r="J1602" i="16"/>
  <c r="J1603" i="16"/>
  <c r="J1604" i="16"/>
  <c r="J1605" i="16"/>
  <c r="J1606" i="16"/>
  <c r="J1607" i="16"/>
  <c r="J1608" i="16"/>
  <c r="J1609" i="16"/>
  <c r="J1610" i="16"/>
  <c r="J1611" i="16"/>
  <c r="J1612" i="16"/>
  <c r="J1613" i="16"/>
  <c r="J1614" i="16"/>
  <c r="J1615" i="16"/>
  <c r="J1616" i="16"/>
  <c r="J1617" i="16"/>
  <c r="J1618" i="16"/>
  <c r="J1619" i="16"/>
  <c r="J1620" i="16"/>
  <c r="J1621" i="16"/>
  <c r="J1622" i="16"/>
  <c r="J1623" i="16"/>
  <c r="J1624" i="16"/>
  <c r="J1625" i="16"/>
  <c r="J1626" i="16"/>
  <c r="J1627" i="16"/>
  <c r="J1628" i="16"/>
  <c r="J1629" i="16"/>
  <c r="J1630" i="16"/>
  <c r="J1631" i="16"/>
  <c r="J1632" i="16"/>
  <c r="J1633" i="16"/>
  <c r="J1634" i="16"/>
  <c r="J1635" i="16"/>
  <c r="J1636" i="16"/>
  <c r="J1637" i="16"/>
  <c r="J1638" i="16"/>
  <c r="J1639" i="16"/>
  <c r="J1640" i="16"/>
  <c r="J1641" i="16"/>
  <c r="J1642" i="16"/>
  <c r="J1643" i="16"/>
  <c r="J1644" i="16"/>
  <c r="J1645" i="16"/>
  <c r="J1646" i="16"/>
  <c r="J1647" i="16"/>
  <c r="J1648" i="16"/>
  <c r="J1649" i="16"/>
  <c r="J1650" i="16"/>
  <c r="J1651" i="16"/>
  <c r="J1652" i="16"/>
  <c r="J1653" i="16"/>
  <c r="J1654" i="16"/>
  <c r="J1655" i="16"/>
  <c r="J1656" i="16"/>
  <c r="J1657" i="16"/>
  <c r="J1658" i="16"/>
  <c r="J1659" i="16"/>
  <c r="J1660" i="16"/>
  <c r="J1661" i="16"/>
  <c r="J1662" i="16"/>
  <c r="J1663" i="16"/>
  <c r="J1664" i="16"/>
  <c r="J1665" i="16"/>
  <c r="J1666" i="16"/>
  <c r="J1667" i="16"/>
  <c r="J1668" i="16"/>
  <c r="J1669" i="16"/>
  <c r="J1670" i="16"/>
  <c r="J1671" i="16"/>
  <c r="J1672" i="16"/>
  <c r="J1673" i="16"/>
  <c r="J1674" i="16"/>
  <c r="J1675" i="16"/>
  <c r="J1676" i="16"/>
  <c r="J1677" i="16"/>
  <c r="J1678" i="16"/>
  <c r="J1679" i="16"/>
  <c r="J1680" i="16"/>
  <c r="J1681" i="16"/>
  <c r="J1682" i="16"/>
  <c r="J1683" i="16"/>
  <c r="J1684" i="16"/>
  <c r="J1685" i="16"/>
  <c r="J1686" i="16"/>
  <c r="J1687" i="16"/>
  <c r="J1688" i="16"/>
  <c r="J1689" i="16"/>
  <c r="J1690" i="16"/>
  <c r="J1691" i="16"/>
  <c r="J1692" i="16"/>
  <c r="J1693" i="16"/>
  <c r="J1694" i="16"/>
  <c r="J1695" i="16"/>
  <c r="J1696" i="16"/>
  <c r="J1697" i="16"/>
  <c r="J1698" i="16"/>
  <c r="J1699" i="16"/>
  <c r="J1700" i="16"/>
  <c r="J1701" i="16"/>
  <c r="J1702" i="16"/>
  <c r="J1703" i="16"/>
  <c r="J1704" i="16"/>
  <c r="J1705" i="16"/>
  <c r="J1706" i="16"/>
  <c r="J1707" i="16"/>
  <c r="J1708" i="16"/>
  <c r="J1709" i="16"/>
  <c r="J1710" i="16"/>
  <c r="J1711" i="16"/>
  <c r="J1712" i="16"/>
  <c r="J1713" i="16"/>
  <c r="J1714" i="16"/>
  <c r="J1715" i="16"/>
  <c r="J1716" i="16"/>
  <c r="J1717" i="16"/>
  <c r="J1718" i="16"/>
  <c r="J1719" i="16"/>
  <c r="J1720" i="16"/>
  <c r="J1721" i="16"/>
  <c r="J1722" i="16"/>
  <c r="J1723" i="16"/>
  <c r="J1724" i="16"/>
  <c r="J1725" i="16"/>
  <c r="J1726" i="16"/>
  <c r="J1727" i="16"/>
  <c r="J1728" i="16"/>
  <c r="J1729" i="16"/>
  <c r="J1730" i="16"/>
  <c r="J1731" i="16"/>
  <c r="J1732" i="16"/>
  <c r="J1733" i="16"/>
  <c r="J1734" i="16"/>
  <c r="J1735" i="16"/>
  <c r="J1736" i="16"/>
  <c r="J1737" i="16"/>
  <c r="J1738" i="16"/>
  <c r="J1739" i="16"/>
  <c r="J1740" i="16"/>
  <c r="J1741" i="16"/>
  <c r="J1742" i="16"/>
  <c r="J1743" i="16"/>
  <c r="J1744" i="16"/>
  <c r="J1745" i="16"/>
  <c r="J1746" i="16"/>
  <c r="J1747" i="16"/>
  <c r="J1748" i="16"/>
  <c r="J1749" i="16"/>
  <c r="J1750" i="16"/>
  <c r="J1751" i="16"/>
  <c r="J1752" i="16"/>
  <c r="J1753" i="16"/>
  <c r="J1754" i="16"/>
  <c r="J1755" i="16"/>
  <c r="J1756" i="16"/>
  <c r="J1757" i="16"/>
  <c r="J1758" i="16"/>
  <c r="J1759" i="16"/>
  <c r="J1760" i="16"/>
  <c r="J1761" i="16"/>
  <c r="J1762" i="16"/>
  <c r="J1763" i="16"/>
  <c r="J1764" i="16"/>
  <c r="J1765" i="16"/>
  <c r="J1766" i="16"/>
  <c r="J1767" i="16"/>
  <c r="J1768" i="16"/>
  <c r="J1769" i="16"/>
  <c r="J1770" i="16"/>
  <c r="J1771" i="16"/>
  <c r="J1772" i="16"/>
  <c r="J1773" i="16"/>
  <c r="J1774" i="16"/>
  <c r="J1775" i="16"/>
  <c r="J1776" i="16"/>
  <c r="J1777" i="16"/>
  <c r="J1778" i="16"/>
  <c r="J1779" i="16"/>
  <c r="J1780" i="16"/>
  <c r="J1781" i="16"/>
  <c r="J1782" i="16"/>
  <c r="J1783" i="16"/>
  <c r="J1784" i="16"/>
  <c r="J1785" i="16"/>
  <c r="J1786" i="16"/>
  <c r="J1787" i="16"/>
  <c r="J1788" i="16"/>
  <c r="J1789" i="16"/>
  <c r="J1790" i="16"/>
  <c r="J1791" i="16"/>
  <c r="J1792" i="16"/>
  <c r="J1793" i="16"/>
  <c r="J1794" i="16"/>
  <c r="J1795" i="16"/>
  <c r="J1796" i="16"/>
  <c r="J1797" i="16"/>
  <c r="J1798" i="16"/>
  <c r="J1799" i="16"/>
  <c r="J1800" i="16"/>
  <c r="J1801" i="16"/>
  <c r="J1802" i="16"/>
  <c r="J1803" i="16"/>
  <c r="J1804" i="16"/>
  <c r="J1805" i="16"/>
  <c r="J1806" i="16"/>
  <c r="J1807" i="16"/>
  <c r="J1808" i="16"/>
  <c r="J1809" i="16"/>
  <c r="J1810" i="16"/>
  <c r="J1811" i="16"/>
  <c r="J1812" i="16"/>
  <c r="J1813" i="16"/>
  <c r="J1814" i="16"/>
  <c r="J1815" i="16"/>
  <c r="J1816" i="16"/>
  <c r="J1817" i="16"/>
  <c r="J1818" i="16"/>
  <c r="J1819" i="16"/>
  <c r="J1820" i="16"/>
  <c r="J1821" i="16"/>
  <c r="J1822" i="16"/>
  <c r="J1823" i="16"/>
  <c r="J1824" i="16"/>
  <c r="J1825" i="16"/>
  <c r="J1826" i="16"/>
  <c r="J1827" i="16"/>
  <c r="J1828" i="16"/>
  <c r="J1829" i="16"/>
  <c r="J1830" i="16"/>
  <c r="J1831" i="16"/>
  <c r="J1832" i="16"/>
  <c r="J1833" i="16"/>
  <c r="J1834" i="16"/>
  <c r="J1835" i="16"/>
  <c r="J1836" i="16"/>
  <c r="J1837" i="16"/>
  <c r="J1838" i="16"/>
  <c r="J1839" i="16"/>
  <c r="J1840" i="16"/>
  <c r="J1841" i="16"/>
  <c r="J1842" i="16"/>
  <c r="J1843" i="16"/>
  <c r="J1844" i="16"/>
  <c r="J1845" i="16"/>
  <c r="J1846" i="16"/>
  <c r="J1847" i="16"/>
  <c r="J1848" i="16"/>
  <c r="J1849" i="16"/>
  <c r="J1850" i="16"/>
  <c r="J1851" i="16"/>
  <c r="J1852" i="16"/>
  <c r="J1853" i="16"/>
  <c r="J1854" i="16"/>
  <c r="J1855" i="16"/>
  <c r="J1856" i="16"/>
  <c r="J1857" i="16"/>
  <c r="J1858" i="16"/>
  <c r="J1859" i="16"/>
  <c r="J1860" i="16"/>
  <c r="J1861" i="16"/>
  <c r="J1862" i="16"/>
  <c r="J1863" i="16"/>
  <c r="J1864" i="16"/>
  <c r="J1865" i="16"/>
  <c r="J1866" i="16"/>
  <c r="J1867" i="16"/>
  <c r="J1868" i="16"/>
  <c r="J1869" i="16"/>
  <c r="J1870" i="16"/>
  <c r="J1871" i="16"/>
  <c r="J1872" i="16"/>
  <c r="J1873" i="16"/>
  <c r="J1874" i="16"/>
  <c r="J1875" i="16"/>
  <c r="J1876" i="16"/>
  <c r="J1877" i="16"/>
  <c r="J1878" i="16"/>
  <c r="J1879" i="16"/>
  <c r="J1880" i="16"/>
  <c r="J1881" i="16"/>
  <c r="J1882" i="16"/>
  <c r="J1883" i="16"/>
  <c r="J1884" i="16"/>
  <c r="J1885" i="16"/>
  <c r="J1886" i="16"/>
  <c r="J1887" i="16"/>
  <c r="J1888" i="16"/>
  <c r="J1889" i="16"/>
  <c r="J1890" i="16"/>
  <c r="J1891" i="16"/>
  <c r="J1892" i="16"/>
  <c r="J1893" i="16"/>
  <c r="J1894" i="16"/>
  <c r="J1895" i="16"/>
  <c r="J1896" i="16"/>
  <c r="J1897" i="16"/>
  <c r="J1898" i="16"/>
  <c r="J1899" i="16"/>
  <c r="J1900" i="16"/>
  <c r="J1901" i="16"/>
  <c r="J1902" i="16"/>
  <c r="J1903" i="16"/>
  <c r="J1904" i="16"/>
  <c r="J1905" i="16"/>
  <c r="J1906" i="16"/>
  <c r="J1907" i="16"/>
  <c r="J1908" i="16"/>
  <c r="J1909" i="16"/>
  <c r="J1910" i="16"/>
  <c r="J1911" i="16"/>
  <c r="J1912" i="16"/>
  <c r="J1913" i="16"/>
  <c r="J1914" i="16"/>
  <c r="J1915" i="16"/>
  <c r="J1916" i="16"/>
  <c r="J1917" i="16"/>
  <c r="J1918" i="16"/>
  <c r="J1919" i="16"/>
  <c r="J1920" i="16"/>
  <c r="J1921" i="16"/>
  <c r="J1922" i="16"/>
  <c r="J1923" i="16"/>
  <c r="J1924" i="16"/>
  <c r="J1925" i="16"/>
  <c r="J1926" i="16"/>
  <c r="J1927" i="16"/>
  <c r="J1928" i="16"/>
  <c r="J1929" i="16"/>
  <c r="J1930" i="16"/>
  <c r="J1931" i="16"/>
  <c r="J1932" i="16"/>
  <c r="J1933" i="16"/>
  <c r="J1934" i="16"/>
  <c r="J1935" i="16"/>
  <c r="J1936" i="16"/>
  <c r="J1937" i="16"/>
  <c r="J1938" i="16"/>
  <c r="J1939" i="16"/>
  <c r="J1940" i="16"/>
  <c r="J1941" i="16"/>
  <c r="J1942" i="16"/>
  <c r="J1943" i="16"/>
  <c r="J1944" i="16"/>
  <c r="J1945" i="16"/>
  <c r="J1946" i="16"/>
  <c r="J1947" i="16"/>
  <c r="J1948" i="16"/>
  <c r="J1949" i="16"/>
  <c r="J1950" i="16"/>
  <c r="J1951" i="16"/>
  <c r="J1952" i="16"/>
  <c r="J1953" i="16"/>
  <c r="J1954" i="16"/>
  <c r="J1955" i="16"/>
  <c r="J1956" i="16"/>
  <c r="J1957" i="16"/>
  <c r="J1958" i="16"/>
  <c r="J1959" i="16"/>
  <c r="J1960" i="16"/>
  <c r="J1961" i="16"/>
  <c r="J1962" i="16"/>
  <c r="J1963" i="16"/>
  <c r="J1964" i="16"/>
  <c r="J1965" i="16"/>
  <c r="J1966" i="16"/>
  <c r="J1967" i="16"/>
  <c r="J1968" i="16"/>
  <c r="J1969" i="16"/>
  <c r="J1970" i="16"/>
  <c r="J1971" i="16"/>
  <c r="J1972" i="16"/>
  <c r="J1973" i="16"/>
  <c r="J1974" i="16"/>
  <c r="J1975" i="16"/>
  <c r="J1976" i="16"/>
  <c r="J1977" i="16"/>
  <c r="J1978" i="16"/>
  <c r="J1979" i="16"/>
  <c r="J1980" i="16"/>
  <c r="J1981" i="16"/>
  <c r="J1982" i="16"/>
  <c r="J1983" i="16"/>
  <c r="J1984" i="16"/>
  <c r="J1985" i="16"/>
  <c r="J1986" i="16"/>
  <c r="J1987" i="16"/>
  <c r="J1988" i="16"/>
  <c r="J1989" i="16"/>
  <c r="J1990" i="16"/>
  <c r="J1991" i="16"/>
  <c r="J1992" i="16"/>
  <c r="J1993" i="16"/>
  <c r="J1994" i="16"/>
  <c r="J1995" i="16"/>
  <c r="J1996" i="16"/>
  <c r="J1997" i="16"/>
  <c r="J1998" i="16"/>
  <c r="J1999" i="16"/>
  <c r="J2000" i="16"/>
  <c r="J2001" i="16"/>
  <c r="J2002" i="16"/>
  <c r="J2003" i="16"/>
  <c r="J2004" i="16"/>
  <c r="J2005" i="16"/>
  <c r="J2006" i="16"/>
  <c r="J2007" i="16"/>
  <c r="J2008" i="16"/>
  <c r="J2009" i="16"/>
  <c r="J2010" i="16"/>
  <c r="J2011" i="16"/>
  <c r="J2012" i="16"/>
  <c r="J2013" i="16"/>
  <c r="J2014" i="16"/>
  <c r="J2015" i="16"/>
  <c r="J2016" i="16"/>
  <c r="J2017" i="16"/>
  <c r="J2018" i="16"/>
  <c r="J2019" i="16"/>
  <c r="J2020" i="16"/>
  <c r="J2021" i="16"/>
  <c r="J2022" i="16"/>
  <c r="J2023" i="16"/>
  <c r="J2024" i="16"/>
  <c r="J2025" i="16"/>
  <c r="J2026" i="16"/>
  <c r="J2027" i="16"/>
  <c r="J2028" i="16"/>
  <c r="J2029" i="16"/>
  <c r="J2030" i="16"/>
  <c r="J2031" i="16"/>
  <c r="J2032" i="16"/>
  <c r="J2033" i="16"/>
  <c r="J2034" i="16"/>
  <c r="J2035" i="16"/>
  <c r="J2036" i="16"/>
  <c r="J2037" i="16"/>
  <c r="J2038" i="16"/>
  <c r="J2039" i="16"/>
  <c r="J2040" i="16"/>
  <c r="J2041" i="16"/>
  <c r="J2042" i="16"/>
  <c r="J2043" i="16"/>
  <c r="J2044" i="16"/>
  <c r="J2045" i="16"/>
  <c r="J2046" i="16"/>
  <c r="J2047" i="16"/>
  <c r="J2048" i="16"/>
  <c r="J2049" i="16"/>
  <c r="J2050" i="16"/>
  <c r="J2051" i="16"/>
  <c r="J2052" i="16"/>
  <c r="J2053" i="16"/>
  <c r="J2054" i="16"/>
  <c r="J2055" i="16"/>
  <c r="J2056" i="16"/>
  <c r="J2057" i="16"/>
  <c r="J2058" i="16"/>
  <c r="J2059" i="16"/>
  <c r="J2060" i="16"/>
  <c r="J2061" i="16"/>
  <c r="J2062" i="16"/>
  <c r="J2063" i="16"/>
  <c r="J2064" i="16"/>
  <c r="J2065" i="16"/>
  <c r="J2066" i="16"/>
  <c r="J2067" i="16"/>
  <c r="J2068" i="16"/>
  <c r="J2069" i="16"/>
  <c r="J2070" i="16"/>
  <c r="J2071" i="16"/>
  <c r="J2072" i="16"/>
  <c r="J2073" i="16"/>
  <c r="J2074" i="16"/>
  <c r="J2075" i="16"/>
  <c r="J2076" i="16"/>
  <c r="J2077" i="16"/>
  <c r="J2078" i="16"/>
  <c r="J2079" i="16"/>
  <c r="J2080" i="16"/>
  <c r="J2081" i="16"/>
  <c r="J2082" i="16"/>
  <c r="J2083" i="16"/>
  <c r="J2084" i="16"/>
  <c r="J2085" i="16"/>
  <c r="J2086" i="16"/>
  <c r="J2087" i="16"/>
  <c r="J2088" i="16"/>
  <c r="J2089" i="16"/>
  <c r="J2090" i="16"/>
  <c r="J2091" i="16"/>
  <c r="J2092" i="16"/>
  <c r="J2093" i="16"/>
  <c r="J2094" i="16"/>
  <c r="J2095" i="16"/>
  <c r="J2096" i="16"/>
  <c r="J2097" i="16"/>
  <c r="J2098" i="16"/>
  <c r="J2099" i="16"/>
  <c r="J2100" i="16"/>
  <c r="J2101" i="16"/>
  <c r="J2102" i="16"/>
  <c r="J2103" i="16"/>
  <c r="J2104" i="16"/>
  <c r="J2105" i="16"/>
  <c r="J2106" i="16"/>
  <c r="J2107" i="16"/>
  <c r="J2108" i="16"/>
  <c r="J2109" i="16"/>
  <c r="J2110" i="16"/>
  <c r="J2111" i="16"/>
  <c r="J2112" i="16"/>
  <c r="J2113" i="16"/>
  <c r="J2114" i="16"/>
  <c r="J2115" i="16"/>
  <c r="J2116" i="16"/>
  <c r="J2117" i="16"/>
  <c r="J2118" i="16"/>
  <c r="J2119" i="16"/>
  <c r="J2120" i="16"/>
  <c r="J2121" i="16"/>
  <c r="J2122" i="16"/>
  <c r="J2123" i="16"/>
  <c r="J2124" i="16"/>
  <c r="J2125" i="16"/>
  <c r="J2126" i="16"/>
  <c r="J2127" i="16"/>
  <c r="J2128" i="16"/>
  <c r="J2129" i="16"/>
  <c r="J2130" i="16"/>
  <c r="J2131" i="16"/>
  <c r="J2132" i="16"/>
  <c r="J2133" i="16"/>
  <c r="J2134" i="16"/>
  <c r="J2135" i="16"/>
  <c r="J2136" i="16"/>
  <c r="J2137" i="16"/>
  <c r="J2138" i="16"/>
  <c r="J2139" i="16"/>
  <c r="J2140" i="16"/>
  <c r="J2141" i="16"/>
  <c r="J2142" i="16"/>
  <c r="J2143" i="16"/>
  <c r="J2144" i="16"/>
  <c r="J2145" i="16"/>
  <c r="J2146" i="16"/>
  <c r="J2147" i="16"/>
  <c r="J2148" i="16"/>
  <c r="J2149" i="16"/>
  <c r="J2150" i="16"/>
  <c r="J2151" i="16"/>
  <c r="J2152" i="16"/>
  <c r="J2153" i="16"/>
  <c r="J2154" i="16"/>
  <c r="J2155" i="16"/>
  <c r="J2156" i="16"/>
  <c r="J2157" i="16"/>
  <c r="J2158" i="16"/>
  <c r="J2159" i="16"/>
  <c r="J2160" i="16"/>
  <c r="I7" i="16"/>
  <c r="I8" i="16"/>
  <c r="I9" i="16"/>
  <c r="I10" i="16"/>
  <c r="I11" i="16"/>
  <c r="I12" i="16"/>
  <c r="I13" i="16"/>
  <c r="I14" i="16"/>
  <c r="I15" i="16"/>
  <c r="I16" i="16"/>
  <c r="I17" i="16"/>
  <c r="I18" i="16"/>
  <c r="I19" i="16"/>
  <c r="I20" i="16"/>
  <c r="I21" i="16"/>
  <c r="I22" i="16"/>
  <c r="I23" i="16"/>
  <c r="I24" i="16"/>
  <c r="I25" i="16"/>
  <c r="I26" i="16"/>
  <c r="I27" i="16"/>
  <c r="I28" i="16"/>
  <c r="I29" i="16"/>
  <c r="I30" i="16"/>
  <c r="I31" i="16"/>
  <c r="I32" i="16"/>
  <c r="I33" i="16"/>
  <c r="I34" i="16"/>
  <c r="I35" i="16"/>
  <c r="I36" i="16"/>
  <c r="I37" i="16"/>
  <c r="I38" i="16"/>
  <c r="I39" i="16"/>
  <c r="I40" i="16"/>
  <c r="I41" i="16"/>
  <c r="I42" i="16"/>
  <c r="I43" i="16"/>
  <c r="I44" i="16"/>
  <c r="I45" i="16"/>
  <c r="I46" i="16"/>
  <c r="I47" i="16"/>
  <c r="I48" i="16"/>
  <c r="I49" i="16"/>
  <c r="I50" i="16"/>
  <c r="I51" i="16"/>
  <c r="I52" i="16"/>
  <c r="I53" i="16"/>
  <c r="I54" i="16"/>
  <c r="I55" i="16"/>
  <c r="I56" i="16"/>
  <c r="I57" i="16"/>
  <c r="I58" i="16"/>
  <c r="I59" i="16"/>
  <c r="I60" i="16"/>
  <c r="I61" i="16"/>
  <c r="I62" i="16"/>
  <c r="I63" i="16"/>
  <c r="I64" i="16"/>
  <c r="I65" i="16"/>
  <c r="I66" i="16"/>
  <c r="I67" i="16"/>
  <c r="I68" i="16"/>
  <c r="I69" i="16"/>
  <c r="I70" i="16"/>
  <c r="I71" i="16"/>
  <c r="I72" i="16"/>
  <c r="I73" i="16"/>
  <c r="I74" i="16"/>
  <c r="I75" i="16"/>
  <c r="I76" i="16"/>
  <c r="I77" i="16"/>
  <c r="I78" i="16"/>
  <c r="I79" i="16"/>
  <c r="I80" i="16"/>
  <c r="I81" i="16"/>
  <c r="I82" i="16"/>
  <c r="I83" i="16"/>
  <c r="I84" i="16"/>
  <c r="I85" i="16"/>
  <c r="I86" i="16"/>
  <c r="I87" i="16"/>
  <c r="I88" i="16"/>
  <c r="I89" i="16"/>
  <c r="I90" i="16"/>
  <c r="I91" i="16"/>
  <c r="I92" i="16"/>
  <c r="I93" i="16"/>
  <c r="I94" i="16"/>
  <c r="I95" i="16"/>
  <c r="I96" i="16"/>
  <c r="I97" i="16"/>
  <c r="I98" i="16"/>
  <c r="I99" i="16"/>
  <c r="I100" i="16"/>
  <c r="I101" i="16"/>
  <c r="I102" i="16"/>
  <c r="I103" i="16"/>
  <c r="I104" i="16"/>
  <c r="I105" i="16"/>
  <c r="I106" i="16"/>
  <c r="I107" i="16"/>
  <c r="I108" i="16"/>
  <c r="I109" i="16"/>
  <c r="I110" i="16"/>
  <c r="I111" i="16"/>
  <c r="I112" i="16"/>
  <c r="I113" i="16"/>
  <c r="I114" i="16"/>
  <c r="I115" i="16"/>
  <c r="I116" i="16"/>
  <c r="I117" i="16"/>
  <c r="I118" i="16"/>
  <c r="I119" i="16"/>
  <c r="I120" i="16"/>
  <c r="I121" i="16"/>
  <c r="I122" i="16"/>
  <c r="I123" i="16"/>
  <c r="I124" i="16"/>
  <c r="I125" i="16"/>
  <c r="I126" i="16"/>
  <c r="I127" i="16"/>
  <c r="I128" i="16"/>
  <c r="I129" i="16"/>
  <c r="I130" i="16"/>
  <c r="I131" i="16"/>
  <c r="I132" i="16"/>
  <c r="I133" i="16"/>
  <c r="I134" i="16"/>
  <c r="I135" i="16"/>
  <c r="I136" i="16"/>
  <c r="I137" i="16"/>
  <c r="I138" i="16"/>
  <c r="I139" i="16"/>
  <c r="I140" i="16"/>
  <c r="I141" i="16"/>
  <c r="I142" i="16"/>
  <c r="I143" i="16"/>
  <c r="I144" i="16"/>
  <c r="I145" i="16"/>
  <c r="I146" i="16"/>
  <c r="I147" i="16"/>
  <c r="I148" i="16"/>
  <c r="I149" i="16"/>
  <c r="I150" i="16"/>
  <c r="I151" i="16"/>
  <c r="I152" i="16"/>
  <c r="I153" i="16"/>
  <c r="I154" i="16"/>
  <c r="I155" i="16"/>
  <c r="I156" i="16"/>
  <c r="I157" i="16"/>
  <c r="I158" i="16"/>
  <c r="I159" i="16"/>
  <c r="I160" i="16"/>
  <c r="I161" i="16"/>
  <c r="I162" i="16"/>
  <c r="I163" i="16"/>
  <c r="I164" i="16"/>
  <c r="I165" i="16"/>
  <c r="I166" i="16"/>
  <c r="I167" i="16"/>
  <c r="I168" i="16"/>
  <c r="I169" i="16"/>
  <c r="I170" i="16"/>
  <c r="I171" i="16"/>
  <c r="I172" i="16"/>
  <c r="I173" i="16"/>
  <c r="I174" i="16"/>
  <c r="I175" i="16"/>
  <c r="I176" i="16"/>
  <c r="I177" i="16"/>
  <c r="I178" i="16"/>
  <c r="I179" i="16"/>
  <c r="I180" i="16"/>
  <c r="I181" i="16"/>
  <c r="I182" i="16"/>
  <c r="I183" i="16"/>
  <c r="I184" i="16"/>
  <c r="I185" i="16"/>
  <c r="I186" i="16"/>
  <c r="I187" i="16"/>
  <c r="I188" i="16"/>
  <c r="I189" i="16"/>
  <c r="I190" i="16"/>
  <c r="I191" i="16"/>
  <c r="I192" i="16"/>
  <c r="I193" i="16"/>
  <c r="I194" i="16"/>
  <c r="I195" i="16"/>
  <c r="I196" i="16"/>
  <c r="I197" i="16"/>
  <c r="I198" i="16"/>
  <c r="I199" i="16"/>
  <c r="I200" i="16"/>
  <c r="I201" i="16"/>
  <c r="I202" i="16"/>
  <c r="I203" i="16"/>
  <c r="I204" i="16"/>
  <c r="I205" i="16"/>
  <c r="I206" i="16"/>
  <c r="I207" i="16"/>
  <c r="I208" i="16"/>
  <c r="I209" i="16"/>
  <c r="I210" i="16"/>
  <c r="I211" i="16"/>
  <c r="I212" i="16"/>
  <c r="I213" i="16"/>
  <c r="I214" i="16"/>
  <c r="I215" i="16"/>
  <c r="I216" i="16"/>
  <c r="I217" i="16"/>
  <c r="I218" i="16"/>
  <c r="I219" i="16"/>
  <c r="I220" i="16"/>
  <c r="I221" i="16"/>
  <c r="I222" i="16"/>
  <c r="I223" i="16"/>
  <c r="I224" i="16"/>
  <c r="I225" i="16"/>
  <c r="I226" i="16"/>
  <c r="I227" i="16"/>
  <c r="I228" i="16"/>
  <c r="I229" i="16"/>
  <c r="I230" i="16"/>
  <c r="I231" i="16"/>
  <c r="I232" i="16"/>
  <c r="I233" i="16"/>
  <c r="I234" i="16"/>
  <c r="I235" i="16"/>
  <c r="I236" i="16"/>
  <c r="I237" i="16"/>
  <c r="I238" i="16"/>
  <c r="I239" i="16"/>
  <c r="I240" i="16"/>
  <c r="I241" i="16"/>
  <c r="I242" i="16"/>
  <c r="I243" i="16"/>
  <c r="I244" i="16"/>
  <c r="I245" i="16"/>
  <c r="I246" i="16"/>
  <c r="I247" i="16"/>
  <c r="I248" i="16"/>
  <c r="I249" i="16"/>
  <c r="I250" i="16"/>
  <c r="I251" i="16"/>
  <c r="I252" i="16"/>
  <c r="I253" i="16"/>
  <c r="I254" i="16"/>
  <c r="I255" i="16"/>
  <c r="I256" i="16"/>
  <c r="I257" i="16"/>
  <c r="I258" i="16"/>
  <c r="I259" i="16"/>
  <c r="I260" i="16"/>
  <c r="I261" i="16"/>
  <c r="I262" i="16"/>
  <c r="I263" i="16"/>
  <c r="I264" i="16"/>
  <c r="I265" i="16"/>
  <c r="I266" i="16"/>
  <c r="I267" i="16"/>
  <c r="I268" i="16"/>
  <c r="I269" i="16"/>
  <c r="I270" i="16"/>
  <c r="I271" i="16"/>
  <c r="I272" i="16"/>
  <c r="I273" i="16"/>
  <c r="I274" i="16"/>
  <c r="I275" i="16"/>
  <c r="I276" i="16"/>
  <c r="I277" i="16"/>
  <c r="I278" i="16"/>
  <c r="I279" i="16"/>
  <c r="I280" i="16"/>
  <c r="I281" i="16"/>
  <c r="I282" i="16"/>
  <c r="I283" i="16"/>
  <c r="I284" i="16"/>
  <c r="I285" i="16"/>
  <c r="I286" i="16"/>
  <c r="I287" i="16"/>
  <c r="I288" i="16"/>
  <c r="I289" i="16"/>
  <c r="I290" i="16"/>
  <c r="I291" i="16"/>
  <c r="I292" i="16"/>
  <c r="I293" i="16"/>
  <c r="I294" i="16"/>
  <c r="I295" i="16"/>
  <c r="I296" i="16"/>
  <c r="I297" i="16"/>
  <c r="I298" i="16"/>
  <c r="I299" i="16"/>
  <c r="I300" i="16"/>
  <c r="I301" i="16"/>
  <c r="I302" i="16"/>
  <c r="I303" i="16"/>
  <c r="I304" i="16"/>
  <c r="I305" i="16"/>
  <c r="I306" i="16"/>
  <c r="I307" i="16"/>
  <c r="I308" i="16"/>
  <c r="I309" i="16"/>
  <c r="I310" i="16"/>
  <c r="I311" i="16"/>
  <c r="I312" i="16"/>
  <c r="I313" i="16"/>
  <c r="I314" i="16"/>
  <c r="I315" i="16"/>
  <c r="I316" i="16"/>
  <c r="I317" i="16"/>
  <c r="I318" i="16"/>
  <c r="I319" i="16"/>
  <c r="I320" i="16"/>
  <c r="I321" i="16"/>
  <c r="I322" i="16"/>
  <c r="I323" i="16"/>
  <c r="I324" i="16"/>
  <c r="I325" i="16"/>
  <c r="I326" i="16"/>
  <c r="I327" i="16"/>
  <c r="I328" i="16"/>
  <c r="I329" i="16"/>
  <c r="I330" i="16"/>
  <c r="I331" i="16"/>
  <c r="I332" i="16"/>
  <c r="I333" i="16"/>
  <c r="I334" i="16"/>
  <c r="I335" i="16"/>
  <c r="I336" i="16"/>
  <c r="I337" i="16"/>
  <c r="I338" i="16"/>
  <c r="I339" i="16"/>
  <c r="I340" i="16"/>
  <c r="I341" i="16"/>
  <c r="I342" i="16"/>
  <c r="I343" i="16"/>
  <c r="I344" i="16"/>
  <c r="I345" i="16"/>
  <c r="I346" i="16"/>
  <c r="I347" i="16"/>
  <c r="I348" i="16"/>
  <c r="I349" i="16"/>
  <c r="I350" i="16"/>
  <c r="I351" i="16"/>
  <c r="I352" i="16"/>
  <c r="I353" i="16"/>
  <c r="I354" i="16"/>
  <c r="I355" i="16"/>
  <c r="I356" i="16"/>
  <c r="I357" i="16"/>
  <c r="I358" i="16"/>
  <c r="I359" i="16"/>
  <c r="I360" i="16"/>
  <c r="I361" i="16"/>
  <c r="I362" i="16"/>
  <c r="I363" i="16"/>
  <c r="I364" i="16"/>
  <c r="I365" i="16"/>
  <c r="I366" i="16"/>
  <c r="I367" i="16"/>
  <c r="I368" i="16"/>
  <c r="I369" i="16"/>
  <c r="I370" i="16"/>
  <c r="I371" i="16"/>
  <c r="I372" i="16"/>
  <c r="I373" i="16"/>
  <c r="I374" i="16"/>
  <c r="I375" i="16"/>
  <c r="I376" i="16"/>
  <c r="I377" i="16"/>
  <c r="I378" i="16"/>
  <c r="I379" i="16"/>
  <c r="I380" i="16"/>
  <c r="I381" i="16"/>
  <c r="I382" i="16"/>
  <c r="I383" i="16"/>
  <c r="I384" i="16"/>
  <c r="I385" i="16"/>
  <c r="I386" i="16"/>
  <c r="I387" i="16"/>
  <c r="I388" i="16"/>
  <c r="I389" i="16"/>
  <c r="I390" i="16"/>
  <c r="I391" i="16"/>
  <c r="I392" i="16"/>
  <c r="I393" i="16"/>
  <c r="I394" i="16"/>
  <c r="I395" i="16"/>
  <c r="I396" i="16"/>
  <c r="I397" i="16"/>
  <c r="I398" i="16"/>
  <c r="I399" i="16"/>
  <c r="I400" i="16"/>
  <c r="I401" i="16"/>
  <c r="I402" i="16"/>
  <c r="I403" i="16"/>
  <c r="I404" i="16"/>
  <c r="I405" i="16"/>
  <c r="I406" i="16"/>
  <c r="I407" i="16"/>
  <c r="I408" i="16"/>
  <c r="I409" i="16"/>
  <c r="I410" i="16"/>
  <c r="I411" i="16"/>
  <c r="I412" i="16"/>
  <c r="I413" i="16"/>
  <c r="I414" i="16"/>
  <c r="I415" i="16"/>
  <c r="I416" i="16"/>
  <c r="I417" i="16"/>
  <c r="I418" i="16"/>
  <c r="I419" i="16"/>
  <c r="I420" i="16"/>
  <c r="I421" i="16"/>
  <c r="I422" i="16"/>
  <c r="I423" i="16"/>
  <c r="I424" i="16"/>
  <c r="I425" i="16"/>
  <c r="I426" i="16"/>
  <c r="I427" i="16"/>
  <c r="I428" i="16"/>
  <c r="I429" i="16"/>
  <c r="I430" i="16"/>
  <c r="I431" i="16"/>
  <c r="I432" i="16"/>
  <c r="I433" i="16"/>
  <c r="I434" i="16"/>
  <c r="I435" i="16"/>
  <c r="I436" i="16"/>
  <c r="I437" i="16"/>
  <c r="I438" i="16"/>
  <c r="I439" i="16"/>
  <c r="I440" i="16"/>
  <c r="I441" i="16"/>
  <c r="I442" i="16"/>
  <c r="I443" i="16"/>
  <c r="I444" i="16"/>
  <c r="I445" i="16"/>
  <c r="I446" i="16"/>
  <c r="I447" i="16"/>
  <c r="I448" i="16"/>
  <c r="I449" i="16"/>
  <c r="I450" i="16"/>
  <c r="I451" i="16"/>
  <c r="I452" i="16"/>
  <c r="I453" i="16"/>
  <c r="I454" i="16"/>
  <c r="I455" i="16"/>
  <c r="I456" i="16"/>
  <c r="I457" i="16"/>
  <c r="I458" i="16"/>
  <c r="I459" i="16"/>
  <c r="I460" i="16"/>
  <c r="I461" i="16"/>
  <c r="I462" i="16"/>
  <c r="I463" i="16"/>
  <c r="I464" i="16"/>
  <c r="I465" i="16"/>
  <c r="I466" i="16"/>
  <c r="I467" i="16"/>
  <c r="I468" i="16"/>
  <c r="I469" i="16"/>
  <c r="I470" i="16"/>
  <c r="I471" i="16"/>
  <c r="I472" i="16"/>
  <c r="I473" i="16"/>
  <c r="I474" i="16"/>
  <c r="I475" i="16"/>
  <c r="I476" i="16"/>
  <c r="I477" i="16"/>
  <c r="I478" i="16"/>
  <c r="I479" i="16"/>
  <c r="I480" i="16"/>
  <c r="I481" i="16"/>
  <c r="I482" i="16"/>
  <c r="I483" i="16"/>
  <c r="I484" i="16"/>
  <c r="I485" i="16"/>
  <c r="I486" i="16"/>
  <c r="I487" i="16"/>
  <c r="I488" i="16"/>
  <c r="I489" i="16"/>
  <c r="I490" i="16"/>
  <c r="I491" i="16"/>
  <c r="I492" i="16"/>
  <c r="I493" i="16"/>
  <c r="I494" i="16"/>
  <c r="I495" i="16"/>
  <c r="I496" i="16"/>
  <c r="I497" i="16"/>
  <c r="I498" i="16"/>
  <c r="I499" i="16"/>
  <c r="I500" i="16"/>
  <c r="I501" i="16"/>
  <c r="I502" i="16"/>
  <c r="I503" i="16"/>
  <c r="I504" i="16"/>
  <c r="I505" i="16"/>
  <c r="I506" i="16"/>
  <c r="I507" i="16"/>
  <c r="I508" i="16"/>
  <c r="I509" i="16"/>
  <c r="I510" i="16"/>
  <c r="I511" i="16"/>
  <c r="I512" i="16"/>
  <c r="I513" i="16"/>
  <c r="I514" i="16"/>
  <c r="I515" i="16"/>
  <c r="I516" i="16"/>
  <c r="I517" i="16"/>
  <c r="I518" i="16"/>
  <c r="I519" i="16"/>
  <c r="I520" i="16"/>
  <c r="I521" i="16"/>
  <c r="I522" i="16"/>
  <c r="I523" i="16"/>
  <c r="I524" i="16"/>
  <c r="I525" i="16"/>
  <c r="I526" i="16"/>
  <c r="I527" i="16"/>
  <c r="I528" i="16"/>
  <c r="I529" i="16"/>
  <c r="I530" i="16"/>
  <c r="I531" i="16"/>
  <c r="I532" i="16"/>
  <c r="I533" i="16"/>
  <c r="I534" i="16"/>
  <c r="I535" i="16"/>
  <c r="I536" i="16"/>
  <c r="I537" i="16"/>
  <c r="I538" i="16"/>
  <c r="I539" i="16"/>
  <c r="I540" i="16"/>
  <c r="I541" i="16"/>
  <c r="I542" i="16"/>
  <c r="I543" i="16"/>
  <c r="I544" i="16"/>
  <c r="I545" i="16"/>
  <c r="I546" i="16"/>
  <c r="I547" i="16"/>
  <c r="I548" i="16"/>
  <c r="I549" i="16"/>
  <c r="I550" i="16"/>
  <c r="I551" i="16"/>
  <c r="I552" i="16"/>
  <c r="I553" i="16"/>
  <c r="I554" i="16"/>
  <c r="I555" i="16"/>
  <c r="I556" i="16"/>
  <c r="I557" i="16"/>
  <c r="I558" i="16"/>
  <c r="I559" i="16"/>
  <c r="I560" i="16"/>
  <c r="I561" i="16"/>
  <c r="I562" i="16"/>
  <c r="I563" i="16"/>
  <c r="I564" i="16"/>
  <c r="I565" i="16"/>
  <c r="I566" i="16"/>
  <c r="I567" i="16"/>
  <c r="I568" i="16"/>
  <c r="I569" i="16"/>
  <c r="I570" i="16"/>
  <c r="I571" i="16"/>
  <c r="I572" i="16"/>
  <c r="I573" i="16"/>
  <c r="I574" i="16"/>
  <c r="I575" i="16"/>
  <c r="I576" i="16"/>
  <c r="I577" i="16"/>
  <c r="I578" i="16"/>
  <c r="I579" i="16"/>
  <c r="I580" i="16"/>
  <c r="I581" i="16"/>
  <c r="I582" i="16"/>
  <c r="I583" i="16"/>
  <c r="I584" i="16"/>
  <c r="I585" i="16"/>
  <c r="I586" i="16"/>
  <c r="I587" i="16"/>
  <c r="I588" i="16"/>
  <c r="I589" i="16"/>
  <c r="I590" i="16"/>
  <c r="I591" i="16"/>
  <c r="I592" i="16"/>
  <c r="I593" i="16"/>
  <c r="I594" i="16"/>
  <c r="I595" i="16"/>
  <c r="I596" i="16"/>
  <c r="I597" i="16"/>
  <c r="I598" i="16"/>
  <c r="I599" i="16"/>
  <c r="I600" i="16"/>
  <c r="I601" i="16"/>
  <c r="I602" i="16"/>
  <c r="I603" i="16"/>
  <c r="I604" i="16"/>
  <c r="I605" i="16"/>
  <c r="I606" i="16"/>
  <c r="I607" i="16"/>
  <c r="I608" i="16"/>
  <c r="I609" i="16"/>
  <c r="I610" i="16"/>
  <c r="I611" i="16"/>
  <c r="I612" i="16"/>
  <c r="I613" i="16"/>
  <c r="I614" i="16"/>
  <c r="I615" i="16"/>
  <c r="I616" i="16"/>
  <c r="I617" i="16"/>
  <c r="I618" i="16"/>
  <c r="I619" i="16"/>
  <c r="I620" i="16"/>
  <c r="I621" i="16"/>
  <c r="I622" i="16"/>
  <c r="I623" i="16"/>
  <c r="I624" i="16"/>
  <c r="I625" i="16"/>
  <c r="I626" i="16"/>
  <c r="I627" i="16"/>
  <c r="I628" i="16"/>
  <c r="I629" i="16"/>
  <c r="I630" i="16"/>
  <c r="I631" i="16"/>
  <c r="I632" i="16"/>
  <c r="I633" i="16"/>
  <c r="I634" i="16"/>
  <c r="I635" i="16"/>
  <c r="I636" i="16"/>
  <c r="I637" i="16"/>
  <c r="I638" i="16"/>
  <c r="I639" i="16"/>
  <c r="I640" i="16"/>
  <c r="I641" i="16"/>
  <c r="I642" i="16"/>
  <c r="I643" i="16"/>
  <c r="I644" i="16"/>
  <c r="I645" i="16"/>
  <c r="I646" i="16"/>
  <c r="I647" i="16"/>
  <c r="I648" i="16"/>
  <c r="I649" i="16"/>
  <c r="I650" i="16"/>
  <c r="I651" i="16"/>
  <c r="I652" i="16"/>
  <c r="I653" i="16"/>
  <c r="I654" i="16"/>
  <c r="I655" i="16"/>
  <c r="I656" i="16"/>
  <c r="I657" i="16"/>
  <c r="I658" i="16"/>
  <c r="I659" i="16"/>
  <c r="I660" i="16"/>
  <c r="I661" i="16"/>
  <c r="I662" i="16"/>
  <c r="I663" i="16"/>
  <c r="I664" i="16"/>
  <c r="I665" i="16"/>
  <c r="I666" i="16"/>
  <c r="I667" i="16"/>
  <c r="I668" i="16"/>
  <c r="I669" i="16"/>
  <c r="I670" i="16"/>
  <c r="I671" i="16"/>
  <c r="I672" i="16"/>
  <c r="I673" i="16"/>
  <c r="I674" i="16"/>
  <c r="I675" i="16"/>
  <c r="I676" i="16"/>
  <c r="I677" i="16"/>
  <c r="I678" i="16"/>
  <c r="I679" i="16"/>
  <c r="I680" i="16"/>
  <c r="I681" i="16"/>
  <c r="I682" i="16"/>
  <c r="I683" i="16"/>
  <c r="I684" i="16"/>
  <c r="I685" i="16"/>
  <c r="I686" i="16"/>
  <c r="I687" i="16"/>
  <c r="I688" i="16"/>
  <c r="I689" i="16"/>
  <c r="I690" i="16"/>
  <c r="I691" i="16"/>
  <c r="I692" i="16"/>
  <c r="I693" i="16"/>
  <c r="I694" i="16"/>
  <c r="I695" i="16"/>
  <c r="I696" i="16"/>
  <c r="I697" i="16"/>
  <c r="I698" i="16"/>
  <c r="I699" i="16"/>
  <c r="I700" i="16"/>
  <c r="I701" i="16"/>
  <c r="I702" i="16"/>
  <c r="I703" i="16"/>
  <c r="I704" i="16"/>
  <c r="I705" i="16"/>
  <c r="I706" i="16"/>
  <c r="I707" i="16"/>
  <c r="I708" i="16"/>
  <c r="I709" i="16"/>
  <c r="I710" i="16"/>
  <c r="I711" i="16"/>
  <c r="I712" i="16"/>
  <c r="I713" i="16"/>
  <c r="I714" i="16"/>
  <c r="I715" i="16"/>
  <c r="I716" i="16"/>
  <c r="I717" i="16"/>
  <c r="I718" i="16"/>
  <c r="I719" i="16"/>
  <c r="I720" i="16"/>
  <c r="I721" i="16"/>
  <c r="I722" i="16"/>
  <c r="I723" i="16"/>
  <c r="I724" i="16"/>
  <c r="I725" i="16"/>
  <c r="I726" i="16"/>
  <c r="I727" i="16"/>
  <c r="I728" i="16"/>
  <c r="I729" i="16"/>
  <c r="I730" i="16"/>
  <c r="I731" i="16"/>
  <c r="I732" i="16"/>
  <c r="I733" i="16"/>
  <c r="I734" i="16"/>
  <c r="I735" i="16"/>
  <c r="I736" i="16"/>
  <c r="I737" i="16"/>
  <c r="I738" i="16"/>
  <c r="I739" i="16"/>
  <c r="I740" i="16"/>
  <c r="I741" i="16"/>
  <c r="I742" i="16"/>
  <c r="I743" i="16"/>
  <c r="I744" i="16"/>
  <c r="I745" i="16"/>
  <c r="I746" i="16"/>
  <c r="I747" i="16"/>
  <c r="I748" i="16"/>
  <c r="I749" i="16"/>
  <c r="I750" i="16"/>
  <c r="I751" i="16"/>
  <c r="I752" i="16"/>
  <c r="I753" i="16"/>
  <c r="I754" i="16"/>
  <c r="I755" i="16"/>
  <c r="I756" i="16"/>
  <c r="I757" i="16"/>
  <c r="I758" i="16"/>
  <c r="I759" i="16"/>
  <c r="I760" i="16"/>
  <c r="I761" i="16"/>
  <c r="I762" i="16"/>
  <c r="I763" i="16"/>
  <c r="I764" i="16"/>
  <c r="I765" i="16"/>
  <c r="I766" i="16"/>
  <c r="I767" i="16"/>
  <c r="I768" i="16"/>
  <c r="I769" i="16"/>
  <c r="I770" i="16"/>
  <c r="I771" i="16"/>
  <c r="I772" i="16"/>
  <c r="I773" i="16"/>
  <c r="I774" i="16"/>
  <c r="I775" i="16"/>
  <c r="I776" i="16"/>
  <c r="I777" i="16"/>
  <c r="I778" i="16"/>
  <c r="I779" i="16"/>
  <c r="I780" i="16"/>
  <c r="I781" i="16"/>
  <c r="I782" i="16"/>
  <c r="I783" i="16"/>
  <c r="I784" i="16"/>
  <c r="I785" i="16"/>
  <c r="I786" i="16"/>
  <c r="I787" i="16"/>
  <c r="I788" i="16"/>
  <c r="I789" i="16"/>
  <c r="I790" i="16"/>
  <c r="I791" i="16"/>
  <c r="I792" i="16"/>
  <c r="I793" i="16"/>
  <c r="I794" i="16"/>
  <c r="I795" i="16"/>
  <c r="I796" i="16"/>
  <c r="I797" i="16"/>
  <c r="I798" i="16"/>
  <c r="I799" i="16"/>
  <c r="I800" i="16"/>
  <c r="I801" i="16"/>
  <c r="I802" i="16"/>
  <c r="I803" i="16"/>
  <c r="I804" i="16"/>
  <c r="I805" i="16"/>
  <c r="I806" i="16"/>
  <c r="I807" i="16"/>
  <c r="I808" i="16"/>
  <c r="I809" i="16"/>
  <c r="I810" i="16"/>
  <c r="I811" i="16"/>
  <c r="I812" i="16"/>
  <c r="I813" i="16"/>
  <c r="I814" i="16"/>
  <c r="I815" i="16"/>
  <c r="I816" i="16"/>
  <c r="I817" i="16"/>
  <c r="I818" i="16"/>
  <c r="I819" i="16"/>
  <c r="I820" i="16"/>
  <c r="I821" i="16"/>
  <c r="I822" i="16"/>
  <c r="I823" i="16"/>
  <c r="I824" i="16"/>
  <c r="I825" i="16"/>
  <c r="I826" i="16"/>
  <c r="I827" i="16"/>
  <c r="I828" i="16"/>
  <c r="I829" i="16"/>
  <c r="I830" i="16"/>
  <c r="I831" i="16"/>
  <c r="I832" i="16"/>
  <c r="I833" i="16"/>
  <c r="I834" i="16"/>
  <c r="I835" i="16"/>
  <c r="I836" i="16"/>
  <c r="I837" i="16"/>
  <c r="I838" i="16"/>
  <c r="I839" i="16"/>
  <c r="I840" i="16"/>
  <c r="I841" i="16"/>
  <c r="I842" i="16"/>
  <c r="I843" i="16"/>
  <c r="I844" i="16"/>
  <c r="I845" i="16"/>
  <c r="I846" i="16"/>
  <c r="I847" i="16"/>
  <c r="I848" i="16"/>
  <c r="I849" i="16"/>
  <c r="I850" i="16"/>
  <c r="I851" i="16"/>
  <c r="I852" i="16"/>
  <c r="I853" i="16"/>
  <c r="I854" i="16"/>
  <c r="I855" i="16"/>
  <c r="I856" i="16"/>
  <c r="I857" i="16"/>
  <c r="I858" i="16"/>
  <c r="I859" i="16"/>
  <c r="I860" i="16"/>
  <c r="I861" i="16"/>
  <c r="I862" i="16"/>
  <c r="I863" i="16"/>
  <c r="I864" i="16"/>
  <c r="I865" i="16"/>
  <c r="I866" i="16"/>
  <c r="I867" i="16"/>
  <c r="I868" i="16"/>
  <c r="I869" i="16"/>
  <c r="I870" i="16"/>
  <c r="I871" i="16"/>
  <c r="I872" i="16"/>
  <c r="I873" i="16"/>
  <c r="I874" i="16"/>
  <c r="I875" i="16"/>
  <c r="I876" i="16"/>
  <c r="I877" i="16"/>
  <c r="I878" i="16"/>
  <c r="I879" i="16"/>
  <c r="I880" i="16"/>
  <c r="I881" i="16"/>
  <c r="I882" i="16"/>
  <c r="I883" i="16"/>
  <c r="I884" i="16"/>
  <c r="I885" i="16"/>
  <c r="I886" i="16"/>
  <c r="I887" i="16"/>
  <c r="I888" i="16"/>
  <c r="I889" i="16"/>
  <c r="I890" i="16"/>
  <c r="I891" i="16"/>
  <c r="I892" i="16"/>
  <c r="I893" i="16"/>
  <c r="I894" i="16"/>
  <c r="I895" i="16"/>
  <c r="I896" i="16"/>
  <c r="I897" i="16"/>
  <c r="I898" i="16"/>
  <c r="I899" i="16"/>
  <c r="I900" i="16"/>
  <c r="I901" i="16"/>
  <c r="I902" i="16"/>
  <c r="I903" i="16"/>
  <c r="I904" i="16"/>
  <c r="I905" i="16"/>
  <c r="I906" i="16"/>
  <c r="I907" i="16"/>
  <c r="I908" i="16"/>
  <c r="I909" i="16"/>
  <c r="I910" i="16"/>
  <c r="I911" i="16"/>
  <c r="I912" i="16"/>
  <c r="I913" i="16"/>
  <c r="I914" i="16"/>
  <c r="I915" i="16"/>
  <c r="I916" i="16"/>
  <c r="I917" i="16"/>
  <c r="I918" i="16"/>
  <c r="I919" i="16"/>
  <c r="I920" i="16"/>
  <c r="I921" i="16"/>
  <c r="I922" i="16"/>
  <c r="I923" i="16"/>
  <c r="I924" i="16"/>
  <c r="I925" i="16"/>
  <c r="I926" i="16"/>
  <c r="I927" i="16"/>
  <c r="I928" i="16"/>
  <c r="I929" i="16"/>
  <c r="I930" i="16"/>
  <c r="I931" i="16"/>
  <c r="I932" i="16"/>
  <c r="I933" i="16"/>
  <c r="I934" i="16"/>
  <c r="I935" i="16"/>
  <c r="I936" i="16"/>
  <c r="I937" i="16"/>
  <c r="I938" i="16"/>
  <c r="I939" i="16"/>
  <c r="I940" i="16"/>
  <c r="I941" i="16"/>
  <c r="I942" i="16"/>
  <c r="I943" i="16"/>
  <c r="I944" i="16"/>
  <c r="I945" i="16"/>
  <c r="I946" i="16"/>
  <c r="I947" i="16"/>
  <c r="I948" i="16"/>
  <c r="I949" i="16"/>
  <c r="I950" i="16"/>
  <c r="I951" i="16"/>
  <c r="I952" i="16"/>
  <c r="I953" i="16"/>
  <c r="I954" i="16"/>
  <c r="I955" i="16"/>
  <c r="I956" i="16"/>
  <c r="I957" i="16"/>
  <c r="I958" i="16"/>
  <c r="I959" i="16"/>
  <c r="I960" i="16"/>
  <c r="I961" i="16"/>
  <c r="I962" i="16"/>
  <c r="I963" i="16"/>
  <c r="I964" i="16"/>
  <c r="I965" i="16"/>
  <c r="I966" i="16"/>
  <c r="I967" i="16"/>
  <c r="I968" i="16"/>
  <c r="I969" i="16"/>
  <c r="I970" i="16"/>
  <c r="I971" i="16"/>
  <c r="I972" i="16"/>
  <c r="I973" i="16"/>
  <c r="I974" i="16"/>
  <c r="I975" i="16"/>
  <c r="I976" i="16"/>
  <c r="I977" i="16"/>
  <c r="I978" i="16"/>
  <c r="I979" i="16"/>
  <c r="I980" i="16"/>
  <c r="I981" i="16"/>
  <c r="I982" i="16"/>
  <c r="I983" i="16"/>
  <c r="I984" i="16"/>
  <c r="I985" i="16"/>
  <c r="I986" i="16"/>
  <c r="I987" i="16"/>
  <c r="I988" i="16"/>
  <c r="I989" i="16"/>
  <c r="I990" i="16"/>
  <c r="I991" i="16"/>
  <c r="I992" i="16"/>
  <c r="I993" i="16"/>
  <c r="I994" i="16"/>
  <c r="I995" i="16"/>
  <c r="I996" i="16"/>
  <c r="I997" i="16"/>
  <c r="I998" i="16"/>
  <c r="I999" i="16"/>
  <c r="I1000" i="16"/>
  <c r="I1001" i="16"/>
  <c r="I1002" i="16"/>
  <c r="I1003" i="16"/>
  <c r="I1004" i="16"/>
  <c r="I1005" i="16"/>
  <c r="I1006" i="16"/>
  <c r="I1007" i="16"/>
  <c r="I1008" i="16"/>
  <c r="I1009" i="16"/>
  <c r="I1010" i="16"/>
  <c r="I1011" i="16"/>
  <c r="I1012" i="16"/>
  <c r="I1013" i="16"/>
  <c r="I1014" i="16"/>
  <c r="I1015" i="16"/>
  <c r="I1016" i="16"/>
  <c r="I1017" i="16"/>
  <c r="I1018" i="16"/>
  <c r="I1019" i="16"/>
  <c r="I1020" i="16"/>
  <c r="I1021" i="16"/>
  <c r="I1022" i="16"/>
  <c r="I1023" i="16"/>
  <c r="I1024" i="16"/>
  <c r="I1025" i="16"/>
  <c r="I1026" i="16"/>
  <c r="I1027" i="16"/>
  <c r="I1028" i="16"/>
  <c r="I1029" i="16"/>
  <c r="I1030" i="16"/>
  <c r="I1031" i="16"/>
  <c r="I1032" i="16"/>
  <c r="I1033" i="16"/>
  <c r="I1034" i="16"/>
  <c r="I1035" i="16"/>
  <c r="I1036" i="16"/>
  <c r="I1037" i="16"/>
  <c r="I1038" i="16"/>
  <c r="I1039" i="16"/>
  <c r="I1040" i="16"/>
  <c r="I1041" i="16"/>
  <c r="I1042" i="16"/>
  <c r="I1043" i="16"/>
  <c r="I1044" i="16"/>
  <c r="I1045" i="16"/>
  <c r="I1046" i="16"/>
  <c r="I1047" i="16"/>
  <c r="I1048" i="16"/>
  <c r="I1049" i="16"/>
  <c r="I1050" i="16"/>
  <c r="I1051" i="16"/>
  <c r="I1052" i="16"/>
  <c r="I1053" i="16"/>
  <c r="I1054" i="16"/>
  <c r="I1055" i="16"/>
  <c r="I1056" i="16"/>
  <c r="I1057" i="16"/>
  <c r="I1058" i="16"/>
  <c r="I1059" i="16"/>
  <c r="I1060" i="16"/>
  <c r="I1061" i="16"/>
  <c r="I1062" i="16"/>
  <c r="I1063" i="16"/>
  <c r="I1064" i="16"/>
  <c r="I1065" i="16"/>
  <c r="I1066" i="16"/>
  <c r="I1067" i="16"/>
  <c r="I1068" i="16"/>
  <c r="I1069" i="16"/>
  <c r="I1070" i="16"/>
  <c r="I1071" i="16"/>
  <c r="I1072" i="16"/>
  <c r="I1073" i="16"/>
  <c r="I1074" i="16"/>
  <c r="I1075" i="16"/>
  <c r="I1076" i="16"/>
  <c r="I1077" i="16"/>
  <c r="I1078" i="16"/>
  <c r="I1079" i="16"/>
  <c r="I1080" i="16"/>
  <c r="I1081" i="16"/>
  <c r="I1082" i="16"/>
  <c r="I1083" i="16"/>
  <c r="I1084" i="16"/>
  <c r="I1085" i="16"/>
  <c r="I1086" i="16"/>
  <c r="I1087" i="16"/>
  <c r="I1088" i="16"/>
  <c r="I1089" i="16"/>
  <c r="I1090" i="16"/>
  <c r="I1091" i="16"/>
  <c r="I1092" i="16"/>
  <c r="I1093" i="16"/>
  <c r="I1094" i="16"/>
  <c r="I1095" i="16"/>
  <c r="I1096" i="16"/>
  <c r="I1097" i="16"/>
  <c r="I1098" i="16"/>
  <c r="I1099" i="16"/>
  <c r="I1100" i="16"/>
  <c r="I1101" i="16"/>
  <c r="I1102" i="16"/>
  <c r="I1103" i="16"/>
  <c r="I1104" i="16"/>
  <c r="I1105" i="16"/>
  <c r="I1106" i="16"/>
  <c r="I1107" i="16"/>
  <c r="I1108" i="16"/>
  <c r="I1109" i="16"/>
  <c r="I1110" i="16"/>
  <c r="I1111" i="16"/>
  <c r="I1112" i="16"/>
  <c r="I1113" i="16"/>
  <c r="I1114" i="16"/>
  <c r="I1115" i="16"/>
  <c r="I1116" i="16"/>
  <c r="I1117" i="16"/>
  <c r="I1118" i="16"/>
  <c r="I1119" i="16"/>
  <c r="I1120" i="16"/>
  <c r="I1121" i="16"/>
  <c r="I1122" i="16"/>
  <c r="I1123" i="16"/>
  <c r="I1124" i="16"/>
  <c r="I1125" i="16"/>
  <c r="I1126" i="16"/>
  <c r="I1127" i="16"/>
  <c r="I1128" i="16"/>
  <c r="I1129" i="16"/>
  <c r="I1130" i="16"/>
  <c r="I1131" i="16"/>
  <c r="I1132" i="16"/>
  <c r="I1133" i="16"/>
  <c r="I1134" i="16"/>
  <c r="I1135" i="16"/>
  <c r="I1136" i="16"/>
  <c r="I1137" i="16"/>
  <c r="I1138" i="16"/>
  <c r="I1139" i="16"/>
  <c r="I1140" i="16"/>
  <c r="I1141" i="16"/>
  <c r="I1142" i="16"/>
  <c r="I1143" i="16"/>
  <c r="I1144" i="16"/>
  <c r="I1145" i="16"/>
  <c r="I1146" i="16"/>
  <c r="I1147" i="16"/>
  <c r="I1148" i="16"/>
  <c r="I1149" i="16"/>
  <c r="I1150" i="16"/>
  <c r="I1151" i="16"/>
  <c r="I1152" i="16"/>
  <c r="I1153" i="16"/>
  <c r="I1154" i="16"/>
  <c r="I1155" i="16"/>
  <c r="I1156" i="16"/>
  <c r="I1157" i="16"/>
  <c r="I1158" i="16"/>
  <c r="I1159" i="16"/>
  <c r="I1160" i="16"/>
  <c r="I1161" i="16"/>
  <c r="I1162" i="16"/>
  <c r="I1163" i="16"/>
  <c r="I1164" i="16"/>
  <c r="I1165" i="16"/>
  <c r="I1166" i="16"/>
  <c r="I1167" i="16"/>
  <c r="I1168" i="16"/>
  <c r="I1169" i="16"/>
  <c r="I1170" i="16"/>
  <c r="I1171" i="16"/>
  <c r="I1172" i="16"/>
  <c r="I1173" i="16"/>
  <c r="I1174" i="16"/>
  <c r="I1175" i="16"/>
  <c r="I1176" i="16"/>
  <c r="I1177" i="16"/>
  <c r="I1178" i="16"/>
  <c r="I1179" i="16"/>
  <c r="I1180" i="16"/>
  <c r="I1181" i="16"/>
  <c r="I1182" i="16"/>
  <c r="I1183" i="16"/>
  <c r="I1184" i="16"/>
  <c r="I1185" i="16"/>
  <c r="I1186" i="16"/>
  <c r="I1187" i="16"/>
  <c r="I1188" i="16"/>
  <c r="I1189" i="16"/>
  <c r="I1190" i="16"/>
  <c r="I1191" i="16"/>
  <c r="I1192" i="16"/>
  <c r="I1193" i="16"/>
  <c r="I1194" i="16"/>
  <c r="I1195" i="16"/>
  <c r="I1196" i="16"/>
  <c r="I1197" i="16"/>
  <c r="I1198" i="16"/>
  <c r="I1199" i="16"/>
  <c r="I1200" i="16"/>
  <c r="I1201" i="16"/>
  <c r="I1202" i="16"/>
  <c r="I1203" i="16"/>
  <c r="I1204" i="16"/>
  <c r="I1205" i="16"/>
  <c r="I1206" i="16"/>
  <c r="I1207" i="16"/>
  <c r="I1208" i="16"/>
  <c r="I1209" i="16"/>
  <c r="I1210" i="16"/>
  <c r="I1211" i="16"/>
  <c r="I1212" i="16"/>
  <c r="I1213" i="16"/>
  <c r="I1214" i="16"/>
  <c r="I1215" i="16"/>
  <c r="I1216" i="16"/>
  <c r="I1217" i="16"/>
  <c r="I1218" i="16"/>
  <c r="I1219" i="16"/>
  <c r="I1220" i="16"/>
  <c r="I1221" i="16"/>
  <c r="I1222" i="16"/>
  <c r="I1223" i="16"/>
  <c r="I1224" i="16"/>
  <c r="I1225" i="16"/>
  <c r="I1226" i="16"/>
  <c r="I1227" i="16"/>
  <c r="I1228" i="16"/>
  <c r="I1229" i="16"/>
  <c r="I1230" i="16"/>
  <c r="I1231" i="16"/>
  <c r="I1232" i="16"/>
  <c r="I1233" i="16"/>
  <c r="I1234" i="16"/>
  <c r="I1235" i="16"/>
  <c r="I1236" i="16"/>
  <c r="I1237" i="16"/>
  <c r="I1238" i="16"/>
  <c r="I1239" i="16"/>
  <c r="I1240" i="16"/>
  <c r="I1241" i="16"/>
  <c r="I1242" i="16"/>
  <c r="I1243" i="16"/>
  <c r="I1244" i="16"/>
  <c r="I1245" i="16"/>
  <c r="I1246" i="16"/>
  <c r="I1247" i="16"/>
  <c r="I1248" i="16"/>
  <c r="I1249" i="16"/>
  <c r="I1250" i="16"/>
  <c r="I1251" i="16"/>
  <c r="I1252" i="16"/>
  <c r="I1253" i="16"/>
  <c r="I1254" i="16"/>
  <c r="I1255" i="16"/>
  <c r="I1256" i="16"/>
  <c r="I1257" i="16"/>
  <c r="I1258" i="16"/>
  <c r="I1259" i="16"/>
  <c r="I1260" i="16"/>
  <c r="I1261" i="16"/>
  <c r="I1262" i="16"/>
  <c r="I1263" i="16"/>
  <c r="I1264" i="16"/>
  <c r="I1265" i="16"/>
  <c r="I1266" i="16"/>
  <c r="I1267" i="16"/>
  <c r="I1268" i="16"/>
  <c r="I1269" i="16"/>
  <c r="I1270" i="16"/>
  <c r="I1271" i="16"/>
  <c r="I1272" i="16"/>
  <c r="I1273" i="16"/>
  <c r="I1274" i="16"/>
  <c r="I1275" i="16"/>
  <c r="I1276" i="16"/>
  <c r="I1277" i="16"/>
  <c r="I1278" i="16"/>
  <c r="I1279" i="16"/>
  <c r="I1280" i="16"/>
  <c r="I1281" i="16"/>
  <c r="I1282" i="16"/>
  <c r="I1283" i="16"/>
  <c r="I1284" i="16"/>
  <c r="I1285" i="16"/>
  <c r="I1286" i="16"/>
  <c r="I1287" i="16"/>
  <c r="I1288" i="16"/>
  <c r="I1289" i="16"/>
  <c r="I1290" i="16"/>
  <c r="I1291" i="16"/>
  <c r="I1292" i="16"/>
  <c r="I1293" i="16"/>
  <c r="I1294" i="16"/>
  <c r="I1295" i="16"/>
  <c r="I1296" i="16"/>
  <c r="I1297" i="16"/>
  <c r="I1298" i="16"/>
  <c r="I1299" i="16"/>
  <c r="I1300" i="16"/>
  <c r="I1301" i="16"/>
  <c r="I1302" i="16"/>
  <c r="I1303" i="16"/>
  <c r="I1304" i="16"/>
  <c r="I1305" i="16"/>
  <c r="I1306" i="16"/>
  <c r="I1307" i="16"/>
  <c r="I1308" i="16"/>
  <c r="I1309" i="16"/>
  <c r="I1310" i="16"/>
  <c r="I1311" i="16"/>
  <c r="I1312" i="16"/>
  <c r="I1313" i="16"/>
  <c r="I1314" i="16"/>
  <c r="I1315" i="16"/>
  <c r="I1316" i="16"/>
  <c r="I1317" i="16"/>
  <c r="I1318" i="16"/>
  <c r="I1319" i="16"/>
  <c r="I1320" i="16"/>
  <c r="I1321" i="16"/>
  <c r="I1322" i="16"/>
  <c r="I1323" i="16"/>
  <c r="I1324" i="16"/>
  <c r="I1325" i="16"/>
  <c r="I1326" i="16"/>
  <c r="I1327" i="16"/>
  <c r="I1328" i="16"/>
  <c r="I1329" i="16"/>
  <c r="I1330" i="16"/>
  <c r="I1331" i="16"/>
  <c r="I1332" i="16"/>
  <c r="I1333" i="16"/>
  <c r="I1334" i="16"/>
  <c r="I1335" i="16"/>
  <c r="I1336" i="16"/>
  <c r="I1337" i="16"/>
  <c r="I1338" i="16"/>
  <c r="I1339" i="16"/>
  <c r="I1340" i="16"/>
  <c r="I1341" i="16"/>
  <c r="I1342" i="16"/>
  <c r="I1343" i="16"/>
  <c r="I1344" i="16"/>
  <c r="I1345" i="16"/>
  <c r="I1346" i="16"/>
  <c r="I1347" i="16"/>
  <c r="I1348" i="16"/>
  <c r="I1349" i="16"/>
  <c r="I1350" i="16"/>
  <c r="I1351" i="16"/>
  <c r="I1352" i="16"/>
  <c r="I1353" i="16"/>
  <c r="I1354" i="16"/>
  <c r="I1355" i="16"/>
  <c r="I1356" i="16"/>
  <c r="I1357" i="16"/>
  <c r="I1358" i="16"/>
  <c r="I1359" i="16"/>
  <c r="I1360" i="16"/>
  <c r="I1361" i="16"/>
  <c r="I1362" i="16"/>
  <c r="I1363" i="16"/>
  <c r="I1364" i="16"/>
  <c r="I1365" i="16"/>
  <c r="I1366" i="16"/>
  <c r="I1367" i="16"/>
  <c r="I1368" i="16"/>
  <c r="I1369" i="16"/>
  <c r="I1370" i="16"/>
  <c r="I1371" i="16"/>
  <c r="I1372" i="16"/>
  <c r="I1373" i="16"/>
  <c r="I1374" i="16"/>
  <c r="I1375" i="16"/>
  <c r="I1376" i="16"/>
  <c r="I1377" i="16"/>
  <c r="I1378" i="16"/>
  <c r="I1379" i="16"/>
  <c r="I1380" i="16"/>
  <c r="I1381" i="16"/>
  <c r="I1382" i="16"/>
  <c r="I1383" i="16"/>
  <c r="I1384" i="16"/>
  <c r="I1385" i="16"/>
  <c r="I1386" i="16"/>
  <c r="I1387" i="16"/>
  <c r="I1388" i="16"/>
  <c r="I1389" i="16"/>
  <c r="I1390" i="16"/>
  <c r="I1391" i="16"/>
  <c r="I1392" i="16"/>
  <c r="I1393" i="16"/>
  <c r="I1394" i="16"/>
  <c r="I1395" i="16"/>
  <c r="I1396" i="16"/>
  <c r="I1397" i="16"/>
  <c r="I1398" i="16"/>
  <c r="I1399" i="16"/>
  <c r="I1400" i="16"/>
  <c r="I1401" i="16"/>
  <c r="I1402" i="16"/>
  <c r="I1403" i="16"/>
  <c r="I1404" i="16"/>
  <c r="I1405" i="16"/>
  <c r="I1406" i="16"/>
  <c r="I1407" i="16"/>
  <c r="I1408" i="16"/>
  <c r="I1409" i="16"/>
  <c r="I1410" i="16"/>
  <c r="I1411" i="16"/>
  <c r="I1412" i="16"/>
  <c r="I1413" i="16"/>
  <c r="I1414" i="16"/>
  <c r="I1415" i="16"/>
  <c r="I1416" i="16"/>
  <c r="I1417" i="16"/>
  <c r="I1418" i="16"/>
  <c r="I1419" i="16"/>
  <c r="I1420" i="16"/>
  <c r="I1421" i="16"/>
  <c r="I1422" i="16"/>
  <c r="I1423" i="16"/>
  <c r="I1424" i="16"/>
  <c r="I1425" i="16"/>
  <c r="I1426" i="16"/>
  <c r="I1427" i="16"/>
  <c r="I1428" i="16"/>
  <c r="I1429" i="16"/>
  <c r="I1430" i="16"/>
  <c r="I1431" i="16"/>
  <c r="I1432" i="16"/>
  <c r="I1433" i="16"/>
  <c r="I1434" i="16"/>
  <c r="I1435" i="16"/>
  <c r="I1436" i="16"/>
  <c r="I1437" i="16"/>
  <c r="I1438" i="16"/>
  <c r="I1439" i="16"/>
  <c r="I1440" i="16"/>
  <c r="I1441" i="16"/>
  <c r="I1442" i="16"/>
  <c r="I1443" i="16"/>
  <c r="I1444" i="16"/>
  <c r="I1445" i="16"/>
  <c r="I1446" i="16"/>
  <c r="I1447" i="16"/>
  <c r="I1448" i="16"/>
  <c r="I1449" i="16"/>
  <c r="I1450" i="16"/>
  <c r="I1451" i="16"/>
  <c r="I1452" i="16"/>
  <c r="I1453" i="16"/>
  <c r="I1454" i="16"/>
  <c r="I1455" i="16"/>
  <c r="I1456" i="16"/>
  <c r="I1457" i="16"/>
  <c r="I1458" i="16"/>
  <c r="I1459" i="16"/>
  <c r="I1460" i="16"/>
  <c r="I1461" i="16"/>
  <c r="I1462" i="16"/>
  <c r="I1463" i="16"/>
  <c r="I1464" i="16"/>
  <c r="I1465" i="16"/>
  <c r="I1466" i="16"/>
  <c r="I1467" i="16"/>
  <c r="I1468" i="16"/>
  <c r="I1469" i="16"/>
  <c r="I1470" i="16"/>
  <c r="I1471" i="16"/>
  <c r="I1472" i="16"/>
  <c r="I1473" i="16"/>
  <c r="I1474" i="16"/>
  <c r="I1475" i="16"/>
  <c r="I1476" i="16"/>
  <c r="I1477" i="16"/>
  <c r="I1478" i="16"/>
  <c r="I1479" i="16"/>
  <c r="I1480" i="16"/>
  <c r="I1481" i="16"/>
  <c r="I1482" i="16"/>
  <c r="I1483" i="16"/>
  <c r="I1484" i="16"/>
  <c r="I1485" i="16"/>
  <c r="I1486" i="16"/>
  <c r="I1487" i="16"/>
  <c r="I1488" i="16"/>
  <c r="I1489" i="16"/>
  <c r="I1490" i="16"/>
  <c r="I1491" i="16"/>
  <c r="I1492" i="16"/>
  <c r="I1493" i="16"/>
  <c r="I1494" i="16"/>
  <c r="I1495" i="16"/>
  <c r="I1496" i="16"/>
  <c r="I1497" i="16"/>
  <c r="I1498" i="16"/>
  <c r="I1499" i="16"/>
  <c r="I1500" i="16"/>
  <c r="I1501" i="16"/>
  <c r="I1502" i="16"/>
  <c r="I1503" i="16"/>
  <c r="I1504" i="16"/>
  <c r="I1505" i="16"/>
  <c r="I1506" i="16"/>
  <c r="I1507" i="16"/>
  <c r="I1508" i="16"/>
  <c r="I1509" i="16"/>
  <c r="I1510" i="16"/>
  <c r="I1511" i="16"/>
  <c r="I1512" i="16"/>
  <c r="I1513" i="16"/>
  <c r="I1514" i="16"/>
  <c r="I1515" i="16"/>
  <c r="I1516" i="16"/>
  <c r="I1517" i="16"/>
  <c r="I1518" i="16"/>
  <c r="I1519" i="16"/>
  <c r="I1520" i="16"/>
  <c r="I1521" i="16"/>
  <c r="I1522" i="16"/>
  <c r="I1523" i="16"/>
  <c r="I1524" i="16"/>
  <c r="I1525" i="16"/>
  <c r="I1526" i="16"/>
  <c r="I1527" i="16"/>
  <c r="I1528" i="16"/>
  <c r="I1529" i="16"/>
  <c r="I1530" i="16"/>
  <c r="I1531" i="16"/>
  <c r="I1532" i="16"/>
  <c r="I1533" i="16"/>
  <c r="I1534" i="16"/>
  <c r="I1535" i="16"/>
  <c r="I1536" i="16"/>
  <c r="I1537" i="16"/>
  <c r="I1538" i="16"/>
  <c r="I1539" i="16"/>
  <c r="I1540" i="16"/>
  <c r="I1541" i="16"/>
  <c r="I1542" i="16"/>
  <c r="I1543" i="16"/>
  <c r="I1544" i="16"/>
  <c r="I1545" i="16"/>
  <c r="I1546" i="16"/>
  <c r="I1547" i="16"/>
  <c r="I1548" i="16"/>
  <c r="I1549" i="16"/>
  <c r="I1550" i="16"/>
  <c r="I1551" i="16"/>
  <c r="I1552" i="16"/>
  <c r="I1553" i="16"/>
  <c r="I1554" i="16"/>
  <c r="I1555" i="16"/>
  <c r="I1556" i="16"/>
  <c r="I1557" i="16"/>
  <c r="I1558" i="16"/>
  <c r="I1559" i="16"/>
  <c r="I1560" i="16"/>
  <c r="I1561" i="16"/>
  <c r="I1562" i="16"/>
  <c r="I1563" i="16"/>
  <c r="I1564" i="16"/>
  <c r="I1565" i="16"/>
  <c r="I1566" i="16"/>
  <c r="I1567" i="16"/>
  <c r="I1568" i="16"/>
  <c r="I1569" i="16"/>
  <c r="I1570" i="16"/>
  <c r="I1571" i="16"/>
  <c r="I1572" i="16"/>
  <c r="I1573" i="16"/>
  <c r="I1574" i="16"/>
  <c r="I1575" i="16"/>
  <c r="I1576" i="16"/>
  <c r="I1577" i="16"/>
  <c r="I1578" i="16"/>
  <c r="I1579" i="16"/>
  <c r="I1580" i="16"/>
  <c r="I1581" i="16"/>
  <c r="I1582" i="16"/>
  <c r="I1583" i="16"/>
  <c r="I1584" i="16"/>
  <c r="I1585" i="16"/>
  <c r="I1586" i="16"/>
  <c r="I1587" i="16"/>
  <c r="I1588" i="16"/>
  <c r="I1589" i="16"/>
  <c r="I1590" i="16"/>
  <c r="I1591" i="16"/>
  <c r="I1592" i="16"/>
  <c r="I1593" i="16"/>
  <c r="I1594" i="16"/>
  <c r="I1595" i="16"/>
  <c r="I1596" i="16"/>
  <c r="I1597" i="16"/>
  <c r="I1598" i="16"/>
  <c r="I1599" i="16"/>
  <c r="I1600" i="16"/>
  <c r="I1601" i="16"/>
  <c r="I1602" i="16"/>
  <c r="I1603" i="16"/>
  <c r="I1604" i="16"/>
  <c r="I1605" i="16"/>
  <c r="I1606" i="16"/>
  <c r="I1607" i="16"/>
  <c r="I1608" i="16"/>
  <c r="I1609" i="16"/>
  <c r="I1610" i="16"/>
  <c r="I1611" i="16"/>
  <c r="I1612" i="16"/>
  <c r="I1613" i="16"/>
  <c r="I1614" i="16"/>
  <c r="I1615" i="16"/>
  <c r="I1616" i="16"/>
  <c r="I1617" i="16"/>
  <c r="I1618" i="16"/>
  <c r="I1619" i="16"/>
  <c r="I1620" i="16"/>
  <c r="I1621" i="16"/>
  <c r="I1622" i="16"/>
  <c r="I1623" i="16"/>
  <c r="I1624" i="16"/>
  <c r="I1625" i="16"/>
  <c r="I1626" i="16"/>
  <c r="I1627" i="16"/>
  <c r="I1628" i="16"/>
  <c r="I1629" i="16"/>
  <c r="I1630" i="16"/>
  <c r="I1631" i="16"/>
  <c r="I1632" i="16"/>
  <c r="I1633" i="16"/>
  <c r="I1634" i="16"/>
  <c r="I1635" i="16"/>
  <c r="I1636" i="16"/>
  <c r="I1637" i="16"/>
  <c r="I1638" i="16"/>
  <c r="I1639" i="16"/>
  <c r="I1640" i="16"/>
  <c r="I1641" i="16"/>
  <c r="I1642" i="16"/>
  <c r="I1643" i="16"/>
  <c r="I1644" i="16"/>
  <c r="I1645" i="16"/>
  <c r="I1646" i="16"/>
  <c r="I1647" i="16"/>
  <c r="I1648" i="16"/>
  <c r="I1649" i="16"/>
  <c r="I1650" i="16"/>
  <c r="I1651" i="16"/>
  <c r="I1652" i="16"/>
  <c r="I1653" i="16"/>
  <c r="I1654" i="16"/>
  <c r="I1655" i="16"/>
  <c r="I1656" i="16"/>
  <c r="I1657" i="16"/>
  <c r="I1658" i="16"/>
  <c r="I1659" i="16"/>
  <c r="I1660" i="16"/>
  <c r="I1661" i="16"/>
  <c r="I1662" i="16"/>
  <c r="I1663" i="16"/>
  <c r="I1664" i="16"/>
  <c r="I1665" i="16"/>
  <c r="I1666" i="16"/>
  <c r="I1667" i="16"/>
  <c r="I1668" i="16"/>
  <c r="I1669" i="16"/>
  <c r="I1670" i="16"/>
  <c r="I1671" i="16"/>
  <c r="I1672" i="16"/>
  <c r="I1673" i="16"/>
  <c r="I1674" i="16"/>
  <c r="I1675" i="16"/>
  <c r="I1676" i="16"/>
  <c r="I1677" i="16"/>
  <c r="I1678" i="16"/>
  <c r="I1679" i="16"/>
  <c r="I1680" i="16"/>
  <c r="I1681" i="16"/>
  <c r="I1682" i="16"/>
  <c r="I1683" i="16"/>
  <c r="I1684" i="16"/>
  <c r="I1685" i="16"/>
  <c r="I1686" i="16"/>
  <c r="I1687" i="16"/>
  <c r="I1688" i="16"/>
  <c r="I1689" i="16"/>
  <c r="I1690" i="16"/>
  <c r="I1691" i="16"/>
  <c r="I1692" i="16"/>
  <c r="I1693" i="16"/>
  <c r="I1694" i="16"/>
  <c r="I1695" i="16"/>
  <c r="I1696" i="16"/>
  <c r="I1697" i="16"/>
  <c r="I1698" i="16"/>
  <c r="I1699" i="16"/>
  <c r="I1700" i="16"/>
  <c r="I1701" i="16"/>
  <c r="I1702" i="16"/>
  <c r="I1703" i="16"/>
  <c r="I1704" i="16"/>
  <c r="I1705" i="16"/>
  <c r="I1706" i="16"/>
  <c r="I1707" i="16"/>
  <c r="I1708" i="16"/>
  <c r="I1709" i="16"/>
  <c r="I1710" i="16"/>
  <c r="I1711" i="16"/>
  <c r="I1712" i="16"/>
  <c r="I1713" i="16"/>
  <c r="I1714" i="16"/>
  <c r="I1715" i="16"/>
  <c r="I1716" i="16"/>
  <c r="I1717" i="16"/>
  <c r="I1718" i="16"/>
  <c r="I1719" i="16"/>
  <c r="I1720" i="16"/>
  <c r="I1721" i="16"/>
  <c r="I1722" i="16"/>
  <c r="I1723" i="16"/>
  <c r="I1724" i="16"/>
  <c r="I1725" i="16"/>
  <c r="I1726" i="16"/>
  <c r="I1727" i="16"/>
  <c r="I1728" i="16"/>
  <c r="I1729" i="16"/>
  <c r="I1730" i="16"/>
  <c r="I1731" i="16"/>
  <c r="I1732" i="16"/>
  <c r="I1733" i="16"/>
  <c r="I1734" i="16"/>
  <c r="I1735" i="16"/>
  <c r="I1736" i="16"/>
  <c r="I1737" i="16"/>
  <c r="I1738" i="16"/>
  <c r="I1739" i="16"/>
  <c r="I1740" i="16"/>
  <c r="I1741" i="16"/>
  <c r="I1742" i="16"/>
  <c r="I1743" i="16"/>
  <c r="I1744" i="16"/>
  <c r="I1745" i="16"/>
  <c r="I1746" i="16"/>
  <c r="I1747" i="16"/>
  <c r="I1748" i="16"/>
  <c r="I1749" i="16"/>
  <c r="I1750" i="16"/>
  <c r="I1751" i="16"/>
  <c r="I1752" i="16"/>
  <c r="I1753" i="16"/>
  <c r="I1754" i="16"/>
  <c r="I1755" i="16"/>
  <c r="I1756" i="16"/>
  <c r="I1757" i="16"/>
  <c r="I1758" i="16"/>
  <c r="I1759" i="16"/>
  <c r="I1760" i="16"/>
  <c r="I1761" i="16"/>
  <c r="I1762" i="16"/>
  <c r="I1763" i="16"/>
  <c r="I1764" i="16"/>
  <c r="I1765" i="16"/>
  <c r="I1766" i="16"/>
  <c r="I1767" i="16"/>
  <c r="I1768" i="16"/>
  <c r="I1769" i="16"/>
  <c r="I1770" i="16"/>
  <c r="I1771" i="16"/>
  <c r="I1772" i="16"/>
  <c r="I1773" i="16"/>
  <c r="I1774" i="16"/>
  <c r="I1775" i="16"/>
  <c r="I1776" i="16"/>
  <c r="I1777" i="16"/>
  <c r="I1778" i="16"/>
  <c r="I1779" i="16"/>
  <c r="I1780" i="16"/>
  <c r="I1781" i="16"/>
  <c r="I1782" i="16"/>
  <c r="I1783" i="16"/>
  <c r="I1784" i="16"/>
  <c r="I1785" i="16"/>
  <c r="I1786" i="16"/>
  <c r="I1787" i="16"/>
  <c r="I1788" i="16"/>
  <c r="I1789" i="16"/>
  <c r="I1790" i="16"/>
  <c r="I1791" i="16"/>
  <c r="I1792" i="16"/>
  <c r="I1793" i="16"/>
  <c r="I1794" i="16"/>
  <c r="I1795" i="16"/>
  <c r="I1796" i="16"/>
  <c r="I1797" i="16"/>
  <c r="I1798" i="16"/>
  <c r="I1799" i="16"/>
  <c r="I1800" i="16"/>
  <c r="I1801" i="16"/>
  <c r="I1802" i="16"/>
  <c r="I1803" i="16"/>
  <c r="I1804" i="16"/>
  <c r="I1805" i="16"/>
  <c r="I1806" i="16"/>
  <c r="I1807" i="16"/>
  <c r="I1808" i="16"/>
  <c r="I1809" i="16"/>
  <c r="I1810" i="16"/>
  <c r="I1811" i="16"/>
  <c r="I1812" i="16"/>
  <c r="I1813" i="16"/>
  <c r="I1814" i="16"/>
  <c r="I1815" i="16"/>
  <c r="I1816" i="16"/>
  <c r="I1817" i="16"/>
  <c r="I1818" i="16"/>
  <c r="I1819" i="16"/>
  <c r="I1820" i="16"/>
  <c r="I1821" i="16"/>
  <c r="I1822" i="16"/>
  <c r="I1823" i="16"/>
  <c r="I1824" i="16"/>
  <c r="I1825" i="16"/>
  <c r="I1826" i="16"/>
  <c r="I1827" i="16"/>
  <c r="I1828" i="16"/>
  <c r="I1829" i="16"/>
  <c r="I1830" i="16"/>
  <c r="I1831" i="16"/>
  <c r="I1832" i="16"/>
  <c r="I1833" i="16"/>
  <c r="I1834" i="16"/>
  <c r="I1835" i="16"/>
  <c r="I1836" i="16"/>
  <c r="I1837" i="16"/>
  <c r="I1838" i="16"/>
  <c r="I1839" i="16"/>
  <c r="I1840" i="16"/>
  <c r="I1841" i="16"/>
  <c r="I1842" i="16"/>
  <c r="I1843" i="16"/>
  <c r="I1844" i="16"/>
  <c r="I1845" i="16"/>
  <c r="I1846" i="16"/>
  <c r="I1847" i="16"/>
  <c r="I1848" i="16"/>
  <c r="I1849" i="16"/>
  <c r="I1850" i="16"/>
  <c r="I1851" i="16"/>
  <c r="I1852" i="16"/>
  <c r="I1853" i="16"/>
  <c r="I1854" i="16"/>
  <c r="I1855" i="16"/>
  <c r="I1856" i="16"/>
  <c r="I1857" i="16"/>
  <c r="I1858" i="16"/>
  <c r="I1859" i="16"/>
  <c r="I1860" i="16"/>
  <c r="I1861" i="16"/>
  <c r="I1862" i="16"/>
  <c r="I1863" i="16"/>
  <c r="I1864" i="16"/>
  <c r="I1865" i="16"/>
  <c r="I1866" i="16"/>
  <c r="I1867" i="16"/>
  <c r="I1868" i="16"/>
  <c r="I1869" i="16"/>
  <c r="I1870" i="16"/>
  <c r="I1871" i="16"/>
  <c r="I1872" i="16"/>
  <c r="I1873" i="16"/>
  <c r="I1874" i="16"/>
  <c r="I1875" i="16"/>
  <c r="I1876" i="16"/>
  <c r="I1877" i="16"/>
  <c r="I1878" i="16"/>
  <c r="I1879" i="16"/>
  <c r="I1880" i="16"/>
  <c r="I1881" i="16"/>
  <c r="I1882" i="16"/>
  <c r="I1883" i="16"/>
  <c r="I1884" i="16"/>
  <c r="I1885" i="16"/>
  <c r="I1886" i="16"/>
  <c r="I1887" i="16"/>
  <c r="I1888" i="16"/>
  <c r="I1889" i="16"/>
  <c r="I1890" i="16"/>
  <c r="I1891" i="16"/>
  <c r="I1892" i="16"/>
  <c r="I1893" i="16"/>
  <c r="I1894" i="16"/>
  <c r="I1895" i="16"/>
  <c r="I1896" i="16"/>
  <c r="I1897" i="16"/>
  <c r="I1898" i="16"/>
  <c r="I1899" i="16"/>
  <c r="I1900" i="16"/>
  <c r="I1901" i="16"/>
  <c r="I1902" i="16"/>
  <c r="I1903" i="16"/>
  <c r="I1904" i="16"/>
  <c r="I1905" i="16"/>
  <c r="I1906" i="16"/>
  <c r="I1907" i="16"/>
  <c r="I1908" i="16"/>
  <c r="I1909" i="16"/>
  <c r="I1910" i="16"/>
  <c r="I1911" i="16"/>
  <c r="I1912" i="16"/>
  <c r="I1913" i="16"/>
  <c r="I1914" i="16"/>
  <c r="I1915" i="16"/>
  <c r="I1916" i="16"/>
  <c r="I1917" i="16"/>
  <c r="I1918" i="16"/>
  <c r="I1919" i="16"/>
  <c r="I1920" i="16"/>
  <c r="I1921" i="16"/>
  <c r="I1922" i="16"/>
  <c r="I1923" i="16"/>
  <c r="I1924" i="16"/>
  <c r="I1925" i="16"/>
  <c r="I1926" i="16"/>
  <c r="I1927" i="16"/>
  <c r="I1928" i="16"/>
  <c r="I1929" i="16"/>
  <c r="I1930" i="16"/>
  <c r="I1931" i="16"/>
  <c r="I1932" i="16"/>
  <c r="I1933" i="16"/>
  <c r="I1934" i="16"/>
  <c r="I1935" i="16"/>
  <c r="I1936" i="16"/>
  <c r="I1937" i="16"/>
  <c r="I1938" i="16"/>
  <c r="I1939" i="16"/>
  <c r="I1940" i="16"/>
  <c r="I1941" i="16"/>
  <c r="I1942" i="16"/>
  <c r="I1943" i="16"/>
  <c r="I1944" i="16"/>
  <c r="I1945" i="16"/>
  <c r="I1946" i="16"/>
  <c r="I1947" i="16"/>
  <c r="I1948" i="16"/>
  <c r="I1949" i="16"/>
  <c r="I1950" i="16"/>
  <c r="I1951" i="16"/>
  <c r="I1952" i="16"/>
  <c r="I1953" i="16"/>
  <c r="I1954" i="16"/>
  <c r="I1955" i="16"/>
  <c r="I1956" i="16"/>
  <c r="I1957" i="16"/>
  <c r="I1958" i="16"/>
  <c r="I1959" i="16"/>
  <c r="I1960" i="16"/>
  <c r="I1961" i="16"/>
  <c r="I1962" i="16"/>
  <c r="I1963" i="16"/>
  <c r="I1964" i="16"/>
  <c r="I1965" i="16"/>
  <c r="I1966" i="16"/>
  <c r="I1967" i="16"/>
  <c r="I1968" i="16"/>
  <c r="I1969" i="16"/>
  <c r="I1970" i="16"/>
  <c r="I1971" i="16"/>
  <c r="I1972" i="16"/>
  <c r="I1973" i="16"/>
  <c r="I1974" i="16"/>
  <c r="I1975" i="16"/>
  <c r="I1976" i="16"/>
  <c r="I1977" i="16"/>
  <c r="I1978" i="16"/>
  <c r="I1979" i="16"/>
  <c r="I1980" i="16"/>
  <c r="I1981" i="16"/>
  <c r="I1982" i="16"/>
  <c r="I1983" i="16"/>
  <c r="I1984" i="16"/>
  <c r="I1985" i="16"/>
  <c r="I1986" i="16"/>
  <c r="I1987" i="16"/>
  <c r="I1988" i="16"/>
  <c r="I1989" i="16"/>
  <c r="I1990" i="16"/>
  <c r="I1991" i="16"/>
  <c r="I1992" i="16"/>
  <c r="I1993" i="16"/>
  <c r="I1994" i="16"/>
  <c r="I1995" i="16"/>
  <c r="I1996" i="16"/>
  <c r="I1997" i="16"/>
  <c r="I1998" i="16"/>
  <c r="I1999" i="16"/>
  <c r="I2000" i="16"/>
  <c r="I2001" i="16"/>
  <c r="I2002" i="16"/>
  <c r="I2003" i="16"/>
  <c r="I2004" i="16"/>
  <c r="I2005" i="16"/>
  <c r="I2006" i="16"/>
  <c r="I2007" i="16"/>
  <c r="I2008" i="16"/>
  <c r="I2009" i="16"/>
  <c r="I2010" i="16"/>
  <c r="I2011" i="16"/>
  <c r="I2012" i="16"/>
  <c r="I2013" i="16"/>
  <c r="I2014" i="16"/>
  <c r="I2015" i="16"/>
  <c r="I2016" i="16"/>
  <c r="I2017" i="16"/>
  <c r="I2018" i="16"/>
  <c r="I2019" i="16"/>
  <c r="I2020" i="16"/>
  <c r="I2021" i="16"/>
  <c r="I2022" i="16"/>
  <c r="I2023" i="16"/>
  <c r="I2024" i="16"/>
  <c r="I2025" i="16"/>
  <c r="I2026" i="16"/>
  <c r="I2027" i="16"/>
  <c r="I2028" i="16"/>
  <c r="I2029" i="16"/>
  <c r="I2030" i="16"/>
  <c r="I2031" i="16"/>
  <c r="I2032" i="16"/>
  <c r="I2033" i="16"/>
  <c r="I2034" i="16"/>
  <c r="I2035" i="16"/>
  <c r="I2036" i="16"/>
  <c r="I2037" i="16"/>
  <c r="I2038" i="16"/>
  <c r="I2039" i="16"/>
  <c r="I2040" i="16"/>
  <c r="I2041" i="16"/>
  <c r="I2042" i="16"/>
  <c r="I2043" i="16"/>
  <c r="I2044" i="16"/>
  <c r="I2045" i="16"/>
  <c r="I2046" i="16"/>
  <c r="I2047" i="16"/>
  <c r="I2048" i="16"/>
  <c r="I2049" i="16"/>
  <c r="I2050" i="16"/>
  <c r="I2051" i="16"/>
  <c r="I2052" i="16"/>
  <c r="I2053" i="16"/>
  <c r="I2054" i="16"/>
  <c r="I2055" i="16"/>
  <c r="I2056" i="16"/>
  <c r="I2057" i="16"/>
  <c r="I2058" i="16"/>
  <c r="I2059" i="16"/>
  <c r="I2060" i="16"/>
  <c r="I2061" i="16"/>
  <c r="I2062" i="16"/>
  <c r="I2063" i="16"/>
  <c r="I2064" i="16"/>
  <c r="I2065" i="16"/>
  <c r="I2066" i="16"/>
  <c r="I2067" i="16"/>
  <c r="I2068" i="16"/>
  <c r="I2069" i="16"/>
  <c r="I2070" i="16"/>
  <c r="I2071" i="16"/>
  <c r="I2072" i="16"/>
  <c r="I2073" i="16"/>
  <c r="I2074" i="16"/>
  <c r="I2075" i="16"/>
  <c r="I2076" i="16"/>
  <c r="I2077" i="16"/>
  <c r="I2078" i="16"/>
  <c r="I2079" i="16"/>
  <c r="I2080" i="16"/>
  <c r="I2081" i="16"/>
  <c r="I2082" i="16"/>
  <c r="I2083" i="16"/>
  <c r="I2084" i="16"/>
  <c r="I2085" i="16"/>
  <c r="I2086" i="16"/>
  <c r="I2087" i="16"/>
  <c r="I2088" i="16"/>
  <c r="I2089" i="16"/>
  <c r="I2090" i="16"/>
  <c r="I2091" i="16"/>
  <c r="I2092" i="16"/>
  <c r="I2093" i="16"/>
  <c r="I2094" i="16"/>
  <c r="I2095" i="16"/>
  <c r="I2096" i="16"/>
  <c r="I2097" i="16"/>
  <c r="I2098" i="16"/>
  <c r="I2099" i="16"/>
  <c r="I2100" i="16"/>
  <c r="I2101" i="16"/>
  <c r="I2102" i="16"/>
  <c r="I2103" i="16"/>
  <c r="I2104" i="16"/>
  <c r="I2105" i="16"/>
  <c r="I2106" i="16"/>
  <c r="I2107" i="16"/>
  <c r="I2108" i="16"/>
  <c r="I2109" i="16"/>
  <c r="I2110" i="16"/>
  <c r="I2111" i="16"/>
  <c r="I2112" i="16"/>
  <c r="I2113" i="16"/>
  <c r="I2114" i="16"/>
  <c r="I2115" i="16"/>
  <c r="I2116" i="16"/>
  <c r="I2117" i="16"/>
  <c r="I2118" i="16"/>
  <c r="I2119" i="16"/>
  <c r="I2120" i="16"/>
  <c r="I2121" i="16"/>
  <c r="I2122" i="16"/>
  <c r="I2123" i="16"/>
  <c r="I2124" i="16"/>
  <c r="I2125" i="16"/>
  <c r="I2126" i="16"/>
  <c r="I2127" i="16"/>
  <c r="I2128" i="16"/>
  <c r="I2129" i="16"/>
  <c r="I2130" i="16"/>
  <c r="I2131" i="16"/>
  <c r="I2132" i="16"/>
  <c r="I2133" i="16"/>
  <c r="I2134" i="16"/>
  <c r="I2135" i="16"/>
  <c r="I2136" i="16"/>
  <c r="I2137" i="16"/>
  <c r="I2138" i="16"/>
  <c r="I2139" i="16"/>
  <c r="I2140" i="16"/>
  <c r="I2141" i="16"/>
  <c r="I2142" i="16"/>
  <c r="I2143" i="16"/>
  <c r="I2144" i="16"/>
  <c r="I2145" i="16"/>
  <c r="I2146" i="16"/>
  <c r="I2147" i="16"/>
  <c r="I2148" i="16"/>
  <c r="I2149" i="16"/>
  <c r="I2150" i="16"/>
  <c r="I2151" i="16"/>
  <c r="I2152" i="16"/>
  <c r="I2153" i="16"/>
  <c r="I2154" i="16"/>
  <c r="I2155" i="16"/>
  <c r="I2156" i="16"/>
  <c r="I2157" i="16"/>
  <c r="I2158" i="16"/>
  <c r="I2159" i="16"/>
  <c r="I2160" i="16"/>
  <c r="I6" i="16"/>
  <c r="H7" i="16"/>
  <c r="H8" i="16"/>
  <c r="H9" i="16"/>
  <c r="H10" i="16"/>
  <c r="H11" i="16"/>
  <c r="H12" i="16"/>
  <c r="H13" i="16"/>
  <c r="H14" i="16"/>
  <c r="H15" i="16"/>
  <c r="H16" i="16"/>
  <c r="H17" i="16"/>
  <c r="H18" i="16"/>
  <c r="H19" i="16"/>
  <c r="H20" i="16"/>
  <c r="H21" i="16"/>
  <c r="H22" i="16"/>
  <c r="H23" i="16"/>
  <c r="H24" i="16"/>
  <c r="H25" i="16"/>
  <c r="H26" i="16"/>
  <c r="H27" i="16"/>
  <c r="H28" i="16"/>
  <c r="H29" i="16"/>
  <c r="H30" i="16"/>
  <c r="H31" i="16"/>
  <c r="H32" i="16"/>
  <c r="H33" i="16"/>
  <c r="H34" i="16"/>
  <c r="H35" i="16"/>
  <c r="H36" i="16"/>
  <c r="H37" i="16"/>
  <c r="H38" i="16"/>
  <c r="H39" i="16"/>
  <c r="H40" i="16"/>
  <c r="H41" i="16"/>
  <c r="H42" i="16"/>
  <c r="H43" i="16"/>
  <c r="H44" i="16"/>
  <c r="H45" i="16"/>
  <c r="H46" i="16"/>
  <c r="H47" i="16"/>
  <c r="H48" i="16"/>
  <c r="H49" i="16"/>
  <c r="H50" i="16"/>
  <c r="H51" i="16"/>
  <c r="H52" i="16"/>
  <c r="H53" i="16"/>
  <c r="H54" i="16"/>
  <c r="H55" i="16"/>
  <c r="H56" i="16"/>
  <c r="H57" i="16"/>
  <c r="H58" i="16"/>
  <c r="H59" i="16"/>
  <c r="H60" i="16"/>
  <c r="H61" i="16"/>
  <c r="H62" i="16"/>
  <c r="H63" i="16"/>
  <c r="H64" i="16"/>
  <c r="H65" i="16"/>
  <c r="H66" i="16"/>
  <c r="H67" i="16"/>
  <c r="H68" i="16"/>
  <c r="H69" i="16"/>
  <c r="H70" i="16"/>
  <c r="H71" i="16"/>
  <c r="H72" i="16"/>
  <c r="H73" i="16"/>
  <c r="H74" i="16"/>
  <c r="H75" i="16"/>
  <c r="H76" i="16"/>
  <c r="H77" i="16"/>
  <c r="H78" i="16"/>
  <c r="H79" i="16"/>
  <c r="H80" i="16"/>
  <c r="H81" i="16"/>
  <c r="H82" i="16"/>
  <c r="H83" i="16"/>
  <c r="H84" i="16"/>
  <c r="H85" i="16"/>
  <c r="H86" i="16"/>
  <c r="H87" i="16"/>
  <c r="H88" i="16"/>
  <c r="H89" i="16"/>
  <c r="H90" i="16"/>
  <c r="H91" i="16"/>
  <c r="H92" i="16"/>
  <c r="H93" i="16"/>
  <c r="H94" i="16"/>
  <c r="H95" i="16"/>
  <c r="H96" i="16"/>
  <c r="H97" i="16"/>
  <c r="H98" i="16"/>
  <c r="H99" i="16"/>
  <c r="H100" i="16"/>
  <c r="H101" i="16"/>
  <c r="H102" i="16"/>
  <c r="H103" i="16"/>
  <c r="H104" i="16"/>
  <c r="H105" i="16"/>
  <c r="H106" i="16"/>
  <c r="H107" i="16"/>
  <c r="H108" i="16"/>
  <c r="H109" i="16"/>
  <c r="H110" i="16"/>
  <c r="H111" i="16"/>
  <c r="H112" i="16"/>
  <c r="H113" i="16"/>
  <c r="H114" i="16"/>
  <c r="H115" i="16"/>
  <c r="H116" i="16"/>
  <c r="H117" i="16"/>
  <c r="H118" i="16"/>
  <c r="H119" i="16"/>
  <c r="H120" i="16"/>
  <c r="H121" i="16"/>
  <c r="H122" i="16"/>
  <c r="H123" i="16"/>
  <c r="H124" i="16"/>
  <c r="H125" i="16"/>
  <c r="H126" i="16"/>
  <c r="H127" i="16"/>
  <c r="H128" i="16"/>
  <c r="H129" i="16"/>
  <c r="H130" i="16"/>
  <c r="H131" i="16"/>
  <c r="H132" i="16"/>
  <c r="H133" i="16"/>
  <c r="H134" i="16"/>
  <c r="H135" i="16"/>
  <c r="H136" i="16"/>
  <c r="H137" i="16"/>
  <c r="H138" i="16"/>
  <c r="H139" i="16"/>
  <c r="H140" i="16"/>
  <c r="H141" i="16"/>
  <c r="H142" i="16"/>
  <c r="H143" i="16"/>
  <c r="H144" i="16"/>
  <c r="H145" i="16"/>
  <c r="H146" i="16"/>
  <c r="H147" i="16"/>
  <c r="H148" i="16"/>
  <c r="H149" i="16"/>
  <c r="H150" i="16"/>
  <c r="H151" i="16"/>
  <c r="H152" i="16"/>
  <c r="H153" i="16"/>
  <c r="H154" i="16"/>
  <c r="H155" i="16"/>
  <c r="H156" i="16"/>
  <c r="H157" i="16"/>
  <c r="H158" i="16"/>
  <c r="H159" i="16"/>
  <c r="H160" i="16"/>
  <c r="H161" i="16"/>
  <c r="H162" i="16"/>
  <c r="H163" i="16"/>
  <c r="H164" i="16"/>
  <c r="H165" i="16"/>
  <c r="H166" i="16"/>
  <c r="H167" i="16"/>
  <c r="H168" i="16"/>
  <c r="H169" i="16"/>
  <c r="H170" i="16"/>
  <c r="H171" i="16"/>
  <c r="H172" i="16"/>
  <c r="H173" i="16"/>
  <c r="H174" i="16"/>
  <c r="H175" i="16"/>
  <c r="H176" i="16"/>
  <c r="H177" i="16"/>
  <c r="H178" i="16"/>
  <c r="H179" i="16"/>
  <c r="H180" i="16"/>
  <c r="H181" i="16"/>
  <c r="H182" i="16"/>
  <c r="H183" i="16"/>
  <c r="H184" i="16"/>
  <c r="H185" i="16"/>
  <c r="H186" i="16"/>
  <c r="H187" i="16"/>
  <c r="H188" i="16"/>
  <c r="H189" i="16"/>
  <c r="H190" i="16"/>
  <c r="H191" i="16"/>
  <c r="H192" i="16"/>
  <c r="H193" i="16"/>
  <c r="H194" i="16"/>
  <c r="H195" i="16"/>
  <c r="H196" i="16"/>
  <c r="H197" i="16"/>
  <c r="H198" i="16"/>
  <c r="H199" i="16"/>
  <c r="H200" i="16"/>
  <c r="H201" i="16"/>
  <c r="H202" i="16"/>
  <c r="H203" i="16"/>
  <c r="H204" i="16"/>
  <c r="H205" i="16"/>
  <c r="H206" i="16"/>
  <c r="H207" i="16"/>
  <c r="H208" i="16"/>
  <c r="H209" i="16"/>
  <c r="H210" i="16"/>
  <c r="H211" i="16"/>
  <c r="H212" i="16"/>
  <c r="H213" i="16"/>
  <c r="H214" i="16"/>
  <c r="H215" i="16"/>
  <c r="H216" i="16"/>
  <c r="H217" i="16"/>
  <c r="H218" i="16"/>
  <c r="H219" i="16"/>
  <c r="H220" i="16"/>
  <c r="H221" i="16"/>
  <c r="H222" i="16"/>
  <c r="H223" i="16"/>
  <c r="H224" i="16"/>
  <c r="H225" i="16"/>
  <c r="H226" i="16"/>
  <c r="H227" i="16"/>
  <c r="H228" i="16"/>
  <c r="H229" i="16"/>
  <c r="H230" i="16"/>
  <c r="H231" i="16"/>
  <c r="H232" i="16"/>
  <c r="H233" i="16"/>
  <c r="H234" i="16"/>
  <c r="H235" i="16"/>
  <c r="H236" i="16"/>
  <c r="H237" i="16"/>
  <c r="H238" i="16"/>
  <c r="H239" i="16"/>
  <c r="H240" i="16"/>
  <c r="H241" i="16"/>
  <c r="H242" i="16"/>
  <c r="H243" i="16"/>
  <c r="H244" i="16"/>
  <c r="H245" i="16"/>
  <c r="H246" i="16"/>
  <c r="H247" i="16"/>
  <c r="H248" i="16"/>
  <c r="H249" i="16"/>
  <c r="H250" i="16"/>
  <c r="H251" i="16"/>
  <c r="H252" i="16"/>
  <c r="H253" i="16"/>
  <c r="H254" i="16"/>
  <c r="H255" i="16"/>
  <c r="H256" i="16"/>
  <c r="H257" i="16"/>
  <c r="H258" i="16"/>
  <c r="H259" i="16"/>
  <c r="H260" i="16"/>
  <c r="H261" i="16"/>
  <c r="H262" i="16"/>
  <c r="H263" i="16"/>
  <c r="H264" i="16"/>
  <c r="H265" i="16"/>
  <c r="H266" i="16"/>
  <c r="H267" i="16"/>
  <c r="H268" i="16"/>
  <c r="H269" i="16"/>
  <c r="H270" i="16"/>
  <c r="H271" i="16"/>
  <c r="H272" i="16"/>
  <c r="H273" i="16"/>
  <c r="H274" i="16"/>
  <c r="H275" i="16"/>
  <c r="H276" i="16"/>
  <c r="H277" i="16"/>
  <c r="H278" i="16"/>
  <c r="H279" i="16"/>
  <c r="H280" i="16"/>
  <c r="H281" i="16"/>
  <c r="H282" i="16"/>
  <c r="H283" i="16"/>
  <c r="H284" i="16"/>
  <c r="H285" i="16"/>
  <c r="H286" i="16"/>
  <c r="H287" i="16"/>
  <c r="H288" i="16"/>
  <c r="H289" i="16"/>
  <c r="H290" i="16"/>
  <c r="H291" i="16"/>
  <c r="H292" i="16"/>
  <c r="H293" i="16"/>
  <c r="H294" i="16"/>
  <c r="H295" i="16"/>
  <c r="H296" i="16"/>
  <c r="H297" i="16"/>
  <c r="H298" i="16"/>
  <c r="H299" i="16"/>
  <c r="H300" i="16"/>
  <c r="H301" i="16"/>
  <c r="H302" i="16"/>
  <c r="H303" i="16"/>
  <c r="H304" i="16"/>
  <c r="H305" i="16"/>
  <c r="H306" i="16"/>
  <c r="H307" i="16"/>
  <c r="H308" i="16"/>
  <c r="H309" i="16"/>
  <c r="H310" i="16"/>
  <c r="H311" i="16"/>
  <c r="H312" i="16"/>
  <c r="H313" i="16"/>
  <c r="H314" i="16"/>
  <c r="H315" i="16"/>
  <c r="H316" i="16"/>
  <c r="H317" i="16"/>
  <c r="H318" i="16"/>
  <c r="H319" i="16"/>
  <c r="H320" i="16"/>
  <c r="H321" i="16"/>
  <c r="H322" i="16"/>
  <c r="H323" i="16"/>
  <c r="H324" i="16"/>
  <c r="H325" i="16"/>
  <c r="H326" i="16"/>
  <c r="H327" i="16"/>
  <c r="H328" i="16"/>
  <c r="H329" i="16"/>
  <c r="H330" i="16"/>
  <c r="H331" i="16"/>
  <c r="H332" i="16"/>
  <c r="H333" i="16"/>
  <c r="H334" i="16"/>
  <c r="H335" i="16"/>
  <c r="H336" i="16"/>
  <c r="H337" i="16"/>
  <c r="H338" i="16"/>
  <c r="H339" i="16"/>
  <c r="H340" i="16"/>
  <c r="H341" i="16"/>
  <c r="H342" i="16"/>
  <c r="H343" i="16"/>
  <c r="H344" i="16"/>
  <c r="H345" i="16"/>
  <c r="H346" i="16"/>
  <c r="H347" i="16"/>
  <c r="H348" i="16"/>
  <c r="H349" i="16"/>
  <c r="H350" i="16"/>
  <c r="H351" i="16"/>
  <c r="H352" i="16"/>
  <c r="H353" i="16"/>
  <c r="H354" i="16"/>
  <c r="H355" i="16"/>
  <c r="H356" i="16"/>
  <c r="H357" i="16"/>
  <c r="H358" i="16"/>
  <c r="H359" i="16"/>
  <c r="H360" i="16"/>
  <c r="H361" i="16"/>
  <c r="H362" i="16"/>
  <c r="H363" i="16"/>
  <c r="H364" i="16"/>
  <c r="H365" i="16"/>
  <c r="H366" i="16"/>
  <c r="H367" i="16"/>
  <c r="H368" i="16"/>
  <c r="H369" i="16"/>
  <c r="H370" i="16"/>
  <c r="H371" i="16"/>
  <c r="H372" i="16"/>
  <c r="H373" i="16"/>
  <c r="H374" i="16"/>
  <c r="H375" i="16"/>
  <c r="H376" i="16"/>
  <c r="H377" i="16"/>
  <c r="H378" i="16"/>
  <c r="H379" i="16"/>
  <c r="H380" i="16"/>
  <c r="H381" i="16"/>
  <c r="H382" i="16"/>
  <c r="H383" i="16"/>
  <c r="H384" i="16"/>
  <c r="H385" i="16"/>
  <c r="H386" i="16"/>
  <c r="H387" i="16"/>
  <c r="H388" i="16"/>
  <c r="H389" i="16"/>
  <c r="H390" i="16"/>
  <c r="H391" i="16"/>
  <c r="H392" i="16"/>
  <c r="H393" i="16"/>
  <c r="H394" i="16"/>
  <c r="H395" i="16"/>
  <c r="H396" i="16"/>
  <c r="H397" i="16"/>
  <c r="H398" i="16"/>
  <c r="H399" i="16"/>
  <c r="H400" i="16"/>
  <c r="H401" i="16"/>
  <c r="H402" i="16"/>
  <c r="H403" i="16"/>
  <c r="H404" i="16"/>
  <c r="H405" i="16"/>
  <c r="H406" i="16"/>
  <c r="H407" i="16"/>
  <c r="H408" i="16"/>
  <c r="H409" i="16"/>
  <c r="H410" i="16"/>
  <c r="H411" i="16"/>
  <c r="H412" i="16"/>
  <c r="H413" i="16"/>
  <c r="H414" i="16"/>
  <c r="H415" i="16"/>
  <c r="H416" i="16"/>
  <c r="H417" i="16"/>
  <c r="H418" i="16"/>
  <c r="H419" i="16"/>
  <c r="H420" i="16"/>
  <c r="H421" i="16"/>
  <c r="H422" i="16"/>
  <c r="H423" i="16"/>
  <c r="H424" i="16"/>
  <c r="H425" i="16"/>
  <c r="H426" i="16"/>
  <c r="H427" i="16"/>
  <c r="H428" i="16"/>
  <c r="H429" i="16"/>
  <c r="H430" i="16"/>
  <c r="H431" i="16"/>
  <c r="H432" i="16"/>
  <c r="H433" i="16"/>
  <c r="H434" i="16"/>
  <c r="H435" i="16"/>
  <c r="H436" i="16"/>
  <c r="H437" i="16"/>
  <c r="H438" i="16"/>
  <c r="H439" i="16"/>
  <c r="H440" i="16"/>
  <c r="H441" i="16"/>
  <c r="H442" i="16"/>
  <c r="H443" i="16"/>
  <c r="H444" i="16"/>
  <c r="H445" i="16"/>
  <c r="H446" i="16"/>
  <c r="H447" i="16"/>
  <c r="H448" i="16"/>
  <c r="H449" i="16"/>
  <c r="H450" i="16"/>
  <c r="H451" i="16"/>
  <c r="H452" i="16"/>
  <c r="H453" i="16"/>
  <c r="H454" i="16"/>
  <c r="H455" i="16"/>
  <c r="H456" i="16"/>
  <c r="H457" i="16"/>
  <c r="H458" i="16"/>
  <c r="H459" i="16"/>
  <c r="H460" i="16"/>
  <c r="H461" i="16"/>
  <c r="H462" i="16"/>
  <c r="H463" i="16"/>
  <c r="H464" i="16"/>
  <c r="H465" i="16"/>
  <c r="H466" i="16"/>
  <c r="H467" i="16"/>
  <c r="H468" i="16"/>
  <c r="H469" i="16"/>
  <c r="H470" i="16"/>
  <c r="H471" i="16"/>
  <c r="H472" i="16"/>
  <c r="H473" i="16"/>
  <c r="H474" i="16"/>
  <c r="H475" i="16"/>
  <c r="H476" i="16"/>
  <c r="H477" i="16"/>
  <c r="H478" i="16"/>
  <c r="H479" i="16"/>
  <c r="H480" i="16"/>
  <c r="H481" i="16"/>
  <c r="H482" i="16"/>
  <c r="H483" i="16"/>
  <c r="H484" i="16"/>
  <c r="H485" i="16"/>
  <c r="H486" i="16"/>
  <c r="H487" i="16"/>
  <c r="H488" i="16"/>
  <c r="H489" i="16"/>
  <c r="H490" i="16"/>
  <c r="H491" i="16"/>
  <c r="H492" i="16"/>
  <c r="H493" i="16"/>
  <c r="H494" i="16"/>
  <c r="H495" i="16"/>
  <c r="H496" i="16"/>
  <c r="H497" i="16"/>
  <c r="H498" i="16"/>
  <c r="H499" i="16"/>
  <c r="H500" i="16"/>
  <c r="H501" i="16"/>
  <c r="H502" i="16"/>
  <c r="H503" i="16"/>
  <c r="H504" i="16"/>
  <c r="H505" i="16"/>
  <c r="H506" i="16"/>
  <c r="H507" i="16"/>
  <c r="H508" i="16"/>
  <c r="H509" i="16"/>
  <c r="H510" i="16"/>
  <c r="H511" i="16"/>
  <c r="H512" i="16"/>
  <c r="H513" i="16"/>
  <c r="H514" i="16"/>
  <c r="H515" i="16"/>
  <c r="H516" i="16"/>
  <c r="H517" i="16"/>
  <c r="H518" i="16"/>
  <c r="H519" i="16"/>
  <c r="H520" i="16"/>
  <c r="H521" i="16"/>
  <c r="H522" i="16"/>
  <c r="H523" i="16"/>
  <c r="H524" i="16"/>
  <c r="H525" i="16"/>
  <c r="H526" i="16"/>
  <c r="H527" i="16"/>
  <c r="H528" i="16"/>
  <c r="H529" i="16"/>
  <c r="H530" i="16"/>
  <c r="H531" i="16"/>
  <c r="H532" i="16"/>
  <c r="H533" i="16"/>
  <c r="H534" i="16"/>
  <c r="H535" i="16"/>
  <c r="H536" i="16"/>
  <c r="H537" i="16"/>
  <c r="H538" i="16"/>
  <c r="H539" i="16"/>
  <c r="H540" i="16"/>
  <c r="H541" i="16"/>
  <c r="H542" i="16"/>
  <c r="H543" i="16"/>
  <c r="H544" i="16"/>
  <c r="H545" i="16"/>
  <c r="H546" i="16"/>
  <c r="H547" i="16"/>
  <c r="H548" i="16"/>
  <c r="H549" i="16"/>
  <c r="H550" i="16"/>
  <c r="H551" i="16"/>
  <c r="H552" i="16"/>
  <c r="H553" i="16"/>
  <c r="H554" i="16"/>
  <c r="H555" i="16"/>
  <c r="H556" i="16"/>
  <c r="H557" i="16"/>
  <c r="H558" i="16"/>
  <c r="H559" i="16"/>
  <c r="H560" i="16"/>
  <c r="H561" i="16"/>
  <c r="H562" i="16"/>
  <c r="H563" i="16"/>
  <c r="H564" i="16"/>
  <c r="H565" i="16"/>
  <c r="H566" i="16"/>
  <c r="H567" i="16"/>
  <c r="H568" i="16"/>
  <c r="H569" i="16"/>
  <c r="H570" i="16"/>
  <c r="H571" i="16"/>
  <c r="H572" i="16"/>
  <c r="H573" i="16"/>
  <c r="H574" i="16"/>
  <c r="H575" i="16"/>
  <c r="H576" i="16"/>
  <c r="H577" i="16"/>
  <c r="H578" i="16"/>
  <c r="H579" i="16"/>
  <c r="H580" i="16"/>
  <c r="H581" i="16"/>
  <c r="H582" i="16"/>
  <c r="H583" i="16"/>
  <c r="H584" i="16"/>
  <c r="H585" i="16"/>
  <c r="H586" i="16"/>
  <c r="H587" i="16"/>
  <c r="H588" i="16"/>
  <c r="H589" i="16"/>
  <c r="H590" i="16"/>
  <c r="H591" i="16"/>
  <c r="H592" i="16"/>
  <c r="H593" i="16"/>
  <c r="H594" i="16"/>
  <c r="H595" i="16"/>
  <c r="H596" i="16"/>
  <c r="H597" i="16"/>
  <c r="H598" i="16"/>
  <c r="H599" i="16"/>
  <c r="H600" i="16"/>
  <c r="H601" i="16"/>
  <c r="H602" i="16"/>
  <c r="H603" i="16"/>
  <c r="H604" i="16"/>
  <c r="H605" i="16"/>
  <c r="H606" i="16"/>
  <c r="H607" i="16"/>
  <c r="H608" i="16"/>
  <c r="H609" i="16"/>
  <c r="H610" i="16"/>
  <c r="H611" i="16"/>
  <c r="H612" i="16"/>
  <c r="H613" i="16"/>
  <c r="H614" i="16"/>
  <c r="H615" i="16"/>
  <c r="H616" i="16"/>
  <c r="H617" i="16"/>
  <c r="H618" i="16"/>
  <c r="H619" i="16"/>
  <c r="H620" i="16"/>
  <c r="H621" i="16"/>
  <c r="H622" i="16"/>
  <c r="H623" i="16"/>
  <c r="H624" i="16"/>
  <c r="H625" i="16"/>
  <c r="H626" i="16"/>
  <c r="H627" i="16"/>
  <c r="H628" i="16"/>
  <c r="H629" i="16"/>
  <c r="H630" i="16"/>
  <c r="H631" i="16"/>
  <c r="H632" i="16"/>
  <c r="H633" i="16"/>
  <c r="H634" i="16"/>
  <c r="H635" i="16"/>
  <c r="H636" i="16"/>
  <c r="H637" i="16"/>
  <c r="H638" i="16"/>
  <c r="H639" i="16"/>
  <c r="H640" i="16"/>
  <c r="H641" i="16"/>
  <c r="H642" i="16"/>
  <c r="H643" i="16"/>
  <c r="H644" i="16"/>
  <c r="H645" i="16"/>
  <c r="H646" i="16"/>
  <c r="H647" i="16"/>
  <c r="H648" i="16"/>
  <c r="H649" i="16"/>
  <c r="H650" i="16"/>
  <c r="H651" i="16"/>
  <c r="H652" i="16"/>
  <c r="H653" i="16"/>
  <c r="H654" i="16"/>
  <c r="H655" i="16"/>
  <c r="H656" i="16"/>
  <c r="H657" i="16"/>
  <c r="H658" i="16"/>
  <c r="H659" i="16"/>
  <c r="H660" i="16"/>
  <c r="H661" i="16"/>
  <c r="H662" i="16"/>
  <c r="H663" i="16"/>
  <c r="H664" i="16"/>
  <c r="H665" i="16"/>
  <c r="H666" i="16"/>
  <c r="H667" i="16"/>
  <c r="H668" i="16"/>
  <c r="H669" i="16"/>
  <c r="H670" i="16"/>
  <c r="H671" i="16"/>
  <c r="H672" i="16"/>
  <c r="H673" i="16"/>
  <c r="H674" i="16"/>
  <c r="H675" i="16"/>
  <c r="H676" i="16"/>
  <c r="H677" i="16"/>
  <c r="H678" i="16"/>
  <c r="H679" i="16"/>
  <c r="H680" i="16"/>
  <c r="H681" i="16"/>
  <c r="H682" i="16"/>
  <c r="H683" i="16"/>
  <c r="H684" i="16"/>
  <c r="H685" i="16"/>
  <c r="H686" i="16"/>
  <c r="H687" i="16"/>
  <c r="H688" i="16"/>
  <c r="H689" i="16"/>
  <c r="H690" i="16"/>
  <c r="H691" i="16"/>
  <c r="H692" i="16"/>
  <c r="H693" i="16"/>
  <c r="H694" i="16"/>
  <c r="H695" i="16"/>
  <c r="H696" i="16"/>
  <c r="H697" i="16"/>
  <c r="H698" i="16"/>
  <c r="H699" i="16"/>
  <c r="H700" i="16"/>
  <c r="H701" i="16"/>
  <c r="H702" i="16"/>
  <c r="H703" i="16"/>
  <c r="H704" i="16"/>
  <c r="H705" i="16"/>
  <c r="H706" i="16"/>
  <c r="H707" i="16"/>
  <c r="H708" i="16"/>
  <c r="H709" i="16"/>
  <c r="H710" i="16"/>
  <c r="H711" i="16"/>
  <c r="H712" i="16"/>
  <c r="H713" i="16"/>
  <c r="H714" i="16"/>
  <c r="H715" i="16"/>
  <c r="H716" i="16"/>
  <c r="H717" i="16"/>
  <c r="H718" i="16"/>
  <c r="H719" i="16"/>
  <c r="H720" i="16"/>
  <c r="H721" i="16"/>
  <c r="H722" i="16"/>
  <c r="H723" i="16"/>
  <c r="H724" i="16"/>
  <c r="H725" i="16"/>
  <c r="H726" i="16"/>
  <c r="H727" i="16"/>
  <c r="H728" i="16"/>
  <c r="H729" i="16"/>
  <c r="H730" i="16"/>
  <c r="H731" i="16"/>
  <c r="H732" i="16"/>
  <c r="H733" i="16"/>
  <c r="H734" i="16"/>
  <c r="H735" i="16"/>
  <c r="H736" i="16"/>
  <c r="H737" i="16"/>
  <c r="H738" i="16"/>
  <c r="H739" i="16"/>
  <c r="H740" i="16"/>
  <c r="H741" i="16"/>
  <c r="H742" i="16"/>
  <c r="H743" i="16"/>
  <c r="H744" i="16"/>
  <c r="H745" i="16"/>
  <c r="H746" i="16"/>
  <c r="H747" i="16"/>
  <c r="H748" i="16"/>
  <c r="H749" i="16"/>
  <c r="H750" i="16"/>
  <c r="H751" i="16"/>
  <c r="H752" i="16"/>
  <c r="H753" i="16"/>
  <c r="H754" i="16"/>
  <c r="H755" i="16"/>
  <c r="H756" i="16"/>
  <c r="H757" i="16"/>
  <c r="H758" i="16"/>
  <c r="H759" i="16"/>
  <c r="H760" i="16"/>
  <c r="H761" i="16"/>
  <c r="H762" i="16"/>
  <c r="H763" i="16"/>
  <c r="H764" i="16"/>
  <c r="H765" i="16"/>
  <c r="H766" i="16"/>
  <c r="H767" i="16"/>
  <c r="H768" i="16"/>
  <c r="H769" i="16"/>
  <c r="H770" i="16"/>
  <c r="H771" i="16"/>
  <c r="H772" i="16"/>
  <c r="H773" i="16"/>
  <c r="H774" i="16"/>
  <c r="H775" i="16"/>
  <c r="H776" i="16"/>
  <c r="H777" i="16"/>
  <c r="H778" i="16"/>
  <c r="H779" i="16"/>
  <c r="H780" i="16"/>
  <c r="H781" i="16"/>
  <c r="H782" i="16"/>
  <c r="H783" i="16"/>
  <c r="H784" i="16"/>
  <c r="H785" i="16"/>
  <c r="H786" i="16"/>
  <c r="H787" i="16"/>
  <c r="H788" i="16"/>
  <c r="H789" i="16"/>
  <c r="H790" i="16"/>
  <c r="H791" i="16"/>
  <c r="H792" i="16"/>
  <c r="H793" i="16"/>
  <c r="H794" i="16"/>
  <c r="H795" i="16"/>
  <c r="H796" i="16"/>
  <c r="H797" i="16"/>
  <c r="H798" i="16"/>
  <c r="H799" i="16"/>
  <c r="H800" i="16"/>
  <c r="H801" i="16"/>
  <c r="H802" i="16"/>
  <c r="H803" i="16"/>
  <c r="H804" i="16"/>
  <c r="H805" i="16"/>
  <c r="H806" i="16"/>
  <c r="H807" i="16"/>
  <c r="H808" i="16"/>
  <c r="H809" i="16"/>
  <c r="H810" i="16"/>
  <c r="H811" i="16"/>
  <c r="H812" i="16"/>
  <c r="H813" i="16"/>
  <c r="H814" i="16"/>
  <c r="H815" i="16"/>
  <c r="H816" i="16"/>
  <c r="H817" i="16"/>
  <c r="H818" i="16"/>
  <c r="H819" i="16"/>
  <c r="H820" i="16"/>
  <c r="H821" i="16"/>
  <c r="H822" i="16"/>
  <c r="H823" i="16"/>
  <c r="H824" i="16"/>
  <c r="H825" i="16"/>
  <c r="H826" i="16"/>
  <c r="H827" i="16"/>
  <c r="H828" i="16"/>
  <c r="H829" i="16"/>
  <c r="H830" i="16"/>
  <c r="H831" i="16"/>
  <c r="H832" i="16"/>
  <c r="H833" i="16"/>
  <c r="H834" i="16"/>
  <c r="H835" i="16"/>
  <c r="H836" i="16"/>
  <c r="H837" i="16"/>
  <c r="H838" i="16"/>
  <c r="H839" i="16"/>
  <c r="H840" i="16"/>
  <c r="H841" i="16"/>
  <c r="H842" i="16"/>
  <c r="H843" i="16"/>
  <c r="H844" i="16"/>
  <c r="H845" i="16"/>
  <c r="H846" i="16"/>
  <c r="H847" i="16"/>
  <c r="H848" i="16"/>
  <c r="H849" i="16"/>
  <c r="H850" i="16"/>
  <c r="H851" i="16"/>
  <c r="H852" i="16"/>
  <c r="H853" i="16"/>
  <c r="H854" i="16"/>
  <c r="H855" i="16"/>
  <c r="H856" i="16"/>
  <c r="H857" i="16"/>
  <c r="H858" i="16"/>
  <c r="H859" i="16"/>
  <c r="H860" i="16"/>
  <c r="H861" i="16"/>
  <c r="H862" i="16"/>
  <c r="H863" i="16"/>
  <c r="H864" i="16"/>
  <c r="H865" i="16"/>
  <c r="H866" i="16"/>
  <c r="H867" i="16"/>
  <c r="H868" i="16"/>
  <c r="H869" i="16"/>
  <c r="H870" i="16"/>
  <c r="H871" i="16"/>
  <c r="H872" i="16"/>
  <c r="H873" i="16"/>
  <c r="H874" i="16"/>
  <c r="H875" i="16"/>
  <c r="H876" i="16"/>
  <c r="H877" i="16"/>
  <c r="H878" i="16"/>
  <c r="H879" i="16"/>
  <c r="H880" i="16"/>
  <c r="H881" i="16"/>
  <c r="H882" i="16"/>
  <c r="H883" i="16"/>
  <c r="H884" i="16"/>
  <c r="H885" i="16"/>
  <c r="H886" i="16"/>
  <c r="H887" i="16"/>
  <c r="H888" i="16"/>
  <c r="H889" i="16"/>
  <c r="H890" i="16"/>
  <c r="H891" i="16"/>
  <c r="H892" i="16"/>
  <c r="H893" i="16"/>
  <c r="H894" i="16"/>
  <c r="H895" i="16"/>
  <c r="H896" i="16"/>
  <c r="H897" i="16"/>
  <c r="H898" i="16"/>
  <c r="H899" i="16"/>
  <c r="H900" i="16"/>
  <c r="H901" i="16"/>
  <c r="H902" i="16"/>
  <c r="H903" i="16"/>
  <c r="H904" i="16"/>
  <c r="H905" i="16"/>
  <c r="H906" i="16"/>
  <c r="H907" i="16"/>
  <c r="H908" i="16"/>
  <c r="H909" i="16"/>
  <c r="H910" i="16"/>
  <c r="H911" i="16"/>
  <c r="H912" i="16"/>
  <c r="H913" i="16"/>
  <c r="H914" i="16"/>
  <c r="H915" i="16"/>
  <c r="H916" i="16"/>
  <c r="H917" i="16"/>
  <c r="H918" i="16"/>
  <c r="H919" i="16"/>
  <c r="H920" i="16"/>
  <c r="H921" i="16"/>
  <c r="H922" i="16"/>
  <c r="H923" i="16"/>
  <c r="H924" i="16"/>
  <c r="H925" i="16"/>
  <c r="H926" i="16"/>
  <c r="H927" i="16"/>
  <c r="H928" i="16"/>
  <c r="H929" i="16"/>
  <c r="H930" i="16"/>
  <c r="H931" i="16"/>
  <c r="H932" i="16"/>
  <c r="H933" i="16"/>
  <c r="H934" i="16"/>
  <c r="H935" i="16"/>
  <c r="H936" i="16"/>
  <c r="H937" i="16"/>
  <c r="H938" i="16"/>
  <c r="H939" i="16"/>
  <c r="H940" i="16"/>
  <c r="H941" i="16"/>
  <c r="H942" i="16"/>
  <c r="H943" i="16"/>
  <c r="H944" i="16"/>
  <c r="H945" i="16"/>
  <c r="H946" i="16"/>
  <c r="H947" i="16"/>
  <c r="H948" i="16"/>
  <c r="H949" i="16"/>
  <c r="H950" i="16"/>
  <c r="H951" i="16"/>
  <c r="H952" i="16"/>
  <c r="H953" i="16"/>
  <c r="H954" i="16"/>
  <c r="H955" i="16"/>
  <c r="H956" i="16"/>
  <c r="H957" i="16"/>
  <c r="H958" i="16"/>
  <c r="H959" i="16"/>
  <c r="H960" i="16"/>
  <c r="H961" i="16"/>
  <c r="H962" i="16"/>
  <c r="H963" i="16"/>
  <c r="H964" i="16"/>
  <c r="H965" i="16"/>
  <c r="H966" i="16"/>
  <c r="H967" i="16"/>
  <c r="H968" i="16"/>
  <c r="H969" i="16"/>
  <c r="H970" i="16"/>
  <c r="H971" i="16"/>
  <c r="H972" i="16"/>
  <c r="H973" i="16"/>
  <c r="H974" i="16"/>
  <c r="H975" i="16"/>
  <c r="H976" i="16"/>
  <c r="H977" i="16"/>
  <c r="H978" i="16"/>
  <c r="H979" i="16"/>
  <c r="H980" i="16"/>
  <c r="H981" i="16"/>
  <c r="H982" i="16"/>
  <c r="H983" i="16"/>
  <c r="H984" i="16"/>
  <c r="H985" i="16"/>
  <c r="H986" i="16"/>
  <c r="H987" i="16"/>
  <c r="H988" i="16"/>
  <c r="H989" i="16"/>
  <c r="H990" i="16"/>
  <c r="H991" i="16"/>
  <c r="H992" i="16"/>
  <c r="H993" i="16"/>
  <c r="H994" i="16"/>
  <c r="H995" i="16"/>
  <c r="H996" i="16"/>
  <c r="H997" i="16"/>
  <c r="H998" i="16"/>
  <c r="H999" i="16"/>
  <c r="H1000" i="16"/>
  <c r="H1001" i="16"/>
  <c r="H1002" i="16"/>
  <c r="H1003" i="16"/>
  <c r="H1004" i="16"/>
  <c r="H1005" i="16"/>
  <c r="H1006" i="16"/>
  <c r="H1007" i="16"/>
  <c r="H1008" i="16"/>
  <c r="H1009" i="16"/>
  <c r="H1010" i="16"/>
  <c r="H1011" i="16"/>
  <c r="H1012" i="16"/>
  <c r="H1013" i="16"/>
  <c r="H1014" i="16"/>
  <c r="H1015" i="16"/>
  <c r="H1016" i="16"/>
  <c r="H1017" i="16"/>
  <c r="H1018" i="16"/>
  <c r="H1019" i="16"/>
  <c r="H1020" i="16"/>
  <c r="H1021" i="16"/>
  <c r="H1022" i="16"/>
  <c r="H1023" i="16"/>
  <c r="H1024" i="16"/>
  <c r="H1025" i="16"/>
  <c r="H1026" i="16"/>
  <c r="H1027" i="16"/>
  <c r="H1028" i="16"/>
  <c r="H1029" i="16"/>
  <c r="H1030" i="16"/>
  <c r="H1031" i="16"/>
  <c r="H1032" i="16"/>
  <c r="H1033" i="16"/>
  <c r="H1034" i="16"/>
  <c r="H1035" i="16"/>
  <c r="H1036" i="16"/>
  <c r="H1037" i="16"/>
  <c r="H1038" i="16"/>
  <c r="H1039" i="16"/>
  <c r="H1040" i="16"/>
  <c r="H1041" i="16"/>
  <c r="H1042" i="16"/>
  <c r="H1043" i="16"/>
  <c r="H1044" i="16"/>
  <c r="H1045" i="16"/>
  <c r="H1046" i="16"/>
  <c r="H1047" i="16"/>
  <c r="H1048" i="16"/>
  <c r="H1049" i="16"/>
  <c r="H1050" i="16"/>
  <c r="H1051" i="16"/>
  <c r="H1052" i="16"/>
  <c r="H1053" i="16"/>
  <c r="H1054" i="16"/>
  <c r="H1055" i="16"/>
  <c r="H1056" i="16"/>
  <c r="H1057" i="16"/>
  <c r="H1058" i="16"/>
  <c r="H1059" i="16"/>
  <c r="H1060" i="16"/>
  <c r="H1061" i="16"/>
  <c r="H1062" i="16"/>
  <c r="H1063" i="16"/>
  <c r="H1064" i="16"/>
  <c r="H1065" i="16"/>
  <c r="H1066" i="16"/>
  <c r="H1067" i="16"/>
  <c r="H1068" i="16"/>
  <c r="H1069" i="16"/>
  <c r="H1070" i="16"/>
  <c r="H1071" i="16"/>
  <c r="H1072" i="16"/>
  <c r="H1073" i="16"/>
  <c r="H1074" i="16"/>
  <c r="H1075" i="16"/>
  <c r="H1076" i="16"/>
  <c r="H1077" i="16"/>
  <c r="H1078" i="16"/>
  <c r="H1079" i="16"/>
  <c r="H1080" i="16"/>
  <c r="H1081" i="16"/>
  <c r="H1082" i="16"/>
  <c r="H1083" i="16"/>
  <c r="H1084" i="16"/>
  <c r="H1085" i="16"/>
  <c r="H1086" i="16"/>
  <c r="H1087" i="16"/>
  <c r="H1088" i="16"/>
  <c r="H1089" i="16"/>
  <c r="H1090" i="16"/>
  <c r="H1091" i="16"/>
  <c r="H1092" i="16"/>
  <c r="H1093" i="16"/>
  <c r="H1094" i="16"/>
  <c r="H1095" i="16"/>
  <c r="H1096" i="16"/>
  <c r="H1097" i="16"/>
  <c r="H1098" i="16"/>
  <c r="H1099" i="16"/>
  <c r="H1100" i="16"/>
  <c r="H1101" i="16"/>
  <c r="H1102" i="16"/>
  <c r="H1103" i="16"/>
  <c r="H1104" i="16"/>
  <c r="H1105" i="16"/>
  <c r="H1106" i="16"/>
  <c r="H1107" i="16"/>
  <c r="H1108" i="16"/>
  <c r="H1109" i="16"/>
  <c r="H1110" i="16"/>
  <c r="H1111" i="16"/>
  <c r="H1112" i="16"/>
  <c r="H1113" i="16"/>
  <c r="H1114" i="16"/>
  <c r="H1115" i="16"/>
  <c r="H1116" i="16"/>
  <c r="H1117" i="16"/>
  <c r="H1118" i="16"/>
  <c r="H1119" i="16"/>
  <c r="H1120" i="16"/>
  <c r="H1121" i="16"/>
  <c r="H1122" i="16"/>
  <c r="H1123" i="16"/>
  <c r="H1124" i="16"/>
  <c r="H1125" i="16"/>
  <c r="H1126" i="16"/>
  <c r="H1127" i="16"/>
  <c r="H1128" i="16"/>
  <c r="H1129" i="16"/>
  <c r="H1130" i="16"/>
  <c r="H1131" i="16"/>
  <c r="H1132" i="16"/>
  <c r="H1133" i="16"/>
  <c r="H1134" i="16"/>
  <c r="H1135" i="16"/>
  <c r="H1136" i="16"/>
  <c r="H1137" i="16"/>
  <c r="H1138" i="16"/>
  <c r="H1139" i="16"/>
  <c r="H1140" i="16"/>
  <c r="H1141" i="16"/>
  <c r="H1142" i="16"/>
  <c r="H1143" i="16"/>
  <c r="H1144" i="16"/>
  <c r="H1145" i="16"/>
  <c r="H1146" i="16"/>
  <c r="H1147" i="16"/>
  <c r="H1148" i="16"/>
  <c r="H1149" i="16"/>
  <c r="H1150" i="16"/>
  <c r="H1151" i="16"/>
  <c r="H1152" i="16"/>
  <c r="H1153" i="16"/>
  <c r="H1154" i="16"/>
  <c r="H1155" i="16"/>
  <c r="H1156" i="16"/>
  <c r="H1157" i="16"/>
  <c r="H1158" i="16"/>
  <c r="H1159" i="16"/>
  <c r="H1160" i="16"/>
  <c r="H1161" i="16"/>
  <c r="H1162" i="16"/>
  <c r="H1163" i="16"/>
  <c r="H1164" i="16"/>
  <c r="H1165" i="16"/>
  <c r="H1166" i="16"/>
  <c r="H1167" i="16"/>
  <c r="H1168" i="16"/>
  <c r="H1169" i="16"/>
  <c r="H1170" i="16"/>
  <c r="H1171" i="16"/>
  <c r="H1172" i="16"/>
  <c r="H1173" i="16"/>
  <c r="H1174" i="16"/>
  <c r="H1175" i="16"/>
  <c r="H1176" i="16"/>
  <c r="H1177" i="16"/>
  <c r="H1178" i="16"/>
  <c r="H1179" i="16"/>
  <c r="H1180" i="16"/>
  <c r="H1181" i="16"/>
  <c r="H1182" i="16"/>
  <c r="H1183" i="16"/>
  <c r="H1184" i="16"/>
  <c r="H1185" i="16"/>
  <c r="H1186" i="16"/>
  <c r="H1187" i="16"/>
  <c r="H1188" i="16"/>
  <c r="H1189" i="16"/>
  <c r="H1190" i="16"/>
  <c r="H1191" i="16"/>
  <c r="H1192" i="16"/>
  <c r="H1193" i="16"/>
  <c r="H1194" i="16"/>
  <c r="H1195" i="16"/>
  <c r="H1196" i="16"/>
  <c r="H1197" i="16"/>
  <c r="H1198" i="16"/>
  <c r="H1199" i="16"/>
  <c r="H1200" i="16"/>
  <c r="H1201" i="16"/>
  <c r="H1202" i="16"/>
  <c r="H1203" i="16"/>
  <c r="H1204" i="16"/>
  <c r="H1205" i="16"/>
  <c r="H1206" i="16"/>
  <c r="H1207" i="16"/>
  <c r="H1208" i="16"/>
  <c r="H1209" i="16"/>
  <c r="H1210" i="16"/>
  <c r="H1211" i="16"/>
  <c r="H1212" i="16"/>
  <c r="H1213" i="16"/>
  <c r="H1214" i="16"/>
  <c r="H1215" i="16"/>
  <c r="H1216" i="16"/>
  <c r="H1217" i="16"/>
  <c r="H1218" i="16"/>
  <c r="H1219" i="16"/>
  <c r="H1220" i="16"/>
  <c r="H1221" i="16"/>
  <c r="H1222" i="16"/>
  <c r="H1223" i="16"/>
  <c r="H1224" i="16"/>
  <c r="H1225" i="16"/>
  <c r="H1226" i="16"/>
  <c r="H1227" i="16"/>
  <c r="H1228" i="16"/>
  <c r="H1229" i="16"/>
  <c r="H1230" i="16"/>
  <c r="H1231" i="16"/>
  <c r="H1232" i="16"/>
  <c r="H1233" i="16"/>
  <c r="H1234" i="16"/>
  <c r="H1235" i="16"/>
  <c r="H1236" i="16"/>
  <c r="H1237" i="16"/>
  <c r="H1238" i="16"/>
  <c r="H1239" i="16"/>
  <c r="H1240" i="16"/>
  <c r="H1241" i="16"/>
  <c r="H1242" i="16"/>
  <c r="H1243" i="16"/>
  <c r="H1244" i="16"/>
  <c r="H1245" i="16"/>
  <c r="H1246" i="16"/>
  <c r="H1247" i="16"/>
  <c r="H1248" i="16"/>
  <c r="H1249" i="16"/>
  <c r="H1250" i="16"/>
  <c r="H1251" i="16"/>
  <c r="H1252" i="16"/>
  <c r="H1253" i="16"/>
  <c r="H1254" i="16"/>
  <c r="H1255" i="16"/>
  <c r="H1256" i="16"/>
  <c r="H1257" i="16"/>
  <c r="H1258" i="16"/>
  <c r="H1259" i="16"/>
  <c r="H1260" i="16"/>
  <c r="H1261" i="16"/>
  <c r="H1262" i="16"/>
  <c r="H1263" i="16"/>
  <c r="H1264" i="16"/>
  <c r="H1265" i="16"/>
  <c r="H1266" i="16"/>
  <c r="H1267" i="16"/>
  <c r="H1268" i="16"/>
  <c r="H1269" i="16"/>
  <c r="H1270" i="16"/>
  <c r="H1271" i="16"/>
  <c r="H1272" i="16"/>
  <c r="H1273" i="16"/>
  <c r="H1274" i="16"/>
  <c r="H1275" i="16"/>
  <c r="H1276" i="16"/>
  <c r="H1277" i="16"/>
  <c r="H1278" i="16"/>
  <c r="H1279" i="16"/>
  <c r="H1280" i="16"/>
  <c r="H1281" i="16"/>
  <c r="H1282" i="16"/>
  <c r="H1283" i="16"/>
  <c r="H1284" i="16"/>
  <c r="H1285" i="16"/>
  <c r="H1286" i="16"/>
  <c r="H1287" i="16"/>
  <c r="H1288" i="16"/>
  <c r="H1289" i="16"/>
  <c r="H1290" i="16"/>
  <c r="H1291" i="16"/>
  <c r="H1292" i="16"/>
  <c r="H1293" i="16"/>
  <c r="H1294" i="16"/>
  <c r="H1295" i="16"/>
  <c r="H1296" i="16"/>
  <c r="H1297" i="16"/>
  <c r="H1298" i="16"/>
  <c r="H1299" i="16"/>
  <c r="H1300" i="16"/>
  <c r="H1301" i="16"/>
  <c r="H1302" i="16"/>
  <c r="H1303" i="16"/>
  <c r="H1304" i="16"/>
  <c r="H1305" i="16"/>
  <c r="H1306" i="16"/>
  <c r="H1307" i="16"/>
  <c r="H1308" i="16"/>
  <c r="H1309" i="16"/>
  <c r="H1310" i="16"/>
  <c r="H1311" i="16"/>
  <c r="H1312" i="16"/>
  <c r="H1313" i="16"/>
  <c r="H1314" i="16"/>
  <c r="H1315" i="16"/>
  <c r="H1316" i="16"/>
  <c r="H1317" i="16"/>
  <c r="H1318" i="16"/>
  <c r="H1319" i="16"/>
  <c r="H1320" i="16"/>
  <c r="H1321" i="16"/>
  <c r="H1322" i="16"/>
  <c r="H1323" i="16"/>
  <c r="H1324" i="16"/>
  <c r="H1325" i="16"/>
  <c r="H1326" i="16"/>
  <c r="H1327" i="16"/>
  <c r="H1328" i="16"/>
  <c r="H1329" i="16"/>
  <c r="H1330" i="16"/>
  <c r="H1331" i="16"/>
  <c r="H1332" i="16"/>
  <c r="H1333" i="16"/>
  <c r="H1334" i="16"/>
  <c r="H1335" i="16"/>
  <c r="H1336" i="16"/>
  <c r="H1337" i="16"/>
  <c r="H1338" i="16"/>
  <c r="H1339" i="16"/>
  <c r="H1340" i="16"/>
  <c r="H1341" i="16"/>
  <c r="H1342" i="16"/>
  <c r="H1343" i="16"/>
  <c r="H1344" i="16"/>
  <c r="H1345" i="16"/>
  <c r="H1346" i="16"/>
  <c r="H1347" i="16"/>
  <c r="H1348" i="16"/>
  <c r="H1349" i="16"/>
  <c r="H1350" i="16"/>
  <c r="H1351" i="16"/>
  <c r="H1352" i="16"/>
  <c r="H1353" i="16"/>
  <c r="H1354" i="16"/>
  <c r="H1355" i="16"/>
  <c r="H1356" i="16"/>
  <c r="H1357" i="16"/>
  <c r="H1358" i="16"/>
  <c r="H1359" i="16"/>
  <c r="H1360" i="16"/>
  <c r="H1361" i="16"/>
  <c r="H1362" i="16"/>
  <c r="H1363" i="16"/>
  <c r="H1364" i="16"/>
  <c r="H1365" i="16"/>
  <c r="H1366" i="16"/>
  <c r="H1367" i="16"/>
  <c r="H1368" i="16"/>
  <c r="H1369" i="16"/>
  <c r="H1370" i="16"/>
  <c r="H1371" i="16"/>
  <c r="H1372" i="16"/>
  <c r="H1373" i="16"/>
  <c r="H1374" i="16"/>
  <c r="H1375" i="16"/>
  <c r="H1376" i="16"/>
  <c r="H1377" i="16"/>
  <c r="H1378" i="16"/>
  <c r="H1379" i="16"/>
  <c r="H1380" i="16"/>
  <c r="H1381" i="16"/>
  <c r="H1382" i="16"/>
  <c r="H1383" i="16"/>
  <c r="H1384" i="16"/>
  <c r="H1385" i="16"/>
  <c r="H1386" i="16"/>
  <c r="H1387" i="16"/>
  <c r="H1388" i="16"/>
  <c r="H1389" i="16"/>
  <c r="H1390" i="16"/>
  <c r="H1391" i="16"/>
  <c r="H1392" i="16"/>
  <c r="H1393" i="16"/>
  <c r="H1394" i="16"/>
  <c r="H1395" i="16"/>
  <c r="H1396" i="16"/>
  <c r="H1397" i="16"/>
  <c r="H1398" i="16"/>
  <c r="H1399" i="16"/>
  <c r="H1400" i="16"/>
  <c r="H1401" i="16"/>
  <c r="H1402" i="16"/>
  <c r="H1403" i="16"/>
  <c r="H1404" i="16"/>
  <c r="H1405" i="16"/>
  <c r="H1406" i="16"/>
  <c r="H1407" i="16"/>
  <c r="H1408" i="16"/>
  <c r="H1409" i="16"/>
  <c r="H1410" i="16"/>
  <c r="H1411" i="16"/>
  <c r="H1412" i="16"/>
  <c r="H1413" i="16"/>
  <c r="H1414" i="16"/>
  <c r="H1415" i="16"/>
  <c r="H1416" i="16"/>
  <c r="H1417" i="16"/>
  <c r="H1418" i="16"/>
  <c r="H1419" i="16"/>
  <c r="H1420" i="16"/>
  <c r="H1421" i="16"/>
  <c r="H1422" i="16"/>
  <c r="H1423" i="16"/>
  <c r="H1424" i="16"/>
  <c r="H1425" i="16"/>
  <c r="H1426" i="16"/>
  <c r="H1427" i="16"/>
  <c r="H1428" i="16"/>
  <c r="H1429" i="16"/>
  <c r="H1430" i="16"/>
  <c r="H1431" i="16"/>
  <c r="H1432" i="16"/>
  <c r="H1433" i="16"/>
  <c r="H1434" i="16"/>
  <c r="H1435" i="16"/>
  <c r="H1436" i="16"/>
  <c r="H1437" i="16"/>
  <c r="H1438" i="16"/>
  <c r="H1439" i="16"/>
  <c r="H1440" i="16"/>
  <c r="H1441" i="16"/>
  <c r="H1442" i="16"/>
  <c r="H1443" i="16"/>
  <c r="H1444" i="16"/>
  <c r="H1445" i="16"/>
  <c r="H1446" i="16"/>
  <c r="H1447" i="16"/>
  <c r="H1448" i="16"/>
  <c r="H1449" i="16"/>
  <c r="H1450" i="16"/>
  <c r="H1451" i="16"/>
  <c r="H1452" i="16"/>
  <c r="H1453" i="16"/>
  <c r="H1454" i="16"/>
  <c r="H1455" i="16"/>
  <c r="H1456" i="16"/>
  <c r="H1457" i="16"/>
  <c r="H1458" i="16"/>
  <c r="H1459" i="16"/>
  <c r="H1460" i="16"/>
  <c r="H1461" i="16"/>
  <c r="H1462" i="16"/>
  <c r="H1463" i="16"/>
  <c r="H1464" i="16"/>
  <c r="H1465" i="16"/>
  <c r="H1466" i="16"/>
  <c r="H1467" i="16"/>
  <c r="H1468" i="16"/>
  <c r="H1469" i="16"/>
  <c r="H1470" i="16"/>
  <c r="H1471" i="16"/>
  <c r="H1472" i="16"/>
  <c r="H1473" i="16"/>
  <c r="H1474" i="16"/>
  <c r="H1475" i="16"/>
  <c r="H1476" i="16"/>
  <c r="H1477" i="16"/>
  <c r="H1478" i="16"/>
  <c r="H1479" i="16"/>
  <c r="H1480" i="16"/>
  <c r="H1481" i="16"/>
  <c r="H1482" i="16"/>
  <c r="H1483" i="16"/>
  <c r="H1484" i="16"/>
  <c r="H1485" i="16"/>
  <c r="H1486" i="16"/>
  <c r="H1487" i="16"/>
  <c r="H1488" i="16"/>
  <c r="H1489" i="16"/>
  <c r="H1490" i="16"/>
  <c r="H1491" i="16"/>
  <c r="H1492" i="16"/>
  <c r="H1493" i="16"/>
  <c r="H1494" i="16"/>
  <c r="H1495" i="16"/>
  <c r="H1496" i="16"/>
  <c r="H1497" i="16"/>
  <c r="H1498" i="16"/>
  <c r="H1499" i="16"/>
  <c r="H1500" i="16"/>
  <c r="H1501" i="16"/>
  <c r="H1502" i="16"/>
  <c r="H1503" i="16"/>
  <c r="H1504" i="16"/>
  <c r="H1505" i="16"/>
  <c r="H1506" i="16"/>
  <c r="H1507" i="16"/>
  <c r="H1508" i="16"/>
  <c r="H1509" i="16"/>
  <c r="H1510" i="16"/>
  <c r="H1511" i="16"/>
  <c r="H1512" i="16"/>
  <c r="H1513" i="16"/>
  <c r="H1514" i="16"/>
  <c r="H1515" i="16"/>
  <c r="H1516" i="16"/>
  <c r="H1517" i="16"/>
  <c r="H1518" i="16"/>
  <c r="H1519" i="16"/>
  <c r="H1520" i="16"/>
  <c r="H1521" i="16"/>
  <c r="H1522" i="16"/>
  <c r="H1523" i="16"/>
  <c r="H1524" i="16"/>
  <c r="H1525" i="16"/>
  <c r="H1526" i="16"/>
  <c r="H1527" i="16"/>
  <c r="H1528" i="16"/>
  <c r="H1529" i="16"/>
  <c r="H1530" i="16"/>
  <c r="H1531" i="16"/>
  <c r="H1532" i="16"/>
  <c r="H1533" i="16"/>
  <c r="H1534" i="16"/>
  <c r="H1535" i="16"/>
  <c r="H1536" i="16"/>
  <c r="H1537" i="16"/>
  <c r="H1538" i="16"/>
  <c r="H1539" i="16"/>
  <c r="H1540" i="16"/>
  <c r="H1541" i="16"/>
  <c r="H1542" i="16"/>
  <c r="H1543" i="16"/>
  <c r="H1544" i="16"/>
  <c r="H1545" i="16"/>
  <c r="H1546" i="16"/>
  <c r="H1547" i="16"/>
  <c r="H1548" i="16"/>
  <c r="H1549" i="16"/>
  <c r="H1550" i="16"/>
  <c r="H1551" i="16"/>
  <c r="H1552" i="16"/>
  <c r="H1553" i="16"/>
  <c r="H1554" i="16"/>
  <c r="H1555" i="16"/>
  <c r="H1556" i="16"/>
  <c r="H1557" i="16"/>
  <c r="H1558" i="16"/>
  <c r="H1559" i="16"/>
  <c r="H1560" i="16"/>
  <c r="H1561" i="16"/>
  <c r="H1562" i="16"/>
  <c r="H1563" i="16"/>
  <c r="H1564" i="16"/>
  <c r="H1565" i="16"/>
  <c r="H1566" i="16"/>
  <c r="H1567" i="16"/>
  <c r="H1568" i="16"/>
  <c r="H1569" i="16"/>
  <c r="H1570" i="16"/>
  <c r="H1571" i="16"/>
  <c r="H1572" i="16"/>
  <c r="H1573" i="16"/>
  <c r="H1574" i="16"/>
  <c r="H1575" i="16"/>
  <c r="H1576" i="16"/>
  <c r="H1577" i="16"/>
  <c r="H1578" i="16"/>
  <c r="H1579" i="16"/>
  <c r="H1580" i="16"/>
  <c r="H1581" i="16"/>
  <c r="H1582" i="16"/>
  <c r="H1583" i="16"/>
  <c r="H1584" i="16"/>
  <c r="H1585" i="16"/>
  <c r="H1586" i="16"/>
  <c r="H1587" i="16"/>
  <c r="H1588" i="16"/>
  <c r="H1589" i="16"/>
  <c r="H1590" i="16"/>
  <c r="H1591" i="16"/>
  <c r="H1592" i="16"/>
  <c r="H1593" i="16"/>
  <c r="H1594" i="16"/>
  <c r="H1595" i="16"/>
  <c r="H1596" i="16"/>
  <c r="H1597" i="16"/>
  <c r="H1598" i="16"/>
  <c r="H1599" i="16"/>
  <c r="H1600" i="16"/>
  <c r="H1601" i="16"/>
  <c r="H1602" i="16"/>
  <c r="H1603" i="16"/>
  <c r="H1604" i="16"/>
  <c r="H1605" i="16"/>
  <c r="H1606" i="16"/>
  <c r="H1607" i="16"/>
  <c r="H1608" i="16"/>
  <c r="H1609" i="16"/>
  <c r="H1610" i="16"/>
  <c r="H1611" i="16"/>
  <c r="H1612" i="16"/>
  <c r="H1613" i="16"/>
  <c r="H1614" i="16"/>
  <c r="H1615" i="16"/>
  <c r="H1616" i="16"/>
  <c r="H1617" i="16"/>
  <c r="H1618" i="16"/>
  <c r="H1619" i="16"/>
  <c r="H1620" i="16"/>
  <c r="H1621" i="16"/>
  <c r="H1622" i="16"/>
  <c r="H1623" i="16"/>
  <c r="H1624" i="16"/>
  <c r="H1625" i="16"/>
  <c r="H1626" i="16"/>
  <c r="H1627" i="16"/>
  <c r="H1628" i="16"/>
  <c r="H1629" i="16"/>
  <c r="H1630" i="16"/>
  <c r="H1631" i="16"/>
  <c r="H1632" i="16"/>
  <c r="H1633" i="16"/>
  <c r="H1634" i="16"/>
  <c r="H1635" i="16"/>
  <c r="H1636" i="16"/>
  <c r="H1637" i="16"/>
  <c r="H1638" i="16"/>
  <c r="H1639" i="16"/>
  <c r="H1640" i="16"/>
  <c r="H1641" i="16"/>
  <c r="H1642" i="16"/>
  <c r="H1643" i="16"/>
  <c r="H1644" i="16"/>
  <c r="H1645" i="16"/>
  <c r="H1646" i="16"/>
  <c r="H1647" i="16"/>
  <c r="H1648" i="16"/>
  <c r="H1649" i="16"/>
  <c r="H1650" i="16"/>
  <c r="H1651" i="16"/>
  <c r="H1652" i="16"/>
  <c r="H1653" i="16"/>
  <c r="H1654" i="16"/>
  <c r="H1655" i="16"/>
  <c r="H1656" i="16"/>
  <c r="H1657" i="16"/>
  <c r="H1658" i="16"/>
  <c r="H1659" i="16"/>
  <c r="H1660" i="16"/>
  <c r="H1661" i="16"/>
  <c r="H1662" i="16"/>
  <c r="H1663" i="16"/>
  <c r="H1664" i="16"/>
  <c r="H1665" i="16"/>
  <c r="H1666" i="16"/>
  <c r="H1667" i="16"/>
  <c r="H1668" i="16"/>
  <c r="H1669" i="16"/>
  <c r="H1670" i="16"/>
  <c r="H1671" i="16"/>
  <c r="H1672" i="16"/>
  <c r="H1673" i="16"/>
  <c r="H1674" i="16"/>
  <c r="H1675" i="16"/>
  <c r="H1676" i="16"/>
  <c r="H1677" i="16"/>
  <c r="H1678" i="16"/>
  <c r="H1679" i="16"/>
  <c r="H1680" i="16"/>
  <c r="H1681" i="16"/>
  <c r="H1682" i="16"/>
  <c r="H1683" i="16"/>
  <c r="H1684" i="16"/>
  <c r="H1685" i="16"/>
  <c r="H1686" i="16"/>
  <c r="H1687" i="16"/>
  <c r="H1688" i="16"/>
  <c r="H1689" i="16"/>
  <c r="H1690" i="16"/>
  <c r="H1691" i="16"/>
  <c r="H1692" i="16"/>
  <c r="H1693" i="16"/>
  <c r="H1694" i="16"/>
  <c r="H1695" i="16"/>
  <c r="H1696" i="16"/>
  <c r="H1697" i="16"/>
  <c r="H1698" i="16"/>
  <c r="H1699" i="16"/>
  <c r="H1700" i="16"/>
  <c r="H1701" i="16"/>
  <c r="H1702" i="16"/>
  <c r="H1703" i="16"/>
  <c r="H1704" i="16"/>
  <c r="H1705" i="16"/>
  <c r="H1706" i="16"/>
  <c r="H1707" i="16"/>
  <c r="H1708" i="16"/>
  <c r="H1709" i="16"/>
  <c r="H1710" i="16"/>
  <c r="H1711" i="16"/>
  <c r="H1712" i="16"/>
  <c r="H1713" i="16"/>
  <c r="H1714" i="16"/>
  <c r="H1715" i="16"/>
  <c r="H1716" i="16"/>
  <c r="H1717" i="16"/>
  <c r="H1718" i="16"/>
  <c r="H1719" i="16"/>
  <c r="H1720" i="16"/>
  <c r="H1721" i="16"/>
  <c r="H1722" i="16"/>
  <c r="H1723" i="16"/>
  <c r="H1724" i="16"/>
  <c r="H1725" i="16"/>
  <c r="H1726" i="16"/>
  <c r="H1727" i="16"/>
  <c r="H1728" i="16"/>
  <c r="H1729" i="16"/>
  <c r="H1730" i="16"/>
  <c r="H1731" i="16"/>
  <c r="H1732" i="16"/>
  <c r="H1733" i="16"/>
  <c r="H1734" i="16"/>
  <c r="H1735" i="16"/>
  <c r="H1736" i="16"/>
  <c r="H1737" i="16"/>
  <c r="H1738" i="16"/>
  <c r="H1739" i="16"/>
  <c r="H1740" i="16"/>
  <c r="H1741" i="16"/>
  <c r="H1742" i="16"/>
  <c r="H1743" i="16"/>
  <c r="H1744" i="16"/>
  <c r="H1745" i="16"/>
  <c r="H1746" i="16"/>
  <c r="H1747" i="16"/>
  <c r="H1748" i="16"/>
  <c r="H1749" i="16"/>
  <c r="H1750" i="16"/>
  <c r="H1751" i="16"/>
  <c r="H1752" i="16"/>
  <c r="H1753" i="16"/>
  <c r="H1754" i="16"/>
  <c r="H1755" i="16"/>
  <c r="H1756" i="16"/>
  <c r="H1757" i="16"/>
  <c r="H1758" i="16"/>
  <c r="H1759" i="16"/>
  <c r="H1760" i="16"/>
  <c r="H1761" i="16"/>
  <c r="H1762" i="16"/>
  <c r="H1763" i="16"/>
  <c r="H1764" i="16"/>
  <c r="H1765" i="16"/>
  <c r="H1766" i="16"/>
  <c r="H1767" i="16"/>
  <c r="H1768" i="16"/>
  <c r="H1769" i="16"/>
  <c r="H1770" i="16"/>
  <c r="H1771" i="16"/>
  <c r="H1772" i="16"/>
  <c r="H1773" i="16"/>
  <c r="H1774" i="16"/>
  <c r="H1775" i="16"/>
  <c r="H1776" i="16"/>
  <c r="H1777" i="16"/>
  <c r="H1778" i="16"/>
  <c r="H1779" i="16"/>
  <c r="H1780" i="16"/>
  <c r="H1781" i="16"/>
  <c r="H1782" i="16"/>
  <c r="H1783" i="16"/>
  <c r="H1784" i="16"/>
  <c r="H1785" i="16"/>
  <c r="H1786" i="16"/>
  <c r="H1787" i="16"/>
  <c r="H1788" i="16"/>
  <c r="H1789" i="16"/>
  <c r="H1790" i="16"/>
  <c r="H1791" i="16"/>
  <c r="H1792" i="16"/>
  <c r="H1793" i="16"/>
  <c r="H1794" i="16"/>
  <c r="H1795" i="16"/>
  <c r="H1796" i="16"/>
  <c r="H1797" i="16"/>
  <c r="H1798" i="16"/>
  <c r="H1799" i="16"/>
  <c r="H1800" i="16"/>
  <c r="H1801" i="16"/>
  <c r="H1802" i="16"/>
  <c r="H1803" i="16"/>
  <c r="H1804" i="16"/>
  <c r="H1805" i="16"/>
  <c r="H1806" i="16"/>
  <c r="H1807" i="16"/>
  <c r="H1808" i="16"/>
  <c r="H1809" i="16"/>
  <c r="H1810" i="16"/>
  <c r="H1811" i="16"/>
  <c r="H1812" i="16"/>
  <c r="H1813" i="16"/>
  <c r="H1814" i="16"/>
  <c r="H1815" i="16"/>
  <c r="H1816" i="16"/>
  <c r="H1817" i="16"/>
  <c r="H1818" i="16"/>
  <c r="H1819" i="16"/>
  <c r="H1820" i="16"/>
  <c r="H1821" i="16"/>
  <c r="H1822" i="16"/>
  <c r="H1823" i="16"/>
  <c r="H1824" i="16"/>
  <c r="H1825" i="16"/>
  <c r="H1826" i="16"/>
  <c r="H1827" i="16"/>
  <c r="H1828" i="16"/>
  <c r="H1829" i="16"/>
  <c r="H1830" i="16"/>
  <c r="H1831" i="16"/>
  <c r="H1832" i="16"/>
  <c r="H1833" i="16"/>
  <c r="H1834" i="16"/>
  <c r="H1835" i="16"/>
  <c r="H1836" i="16"/>
  <c r="H1837" i="16"/>
  <c r="H1838" i="16"/>
  <c r="H1839" i="16"/>
  <c r="H1840" i="16"/>
  <c r="H1841" i="16"/>
  <c r="H1842" i="16"/>
  <c r="H1843" i="16"/>
  <c r="H1844" i="16"/>
  <c r="H1845" i="16"/>
  <c r="H1846" i="16"/>
  <c r="H1847" i="16"/>
  <c r="H1848" i="16"/>
  <c r="H1849" i="16"/>
  <c r="H1850" i="16"/>
  <c r="H1851" i="16"/>
  <c r="H1852" i="16"/>
  <c r="H1853" i="16"/>
  <c r="H1854" i="16"/>
  <c r="H1855" i="16"/>
  <c r="H1856" i="16"/>
  <c r="H1857" i="16"/>
  <c r="H1858" i="16"/>
  <c r="H1859" i="16"/>
  <c r="H1860" i="16"/>
  <c r="H1861" i="16"/>
  <c r="H1862" i="16"/>
  <c r="H1863" i="16"/>
  <c r="H1864" i="16"/>
  <c r="H1865" i="16"/>
  <c r="H1866" i="16"/>
  <c r="H1867" i="16"/>
  <c r="H1868" i="16"/>
  <c r="H1869" i="16"/>
  <c r="H1870" i="16"/>
  <c r="H1871" i="16"/>
  <c r="H1872" i="16"/>
  <c r="H1873" i="16"/>
  <c r="H1874" i="16"/>
  <c r="H1875" i="16"/>
  <c r="H1876" i="16"/>
  <c r="H1877" i="16"/>
  <c r="H1878" i="16"/>
  <c r="H1879" i="16"/>
  <c r="H1880" i="16"/>
  <c r="H1881" i="16"/>
  <c r="H1882" i="16"/>
  <c r="H1883" i="16"/>
  <c r="H1884" i="16"/>
  <c r="H1885" i="16"/>
  <c r="H1886" i="16"/>
  <c r="H1887" i="16"/>
  <c r="H1888" i="16"/>
  <c r="H1889" i="16"/>
  <c r="H1890" i="16"/>
  <c r="H1891" i="16"/>
  <c r="H1892" i="16"/>
  <c r="H1893" i="16"/>
  <c r="H1894" i="16"/>
  <c r="H1895" i="16"/>
  <c r="H1896" i="16"/>
  <c r="H1897" i="16"/>
  <c r="H1898" i="16"/>
  <c r="H1899" i="16"/>
  <c r="H1900" i="16"/>
  <c r="H1901" i="16"/>
  <c r="H1902" i="16"/>
  <c r="H1903" i="16"/>
  <c r="H1904" i="16"/>
  <c r="H1905" i="16"/>
  <c r="H1906" i="16"/>
  <c r="H1907" i="16"/>
  <c r="H1908" i="16"/>
  <c r="H1909" i="16"/>
  <c r="H1910" i="16"/>
  <c r="H1911" i="16"/>
  <c r="H1912" i="16"/>
  <c r="H1913" i="16"/>
  <c r="H1914" i="16"/>
  <c r="H1915" i="16"/>
  <c r="H1916" i="16"/>
  <c r="H1917" i="16"/>
  <c r="H1918" i="16"/>
  <c r="H1919" i="16"/>
  <c r="H1920" i="16"/>
  <c r="H1921" i="16"/>
  <c r="H1922" i="16"/>
  <c r="H1923" i="16"/>
  <c r="H1924" i="16"/>
  <c r="H1925" i="16"/>
  <c r="H1926" i="16"/>
  <c r="H1927" i="16"/>
  <c r="H1928" i="16"/>
  <c r="H1929" i="16"/>
  <c r="H1930" i="16"/>
  <c r="H1931" i="16"/>
  <c r="H1932" i="16"/>
  <c r="H1933" i="16"/>
  <c r="H1934" i="16"/>
  <c r="H1935" i="16"/>
  <c r="H1936" i="16"/>
  <c r="H1937" i="16"/>
  <c r="H1938" i="16"/>
  <c r="H1939" i="16"/>
  <c r="H1940" i="16"/>
  <c r="H1941" i="16"/>
  <c r="H1942" i="16"/>
  <c r="H1943" i="16"/>
  <c r="H1944" i="16"/>
  <c r="H1945" i="16"/>
  <c r="H1946" i="16"/>
  <c r="H1947" i="16"/>
  <c r="H1948" i="16"/>
  <c r="H1949" i="16"/>
  <c r="H1950" i="16"/>
  <c r="H1951" i="16"/>
  <c r="H1952" i="16"/>
  <c r="H1953" i="16"/>
  <c r="H1954" i="16"/>
  <c r="H1955" i="16"/>
  <c r="H1956" i="16"/>
  <c r="H1957" i="16"/>
  <c r="H1958" i="16"/>
  <c r="H1959" i="16"/>
  <c r="H1960" i="16"/>
  <c r="H1961" i="16"/>
  <c r="H1962" i="16"/>
  <c r="H1963" i="16"/>
  <c r="H1964" i="16"/>
  <c r="H1965" i="16"/>
  <c r="H1966" i="16"/>
  <c r="H1967" i="16"/>
  <c r="H1968" i="16"/>
  <c r="H1969" i="16"/>
  <c r="H1970" i="16"/>
  <c r="H1971" i="16"/>
  <c r="H1972" i="16"/>
  <c r="H1973" i="16"/>
  <c r="H1974" i="16"/>
  <c r="H1975" i="16"/>
  <c r="H1976" i="16"/>
  <c r="H1977" i="16"/>
  <c r="H1978" i="16"/>
  <c r="H1979" i="16"/>
  <c r="H1980" i="16"/>
  <c r="H1981" i="16"/>
  <c r="H1982" i="16"/>
  <c r="H1983" i="16"/>
  <c r="H1984" i="16"/>
  <c r="H1985" i="16"/>
  <c r="H1986" i="16"/>
  <c r="H1987" i="16"/>
  <c r="H1988" i="16"/>
  <c r="H1989" i="16"/>
  <c r="H1990" i="16"/>
  <c r="H1991" i="16"/>
  <c r="H1992" i="16"/>
  <c r="H1993" i="16"/>
  <c r="H1994" i="16"/>
  <c r="H1995" i="16"/>
  <c r="H1996" i="16"/>
  <c r="H1997" i="16"/>
  <c r="H1998" i="16"/>
  <c r="H1999" i="16"/>
  <c r="H2000" i="16"/>
  <c r="H2001" i="16"/>
  <c r="H2002" i="16"/>
  <c r="H2003" i="16"/>
  <c r="H2004" i="16"/>
  <c r="H2005" i="16"/>
  <c r="H2006" i="16"/>
  <c r="H2007" i="16"/>
  <c r="H2008" i="16"/>
  <c r="H2009" i="16"/>
  <c r="H2010" i="16"/>
  <c r="H2011" i="16"/>
  <c r="H2012" i="16"/>
  <c r="H2013" i="16"/>
  <c r="H2014" i="16"/>
  <c r="H2015" i="16"/>
  <c r="H2016" i="16"/>
  <c r="H2017" i="16"/>
  <c r="H2018" i="16"/>
  <c r="H2019" i="16"/>
  <c r="H2020" i="16"/>
  <c r="H2021" i="16"/>
  <c r="H2022" i="16"/>
  <c r="H2023" i="16"/>
  <c r="H2024" i="16"/>
  <c r="H2025" i="16"/>
  <c r="H2026" i="16"/>
  <c r="H2027" i="16"/>
  <c r="H2028" i="16"/>
  <c r="H2029" i="16"/>
  <c r="H2030" i="16"/>
  <c r="H2031" i="16"/>
  <c r="H2032" i="16"/>
  <c r="H2033" i="16"/>
  <c r="H2034" i="16"/>
  <c r="H2035" i="16"/>
  <c r="H2036" i="16"/>
  <c r="H2037" i="16"/>
  <c r="H2038" i="16"/>
  <c r="H2039" i="16"/>
  <c r="H2040" i="16"/>
  <c r="H2041" i="16"/>
  <c r="H2042" i="16"/>
  <c r="H2043" i="16"/>
  <c r="H2044" i="16"/>
  <c r="H2045" i="16"/>
  <c r="H2046" i="16"/>
  <c r="H2047" i="16"/>
  <c r="H2048" i="16"/>
  <c r="H2049" i="16"/>
  <c r="H2050" i="16"/>
  <c r="H2051" i="16"/>
  <c r="H2052" i="16"/>
  <c r="H2053" i="16"/>
  <c r="H2054" i="16"/>
  <c r="H2055" i="16"/>
  <c r="H2056" i="16"/>
  <c r="H2057" i="16"/>
  <c r="H2058" i="16"/>
  <c r="H2059" i="16"/>
  <c r="H2060" i="16"/>
  <c r="H2061" i="16"/>
  <c r="H2062" i="16"/>
  <c r="H2063" i="16"/>
  <c r="H2064" i="16"/>
  <c r="H2065" i="16"/>
  <c r="H2066" i="16"/>
  <c r="H2067" i="16"/>
  <c r="H2068" i="16"/>
  <c r="H2069" i="16"/>
  <c r="H2070" i="16"/>
  <c r="H2071" i="16"/>
  <c r="H2072" i="16"/>
  <c r="H2073" i="16"/>
  <c r="H2074" i="16"/>
  <c r="H2075" i="16"/>
  <c r="H2076" i="16"/>
  <c r="H2077" i="16"/>
  <c r="H2078" i="16"/>
  <c r="H2079" i="16"/>
  <c r="H2080" i="16"/>
  <c r="H2081" i="16"/>
  <c r="H2082" i="16"/>
  <c r="H2083" i="16"/>
  <c r="H2084" i="16"/>
  <c r="H2085" i="16"/>
  <c r="H2086" i="16"/>
  <c r="H2087" i="16"/>
  <c r="H2088" i="16"/>
  <c r="H2089" i="16"/>
  <c r="H2090" i="16"/>
  <c r="H2091" i="16"/>
  <c r="H2092" i="16"/>
  <c r="H2093" i="16"/>
  <c r="H2094" i="16"/>
  <c r="H2095" i="16"/>
  <c r="H2096" i="16"/>
  <c r="H2097" i="16"/>
  <c r="H2098" i="16"/>
  <c r="H2099" i="16"/>
  <c r="H2100" i="16"/>
  <c r="H2101" i="16"/>
  <c r="H2102" i="16"/>
  <c r="H2103" i="16"/>
  <c r="H2104" i="16"/>
  <c r="H2105" i="16"/>
  <c r="H2106" i="16"/>
  <c r="H2107" i="16"/>
  <c r="H2108" i="16"/>
  <c r="H2109" i="16"/>
  <c r="H2110" i="16"/>
  <c r="H2111" i="16"/>
  <c r="H2112" i="16"/>
  <c r="H2113" i="16"/>
  <c r="H2114" i="16"/>
  <c r="H2115" i="16"/>
  <c r="H2116" i="16"/>
  <c r="H2117" i="16"/>
  <c r="H2118" i="16"/>
  <c r="H2119" i="16"/>
  <c r="H2120" i="16"/>
  <c r="H2121" i="16"/>
  <c r="H2122" i="16"/>
  <c r="H2123" i="16"/>
  <c r="H2124" i="16"/>
  <c r="H2125" i="16"/>
  <c r="H2126" i="16"/>
  <c r="H2127" i="16"/>
  <c r="H2128" i="16"/>
  <c r="H2129" i="16"/>
  <c r="H2130" i="16"/>
  <c r="H2131" i="16"/>
  <c r="H2132" i="16"/>
  <c r="H2133" i="16"/>
  <c r="H2134" i="16"/>
  <c r="H2135" i="16"/>
  <c r="H2136" i="16"/>
  <c r="H2137" i="16"/>
  <c r="H2138" i="16"/>
  <c r="H2139" i="16"/>
  <c r="H2140" i="16"/>
  <c r="H2141" i="16"/>
  <c r="H2142" i="16"/>
  <c r="H2143" i="16"/>
  <c r="H2144" i="16"/>
  <c r="H2145" i="16"/>
  <c r="H2146" i="16"/>
  <c r="H2147" i="16"/>
  <c r="H2148" i="16"/>
  <c r="H2149" i="16"/>
  <c r="H2150" i="16"/>
  <c r="H2151" i="16"/>
  <c r="H2152" i="16"/>
  <c r="H2153" i="16"/>
  <c r="H2154" i="16"/>
  <c r="H2155" i="16"/>
  <c r="H2156" i="16"/>
  <c r="H2157" i="16"/>
  <c r="H2158" i="16"/>
  <c r="H2159" i="16"/>
  <c r="H2160" i="16"/>
  <c r="H6" i="16"/>
  <c r="G7" i="16"/>
  <c r="G8" i="16"/>
  <c r="G9" i="16"/>
  <c r="G10" i="16"/>
  <c r="G11" i="16"/>
  <c r="G12" i="16"/>
  <c r="G13" i="16"/>
  <c r="G14" i="16"/>
  <c r="G15" i="16"/>
  <c r="G16" i="16"/>
  <c r="G17" i="16"/>
  <c r="G18" i="16"/>
  <c r="G19" i="16"/>
  <c r="G20" i="16"/>
  <c r="G21" i="16"/>
  <c r="G22" i="16"/>
  <c r="G23" i="16"/>
  <c r="G24" i="16"/>
  <c r="G25" i="16"/>
  <c r="G26" i="16"/>
  <c r="G27" i="16"/>
  <c r="G28" i="16"/>
  <c r="G29" i="16"/>
  <c r="G30" i="16"/>
  <c r="G31" i="16"/>
  <c r="G32" i="16"/>
  <c r="G33" i="16"/>
  <c r="G34" i="16"/>
  <c r="G35" i="16"/>
  <c r="G36" i="16"/>
  <c r="G37" i="16"/>
  <c r="G38" i="16"/>
  <c r="G39" i="16"/>
  <c r="G40" i="16"/>
  <c r="G41" i="16"/>
  <c r="G42" i="16"/>
  <c r="G43" i="16"/>
  <c r="G44" i="16"/>
  <c r="G45" i="16"/>
  <c r="G46" i="16"/>
  <c r="G47" i="16"/>
  <c r="G48" i="16"/>
  <c r="G49" i="16"/>
  <c r="G50" i="16"/>
  <c r="G51" i="16"/>
  <c r="G52" i="16"/>
  <c r="G53" i="16"/>
  <c r="G54" i="16"/>
  <c r="G55" i="16"/>
  <c r="G56" i="16"/>
  <c r="G57" i="16"/>
  <c r="G58" i="16"/>
  <c r="G59" i="16"/>
  <c r="G60" i="16"/>
  <c r="G61" i="16"/>
  <c r="G62" i="16"/>
  <c r="G63" i="16"/>
  <c r="G64" i="16"/>
  <c r="G65" i="16"/>
  <c r="G66" i="16"/>
  <c r="G67" i="16"/>
  <c r="G68" i="16"/>
  <c r="G69" i="16"/>
  <c r="G70" i="16"/>
  <c r="G71" i="16"/>
  <c r="G72" i="16"/>
  <c r="G73" i="16"/>
  <c r="G74" i="16"/>
  <c r="G75" i="16"/>
  <c r="G76" i="16"/>
  <c r="G77" i="16"/>
  <c r="G78" i="16"/>
  <c r="G79" i="16"/>
  <c r="G80" i="16"/>
  <c r="G81" i="16"/>
  <c r="G82" i="16"/>
  <c r="G83" i="16"/>
  <c r="G84" i="16"/>
  <c r="G85" i="16"/>
  <c r="G86" i="16"/>
  <c r="G87" i="16"/>
  <c r="G88" i="16"/>
  <c r="G89" i="16"/>
  <c r="G90" i="16"/>
  <c r="G91" i="16"/>
  <c r="G92" i="16"/>
  <c r="G93" i="16"/>
  <c r="G94" i="16"/>
  <c r="G95" i="16"/>
  <c r="G96" i="16"/>
  <c r="G97" i="16"/>
  <c r="G98" i="16"/>
  <c r="G99" i="16"/>
  <c r="G100" i="16"/>
  <c r="G101" i="16"/>
  <c r="G102" i="16"/>
  <c r="G103" i="16"/>
  <c r="G104" i="16"/>
  <c r="G105" i="16"/>
  <c r="G106" i="16"/>
  <c r="G107" i="16"/>
  <c r="G108" i="16"/>
  <c r="G109" i="16"/>
  <c r="G110" i="16"/>
  <c r="G111" i="16"/>
  <c r="G112" i="16"/>
  <c r="G113" i="16"/>
  <c r="G114" i="16"/>
  <c r="G115" i="16"/>
  <c r="G116" i="16"/>
  <c r="G117" i="16"/>
  <c r="G118" i="16"/>
  <c r="G119" i="16"/>
  <c r="G120" i="16"/>
  <c r="G121" i="16"/>
  <c r="G122" i="16"/>
  <c r="G123" i="16"/>
  <c r="G124" i="16"/>
  <c r="G125" i="16"/>
  <c r="G126" i="16"/>
  <c r="G127" i="16"/>
  <c r="G128" i="16"/>
  <c r="G129" i="16"/>
  <c r="G130" i="16"/>
  <c r="G131" i="16"/>
  <c r="G132" i="16"/>
  <c r="G133" i="16"/>
  <c r="G134" i="16"/>
  <c r="G135" i="16"/>
  <c r="G136" i="16"/>
  <c r="G137" i="16"/>
  <c r="G138" i="16"/>
  <c r="G139" i="16"/>
  <c r="G140" i="16"/>
  <c r="G141" i="16"/>
  <c r="G142" i="16"/>
  <c r="G143" i="16"/>
  <c r="G144" i="16"/>
  <c r="G145" i="16"/>
  <c r="G146" i="16"/>
  <c r="G147" i="16"/>
  <c r="G148" i="16"/>
  <c r="G149" i="16"/>
  <c r="G150" i="16"/>
  <c r="G151" i="16"/>
  <c r="G152" i="16"/>
  <c r="G153" i="16"/>
  <c r="G154" i="16"/>
  <c r="G155" i="16"/>
  <c r="G156" i="16"/>
  <c r="G157" i="16"/>
  <c r="G158" i="16"/>
  <c r="G159" i="16"/>
  <c r="G160" i="16"/>
  <c r="G161" i="16"/>
  <c r="G162" i="16"/>
  <c r="G163" i="16"/>
  <c r="G164" i="16"/>
  <c r="G165" i="16"/>
  <c r="G166" i="16"/>
  <c r="G167" i="16"/>
  <c r="G168" i="16"/>
  <c r="G169" i="16"/>
  <c r="G170" i="16"/>
  <c r="G171" i="16"/>
  <c r="G172" i="16"/>
  <c r="G173" i="16"/>
  <c r="G174" i="16"/>
  <c r="G175" i="16"/>
  <c r="G176" i="16"/>
  <c r="G177" i="16"/>
  <c r="G178" i="16"/>
  <c r="G179" i="16"/>
  <c r="G180" i="16"/>
  <c r="G181" i="16"/>
  <c r="G182" i="16"/>
  <c r="G183" i="16"/>
  <c r="G184" i="16"/>
  <c r="G185" i="16"/>
  <c r="G186" i="16"/>
  <c r="G187" i="16"/>
  <c r="G188" i="16"/>
  <c r="G189" i="16"/>
  <c r="G190" i="16"/>
  <c r="G191" i="16"/>
  <c r="G192" i="16"/>
  <c r="G193" i="16"/>
  <c r="G194" i="16"/>
  <c r="G195" i="16"/>
  <c r="G196" i="16"/>
  <c r="G197" i="16"/>
  <c r="G198" i="16"/>
  <c r="G199" i="16"/>
  <c r="G200" i="16"/>
  <c r="G201" i="16"/>
  <c r="G202" i="16"/>
  <c r="G203" i="16"/>
  <c r="G204" i="16"/>
  <c r="G205" i="16"/>
  <c r="G206" i="16"/>
  <c r="G207" i="16"/>
  <c r="G208" i="16"/>
  <c r="G209" i="16"/>
  <c r="G210" i="16"/>
  <c r="G211" i="16"/>
  <c r="G212" i="16"/>
  <c r="G213" i="16"/>
  <c r="G214" i="16"/>
  <c r="G215" i="16"/>
  <c r="G216" i="16"/>
  <c r="G217" i="16"/>
  <c r="G218" i="16"/>
  <c r="G219" i="16"/>
  <c r="G220" i="16"/>
  <c r="G221" i="16"/>
  <c r="G222" i="16"/>
  <c r="G223" i="16"/>
  <c r="G224" i="16"/>
  <c r="G225" i="16"/>
  <c r="G226" i="16"/>
  <c r="G227" i="16"/>
  <c r="G228" i="16"/>
  <c r="G229" i="16"/>
  <c r="G230" i="16"/>
  <c r="G231" i="16"/>
  <c r="G232" i="16"/>
  <c r="G233" i="16"/>
  <c r="G234" i="16"/>
  <c r="G235" i="16"/>
  <c r="G236" i="16"/>
  <c r="G237" i="16"/>
  <c r="G238" i="16"/>
  <c r="G239" i="16"/>
  <c r="G240" i="16"/>
  <c r="G241" i="16"/>
  <c r="G242" i="16"/>
  <c r="G243" i="16"/>
  <c r="G244" i="16"/>
  <c r="G245" i="16"/>
  <c r="G246" i="16"/>
  <c r="G247" i="16"/>
  <c r="G248" i="16"/>
  <c r="G249" i="16"/>
  <c r="G250" i="16"/>
  <c r="G251" i="16"/>
  <c r="G252" i="16"/>
  <c r="G253" i="16"/>
  <c r="G254" i="16"/>
  <c r="G255" i="16"/>
  <c r="G256" i="16"/>
  <c r="G257" i="16"/>
  <c r="G258" i="16"/>
  <c r="G259" i="16"/>
  <c r="G260" i="16"/>
  <c r="G261" i="16"/>
  <c r="G262" i="16"/>
  <c r="G263" i="16"/>
  <c r="G264" i="16"/>
  <c r="G265" i="16"/>
  <c r="G266" i="16"/>
  <c r="G267" i="16"/>
  <c r="G268" i="16"/>
  <c r="G269" i="16"/>
  <c r="G270" i="16"/>
  <c r="G271" i="16"/>
  <c r="G272" i="16"/>
  <c r="G273" i="16"/>
  <c r="G274" i="16"/>
  <c r="G275" i="16"/>
  <c r="G276" i="16"/>
  <c r="G277" i="16"/>
  <c r="G278" i="16"/>
  <c r="G279" i="16"/>
  <c r="G280" i="16"/>
  <c r="G281" i="16"/>
  <c r="G282" i="16"/>
  <c r="G283" i="16"/>
  <c r="G284" i="16"/>
  <c r="G285" i="16"/>
  <c r="G286" i="16"/>
  <c r="G287" i="16"/>
  <c r="G288" i="16"/>
  <c r="G289" i="16"/>
  <c r="G290" i="16"/>
  <c r="G291" i="16"/>
  <c r="G292" i="16"/>
  <c r="G293" i="16"/>
  <c r="G294" i="16"/>
  <c r="G295" i="16"/>
  <c r="G296" i="16"/>
  <c r="G297" i="16"/>
  <c r="G298" i="16"/>
  <c r="G299" i="16"/>
  <c r="G300" i="16"/>
  <c r="G301" i="16"/>
  <c r="G302" i="16"/>
  <c r="G303" i="16"/>
  <c r="G304" i="16"/>
  <c r="G305" i="16"/>
  <c r="G306" i="16"/>
  <c r="G307" i="16"/>
  <c r="G308" i="16"/>
  <c r="G309" i="16"/>
  <c r="G310" i="16"/>
  <c r="G311" i="16"/>
  <c r="G312" i="16"/>
  <c r="G313" i="16"/>
  <c r="G314" i="16"/>
  <c r="G315" i="16"/>
  <c r="G316" i="16"/>
  <c r="G317" i="16"/>
  <c r="G318" i="16"/>
  <c r="G319" i="16"/>
  <c r="G320" i="16"/>
  <c r="G321" i="16"/>
  <c r="G322" i="16"/>
  <c r="G323" i="16"/>
  <c r="G324" i="16"/>
  <c r="G325" i="16"/>
  <c r="G326" i="16"/>
  <c r="G327" i="16"/>
  <c r="G328" i="16"/>
  <c r="G329" i="16"/>
  <c r="G330" i="16"/>
  <c r="G331" i="16"/>
  <c r="G332" i="16"/>
  <c r="G333" i="16"/>
  <c r="G334" i="16"/>
  <c r="G335" i="16"/>
  <c r="G336" i="16"/>
  <c r="G337" i="16"/>
  <c r="G338" i="16"/>
  <c r="G339" i="16"/>
  <c r="G340" i="16"/>
  <c r="G341" i="16"/>
  <c r="G342" i="16"/>
  <c r="G343" i="16"/>
  <c r="G344" i="16"/>
  <c r="G345" i="16"/>
  <c r="G346" i="16"/>
  <c r="G347" i="16"/>
  <c r="G348" i="16"/>
  <c r="G349" i="16"/>
  <c r="G350" i="16"/>
  <c r="G351" i="16"/>
  <c r="G352" i="16"/>
  <c r="G353" i="16"/>
  <c r="G354" i="16"/>
  <c r="G355" i="16"/>
  <c r="G356" i="16"/>
  <c r="G357" i="16"/>
  <c r="G358" i="16"/>
  <c r="G359" i="16"/>
  <c r="G360" i="16"/>
  <c r="G361" i="16"/>
  <c r="G362" i="16"/>
  <c r="G363" i="16"/>
  <c r="G364" i="16"/>
  <c r="G365" i="16"/>
  <c r="G366" i="16"/>
  <c r="G367" i="16"/>
  <c r="G368" i="16"/>
  <c r="G369" i="16"/>
  <c r="G370" i="16"/>
  <c r="G371" i="16"/>
  <c r="G372" i="16"/>
  <c r="G373" i="16"/>
  <c r="G374" i="16"/>
  <c r="G375" i="16"/>
  <c r="G376" i="16"/>
  <c r="G377" i="16"/>
  <c r="G378" i="16"/>
  <c r="G379" i="16"/>
  <c r="G380" i="16"/>
  <c r="G381" i="16"/>
  <c r="G382" i="16"/>
  <c r="G383" i="16"/>
  <c r="G384" i="16"/>
  <c r="G385" i="16"/>
  <c r="G386" i="16"/>
  <c r="G387" i="16"/>
  <c r="G388" i="16"/>
  <c r="G389" i="16"/>
  <c r="G390" i="16"/>
  <c r="G391" i="16"/>
  <c r="G392" i="16"/>
  <c r="G393" i="16"/>
  <c r="G394" i="16"/>
  <c r="G395" i="16"/>
  <c r="G396" i="16"/>
  <c r="G397" i="16"/>
  <c r="G398" i="16"/>
  <c r="G399" i="16"/>
  <c r="G400" i="16"/>
  <c r="G401" i="16"/>
  <c r="G402" i="16"/>
  <c r="G403" i="16"/>
  <c r="G404" i="16"/>
  <c r="G405" i="16"/>
  <c r="G406" i="16"/>
  <c r="G407" i="16"/>
  <c r="G408" i="16"/>
  <c r="G409" i="16"/>
  <c r="G410" i="16"/>
  <c r="G411" i="16"/>
  <c r="G412" i="16"/>
  <c r="G413" i="16"/>
  <c r="G414" i="16"/>
  <c r="G415" i="16"/>
  <c r="G416" i="16"/>
  <c r="G417" i="16"/>
  <c r="G418" i="16"/>
  <c r="G419" i="16"/>
  <c r="G420" i="16"/>
  <c r="G421" i="16"/>
  <c r="G422" i="16"/>
  <c r="G423" i="16"/>
  <c r="G424" i="16"/>
  <c r="G425" i="16"/>
  <c r="G426" i="16"/>
  <c r="G427" i="16"/>
  <c r="G428" i="16"/>
  <c r="G429" i="16"/>
  <c r="G430" i="16"/>
  <c r="G431" i="16"/>
  <c r="G432" i="16"/>
  <c r="G433" i="16"/>
  <c r="G434" i="16"/>
  <c r="G435" i="16"/>
  <c r="G436" i="16"/>
  <c r="G437" i="16"/>
  <c r="G438" i="16"/>
  <c r="G439" i="16"/>
  <c r="G440" i="16"/>
  <c r="G441" i="16"/>
  <c r="G442" i="16"/>
  <c r="G443" i="16"/>
  <c r="G444" i="16"/>
  <c r="G445" i="16"/>
  <c r="G446" i="16"/>
  <c r="G447" i="16"/>
  <c r="G448" i="16"/>
  <c r="G449" i="16"/>
  <c r="G450" i="16"/>
  <c r="G451" i="16"/>
  <c r="G452" i="16"/>
  <c r="G453" i="16"/>
  <c r="G454" i="16"/>
  <c r="G455" i="16"/>
  <c r="G456" i="16"/>
  <c r="G457" i="16"/>
  <c r="G458" i="16"/>
  <c r="G459" i="16"/>
  <c r="G460" i="16"/>
  <c r="G461" i="16"/>
  <c r="G462" i="16"/>
  <c r="G463" i="16"/>
  <c r="G464" i="16"/>
  <c r="G465" i="16"/>
  <c r="G466" i="16"/>
  <c r="G467" i="16"/>
  <c r="G468" i="16"/>
  <c r="G469" i="16"/>
  <c r="G470" i="16"/>
  <c r="G471" i="16"/>
  <c r="G472" i="16"/>
  <c r="G473" i="16"/>
  <c r="G474" i="16"/>
  <c r="G475" i="16"/>
  <c r="G476" i="16"/>
  <c r="G477" i="16"/>
  <c r="G478" i="16"/>
  <c r="G479" i="16"/>
  <c r="G480" i="16"/>
  <c r="G481" i="16"/>
  <c r="G482" i="16"/>
  <c r="G483" i="16"/>
  <c r="G484" i="16"/>
  <c r="G485" i="16"/>
  <c r="G486" i="16"/>
  <c r="G487" i="16"/>
  <c r="G488" i="16"/>
  <c r="G489" i="16"/>
  <c r="G490" i="16"/>
  <c r="G491" i="16"/>
  <c r="G492" i="16"/>
  <c r="G493" i="16"/>
  <c r="G494" i="16"/>
  <c r="G495" i="16"/>
  <c r="G496" i="16"/>
  <c r="G497" i="16"/>
  <c r="G498" i="16"/>
  <c r="G499" i="16"/>
  <c r="G500" i="16"/>
  <c r="G501" i="16"/>
  <c r="G502" i="16"/>
  <c r="G503" i="16"/>
  <c r="G504" i="16"/>
  <c r="G505" i="16"/>
  <c r="G506" i="16"/>
  <c r="G507" i="16"/>
  <c r="G508" i="16"/>
  <c r="G509" i="16"/>
  <c r="G510" i="16"/>
  <c r="G511" i="16"/>
  <c r="G512" i="16"/>
  <c r="G513" i="16"/>
  <c r="G514" i="16"/>
  <c r="G515" i="16"/>
  <c r="G516" i="16"/>
  <c r="G517" i="16"/>
  <c r="G518" i="16"/>
  <c r="G519" i="16"/>
  <c r="G520" i="16"/>
  <c r="G521" i="16"/>
  <c r="G522" i="16"/>
  <c r="G523" i="16"/>
  <c r="G524" i="16"/>
  <c r="G525" i="16"/>
  <c r="G526" i="16"/>
  <c r="G527" i="16"/>
  <c r="G528" i="16"/>
  <c r="G529" i="16"/>
  <c r="G530" i="16"/>
  <c r="G531" i="16"/>
  <c r="G532" i="16"/>
  <c r="G533" i="16"/>
  <c r="G534" i="16"/>
  <c r="G535" i="16"/>
  <c r="G536" i="16"/>
  <c r="G537" i="16"/>
  <c r="G538" i="16"/>
  <c r="G539" i="16"/>
  <c r="G540" i="16"/>
  <c r="G541" i="16"/>
  <c r="G542" i="16"/>
  <c r="G543" i="16"/>
  <c r="G544" i="16"/>
  <c r="G545" i="16"/>
  <c r="G546" i="16"/>
  <c r="G547" i="16"/>
  <c r="G548" i="16"/>
  <c r="G549" i="16"/>
  <c r="G550" i="16"/>
  <c r="G551" i="16"/>
  <c r="G552" i="16"/>
  <c r="G553" i="16"/>
  <c r="G554" i="16"/>
  <c r="G555" i="16"/>
  <c r="G556" i="16"/>
  <c r="G557" i="16"/>
  <c r="G558" i="16"/>
  <c r="G559" i="16"/>
  <c r="G560" i="16"/>
  <c r="G561" i="16"/>
  <c r="G562" i="16"/>
  <c r="G563" i="16"/>
  <c r="G564" i="16"/>
  <c r="G565" i="16"/>
  <c r="G566" i="16"/>
  <c r="G567" i="16"/>
  <c r="G568" i="16"/>
  <c r="G569" i="16"/>
  <c r="G570" i="16"/>
  <c r="G571" i="16"/>
  <c r="G572" i="16"/>
  <c r="G573" i="16"/>
  <c r="G574" i="16"/>
  <c r="G575" i="16"/>
  <c r="G576" i="16"/>
  <c r="G577" i="16"/>
  <c r="G578" i="16"/>
  <c r="G579" i="16"/>
  <c r="G580" i="16"/>
  <c r="G581" i="16"/>
  <c r="G582" i="16"/>
  <c r="G583" i="16"/>
  <c r="G584" i="16"/>
  <c r="G585" i="16"/>
  <c r="G586" i="16"/>
  <c r="G587" i="16"/>
  <c r="G588" i="16"/>
  <c r="G589" i="16"/>
  <c r="G590" i="16"/>
  <c r="G591" i="16"/>
  <c r="G592" i="16"/>
  <c r="G593" i="16"/>
  <c r="G594" i="16"/>
  <c r="G595" i="16"/>
  <c r="G596" i="16"/>
  <c r="G597" i="16"/>
  <c r="G598" i="16"/>
  <c r="G599" i="16"/>
  <c r="G600" i="16"/>
  <c r="G601" i="16"/>
  <c r="G602" i="16"/>
  <c r="G603" i="16"/>
  <c r="G604" i="16"/>
  <c r="G605" i="16"/>
  <c r="G606" i="16"/>
  <c r="G607" i="16"/>
  <c r="G608" i="16"/>
  <c r="G609" i="16"/>
  <c r="G610" i="16"/>
  <c r="G611" i="16"/>
  <c r="G612" i="16"/>
  <c r="G613" i="16"/>
  <c r="G614" i="16"/>
  <c r="G615" i="16"/>
  <c r="G616" i="16"/>
  <c r="G617" i="16"/>
  <c r="G618" i="16"/>
  <c r="G619" i="16"/>
  <c r="G620" i="16"/>
  <c r="G621" i="16"/>
  <c r="G622" i="16"/>
  <c r="G623" i="16"/>
  <c r="G624" i="16"/>
  <c r="G625" i="16"/>
  <c r="G626" i="16"/>
  <c r="G627" i="16"/>
  <c r="G628" i="16"/>
  <c r="G629" i="16"/>
  <c r="G630" i="16"/>
  <c r="G631" i="16"/>
  <c r="G632" i="16"/>
  <c r="G633" i="16"/>
  <c r="G634" i="16"/>
  <c r="G635" i="16"/>
  <c r="G636" i="16"/>
  <c r="G637" i="16"/>
  <c r="G638" i="16"/>
  <c r="G639" i="16"/>
  <c r="G640" i="16"/>
  <c r="G641" i="16"/>
  <c r="G642" i="16"/>
  <c r="G643" i="16"/>
  <c r="G644" i="16"/>
  <c r="G645" i="16"/>
  <c r="G646" i="16"/>
  <c r="G647" i="16"/>
  <c r="G648" i="16"/>
  <c r="G649" i="16"/>
  <c r="G650" i="16"/>
  <c r="G651" i="16"/>
  <c r="G652" i="16"/>
  <c r="G653" i="16"/>
  <c r="G654" i="16"/>
  <c r="G655" i="16"/>
  <c r="G656" i="16"/>
  <c r="G657" i="16"/>
  <c r="G658" i="16"/>
  <c r="G659" i="16"/>
  <c r="G660" i="16"/>
  <c r="G661" i="16"/>
  <c r="G662" i="16"/>
  <c r="G663" i="16"/>
  <c r="G664" i="16"/>
  <c r="G665" i="16"/>
  <c r="G666" i="16"/>
  <c r="G667" i="16"/>
  <c r="G668" i="16"/>
  <c r="G669" i="16"/>
  <c r="G670" i="16"/>
  <c r="G671" i="16"/>
  <c r="G672" i="16"/>
  <c r="G673" i="16"/>
  <c r="G674" i="16"/>
  <c r="G675" i="16"/>
  <c r="G676" i="16"/>
  <c r="G677" i="16"/>
  <c r="G678" i="16"/>
  <c r="G679" i="16"/>
  <c r="G680" i="16"/>
  <c r="G681" i="16"/>
  <c r="G682" i="16"/>
  <c r="G683" i="16"/>
  <c r="G684" i="16"/>
  <c r="G685" i="16"/>
  <c r="G686" i="16"/>
  <c r="G687" i="16"/>
  <c r="G688" i="16"/>
  <c r="G689" i="16"/>
  <c r="G690" i="16"/>
  <c r="G691" i="16"/>
  <c r="G692" i="16"/>
  <c r="G693" i="16"/>
  <c r="G694" i="16"/>
  <c r="G695" i="16"/>
  <c r="G696" i="16"/>
  <c r="G697" i="16"/>
  <c r="G698" i="16"/>
  <c r="G699" i="16"/>
  <c r="G700" i="16"/>
  <c r="G701" i="16"/>
  <c r="G702" i="16"/>
  <c r="G703" i="16"/>
  <c r="G704" i="16"/>
  <c r="G705" i="16"/>
  <c r="G706" i="16"/>
  <c r="G707" i="16"/>
  <c r="G708" i="16"/>
  <c r="G709" i="16"/>
  <c r="G710" i="16"/>
  <c r="G711" i="16"/>
  <c r="G712" i="16"/>
  <c r="G713" i="16"/>
  <c r="G714" i="16"/>
  <c r="G715" i="16"/>
  <c r="G716" i="16"/>
  <c r="G717" i="16"/>
  <c r="G718" i="16"/>
  <c r="G719" i="16"/>
  <c r="G720" i="16"/>
  <c r="G721" i="16"/>
  <c r="G722" i="16"/>
  <c r="G723" i="16"/>
  <c r="G724" i="16"/>
  <c r="G725" i="16"/>
  <c r="G726" i="16"/>
  <c r="G727" i="16"/>
  <c r="G728" i="16"/>
  <c r="G729" i="16"/>
  <c r="G730" i="16"/>
  <c r="G731" i="16"/>
  <c r="G732" i="16"/>
  <c r="G733" i="16"/>
  <c r="G734" i="16"/>
  <c r="G735" i="16"/>
  <c r="G736" i="16"/>
  <c r="G737" i="16"/>
  <c r="G738" i="16"/>
  <c r="G739" i="16"/>
  <c r="G740" i="16"/>
  <c r="G741" i="16"/>
  <c r="G742" i="16"/>
  <c r="G743" i="16"/>
  <c r="G744" i="16"/>
  <c r="G745" i="16"/>
  <c r="G746" i="16"/>
  <c r="G747" i="16"/>
  <c r="G748" i="16"/>
  <c r="G749" i="16"/>
  <c r="G750" i="16"/>
  <c r="G751" i="16"/>
  <c r="G752" i="16"/>
  <c r="G753" i="16"/>
  <c r="G754" i="16"/>
  <c r="G755" i="16"/>
  <c r="G756" i="16"/>
  <c r="G757" i="16"/>
  <c r="G758" i="16"/>
  <c r="G759" i="16"/>
  <c r="G760" i="16"/>
  <c r="G761" i="16"/>
  <c r="G762" i="16"/>
  <c r="G763" i="16"/>
  <c r="G764" i="16"/>
  <c r="G765" i="16"/>
  <c r="G766" i="16"/>
  <c r="G767" i="16"/>
  <c r="G768" i="16"/>
  <c r="G769" i="16"/>
  <c r="G770" i="16"/>
  <c r="G771" i="16"/>
  <c r="G772" i="16"/>
  <c r="G773" i="16"/>
  <c r="G774" i="16"/>
  <c r="G775" i="16"/>
  <c r="G776" i="16"/>
  <c r="G777" i="16"/>
  <c r="G778" i="16"/>
  <c r="G779" i="16"/>
  <c r="G780" i="16"/>
  <c r="G781" i="16"/>
  <c r="G782" i="16"/>
  <c r="G783" i="16"/>
  <c r="G784" i="16"/>
  <c r="G785" i="16"/>
  <c r="G786" i="16"/>
  <c r="G787" i="16"/>
  <c r="G788" i="16"/>
  <c r="G789" i="16"/>
  <c r="G790" i="16"/>
  <c r="G791" i="16"/>
  <c r="G792" i="16"/>
  <c r="G793" i="16"/>
  <c r="G794" i="16"/>
  <c r="G795" i="16"/>
  <c r="G796" i="16"/>
  <c r="G797" i="16"/>
  <c r="G798" i="16"/>
  <c r="G799" i="16"/>
  <c r="G800" i="16"/>
  <c r="G801" i="16"/>
  <c r="G802" i="16"/>
  <c r="G803" i="16"/>
  <c r="G804" i="16"/>
  <c r="G805" i="16"/>
  <c r="G806" i="16"/>
  <c r="G807" i="16"/>
  <c r="G808" i="16"/>
  <c r="G809" i="16"/>
  <c r="G810" i="16"/>
  <c r="G811" i="16"/>
  <c r="G812" i="16"/>
  <c r="G813" i="16"/>
  <c r="G814" i="16"/>
  <c r="G815" i="16"/>
  <c r="G816" i="16"/>
  <c r="G817" i="16"/>
  <c r="G818" i="16"/>
  <c r="G819" i="16"/>
  <c r="G820" i="16"/>
  <c r="G821" i="16"/>
  <c r="G822" i="16"/>
  <c r="G823" i="16"/>
  <c r="G824" i="16"/>
  <c r="G825" i="16"/>
  <c r="G826" i="16"/>
  <c r="G827" i="16"/>
  <c r="G828" i="16"/>
  <c r="G829" i="16"/>
  <c r="G830" i="16"/>
  <c r="G831" i="16"/>
  <c r="G832" i="16"/>
  <c r="G833" i="16"/>
  <c r="G834" i="16"/>
  <c r="G835" i="16"/>
  <c r="G836" i="16"/>
  <c r="G837" i="16"/>
  <c r="G838" i="16"/>
  <c r="G839" i="16"/>
  <c r="G840" i="16"/>
  <c r="G841" i="16"/>
  <c r="G842" i="16"/>
  <c r="G843" i="16"/>
  <c r="G844" i="16"/>
  <c r="G845" i="16"/>
  <c r="G846" i="16"/>
  <c r="G847" i="16"/>
  <c r="G848" i="16"/>
  <c r="G849" i="16"/>
  <c r="G850" i="16"/>
  <c r="G851" i="16"/>
  <c r="G852" i="16"/>
  <c r="G853" i="16"/>
  <c r="G854" i="16"/>
  <c r="G855" i="16"/>
  <c r="G856" i="16"/>
  <c r="G857" i="16"/>
  <c r="G858" i="16"/>
  <c r="G859" i="16"/>
  <c r="G860" i="16"/>
  <c r="G861" i="16"/>
  <c r="G862" i="16"/>
  <c r="G863" i="16"/>
  <c r="G864" i="16"/>
  <c r="G865" i="16"/>
  <c r="G866" i="16"/>
  <c r="G867" i="16"/>
  <c r="G868" i="16"/>
  <c r="G869" i="16"/>
  <c r="G870" i="16"/>
  <c r="G871" i="16"/>
  <c r="G872" i="16"/>
  <c r="G873" i="16"/>
  <c r="G874" i="16"/>
  <c r="G875" i="16"/>
  <c r="G876" i="16"/>
  <c r="G877" i="16"/>
  <c r="G878" i="16"/>
  <c r="G879" i="16"/>
  <c r="G880" i="16"/>
  <c r="G881" i="16"/>
  <c r="G882" i="16"/>
  <c r="G883" i="16"/>
  <c r="G884" i="16"/>
  <c r="G885" i="16"/>
  <c r="G886" i="16"/>
  <c r="G887" i="16"/>
  <c r="G888" i="16"/>
  <c r="G889" i="16"/>
  <c r="G890" i="16"/>
  <c r="G891" i="16"/>
  <c r="G892" i="16"/>
  <c r="G893" i="16"/>
  <c r="G894" i="16"/>
  <c r="G895" i="16"/>
  <c r="G896" i="16"/>
  <c r="G897" i="16"/>
  <c r="G898" i="16"/>
  <c r="G899" i="16"/>
  <c r="G900" i="16"/>
  <c r="G901" i="16"/>
  <c r="G902" i="16"/>
  <c r="G903" i="16"/>
  <c r="G904" i="16"/>
  <c r="G905" i="16"/>
  <c r="G906" i="16"/>
  <c r="G907" i="16"/>
  <c r="G908" i="16"/>
  <c r="G909" i="16"/>
  <c r="G910" i="16"/>
  <c r="G911" i="16"/>
  <c r="G912" i="16"/>
  <c r="G913" i="16"/>
  <c r="G914" i="16"/>
  <c r="G915" i="16"/>
  <c r="G916" i="16"/>
  <c r="G917" i="16"/>
  <c r="G918" i="16"/>
  <c r="G919" i="16"/>
  <c r="G920" i="16"/>
  <c r="G921" i="16"/>
  <c r="G922" i="16"/>
  <c r="G923" i="16"/>
  <c r="G924" i="16"/>
  <c r="G925" i="16"/>
  <c r="G926" i="16"/>
  <c r="G927" i="16"/>
  <c r="G928" i="16"/>
  <c r="G929" i="16"/>
  <c r="G930" i="16"/>
  <c r="G931" i="16"/>
  <c r="G932" i="16"/>
  <c r="G933" i="16"/>
  <c r="G934" i="16"/>
  <c r="G935" i="16"/>
  <c r="G936" i="16"/>
  <c r="G937" i="16"/>
  <c r="G938" i="16"/>
  <c r="G939" i="16"/>
  <c r="G940" i="16"/>
  <c r="G941" i="16"/>
  <c r="G942" i="16"/>
  <c r="G943" i="16"/>
  <c r="G944" i="16"/>
  <c r="G945" i="16"/>
  <c r="G946" i="16"/>
  <c r="G947" i="16"/>
  <c r="G948" i="16"/>
  <c r="G949" i="16"/>
  <c r="G950" i="16"/>
  <c r="G951" i="16"/>
  <c r="G952" i="16"/>
  <c r="G953" i="16"/>
  <c r="G954" i="16"/>
  <c r="G955" i="16"/>
  <c r="G956" i="16"/>
  <c r="G957" i="16"/>
  <c r="G958" i="16"/>
  <c r="G959" i="16"/>
  <c r="G960" i="16"/>
  <c r="G961" i="16"/>
  <c r="G962" i="16"/>
  <c r="G963" i="16"/>
  <c r="G964" i="16"/>
  <c r="G965" i="16"/>
  <c r="G966" i="16"/>
  <c r="G967" i="16"/>
  <c r="G968" i="16"/>
  <c r="G969" i="16"/>
  <c r="G970" i="16"/>
  <c r="G971" i="16"/>
  <c r="G972" i="16"/>
  <c r="G973" i="16"/>
  <c r="G974" i="16"/>
  <c r="G975" i="16"/>
  <c r="G976" i="16"/>
  <c r="G977" i="16"/>
  <c r="G978" i="16"/>
  <c r="G979" i="16"/>
  <c r="G980" i="16"/>
  <c r="G981" i="16"/>
  <c r="G982" i="16"/>
  <c r="G983" i="16"/>
  <c r="G984" i="16"/>
  <c r="G985" i="16"/>
  <c r="G986" i="16"/>
  <c r="G987" i="16"/>
  <c r="G988" i="16"/>
  <c r="G989" i="16"/>
  <c r="G990" i="16"/>
  <c r="G991" i="16"/>
  <c r="G992" i="16"/>
  <c r="G993" i="16"/>
  <c r="G994" i="16"/>
  <c r="G995" i="16"/>
  <c r="G996" i="16"/>
  <c r="G997" i="16"/>
  <c r="G998" i="16"/>
  <c r="G999" i="16"/>
  <c r="G1000" i="16"/>
  <c r="G1001" i="16"/>
  <c r="G1002" i="16"/>
  <c r="G1003" i="16"/>
  <c r="G1004" i="16"/>
  <c r="G1005" i="16"/>
  <c r="G1006" i="16"/>
  <c r="G1007" i="16"/>
  <c r="G1008" i="16"/>
  <c r="G1009" i="16"/>
  <c r="G1010" i="16"/>
  <c r="G1011" i="16"/>
  <c r="G1012" i="16"/>
  <c r="G1013" i="16"/>
  <c r="G1014" i="16"/>
  <c r="G1015" i="16"/>
  <c r="G1016" i="16"/>
  <c r="G1017" i="16"/>
  <c r="G1018" i="16"/>
  <c r="G1019" i="16"/>
  <c r="G1020" i="16"/>
  <c r="G1021" i="16"/>
  <c r="G1022" i="16"/>
  <c r="G1023" i="16"/>
  <c r="G1024" i="16"/>
  <c r="G1025" i="16"/>
  <c r="G1026" i="16"/>
  <c r="G1027" i="16"/>
  <c r="G1028" i="16"/>
  <c r="G1029" i="16"/>
  <c r="G1030" i="16"/>
  <c r="G1031" i="16"/>
  <c r="G1032" i="16"/>
  <c r="G1033" i="16"/>
  <c r="G1034" i="16"/>
  <c r="G1035" i="16"/>
  <c r="G1036" i="16"/>
  <c r="G1037" i="16"/>
  <c r="G1038" i="16"/>
  <c r="G1039" i="16"/>
  <c r="G1040" i="16"/>
  <c r="G1041" i="16"/>
  <c r="G1042" i="16"/>
  <c r="G1043" i="16"/>
  <c r="G1044" i="16"/>
  <c r="G1045" i="16"/>
  <c r="G1046" i="16"/>
  <c r="G1047" i="16"/>
  <c r="G1048" i="16"/>
  <c r="G1049" i="16"/>
  <c r="G1050" i="16"/>
  <c r="G1051" i="16"/>
  <c r="G1052" i="16"/>
  <c r="G1053" i="16"/>
  <c r="G1054" i="16"/>
  <c r="G1055" i="16"/>
  <c r="G1056" i="16"/>
  <c r="G1057" i="16"/>
  <c r="G1058" i="16"/>
  <c r="G1059" i="16"/>
  <c r="G1060" i="16"/>
  <c r="G1061" i="16"/>
  <c r="G1062" i="16"/>
  <c r="G1063" i="16"/>
  <c r="G1064" i="16"/>
  <c r="G1065" i="16"/>
  <c r="G1066" i="16"/>
  <c r="G1067" i="16"/>
  <c r="G1068" i="16"/>
  <c r="G1069" i="16"/>
  <c r="G1070" i="16"/>
  <c r="G1071" i="16"/>
  <c r="G1072" i="16"/>
  <c r="G1073" i="16"/>
  <c r="G1074" i="16"/>
  <c r="G1075" i="16"/>
  <c r="G1076" i="16"/>
  <c r="G1077" i="16"/>
  <c r="G1078" i="16"/>
  <c r="G1079" i="16"/>
  <c r="G1080" i="16"/>
  <c r="G1081" i="16"/>
  <c r="G1082" i="16"/>
  <c r="G1083" i="16"/>
  <c r="G1084" i="16"/>
  <c r="G1085" i="16"/>
  <c r="G1086" i="16"/>
  <c r="G1087" i="16"/>
  <c r="G1088" i="16"/>
  <c r="G1089" i="16"/>
  <c r="G1090" i="16"/>
  <c r="G1091" i="16"/>
  <c r="G1092" i="16"/>
  <c r="G1093" i="16"/>
  <c r="G1094" i="16"/>
  <c r="G1095" i="16"/>
  <c r="G1096" i="16"/>
  <c r="G1097" i="16"/>
  <c r="G1098" i="16"/>
  <c r="G1099" i="16"/>
  <c r="G1100" i="16"/>
  <c r="G1101" i="16"/>
  <c r="G1102" i="16"/>
  <c r="G1103" i="16"/>
  <c r="G1104" i="16"/>
  <c r="G1105" i="16"/>
  <c r="G1106" i="16"/>
  <c r="G1107" i="16"/>
  <c r="G1108" i="16"/>
  <c r="G1109" i="16"/>
  <c r="G1110" i="16"/>
  <c r="G1111" i="16"/>
  <c r="G1112" i="16"/>
  <c r="G1113" i="16"/>
  <c r="G1114" i="16"/>
  <c r="G1115" i="16"/>
  <c r="G1116" i="16"/>
  <c r="G1117" i="16"/>
  <c r="G1118" i="16"/>
  <c r="G1119" i="16"/>
  <c r="G1120" i="16"/>
  <c r="G1121" i="16"/>
  <c r="G1122" i="16"/>
  <c r="G1123" i="16"/>
  <c r="G1124" i="16"/>
  <c r="G1125" i="16"/>
  <c r="G1126" i="16"/>
  <c r="G1127" i="16"/>
  <c r="G1128" i="16"/>
  <c r="G1129" i="16"/>
  <c r="G1130" i="16"/>
  <c r="G1131" i="16"/>
  <c r="G1132" i="16"/>
  <c r="G1133" i="16"/>
  <c r="G1134" i="16"/>
  <c r="G1135" i="16"/>
  <c r="G1136" i="16"/>
  <c r="G1137" i="16"/>
  <c r="G1138" i="16"/>
  <c r="G1139" i="16"/>
  <c r="G1140" i="16"/>
  <c r="G1141" i="16"/>
  <c r="G1142" i="16"/>
  <c r="G1143" i="16"/>
  <c r="G1144" i="16"/>
  <c r="G1145" i="16"/>
  <c r="G1146" i="16"/>
  <c r="G1147" i="16"/>
  <c r="G1148" i="16"/>
  <c r="G1149" i="16"/>
  <c r="G1150" i="16"/>
  <c r="G1151" i="16"/>
  <c r="G1152" i="16"/>
  <c r="G1153" i="16"/>
  <c r="G1154" i="16"/>
  <c r="G1155" i="16"/>
  <c r="G1156" i="16"/>
  <c r="G1157" i="16"/>
  <c r="G1158" i="16"/>
  <c r="G1159" i="16"/>
  <c r="G1160" i="16"/>
  <c r="G1161" i="16"/>
  <c r="G1162" i="16"/>
  <c r="G1163" i="16"/>
  <c r="G1164" i="16"/>
  <c r="G1165" i="16"/>
  <c r="G1166" i="16"/>
  <c r="G1167" i="16"/>
  <c r="G1168" i="16"/>
  <c r="G1169" i="16"/>
  <c r="G1170" i="16"/>
  <c r="G1171" i="16"/>
  <c r="G1172" i="16"/>
  <c r="G1173" i="16"/>
  <c r="G1174" i="16"/>
  <c r="G1175" i="16"/>
  <c r="G1176" i="16"/>
  <c r="G1177" i="16"/>
  <c r="G1178" i="16"/>
  <c r="G1179" i="16"/>
  <c r="G1180" i="16"/>
  <c r="G1181" i="16"/>
  <c r="G1182" i="16"/>
  <c r="G1183" i="16"/>
  <c r="G1184" i="16"/>
  <c r="G1185" i="16"/>
  <c r="G1186" i="16"/>
  <c r="G1187" i="16"/>
  <c r="G1188" i="16"/>
  <c r="G1189" i="16"/>
  <c r="G1190" i="16"/>
  <c r="G1191" i="16"/>
  <c r="G1192" i="16"/>
  <c r="G1193" i="16"/>
  <c r="G1194" i="16"/>
  <c r="G1195" i="16"/>
  <c r="G1196" i="16"/>
  <c r="G1197" i="16"/>
  <c r="G1198" i="16"/>
  <c r="G1199" i="16"/>
  <c r="G1200" i="16"/>
  <c r="G1201" i="16"/>
  <c r="G1202" i="16"/>
  <c r="G1203" i="16"/>
  <c r="G1204" i="16"/>
  <c r="G1205" i="16"/>
  <c r="G1206" i="16"/>
  <c r="G1207" i="16"/>
  <c r="G1208" i="16"/>
  <c r="G1209" i="16"/>
  <c r="G1210" i="16"/>
  <c r="G1211" i="16"/>
  <c r="G1212" i="16"/>
  <c r="G1213" i="16"/>
  <c r="G1214" i="16"/>
  <c r="G1215" i="16"/>
  <c r="G1216" i="16"/>
  <c r="G1217" i="16"/>
  <c r="G1218" i="16"/>
  <c r="G1219" i="16"/>
  <c r="G1220" i="16"/>
  <c r="G1221" i="16"/>
  <c r="G1222" i="16"/>
  <c r="G1223" i="16"/>
  <c r="G1224" i="16"/>
  <c r="G1225" i="16"/>
  <c r="G1226" i="16"/>
  <c r="G1227" i="16"/>
  <c r="G1228" i="16"/>
  <c r="G1229" i="16"/>
  <c r="G1230" i="16"/>
  <c r="G1231" i="16"/>
  <c r="G1232" i="16"/>
  <c r="G1233" i="16"/>
  <c r="G1234" i="16"/>
  <c r="G1235" i="16"/>
  <c r="G1236" i="16"/>
  <c r="G1237" i="16"/>
  <c r="G1238" i="16"/>
  <c r="G1239" i="16"/>
  <c r="G1240" i="16"/>
  <c r="G1241" i="16"/>
  <c r="G1242" i="16"/>
  <c r="G1243" i="16"/>
  <c r="G1244" i="16"/>
  <c r="G1245" i="16"/>
  <c r="G1246" i="16"/>
  <c r="G1247" i="16"/>
  <c r="G1248" i="16"/>
  <c r="G1249" i="16"/>
  <c r="G1250" i="16"/>
  <c r="G1251" i="16"/>
  <c r="G1252" i="16"/>
  <c r="G1253" i="16"/>
  <c r="G1254" i="16"/>
  <c r="G1255" i="16"/>
  <c r="G1256" i="16"/>
  <c r="G1257" i="16"/>
  <c r="G1258" i="16"/>
  <c r="G1259" i="16"/>
  <c r="G1260" i="16"/>
  <c r="G1261" i="16"/>
  <c r="G1262" i="16"/>
  <c r="G1263" i="16"/>
  <c r="G1264" i="16"/>
  <c r="G1265" i="16"/>
  <c r="G1266" i="16"/>
  <c r="G1267" i="16"/>
  <c r="G1268" i="16"/>
  <c r="G1269" i="16"/>
  <c r="G1270" i="16"/>
  <c r="G1271" i="16"/>
  <c r="G1272" i="16"/>
  <c r="G1273" i="16"/>
  <c r="G1274" i="16"/>
  <c r="G1275" i="16"/>
  <c r="G1276" i="16"/>
  <c r="G1277" i="16"/>
  <c r="G1278" i="16"/>
  <c r="G1279" i="16"/>
  <c r="G1280" i="16"/>
  <c r="G1281" i="16"/>
  <c r="G1282" i="16"/>
  <c r="G1283" i="16"/>
  <c r="G1284" i="16"/>
  <c r="G1285" i="16"/>
  <c r="G1286" i="16"/>
  <c r="G1287" i="16"/>
  <c r="G1288" i="16"/>
  <c r="G1289" i="16"/>
  <c r="G1290" i="16"/>
  <c r="G1291" i="16"/>
  <c r="G1292" i="16"/>
  <c r="G1293" i="16"/>
  <c r="G1294" i="16"/>
  <c r="G1295" i="16"/>
  <c r="G1296" i="16"/>
  <c r="G1297" i="16"/>
  <c r="G1298" i="16"/>
  <c r="G1299" i="16"/>
  <c r="G1300" i="16"/>
  <c r="G1301" i="16"/>
  <c r="G1302" i="16"/>
  <c r="G1303" i="16"/>
  <c r="G1304" i="16"/>
  <c r="G1305" i="16"/>
  <c r="G1306" i="16"/>
  <c r="G1307" i="16"/>
  <c r="G1308" i="16"/>
  <c r="G1309" i="16"/>
  <c r="G1310" i="16"/>
  <c r="G1311" i="16"/>
  <c r="G1312" i="16"/>
  <c r="G1313" i="16"/>
  <c r="G1314" i="16"/>
  <c r="G1315" i="16"/>
  <c r="G1316" i="16"/>
  <c r="G1317" i="16"/>
  <c r="G1318" i="16"/>
  <c r="G1319" i="16"/>
  <c r="G1320" i="16"/>
  <c r="G1321" i="16"/>
  <c r="G1322" i="16"/>
  <c r="G1323" i="16"/>
  <c r="G1324" i="16"/>
  <c r="G1325" i="16"/>
  <c r="G1326" i="16"/>
  <c r="G1327" i="16"/>
  <c r="G1328" i="16"/>
  <c r="G1329" i="16"/>
  <c r="G1330" i="16"/>
  <c r="G1331" i="16"/>
  <c r="G1332" i="16"/>
  <c r="G1333" i="16"/>
  <c r="G1334" i="16"/>
  <c r="G1335" i="16"/>
  <c r="G1336" i="16"/>
  <c r="G1337" i="16"/>
  <c r="G1338" i="16"/>
  <c r="G1339" i="16"/>
  <c r="G1340" i="16"/>
  <c r="G1341" i="16"/>
  <c r="G1342" i="16"/>
  <c r="G1343" i="16"/>
  <c r="G1344" i="16"/>
  <c r="G1345" i="16"/>
  <c r="G1346" i="16"/>
  <c r="G1347" i="16"/>
  <c r="G1348" i="16"/>
  <c r="G1349" i="16"/>
  <c r="G1350" i="16"/>
  <c r="G1351" i="16"/>
  <c r="G1352" i="16"/>
  <c r="G1353" i="16"/>
  <c r="G1354" i="16"/>
  <c r="G1355" i="16"/>
  <c r="G1356" i="16"/>
  <c r="G1357" i="16"/>
  <c r="G1358" i="16"/>
  <c r="G1359" i="16"/>
  <c r="G1360" i="16"/>
  <c r="G1361" i="16"/>
  <c r="G1362" i="16"/>
  <c r="G1363" i="16"/>
  <c r="G1364" i="16"/>
  <c r="G1365" i="16"/>
  <c r="G1366" i="16"/>
  <c r="G1367" i="16"/>
  <c r="G1368" i="16"/>
  <c r="G1369" i="16"/>
  <c r="G1370" i="16"/>
  <c r="G1371" i="16"/>
  <c r="G1372" i="16"/>
  <c r="G1373" i="16"/>
  <c r="G1374" i="16"/>
  <c r="G1375" i="16"/>
  <c r="G1376" i="16"/>
  <c r="G1377" i="16"/>
  <c r="G1378" i="16"/>
  <c r="G1379" i="16"/>
  <c r="G1380" i="16"/>
  <c r="G1381" i="16"/>
  <c r="G1382" i="16"/>
  <c r="G1383" i="16"/>
  <c r="G1384" i="16"/>
  <c r="G1385" i="16"/>
  <c r="G1386" i="16"/>
  <c r="G1387" i="16"/>
  <c r="G1388" i="16"/>
  <c r="G1389" i="16"/>
  <c r="G1390" i="16"/>
  <c r="G1391" i="16"/>
  <c r="G1392" i="16"/>
  <c r="G1393" i="16"/>
  <c r="G1394" i="16"/>
  <c r="G1395" i="16"/>
  <c r="G1396" i="16"/>
  <c r="G1397" i="16"/>
  <c r="G1398" i="16"/>
  <c r="G1399" i="16"/>
  <c r="G1400" i="16"/>
  <c r="G1401" i="16"/>
  <c r="G1402" i="16"/>
  <c r="G1403" i="16"/>
  <c r="G1404" i="16"/>
  <c r="G1405" i="16"/>
  <c r="G1406" i="16"/>
  <c r="G1407" i="16"/>
  <c r="G1408" i="16"/>
  <c r="G1409" i="16"/>
  <c r="G1410" i="16"/>
  <c r="G1411" i="16"/>
  <c r="G1412" i="16"/>
  <c r="G1413" i="16"/>
  <c r="G1414" i="16"/>
  <c r="G1415" i="16"/>
  <c r="G1416" i="16"/>
  <c r="G1417" i="16"/>
  <c r="G1418" i="16"/>
  <c r="G1419" i="16"/>
  <c r="G1420" i="16"/>
  <c r="G1421" i="16"/>
  <c r="G1422" i="16"/>
  <c r="G1423" i="16"/>
  <c r="G1424" i="16"/>
  <c r="G1425" i="16"/>
  <c r="G1426" i="16"/>
  <c r="G1427" i="16"/>
  <c r="G1428" i="16"/>
  <c r="G1429" i="16"/>
  <c r="G1430" i="16"/>
  <c r="G1431" i="16"/>
  <c r="G1432" i="16"/>
  <c r="G1433" i="16"/>
  <c r="G1434" i="16"/>
  <c r="G1435" i="16"/>
  <c r="G1436" i="16"/>
  <c r="G1437" i="16"/>
  <c r="G1438" i="16"/>
  <c r="G1439" i="16"/>
  <c r="G1440" i="16"/>
  <c r="G1441" i="16"/>
  <c r="G1442" i="16"/>
  <c r="G1443" i="16"/>
  <c r="G1444" i="16"/>
  <c r="G1445" i="16"/>
  <c r="G1446" i="16"/>
  <c r="G1447" i="16"/>
  <c r="G1448" i="16"/>
  <c r="G1449" i="16"/>
  <c r="G1450" i="16"/>
  <c r="G1451" i="16"/>
  <c r="G1452" i="16"/>
  <c r="G1453" i="16"/>
  <c r="G1454" i="16"/>
  <c r="G1455" i="16"/>
  <c r="G1456" i="16"/>
  <c r="G1457" i="16"/>
  <c r="G1458" i="16"/>
  <c r="G1459" i="16"/>
  <c r="G1460" i="16"/>
  <c r="G1461" i="16"/>
  <c r="G1462" i="16"/>
  <c r="G1463" i="16"/>
  <c r="G1464" i="16"/>
  <c r="G1465" i="16"/>
  <c r="G1466" i="16"/>
  <c r="G1467" i="16"/>
  <c r="G1468" i="16"/>
  <c r="G1469" i="16"/>
  <c r="G1470" i="16"/>
  <c r="G1471" i="16"/>
  <c r="G1472" i="16"/>
  <c r="G1473" i="16"/>
  <c r="G1474" i="16"/>
  <c r="G1475" i="16"/>
  <c r="G1476" i="16"/>
  <c r="G1477" i="16"/>
  <c r="G1478" i="16"/>
  <c r="G1479" i="16"/>
  <c r="G1480" i="16"/>
  <c r="G1481" i="16"/>
  <c r="G1482" i="16"/>
  <c r="G1483" i="16"/>
  <c r="G1484" i="16"/>
  <c r="G1485" i="16"/>
  <c r="G1486" i="16"/>
  <c r="G1487" i="16"/>
  <c r="G1488" i="16"/>
  <c r="G1489" i="16"/>
  <c r="G1490" i="16"/>
  <c r="G1491" i="16"/>
  <c r="G1492" i="16"/>
  <c r="G1493" i="16"/>
  <c r="G1494" i="16"/>
  <c r="G1495" i="16"/>
  <c r="G1496" i="16"/>
  <c r="G1497" i="16"/>
  <c r="G1498" i="16"/>
  <c r="G1499" i="16"/>
  <c r="G1500" i="16"/>
  <c r="G1501" i="16"/>
  <c r="G1502" i="16"/>
  <c r="G1503" i="16"/>
  <c r="G1504" i="16"/>
  <c r="G1505" i="16"/>
  <c r="G1506" i="16"/>
  <c r="G1507" i="16"/>
  <c r="G1508" i="16"/>
  <c r="G1509" i="16"/>
  <c r="G1510" i="16"/>
  <c r="G1511" i="16"/>
  <c r="G1512" i="16"/>
  <c r="G1513" i="16"/>
  <c r="G1514" i="16"/>
  <c r="G1515" i="16"/>
  <c r="G1516" i="16"/>
  <c r="G1517" i="16"/>
  <c r="G1518" i="16"/>
  <c r="G1519" i="16"/>
  <c r="G1520" i="16"/>
  <c r="G1521" i="16"/>
  <c r="G1522" i="16"/>
  <c r="G1523" i="16"/>
  <c r="G1524" i="16"/>
  <c r="G1525" i="16"/>
  <c r="G1526" i="16"/>
  <c r="G1527" i="16"/>
  <c r="G1528" i="16"/>
  <c r="G1529" i="16"/>
  <c r="G1530" i="16"/>
  <c r="G1531" i="16"/>
  <c r="G1532" i="16"/>
  <c r="G1533" i="16"/>
  <c r="G1534" i="16"/>
  <c r="G1535" i="16"/>
  <c r="G1536" i="16"/>
  <c r="G1537" i="16"/>
  <c r="G1538" i="16"/>
  <c r="G1539" i="16"/>
  <c r="G1540" i="16"/>
  <c r="G1541" i="16"/>
  <c r="G1542" i="16"/>
  <c r="G1543" i="16"/>
  <c r="G1544" i="16"/>
  <c r="G1545" i="16"/>
  <c r="G1546" i="16"/>
  <c r="G1547" i="16"/>
  <c r="G1548" i="16"/>
  <c r="G1549" i="16"/>
  <c r="G1550" i="16"/>
  <c r="G1551" i="16"/>
  <c r="G1552" i="16"/>
  <c r="G1553" i="16"/>
  <c r="G1554" i="16"/>
  <c r="G1555" i="16"/>
  <c r="G1556" i="16"/>
  <c r="G1557" i="16"/>
  <c r="G1558" i="16"/>
  <c r="G1559" i="16"/>
  <c r="G1560" i="16"/>
  <c r="G1561" i="16"/>
  <c r="G1562" i="16"/>
  <c r="G1563" i="16"/>
  <c r="G1564" i="16"/>
  <c r="G1565" i="16"/>
  <c r="G1566" i="16"/>
  <c r="G1567" i="16"/>
  <c r="G1568" i="16"/>
  <c r="G1569" i="16"/>
  <c r="G1570" i="16"/>
  <c r="G1571" i="16"/>
  <c r="G1572" i="16"/>
  <c r="G1573" i="16"/>
  <c r="G1574" i="16"/>
  <c r="G1575" i="16"/>
  <c r="G1576" i="16"/>
  <c r="G1577" i="16"/>
  <c r="G1578" i="16"/>
  <c r="G1579" i="16"/>
  <c r="G1580" i="16"/>
  <c r="G1581" i="16"/>
  <c r="G1582" i="16"/>
  <c r="G1583" i="16"/>
  <c r="G1584" i="16"/>
  <c r="G1585" i="16"/>
  <c r="G1586" i="16"/>
  <c r="G1587" i="16"/>
  <c r="G1588" i="16"/>
  <c r="G1589" i="16"/>
  <c r="G1590" i="16"/>
  <c r="G1591" i="16"/>
  <c r="G1592" i="16"/>
  <c r="G1593" i="16"/>
  <c r="G1594" i="16"/>
  <c r="G1595" i="16"/>
  <c r="G1596" i="16"/>
  <c r="G1597" i="16"/>
  <c r="G1598" i="16"/>
  <c r="G1599" i="16"/>
  <c r="G1600" i="16"/>
  <c r="G1601" i="16"/>
  <c r="G1602" i="16"/>
  <c r="G1603" i="16"/>
  <c r="G1604" i="16"/>
  <c r="G1605" i="16"/>
  <c r="G1606" i="16"/>
  <c r="G1607" i="16"/>
  <c r="G1608" i="16"/>
  <c r="G1609" i="16"/>
  <c r="G1610" i="16"/>
  <c r="G1611" i="16"/>
  <c r="G1612" i="16"/>
  <c r="G1613" i="16"/>
  <c r="G1614" i="16"/>
  <c r="G1615" i="16"/>
  <c r="G1616" i="16"/>
  <c r="G1617" i="16"/>
  <c r="G1618" i="16"/>
  <c r="G1619" i="16"/>
  <c r="G1620" i="16"/>
  <c r="G1621" i="16"/>
  <c r="G1622" i="16"/>
  <c r="G1623" i="16"/>
  <c r="G1624" i="16"/>
  <c r="G1625" i="16"/>
  <c r="G1626" i="16"/>
  <c r="G1627" i="16"/>
  <c r="G1628" i="16"/>
  <c r="G1629" i="16"/>
  <c r="G1630" i="16"/>
  <c r="G1631" i="16"/>
  <c r="G1632" i="16"/>
  <c r="G1633" i="16"/>
  <c r="G1634" i="16"/>
  <c r="G1635" i="16"/>
  <c r="G1636" i="16"/>
  <c r="G1637" i="16"/>
  <c r="G1638" i="16"/>
  <c r="G1639" i="16"/>
  <c r="G1640" i="16"/>
  <c r="G1641" i="16"/>
  <c r="G1642" i="16"/>
  <c r="G1643" i="16"/>
  <c r="G1644" i="16"/>
  <c r="G1645" i="16"/>
  <c r="G1646" i="16"/>
  <c r="G1647" i="16"/>
  <c r="G1648" i="16"/>
  <c r="G1649" i="16"/>
  <c r="G1650" i="16"/>
  <c r="G1651" i="16"/>
  <c r="G1652" i="16"/>
  <c r="G1653" i="16"/>
  <c r="G1654" i="16"/>
  <c r="G1655" i="16"/>
  <c r="G1656" i="16"/>
  <c r="G1657" i="16"/>
  <c r="G1658" i="16"/>
  <c r="G1659" i="16"/>
  <c r="G1660" i="16"/>
  <c r="G1661" i="16"/>
  <c r="G1662" i="16"/>
  <c r="G1663" i="16"/>
  <c r="G1664" i="16"/>
  <c r="G1665" i="16"/>
  <c r="G1666" i="16"/>
  <c r="G1667" i="16"/>
  <c r="G1668" i="16"/>
  <c r="G1669" i="16"/>
  <c r="G1670" i="16"/>
  <c r="G1671" i="16"/>
  <c r="G1672" i="16"/>
  <c r="G1673" i="16"/>
  <c r="G1674" i="16"/>
  <c r="G1675" i="16"/>
  <c r="G1676" i="16"/>
  <c r="G1677" i="16"/>
  <c r="G1678" i="16"/>
  <c r="G1679" i="16"/>
  <c r="G1680" i="16"/>
  <c r="G1681" i="16"/>
  <c r="G1682" i="16"/>
  <c r="G1683" i="16"/>
  <c r="G1684" i="16"/>
  <c r="G1685" i="16"/>
  <c r="G1686" i="16"/>
  <c r="G1687" i="16"/>
  <c r="G1688" i="16"/>
  <c r="G1689" i="16"/>
  <c r="G1690" i="16"/>
  <c r="G1691" i="16"/>
  <c r="G1692" i="16"/>
  <c r="G1693" i="16"/>
  <c r="G1694" i="16"/>
  <c r="G1695" i="16"/>
  <c r="G1696" i="16"/>
  <c r="G1697" i="16"/>
  <c r="G1698" i="16"/>
  <c r="G1699" i="16"/>
  <c r="G1700" i="16"/>
  <c r="G1701" i="16"/>
  <c r="G1702" i="16"/>
  <c r="G1703" i="16"/>
  <c r="G1704" i="16"/>
  <c r="G1705" i="16"/>
  <c r="G1706" i="16"/>
  <c r="G1707" i="16"/>
  <c r="G1708" i="16"/>
  <c r="G1709" i="16"/>
  <c r="G1710" i="16"/>
  <c r="G1711" i="16"/>
  <c r="G1712" i="16"/>
  <c r="G1713" i="16"/>
  <c r="G1714" i="16"/>
  <c r="G1715" i="16"/>
  <c r="G1716" i="16"/>
  <c r="G1717" i="16"/>
  <c r="G1718" i="16"/>
  <c r="G1719" i="16"/>
  <c r="G1720" i="16"/>
  <c r="G1721" i="16"/>
  <c r="G1722" i="16"/>
  <c r="G1723" i="16"/>
  <c r="G1724" i="16"/>
  <c r="G1725" i="16"/>
  <c r="G1726" i="16"/>
  <c r="G1727" i="16"/>
  <c r="G1728" i="16"/>
  <c r="G1729" i="16"/>
  <c r="G1730" i="16"/>
  <c r="G1731" i="16"/>
  <c r="G1732" i="16"/>
  <c r="G1733" i="16"/>
  <c r="G1734" i="16"/>
  <c r="G1735" i="16"/>
  <c r="G1736" i="16"/>
  <c r="G1737" i="16"/>
  <c r="G1738" i="16"/>
  <c r="G1739" i="16"/>
  <c r="G1740" i="16"/>
  <c r="G1741" i="16"/>
  <c r="G1742" i="16"/>
  <c r="G1743" i="16"/>
  <c r="G1744" i="16"/>
  <c r="G1745" i="16"/>
  <c r="G1746" i="16"/>
  <c r="G1747" i="16"/>
  <c r="G1748" i="16"/>
  <c r="G1749" i="16"/>
  <c r="G1750" i="16"/>
  <c r="G1751" i="16"/>
  <c r="G1752" i="16"/>
  <c r="G1753" i="16"/>
  <c r="G1754" i="16"/>
  <c r="G1755" i="16"/>
  <c r="G1756" i="16"/>
  <c r="G1757" i="16"/>
  <c r="G1758" i="16"/>
  <c r="G1759" i="16"/>
  <c r="G1760" i="16"/>
  <c r="G1761" i="16"/>
  <c r="G1762" i="16"/>
  <c r="G1763" i="16"/>
  <c r="G1764" i="16"/>
  <c r="G1765" i="16"/>
  <c r="G1766" i="16"/>
  <c r="G1767" i="16"/>
  <c r="G1768" i="16"/>
  <c r="G1769" i="16"/>
  <c r="G1770" i="16"/>
  <c r="G1771" i="16"/>
  <c r="G1772" i="16"/>
  <c r="G1773" i="16"/>
  <c r="G1774" i="16"/>
  <c r="G1775" i="16"/>
  <c r="G1776" i="16"/>
  <c r="G1777" i="16"/>
  <c r="G1778" i="16"/>
  <c r="G1779" i="16"/>
  <c r="G1780" i="16"/>
  <c r="G1781" i="16"/>
  <c r="G1782" i="16"/>
  <c r="G1783" i="16"/>
  <c r="G1784" i="16"/>
  <c r="G1785" i="16"/>
  <c r="G1786" i="16"/>
  <c r="G1787" i="16"/>
  <c r="G1788" i="16"/>
  <c r="G1789" i="16"/>
  <c r="G1790" i="16"/>
  <c r="G1791" i="16"/>
  <c r="G1792" i="16"/>
  <c r="G1793" i="16"/>
  <c r="G1794" i="16"/>
  <c r="G1795" i="16"/>
  <c r="G1796" i="16"/>
  <c r="G1797" i="16"/>
  <c r="G1798" i="16"/>
  <c r="G1799" i="16"/>
  <c r="G1800" i="16"/>
  <c r="G1801" i="16"/>
  <c r="G1802" i="16"/>
  <c r="G1803" i="16"/>
  <c r="G1804" i="16"/>
  <c r="G1805" i="16"/>
  <c r="G1806" i="16"/>
  <c r="G1807" i="16"/>
  <c r="G1808" i="16"/>
  <c r="G1809" i="16"/>
  <c r="G1810" i="16"/>
  <c r="G1811" i="16"/>
  <c r="G1812" i="16"/>
  <c r="G1813" i="16"/>
  <c r="G1814" i="16"/>
  <c r="G1815" i="16"/>
  <c r="G1816" i="16"/>
  <c r="G1817" i="16"/>
  <c r="G1818" i="16"/>
  <c r="G1819" i="16"/>
  <c r="G1820" i="16"/>
  <c r="G1821" i="16"/>
  <c r="G1822" i="16"/>
  <c r="G1823" i="16"/>
  <c r="G1824" i="16"/>
  <c r="G1825" i="16"/>
  <c r="G1826" i="16"/>
  <c r="G1827" i="16"/>
  <c r="G1828" i="16"/>
  <c r="G1829" i="16"/>
  <c r="G1830" i="16"/>
  <c r="G1831" i="16"/>
  <c r="G1832" i="16"/>
  <c r="G1833" i="16"/>
  <c r="G1834" i="16"/>
  <c r="G1835" i="16"/>
  <c r="G1836" i="16"/>
  <c r="G1837" i="16"/>
  <c r="G1838" i="16"/>
  <c r="G1839" i="16"/>
  <c r="G1840" i="16"/>
  <c r="G1841" i="16"/>
  <c r="G1842" i="16"/>
  <c r="G1843" i="16"/>
  <c r="G1844" i="16"/>
  <c r="G1845" i="16"/>
  <c r="G1846" i="16"/>
  <c r="G1847" i="16"/>
  <c r="G1848" i="16"/>
  <c r="G1849" i="16"/>
  <c r="G1850" i="16"/>
  <c r="G1851" i="16"/>
  <c r="G1852" i="16"/>
  <c r="G1853" i="16"/>
  <c r="G1854" i="16"/>
  <c r="G1855" i="16"/>
  <c r="G1856" i="16"/>
  <c r="G1857" i="16"/>
  <c r="G1858" i="16"/>
  <c r="G1859" i="16"/>
  <c r="G1860" i="16"/>
  <c r="G1861" i="16"/>
  <c r="G1862" i="16"/>
  <c r="G1863" i="16"/>
  <c r="G1864" i="16"/>
  <c r="G1865" i="16"/>
  <c r="G1866" i="16"/>
  <c r="G1867" i="16"/>
  <c r="G1868" i="16"/>
  <c r="G1869" i="16"/>
  <c r="G1870" i="16"/>
  <c r="G1871" i="16"/>
  <c r="G1872" i="16"/>
  <c r="G1873" i="16"/>
  <c r="G1874" i="16"/>
  <c r="G1875" i="16"/>
  <c r="G1876" i="16"/>
  <c r="G1877" i="16"/>
  <c r="G1878" i="16"/>
  <c r="G1879" i="16"/>
  <c r="G1880" i="16"/>
  <c r="G1881" i="16"/>
  <c r="G1882" i="16"/>
  <c r="G1883" i="16"/>
  <c r="G1884" i="16"/>
  <c r="G1885" i="16"/>
  <c r="G1886" i="16"/>
  <c r="G1887" i="16"/>
  <c r="G1888" i="16"/>
  <c r="G1889" i="16"/>
  <c r="G1890" i="16"/>
  <c r="G1891" i="16"/>
  <c r="G1892" i="16"/>
  <c r="G1893" i="16"/>
  <c r="G1894" i="16"/>
  <c r="G1895" i="16"/>
  <c r="G1896" i="16"/>
  <c r="G1897" i="16"/>
  <c r="G1898" i="16"/>
  <c r="G1899" i="16"/>
  <c r="G1900" i="16"/>
  <c r="G1901" i="16"/>
  <c r="G1902" i="16"/>
  <c r="G1903" i="16"/>
  <c r="G1904" i="16"/>
  <c r="G1905" i="16"/>
  <c r="G1906" i="16"/>
  <c r="G1907" i="16"/>
  <c r="G1908" i="16"/>
  <c r="G1909" i="16"/>
  <c r="G1910" i="16"/>
  <c r="G1911" i="16"/>
  <c r="G1912" i="16"/>
  <c r="G1913" i="16"/>
  <c r="G1914" i="16"/>
  <c r="G1915" i="16"/>
  <c r="G1916" i="16"/>
  <c r="G1917" i="16"/>
  <c r="G1918" i="16"/>
  <c r="G1919" i="16"/>
  <c r="G1920" i="16"/>
  <c r="G1921" i="16"/>
  <c r="G1922" i="16"/>
  <c r="G1923" i="16"/>
  <c r="G1924" i="16"/>
  <c r="G1925" i="16"/>
  <c r="G1926" i="16"/>
  <c r="G1927" i="16"/>
  <c r="G1928" i="16"/>
  <c r="G1929" i="16"/>
  <c r="G1930" i="16"/>
  <c r="G1931" i="16"/>
  <c r="G1932" i="16"/>
  <c r="G1933" i="16"/>
  <c r="G1934" i="16"/>
  <c r="G1935" i="16"/>
  <c r="G1936" i="16"/>
  <c r="G1937" i="16"/>
  <c r="G1938" i="16"/>
  <c r="G1939" i="16"/>
  <c r="G1940" i="16"/>
  <c r="G1941" i="16"/>
  <c r="G1942" i="16"/>
  <c r="G1943" i="16"/>
  <c r="G1944" i="16"/>
  <c r="G1945" i="16"/>
  <c r="G1946" i="16"/>
  <c r="G1947" i="16"/>
  <c r="G1948" i="16"/>
  <c r="G1949" i="16"/>
  <c r="G1950" i="16"/>
  <c r="G1951" i="16"/>
  <c r="G1952" i="16"/>
  <c r="G1953" i="16"/>
  <c r="G1954" i="16"/>
  <c r="G1955" i="16"/>
  <c r="G1956" i="16"/>
  <c r="G1957" i="16"/>
  <c r="G1958" i="16"/>
  <c r="G1959" i="16"/>
  <c r="G1960" i="16"/>
  <c r="G1961" i="16"/>
  <c r="G1962" i="16"/>
  <c r="G1963" i="16"/>
  <c r="G1964" i="16"/>
  <c r="G1965" i="16"/>
  <c r="G1966" i="16"/>
  <c r="G1967" i="16"/>
  <c r="G1968" i="16"/>
  <c r="G1969" i="16"/>
  <c r="G1970" i="16"/>
  <c r="G1971" i="16"/>
  <c r="G1972" i="16"/>
  <c r="G1973" i="16"/>
  <c r="G1974" i="16"/>
  <c r="G1975" i="16"/>
  <c r="G1976" i="16"/>
  <c r="G1977" i="16"/>
  <c r="G1978" i="16"/>
  <c r="G1979" i="16"/>
  <c r="G1980" i="16"/>
  <c r="G1981" i="16"/>
  <c r="G1982" i="16"/>
  <c r="G1983" i="16"/>
  <c r="G1984" i="16"/>
  <c r="G1985" i="16"/>
  <c r="G1986" i="16"/>
  <c r="G1987" i="16"/>
  <c r="G1988" i="16"/>
  <c r="G1989" i="16"/>
  <c r="G1990" i="16"/>
  <c r="G1991" i="16"/>
  <c r="G1992" i="16"/>
  <c r="G1993" i="16"/>
  <c r="G1994" i="16"/>
  <c r="G1995" i="16"/>
  <c r="G1996" i="16"/>
  <c r="G1997" i="16"/>
  <c r="G1998" i="16"/>
  <c r="G1999" i="16"/>
  <c r="G2000" i="16"/>
  <c r="G2001" i="16"/>
  <c r="G2002" i="16"/>
  <c r="G2003" i="16"/>
  <c r="G2004" i="16"/>
  <c r="G2005" i="16"/>
  <c r="G2006" i="16"/>
  <c r="G2007" i="16"/>
  <c r="G2008" i="16"/>
  <c r="G2009" i="16"/>
  <c r="G2010" i="16"/>
  <c r="G2011" i="16"/>
  <c r="G2012" i="16"/>
  <c r="G2013" i="16"/>
  <c r="G2014" i="16"/>
  <c r="G2015" i="16"/>
  <c r="G2016" i="16"/>
  <c r="G2017" i="16"/>
  <c r="G2018" i="16"/>
  <c r="G2019" i="16"/>
  <c r="G2020" i="16"/>
  <c r="G2021" i="16"/>
  <c r="G2022" i="16"/>
  <c r="G2023" i="16"/>
  <c r="G2024" i="16"/>
  <c r="G2025" i="16"/>
  <c r="G2026" i="16"/>
  <c r="G2027" i="16"/>
  <c r="G2028" i="16"/>
  <c r="G2029" i="16"/>
  <c r="G2030" i="16"/>
  <c r="G2031" i="16"/>
  <c r="G2032" i="16"/>
  <c r="G2033" i="16"/>
  <c r="G2034" i="16"/>
  <c r="G2035" i="16"/>
  <c r="G2036" i="16"/>
  <c r="G2037" i="16"/>
  <c r="G2038" i="16"/>
  <c r="G2039" i="16"/>
  <c r="G2040" i="16"/>
  <c r="G2041" i="16"/>
  <c r="G2042" i="16"/>
  <c r="G2043" i="16"/>
  <c r="G2044" i="16"/>
  <c r="G2045" i="16"/>
  <c r="G2046" i="16"/>
  <c r="G2047" i="16"/>
  <c r="G2048" i="16"/>
  <c r="G2049" i="16"/>
  <c r="G2050" i="16"/>
  <c r="G2051" i="16"/>
  <c r="G2052" i="16"/>
  <c r="G2053" i="16"/>
  <c r="G2054" i="16"/>
  <c r="G2055" i="16"/>
  <c r="G2056" i="16"/>
  <c r="G2057" i="16"/>
  <c r="G2058" i="16"/>
  <c r="G2059" i="16"/>
  <c r="G2060" i="16"/>
  <c r="G2061" i="16"/>
  <c r="G2062" i="16"/>
  <c r="G2063" i="16"/>
  <c r="G2064" i="16"/>
  <c r="G2065" i="16"/>
  <c r="G2066" i="16"/>
  <c r="G2067" i="16"/>
  <c r="G2068" i="16"/>
  <c r="G2069" i="16"/>
  <c r="G2070" i="16"/>
  <c r="G2071" i="16"/>
  <c r="G2072" i="16"/>
  <c r="G2073" i="16"/>
  <c r="G2074" i="16"/>
  <c r="G2075" i="16"/>
  <c r="G2076" i="16"/>
  <c r="G2077" i="16"/>
  <c r="G2078" i="16"/>
  <c r="G2079" i="16"/>
  <c r="G2080" i="16"/>
  <c r="G2081" i="16"/>
  <c r="G2082" i="16"/>
  <c r="G2083" i="16"/>
  <c r="G2084" i="16"/>
  <c r="G2085" i="16"/>
  <c r="G2086" i="16"/>
  <c r="G2087" i="16"/>
  <c r="G2088" i="16"/>
  <c r="G2089" i="16"/>
  <c r="G2090" i="16"/>
  <c r="G2091" i="16"/>
  <c r="G2092" i="16"/>
  <c r="G2093" i="16"/>
  <c r="G2094" i="16"/>
  <c r="G2095" i="16"/>
  <c r="G2096" i="16"/>
  <c r="G2097" i="16"/>
  <c r="G2098" i="16"/>
  <c r="G2099" i="16"/>
  <c r="G2100" i="16"/>
  <c r="G2101" i="16"/>
  <c r="G2102" i="16"/>
  <c r="G2103" i="16"/>
  <c r="G2104" i="16"/>
  <c r="G2105" i="16"/>
  <c r="G2106" i="16"/>
  <c r="G2107" i="16"/>
  <c r="G2108" i="16"/>
  <c r="G2109" i="16"/>
  <c r="G2110" i="16"/>
  <c r="G2111" i="16"/>
  <c r="G2112" i="16"/>
  <c r="G2113" i="16"/>
  <c r="G2114" i="16"/>
  <c r="G2115" i="16"/>
  <c r="G2116" i="16"/>
  <c r="G2117" i="16"/>
  <c r="G2118" i="16"/>
  <c r="G2119" i="16"/>
  <c r="G2120" i="16"/>
  <c r="G2121" i="16"/>
  <c r="G2122" i="16"/>
  <c r="G2123" i="16"/>
  <c r="G2124" i="16"/>
  <c r="G2125" i="16"/>
  <c r="G2126" i="16"/>
  <c r="G2127" i="16"/>
  <c r="G2128" i="16"/>
  <c r="G2129" i="16"/>
  <c r="G2130" i="16"/>
  <c r="G2131" i="16"/>
  <c r="G2132" i="16"/>
  <c r="G2133" i="16"/>
  <c r="G2134" i="16"/>
  <c r="G2135" i="16"/>
  <c r="G2136" i="16"/>
  <c r="G2137" i="16"/>
  <c r="G2138" i="16"/>
  <c r="G2139" i="16"/>
  <c r="G2140" i="16"/>
  <c r="G2141" i="16"/>
  <c r="G2142" i="16"/>
  <c r="G2143" i="16"/>
  <c r="G2144" i="16"/>
  <c r="G2145" i="16"/>
  <c r="G2146" i="16"/>
  <c r="G2147" i="16"/>
  <c r="G2148" i="16"/>
  <c r="G2149" i="16"/>
  <c r="G2150" i="16"/>
  <c r="G2151" i="16"/>
  <c r="G2152" i="16"/>
  <c r="G2153" i="16"/>
  <c r="G2154" i="16"/>
  <c r="G2155" i="16"/>
  <c r="G2156" i="16"/>
  <c r="G2157" i="16"/>
  <c r="G2158" i="16"/>
  <c r="G2159" i="16"/>
  <c r="G2160" i="16"/>
  <c r="G6" i="16"/>
  <c r="B6" i="16" a="1"/>
  <c r="B5" i="16" a="1"/>
  <c r="B5" i="16" s="1"/>
  <c r="Y2" i="14" a="1"/>
  <c r="S2" i="14" a="1"/>
  <c r="Z492" i="14" s="1"/>
  <c r="Q3" i="14" a="1"/>
  <c r="Q3" i="14" s="1"/>
  <c r="Q4" i="14" a="1"/>
  <c r="Q4" i="14" s="1"/>
  <c r="Q8" i="14" a="1"/>
  <c r="Q8" i="14" s="1"/>
  <c r="Q9" i="14" a="1"/>
  <c r="Q9" i="14" s="1"/>
  <c r="Q10" i="14" a="1"/>
  <c r="Q10" i="14" s="1"/>
  <c r="Q2" i="14" a="1"/>
  <c r="Q2" i="14" s="1"/>
  <c r="P3" i="14" a="1"/>
  <c r="P3" i="14" s="1"/>
  <c r="P4" i="14" a="1"/>
  <c r="P4" i="14" s="1"/>
  <c r="P6" i="14" a="1"/>
  <c r="P6" i="14" s="1"/>
  <c r="P7" i="14" a="1"/>
  <c r="P7" i="14" s="1"/>
  <c r="P8" i="14" a="1"/>
  <c r="P8" i="14" s="1"/>
  <c r="P9" i="14" a="1"/>
  <c r="P9" i="14" s="1"/>
  <c r="P10" i="14" a="1"/>
  <c r="P10" i="14" s="1"/>
  <c r="P2" i="14" a="1"/>
  <c r="P2" i="14" s="1"/>
  <c r="O2" i="14" a="1"/>
  <c r="O2" i="14" s="1"/>
  <c r="N2" i="14" a="1"/>
  <c r="N2" i="14" s="1"/>
  <c r="K2" i="14" a="1"/>
  <c r="K2" i="14" s="1"/>
  <c r="J2" i="14" a="1"/>
  <c r="J2" i="14" s="1"/>
  <c r="L2" i="14" s="1" a="1"/>
  <c r="L2" i="14" s="1"/>
  <c r="C2" i="14" a="1"/>
  <c r="C2" i="14" s="1"/>
  <c r="B2" i="14" a="1"/>
  <c r="B2" i="14" s="1"/>
  <c r="B1" i="14"/>
  <c r="T762" i="14" l="1"/>
  <c r="T650" i="14"/>
  <c r="T546" i="14"/>
  <c r="P830" i="16" a="1"/>
  <c r="P830" i="16" s="1"/>
  <c r="P800" i="16" a="1"/>
  <c r="P800" i="16" s="1"/>
  <c r="P739" i="16" a="1"/>
  <c r="P739" i="16" s="1"/>
  <c r="T756" i="14"/>
  <c r="T634" i="14"/>
  <c r="T521" i="14"/>
  <c r="P828" i="16" a="1"/>
  <c r="P828" i="16" s="1"/>
  <c r="O798" i="16" a="1"/>
  <c r="O798" i="16" s="1"/>
  <c r="P734" i="16" a="1"/>
  <c r="P734" i="16" s="1"/>
  <c r="T732" i="14"/>
  <c r="T628" i="14"/>
  <c r="T503" i="14"/>
  <c r="Q826" i="16" a="1"/>
  <c r="Q826" i="16" s="1"/>
  <c r="Q787" i="16" a="1"/>
  <c r="Q787" i="16" s="1"/>
  <c r="O717" i="16" a="1"/>
  <c r="O717" i="16" s="1"/>
  <c r="O824" i="16" a="1"/>
  <c r="O824" i="16" s="1"/>
  <c r="Q781" i="16" a="1"/>
  <c r="Q781" i="16" s="1"/>
  <c r="T819" i="14"/>
  <c r="T715" i="14"/>
  <c r="T588" i="14"/>
  <c r="T468" i="14"/>
  <c r="Q834" i="16" a="1"/>
  <c r="Q834" i="16" s="1"/>
  <c r="P822" i="16" a="1"/>
  <c r="P822" i="16" s="1"/>
  <c r="Q778" i="16" a="1"/>
  <c r="Q778" i="16" s="1"/>
  <c r="T803" i="14"/>
  <c r="T691" i="14"/>
  <c r="T587" i="14"/>
  <c r="T450" i="14"/>
  <c r="P834" i="16" a="1"/>
  <c r="P834" i="16" s="1"/>
  <c r="O820" i="16" a="1"/>
  <c r="O820" i="16" s="1"/>
  <c r="P774" i="16" a="1"/>
  <c r="P774" i="16" s="1"/>
  <c r="T716" i="14"/>
  <c r="T604" i="14"/>
  <c r="T496" i="14"/>
  <c r="T802" i="14"/>
  <c r="T675" i="14"/>
  <c r="T563" i="14"/>
  <c r="T449" i="14"/>
  <c r="O834" i="16" a="1"/>
  <c r="O834" i="16" s="1"/>
  <c r="Q810" i="16" a="1"/>
  <c r="Q810" i="16" s="1"/>
  <c r="P754" i="16" a="1"/>
  <c r="P754" i="16" s="1"/>
  <c r="T778" i="14"/>
  <c r="T674" i="14"/>
  <c r="T547" i="14"/>
  <c r="P832" i="16" a="1"/>
  <c r="P832" i="16" s="1"/>
  <c r="O803" i="16" a="1"/>
  <c r="O803" i="16" s="1"/>
  <c r="P744" i="16" a="1"/>
  <c r="P744" i="16" s="1"/>
  <c r="T810" i="14"/>
  <c r="T764" i="14"/>
  <c r="T723" i="14"/>
  <c r="T682" i="14"/>
  <c r="T636" i="14"/>
  <c r="T595" i="14"/>
  <c r="T554" i="14"/>
  <c r="T505" i="14"/>
  <c r="T458" i="14"/>
  <c r="O825" i="16" a="1"/>
  <c r="O825" i="16" s="1"/>
  <c r="O808" i="16" a="1"/>
  <c r="O808" i="16" s="1"/>
  <c r="Q784" i="16" a="1"/>
  <c r="Q784" i="16" s="1"/>
  <c r="P749" i="16" a="1"/>
  <c r="P749" i="16" s="1"/>
  <c r="T796" i="14"/>
  <c r="T755" i="14"/>
  <c r="T714" i="14"/>
  <c r="T668" i="14"/>
  <c r="T627" i="14"/>
  <c r="T586" i="14"/>
  <c r="T540" i="14"/>
  <c r="T495" i="14"/>
  <c r="T448" i="14"/>
  <c r="T828" i="14"/>
  <c r="T787" i="14"/>
  <c r="T746" i="14"/>
  <c r="T700" i="14"/>
  <c r="T659" i="14"/>
  <c r="T618" i="14"/>
  <c r="T572" i="14"/>
  <c r="T531" i="14"/>
  <c r="T484" i="14"/>
  <c r="Q817" i="16" a="1"/>
  <c r="Q817" i="16" s="1"/>
  <c r="Q795" i="16" a="1"/>
  <c r="Q795" i="16" s="1"/>
  <c r="Q769" i="16" a="1"/>
  <c r="Q769" i="16" s="1"/>
  <c r="O730" i="16" a="1"/>
  <c r="O730" i="16" s="1"/>
  <c r="T826" i="14"/>
  <c r="T780" i="14"/>
  <c r="T739" i="14"/>
  <c r="T698" i="14"/>
  <c r="T652" i="14"/>
  <c r="T611" i="14"/>
  <c r="T570" i="14"/>
  <c r="T523" i="14"/>
  <c r="T476" i="14"/>
  <c r="P815" i="16" a="1"/>
  <c r="P815" i="16" s="1"/>
  <c r="O793" i="16" a="1"/>
  <c r="O793" i="16" s="1"/>
  <c r="P764" i="16" a="1"/>
  <c r="P764" i="16" s="1"/>
  <c r="O725" i="16" a="1"/>
  <c r="O725" i="16" s="1"/>
  <c r="T820" i="14"/>
  <c r="T779" i="14"/>
  <c r="T738" i="14"/>
  <c r="T692" i="14"/>
  <c r="T651" i="14"/>
  <c r="T610" i="14"/>
  <c r="T564" i="14"/>
  <c r="T522" i="14"/>
  <c r="T475" i="14"/>
  <c r="O813" i="16" a="1"/>
  <c r="O813" i="16" s="1"/>
  <c r="P790" i="16" a="1"/>
  <c r="P790" i="16" s="1"/>
  <c r="P759" i="16" a="1"/>
  <c r="P759" i="16" s="1"/>
  <c r="O721" i="16" a="1"/>
  <c r="O721" i="16" s="1"/>
  <c r="O713" i="16" a="1"/>
  <c r="O713" i="16" s="1"/>
  <c r="O704" i="16" a="1"/>
  <c r="O704" i="16" s="1"/>
  <c r="Q690" i="16" a="1"/>
  <c r="Q690" i="16" s="1"/>
  <c r="Q685" i="16" a="1"/>
  <c r="Q685" i="16" s="1"/>
  <c r="Q680" i="16" a="1"/>
  <c r="Q680" i="16" s="1"/>
  <c r="Q675" i="16" a="1"/>
  <c r="Q675" i="16" s="1"/>
  <c r="O671" i="16" a="1"/>
  <c r="O671" i="16" s="1"/>
  <c r="O666" i="16" a="1"/>
  <c r="O666" i="16" s="1"/>
  <c r="Q660" i="16" a="1"/>
  <c r="Q660" i="16" s="1"/>
  <c r="P655" i="16" a="1"/>
  <c r="P655" i="16" s="1"/>
  <c r="P649" i="16" a="1"/>
  <c r="P649" i="16" s="1"/>
  <c r="P642" i="16" a="1"/>
  <c r="P642" i="16" s="1"/>
  <c r="O633" i="16" a="1"/>
  <c r="O633" i="16" s="1"/>
  <c r="P623" i="16" a="1"/>
  <c r="P623" i="16" s="1"/>
  <c r="Q613" i="16" a="1"/>
  <c r="Q613" i="16" s="1"/>
  <c r="P594" i="16" a="1"/>
  <c r="P594" i="16" s="1"/>
  <c r="Q584" i="16" a="1"/>
  <c r="Q584" i="16" s="1"/>
  <c r="Q574" i="16" a="1"/>
  <c r="Q574" i="16" s="1"/>
  <c r="P565" i="16" a="1"/>
  <c r="P565" i="16" s="1"/>
  <c r="Q555" i="16" a="1"/>
  <c r="Q555" i="16" s="1"/>
  <c r="P543" i="16" a="1"/>
  <c r="P543" i="16" s="1"/>
  <c r="P529" i="16" a="1"/>
  <c r="P529" i="16" s="1"/>
  <c r="Q505" i="16" a="1"/>
  <c r="Q505" i="16" s="1"/>
  <c r="T827" i="14"/>
  <c r="T804" i="14"/>
  <c r="T786" i="14"/>
  <c r="T763" i="14"/>
  <c r="T740" i="14"/>
  <c r="T722" i="14"/>
  <c r="T699" i="14"/>
  <c r="T676" i="14"/>
  <c r="T658" i="14"/>
  <c r="T635" i="14"/>
  <c r="T612" i="14"/>
  <c r="T594" i="14"/>
  <c r="T571" i="14"/>
  <c r="T548" i="14"/>
  <c r="T530" i="14"/>
  <c r="T504" i="14"/>
  <c r="T478" i="14"/>
  <c r="T457" i="14"/>
  <c r="O832" i="16" a="1"/>
  <c r="O832" i="16" s="1"/>
  <c r="O830" i="16" a="1"/>
  <c r="O830" i="16" s="1"/>
  <c r="Q824" i="16" a="1"/>
  <c r="Q824" i="16" s="1"/>
  <c r="O822" i="16" a="1"/>
  <c r="O822" i="16" s="1"/>
  <c r="P817" i="16" a="1"/>
  <c r="P817" i="16" s="1"/>
  <c r="O815" i="16" a="1"/>
  <c r="O815" i="16" s="1"/>
  <c r="Q812" i="16" a="1"/>
  <c r="Q812" i="16" s="1"/>
  <c r="P810" i="16" a="1"/>
  <c r="P810" i="16" s="1"/>
  <c r="Q807" i="16" a="1"/>
  <c r="Q807" i="16" s="1"/>
  <c r="P805" i="16" a="1"/>
  <c r="P805" i="16" s="1"/>
  <c r="Q802" i="16" a="1"/>
  <c r="Q802" i="16" s="1"/>
  <c r="Q797" i="16" a="1"/>
  <c r="Q797" i="16" s="1"/>
  <c r="P795" i="16" a="1"/>
  <c r="P795" i="16" s="1"/>
  <c r="Q792" i="16" a="1"/>
  <c r="Q792" i="16" s="1"/>
  <c r="O790" i="16" a="1"/>
  <c r="O790" i="16" s="1"/>
  <c r="P787" i="16" a="1"/>
  <c r="P787" i="16" s="1"/>
  <c r="P784" i="16" a="1"/>
  <c r="P784" i="16" s="1"/>
  <c r="P778" i="16" a="1"/>
  <c r="P778" i="16" s="1"/>
  <c r="O774" i="16" a="1"/>
  <c r="O774" i="16" s="1"/>
  <c r="P769" i="16" a="1"/>
  <c r="P769" i="16" s="1"/>
  <c r="O764" i="16" a="1"/>
  <c r="O764" i="16" s="1"/>
  <c r="O759" i="16" a="1"/>
  <c r="O759" i="16" s="1"/>
  <c r="O754" i="16" a="1"/>
  <c r="O754" i="16" s="1"/>
  <c r="O749" i="16" a="1"/>
  <c r="O749" i="16" s="1"/>
  <c r="O739" i="16" a="1"/>
  <c r="O739" i="16" s="1"/>
  <c r="O734" i="16" a="1"/>
  <c r="O734" i="16" s="1"/>
  <c r="Q729" i="16" a="1"/>
  <c r="Q729" i="16" s="1"/>
  <c r="Q724" i="16" a="1"/>
  <c r="Q724" i="16" s="1"/>
  <c r="Q720" i="16" a="1"/>
  <c r="Q720" i="16" s="1"/>
  <c r="Q712" i="16" a="1"/>
  <c r="Q712" i="16" s="1"/>
  <c r="Q708" i="16" a="1"/>
  <c r="Q708" i="16" s="1"/>
  <c r="Q703" i="16" a="1"/>
  <c r="Q703" i="16" s="1"/>
  <c r="O699" i="16" a="1"/>
  <c r="O699" i="16" s="1"/>
  <c r="O695" i="16" a="1"/>
  <c r="O695" i="16" s="1"/>
  <c r="P690" i="16" a="1"/>
  <c r="P690" i="16" s="1"/>
  <c r="P685" i="16" a="1"/>
  <c r="P685" i="16" s="1"/>
  <c r="P680" i="16" a="1"/>
  <c r="P680" i="16" s="1"/>
  <c r="P675" i="16" a="1"/>
  <c r="P675" i="16" s="1"/>
  <c r="Q670" i="16" a="1"/>
  <c r="Q670" i="16" s="1"/>
  <c r="Q665" i="16" a="1"/>
  <c r="Q665" i="16" s="1"/>
  <c r="P660" i="16" a="1"/>
  <c r="P660" i="16" s="1"/>
  <c r="Q654" i="16" a="1"/>
  <c r="Q654" i="16" s="1"/>
  <c r="O649" i="16" a="1"/>
  <c r="O649" i="16" s="1"/>
  <c r="O642" i="16" a="1"/>
  <c r="O642" i="16" s="1"/>
  <c r="Q632" i="16" a="1"/>
  <c r="Q632" i="16" s="1"/>
  <c r="O623" i="16" a="1"/>
  <c r="O623" i="16" s="1"/>
  <c r="P613" i="16" a="1"/>
  <c r="P613" i="16" s="1"/>
  <c r="Q603" i="16" a="1"/>
  <c r="Q603" i="16" s="1"/>
  <c r="O594" i="16" a="1"/>
  <c r="O594" i="16" s="1"/>
  <c r="P584" i="16" a="1"/>
  <c r="P584" i="16" s="1"/>
  <c r="P574" i="16" a="1"/>
  <c r="P574" i="16" s="1"/>
  <c r="P555" i="16" a="1"/>
  <c r="P555" i="16" s="1"/>
  <c r="O543" i="16" a="1"/>
  <c r="O543" i="16" s="1"/>
  <c r="P503" i="16" a="1"/>
  <c r="P503" i="16" s="1"/>
  <c r="Q829" i="16" a="1"/>
  <c r="Q829" i="16" s="1"/>
  <c r="O828" i="16" a="1"/>
  <c r="O828" i="16" s="1"/>
  <c r="P826" i="16" a="1"/>
  <c r="P826" i="16" s="1"/>
  <c r="P824" i="16" a="1"/>
  <c r="P824" i="16" s="1"/>
  <c r="Q821" i="16" a="1"/>
  <c r="Q821" i="16" s="1"/>
  <c r="Q819" i="16" a="1"/>
  <c r="Q819" i="16" s="1"/>
  <c r="O817" i="16" a="1"/>
  <c r="O817" i="16" s="1"/>
  <c r="P812" i="16" a="1"/>
  <c r="P812" i="16" s="1"/>
  <c r="O810" i="16" a="1"/>
  <c r="O810" i="16" s="1"/>
  <c r="P807" i="16" a="1"/>
  <c r="P807" i="16" s="1"/>
  <c r="O805" i="16" a="1"/>
  <c r="O805" i="16" s="1"/>
  <c r="P802" i="16" a="1"/>
  <c r="P802" i="16" s="1"/>
  <c r="O800" i="16" a="1"/>
  <c r="O800" i="16" s="1"/>
  <c r="O795" i="16" a="1"/>
  <c r="O795" i="16" s="1"/>
  <c r="P792" i="16" a="1"/>
  <c r="P792" i="16" s="1"/>
  <c r="Q789" i="16" a="1"/>
  <c r="Q789" i="16" s="1"/>
  <c r="O787" i="16" a="1"/>
  <c r="O787" i="16" s="1"/>
  <c r="O784" i="16" a="1"/>
  <c r="O784" i="16" s="1"/>
  <c r="P781" i="16" a="1"/>
  <c r="P781" i="16" s="1"/>
  <c r="P777" i="16" a="1"/>
  <c r="P777" i="16" s="1"/>
  <c r="Q773" i="16" a="1"/>
  <c r="Q773" i="16" s="1"/>
  <c r="O769" i="16" a="1"/>
  <c r="O769" i="16" s="1"/>
  <c r="Q763" i="16" a="1"/>
  <c r="Q763" i="16" s="1"/>
  <c r="Q753" i="16" a="1"/>
  <c r="Q753" i="16" s="1"/>
  <c r="Q748" i="16" a="1"/>
  <c r="Q748" i="16" s="1"/>
  <c r="O744" i="16" a="1"/>
  <c r="O744" i="16" s="1"/>
  <c r="Q738" i="16" a="1"/>
  <c r="Q738" i="16" s="1"/>
  <c r="Q733" i="16" a="1"/>
  <c r="Q733" i="16" s="1"/>
  <c r="P729" i="16" a="1"/>
  <c r="P729" i="16" s="1"/>
  <c r="P724" i="16" a="1"/>
  <c r="P724" i="16" s="1"/>
  <c r="Q716" i="16" a="1"/>
  <c r="Q716" i="16" s="1"/>
  <c r="P712" i="16" a="1"/>
  <c r="P712" i="16" s="1"/>
  <c r="P708" i="16" a="1"/>
  <c r="P708" i="16" s="1"/>
  <c r="P703" i="16" a="1"/>
  <c r="P703" i="16" s="1"/>
  <c r="Q698" i="16" a="1"/>
  <c r="Q698" i="16" s="1"/>
  <c r="Q694" i="16" a="1"/>
  <c r="Q694" i="16" s="1"/>
  <c r="O690" i="16" a="1"/>
  <c r="O690" i="16" s="1"/>
  <c r="O685" i="16" a="1"/>
  <c r="O685" i="16" s="1"/>
  <c r="O680" i="16" a="1"/>
  <c r="O680" i="16" s="1"/>
  <c r="O675" i="16" a="1"/>
  <c r="O675" i="16" s="1"/>
  <c r="P670" i="16" a="1"/>
  <c r="P670" i="16" s="1"/>
  <c r="P665" i="16" a="1"/>
  <c r="P665" i="16" s="1"/>
  <c r="O660" i="16" a="1"/>
  <c r="O660" i="16" s="1"/>
  <c r="P654" i="16" a="1"/>
  <c r="P654" i="16" s="1"/>
  <c r="Q648" i="16" a="1"/>
  <c r="Q648" i="16" s="1"/>
  <c r="P641" i="16" a="1"/>
  <c r="P641" i="16" s="1"/>
  <c r="P631" i="16" a="1"/>
  <c r="P631" i="16" s="1"/>
  <c r="O612" i="16" a="1"/>
  <c r="O612" i="16" s="1"/>
  <c r="Q602" i="16" a="1"/>
  <c r="Q602" i="16" s="1"/>
  <c r="Q592" i="16" a="1"/>
  <c r="Q592" i="16" s="1"/>
  <c r="O583" i="16" a="1"/>
  <c r="O583" i="16" s="1"/>
  <c r="O573" i="16" a="1"/>
  <c r="O573" i="16" s="1"/>
  <c r="O554" i="16" a="1"/>
  <c r="O554" i="16" s="1"/>
  <c r="Q524" i="16" a="1"/>
  <c r="Q524" i="16" s="1"/>
  <c r="O501" i="16" a="1"/>
  <c r="O501" i="16" s="1"/>
  <c r="Q799" i="16" a="1"/>
  <c r="Q799" i="16" s="1"/>
  <c r="O781" i="16" a="1"/>
  <c r="O781" i="16" s="1"/>
  <c r="Q743" i="16" a="1"/>
  <c r="Q743" i="16" s="1"/>
  <c r="P716" i="16" a="1"/>
  <c r="P716" i="16" s="1"/>
  <c r="O703" i="16" a="1"/>
  <c r="O703" i="16" s="1"/>
  <c r="Q674" i="16" a="1"/>
  <c r="Q674" i="16" s="1"/>
  <c r="O670" i="16" a="1"/>
  <c r="O670" i="16" s="1"/>
  <c r="O665" i="16" a="1"/>
  <c r="O665" i="16" s="1"/>
  <c r="Q659" i="16" a="1"/>
  <c r="Q659" i="16" s="1"/>
  <c r="O654" i="16" a="1"/>
  <c r="O654" i="16" s="1"/>
  <c r="P648" i="16" a="1"/>
  <c r="P648" i="16" s="1"/>
  <c r="O641" i="16" a="1"/>
  <c r="O641" i="16" s="1"/>
  <c r="O631" i="16" a="1"/>
  <c r="O631" i="16" s="1"/>
  <c r="P621" i="16" a="1"/>
  <c r="P621" i="16" s="1"/>
  <c r="P611" i="16" a="1"/>
  <c r="P611" i="16" s="1"/>
  <c r="O602" i="16" a="1"/>
  <c r="O602" i="16" s="1"/>
  <c r="O592" i="16" a="1"/>
  <c r="O592" i="16" s="1"/>
  <c r="P582" i="16" a="1"/>
  <c r="P582" i="16" s="1"/>
  <c r="P572" i="16" a="1"/>
  <c r="P572" i="16" s="1"/>
  <c r="Q563" i="16" a="1"/>
  <c r="Q563" i="16" s="1"/>
  <c r="P553" i="16" a="1"/>
  <c r="P553" i="16" s="1"/>
  <c r="P522" i="16" a="1"/>
  <c r="P522" i="16" s="1"/>
  <c r="Q809" i="16" a="1"/>
  <c r="Q809" i="16" s="1"/>
  <c r="Q786" i="16" a="1"/>
  <c r="Q786" i="16" s="1"/>
  <c r="P753" i="16" a="1"/>
  <c r="P753" i="16" s="1"/>
  <c r="Q550" i="16" a="1"/>
  <c r="Q550" i="16" s="1"/>
  <c r="O538" i="16" a="1"/>
  <c r="O538" i="16" s="1"/>
  <c r="Q520" i="16" a="1"/>
  <c r="Q520" i="16" s="1"/>
  <c r="Q485" i="16" a="1"/>
  <c r="Q485" i="16" s="1"/>
  <c r="O826" i="16" a="1"/>
  <c r="O826" i="16" s="1"/>
  <c r="Q814" i="16" a="1"/>
  <c r="Q814" i="16" s="1"/>
  <c r="Q804" i="16" a="1"/>
  <c r="Q804" i="16" s="1"/>
  <c r="Q794" i="16" a="1"/>
  <c r="Q794" i="16" s="1"/>
  <c r="Q783" i="16" a="1"/>
  <c r="Q783" i="16" s="1"/>
  <c r="Q768" i="16" a="1"/>
  <c r="Q768" i="16" s="1"/>
  <c r="Q758" i="16" a="1"/>
  <c r="Q758" i="16" s="1"/>
  <c r="P738" i="16" a="1"/>
  <c r="P738" i="16" s="1"/>
  <c r="Q833" i="16" a="1"/>
  <c r="Q833" i="16" s="1"/>
  <c r="Q827" i="16" a="1"/>
  <c r="Q827" i="16" s="1"/>
  <c r="P821" i="16" a="1"/>
  <c r="P821" i="16" s="1"/>
  <c r="P814" i="16" a="1"/>
  <c r="P814" i="16" s="1"/>
  <c r="Q806" i="16" a="1"/>
  <c r="Q806" i="16" s="1"/>
  <c r="P799" i="16" a="1"/>
  <c r="P799" i="16" s="1"/>
  <c r="Q791" i="16" a="1"/>
  <c r="Q791" i="16" s="1"/>
  <c r="P783" i="16" a="1"/>
  <c r="P783" i="16" s="1"/>
  <c r="O772" i="16" a="1"/>
  <c r="O772" i="16" s="1"/>
  <c r="O757" i="16" a="1"/>
  <c r="O757" i="16" s="1"/>
  <c r="O742" i="16" a="1"/>
  <c r="O742" i="16" s="1"/>
  <c r="O715" i="16" a="1"/>
  <c r="O715" i="16" s="1"/>
  <c r="Q701" i="16" a="1"/>
  <c r="Q701" i="16" s="1"/>
  <c r="O688" i="16" a="1"/>
  <c r="O688" i="16" s="1"/>
  <c r="P673" i="16" a="1"/>
  <c r="P673" i="16" s="1"/>
  <c r="P658" i="16" a="1"/>
  <c r="P658" i="16" s="1"/>
  <c r="P638" i="16" a="1"/>
  <c r="P638" i="16" s="1"/>
  <c r="P618" i="16" a="1"/>
  <c r="P618" i="16" s="1"/>
  <c r="Q608" i="16" a="1"/>
  <c r="Q608" i="16" s="1"/>
  <c r="P579" i="16" a="1"/>
  <c r="P579" i="16" s="1"/>
  <c r="O570" i="16" a="1"/>
  <c r="O570" i="16" s="1"/>
  <c r="Q560" i="16" a="1"/>
  <c r="Q560" i="16" s="1"/>
  <c r="T818" i="14"/>
  <c r="T795" i="14"/>
  <c r="T772" i="14"/>
  <c r="T754" i="14"/>
  <c r="T731" i="14"/>
  <c r="T708" i="14"/>
  <c r="T690" i="14"/>
  <c r="T667" i="14"/>
  <c r="T644" i="14"/>
  <c r="T626" i="14"/>
  <c r="T603" i="14"/>
  <c r="T580" i="14"/>
  <c r="T562" i="14"/>
  <c r="T539" i="14"/>
  <c r="T514" i="14"/>
  <c r="T494" i="14"/>
  <c r="T467" i="14"/>
  <c r="T440" i="14"/>
  <c r="Q835" i="16" a="1"/>
  <c r="Q835" i="16" s="1"/>
  <c r="P833" i="16" a="1"/>
  <c r="P833" i="16" s="1"/>
  <c r="O831" i="16" a="1"/>
  <c r="O831" i="16" s="1"/>
  <c r="P827" i="16" a="1"/>
  <c r="P827" i="16" s="1"/>
  <c r="P823" i="16" a="1"/>
  <c r="P823" i="16" s="1"/>
  <c r="O821" i="16" a="1"/>
  <c r="O821" i="16" s="1"/>
  <c r="Q818" i="16" a="1"/>
  <c r="Q818" i="16" s="1"/>
  <c r="O814" i="16" a="1"/>
  <c r="O814" i="16" s="1"/>
  <c r="P811" i="16" a="1"/>
  <c r="P811" i="16" s="1"/>
  <c r="O809" i="16" a="1"/>
  <c r="O809" i="16" s="1"/>
  <c r="P806" i="16" a="1"/>
  <c r="P806" i="16" s="1"/>
  <c r="O804" i="16" a="1"/>
  <c r="O804" i="16" s="1"/>
  <c r="P801" i="16" a="1"/>
  <c r="P801" i="16" s="1"/>
  <c r="O799" i="16" a="1"/>
  <c r="O799" i="16" s="1"/>
  <c r="Q796" i="16" a="1"/>
  <c r="Q796" i="16" s="1"/>
  <c r="O794" i="16" a="1"/>
  <c r="O794" i="16" s="1"/>
  <c r="P791" i="16" a="1"/>
  <c r="P791" i="16" s="1"/>
  <c r="O789" i="16" a="1"/>
  <c r="O789" i="16" s="1"/>
  <c r="O786" i="16" a="1"/>
  <c r="O786" i="16" s="1"/>
  <c r="O783" i="16" a="1"/>
  <c r="O783" i="16" s="1"/>
  <c r="O780" i="16" a="1"/>
  <c r="O780" i="16" s="1"/>
  <c r="Q771" i="16" a="1"/>
  <c r="Q771" i="16" s="1"/>
  <c r="Q766" i="16" a="1"/>
  <c r="Q766" i="16" s="1"/>
  <c r="P761" i="16" a="1"/>
  <c r="P761" i="16" s="1"/>
  <c r="Q756" i="16" a="1"/>
  <c r="Q756" i="16" s="1"/>
  <c r="P751" i="16" a="1"/>
  <c r="P751" i="16" s="1"/>
  <c r="Q746" i="16" a="1"/>
  <c r="Q746" i="16" s="1"/>
  <c r="Q741" i="16" a="1"/>
  <c r="Q741" i="16" s="1"/>
  <c r="Q736" i="16" a="1"/>
  <c r="Q736" i="16" s="1"/>
  <c r="O732" i="16" a="1"/>
  <c r="O732" i="16" s="1"/>
  <c r="O727" i="16" a="1"/>
  <c r="O727" i="16" s="1"/>
  <c r="Q722" i="16" a="1"/>
  <c r="Q722" i="16" s="1"/>
  <c r="O719" i="16" a="1"/>
  <c r="O719" i="16" s="1"/>
  <c r="Q714" i="16" a="1"/>
  <c r="Q714" i="16" s="1"/>
  <c r="P710" i="16" a="1"/>
  <c r="P710" i="16" s="1"/>
  <c r="P701" i="16" a="1"/>
  <c r="P701" i="16" s="1"/>
  <c r="O697" i="16" a="1"/>
  <c r="O697" i="16" s="1"/>
  <c r="Q692" i="16" a="1"/>
  <c r="Q692" i="16" s="1"/>
  <c r="Q687" i="16" a="1"/>
  <c r="Q687" i="16" s="1"/>
  <c r="Q682" i="16" a="1"/>
  <c r="Q682" i="16" s="1"/>
  <c r="O678" i="16" a="1"/>
  <c r="O678" i="16" s="1"/>
  <c r="O673" i="16" a="1"/>
  <c r="O673" i="16" s="1"/>
  <c r="P668" i="16" a="1"/>
  <c r="P668" i="16" s="1"/>
  <c r="O663" i="16" a="1"/>
  <c r="O663" i="16" s="1"/>
  <c r="O658" i="16" a="1"/>
  <c r="O658" i="16" s="1"/>
  <c r="O652" i="16" a="1"/>
  <c r="O652" i="16" s="1"/>
  <c r="O638" i="16" a="1"/>
  <c r="O638" i="16" s="1"/>
  <c r="O628" i="16" a="1"/>
  <c r="O628" i="16" s="1"/>
  <c r="O618" i="16" a="1"/>
  <c r="O618" i="16" s="1"/>
  <c r="P608" i="16" a="1"/>
  <c r="P608" i="16" s="1"/>
  <c r="O599" i="16" a="1"/>
  <c r="O599" i="16" s="1"/>
  <c r="O589" i="16" a="1"/>
  <c r="O589" i="16" s="1"/>
  <c r="O579" i="16" a="1"/>
  <c r="O579" i="16" s="1"/>
  <c r="Q569" i="16" a="1"/>
  <c r="Q569" i="16" s="1"/>
  <c r="P550" i="16" a="1"/>
  <c r="P550" i="16" s="1"/>
  <c r="O536" i="16" a="1"/>
  <c r="O536" i="16" s="1"/>
  <c r="O515" i="16" a="1"/>
  <c r="O515" i="16" s="1"/>
  <c r="P472" i="16" a="1"/>
  <c r="P472" i="16" s="1"/>
  <c r="Q831" i="16" a="1"/>
  <c r="Q831" i="16" s="1"/>
  <c r="Q816" i="16" a="1"/>
  <c r="Q816" i="16" s="1"/>
  <c r="O807" i="16" a="1"/>
  <c r="O807" i="16" s="1"/>
  <c r="P797" i="16" a="1"/>
  <c r="P797" i="16" s="1"/>
  <c r="O792" i="16" a="1"/>
  <c r="O792" i="16" s="1"/>
  <c r="Q776" i="16" a="1"/>
  <c r="Q776" i="16" s="1"/>
  <c r="P763" i="16" a="1"/>
  <c r="P763" i="16" s="1"/>
  <c r="P748" i="16" a="1"/>
  <c r="P748" i="16" s="1"/>
  <c r="O729" i="16" a="1"/>
  <c r="O729" i="16" s="1"/>
  <c r="P720" i="16" a="1"/>
  <c r="P720" i="16" s="1"/>
  <c r="O712" i="16" a="1"/>
  <c r="O712" i="16" s="1"/>
  <c r="O708" i="16" a="1"/>
  <c r="O708" i="16" s="1"/>
  <c r="Q689" i="16" a="1"/>
  <c r="Q689" i="16" s="1"/>
  <c r="Q684" i="16" a="1"/>
  <c r="Q684" i="16" s="1"/>
  <c r="P829" i="16" a="1"/>
  <c r="P829" i="16" s="1"/>
  <c r="Q823" i="16" a="1"/>
  <c r="Q823" i="16" s="1"/>
  <c r="P816" i="16" a="1"/>
  <c r="P816" i="16" s="1"/>
  <c r="P809" i="16" a="1"/>
  <c r="P809" i="16" s="1"/>
  <c r="Q801" i="16" a="1"/>
  <c r="Q801" i="16" s="1"/>
  <c r="P794" i="16" a="1"/>
  <c r="P794" i="16" s="1"/>
  <c r="P786" i="16" a="1"/>
  <c r="P786" i="16" s="1"/>
  <c r="P776" i="16" a="1"/>
  <c r="P776" i="16" s="1"/>
  <c r="Q761" i="16" a="1"/>
  <c r="Q761" i="16" s="1"/>
  <c r="O747" i="16" a="1"/>
  <c r="O747" i="16" s="1"/>
  <c r="P727" i="16" a="1"/>
  <c r="P727" i="16" s="1"/>
  <c r="P706" i="16" a="1"/>
  <c r="P706" i="16" s="1"/>
  <c r="O693" i="16" a="1"/>
  <c r="O693" i="16" s="1"/>
  <c r="P678" i="16" a="1"/>
  <c r="P678" i="16" s="1"/>
  <c r="P663" i="16" a="1"/>
  <c r="P663" i="16" s="1"/>
  <c r="O646" i="16" a="1"/>
  <c r="O646" i="16" s="1"/>
  <c r="P599" i="16" a="1"/>
  <c r="P599" i="16" s="1"/>
  <c r="T812" i="14"/>
  <c r="T794" i="14"/>
  <c r="T771" i="14"/>
  <c r="T748" i="14"/>
  <c r="T730" i="14"/>
  <c r="T707" i="14"/>
  <c r="T684" i="14"/>
  <c r="T666" i="14"/>
  <c r="T643" i="14"/>
  <c r="T620" i="14"/>
  <c r="T602" i="14"/>
  <c r="T579" i="14"/>
  <c r="T556" i="14"/>
  <c r="T538" i="14"/>
  <c r="T513" i="14"/>
  <c r="T487" i="14"/>
  <c r="T466" i="14"/>
  <c r="T439" i="14"/>
  <c r="P835" i="16" a="1"/>
  <c r="P835" i="16" s="1"/>
  <c r="O833" i="16" a="1"/>
  <c r="O833" i="16" s="1"/>
  <c r="Q830" i="16" a="1"/>
  <c r="Q830" i="16" s="1"/>
  <c r="O829" i="16" a="1"/>
  <c r="O829" i="16" s="1"/>
  <c r="O827" i="16" a="1"/>
  <c r="O827" i="16" s="1"/>
  <c r="P825" i="16" a="1"/>
  <c r="P825" i="16" s="1"/>
  <c r="O823" i="16" a="1"/>
  <c r="O823" i="16" s="1"/>
  <c r="Q820" i="16" a="1"/>
  <c r="Q820" i="16" s="1"/>
  <c r="P818" i="16" a="1"/>
  <c r="P818" i="16" s="1"/>
  <c r="O816" i="16" a="1"/>
  <c r="O816" i="16" s="1"/>
  <c r="Q813" i="16" a="1"/>
  <c r="Q813" i="16" s="1"/>
  <c r="O811" i="16" a="1"/>
  <c r="O811" i="16" s="1"/>
  <c r="Q808" i="16" a="1"/>
  <c r="Q808" i="16" s="1"/>
  <c r="O806" i="16" a="1"/>
  <c r="O806" i="16" s="1"/>
  <c r="Q803" i="16" a="1"/>
  <c r="Q803" i="16" s="1"/>
  <c r="O801" i="16" a="1"/>
  <c r="O801" i="16" s="1"/>
  <c r="Q798" i="16" a="1"/>
  <c r="Q798" i="16" s="1"/>
  <c r="P796" i="16" a="1"/>
  <c r="P796" i="16" s="1"/>
  <c r="Q793" i="16" a="1"/>
  <c r="Q793" i="16" s="1"/>
  <c r="O791" i="16" a="1"/>
  <c r="O791" i="16" s="1"/>
  <c r="Q788" i="16" a="1"/>
  <c r="Q788" i="16" s="1"/>
  <c r="Q785" i="16" a="1"/>
  <c r="Q785" i="16" s="1"/>
  <c r="P782" i="16" a="1"/>
  <c r="P782" i="16" s="1"/>
  <c r="P779" i="16" a="1"/>
  <c r="P779" i="16" s="1"/>
  <c r="O776" i="16" a="1"/>
  <c r="O776" i="16" s="1"/>
  <c r="P771" i="16" a="1"/>
  <c r="P771" i="16" s="1"/>
  <c r="P766" i="16" a="1"/>
  <c r="P766" i="16" s="1"/>
  <c r="O761" i="16" a="1"/>
  <c r="O761" i="16" s="1"/>
  <c r="P756" i="16" a="1"/>
  <c r="P756" i="16" s="1"/>
  <c r="O751" i="16" a="1"/>
  <c r="O751" i="16" s="1"/>
  <c r="P746" i="16" a="1"/>
  <c r="P746" i="16" s="1"/>
  <c r="P741" i="16" a="1"/>
  <c r="P741" i="16" s="1"/>
  <c r="P736" i="16" a="1"/>
  <c r="P736" i="16" s="1"/>
  <c r="Q731" i="16" a="1"/>
  <c r="Q731" i="16" s="1"/>
  <c r="Q718" i="16" a="1"/>
  <c r="Q718" i="16" s="1"/>
  <c r="P714" i="16" a="1"/>
  <c r="P714" i="16" s="1"/>
  <c r="O706" i="16" a="1"/>
  <c r="O706" i="16" s="1"/>
  <c r="O701" i="16" a="1"/>
  <c r="O701" i="16" s="1"/>
  <c r="Q696" i="16" a="1"/>
  <c r="Q696" i="16" s="1"/>
  <c r="P692" i="16" a="1"/>
  <c r="P692" i="16" s="1"/>
  <c r="P682" i="16" a="1"/>
  <c r="P682" i="16" s="1"/>
  <c r="Q677" i="16" a="1"/>
  <c r="Q677" i="16" s="1"/>
  <c r="Q672" i="16" a="1"/>
  <c r="Q672" i="16" s="1"/>
  <c r="O668" i="16" a="1"/>
  <c r="O668" i="16" s="1"/>
  <c r="Q662" i="16" a="1"/>
  <c r="Q662" i="16" s="1"/>
  <c r="P657" i="16" a="1"/>
  <c r="P657" i="16" s="1"/>
  <c r="Q651" i="16" a="1"/>
  <c r="Q651" i="16" s="1"/>
  <c r="Q645" i="16" a="1"/>
  <c r="Q645" i="16" s="1"/>
  <c r="Q636" i="16" a="1"/>
  <c r="Q636" i="16" s="1"/>
  <c r="Q626" i="16" a="1"/>
  <c r="Q626" i="16" s="1"/>
  <c r="Q616" i="16" a="1"/>
  <c r="Q616" i="16" s="1"/>
  <c r="O607" i="16" a="1"/>
  <c r="O607" i="16" s="1"/>
  <c r="Q597" i="16" a="1"/>
  <c r="Q597" i="16" s="1"/>
  <c r="Q587" i="16" a="1"/>
  <c r="Q587" i="16" s="1"/>
  <c r="O578" i="16" a="1"/>
  <c r="O578" i="16" s="1"/>
  <c r="P559" i="16" a="1"/>
  <c r="P559" i="16" s="1"/>
  <c r="P548" i="16" a="1"/>
  <c r="P548" i="16" s="1"/>
  <c r="Q535" i="16" a="1"/>
  <c r="Q535" i="16" s="1"/>
  <c r="N6" i="16"/>
  <c r="O6" i="16" s="1" a="1"/>
  <c r="O6" i="16" s="1"/>
  <c r="P9" i="16" a="1"/>
  <c r="P9" i="16" s="1"/>
  <c r="Q11" i="16" a="1"/>
  <c r="Q11" i="16" s="1"/>
  <c r="P14" i="16" a="1"/>
  <c r="P14" i="16" s="1"/>
  <c r="Q16" i="16" a="1"/>
  <c r="Q16" i="16" s="1"/>
  <c r="O19" i="16" a="1"/>
  <c r="O19" i="16" s="1"/>
  <c r="Q21" i="16" a="1"/>
  <c r="Q21" i="16" s="1"/>
  <c r="O24" i="16" a="1"/>
  <c r="O24" i="16" s="1"/>
  <c r="P26" i="16" a="1"/>
  <c r="P26" i="16" s="1"/>
  <c r="O29" i="16" a="1"/>
  <c r="O29" i="16" s="1"/>
  <c r="Q31" i="16" a="1"/>
  <c r="Q31" i="16" s="1"/>
  <c r="O34" i="16" a="1"/>
  <c r="O34" i="16" s="1"/>
  <c r="Q36" i="16" a="1"/>
  <c r="Q36" i="16" s="1"/>
  <c r="O41" i="16" a="1"/>
  <c r="O41" i="16" s="1"/>
  <c r="Q43" i="16" a="1"/>
  <c r="Q43" i="16" s="1"/>
  <c r="P46" i="16" a="1"/>
  <c r="P46" i="16" s="1"/>
  <c r="Q48" i="16" a="1"/>
  <c r="Q48" i="16" s="1"/>
  <c r="Q50" i="16" a="1"/>
  <c r="Q50" i="16" s="1"/>
  <c r="P53" i="16" a="1"/>
  <c r="P53" i="16" s="1"/>
  <c r="O56" i="16" a="1"/>
  <c r="O56" i="16" s="1"/>
  <c r="P58" i="16" a="1"/>
  <c r="P58" i="16" s="1"/>
  <c r="Q60" i="16" a="1"/>
  <c r="Q60" i="16" s="1"/>
  <c r="O63" i="16" a="1"/>
  <c r="O63" i="16" s="1"/>
  <c r="P65" i="16" a="1"/>
  <c r="P65" i="16" s="1"/>
  <c r="O68" i="16" a="1"/>
  <c r="O68" i="16" s="1"/>
  <c r="P70" i="16" a="1"/>
  <c r="P70" i="16" s="1"/>
  <c r="Q72" i="16" a="1"/>
  <c r="Q72" i="16" s="1"/>
  <c r="O75" i="16" a="1"/>
  <c r="O75" i="16" s="1"/>
  <c r="P77" i="16" a="1"/>
  <c r="P77" i="16" s="1"/>
  <c r="O80" i="16" a="1"/>
  <c r="O80" i="16" s="1"/>
  <c r="Q82" i="16" a="1"/>
  <c r="Q82" i="16" s="1"/>
  <c r="O85" i="16" a="1"/>
  <c r="O85" i="16" s="1"/>
  <c r="P87" i="16" a="1"/>
  <c r="P87" i="16" s="1"/>
  <c r="Q89" i="16" a="1"/>
  <c r="Q89" i="16" s="1"/>
  <c r="O92" i="16" a="1"/>
  <c r="O92" i="16" s="1"/>
  <c r="P94" i="16" a="1"/>
  <c r="P94" i="16" s="1"/>
  <c r="Q96" i="16" a="1"/>
  <c r="Q96" i="16" s="1"/>
  <c r="O7" i="16" a="1"/>
  <c r="O7" i="16" s="1"/>
  <c r="Q9" i="16" a="1"/>
  <c r="Q9" i="16" s="1"/>
  <c r="O12" i="16" a="1"/>
  <c r="O12" i="16" s="1"/>
  <c r="Q14" i="16" a="1"/>
  <c r="Q14" i="16" s="1"/>
  <c r="O17" i="16" a="1"/>
  <c r="O17" i="16" s="1"/>
  <c r="P19" i="16" a="1"/>
  <c r="P19" i="16" s="1"/>
  <c r="O22" i="16" a="1"/>
  <c r="O22" i="16" s="1"/>
  <c r="P24" i="16" a="1"/>
  <c r="P24" i="16" s="1"/>
  <c r="Q26" i="16" a="1"/>
  <c r="Q26" i="16" s="1"/>
  <c r="P29" i="16" a="1"/>
  <c r="P29" i="16" s="1"/>
  <c r="O32" i="16" a="1"/>
  <c r="O32" i="16" s="1"/>
  <c r="P34" i="16" a="1"/>
  <c r="P34" i="16" s="1"/>
  <c r="O39" i="16" a="1"/>
  <c r="O39" i="16" s="1"/>
  <c r="P41" i="16" a="1"/>
  <c r="P41" i="16" s="1"/>
  <c r="O44" i="16" a="1"/>
  <c r="O44" i="16" s="1"/>
  <c r="Q46" i="16" a="1"/>
  <c r="Q46" i="16" s="1"/>
  <c r="O49" i="16" a="1"/>
  <c r="O49" i="16" s="1"/>
  <c r="O51" i="16" a="1"/>
  <c r="O51" i="16" s="1"/>
  <c r="Q53" i="16" a="1"/>
  <c r="Q53" i="16" s="1"/>
  <c r="P56" i="16" a="1"/>
  <c r="P56" i="16" s="1"/>
  <c r="Q58" i="16" a="1"/>
  <c r="Q58" i="16" s="1"/>
  <c r="O61" i="16" a="1"/>
  <c r="O61" i="16" s="1"/>
  <c r="P63" i="16" a="1"/>
  <c r="P63" i="16" s="1"/>
  <c r="Q65" i="16" a="1"/>
  <c r="Q65" i="16" s="1"/>
  <c r="P68" i="16" a="1"/>
  <c r="P68" i="16" s="1"/>
  <c r="Q70" i="16" a="1"/>
  <c r="Q70" i="16" s="1"/>
  <c r="P75" i="16" a="1"/>
  <c r="P75" i="16" s="1"/>
  <c r="Q77" i="16" a="1"/>
  <c r="Q77" i="16" s="1"/>
  <c r="P80" i="16" a="1"/>
  <c r="P80" i="16" s="1"/>
  <c r="O83" i="16" a="1"/>
  <c r="O83" i="16" s="1"/>
  <c r="P85" i="16" a="1"/>
  <c r="P85" i="16" s="1"/>
  <c r="Q87" i="16" a="1"/>
  <c r="Q87" i="16" s="1"/>
  <c r="O90" i="16" a="1"/>
  <c r="O90" i="16" s="1"/>
  <c r="Q94" i="16" a="1"/>
  <c r="Q94" i="16" s="1"/>
  <c r="O97" i="16" a="1"/>
  <c r="O97" i="16" s="1"/>
  <c r="P99" i="16" a="1"/>
  <c r="P99" i="16" s="1"/>
  <c r="Q101" i="16" a="1"/>
  <c r="Q101" i="16" s="1"/>
  <c r="P104" i="16" a="1"/>
  <c r="P104" i="16" s="1"/>
  <c r="Q106" i="16" a="1"/>
  <c r="Q106" i="16" s="1"/>
  <c r="P109" i="16" a="1"/>
  <c r="P109" i="16" s="1"/>
  <c r="Q111" i="16" a="1"/>
  <c r="Q111" i="16" s="1"/>
  <c r="O114" i="16" a="1"/>
  <c r="O114" i="16" s="1"/>
  <c r="Q116" i="16" a="1"/>
  <c r="Q116" i="16" s="1"/>
  <c r="P119" i="16" a="1"/>
  <c r="P119" i="16" s="1"/>
  <c r="Q123" i="16" a="1"/>
  <c r="Q123" i="16" s="1"/>
  <c r="O126" i="16" a="1"/>
  <c r="O126" i="16" s="1"/>
  <c r="Q130" i="16" a="1"/>
  <c r="Q130" i="16" s="1"/>
  <c r="P133" i="16" a="1"/>
  <c r="P133" i="16" s="1"/>
  <c r="O136" i="16" a="1"/>
  <c r="O136" i="16" s="1"/>
  <c r="Q138" i="16" a="1"/>
  <c r="Q138" i="16" s="1"/>
  <c r="Q140" i="16" a="1"/>
  <c r="Q140" i="16" s="1"/>
  <c r="O143" i="16" a="1"/>
  <c r="O143" i="16" s="1"/>
  <c r="P145" i="16" a="1"/>
  <c r="P145" i="16" s="1"/>
  <c r="Q147" i="16" a="1"/>
  <c r="Q147" i="16" s="1"/>
  <c r="O150" i="16" a="1"/>
  <c r="O150" i="16" s="1"/>
  <c r="Q152" i="16" a="1"/>
  <c r="Q152" i="16" s="1"/>
  <c r="P155" i="16" a="1"/>
  <c r="P155" i="16" s="1"/>
  <c r="O158" i="16" a="1"/>
  <c r="O158" i="16" s="1"/>
  <c r="P160" i="16" a="1"/>
  <c r="P160" i="16" s="1"/>
  <c r="P162" i="16" a="1"/>
  <c r="P162" i="16" s="1"/>
  <c r="Q164" i="16" a="1"/>
  <c r="Q164" i="16" s="1"/>
  <c r="O167" i="16" a="1"/>
  <c r="O167" i="16" s="1"/>
  <c r="O169" i="16" a="1"/>
  <c r="O169" i="16" s="1"/>
  <c r="P171" i="16" a="1"/>
  <c r="P171" i="16" s="1"/>
  <c r="O174" i="16" a="1"/>
  <c r="O174" i="16" s="1"/>
  <c r="Q176" i="16" a="1"/>
  <c r="Q176" i="16" s="1"/>
  <c r="P179" i="16" a="1"/>
  <c r="P179" i="16" s="1"/>
  <c r="Q181" i="16" a="1"/>
  <c r="Q181" i="16" s="1"/>
  <c r="O184" i="16" a="1"/>
  <c r="O184" i="16" s="1"/>
  <c r="Q190" i="16" a="1"/>
  <c r="Q190" i="16" s="1"/>
  <c r="O193" i="16" a="1"/>
  <c r="O193" i="16" s="1"/>
  <c r="P195" i="16" a="1"/>
  <c r="P195" i="16" s="1"/>
  <c r="P197" i="16" a="1"/>
  <c r="P197" i="16" s="1"/>
  <c r="O200" i="16" a="1"/>
  <c r="O200" i="16" s="1"/>
  <c r="P204" i="16" a="1"/>
  <c r="P204" i="16" s="1"/>
  <c r="Q206" i="16" a="1"/>
  <c r="Q206" i="16" s="1"/>
  <c r="P209" i="16" a="1"/>
  <c r="P209" i="16" s="1"/>
  <c r="P7" i="16" a="1"/>
  <c r="P7" i="16" s="1"/>
  <c r="O10" i="16" a="1"/>
  <c r="O10" i="16" s="1"/>
  <c r="P12" i="16" a="1"/>
  <c r="P12" i="16" s="1"/>
  <c r="O15" i="16" a="1"/>
  <c r="O15" i="16" s="1"/>
  <c r="P17" i="16" a="1"/>
  <c r="P17" i="16" s="1"/>
  <c r="Q19" i="16" a="1"/>
  <c r="Q19" i="16" s="1"/>
  <c r="Q24" i="16" a="1"/>
  <c r="Q24" i="16" s="1"/>
  <c r="O27" i="16" a="1"/>
  <c r="O27" i="16" s="1"/>
  <c r="Q29" i="16" a="1"/>
  <c r="Q29" i="16" s="1"/>
  <c r="P32" i="16" a="1"/>
  <c r="P32" i="16" s="1"/>
  <c r="Q34" i="16" a="1"/>
  <c r="Q34" i="16" s="1"/>
  <c r="O37" i="16" a="1"/>
  <c r="O37" i="16" s="1"/>
  <c r="P39" i="16" a="1"/>
  <c r="P39" i="16" s="1"/>
  <c r="Q41" i="16" a="1"/>
  <c r="Q41" i="16" s="1"/>
  <c r="P44" i="16" a="1"/>
  <c r="P44" i="16" s="1"/>
  <c r="O47" i="16" a="1"/>
  <c r="O47" i="16" s="1"/>
  <c r="P49" i="16" a="1"/>
  <c r="P49" i="16" s="1"/>
  <c r="P51" i="16" a="1"/>
  <c r="P51" i="16" s="1"/>
  <c r="O54" i="16" a="1"/>
  <c r="O54" i="16" s="1"/>
  <c r="Q56" i="16" a="1"/>
  <c r="Q56" i="16" s="1"/>
  <c r="O59" i="16" a="1"/>
  <c r="O59" i="16" s="1"/>
  <c r="P61" i="16" a="1"/>
  <c r="P61" i="16" s="1"/>
  <c r="Q63" i="16" a="1"/>
  <c r="Q63" i="16" s="1"/>
  <c r="O66" i="16" a="1"/>
  <c r="O66" i="16" s="1"/>
  <c r="Q68" i="16" a="1"/>
  <c r="Q68" i="16" s="1"/>
  <c r="O73" i="16" a="1"/>
  <c r="O73" i="16" s="1"/>
  <c r="Q75" i="16" a="1"/>
  <c r="Q75" i="16" s="1"/>
  <c r="O78" i="16" a="1"/>
  <c r="O78" i="16" s="1"/>
  <c r="Q80" i="16" a="1"/>
  <c r="Q80" i="16" s="1"/>
  <c r="P83" i="16" a="1"/>
  <c r="P83" i="16" s="1"/>
  <c r="Q85" i="16" a="1"/>
  <c r="Q85" i="16" s="1"/>
  <c r="O88" i="16" a="1"/>
  <c r="O88" i="16" s="1"/>
  <c r="P92" i="16" a="1"/>
  <c r="P92" i="16" s="1"/>
  <c r="O95" i="16" a="1"/>
  <c r="O95" i="16" s="1"/>
  <c r="P97" i="16" a="1"/>
  <c r="P97" i="16" s="1"/>
  <c r="Q99" i="16" a="1"/>
  <c r="Q99" i="16" s="1"/>
  <c r="O102" i="16" a="1"/>
  <c r="O102" i="16" s="1"/>
  <c r="Q104" i="16" a="1"/>
  <c r="Q104" i="16" s="1"/>
  <c r="O107" i="16" a="1"/>
  <c r="O107" i="16" s="1"/>
  <c r="Q109" i="16" a="1"/>
  <c r="Q109" i="16" s="1"/>
  <c r="O112" i="16" a="1"/>
  <c r="O112" i="16" s="1"/>
  <c r="P114" i="16" a="1"/>
  <c r="P114" i="16" s="1"/>
  <c r="O117" i="16" a="1"/>
  <c r="O117" i="16" s="1"/>
  <c r="Q119" i="16" a="1"/>
  <c r="Q119" i="16" s="1"/>
  <c r="Q121" i="16" a="1"/>
  <c r="Q121" i="16" s="1"/>
  <c r="O124" i="16" a="1"/>
  <c r="O124" i="16" s="1"/>
  <c r="P126" i="16" a="1"/>
  <c r="P126" i="16" s="1"/>
  <c r="P128" i="16" a="1"/>
  <c r="P128" i="16" s="1"/>
  <c r="O131" i="16" a="1"/>
  <c r="O131" i="16" s="1"/>
  <c r="Q133" i="16" a="1"/>
  <c r="Q133" i="16" s="1"/>
  <c r="P136" i="16" a="1"/>
  <c r="P136" i="16" s="1"/>
  <c r="O139" i="16" a="1"/>
  <c r="O139" i="16" s="1"/>
  <c r="O141" i="16" a="1"/>
  <c r="O141" i="16" s="1"/>
  <c r="Q145" i="16" a="1"/>
  <c r="Q145" i="16" s="1"/>
  <c r="O148" i="16" a="1"/>
  <c r="O148" i="16" s="1"/>
  <c r="P150" i="16" a="1"/>
  <c r="P150" i="16" s="1"/>
  <c r="O153" i="16" a="1"/>
  <c r="O153" i="16" s="1"/>
  <c r="Q155" i="16" a="1"/>
  <c r="Q155" i="16" s="1"/>
  <c r="P158" i="16" a="1"/>
  <c r="P158" i="16" s="1"/>
  <c r="Q160" i="16" a="1"/>
  <c r="Q160" i="16" s="1"/>
  <c r="Q162" i="16" a="1"/>
  <c r="Q162" i="16" s="1"/>
  <c r="P169" i="16" a="1"/>
  <c r="P169" i="16" s="1"/>
  <c r="Q171" i="16" a="1"/>
  <c r="Q171" i="16" s="1"/>
  <c r="P174" i="16" a="1"/>
  <c r="P174" i="16" s="1"/>
  <c r="O177" i="16" a="1"/>
  <c r="O177" i="16" s="1"/>
  <c r="Q179" i="16" a="1"/>
  <c r="Q179" i="16" s="1"/>
  <c r="O182" i="16" a="1"/>
  <c r="O182" i="16" s="1"/>
  <c r="P184" i="16" a="1"/>
  <c r="P184" i="16" s="1"/>
  <c r="P186" i="16" a="1"/>
  <c r="P186" i="16" s="1"/>
  <c r="Q188" i="16" a="1"/>
  <c r="Q188" i="16" s="1"/>
  <c r="O191" i="16" a="1"/>
  <c r="O191" i="16" s="1"/>
  <c r="P193" i="16" a="1"/>
  <c r="P193" i="16" s="1"/>
  <c r="Q195" i="16" a="1"/>
  <c r="Q195" i="16" s="1"/>
  <c r="Q197" i="16" a="1"/>
  <c r="Q197" i="16" s="1"/>
  <c r="P202" i="16" a="1"/>
  <c r="P202" i="16" s="1"/>
  <c r="Q204" i="16" a="1"/>
  <c r="Q204" i="16" s="1"/>
  <c r="O207" i="16" a="1"/>
  <c r="O207" i="16" s="1"/>
  <c r="Q7" i="16" a="1"/>
  <c r="Q7" i="16" s="1"/>
  <c r="P10" i="16" a="1"/>
  <c r="P10" i="16" s="1"/>
  <c r="Q12" i="16" a="1"/>
  <c r="Q12" i="16" s="1"/>
  <c r="P15" i="16" a="1"/>
  <c r="P15" i="16" s="1"/>
  <c r="Q17" i="16" a="1"/>
  <c r="Q17" i="16" s="1"/>
  <c r="O20" i="16" a="1"/>
  <c r="O20" i="16" s="1"/>
  <c r="P22" i="16" a="1"/>
  <c r="P22" i="16" s="1"/>
  <c r="O25" i="16" a="1"/>
  <c r="O25" i="16" s="1"/>
  <c r="P27" i="16" a="1"/>
  <c r="P27" i="16" s="1"/>
  <c r="O30" i="16" a="1"/>
  <c r="O30" i="16" s="1"/>
  <c r="Q32" i="16" a="1"/>
  <c r="Q32" i="16" s="1"/>
  <c r="O35" i="16" a="1"/>
  <c r="O35" i="16" s="1"/>
  <c r="P37" i="16" a="1"/>
  <c r="P37" i="16" s="1"/>
  <c r="O42" i="16" a="1"/>
  <c r="O42" i="16" s="1"/>
  <c r="Q44" i="16" a="1"/>
  <c r="Q44" i="16" s="1"/>
  <c r="P47" i="16" a="1"/>
  <c r="P47" i="16" s="1"/>
  <c r="Q51" i="16" a="1"/>
  <c r="Q51" i="16" s="1"/>
  <c r="P54" i="16" a="1"/>
  <c r="P54" i="16" s="1"/>
  <c r="O57" i="16" a="1"/>
  <c r="O57" i="16" s="1"/>
  <c r="P59" i="16" a="1"/>
  <c r="P59" i="16" s="1"/>
  <c r="Q61" i="16" a="1"/>
  <c r="Q61" i="16" s="1"/>
  <c r="O64" i="16" a="1"/>
  <c r="O64" i="16" s="1"/>
  <c r="P66" i="16" a="1"/>
  <c r="P66" i="16" s="1"/>
  <c r="O71" i="16" a="1"/>
  <c r="O71" i="16" s="1"/>
  <c r="P73" i="16" a="1"/>
  <c r="P73" i="16" s="1"/>
  <c r="O76" i="16" a="1"/>
  <c r="O76" i="16" s="1"/>
  <c r="P78" i="16" a="1"/>
  <c r="P78" i="16" s="1"/>
  <c r="O81" i="16" a="1"/>
  <c r="O81" i="16" s="1"/>
  <c r="Q83" i="16" a="1"/>
  <c r="Q83" i="16" s="1"/>
  <c r="O86" i="16" a="1"/>
  <c r="O86" i="16" s="1"/>
  <c r="P88" i="16" a="1"/>
  <c r="P88" i="16" s="1"/>
  <c r="P90" i="16" a="1"/>
  <c r="P90" i="16" s="1"/>
  <c r="Q92" i="16" a="1"/>
  <c r="Q92" i="16" s="1"/>
  <c r="P95" i="16" a="1"/>
  <c r="P95" i="16" s="1"/>
  <c r="O100" i="16" a="1"/>
  <c r="O100" i="16" s="1"/>
  <c r="P102" i="16" a="1"/>
  <c r="P102" i="16" s="1"/>
  <c r="O105" i="16" a="1"/>
  <c r="O105" i="16" s="1"/>
  <c r="P107" i="16" a="1"/>
  <c r="P107" i="16" s="1"/>
  <c r="O110" i="16" a="1"/>
  <c r="O110" i="16" s="1"/>
  <c r="P112" i="16" a="1"/>
  <c r="P112" i="16" s="1"/>
  <c r="Q114" i="16" a="1"/>
  <c r="Q114" i="16" s="1"/>
  <c r="P117" i="16" a="1"/>
  <c r="P117" i="16" s="1"/>
  <c r="O8" i="16" a="1"/>
  <c r="O8" i="16" s="1"/>
  <c r="Q10" i="16" a="1"/>
  <c r="Q10" i="16" s="1"/>
  <c r="O13" i="16" a="1"/>
  <c r="O13" i="16" s="1"/>
  <c r="O18" i="16" a="1"/>
  <c r="O18" i="16" s="1"/>
  <c r="P20" i="16" a="1"/>
  <c r="P20" i="16" s="1"/>
  <c r="Q22" i="16" a="1"/>
  <c r="Q22" i="16" s="1"/>
  <c r="P25" i="16" a="1"/>
  <c r="P25" i="16" s="1"/>
  <c r="Q27" i="16" a="1"/>
  <c r="Q27" i="16" s="1"/>
  <c r="P30" i="16" a="1"/>
  <c r="P30" i="16" s="1"/>
  <c r="P35" i="16" a="1"/>
  <c r="P35" i="16" s="1"/>
  <c r="Q37" i="16" a="1"/>
  <c r="Q37" i="16" s="1"/>
  <c r="Q39" i="16" a="1"/>
  <c r="Q39" i="16" s="1"/>
  <c r="P42" i="16" a="1"/>
  <c r="P42" i="16" s="1"/>
  <c r="O45" i="16" a="1"/>
  <c r="O45" i="16" s="1"/>
  <c r="Q49" i="16" a="1"/>
  <c r="Q49" i="16" s="1"/>
  <c r="O52" i="16" a="1"/>
  <c r="O52" i="16" s="1"/>
  <c r="Q54" i="16" a="1"/>
  <c r="Q54" i="16" s="1"/>
  <c r="P57" i="16" a="1"/>
  <c r="P57" i="16" s="1"/>
  <c r="Q59" i="16" a="1"/>
  <c r="Q59" i="16" s="1"/>
  <c r="O62" i="16" a="1"/>
  <c r="O62" i="16" s="1"/>
  <c r="P64" i="16" a="1"/>
  <c r="P64" i="16" s="1"/>
  <c r="Q66" i="16" a="1"/>
  <c r="Q66" i="16" s="1"/>
  <c r="O69" i="16" a="1"/>
  <c r="O69" i="16" s="1"/>
  <c r="P71" i="16" a="1"/>
  <c r="P71" i="16" s="1"/>
  <c r="Q73" i="16" a="1"/>
  <c r="Q73" i="16" s="1"/>
  <c r="P76" i="16" a="1"/>
  <c r="P76" i="16" s="1"/>
  <c r="Q78" i="16" a="1"/>
  <c r="Q78" i="16" s="1"/>
  <c r="P81" i="16" a="1"/>
  <c r="P81" i="16" s="1"/>
  <c r="O84" i="16" a="1"/>
  <c r="O84" i="16" s="1"/>
  <c r="Q88" i="16" a="1"/>
  <c r="Q88" i="16" s="1"/>
  <c r="Q90" i="16" a="1"/>
  <c r="Q90" i="16" s="1"/>
  <c r="O93" i="16" a="1"/>
  <c r="O93" i="16" s="1"/>
  <c r="Q97" i="16" a="1"/>
  <c r="Q97" i="16" s="1"/>
  <c r="P100" i="16" a="1"/>
  <c r="P100" i="16" s="1"/>
  <c r="Q102" i="16" a="1"/>
  <c r="Q102" i="16" s="1"/>
  <c r="P105" i="16" a="1"/>
  <c r="P105" i="16" s="1"/>
  <c r="Q107" i="16" a="1"/>
  <c r="Q107" i="16" s="1"/>
  <c r="P110" i="16" a="1"/>
  <c r="P110" i="16" s="1"/>
  <c r="Q112" i="16" a="1"/>
  <c r="Q112" i="16" s="1"/>
  <c r="O115" i="16" a="1"/>
  <c r="O115" i="16" s="1"/>
  <c r="Q117" i="16" a="1"/>
  <c r="Q117" i="16" s="1"/>
  <c r="P120" i="16" a="1"/>
  <c r="P120" i="16" s="1"/>
  <c r="P122" i="16" a="1"/>
  <c r="P122" i="16" s="1"/>
  <c r="O129" i="16" a="1"/>
  <c r="O129" i="16" s="1"/>
  <c r="P8" i="16" a="1"/>
  <c r="P8" i="16" s="1"/>
  <c r="O11" i="16" a="1"/>
  <c r="O11" i="16" s="1"/>
  <c r="P13" i="16" a="1"/>
  <c r="P13" i="16" s="1"/>
  <c r="Q15" i="16" a="1"/>
  <c r="Q15" i="16" s="1"/>
  <c r="Q20" i="16" a="1"/>
  <c r="Q20" i="16" s="1"/>
  <c r="O23" i="16" a="1"/>
  <c r="O23" i="16" s="1"/>
  <c r="Q25" i="16" a="1"/>
  <c r="Q25" i="16" s="1"/>
  <c r="O28" i="16" a="1"/>
  <c r="O28" i="16" s="1"/>
  <c r="Q30" i="16" a="1"/>
  <c r="Q30" i="16" s="1"/>
  <c r="O33" i="16" a="1"/>
  <c r="O33" i="16" s="1"/>
  <c r="Q35" i="16" a="1"/>
  <c r="Q35" i="16" s="1"/>
  <c r="O38" i="16" a="1"/>
  <c r="O38" i="16" s="1"/>
  <c r="O40" i="16" a="1"/>
  <c r="O40" i="16" s="1"/>
  <c r="Q42" i="16" a="1"/>
  <c r="Q42" i="16" s="1"/>
  <c r="P45" i="16" a="1"/>
  <c r="P45" i="16" s="1"/>
  <c r="Q47" i="16" a="1"/>
  <c r="Q47" i="16" s="1"/>
  <c r="O50" i="16" a="1"/>
  <c r="O50" i="16" s="1"/>
  <c r="P52" i="16" a="1"/>
  <c r="P52" i="16" s="1"/>
  <c r="O55" i="16" a="1"/>
  <c r="O55" i="16" s="1"/>
  <c r="Q57" i="16" a="1"/>
  <c r="Q57" i="16" s="1"/>
  <c r="O60" i="16" a="1"/>
  <c r="O60" i="16" s="1"/>
  <c r="Q64" i="16" a="1"/>
  <c r="Q64" i="16" s="1"/>
  <c r="O67" i="16" a="1"/>
  <c r="O67" i="16" s="1"/>
  <c r="P69" i="16" a="1"/>
  <c r="P69" i="16" s="1"/>
  <c r="Q71" i="16" a="1"/>
  <c r="Q71" i="16" s="1"/>
  <c r="O74" i="16" a="1"/>
  <c r="O74" i="16" s="1"/>
  <c r="Q76" i="16" a="1"/>
  <c r="Q76" i="16" s="1"/>
  <c r="O79" i="16" a="1"/>
  <c r="O79" i="16" s="1"/>
  <c r="Q81" i="16" a="1"/>
  <c r="Q81" i="16" s="1"/>
  <c r="P86" i="16" a="1"/>
  <c r="P86" i="16" s="1"/>
  <c r="O89" i="16" a="1"/>
  <c r="O89" i="16" s="1"/>
  <c r="O91" i="16" a="1"/>
  <c r="O91" i="16" s="1"/>
  <c r="P93" i="16" a="1"/>
  <c r="P93" i="16" s="1"/>
  <c r="Q95" i="16" a="1"/>
  <c r="Q95" i="16" s="1"/>
  <c r="O98" i="16" a="1"/>
  <c r="O98" i="16" s="1"/>
  <c r="Q100" i="16" a="1"/>
  <c r="Q100" i="16" s="1"/>
  <c r="O103" i="16" a="1"/>
  <c r="O103" i="16" s="1"/>
  <c r="Q105" i="16" a="1"/>
  <c r="Q105" i="16" s="1"/>
  <c r="O108" i="16" a="1"/>
  <c r="O108" i="16" s="1"/>
  <c r="Q110" i="16" a="1"/>
  <c r="Q110" i="16" s="1"/>
  <c r="O113" i="16" a="1"/>
  <c r="O113" i="16" s="1"/>
  <c r="P115" i="16" a="1"/>
  <c r="P115" i="16" s="1"/>
  <c r="O118" i="16" a="1"/>
  <c r="O118" i="16" s="1"/>
  <c r="Q122" i="16" a="1"/>
  <c r="Q122" i="16" s="1"/>
  <c r="Q8" i="16" a="1"/>
  <c r="Q8" i="16" s="1"/>
  <c r="P11" i="16" a="1"/>
  <c r="P11" i="16" s="1"/>
  <c r="Q13" i="16" a="1"/>
  <c r="Q13" i="16" s="1"/>
  <c r="O16" i="16" a="1"/>
  <c r="O16" i="16" s="1"/>
  <c r="P18" i="16" a="1"/>
  <c r="P18" i="16" s="1"/>
  <c r="O21" i="16" a="1"/>
  <c r="O21" i="16" s="1"/>
  <c r="P23" i="16" a="1"/>
  <c r="P23" i="16" s="1"/>
  <c r="O26" i="16" a="1"/>
  <c r="O26" i="16" s="1"/>
  <c r="P28" i="16" a="1"/>
  <c r="P28" i="16" s="1"/>
  <c r="O31" i="16" a="1"/>
  <c r="O31" i="16" s="1"/>
  <c r="P33" i="16" a="1"/>
  <c r="P33" i="16" s="1"/>
  <c r="O36" i="16" a="1"/>
  <c r="O36" i="16" s="1"/>
  <c r="P38" i="16" a="1"/>
  <c r="P38" i="16" s="1"/>
  <c r="P40" i="16" a="1"/>
  <c r="P40" i="16" s="1"/>
  <c r="O43" i="16" a="1"/>
  <c r="O43" i="16" s="1"/>
  <c r="Q45" i="16" a="1"/>
  <c r="Q45" i="16" s="1"/>
  <c r="O48" i="16" a="1"/>
  <c r="O48" i="16" s="1"/>
  <c r="Q52" i="16" a="1"/>
  <c r="Q52" i="16" s="1"/>
  <c r="P55" i="16" a="1"/>
  <c r="P55" i="16" s="1"/>
  <c r="O58" i="16" a="1"/>
  <c r="O58" i="16" s="1"/>
  <c r="P62" i="16" a="1"/>
  <c r="P62" i="16" s="1"/>
  <c r="P67" i="16" a="1"/>
  <c r="P67" i="16" s="1"/>
  <c r="Q69" i="16" a="1"/>
  <c r="Q69" i="16" s="1"/>
  <c r="O72" i="16" a="1"/>
  <c r="O72" i="16" s="1"/>
  <c r="P74" i="16" a="1"/>
  <c r="P74" i="16" s="1"/>
  <c r="P79" i="16" a="1"/>
  <c r="P79" i="16" s="1"/>
  <c r="O82" i="16" a="1"/>
  <c r="O82" i="16" s="1"/>
  <c r="P84" i="16" a="1"/>
  <c r="P84" i="16" s="1"/>
  <c r="Q86" i="16" a="1"/>
  <c r="Q86" i="16" s="1"/>
  <c r="P89" i="16" a="1"/>
  <c r="P89" i="16" s="1"/>
  <c r="P91" i="16" a="1"/>
  <c r="P91" i="16" s="1"/>
  <c r="Q93" i="16" a="1"/>
  <c r="Q93" i="16" s="1"/>
  <c r="O96" i="16" a="1"/>
  <c r="O96" i="16" s="1"/>
  <c r="P98" i="16" a="1"/>
  <c r="P98" i="16" s="1"/>
  <c r="P103" i="16" a="1"/>
  <c r="P103" i="16" s="1"/>
  <c r="O106" i="16" a="1"/>
  <c r="O106" i="16" s="1"/>
  <c r="P108" i="16" a="1"/>
  <c r="P108" i="16" s="1"/>
  <c r="O111" i="16" a="1"/>
  <c r="O111" i="16" s="1"/>
  <c r="P113" i="16" a="1"/>
  <c r="P113" i="16" s="1"/>
  <c r="Q115" i="16" a="1"/>
  <c r="Q115" i="16" s="1"/>
  <c r="P118" i="16" a="1"/>
  <c r="P118" i="16" s="1"/>
  <c r="Q120" i="16" a="1"/>
  <c r="Q120" i="16" s="1"/>
  <c r="O123" i="16" a="1"/>
  <c r="O123" i="16" s="1"/>
  <c r="O125" i="16" a="1"/>
  <c r="O125" i="16" s="1"/>
  <c r="P127" i="16" a="1"/>
  <c r="P127" i="16" s="1"/>
  <c r="Q129" i="16" a="1"/>
  <c r="Q129" i="16" s="1"/>
  <c r="P132" i="16" a="1"/>
  <c r="P132" i="16" s="1"/>
  <c r="O135" i="16" a="1"/>
  <c r="O135" i="16" s="1"/>
  <c r="Q137" i="16" a="1"/>
  <c r="Q137" i="16" s="1"/>
  <c r="P142" i="16" a="1"/>
  <c r="P142" i="16" s="1"/>
  <c r="P144" i="16" a="1"/>
  <c r="P144" i="16" s="1"/>
  <c r="Q146" i="16" a="1"/>
  <c r="Q146" i="16" s="1"/>
  <c r="O149" i="16" a="1"/>
  <c r="O149" i="16" s="1"/>
  <c r="Q151" i="16" a="1"/>
  <c r="Q151" i="16" s="1"/>
  <c r="P154" i="16" a="1"/>
  <c r="P154" i="16" s="1"/>
  <c r="O157" i="16" a="1"/>
  <c r="O157" i="16" s="1"/>
  <c r="P159" i="16" a="1"/>
  <c r="P159" i="16" s="1"/>
  <c r="Q161" i="16" a="1"/>
  <c r="Q161" i="16" s="1"/>
  <c r="O164" i="16" a="1"/>
  <c r="O164" i="16" s="1"/>
  <c r="O166" i="16" a="1"/>
  <c r="O166" i="16" s="1"/>
  <c r="O168" i="16" a="1"/>
  <c r="O168" i="16" s="1"/>
  <c r="P170" i="16" a="1"/>
  <c r="P170" i="16" s="1"/>
  <c r="O173" i="16" a="1"/>
  <c r="O173" i="16" s="1"/>
  <c r="Q175" i="16" a="1"/>
  <c r="Q175" i="16" s="1"/>
  <c r="P178" i="16" a="1"/>
  <c r="P178" i="16" s="1"/>
  <c r="Q180" i="16" a="1"/>
  <c r="Q180" i="16" s="1"/>
  <c r="O183" i="16" a="1"/>
  <c r="O183" i="16" s="1"/>
  <c r="Q185" i="16" a="1"/>
  <c r="Q185" i="16" s="1"/>
  <c r="Q187" i="16" a="1"/>
  <c r="Q187" i="16" s="1"/>
  <c r="Q189" i="16" a="1"/>
  <c r="Q189" i="16" s="1"/>
  <c r="P192" i="16" a="1"/>
  <c r="P192" i="16" s="1"/>
  <c r="P194" i="16" a="1"/>
  <c r="P194" i="16" s="1"/>
  <c r="O199" i="16" a="1"/>
  <c r="O199" i="16" s="1"/>
  <c r="P201" i="16" a="1"/>
  <c r="P201" i="16" s="1"/>
  <c r="P203" i="16" a="1"/>
  <c r="P203" i="16" s="1"/>
  <c r="Q205" i="16" a="1"/>
  <c r="Q205" i="16" s="1"/>
  <c r="P208" i="16" a="1"/>
  <c r="P208" i="16" s="1"/>
  <c r="O9" i="16" a="1"/>
  <c r="O9" i="16" s="1"/>
  <c r="O14" i="16" a="1"/>
  <c r="O14" i="16" s="1"/>
  <c r="P16" i="16" a="1"/>
  <c r="P16" i="16" s="1"/>
  <c r="Q18" i="16" a="1"/>
  <c r="Q18" i="16" s="1"/>
  <c r="P21" i="16" a="1"/>
  <c r="P21" i="16" s="1"/>
  <c r="Q23" i="16" a="1"/>
  <c r="Q23" i="16" s="1"/>
  <c r="Q28" i="16" a="1"/>
  <c r="Q28" i="16" s="1"/>
  <c r="P31" i="16" a="1"/>
  <c r="P31" i="16" s="1"/>
  <c r="Q33" i="16" a="1"/>
  <c r="Q33" i="16" s="1"/>
  <c r="P36" i="16" a="1"/>
  <c r="P36" i="16" s="1"/>
  <c r="Q38" i="16" a="1"/>
  <c r="Q38" i="16" s="1"/>
  <c r="Q40" i="16" a="1"/>
  <c r="Q40" i="16" s="1"/>
  <c r="P43" i="16" a="1"/>
  <c r="P43" i="16" s="1"/>
  <c r="O46" i="16" a="1"/>
  <c r="O46" i="16" s="1"/>
  <c r="P48" i="16" a="1"/>
  <c r="P48" i="16" s="1"/>
  <c r="P50" i="16" a="1"/>
  <c r="P50" i="16" s="1"/>
  <c r="O53" i="16" a="1"/>
  <c r="O53" i="16" s="1"/>
  <c r="Q55" i="16" a="1"/>
  <c r="Q55" i="16" s="1"/>
  <c r="P60" i="16" a="1"/>
  <c r="P60" i="16" s="1"/>
  <c r="Q62" i="16" a="1"/>
  <c r="Q62" i="16" s="1"/>
  <c r="O65" i="16" a="1"/>
  <c r="O65" i="16" s="1"/>
  <c r="Q67" i="16" a="1"/>
  <c r="Q67" i="16" s="1"/>
  <c r="O70" i="16" a="1"/>
  <c r="O70" i="16" s="1"/>
  <c r="P72" i="16" a="1"/>
  <c r="P72" i="16" s="1"/>
  <c r="Q74" i="16" a="1"/>
  <c r="Q74" i="16" s="1"/>
  <c r="O77" i="16" a="1"/>
  <c r="O77" i="16" s="1"/>
  <c r="Q79" i="16" a="1"/>
  <c r="Q79" i="16" s="1"/>
  <c r="P82" i="16" a="1"/>
  <c r="P82" i="16" s="1"/>
  <c r="Q84" i="16" a="1"/>
  <c r="Q84" i="16" s="1"/>
  <c r="O87" i="16" a="1"/>
  <c r="O87" i="16" s="1"/>
  <c r="Q91" i="16" a="1"/>
  <c r="Q91" i="16" s="1"/>
  <c r="O94" i="16" a="1"/>
  <c r="O94" i="16" s="1"/>
  <c r="P96" i="16" a="1"/>
  <c r="P96" i="16" s="1"/>
  <c r="Q98" i="16" a="1"/>
  <c r="Q98" i="16" s="1"/>
  <c r="O101" i="16" a="1"/>
  <c r="O101" i="16" s="1"/>
  <c r="Q103" i="16" a="1"/>
  <c r="Q103" i="16" s="1"/>
  <c r="Q108" i="16" a="1"/>
  <c r="Q108" i="16" s="1"/>
  <c r="P111" i="16" a="1"/>
  <c r="P111" i="16" s="1"/>
  <c r="O116" i="16" a="1"/>
  <c r="O116" i="16" s="1"/>
  <c r="Q118" i="16" a="1"/>
  <c r="Q118" i="16" s="1"/>
  <c r="O121" i="16" a="1"/>
  <c r="O121" i="16" s="1"/>
  <c r="P123" i="16" a="1"/>
  <c r="P123" i="16" s="1"/>
  <c r="P125" i="16" a="1"/>
  <c r="P125" i="16" s="1"/>
  <c r="Q127" i="16" a="1"/>
  <c r="Q127" i="16" s="1"/>
  <c r="O130" i="16" a="1"/>
  <c r="O130" i="16" s="1"/>
  <c r="Q132" i="16" a="1"/>
  <c r="Q132" i="16" s="1"/>
  <c r="P135" i="16" a="1"/>
  <c r="P135" i="16" s="1"/>
  <c r="O138" i="16" a="1"/>
  <c r="O138" i="16" s="1"/>
  <c r="P140" i="16" a="1"/>
  <c r="P140" i="16" s="1"/>
  <c r="Q142" i="16" a="1"/>
  <c r="Q142" i="16" s="1"/>
  <c r="Q144" i="16" a="1"/>
  <c r="Q144" i="16" s="1"/>
  <c r="O147" i="16" a="1"/>
  <c r="O147" i="16" s="1"/>
  <c r="P149" i="16" a="1"/>
  <c r="P149" i="16" s="1"/>
  <c r="O152" i="16" a="1"/>
  <c r="O152" i="16" s="1"/>
  <c r="Q154" i="16" a="1"/>
  <c r="Q154" i="16" s="1"/>
  <c r="P157" i="16" a="1"/>
  <c r="P157" i="16" s="1"/>
  <c r="Q159" i="16" a="1"/>
  <c r="Q159" i="16" s="1"/>
  <c r="P166" i="16" a="1"/>
  <c r="P166" i="16" s="1"/>
  <c r="P168" i="16" a="1"/>
  <c r="P168" i="16" s="1"/>
  <c r="Q170" i="16" a="1"/>
  <c r="Q170" i="16" s="1"/>
  <c r="P173" i="16" a="1"/>
  <c r="P173" i="16" s="1"/>
  <c r="O176" i="16" a="1"/>
  <c r="O176" i="16" s="1"/>
  <c r="Q178" i="16" a="1"/>
  <c r="Q178" i="16" s="1"/>
  <c r="O181" i="16" a="1"/>
  <c r="O181" i="16" s="1"/>
  <c r="P183" i="16" a="1"/>
  <c r="P183" i="16" s="1"/>
  <c r="O188" i="16" a="1"/>
  <c r="O188" i="16" s="1"/>
  <c r="O190" i="16" a="1"/>
  <c r="O190" i="16" s="1"/>
  <c r="Q194" i="16" a="1"/>
  <c r="Q194" i="16" s="1"/>
  <c r="Q196" i="16" a="1"/>
  <c r="Q196" i="16" s="1"/>
  <c r="P199" i="16" a="1"/>
  <c r="P199" i="16" s="1"/>
  <c r="Q201" i="16" a="1"/>
  <c r="Q201" i="16" s="1"/>
  <c r="Q203" i="16" a="1"/>
  <c r="Q203" i="16" s="1"/>
  <c r="O206" i="16" a="1"/>
  <c r="O206" i="16" s="1"/>
  <c r="Q208" i="16" a="1"/>
  <c r="Q208" i="16" s="1"/>
  <c r="P211" i="16" a="1"/>
  <c r="P211" i="16" s="1"/>
  <c r="P116" i="16" a="1"/>
  <c r="P116" i="16" s="1"/>
  <c r="Q125" i="16" a="1"/>
  <c r="Q125" i="16" s="1"/>
  <c r="Q131" i="16" a="1"/>
  <c r="Q131" i="16" s="1"/>
  <c r="O137" i="16" a="1"/>
  <c r="O137" i="16" s="1"/>
  <c r="Q141" i="16" a="1"/>
  <c r="Q141" i="16" s="1"/>
  <c r="O151" i="16" a="1"/>
  <c r="O151" i="16" s="1"/>
  <c r="P156" i="16" a="1"/>
  <c r="P156" i="16" s="1"/>
  <c r="P161" i="16" a="1"/>
  <c r="P161" i="16" s="1"/>
  <c r="P165" i="16" a="1"/>
  <c r="P165" i="16" s="1"/>
  <c r="O170" i="16" a="1"/>
  <c r="O170" i="16" s="1"/>
  <c r="O175" i="16" a="1"/>
  <c r="O175" i="16" s="1"/>
  <c r="O185" i="16" a="1"/>
  <c r="O185" i="16" s="1"/>
  <c r="O189" i="16" a="1"/>
  <c r="O189" i="16" s="1"/>
  <c r="P198" i="16" a="1"/>
  <c r="P198" i="16" s="1"/>
  <c r="O203" i="16" a="1"/>
  <c r="O203" i="16" s="1"/>
  <c r="Q207" i="16" a="1"/>
  <c r="Q207" i="16" s="1"/>
  <c r="Q211" i="16" a="1"/>
  <c r="Q211" i="16" s="1"/>
  <c r="O214" i="16" a="1"/>
  <c r="O214" i="16" s="1"/>
  <c r="P216" i="16" a="1"/>
  <c r="P216" i="16" s="1"/>
  <c r="Q218" i="16" a="1"/>
  <c r="Q218" i="16" s="1"/>
  <c r="O221" i="16" a="1"/>
  <c r="O221" i="16" s="1"/>
  <c r="P223" i="16" a="1"/>
  <c r="P223" i="16" s="1"/>
  <c r="P225" i="16" a="1"/>
  <c r="P225" i="16" s="1"/>
  <c r="Q227" i="16" a="1"/>
  <c r="Q227" i="16" s="1"/>
  <c r="O230" i="16" a="1"/>
  <c r="O230" i="16" s="1"/>
  <c r="O232" i="16" a="1"/>
  <c r="O232" i="16" s="1"/>
  <c r="P234" i="16" a="1"/>
  <c r="P234" i="16" s="1"/>
  <c r="O237" i="16" a="1"/>
  <c r="O237" i="16" s="1"/>
  <c r="P239" i="16" a="1"/>
  <c r="P239" i="16" s="1"/>
  <c r="P241" i="16" a="1"/>
  <c r="P241" i="16" s="1"/>
  <c r="Q243" i="16" a="1"/>
  <c r="Q243" i="16" s="1"/>
  <c r="P252" i="16" a="1"/>
  <c r="P252" i="16" s="1"/>
  <c r="Q254" i="16" a="1"/>
  <c r="Q254" i="16" s="1"/>
  <c r="O257" i="16" a="1"/>
  <c r="O257" i="16" s="1"/>
  <c r="O259" i="16" a="1"/>
  <c r="O259" i="16" s="1"/>
  <c r="Q261" i="16" a="1"/>
  <c r="Q261" i="16" s="1"/>
  <c r="P268" i="16" a="1"/>
  <c r="P268" i="16" s="1"/>
  <c r="Q270" i="16" a="1"/>
  <c r="Q270" i="16" s="1"/>
  <c r="Q272" i="16" a="1"/>
  <c r="Q272" i="16" s="1"/>
  <c r="P275" i="16" a="1"/>
  <c r="P275" i="16" s="1"/>
  <c r="Q284" i="16" a="1"/>
  <c r="Q284" i="16" s="1"/>
  <c r="Q286" i="16" a="1"/>
  <c r="Q286" i="16" s="1"/>
  <c r="Q288" i="16" a="1"/>
  <c r="Q288" i="16" s="1"/>
  <c r="P293" i="16" a="1"/>
  <c r="P293" i="16" s="1"/>
  <c r="Q295" i="16" a="1"/>
  <c r="Q295" i="16" s="1"/>
  <c r="O298" i="16" a="1"/>
  <c r="O298" i="16" s="1"/>
  <c r="O300" i="16" a="1"/>
  <c r="O300" i="16" s="1"/>
  <c r="Q302" i="16" a="1"/>
  <c r="Q302" i="16" s="1"/>
  <c r="Q304" i="16" a="1"/>
  <c r="Q304" i="16" s="1"/>
  <c r="O307" i="16" a="1"/>
  <c r="O307" i="16" s="1"/>
  <c r="O314" i="16" a="1"/>
  <c r="O314" i="16" s="1"/>
  <c r="Q316" i="16" a="1"/>
  <c r="Q316" i="16" s="1"/>
  <c r="Q318" i="16" a="1"/>
  <c r="Q318" i="16" s="1"/>
  <c r="O321" i="16" a="1"/>
  <c r="O321" i="16" s="1"/>
  <c r="P323" i="16" a="1"/>
  <c r="P323" i="16" s="1"/>
  <c r="O330" i="16" a="1"/>
  <c r="O330" i="16" s="1"/>
  <c r="Q332" i="16" a="1"/>
  <c r="Q332" i="16" s="1"/>
  <c r="O335" i="16" a="1"/>
  <c r="O335" i="16" s="1"/>
  <c r="O337" i="16" a="1"/>
  <c r="O337" i="16" s="1"/>
  <c r="P339" i="16" a="1"/>
  <c r="P339" i="16" s="1"/>
  <c r="O342" i="16" a="1"/>
  <c r="O342" i="16" s="1"/>
  <c r="P344" i="16" a="1"/>
  <c r="P344" i="16" s="1"/>
  <c r="Q346" i="16" a="1"/>
  <c r="Q346" i="16" s="1"/>
  <c r="Q348" i="16" a="1"/>
  <c r="Q348" i="16" s="1"/>
  <c r="O351" i="16" a="1"/>
  <c r="O351" i="16" s="1"/>
  <c r="Q355" i="16" a="1"/>
  <c r="Q355" i="16" s="1"/>
  <c r="O358" i="16" a="1"/>
  <c r="O358" i="16" s="1"/>
  <c r="Q360" i="16" a="1"/>
  <c r="Q360" i="16" s="1"/>
  <c r="O99" i="16" a="1"/>
  <c r="O99" i="16" s="1"/>
  <c r="O119" i="16" a="1"/>
  <c r="O119" i="16" s="1"/>
  <c r="Q126" i="16" a="1"/>
  <c r="Q126" i="16" s="1"/>
  <c r="O132" i="16" a="1"/>
  <c r="O132" i="16" s="1"/>
  <c r="P137" i="16" a="1"/>
  <c r="P137" i="16" s="1"/>
  <c r="O142" i="16" a="1"/>
  <c r="O142" i="16" s="1"/>
  <c r="P146" i="16" a="1"/>
  <c r="P146" i="16" s="1"/>
  <c r="P151" i="16" a="1"/>
  <c r="P151" i="16" s="1"/>
  <c r="Q156" i="16" a="1"/>
  <c r="Q156" i="16" s="1"/>
  <c r="Q165" i="16" a="1"/>
  <c r="Q165" i="16" s="1"/>
  <c r="P175" i="16" a="1"/>
  <c r="P175" i="16" s="1"/>
  <c r="P180" i="16" a="1"/>
  <c r="P180" i="16" s="1"/>
  <c r="P185" i="16" a="1"/>
  <c r="P185" i="16" s="1"/>
  <c r="P189" i="16" a="1"/>
  <c r="P189" i="16" s="1"/>
  <c r="O194" i="16" a="1"/>
  <c r="O194" i="16" s="1"/>
  <c r="Q198" i="16" a="1"/>
  <c r="Q198" i="16" s="1"/>
  <c r="O208" i="16" a="1"/>
  <c r="O208" i="16" s="1"/>
  <c r="O212" i="16" a="1"/>
  <c r="O212" i="16" s="1"/>
  <c r="P214" i="16" a="1"/>
  <c r="P214" i="16" s="1"/>
  <c r="Q216" i="16" a="1"/>
  <c r="Q216" i="16" s="1"/>
  <c r="O219" i="16" a="1"/>
  <c r="O219" i="16" s="1"/>
  <c r="P221" i="16" a="1"/>
  <c r="P221" i="16" s="1"/>
  <c r="Q223" i="16" a="1"/>
  <c r="Q223" i="16" s="1"/>
  <c r="Q225" i="16" a="1"/>
  <c r="Q225" i="16" s="1"/>
  <c r="O228" i="16" a="1"/>
  <c r="O228" i="16" s="1"/>
  <c r="P230" i="16" a="1"/>
  <c r="P230" i="16" s="1"/>
  <c r="P232" i="16" a="1"/>
  <c r="P232" i="16" s="1"/>
  <c r="Q234" i="16" a="1"/>
  <c r="Q234" i="16" s="1"/>
  <c r="P237" i="16" a="1"/>
  <c r="P237" i="16" s="1"/>
  <c r="Q241" i="16" a="1"/>
  <c r="Q241" i="16" s="1"/>
  <c r="O244" i="16" a="1"/>
  <c r="O244" i="16" s="1"/>
  <c r="Q245" i="16" a="1"/>
  <c r="Q245" i="16" s="1"/>
  <c r="O248" i="16" a="1"/>
  <c r="O248" i="16" s="1"/>
  <c r="P250" i="16" a="1"/>
  <c r="P250" i="16" s="1"/>
  <c r="Q252" i="16" a="1"/>
  <c r="Q252" i="16" s="1"/>
  <c r="O255" i="16" a="1"/>
  <c r="O255" i="16" s="1"/>
  <c r="P257" i="16" a="1"/>
  <c r="P257" i="16" s="1"/>
  <c r="P259" i="16" a="1"/>
  <c r="P259" i="16" s="1"/>
  <c r="O262" i="16" a="1"/>
  <c r="O262" i="16" s="1"/>
  <c r="O264" i="16" a="1"/>
  <c r="O264" i="16" s="1"/>
  <c r="P266" i="16" a="1"/>
  <c r="P266" i="16" s="1"/>
  <c r="Q268" i="16" a="1"/>
  <c r="Q268" i="16" s="1"/>
  <c r="O271" i="16" a="1"/>
  <c r="O271" i="16" s="1"/>
  <c r="O273" i="16" a="1"/>
  <c r="O273" i="16" s="1"/>
  <c r="Q275" i="16" a="1"/>
  <c r="Q275" i="16" s="1"/>
  <c r="Q277" i="16" a="1"/>
  <c r="Q277" i="16" s="1"/>
  <c r="O280" i="16" a="1"/>
  <c r="O280" i="16" s="1"/>
  <c r="P282" i="16" a="1"/>
  <c r="P282" i="16" s="1"/>
  <c r="O287" i="16" a="1"/>
  <c r="O287" i="16" s="1"/>
  <c r="O289" i="16" a="1"/>
  <c r="O289" i="16" s="1"/>
  <c r="O291" i="16" a="1"/>
  <c r="O291" i="16" s="1"/>
  <c r="P300" i="16" a="1"/>
  <c r="P300" i="16" s="1"/>
  <c r="O303" i="16" a="1"/>
  <c r="O303" i="16" s="1"/>
  <c r="O305" i="16" a="1"/>
  <c r="O305" i="16" s="1"/>
  <c r="P307" i="16" a="1"/>
  <c r="P307" i="16" s="1"/>
  <c r="Q309" i="16" a="1"/>
  <c r="Q309" i="16" s="1"/>
  <c r="O312" i="16" a="1"/>
  <c r="O312" i="16" s="1"/>
  <c r="P314" i="16" a="1"/>
  <c r="P314" i="16" s="1"/>
  <c r="O319" i="16" a="1"/>
  <c r="O319" i="16" s="1"/>
  <c r="P321" i="16" a="1"/>
  <c r="P321" i="16" s="1"/>
  <c r="Q323" i="16" a="1"/>
  <c r="Q323" i="16" s="1"/>
  <c r="Q325" i="16" a="1"/>
  <c r="Q325" i="16" s="1"/>
  <c r="O328" i="16" a="1"/>
  <c r="O328" i="16" s="1"/>
  <c r="P330" i="16" a="1"/>
  <c r="P330" i="16" s="1"/>
  <c r="O333" i="16" a="1"/>
  <c r="O333" i="16" s="1"/>
  <c r="P335" i="16" a="1"/>
  <c r="P335" i="16" s="1"/>
  <c r="Q339" i="16" a="1"/>
  <c r="Q339" i="16" s="1"/>
  <c r="P342" i="16" a="1"/>
  <c r="P342" i="16" s="1"/>
  <c r="Q344" i="16" a="1"/>
  <c r="Q344" i="16" s="1"/>
  <c r="O347" i="16" a="1"/>
  <c r="O347" i="16" s="1"/>
  <c r="O349" i="16" a="1"/>
  <c r="O349" i="16" s="1"/>
  <c r="P101" i="16" a="1"/>
  <c r="P101" i="16" s="1"/>
  <c r="O120" i="16" a="1"/>
  <c r="O120" i="16" s="1"/>
  <c r="O127" i="16" a="1"/>
  <c r="O127" i="16" s="1"/>
  <c r="O133" i="16" a="1"/>
  <c r="O133" i="16" s="1"/>
  <c r="P138" i="16" a="1"/>
  <c r="P138" i="16" s="1"/>
  <c r="P147" i="16" a="1"/>
  <c r="P147" i="16" s="1"/>
  <c r="P152" i="16" a="1"/>
  <c r="P152" i="16" s="1"/>
  <c r="Q157" i="16" a="1"/>
  <c r="Q157" i="16" s="1"/>
  <c r="O162" i="16" a="1"/>
  <c r="O162" i="16" s="1"/>
  <c r="Q166" i="16" a="1"/>
  <c r="Q166" i="16" s="1"/>
  <c r="O171" i="16" a="1"/>
  <c r="O171" i="16" s="1"/>
  <c r="P176" i="16" a="1"/>
  <c r="P176" i="16" s="1"/>
  <c r="P181" i="16" a="1"/>
  <c r="P181" i="16" s="1"/>
  <c r="O186" i="16" a="1"/>
  <c r="O186" i="16" s="1"/>
  <c r="P190" i="16" a="1"/>
  <c r="P190" i="16" s="1"/>
  <c r="O195" i="16" a="1"/>
  <c r="O195" i="16" s="1"/>
  <c r="Q199" i="16" a="1"/>
  <c r="Q199" i="16" s="1"/>
  <c r="O204" i="16" a="1"/>
  <c r="O204" i="16" s="1"/>
  <c r="O209" i="16" a="1"/>
  <c r="O209" i="16" s="1"/>
  <c r="P212" i="16" a="1"/>
  <c r="P212" i="16" s="1"/>
  <c r="O217" i="16" a="1"/>
  <c r="O217" i="16" s="1"/>
  <c r="P219" i="16" a="1"/>
  <c r="P219" i="16" s="1"/>
  <c r="Q221" i="16" a="1"/>
  <c r="Q221" i="16" s="1"/>
  <c r="O226" i="16" a="1"/>
  <c r="O226" i="16" s="1"/>
  <c r="P228" i="16" a="1"/>
  <c r="P228" i="16" s="1"/>
  <c r="Q230" i="16" a="1"/>
  <c r="Q230" i="16" s="1"/>
  <c r="Q232" i="16" a="1"/>
  <c r="Q232" i="16" s="1"/>
  <c r="O235" i="16" a="1"/>
  <c r="O235" i="16" s="1"/>
  <c r="Q239" i="16" a="1"/>
  <c r="Q239" i="16" s="1"/>
  <c r="O242" i="16" a="1"/>
  <c r="O242" i="16" s="1"/>
  <c r="P244" i="16" a="1"/>
  <c r="P244" i="16" s="1"/>
  <c r="O246" i="16" a="1"/>
  <c r="O246" i="16" s="1"/>
  <c r="P248" i="16" a="1"/>
  <c r="P248" i="16" s="1"/>
  <c r="Q250" i="16" a="1"/>
  <c r="Q250" i="16" s="1"/>
  <c r="P255" i="16" a="1"/>
  <c r="P255" i="16" s="1"/>
  <c r="Q257" i="16" a="1"/>
  <c r="Q257" i="16" s="1"/>
  <c r="Q259" i="16" a="1"/>
  <c r="Q259" i="16" s="1"/>
  <c r="P262" i="16" a="1"/>
  <c r="P262" i="16" s="1"/>
  <c r="P264" i="16" a="1"/>
  <c r="P264" i="16" s="1"/>
  <c r="O269" i="16" a="1"/>
  <c r="O269" i="16" s="1"/>
  <c r="P271" i="16" a="1"/>
  <c r="P271" i="16" s="1"/>
  <c r="P273" i="16" a="1"/>
  <c r="P273" i="16" s="1"/>
  <c r="O276" i="16" a="1"/>
  <c r="O276" i="16" s="1"/>
  <c r="O278" i="16" a="1"/>
  <c r="O278" i="16" s="1"/>
  <c r="P280" i="16" a="1"/>
  <c r="P280" i="16" s="1"/>
  <c r="Q282" i="16" a="1"/>
  <c r="Q282" i="16" s="1"/>
  <c r="O285" i="16" a="1"/>
  <c r="O285" i="16" s="1"/>
  <c r="P287" i="16" a="1"/>
  <c r="P287" i="16" s="1"/>
  <c r="P289" i="16" a="1"/>
  <c r="P289" i="16" s="1"/>
  <c r="P291" i="16" a="1"/>
  <c r="P291" i="16" s="1"/>
  <c r="Q293" i="16" a="1"/>
  <c r="Q293" i="16" s="1"/>
  <c r="O296" i="16" a="1"/>
  <c r="O296" i="16" s="1"/>
  <c r="P298" i="16" a="1"/>
  <c r="P298" i="16" s="1"/>
  <c r="Q300" i="16" a="1"/>
  <c r="Q300" i="16" s="1"/>
  <c r="P303" i="16" a="1"/>
  <c r="P303" i="16" s="1"/>
  <c r="P305" i="16" a="1"/>
  <c r="P305" i="16" s="1"/>
  <c r="Q307" i="16" a="1"/>
  <c r="Q307" i="16" s="1"/>
  <c r="O310" i="16" a="1"/>
  <c r="O310" i="16" s="1"/>
  <c r="Q314" i="16" a="1"/>
  <c r="Q314" i="16" s="1"/>
  <c r="O317" i="16" a="1"/>
  <c r="O317" i="16" s="1"/>
  <c r="P319" i="16" a="1"/>
  <c r="P319" i="16" s="1"/>
  <c r="Q321" i="16" a="1"/>
  <c r="Q321" i="16" s="1"/>
  <c r="O324" i="16" a="1"/>
  <c r="O324" i="16" s="1"/>
  <c r="O326" i="16" a="1"/>
  <c r="O326" i="16" s="1"/>
  <c r="P328" i="16" a="1"/>
  <c r="P328" i="16" s="1"/>
  <c r="Q330" i="16" a="1"/>
  <c r="Q330" i="16" s="1"/>
  <c r="P333" i="16" a="1"/>
  <c r="P333" i="16" s="1"/>
  <c r="P337" i="16" a="1"/>
  <c r="P337" i="16" s="1"/>
  <c r="O340" i="16" a="1"/>
  <c r="O340" i="16" s="1"/>
  <c r="Q342" i="16" a="1"/>
  <c r="Q342" i="16" s="1"/>
  <c r="O345" i="16" a="1"/>
  <c r="O345" i="16" s="1"/>
  <c r="O104" i="16" a="1"/>
  <c r="O104" i="16" s="1"/>
  <c r="P121" i="16" a="1"/>
  <c r="P121" i="16" s="1"/>
  <c r="O128" i="16" a="1"/>
  <c r="O128" i="16" s="1"/>
  <c r="O134" i="16" a="1"/>
  <c r="O134" i="16" s="1"/>
  <c r="P139" i="16" a="1"/>
  <c r="P139" i="16" s="1"/>
  <c r="P143" i="16" a="1"/>
  <c r="P143" i="16" s="1"/>
  <c r="P148" i="16" a="1"/>
  <c r="P148" i="16" s="1"/>
  <c r="P153" i="16" a="1"/>
  <c r="P153" i="16" s="1"/>
  <c r="Q158" i="16" a="1"/>
  <c r="Q158" i="16" s="1"/>
  <c r="O163" i="16" a="1"/>
  <c r="O163" i="16" s="1"/>
  <c r="P167" i="16" a="1"/>
  <c r="P167" i="16" s="1"/>
  <c r="O172" i="16" a="1"/>
  <c r="O172" i="16" s="1"/>
  <c r="P177" i="16" a="1"/>
  <c r="P177" i="16" s="1"/>
  <c r="P182" i="16" a="1"/>
  <c r="P182" i="16" s="1"/>
  <c r="Q186" i="16" a="1"/>
  <c r="Q186" i="16" s="1"/>
  <c r="P191" i="16" a="1"/>
  <c r="P191" i="16" s="1"/>
  <c r="O196" i="16" a="1"/>
  <c r="O196" i="16" s="1"/>
  <c r="P200" i="16" a="1"/>
  <c r="P200" i="16" s="1"/>
  <c r="O205" i="16" a="1"/>
  <c r="O205" i="16" s="1"/>
  <c r="Q209" i="16" a="1"/>
  <c r="Q209" i="16" s="1"/>
  <c r="Q212" i="16" a="1"/>
  <c r="Q212" i="16" s="1"/>
  <c r="Q214" i="16" a="1"/>
  <c r="Q214" i="16" s="1"/>
  <c r="P217" i="16" a="1"/>
  <c r="P217" i="16" s="1"/>
  <c r="Q219" i="16" a="1"/>
  <c r="Q219" i="16" s="1"/>
  <c r="O222" i="16" a="1"/>
  <c r="O222" i="16" s="1"/>
  <c r="O224" i="16" a="1"/>
  <c r="O224" i="16" s="1"/>
  <c r="P226" i="16" a="1"/>
  <c r="P226" i="16" s="1"/>
  <c r="Q228" i="16" a="1"/>
  <c r="Q228" i="16" s="1"/>
  <c r="O231" i="16" a="1"/>
  <c r="O231" i="16" s="1"/>
  <c r="O233" i="16" a="1"/>
  <c r="O233" i="16" s="1"/>
  <c r="P235" i="16" a="1"/>
  <c r="P235" i="16" s="1"/>
  <c r="Q237" i="16" a="1"/>
  <c r="Q237" i="16" s="1"/>
  <c r="O240" i="16" a="1"/>
  <c r="O240" i="16" s="1"/>
  <c r="P242" i="16" a="1"/>
  <c r="P242" i="16" s="1"/>
  <c r="Q244" i="16" a="1"/>
  <c r="Q244" i="16" s="1"/>
  <c r="P246" i="16" a="1"/>
  <c r="P246" i="16" s="1"/>
  <c r="Q248" i="16" a="1"/>
  <c r="Q248" i="16" s="1"/>
  <c r="O253" i="16" a="1"/>
  <c r="O253" i="16" s="1"/>
  <c r="Q255" i="16" a="1"/>
  <c r="Q255" i="16" s="1"/>
  <c r="O258" i="16" a="1"/>
  <c r="O258" i="16" s="1"/>
  <c r="O260" i="16" a="1"/>
  <c r="O260" i="16" s="1"/>
  <c r="Q262" i="16" a="1"/>
  <c r="Q262" i="16" s="1"/>
  <c r="Q264" i="16" a="1"/>
  <c r="Q264" i="16" s="1"/>
  <c r="Q266" i="16" a="1"/>
  <c r="Q266" i="16" s="1"/>
  <c r="P269" i="16" a="1"/>
  <c r="P269" i="16" s="1"/>
  <c r="Q273" i="16" a="1"/>
  <c r="Q273" i="16" s="1"/>
  <c r="P276" i="16" a="1"/>
  <c r="P276" i="16" s="1"/>
  <c r="P278" i="16" a="1"/>
  <c r="P278" i="16" s="1"/>
  <c r="Q280" i="16" a="1"/>
  <c r="Q280" i="16" s="1"/>
  <c r="O283" i="16" a="1"/>
  <c r="O283" i="16" s="1"/>
  <c r="Q289" i="16" a="1"/>
  <c r="Q289" i="16" s="1"/>
  <c r="Q291" i="16" a="1"/>
  <c r="Q291" i="16" s="1"/>
  <c r="O294" i="16" a="1"/>
  <c r="O294" i="16" s="1"/>
  <c r="P296" i="16" a="1"/>
  <c r="P296" i="16" s="1"/>
  <c r="O301" i="16" a="1"/>
  <c r="O301" i="16" s="1"/>
  <c r="Q305" i="16" a="1"/>
  <c r="Q305" i="16" s="1"/>
  <c r="O308" i="16" a="1"/>
  <c r="O308" i="16" s="1"/>
  <c r="P310" i="16" a="1"/>
  <c r="P310" i="16" s="1"/>
  <c r="P312" i="16" a="1"/>
  <c r="P312" i="16" s="1"/>
  <c r="O315" i="16" a="1"/>
  <c r="O315" i="16" s="1"/>
  <c r="O322" i="16" a="1"/>
  <c r="O322" i="16" s="1"/>
  <c r="P324" i="16" a="1"/>
  <c r="P324" i="16" s="1"/>
  <c r="P326" i="16" a="1"/>
  <c r="P326" i="16" s="1"/>
  <c r="Q328" i="16" a="1"/>
  <c r="Q328" i="16" s="1"/>
  <c r="O331" i="16" a="1"/>
  <c r="O331" i="16" s="1"/>
  <c r="Q333" i="16" a="1"/>
  <c r="Q333" i="16" s="1"/>
  <c r="Q335" i="16" a="1"/>
  <c r="Q335" i="16" s="1"/>
  <c r="Q337" i="16" a="1"/>
  <c r="Q337" i="16" s="1"/>
  <c r="P340" i="16" a="1"/>
  <c r="P340" i="16" s="1"/>
  <c r="O343" i="16" a="1"/>
  <c r="O343" i="16" s="1"/>
  <c r="P345" i="16" a="1"/>
  <c r="P345" i="16" s="1"/>
  <c r="P349" i="16" a="1"/>
  <c r="P349" i="16" s="1"/>
  <c r="P106" i="16" a="1"/>
  <c r="P106" i="16" s="1"/>
  <c r="O122" i="16" a="1"/>
  <c r="O122" i="16" s="1"/>
  <c r="Q128" i="16" a="1"/>
  <c r="Q128" i="16" s="1"/>
  <c r="P134" i="16" a="1"/>
  <c r="P134" i="16" s="1"/>
  <c r="Q139" i="16" a="1"/>
  <c r="Q139" i="16" s="1"/>
  <c r="Q143" i="16" a="1"/>
  <c r="Q143" i="16" s="1"/>
  <c r="Q148" i="16" a="1"/>
  <c r="Q148" i="16" s="1"/>
  <c r="Q153" i="16" a="1"/>
  <c r="Q153" i="16" s="1"/>
  <c r="P163" i="16" a="1"/>
  <c r="P163" i="16" s="1"/>
  <c r="P172" i="16" a="1"/>
  <c r="P172" i="16" s="1"/>
  <c r="Q177" i="16" a="1"/>
  <c r="Q177" i="16" s="1"/>
  <c r="Q182" i="16" a="1"/>
  <c r="Q182" i="16" s="1"/>
  <c r="O187" i="16" a="1"/>
  <c r="O187" i="16" s="1"/>
  <c r="Q191" i="16" a="1"/>
  <c r="Q191" i="16" s="1"/>
  <c r="Q200" i="16" a="1"/>
  <c r="Q200" i="16" s="1"/>
  <c r="P205" i="16" a="1"/>
  <c r="P205" i="16" s="1"/>
  <c r="O210" i="16" a="1"/>
  <c r="O210" i="16" s="1"/>
  <c r="O213" i="16" a="1"/>
  <c r="O213" i="16" s="1"/>
  <c r="O215" i="16" a="1"/>
  <c r="O215" i="16" s="1"/>
  <c r="O220" i="16" a="1"/>
  <c r="O220" i="16" s="1"/>
  <c r="Q226" i="16" a="1"/>
  <c r="Q226" i="16" s="1"/>
  <c r="P231" i="16" a="1"/>
  <c r="P231" i="16" s="1"/>
  <c r="P233" i="16" a="1"/>
  <c r="P233" i="16" s="1"/>
  <c r="Q235" i="16" a="1"/>
  <c r="Q235" i="16" s="1"/>
  <c r="O238" i="16" a="1"/>
  <c r="O238" i="16" s="1"/>
  <c r="Q246" i="16" a="1"/>
  <c r="Q246" i="16" s="1"/>
  <c r="O249" i="16" a="1"/>
  <c r="O249" i="16" s="1"/>
  <c r="O251" i="16" a="1"/>
  <c r="O251" i="16" s="1"/>
  <c r="P253" i="16" a="1"/>
  <c r="P253" i="16" s="1"/>
  <c r="O256" i="16" a="1"/>
  <c r="O256" i="16" s="1"/>
  <c r="P258" i="16" a="1"/>
  <c r="P258" i="16" s="1"/>
  <c r="P260" i="16" a="1"/>
  <c r="P260" i="16" s="1"/>
  <c r="O263" i="16" a="1"/>
  <c r="O263" i="16" s="1"/>
  <c r="O265" i="16" a="1"/>
  <c r="O265" i="16" s="1"/>
  <c r="O267" i="16" a="1"/>
  <c r="O267" i="16" s="1"/>
  <c r="Q271" i="16" a="1"/>
  <c r="Q271" i="16" s="1"/>
  <c r="O109" i="16" a="1"/>
  <c r="O109" i="16" s="1"/>
  <c r="P129" i="16" a="1"/>
  <c r="P129" i="16" s="1"/>
  <c r="Q134" i="16" a="1"/>
  <c r="Q134" i="16" s="1"/>
  <c r="O140" i="16" a="1"/>
  <c r="O140" i="16" s="1"/>
  <c r="O144" i="16" a="1"/>
  <c r="O144" i="16" s="1"/>
  <c r="O154" i="16" a="1"/>
  <c r="O154" i="16" s="1"/>
  <c r="O159" i="16" a="1"/>
  <c r="O159" i="16" s="1"/>
  <c r="Q163" i="16" a="1"/>
  <c r="Q163" i="16" s="1"/>
  <c r="Q167" i="16" a="1"/>
  <c r="Q167" i="16" s="1"/>
  <c r="Q172" i="16" a="1"/>
  <c r="Q172" i="16" s="1"/>
  <c r="O178" i="16" a="1"/>
  <c r="O178" i="16" s="1"/>
  <c r="P187" i="16" a="1"/>
  <c r="P187" i="16" s="1"/>
  <c r="O192" i="16" a="1"/>
  <c r="O192" i="16" s="1"/>
  <c r="P196" i="16" a="1"/>
  <c r="P196" i="16" s="1"/>
  <c r="O201" i="16" a="1"/>
  <c r="O201" i="16" s="1"/>
  <c r="P210" i="16" a="1"/>
  <c r="P210" i="16" s="1"/>
  <c r="P215" i="16" a="1"/>
  <c r="P215" i="16" s="1"/>
  <c r="Q217" i="16" a="1"/>
  <c r="Q217" i="16" s="1"/>
  <c r="P220" i="16" a="1"/>
  <c r="P220" i="16" s="1"/>
  <c r="P222" i="16" a="1"/>
  <c r="P222" i="16" s="1"/>
  <c r="P224" i="16" a="1"/>
  <c r="P224" i="16" s="1"/>
  <c r="O229" i="16" a="1"/>
  <c r="O229" i="16" s="1"/>
  <c r="Q233" i="16" a="1"/>
  <c r="Q233" i="16" s="1"/>
  <c r="O236" i="16" a="1"/>
  <c r="O236" i="16" s="1"/>
  <c r="P238" i="16" a="1"/>
  <c r="P238" i="16" s="1"/>
  <c r="P240" i="16" a="1"/>
  <c r="P240" i="16" s="1"/>
  <c r="Q242" i="16" a="1"/>
  <c r="Q242" i="16" s="1"/>
  <c r="O245" i="16" a="1"/>
  <c r="O245" i="16" s="1"/>
  <c r="O247" i="16" a="1"/>
  <c r="O247" i="16" s="1"/>
  <c r="P249" i="16" a="1"/>
  <c r="P249" i="16" s="1"/>
  <c r="P251" i="16" a="1"/>
  <c r="P251" i="16" s="1"/>
  <c r="Q253" i="16" a="1"/>
  <c r="Q253" i="16" s="1"/>
  <c r="Q260" i="16" a="1"/>
  <c r="Q260" i="16" s="1"/>
  <c r="P263" i="16" a="1"/>
  <c r="P263" i="16" s="1"/>
  <c r="P265" i="16" a="1"/>
  <c r="P265" i="16" s="1"/>
  <c r="P267" i="16" a="1"/>
  <c r="P267" i="16" s="1"/>
  <c r="Q269" i="16" a="1"/>
  <c r="Q269" i="16" s="1"/>
  <c r="P124" i="16" a="1"/>
  <c r="P124" i="16" s="1"/>
  <c r="P130" i="16" a="1"/>
  <c r="P130" i="16" s="1"/>
  <c r="Q135" i="16" a="1"/>
  <c r="Q135" i="16" s="1"/>
  <c r="O145" i="16" a="1"/>
  <c r="O145" i="16" s="1"/>
  <c r="Q149" i="16" a="1"/>
  <c r="Q149" i="16" s="1"/>
  <c r="O155" i="16" a="1"/>
  <c r="O155" i="16" s="1"/>
  <c r="O160" i="16" a="1"/>
  <c r="O160" i="16" s="1"/>
  <c r="P164" i="16" a="1"/>
  <c r="P164" i="16" s="1"/>
  <c r="Q168" i="16" a="1"/>
  <c r="Q168" i="16" s="1"/>
  <c r="Q173" i="16" a="1"/>
  <c r="Q173" i="16" s="1"/>
  <c r="O179" i="16" a="1"/>
  <c r="O179" i="16" s="1"/>
  <c r="Q183" i="16" a="1"/>
  <c r="Q183" i="16" s="1"/>
  <c r="P188" i="16" a="1"/>
  <c r="P188" i="16" s="1"/>
  <c r="Q192" i="16" a="1"/>
  <c r="Q192" i="16" s="1"/>
  <c r="O197" i="16" a="1"/>
  <c r="O197" i="16" s="1"/>
  <c r="O202" i="16" a="1"/>
  <c r="O202" i="16" s="1"/>
  <c r="P206" i="16" a="1"/>
  <c r="P206" i="16" s="1"/>
  <c r="Q210" i="16" a="1"/>
  <c r="Q210" i="16" s="1"/>
  <c r="P213" i="16" a="1"/>
  <c r="P213" i="16" s="1"/>
  <c r="Q215" i="16" a="1"/>
  <c r="Q215" i="16" s="1"/>
  <c r="O218" i="16" a="1"/>
  <c r="O218" i="16" s="1"/>
  <c r="Q220" i="16" a="1"/>
  <c r="Q220" i="16" s="1"/>
  <c r="Q222" i="16" a="1"/>
  <c r="Q222" i="16" s="1"/>
  <c r="Q224" i="16" a="1"/>
  <c r="Q224" i="16" s="1"/>
  <c r="O227" i="16" a="1"/>
  <c r="O227" i="16" s="1"/>
  <c r="P229" i="16" a="1"/>
  <c r="P229" i="16" s="1"/>
  <c r="Q231" i="16" a="1"/>
  <c r="Q231" i="16" s="1"/>
  <c r="O234" i="16" a="1"/>
  <c r="O234" i="16" s="1"/>
  <c r="P236" i="16" a="1"/>
  <c r="P236" i="16" s="1"/>
  <c r="Q238" i="16" a="1"/>
  <c r="Q238" i="16" s="1"/>
  <c r="Q113" i="16" a="1"/>
  <c r="Q113" i="16" s="1"/>
  <c r="Q124" i="16" a="1"/>
  <c r="Q124" i="16" s="1"/>
  <c r="P131" i="16" a="1"/>
  <c r="P131" i="16" s="1"/>
  <c r="Q136" i="16" a="1"/>
  <c r="Q136" i="16" s="1"/>
  <c r="P141" i="16" a="1"/>
  <c r="P141" i="16" s="1"/>
  <c r="O146" i="16" a="1"/>
  <c r="O146" i="16" s="1"/>
  <c r="Q150" i="16" a="1"/>
  <c r="Q150" i="16" s="1"/>
  <c r="O156" i="16" a="1"/>
  <c r="O156" i="16" s="1"/>
  <c r="O161" i="16" a="1"/>
  <c r="O161" i="16" s="1"/>
  <c r="O165" i="16" a="1"/>
  <c r="O165" i="16" s="1"/>
  <c r="Q169" i="16" a="1"/>
  <c r="Q169" i="16" s="1"/>
  <c r="Q174" i="16" a="1"/>
  <c r="Q174" i="16" s="1"/>
  <c r="O180" i="16" a="1"/>
  <c r="O180" i="16" s="1"/>
  <c r="Q184" i="16" a="1"/>
  <c r="Q184" i="16" s="1"/>
  <c r="Q193" i="16" a="1"/>
  <c r="Q193" i="16" s="1"/>
  <c r="O198" i="16" a="1"/>
  <c r="O198" i="16" s="1"/>
  <c r="Q202" i="16" a="1"/>
  <c r="Q202" i="16" s="1"/>
  <c r="P207" i="16" a="1"/>
  <c r="P207" i="16" s="1"/>
  <c r="O211" i="16" a="1"/>
  <c r="O211" i="16" s="1"/>
  <c r="Q213" i="16" a="1"/>
  <c r="Q213" i="16" s="1"/>
  <c r="O216" i="16" a="1"/>
  <c r="O216" i="16" s="1"/>
  <c r="P218" i="16" a="1"/>
  <c r="P218" i="16" s="1"/>
  <c r="O223" i="16" a="1"/>
  <c r="O223" i="16" s="1"/>
  <c r="O225" i="16" a="1"/>
  <c r="O225" i="16" s="1"/>
  <c r="P227" i="16" a="1"/>
  <c r="P227" i="16" s="1"/>
  <c r="Q229" i="16" a="1"/>
  <c r="Q229" i="16" s="1"/>
  <c r="Q236" i="16" a="1"/>
  <c r="Q236" i="16" s="1"/>
  <c r="O239" i="16" a="1"/>
  <c r="O239" i="16" s="1"/>
  <c r="O241" i="16" a="1"/>
  <c r="O241" i="16" s="1"/>
  <c r="P243" i="16" a="1"/>
  <c r="P243" i="16" s="1"/>
  <c r="P245" i="16" a="1"/>
  <c r="P245" i="16" s="1"/>
  <c r="Q247" i="16" a="1"/>
  <c r="Q247" i="16" s="1"/>
  <c r="O250" i="16" a="1"/>
  <c r="O250" i="16" s="1"/>
  <c r="O252" i="16" a="1"/>
  <c r="O252" i="16" s="1"/>
  <c r="P254" i="16" a="1"/>
  <c r="P254" i="16" s="1"/>
  <c r="Q256" i="16" a="1"/>
  <c r="Q256" i="16" s="1"/>
  <c r="P261" i="16" a="1"/>
  <c r="P261" i="16" s="1"/>
  <c r="P256" i="16" a="1"/>
  <c r="P256" i="16" s="1"/>
  <c r="O268" i="16" a="1"/>
  <c r="O268" i="16" s="1"/>
  <c r="Q274" i="16" a="1"/>
  <c r="Q274" i="16" s="1"/>
  <c r="P279" i="16" a="1"/>
  <c r="P279" i="16" s="1"/>
  <c r="O284" i="16" a="1"/>
  <c r="O284" i="16" s="1"/>
  <c r="Q292" i="16" a="1"/>
  <c r="Q292" i="16" s="1"/>
  <c r="P297" i="16" a="1"/>
  <c r="P297" i="16" s="1"/>
  <c r="O302" i="16" a="1"/>
  <c r="O302" i="16" s="1"/>
  <c r="P306" i="16" a="1"/>
  <c r="P306" i="16" s="1"/>
  <c r="P311" i="16" a="1"/>
  <c r="P311" i="16" s="1"/>
  <c r="O316" i="16" a="1"/>
  <c r="O316" i="16" s="1"/>
  <c r="P320" i="16" a="1"/>
  <c r="P320" i="16" s="1"/>
  <c r="O325" i="16" a="1"/>
  <c r="O325" i="16" s="1"/>
  <c r="P334" i="16" a="1"/>
  <c r="P334" i="16" s="1"/>
  <c r="Q338" i="16" a="1"/>
  <c r="Q338" i="16" s="1"/>
  <c r="P351" i="16" a="1"/>
  <c r="P351" i="16" s="1"/>
  <c r="O354" i="16" a="1"/>
  <c r="O354" i="16" s="1"/>
  <c r="Q356" i="16" a="1"/>
  <c r="Q356" i="16" s="1"/>
  <c r="P359" i="16" a="1"/>
  <c r="P359" i="16" s="1"/>
  <c r="O362" i="16" a="1"/>
  <c r="O362" i="16" s="1"/>
  <c r="P364" i="16" a="1"/>
  <c r="P364" i="16" s="1"/>
  <c r="Q366" i="16" a="1"/>
  <c r="Q366" i="16" s="1"/>
  <c r="P369" i="16" a="1"/>
  <c r="P369" i="16" s="1"/>
  <c r="Q371" i="16" a="1"/>
  <c r="Q371" i="16" s="1"/>
  <c r="O374" i="16" a="1"/>
  <c r="O374" i="16" s="1"/>
  <c r="P376" i="16" a="1"/>
  <c r="P376" i="16" s="1"/>
  <c r="Q378" i="16" a="1"/>
  <c r="Q378" i="16" s="1"/>
  <c r="O381" i="16" a="1"/>
  <c r="O381" i="16" s="1"/>
  <c r="P383" i="16" a="1"/>
  <c r="P383" i="16" s="1"/>
  <c r="Q385" i="16" a="1"/>
  <c r="Q385" i="16" s="1"/>
  <c r="O388" i="16" a="1"/>
  <c r="O388" i="16" s="1"/>
  <c r="Q392" i="16" a="1"/>
  <c r="Q392" i="16" s="1"/>
  <c r="O395" i="16" a="1"/>
  <c r="O395" i="16" s="1"/>
  <c r="Q399" i="16" a="1"/>
  <c r="Q399" i="16" s="1"/>
  <c r="O404" i="16" a="1"/>
  <c r="O404" i="16" s="1"/>
  <c r="Q406" i="16" a="1"/>
  <c r="Q406" i="16" s="1"/>
  <c r="O409" i="16" a="1"/>
  <c r="O409" i="16" s="1"/>
  <c r="O413" i="16" a="1"/>
  <c r="O413" i="16" s="1"/>
  <c r="P415" i="16" a="1"/>
  <c r="P415" i="16" s="1"/>
  <c r="P417" i="16" a="1"/>
  <c r="P417" i="16" s="1"/>
  <c r="O420" i="16" a="1"/>
  <c r="O420" i="16" s="1"/>
  <c r="Q421" i="16" a="1"/>
  <c r="Q421" i="16" s="1"/>
  <c r="P426" i="16" a="1"/>
  <c r="P426" i="16" s="1"/>
  <c r="Q428" i="16" a="1"/>
  <c r="Q428" i="16" s="1"/>
  <c r="P431" i="16" a="1"/>
  <c r="P431" i="16" s="1"/>
  <c r="Q433" i="16" a="1"/>
  <c r="Q433" i="16" s="1"/>
  <c r="Q435" i="16" a="1"/>
  <c r="Q435" i="16" s="1"/>
  <c r="O438" i="16" a="1"/>
  <c r="O438" i="16" s="1"/>
  <c r="O440" i="16" a="1"/>
  <c r="O440" i="16" s="1"/>
  <c r="O442" i="16" a="1"/>
  <c r="O442" i="16" s="1"/>
  <c r="P444" i="16" a="1"/>
  <c r="P444" i="16" s="1"/>
  <c r="Q446" i="16" a="1"/>
  <c r="Q446" i="16" s="1"/>
  <c r="P451" i="16" a="1"/>
  <c r="P451" i="16" s="1"/>
  <c r="P453" i="16" a="1"/>
  <c r="P453" i="16" s="1"/>
  <c r="Q455" i="16" a="1"/>
  <c r="Q455" i="16" s="1"/>
  <c r="Q457" i="16" a="1"/>
  <c r="Q457" i="16" s="1"/>
  <c r="Q459" i="16" a="1"/>
  <c r="Q459" i="16" s="1"/>
  <c r="P462" i="16" a="1"/>
  <c r="P462" i="16" s="1"/>
  <c r="P464" i="16" a="1"/>
  <c r="P464" i="16" s="1"/>
  <c r="P466" i="16" a="1"/>
  <c r="P466" i="16" s="1"/>
  <c r="O468" i="16" a="1"/>
  <c r="O468" i="16" s="1"/>
  <c r="Q472" i="16" a="1"/>
  <c r="Q472" i="16" s="1"/>
  <c r="Q474" i="16" a="1"/>
  <c r="Q474" i="16" s="1"/>
  <c r="O477" i="16" a="1"/>
  <c r="O477" i="16" s="1"/>
  <c r="O479" i="16" a="1"/>
  <c r="O479" i="16" s="1"/>
  <c r="O481" i="16" a="1"/>
  <c r="O481" i="16" s="1"/>
  <c r="Q483" i="16" a="1"/>
  <c r="Q483" i="16" s="1"/>
  <c r="O486" i="16" a="1"/>
  <c r="O486" i="16" s="1"/>
  <c r="O488" i="16" a="1"/>
  <c r="O488" i="16" s="1"/>
  <c r="P490" i="16" a="1"/>
  <c r="P490" i="16" s="1"/>
  <c r="Q492" i="16" a="1"/>
  <c r="Q492" i="16" s="1"/>
  <c r="O499" i="16" a="1"/>
  <c r="O499" i="16" s="1"/>
  <c r="Q501" i="16" a="1"/>
  <c r="Q501" i="16" s="1"/>
  <c r="Q240" i="16" a="1"/>
  <c r="Q240" i="16" s="1"/>
  <c r="Q258" i="16" a="1"/>
  <c r="Q258" i="16" s="1"/>
  <c r="O270" i="16" a="1"/>
  <c r="O270" i="16" s="1"/>
  <c r="O275" i="16" a="1"/>
  <c r="O275" i="16" s="1"/>
  <c r="Q279" i="16" a="1"/>
  <c r="Q279" i="16" s="1"/>
  <c r="P284" i="16" a="1"/>
  <c r="P284" i="16" s="1"/>
  <c r="P288" i="16" a="1"/>
  <c r="P288" i="16" s="1"/>
  <c r="O293" i="16" a="1"/>
  <c r="O293" i="16" s="1"/>
  <c r="Q297" i="16" a="1"/>
  <c r="Q297" i="16" s="1"/>
  <c r="P302" i="16" a="1"/>
  <c r="P302" i="16" s="1"/>
  <c r="Q306" i="16" a="1"/>
  <c r="Q306" i="16" s="1"/>
  <c r="Q311" i="16" a="1"/>
  <c r="Q311" i="16" s="1"/>
  <c r="P316" i="16" a="1"/>
  <c r="P316" i="16" s="1"/>
  <c r="Q320" i="16" a="1"/>
  <c r="Q320" i="16" s="1"/>
  <c r="P325" i="16" a="1"/>
  <c r="P325" i="16" s="1"/>
  <c r="Q329" i="16" a="1"/>
  <c r="Q329" i="16" s="1"/>
  <c r="Q334" i="16" a="1"/>
  <c r="Q334" i="16" s="1"/>
  <c r="O339" i="16" a="1"/>
  <c r="O339" i="16" s="1"/>
  <c r="O344" i="16" a="1"/>
  <c r="O344" i="16" s="1"/>
  <c r="O348" i="16" a="1"/>
  <c r="O348" i="16" s="1"/>
  <c r="Q351" i="16" a="1"/>
  <c r="Q351" i="16" s="1"/>
  <c r="P354" i="16" a="1"/>
  <c r="P354" i="16" s="1"/>
  <c r="O357" i="16" a="1"/>
  <c r="O357" i="16" s="1"/>
  <c r="Q359" i="16" a="1"/>
  <c r="Q359" i="16" s="1"/>
  <c r="P362" i="16" a="1"/>
  <c r="P362" i="16" s="1"/>
  <c r="Q364" i="16" a="1"/>
  <c r="Q364" i="16" s="1"/>
  <c r="O367" i="16" a="1"/>
  <c r="O367" i="16" s="1"/>
  <c r="Q369" i="16" a="1"/>
  <c r="Q369" i="16" s="1"/>
  <c r="O372" i="16" a="1"/>
  <c r="O372" i="16" s="1"/>
  <c r="P374" i="16" a="1"/>
  <c r="P374" i="16" s="1"/>
  <c r="Q376" i="16" a="1"/>
  <c r="Q376" i="16" s="1"/>
  <c r="O379" i="16" a="1"/>
  <c r="O379" i="16" s="1"/>
  <c r="P381" i="16" a="1"/>
  <c r="P381" i="16" s="1"/>
  <c r="Q383" i="16" a="1"/>
  <c r="Q383" i="16" s="1"/>
  <c r="O386" i="16" a="1"/>
  <c r="O386" i="16" s="1"/>
  <c r="P388" i="16" a="1"/>
  <c r="P388" i="16" s="1"/>
  <c r="P390" i="16" a="1"/>
  <c r="P390" i="16" s="1"/>
  <c r="O393" i="16" a="1"/>
  <c r="O393" i="16" s="1"/>
  <c r="P395" i="16" a="1"/>
  <c r="P395" i="16" s="1"/>
  <c r="P397" i="16" a="1"/>
  <c r="P397" i="16" s="1"/>
  <c r="O400" i="16" a="1"/>
  <c r="O400" i="16" s="1"/>
  <c r="O402" i="16" a="1"/>
  <c r="O402" i="16" s="1"/>
  <c r="P404" i="16" a="1"/>
  <c r="P404" i="16" s="1"/>
  <c r="P409" i="16" a="1"/>
  <c r="P409" i="16" s="1"/>
  <c r="O411" i="16" a="1"/>
  <c r="O411" i="16" s="1"/>
  <c r="P413" i="16" a="1"/>
  <c r="P413" i="16" s="1"/>
  <c r="Q415" i="16" a="1"/>
  <c r="Q415" i="16" s="1"/>
  <c r="Q417" i="16" a="1"/>
  <c r="Q417" i="16" s="1"/>
  <c r="P420" i="16" a="1"/>
  <c r="P420" i="16" s="1"/>
  <c r="O422" i="16" a="1"/>
  <c r="O422" i="16" s="1"/>
  <c r="P424" i="16" a="1"/>
  <c r="P424" i="16" s="1"/>
  <c r="Q426" i="16" a="1"/>
  <c r="Q426" i="16" s="1"/>
  <c r="O429" i="16" a="1"/>
  <c r="O429" i="16" s="1"/>
  <c r="Q431" i="16" a="1"/>
  <c r="Q431" i="16" s="1"/>
  <c r="O436" i="16" a="1"/>
  <c r="O436" i="16" s="1"/>
  <c r="P440" i="16" a="1"/>
  <c r="P440" i="16" s="1"/>
  <c r="Q444" i="16" a="1"/>
  <c r="Q444" i="16" s="1"/>
  <c r="O447" i="16" a="1"/>
  <c r="O447" i="16" s="1"/>
  <c r="P449" i="16" a="1"/>
  <c r="P449" i="16" s="1"/>
  <c r="Q451" i="16" a="1"/>
  <c r="Q451" i="16" s="1"/>
  <c r="Q453" i="16" a="1"/>
  <c r="Q453" i="16" s="1"/>
  <c r="O458" i="16" a="1"/>
  <c r="O458" i="16" s="1"/>
  <c r="O460" i="16" a="1"/>
  <c r="O460" i="16" s="1"/>
  <c r="Q462" i="16" a="1"/>
  <c r="Q462" i="16" s="1"/>
  <c r="Q464" i="16" a="1"/>
  <c r="Q464" i="16" s="1"/>
  <c r="P468" i="16" a="1"/>
  <c r="P468" i="16" s="1"/>
  <c r="Q470" i="16" a="1"/>
  <c r="Q470" i="16" s="1"/>
  <c r="O473" i="16" a="1"/>
  <c r="O473" i="16" s="1"/>
  <c r="O475" i="16" a="1"/>
  <c r="O475" i="16" s="1"/>
  <c r="P479" i="16" a="1"/>
  <c r="P479" i="16" s="1"/>
  <c r="P481" i="16" a="1"/>
  <c r="P481" i="16" s="1"/>
  <c r="O484" i="16" a="1"/>
  <c r="O484" i="16" s="1"/>
  <c r="P488" i="16" a="1"/>
  <c r="P488" i="16" s="1"/>
  <c r="Q490" i="16" a="1"/>
  <c r="Q490" i="16" s="1"/>
  <c r="O493" i="16" a="1"/>
  <c r="O493" i="16" s="1"/>
  <c r="O243" i="16" a="1"/>
  <c r="O243" i="16" s="1"/>
  <c r="O261" i="16" a="1"/>
  <c r="O261" i="16" s="1"/>
  <c r="P270" i="16" a="1"/>
  <c r="P270" i="16" s="1"/>
  <c r="Q276" i="16" a="1"/>
  <c r="Q276" i="16" s="1"/>
  <c r="O281" i="16" a="1"/>
  <c r="O281" i="16" s="1"/>
  <c r="P285" i="16" a="1"/>
  <c r="P285" i="16" s="1"/>
  <c r="O290" i="16" a="1"/>
  <c r="O290" i="16" s="1"/>
  <c r="P294" i="16" a="1"/>
  <c r="P294" i="16" s="1"/>
  <c r="Q298" i="16" a="1"/>
  <c r="Q298" i="16" s="1"/>
  <c r="Q303" i="16" a="1"/>
  <c r="Q303" i="16" s="1"/>
  <c r="P308" i="16" a="1"/>
  <c r="P308" i="16" s="1"/>
  <c r="Q312" i="16" a="1"/>
  <c r="Q312" i="16" s="1"/>
  <c r="P317" i="16" a="1"/>
  <c r="P317" i="16" s="1"/>
  <c r="P322" i="16" a="1"/>
  <c r="P322" i="16" s="1"/>
  <c r="Q326" i="16" a="1"/>
  <c r="Q326" i="16" s="1"/>
  <c r="P331" i="16" a="1"/>
  <c r="P331" i="16" s="1"/>
  <c r="O336" i="16" a="1"/>
  <c r="O336" i="16" s="1"/>
  <c r="Q340" i="16" a="1"/>
  <c r="Q340" i="16" s="1"/>
  <c r="Q345" i="16" a="1"/>
  <c r="Q345" i="16" s="1"/>
  <c r="P348" i="16" a="1"/>
  <c r="P348" i="16" s="1"/>
  <c r="O352" i="16" a="1"/>
  <c r="O352" i="16" s="1"/>
  <c r="Q354" i="16" a="1"/>
  <c r="Q354" i="16" s="1"/>
  <c r="P357" i="16" a="1"/>
  <c r="P357" i="16" s="1"/>
  <c r="O360" i="16" a="1"/>
  <c r="O360" i="16" s="1"/>
  <c r="Q362" i="16" a="1"/>
  <c r="Q362" i="16" s="1"/>
  <c r="O365" i="16" a="1"/>
  <c r="O365" i="16" s="1"/>
  <c r="P367" i="16" a="1"/>
  <c r="P367" i="16" s="1"/>
  <c r="O370" i="16" a="1"/>
  <c r="O370" i="16" s="1"/>
  <c r="P372" i="16" a="1"/>
  <c r="P372" i="16" s="1"/>
  <c r="Q374" i="16" a="1"/>
  <c r="Q374" i="16" s="1"/>
  <c r="O377" i="16" a="1"/>
  <c r="O377" i="16" s="1"/>
  <c r="P379" i="16" a="1"/>
  <c r="P379" i="16" s="1"/>
  <c r="Q381" i="16" a="1"/>
  <c r="Q381" i="16" s="1"/>
  <c r="O384" i="16" a="1"/>
  <c r="O384" i="16" s="1"/>
  <c r="P386" i="16" a="1"/>
  <c r="P386" i="16" s="1"/>
  <c r="Q388" i="16" a="1"/>
  <c r="Q388" i="16" s="1"/>
  <c r="Q390" i="16" a="1"/>
  <c r="Q390" i="16" s="1"/>
  <c r="P393" i="16" a="1"/>
  <c r="P393" i="16" s="1"/>
  <c r="Q395" i="16" a="1"/>
  <c r="Q395" i="16" s="1"/>
  <c r="Q397" i="16" a="1"/>
  <c r="Q397" i="16" s="1"/>
  <c r="P402" i="16" a="1"/>
  <c r="P402" i="16" s="1"/>
  <c r="Q404" i="16" a="1"/>
  <c r="Q404" i="16" s="1"/>
  <c r="O407" i="16" a="1"/>
  <c r="O407" i="16" s="1"/>
  <c r="P411" i="16" a="1"/>
  <c r="P411" i="16" s="1"/>
  <c r="Q413" i="16" a="1"/>
  <c r="Q413" i="16" s="1"/>
  <c r="O416" i="16" a="1"/>
  <c r="O416" i="16" s="1"/>
  <c r="O418" i="16" a="1"/>
  <c r="O418" i="16" s="1"/>
  <c r="P422" i="16" a="1"/>
  <c r="P422" i="16" s="1"/>
  <c r="Q424" i="16" a="1"/>
  <c r="Q424" i="16" s="1"/>
  <c r="O427" i="16" a="1"/>
  <c r="O427" i="16" s="1"/>
  <c r="P429" i="16" a="1"/>
  <c r="P429" i="16" s="1"/>
  <c r="O432" i="16" a="1"/>
  <c r="O432" i="16" s="1"/>
  <c r="O434" i="16" a="1"/>
  <c r="O434" i="16" s="1"/>
  <c r="P436" i="16" a="1"/>
  <c r="P436" i="16" s="1"/>
  <c r="P438" i="16" a="1"/>
  <c r="P438" i="16" s="1"/>
  <c r="Q440" i="16" a="1"/>
  <c r="Q440" i="16" s="1"/>
  <c r="P442" i="16" a="1"/>
  <c r="P442" i="16" s="1"/>
  <c r="O445" i="16" a="1"/>
  <c r="O445" i="16" s="1"/>
  <c r="P447" i="16" a="1"/>
  <c r="P447" i="16" s="1"/>
  <c r="O454" i="16" a="1"/>
  <c r="O454" i="16" s="1"/>
  <c r="O456" i="16" a="1"/>
  <c r="O456" i="16" s="1"/>
  <c r="P458" i="16" a="1"/>
  <c r="P458" i="16" s="1"/>
  <c r="P460" i="16" a="1"/>
  <c r="P460" i="16" s="1"/>
  <c r="Q466" i="16" a="1"/>
  <c r="Q466" i="16" s="1"/>
  <c r="Q468" i="16" a="1"/>
  <c r="Q468" i="16" s="1"/>
  <c r="P475" i="16" a="1"/>
  <c r="P475" i="16" s="1"/>
  <c r="P477" i="16" a="1"/>
  <c r="P477" i="16" s="1"/>
  <c r="Q479" i="16" a="1"/>
  <c r="Q479" i="16" s="1"/>
  <c r="Q481" i="16" a="1"/>
  <c r="Q481" i="16" s="1"/>
  <c r="P486" i="16" a="1"/>
  <c r="P486" i="16" s="1"/>
  <c r="Q488" i="16" a="1"/>
  <c r="Q488" i="16" s="1"/>
  <c r="O491" i="16" a="1"/>
  <c r="O491" i="16" s="1"/>
  <c r="P493" i="16" a="1"/>
  <c r="P493" i="16" s="1"/>
  <c r="P495" i="16" a="1"/>
  <c r="P495" i="16" s="1"/>
  <c r="P497" i="16" a="1"/>
  <c r="P497" i="16" s="1"/>
  <c r="O272" i="16" a="1"/>
  <c r="O272" i="16" s="1"/>
  <c r="O277" i="16" a="1"/>
  <c r="O277" i="16" s="1"/>
  <c r="P281" i="16" a="1"/>
  <c r="P281" i="16" s="1"/>
  <c r="Q285" i="16" a="1"/>
  <c r="Q285" i="16" s="1"/>
  <c r="P290" i="16" a="1"/>
  <c r="P290" i="16" s="1"/>
  <c r="Q294" i="16" a="1"/>
  <c r="Q294" i="16" s="1"/>
  <c r="O299" i="16" a="1"/>
  <c r="O299" i="16" s="1"/>
  <c r="O304" i="16" a="1"/>
  <c r="O304" i="16" s="1"/>
  <c r="Q308" i="16" a="1"/>
  <c r="Q308" i="16" s="1"/>
  <c r="O313" i="16" a="1"/>
  <c r="O313" i="16" s="1"/>
  <c r="Q317" i="16" a="1"/>
  <c r="Q317" i="16" s="1"/>
  <c r="Q322" i="16" a="1"/>
  <c r="Q322" i="16" s="1"/>
  <c r="O327" i="16" a="1"/>
  <c r="O327" i="16" s="1"/>
  <c r="Q331" i="16" a="1"/>
  <c r="Q331" i="16" s="1"/>
  <c r="O341" i="16" a="1"/>
  <c r="O341" i="16" s="1"/>
  <c r="O346" i="16" a="1"/>
  <c r="O346" i="16" s="1"/>
  <c r="P352" i="16" a="1"/>
  <c r="P352" i="16" s="1"/>
  <c r="O355" i="16" a="1"/>
  <c r="O355" i="16" s="1"/>
  <c r="P360" i="16" a="1"/>
  <c r="P360" i="16" s="1"/>
  <c r="O363" i="16" a="1"/>
  <c r="O363" i="16" s="1"/>
  <c r="P365" i="16" a="1"/>
  <c r="P365" i="16" s="1"/>
  <c r="Q367" i="16" a="1"/>
  <c r="Q367" i="16" s="1"/>
  <c r="P370" i="16" a="1"/>
  <c r="P370" i="16" s="1"/>
  <c r="Q372" i="16" a="1"/>
  <c r="Q372" i="16" s="1"/>
  <c r="O375" i="16" a="1"/>
  <c r="O375" i="16" s="1"/>
  <c r="P377" i="16" a="1"/>
  <c r="P377" i="16" s="1"/>
  <c r="Q379" i="16" a="1"/>
  <c r="Q379" i="16" s="1"/>
  <c r="O382" i="16" a="1"/>
  <c r="O382" i="16" s="1"/>
  <c r="O389" i="16" a="1"/>
  <c r="O389" i="16" s="1"/>
  <c r="O391" i="16" a="1"/>
  <c r="O391" i="16" s="1"/>
  <c r="Q393" i="16" a="1"/>
  <c r="Q393" i="16" s="1"/>
  <c r="O398" i="16" a="1"/>
  <c r="O398" i="16" s="1"/>
  <c r="P400" i="16" a="1"/>
  <c r="P400" i="16" s="1"/>
  <c r="Q402" i="16" a="1"/>
  <c r="Q402" i="16" s="1"/>
  <c r="O405" i="16" a="1"/>
  <c r="O405" i="16" s="1"/>
  <c r="P407" i="16" a="1"/>
  <c r="P407" i="16" s="1"/>
  <c r="P247" i="16" a="1"/>
  <c r="P247" i="16" s="1"/>
  <c r="Q263" i="16" a="1"/>
  <c r="Q263" i="16" s="1"/>
  <c r="Q281" i="16" a="1"/>
  <c r="Q281" i="16" s="1"/>
  <c r="O286" i="16" a="1"/>
  <c r="O286" i="16" s="1"/>
  <c r="O295" i="16" a="1"/>
  <c r="O295" i="16" s="1"/>
  <c r="P299" i="16" a="1"/>
  <c r="P299" i="16" s="1"/>
  <c r="O309" i="16" a="1"/>
  <c r="O309" i="16" s="1"/>
  <c r="P313" i="16" a="1"/>
  <c r="P313" i="16" s="1"/>
  <c r="O318" i="16" a="1"/>
  <c r="O318" i="16" s="1"/>
  <c r="P327" i="16" a="1"/>
  <c r="P327" i="16" s="1"/>
  <c r="O332" i="16" a="1"/>
  <c r="O332" i="16" s="1"/>
  <c r="P336" i="16" a="1"/>
  <c r="P336" i="16" s="1"/>
  <c r="P341" i="16" a="1"/>
  <c r="P341" i="16" s="1"/>
  <c r="Q349" i="16" a="1"/>
  <c r="Q349" i="16" s="1"/>
  <c r="Q352" i="16" a="1"/>
  <c r="Q352" i="16" s="1"/>
  <c r="P355" i="16" a="1"/>
  <c r="P355" i="16" s="1"/>
  <c r="Q357" i="16" a="1"/>
  <c r="Q357" i="16" s="1"/>
  <c r="O361" i="16" a="1"/>
  <c r="O361" i="16" s="1"/>
  <c r="P363" i="16" a="1"/>
  <c r="P363" i="16" s="1"/>
  <c r="O368" i="16" a="1"/>
  <c r="O368" i="16" s="1"/>
  <c r="Q370" i="16" a="1"/>
  <c r="Q370" i="16" s="1"/>
  <c r="O373" i="16" a="1"/>
  <c r="O373" i="16" s="1"/>
  <c r="P375" i="16" a="1"/>
  <c r="P375" i="16" s="1"/>
  <c r="Q377" i="16" a="1"/>
  <c r="Q377" i="16" s="1"/>
  <c r="P382" i="16" a="1"/>
  <c r="P382" i="16" s="1"/>
  <c r="P384" i="16" a="1"/>
  <c r="P384" i="16" s="1"/>
  <c r="Q386" i="16" a="1"/>
  <c r="Q386" i="16" s="1"/>
  <c r="P389" i="16" a="1"/>
  <c r="P389" i="16" s="1"/>
  <c r="P391" i="16" a="1"/>
  <c r="P391" i="16" s="1"/>
  <c r="O394" i="16" a="1"/>
  <c r="O394" i="16" s="1"/>
  <c r="O396" i="16" a="1"/>
  <c r="O396" i="16" s="1"/>
  <c r="P398" i="16" a="1"/>
  <c r="P398" i="16" s="1"/>
  <c r="Q400" i="16" a="1"/>
  <c r="Q400" i="16" s="1"/>
  <c r="O403" i="16" a="1"/>
  <c r="O403" i="16" s="1"/>
  <c r="P405" i="16" a="1"/>
  <c r="P405" i="16" s="1"/>
  <c r="Q407" i="16" a="1"/>
  <c r="Q407" i="16" s="1"/>
  <c r="O410" i="16" a="1"/>
  <c r="O410" i="16" s="1"/>
  <c r="O412" i="16" a="1"/>
  <c r="O412" i="16" s="1"/>
  <c r="O414" i="16" a="1"/>
  <c r="O414" i="16" s="1"/>
  <c r="P416" i="16" a="1"/>
  <c r="P416" i="16" s="1"/>
  <c r="Q418" i="16" a="1"/>
  <c r="Q418" i="16" s="1"/>
  <c r="O423" i="16" a="1"/>
  <c r="O423" i="16" s="1"/>
  <c r="P425" i="16" a="1"/>
  <c r="P425" i="16" s="1"/>
  <c r="Q427" i="16" a="1"/>
  <c r="Q427" i="16" s="1"/>
  <c r="O430" i="16" a="1"/>
  <c r="O430" i="16" s="1"/>
  <c r="P432" i="16" a="1"/>
  <c r="P432" i="16" s="1"/>
  <c r="Q434" i="16" a="1"/>
  <c r="Q434" i="16" s="1"/>
  <c r="O437" i="16" a="1"/>
  <c r="O437" i="16" s="1"/>
  <c r="Q438" i="16" a="1"/>
  <c r="Q438" i="16" s="1"/>
  <c r="O443" i="16" a="1"/>
  <c r="O443" i="16" s="1"/>
  <c r="P445" i="16" a="1"/>
  <c r="P445" i="16" s="1"/>
  <c r="O448" i="16" a="1"/>
  <c r="O448" i="16" s="1"/>
  <c r="O450" i="16" a="1"/>
  <c r="O450" i="16" s="1"/>
  <c r="P452" i="16" a="1"/>
  <c r="P452" i="16" s="1"/>
  <c r="Q454" i="16" a="1"/>
  <c r="Q454" i="16" s="1"/>
  <c r="Q456" i="16" a="1"/>
  <c r="Q456" i="16" s="1"/>
  <c r="O461" i="16" a="1"/>
  <c r="O461" i="16" s="1"/>
  <c r="P463" i="16" a="1"/>
  <c r="P463" i="16" s="1"/>
  <c r="P465" i="16" a="1"/>
  <c r="P465" i="16" s="1"/>
  <c r="P467" i="16" a="1"/>
  <c r="P467" i="16" s="1"/>
  <c r="P469" i="16" a="1"/>
  <c r="P469" i="16" s="1"/>
  <c r="P471" i="16" a="1"/>
  <c r="P471" i="16" s="1"/>
  <c r="Q473" i="16" a="1"/>
  <c r="Q473" i="16" s="1"/>
  <c r="O476" i="16" a="1"/>
  <c r="O476" i="16" s="1"/>
  <c r="O478" i="16" a="1"/>
  <c r="O478" i="16" s="1"/>
  <c r="P482" i="16" a="1"/>
  <c r="P482" i="16" s="1"/>
  <c r="Q484" i="16" a="1"/>
  <c r="Q484" i="16" s="1"/>
  <c r="O489" i="16" a="1"/>
  <c r="O489" i="16" s="1"/>
  <c r="Q491" i="16" a="1"/>
  <c r="Q491" i="16" s="1"/>
  <c r="O494" i="16" a="1"/>
  <c r="O494" i="16" s="1"/>
  <c r="Q495" i="16" a="1"/>
  <c r="Q495" i="16" s="1"/>
  <c r="Q497" i="16" a="1"/>
  <c r="Q497" i="16" s="1"/>
  <c r="Q249" i="16" a="1"/>
  <c r="Q249" i="16" s="1"/>
  <c r="Q265" i="16" a="1"/>
  <c r="Q265" i="16" s="1"/>
  <c r="P272" i="16" a="1"/>
  <c r="P272" i="16" s="1"/>
  <c r="P277" i="16" a="1"/>
  <c r="P277" i="16" s="1"/>
  <c r="O282" i="16" a="1"/>
  <c r="O282" i="16" s="1"/>
  <c r="P286" i="16" a="1"/>
  <c r="P286" i="16" s="1"/>
  <c r="Q290" i="16" a="1"/>
  <c r="Q290" i="16" s="1"/>
  <c r="P295" i="16" a="1"/>
  <c r="P295" i="16" s="1"/>
  <c r="Q299" i="16" a="1"/>
  <c r="Q299" i="16" s="1"/>
  <c r="P304" i="16" a="1"/>
  <c r="P304" i="16" s="1"/>
  <c r="P309" i="16" a="1"/>
  <c r="P309" i="16" s="1"/>
  <c r="Q313" i="16" a="1"/>
  <c r="Q313" i="16" s="1"/>
  <c r="P318" i="16" a="1"/>
  <c r="P318" i="16" s="1"/>
  <c r="O323" i="16" a="1"/>
  <c r="O323" i="16" s="1"/>
  <c r="Q327" i="16" a="1"/>
  <c r="Q327" i="16" s="1"/>
  <c r="P332" i="16" a="1"/>
  <c r="P332" i="16" s="1"/>
  <c r="Q336" i="16" a="1"/>
  <c r="Q336" i="16" s="1"/>
  <c r="Q341" i="16" a="1"/>
  <c r="Q341" i="16" s="1"/>
  <c r="P346" i="16" a="1"/>
  <c r="P346" i="16" s="1"/>
  <c r="O350" i="16" a="1"/>
  <c r="O350" i="16" s="1"/>
  <c r="O353" i="16" a="1"/>
  <c r="O353" i="16" s="1"/>
  <c r="P358" i="16" a="1"/>
  <c r="P358" i="16" s="1"/>
  <c r="P361" i="16" a="1"/>
  <c r="P361" i="16" s="1"/>
  <c r="Q363" i="16" a="1"/>
  <c r="Q363" i="16" s="1"/>
  <c r="Q365" i="16" a="1"/>
  <c r="Q365" i="16" s="1"/>
  <c r="P368" i="16" a="1"/>
  <c r="P368" i="16" s="1"/>
  <c r="O371" i="16" a="1"/>
  <c r="O371" i="16" s="1"/>
  <c r="P373" i="16" a="1"/>
  <c r="P373" i="16" s="1"/>
  <c r="Q375" i="16" a="1"/>
  <c r="Q375" i="16" s="1"/>
  <c r="O378" i="16" a="1"/>
  <c r="O378" i="16" s="1"/>
  <c r="O380" i="16" a="1"/>
  <c r="O380" i="16" s="1"/>
  <c r="Q384" i="16" a="1"/>
  <c r="Q384" i="16" s="1"/>
  <c r="O387" i="16" a="1"/>
  <c r="O387" i="16" s="1"/>
  <c r="Q391" i="16" a="1"/>
  <c r="Q391" i="16" s="1"/>
  <c r="P396" i="16" a="1"/>
  <c r="P396" i="16" s="1"/>
  <c r="Q398" i="16" a="1"/>
  <c r="Q398" i="16" s="1"/>
  <c r="Q251" i="16" a="1"/>
  <c r="Q251" i="16" s="1"/>
  <c r="O266" i="16" a="1"/>
  <c r="O266" i="16" s="1"/>
  <c r="O274" i="16" a="1"/>
  <c r="O274" i="16" s="1"/>
  <c r="Q278" i="16" a="1"/>
  <c r="Q278" i="16" s="1"/>
  <c r="P283" i="16" a="1"/>
  <c r="P283" i="16" s="1"/>
  <c r="Q287" i="16" a="1"/>
  <c r="Q287" i="16" s="1"/>
  <c r="O292" i="16" a="1"/>
  <c r="O292" i="16" s="1"/>
  <c r="Q296" i="16" a="1"/>
  <c r="Q296" i="16" s="1"/>
  <c r="P301" i="16" a="1"/>
  <c r="P301" i="16" s="1"/>
  <c r="O306" i="16" a="1"/>
  <c r="O306" i="16" s="1"/>
  <c r="Q310" i="16" a="1"/>
  <c r="Q310" i="16" s="1"/>
  <c r="P315" i="16" a="1"/>
  <c r="P315" i="16" s="1"/>
  <c r="Q319" i="16" a="1"/>
  <c r="Q319" i="16" s="1"/>
  <c r="Q324" i="16" a="1"/>
  <c r="Q324" i="16" s="1"/>
  <c r="O329" i="16" a="1"/>
  <c r="O329" i="16" s="1"/>
  <c r="O334" i="16" a="1"/>
  <c r="O334" i="16" s="1"/>
  <c r="O338" i="16" a="1"/>
  <c r="O338" i="16" s="1"/>
  <c r="P343" i="16" a="1"/>
  <c r="P343" i="16" s="1"/>
  <c r="P347" i="16" a="1"/>
  <c r="P347" i="16" s="1"/>
  <c r="P350" i="16" a="1"/>
  <c r="P350" i="16" s="1"/>
  <c r="P353" i="16" a="1"/>
  <c r="P353" i="16" s="1"/>
  <c r="O356" i="16" a="1"/>
  <c r="O356" i="16" s="1"/>
  <c r="Q358" i="16" a="1"/>
  <c r="Q358" i="16" s="1"/>
  <c r="O364" i="16" a="1"/>
  <c r="O364" i="16" s="1"/>
  <c r="O366" i="16" a="1"/>
  <c r="O366" i="16" s="1"/>
  <c r="Q368" i="16" a="1"/>
  <c r="Q368" i="16" s="1"/>
  <c r="P371" i="16" a="1"/>
  <c r="P371" i="16" s="1"/>
  <c r="P380" i="16" a="1"/>
  <c r="P380" i="16" s="1"/>
  <c r="Q382" i="16" a="1"/>
  <c r="Q382" i="16" s="1"/>
  <c r="O385" i="16" a="1"/>
  <c r="O385" i="16" s="1"/>
  <c r="P387" i="16" a="1"/>
  <c r="P387" i="16" s="1"/>
  <c r="Q389" i="16" a="1"/>
  <c r="Q389" i="16" s="1"/>
  <c r="O392" i="16" a="1"/>
  <c r="O392" i="16" s="1"/>
  <c r="P394" i="16" a="1"/>
  <c r="P394" i="16" s="1"/>
  <c r="Q396" i="16" a="1"/>
  <c r="Q396" i="16" s="1"/>
  <c r="O254" i="16" a="1"/>
  <c r="O254" i="16" s="1"/>
  <c r="Q267" i="16" a="1"/>
  <c r="Q267" i="16" s="1"/>
  <c r="P274" i="16" a="1"/>
  <c r="P274" i="16" s="1"/>
  <c r="O279" i="16" a="1"/>
  <c r="O279" i="16" s="1"/>
  <c r="Q283" i="16" a="1"/>
  <c r="Q283" i="16" s="1"/>
  <c r="O288" i="16" a="1"/>
  <c r="O288" i="16" s="1"/>
  <c r="P292" i="16" a="1"/>
  <c r="P292" i="16" s="1"/>
  <c r="O297" i="16" a="1"/>
  <c r="O297" i="16" s="1"/>
  <c r="Q301" i="16" a="1"/>
  <c r="Q301" i="16" s="1"/>
  <c r="O311" i="16" a="1"/>
  <c r="O311" i="16" s="1"/>
  <c r="Q315" i="16" a="1"/>
  <c r="Q315" i="16" s="1"/>
  <c r="O320" i="16" a="1"/>
  <c r="O320" i="16" s="1"/>
  <c r="P329" i="16" a="1"/>
  <c r="P329" i="16" s="1"/>
  <c r="P338" i="16" a="1"/>
  <c r="P338" i="16" s="1"/>
  <c r="Q343" i="16" a="1"/>
  <c r="Q343" i="16" s="1"/>
  <c r="Q347" i="16" a="1"/>
  <c r="Q347" i="16" s="1"/>
  <c r="Q350" i="16" a="1"/>
  <c r="Q350" i="16" s="1"/>
  <c r="Q353" i="16" a="1"/>
  <c r="Q353" i="16" s="1"/>
  <c r="P356" i="16" a="1"/>
  <c r="P356" i="16" s="1"/>
  <c r="O359" i="16" a="1"/>
  <c r="O359" i="16" s="1"/>
  <c r="Q361" i="16" a="1"/>
  <c r="Q361" i="16" s="1"/>
  <c r="P366" i="16" a="1"/>
  <c r="P366" i="16" s="1"/>
  <c r="O369" i="16" a="1"/>
  <c r="O369" i="16" s="1"/>
  <c r="Q373" i="16" a="1"/>
  <c r="Q373" i="16" s="1"/>
  <c r="P392" i="16" a="1"/>
  <c r="P392" i="16" s="1"/>
  <c r="P403" i="16" a="1"/>
  <c r="P403" i="16" s="1"/>
  <c r="Q408" i="16" a="1"/>
  <c r="Q408" i="16" s="1"/>
  <c r="Q412" i="16" a="1"/>
  <c r="Q412" i="16" s="1"/>
  <c r="O417" i="16" a="1"/>
  <c r="O417" i="16" s="1"/>
  <c r="O431" i="16" a="1"/>
  <c r="O431" i="16" s="1"/>
  <c r="P435" i="16" a="1"/>
  <c r="P435" i="16" s="1"/>
  <c r="Q439" i="16" a="1"/>
  <c r="Q439" i="16" s="1"/>
  <c r="O444" i="16" a="1"/>
  <c r="O444" i="16" s="1"/>
  <c r="O449" i="16" a="1"/>
  <c r="O449" i="16" s="1"/>
  <c r="O453" i="16" a="1"/>
  <c r="O453" i="16" s="1"/>
  <c r="P457" i="16" a="1"/>
  <c r="P457" i="16" s="1"/>
  <c r="O462" i="16" a="1"/>
  <c r="O462" i="16" s="1"/>
  <c r="O466" i="16" a="1"/>
  <c r="O466" i="16" s="1"/>
  <c r="P470" i="16" a="1"/>
  <c r="P470" i="16" s="1"/>
  <c r="P474" i="16" a="1"/>
  <c r="P474" i="16" s="1"/>
  <c r="Q478" i="16" a="1"/>
  <c r="Q478" i="16" s="1"/>
  <c r="P483" i="16" a="1"/>
  <c r="P483" i="16" s="1"/>
  <c r="Q487" i="16" a="1"/>
  <c r="Q487" i="16" s="1"/>
  <c r="P492" i="16" a="1"/>
  <c r="P492" i="16" s="1"/>
  <c r="P496" i="16" a="1"/>
  <c r="P496" i="16" s="1"/>
  <c r="Q499" i="16" a="1"/>
  <c r="Q499" i="16" s="1"/>
  <c r="Q502" i="16" a="1"/>
  <c r="Q502" i="16" s="1"/>
  <c r="O505" i="16" a="1"/>
  <c r="O505" i="16" s="1"/>
  <c r="P507" i="16" a="1"/>
  <c r="P507" i="16" s="1"/>
  <c r="P509" i="16" a="1"/>
  <c r="P509" i="16" s="1"/>
  <c r="O512" i="16" a="1"/>
  <c r="O512" i="16" s="1"/>
  <c r="Q516" i="16" a="1"/>
  <c r="Q516" i="16" s="1"/>
  <c r="P519" i="16" a="1"/>
  <c r="P519" i="16" s="1"/>
  <c r="Q521" i="16" a="1"/>
  <c r="Q521" i="16" s="1"/>
  <c r="Q523" i="16" a="1"/>
  <c r="Q523" i="16" s="1"/>
  <c r="O526" i="16" a="1"/>
  <c r="O526" i="16" s="1"/>
  <c r="P528" i="16" a="1"/>
  <c r="P528" i="16" s="1"/>
  <c r="P530" i="16" a="1"/>
  <c r="P530" i="16" s="1"/>
  <c r="P532" i="16" a="1"/>
  <c r="P532" i="16" s="1"/>
  <c r="Q534" i="16" a="1"/>
  <c r="Q534" i="16" s="1"/>
  <c r="O537" i="16" a="1"/>
  <c r="O537" i="16" s="1"/>
  <c r="Q539" i="16" a="1"/>
  <c r="Q539" i="16" s="1"/>
  <c r="O542" i="16" a="1"/>
  <c r="O542" i="16" s="1"/>
  <c r="P544" i="16" a="1"/>
  <c r="P544" i="16" s="1"/>
  <c r="O547" i="16" a="1"/>
  <c r="O547" i="16" s="1"/>
  <c r="P549" i="16" a="1"/>
  <c r="P549" i="16" s="1"/>
  <c r="P554" i="16" a="1"/>
  <c r="P554" i="16" s="1"/>
  <c r="O557" i="16" a="1"/>
  <c r="O557" i="16" s="1"/>
  <c r="Q559" i="16" a="1"/>
  <c r="Q559" i="16" s="1"/>
  <c r="O562" i="16" a="1"/>
  <c r="O562" i="16" s="1"/>
  <c r="P564" i="16" a="1"/>
  <c r="P564" i="16" s="1"/>
  <c r="Q566" i="16" a="1"/>
  <c r="Q566" i="16" s="1"/>
  <c r="Q568" i="16" a="1"/>
  <c r="Q568" i="16" s="1"/>
  <c r="P573" i="16" a="1"/>
  <c r="P573" i="16" s="1"/>
  <c r="O576" i="16" a="1"/>
  <c r="O576" i="16" s="1"/>
  <c r="P578" i="16" a="1"/>
  <c r="P578" i="16" s="1"/>
  <c r="Q580" i="16" a="1"/>
  <c r="Q580" i="16" s="1"/>
  <c r="P583" i="16" a="1"/>
  <c r="P583" i="16" s="1"/>
  <c r="O586" i="16" a="1"/>
  <c r="O586" i="16" s="1"/>
  <c r="O588" i="16" a="1"/>
  <c r="O588" i="16" s="1"/>
  <c r="P590" i="16" a="1"/>
  <c r="P590" i="16" s="1"/>
  <c r="O593" i="16" a="1"/>
  <c r="O593" i="16" s="1"/>
  <c r="Q595" i="16" a="1"/>
  <c r="Q595" i="16" s="1"/>
  <c r="O598" i="16" a="1"/>
  <c r="O598" i="16" s="1"/>
  <c r="P600" i="16" a="1"/>
  <c r="P600" i="16" s="1"/>
  <c r="O603" i="16" a="1"/>
  <c r="O603" i="16" s="1"/>
  <c r="Q604" i="16" a="1"/>
  <c r="Q604" i="16" s="1"/>
  <c r="P607" i="16" a="1"/>
  <c r="P607" i="16" s="1"/>
  <c r="O610" i="16" a="1"/>
  <c r="O610" i="16" s="1"/>
  <c r="P612" i="16" a="1"/>
  <c r="P612" i="16" s="1"/>
  <c r="Q614" i="16" a="1"/>
  <c r="Q614" i="16" s="1"/>
  <c r="O617" i="16" a="1"/>
  <c r="O617" i="16" s="1"/>
  <c r="Q619" i="16" a="1"/>
  <c r="Q619" i="16" s="1"/>
  <c r="O622" i="16" a="1"/>
  <c r="O622" i="16" s="1"/>
  <c r="P624" i="16" a="1"/>
  <c r="P624" i="16" s="1"/>
  <c r="O627" i="16" a="1"/>
  <c r="O627" i="16" s="1"/>
  <c r="Q629" i="16" a="1"/>
  <c r="Q629" i="16" s="1"/>
  <c r="Q631" i="16" a="1"/>
  <c r="Q631" i="16" s="1"/>
  <c r="P634" i="16" a="1"/>
  <c r="P634" i="16" s="1"/>
  <c r="O637" i="16" a="1"/>
  <c r="O637" i="16" s="1"/>
  <c r="O376" i="16" a="1"/>
  <c r="O376" i="16" s="1"/>
  <c r="Q394" i="16" a="1"/>
  <c r="Q394" i="16" s="1"/>
  <c r="Q409" i="16" a="1"/>
  <c r="Q409" i="16" s="1"/>
  <c r="P418" i="16" a="1"/>
  <c r="P418" i="16" s="1"/>
  <c r="Q422" i="16" a="1"/>
  <c r="Q422" i="16" s="1"/>
  <c r="P427" i="16" a="1"/>
  <c r="P427" i="16" s="1"/>
  <c r="Q436" i="16" a="1"/>
  <c r="Q436" i="16" s="1"/>
  <c r="O441" i="16" a="1"/>
  <c r="O441" i="16" s="1"/>
  <c r="Q449" i="16" a="1"/>
  <c r="Q449" i="16" s="1"/>
  <c r="P454" i="16" a="1"/>
  <c r="P454" i="16" s="1"/>
  <c r="Q458" i="16" a="1"/>
  <c r="Q458" i="16" s="1"/>
  <c r="O463" i="16" a="1"/>
  <c r="O463" i="16" s="1"/>
  <c r="O467" i="16" a="1"/>
  <c r="O467" i="16" s="1"/>
  <c r="O471" i="16" a="1"/>
  <c r="O471" i="16" s="1"/>
  <c r="Q475" i="16" a="1"/>
  <c r="Q475" i="16" s="1"/>
  <c r="O480" i="16" a="1"/>
  <c r="O480" i="16" s="1"/>
  <c r="P484" i="16" a="1"/>
  <c r="P484" i="16" s="1"/>
  <c r="Q493" i="16" a="1"/>
  <c r="Q493" i="16" s="1"/>
  <c r="Q496" i="16" a="1"/>
  <c r="Q496" i="16" s="1"/>
  <c r="O500" i="16" a="1"/>
  <c r="O500" i="16" s="1"/>
  <c r="Q509" i="16" a="1"/>
  <c r="Q509" i="16" s="1"/>
  <c r="P512" i="16" a="1"/>
  <c r="P512" i="16" s="1"/>
  <c r="Q514" i="16" a="1"/>
  <c r="Q514" i="16" s="1"/>
  <c r="O517" i="16" a="1"/>
  <c r="O517" i="16" s="1"/>
  <c r="Q519" i="16" a="1"/>
  <c r="Q519" i="16" s="1"/>
  <c r="O524" i="16" a="1"/>
  <c r="O524" i="16" s="1"/>
  <c r="P526" i="16" a="1"/>
  <c r="P526" i="16" s="1"/>
  <c r="Q532" i="16" a="1"/>
  <c r="Q532" i="16" s="1"/>
  <c r="O535" i="16" a="1"/>
  <c r="O535" i="16" s="1"/>
  <c r="P537" i="16" a="1"/>
  <c r="P537" i="16" s="1"/>
  <c r="O540" i="16" a="1"/>
  <c r="O540" i="16" s="1"/>
  <c r="P542" i="16" a="1"/>
  <c r="P542" i="16" s="1"/>
  <c r="Q544" i="16" a="1"/>
  <c r="Q544" i="16" s="1"/>
  <c r="Q549" i="16" a="1"/>
  <c r="Q549" i="16" s="1"/>
  <c r="O552" i="16" a="1"/>
  <c r="O552" i="16" s="1"/>
  <c r="Q554" i="16" a="1"/>
  <c r="Q554" i="16" s="1"/>
  <c r="P557" i="16" a="1"/>
  <c r="P557" i="16" s="1"/>
  <c r="O560" i="16" a="1"/>
  <c r="O560" i="16" s="1"/>
  <c r="P562" i="16" a="1"/>
  <c r="P562" i="16" s="1"/>
  <c r="Q564" i="16" a="1"/>
  <c r="Q564" i="16" s="1"/>
  <c r="O567" i="16" a="1"/>
  <c r="O567" i="16" s="1"/>
  <c r="O569" i="16" a="1"/>
  <c r="O569" i="16" s="1"/>
  <c r="P571" i="16" a="1"/>
  <c r="P571" i="16" s="1"/>
  <c r="Q573" i="16" a="1"/>
  <c r="Q573" i="16" s="1"/>
  <c r="Q578" i="16" a="1"/>
  <c r="Q578" i="16" s="1"/>
  <c r="O581" i="16" a="1"/>
  <c r="O581" i="16" s="1"/>
  <c r="Q583" i="16" a="1"/>
  <c r="Q583" i="16" s="1"/>
  <c r="P586" i="16" a="1"/>
  <c r="P586" i="16" s="1"/>
  <c r="P588" i="16" a="1"/>
  <c r="P588" i="16" s="1"/>
  <c r="Q590" i="16" a="1"/>
  <c r="Q590" i="16" s="1"/>
  <c r="P593" i="16" a="1"/>
  <c r="P593" i="16" s="1"/>
  <c r="O596" i="16" a="1"/>
  <c r="O596" i="16" s="1"/>
  <c r="P598" i="16" a="1"/>
  <c r="P598" i="16" s="1"/>
  <c r="Q600" i="16" a="1"/>
  <c r="Q600" i="16" s="1"/>
  <c r="O605" i="16" a="1"/>
  <c r="O605" i="16" s="1"/>
  <c r="Q607" i="16" a="1"/>
  <c r="Q607" i="16" s="1"/>
  <c r="P610" i="16" a="1"/>
  <c r="P610" i="16" s="1"/>
  <c r="Q612" i="16" a="1"/>
  <c r="Q612" i="16" s="1"/>
  <c r="O615" i="16" a="1"/>
  <c r="O615" i="16" s="1"/>
  <c r="P617" i="16" a="1"/>
  <c r="P617" i="16" s="1"/>
  <c r="O620" i="16" a="1"/>
  <c r="O620" i="16" s="1"/>
  <c r="P622" i="16" a="1"/>
  <c r="P622" i="16" s="1"/>
  <c r="Q624" i="16" a="1"/>
  <c r="Q624" i="16" s="1"/>
  <c r="P627" i="16" a="1"/>
  <c r="P627" i="16" s="1"/>
  <c r="O630" i="16" a="1"/>
  <c r="O630" i="16" s="1"/>
  <c r="O632" i="16" a="1"/>
  <c r="O632" i="16" s="1"/>
  <c r="Q634" i="16" a="1"/>
  <c r="Q634" i="16" s="1"/>
  <c r="P637" i="16" a="1"/>
  <c r="P637" i="16" s="1"/>
  <c r="O640" i="16" a="1"/>
  <c r="O640" i="16" s="1"/>
  <c r="Q642" i="16" a="1"/>
  <c r="Q642" i="16" s="1"/>
  <c r="O645" i="16" a="1"/>
  <c r="O645" i="16" s="1"/>
  <c r="P647" i="16" a="1"/>
  <c r="P647" i="16" s="1"/>
  <c r="O650" i="16" a="1"/>
  <c r="O650" i="16" s="1"/>
  <c r="O655" i="16" a="1"/>
  <c r="O655" i="16" s="1"/>
  <c r="Q657" i="16" a="1"/>
  <c r="Q657" i="16" s="1"/>
  <c r="P378" i="16" a="1"/>
  <c r="P378" i="16" s="1"/>
  <c r="O397" i="16" a="1"/>
  <c r="O397" i="16" s="1"/>
  <c r="Q403" i="16" a="1"/>
  <c r="Q403" i="16" s="1"/>
  <c r="P414" i="16" a="1"/>
  <c r="P414" i="16" s="1"/>
  <c r="O419" i="16" a="1"/>
  <c r="O419" i="16" s="1"/>
  <c r="P423" i="16" a="1"/>
  <c r="P423" i="16" s="1"/>
  <c r="O428" i="16" a="1"/>
  <c r="O428" i="16" s="1"/>
  <c r="Q432" i="16" a="1"/>
  <c r="Q432" i="16" s="1"/>
  <c r="P437" i="16" a="1"/>
  <c r="P437" i="16" s="1"/>
  <c r="P441" i="16" a="1"/>
  <c r="P441" i="16" s="1"/>
  <c r="Q445" i="16" a="1"/>
  <c r="Q445" i="16" s="1"/>
  <c r="P450" i="16" a="1"/>
  <c r="P450" i="16" s="1"/>
  <c r="O459" i="16" a="1"/>
  <c r="O459" i="16" s="1"/>
  <c r="Q471" i="16" a="1"/>
  <c r="Q471" i="16" s="1"/>
  <c r="P480" i="16" a="1"/>
  <c r="P480" i="16" s="1"/>
  <c r="O485" i="16" a="1"/>
  <c r="O485" i="16" s="1"/>
  <c r="P489" i="16" a="1"/>
  <c r="P489" i="16" s="1"/>
  <c r="P494" i="16" a="1"/>
  <c r="P494" i="16" s="1"/>
  <c r="O497" i="16" a="1"/>
  <c r="O497" i="16" s="1"/>
  <c r="P500" i="16" a="1"/>
  <c r="P500" i="16" s="1"/>
  <c r="O503" i="16" a="1"/>
  <c r="O503" i="16" s="1"/>
  <c r="P505" i="16" a="1"/>
  <c r="P505" i="16" s="1"/>
  <c r="Q507" i="16" a="1"/>
  <c r="Q507" i="16" s="1"/>
  <c r="O510" i="16" a="1"/>
  <c r="O510" i="16" s="1"/>
  <c r="Q512" i="16" a="1"/>
  <c r="Q512" i="16" s="1"/>
  <c r="P517" i="16" a="1"/>
  <c r="P517" i="16" s="1"/>
  <c r="O520" i="16" a="1"/>
  <c r="O520" i="16" s="1"/>
  <c r="O522" i="16" a="1"/>
  <c r="O522" i="16" s="1"/>
  <c r="P524" i="16" a="1"/>
  <c r="P524" i="16" s="1"/>
  <c r="Q526" i="16" a="1"/>
  <c r="Q526" i="16" s="1"/>
  <c r="Q528" i="16" a="1"/>
  <c r="Q528" i="16" s="1"/>
  <c r="Q530" i="16" a="1"/>
  <c r="Q530" i="16" s="1"/>
  <c r="O533" i="16" a="1"/>
  <c r="O533" i="16" s="1"/>
  <c r="P535" i="16" a="1"/>
  <c r="P535" i="16" s="1"/>
  <c r="Q537" i="16" a="1"/>
  <c r="Q537" i="16" s="1"/>
  <c r="P540" i="16" a="1"/>
  <c r="P540" i="16" s="1"/>
  <c r="Q542" i="16" a="1"/>
  <c r="Q542" i="16" s="1"/>
  <c r="O545" i="16" a="1"/>
  <c r="O545" i="16" s="1"/>
  <c r="P547" i="16" a="1"/>
  <c r="P547" i="16" s="1"/>
  <c r="O550" i="16" a="1"/>
  <c r="O550" i="16" s="1"/>
  <c r="P552" i="16" a="1"/>
  <c r="P552" i="16" s="1"/>
  <c r="O555" i="16" a="1"/>
  <c r="O555" i="16" s="1"/>
  <c r="Q557" i="16" a="1"/>
  <c r="Q557" i="16" s="1"/>
  <c r="P560" i="16" a="1"/>
  <c r="P560" i="16" s="1"/>
  <c r="Q562" i="16" a="1"/>
  <c r="Q562" i="16" s="1"/>
  <c r="O565" i="16" a="1"/>
  <c r="O565" i="16" s="1"/>
  <c r="P569" i="16" a="1"/>
  <c r="P569" i="16" s="1"/>
  <c r="Q571" i="16" a="1"/>
  <c r="Q571" i="16" s="1"/>
  <c r="O574" i="16" a="1"/>
  <c r="O574" i="16" s="1"/>
  <c r="P576" i="16" a="1"/>
  <c r="P576" i="16" s="1"/>
  <c r="P581" i="16" a="1"/>
  <c r="P581" i="16" s="1"/>
  <c r="O584" i="16" a="1"/>
  <c r="O584" i="16" s="1"/>
  <c r="Q588" i="16" a="1"/>
  <c r="Q588" i="16" s="1"/>
  <c r="O591" i="16" a="1"/>
  <c r="O591" i="16" s="1"/>
  <c r="Q593" i="16" a="1"/>
  <c r="Q593" i="16" s="1"/>
  <c r="P596" i="16" a="1"/>
  <c r="P596" i="16" s="1"/>
  <c r="Q598" i="16" a="1"/>
  <c r="Q598" i="16" s="1"/>
  <c r="O601" i="16" a="1"/>
  <c r="O601" i="16" s="1"/>
  <c r="P603" i="16" a="1"/>
  <c r="P603" i="16" s="1"/>
  <c r="P605" i="16" a="1"/>
  <c r="P605" i="16" s="1"/>
  <c r="O608" i="16" a="1"/>
  <c r="O608" i="16" s="1"/>
  <c r="Q610" i="16" a="1"/>
  <c r="Q610" i="16" s="1"/>
  <c r="O613" i="16" a="1"/>
  <c r="O613" i="16" s="1"/>
  <c r="P615" i="16" a="1"/>
  <c r="P615" i="16" s="1"/>
  <c r="Q617" i="16" a="1"/>
  <c r="Q617" i="16" s="1"/>
  <c r="P620" i="16" a="1"/>
  <c r="P620" i="16" s="1"/>
  <c r="Q622" i="16" a="1"/>
  <c r="Q622" i="16" s="1"/>
  <c r="O625" i="16" a="1"/>
  <c r="O625" i="16" s="1"/>
  <c r="Q627" i="16" a="1"/>
  <c r="Q627" i="16" s="1"/>
  <c r="P632" i="16" a="1"/>
  <c r="P632" i="16" s="1"/>
  <c r="O635" i="16" a="1"/>
  <c r="O635" i="16" s="1"/>
  <c r="Q637" i="16" a="1"/>
  <c r="Q637" i="16" s="1"/>
  <c r="P640" i="16" a="1"/>
  <c r="P640" i="16" s="1"/>
  <c r="O643" i="16" a="1"/>
  <c r="O643" i="16" s="1"/>
  <c r="P645" i="16" a="1"/>
  <c r="P645" i="16" s="1"/>
  <c r="Q380" i="16" a="1"/>
  <c r="Q380" i="16" s="1"/>
  <c r="O399" i="16" a="1"/>
  <c r="O399" i="16" s="1"/>
  <c r="Q405" i="16" a="1"/>
  <c r="Q405" i="16" s="1"/>
  <c r="P410" i="16" a="1"/>
  <c r="P410" i="16" s="1"/>
  <c r="Q414" i="16" a="1"/>
  <c r="Q414" i="16" s="1"/>
  <c r="P419" i="16" a="1"/>
  <c r="P419" i="16" s="1"/>
  <c r="Q423" i="16" a="1"/>
  <c r="Q423" i="16" s="1"/>
  <c r="P428" i="16" a="1"/>
  <c r="P428" i="16" s="1"/>
  <c r="O433" i="16" a="1"/>
  <c r="O433" i="16" s="1"/>
  <c r="O446" i="16" a="1"/>
  <c r="O446" i="16" s="1"/>
  <c r="Q450" i="16" a="1"/>
  <c r="Q450" i="16" s="1"/>
  <c r="O455" i="16" a="1"/>
  <c r="O455" i="16" s="1"/>
  <c r="P459" i="16" a="1"/>
  <c r="P459" i="16" s="1"/>
  <c r="Q463" i="16" a="1"/>
  <c r="Q463" i="16" s="1"/>
  <c r="Q467" i="16" a="1"/>
  <c r="Q467" i="16" s="1"/>
  <c r="O472" i="16" a="1"/>
  <c r="O472" i="16" s="1"/>
  <c r="P476" i="16" a="1"/>
  <c r="P476" i="16" s="1"/>
  <c r="O383" i="16" a="1"/>
  <c r="O383" i="16" s="1"/>
  <c r="P399" i="16" a="1"/>
  <c r="P399" i="16" s="1"/>
  <c r="O406" i="16" a="1"/>
  <c r="O406" i="16" s="1"/>
  <c r="P385" i="16" a="1"/>
  <c r="P385" i="16" s="1"/>
  <c r="O401" i="16" a="1"/>
  <c r="O401" i="16" s="1"/>
  <c r="P406" i="16" a="1"/>
  <c r="P406" i="16" s="1"/>
  <c r="Q411" i="16" a="1"/>
  <c r="Q411" i="16" s="1"/>
  <c r="Q420" i="16" a="1"/>
  <c r="Q420" i="16" s="1"/>
  <c r="O425" i="16" a="1"/>
  <c r="O425" i="16" s="1"/>
  <c r="Q429" i="16" a="1"/>
  <c r="Q429" i="16" s="1"/>
  <c r="P434" i="16" a="1"/>
  <c r="P434" i="16" s="1"/>
  <c r="Q442" i="16" a="1"/>
  <c r="Q442" i="16" s="1"/>
  <c r="Q447" i="16" a="1"/>
  <c r="Q447" i="16" s="1"/>
  <c r="O452" i="16" a="1"/>
  <c r="O452" i="16" s="1"/>
  <c r="P456" i="16" a="1"/>
  <c r="P456" i="16" s="1"/>
  <c r="Q460" i="16" a="1"/>
  <c r="Q460" i="16" s="1"/>
  <c r="O465" i="16" a="1"/>
  <c r="O465" i="16" s="1"/>
  <c r="O469" i="16" a="1"/>
  <c r="O469" i="16" s="1"/>
  <c r="P473" i="16" a="1"/>
  <c r="P473" i="16" s="1"/>
  <c r="Q477" i="16" a="1"/>
  <c r="Q477" i="16" s="1"/>
  <c r="O482" i="16" a="1"/>
  <c r="O482" i="16" s="1"/>
  <c r="Q486" i="16" a="1"/>
  <c r="Q486" i="16" s="1"/>
  <c r="P491" i="16" a="1"/>
  <c r="P491" i="16" s="1"/>
  <c r="O495" i="16" a="1"/>
  <c r="O495" i="16" s="1"/>
  <c r="P498" i="16" a="1"/>
  <c r="P498" i="16" s="1"/>
  <c r="P501" i="16" a="1"/>
  <c r="P501" i="16" s="1"/>
  <c r="O504" i="16" a="1"/>
  <c r="O504" i="16" s="1"/>
  <c r="P506" i="16" a="1"/>
  <c r="P506" i="16" s="1"/>
  <c r="Q508" i="16" a="1"/>
  <c r="Q508" i="16" s="1"/>
  <c r="O511" i="16" a="1"/>
  <c r="O511" i="16" s="1"/>
  <c r="Q513" i="16" a="1"/>
  <c r="Q513" i="16" s="1"/>
  <c r="Q515" i="16" a="1"/>
  <c r="Q515" i="16" s="1"/>
  <c r="P518" i="16" a="1"/>
  <c r="P518" i="16" s="1"/>
  <c r="O521" i="16" a="1"/>
  <c r="O521" i="16" s="1"/>
  <c r="O523" i="16" a="1"/>
  <c r="O523" i="16" s="1"/>
  <c r="P525" i="16" a="1"/>
  <c r="P525" i="16" s="1"/>
  <c r="P527" i="16" a="1"/>
  <c r="P527" i="16" s="1"/>
  <c r="Q387" i="16" a="1"/>
  <c r="Q387" i="16" s="1"/>
  <c r="P401" i="16" a="1"/>
  <c r="P401" i="16" s="1"/>
  <c r="O408" i="16" a="1"/>
  <c r="O408" i="16" s="1"/>
  <c r="P412" i="16" a="1"/>
  <c r="P412" i="16" s="1"/>
  <c r="Q416" i="16" a="1"/>
  <c r="Q416" i="16" s="1"/>
  <c r="O421" i="16" a="1"/>
  <c r="O421" i="16" s="1"/>
  <c r="Q425" i="16" a="1"/>
  <c r="Q425" i="16" s="1"/>
  <c r="P430" i="16" a="1"/>
  <c r="P430" i="16" s="1"/>
  <c r="O435" i="16" a="1"/>
  <c r="O435" i="16" s="1"/>
  <c r="O439" i="16" a="1"/>
  <c r="O439" i="16" s="1"/>
  <c r="P443" i="16" a="1"/>
  <c r="P443" i="16" s="1"/>
  <c r="P448" i="16" a="1"/>
  <c r="P448" i="16" s="1"/>
  <c r="Q452" i="16" a="1"/>
  <c r="Q452" i="16" s="1"/>
  <c r="P461" i="16" a="1"/>
  <c r="P461" i="16" s="1"/>
  <c r="Q469" i="16" a="1"/>
  <c r="Q469" i="16" s="1"/>
  <c r="O474" i="16" a="1"/>
  <c r="O474" i="16" s="1"/>
  <c r="Q482" i="16" a="1"/>
  <c r="Q482" i="16" s="1"/>
  <c r="O487" i="16" a="1"/>
  <c r="O487" i="16" s="1"/>
  <c r="O492" i="16" a="1"/>
  <c r="O492" i="16" s="1"/>
  <c r="Q498" i="16" a="1"/>
  <c r="Q498" i="16" s="1"/>
  <c r="O502" i="16" a="1"/>
  <c r="O502" i="16" s="1"/>
  <c r="P504" i="16" a="1"/>
  <c r="P504" i="16" s="1"/>
  <c r="Q506" i="16" a="1"/>
  <c r="Q506" i="16" s="1"/>
  <c r="O509" i="16" a="1"/>
  <c r="O509" i="16" s="1"/>
  <c r="P511" i="16" a="1"/>
  <c r="P511" i="16" s="1"/>
  <c r="O514" i="16" a="1"/>
  <c r="O514" i="16" s="1"/>
  <c r="O516" i="16" a="1"/>
  <c r="O516" i="16" s="1"/>
  <c r="Q518" i="16" a="1"/>
  <c r="Q518" i="16" s="1"/>
  <c r="P521" i="16" a="1"/>
  <c r="P521" i="16" s="1"/>
  <c r="Q525" i="16" a="1"/>
  <c r="Q525" i="16" s="1"/>
  <c r="Q527" i="16" a="1"/>
  <c r="Q527" i="16" s="1"/>
  <c r="Q529" i="16" a="1"/>
  <c r="Q529" i="16" s="1"/>
  <c r="O532" i="16" a="1"/>
  <c r="O532" i="16" s="1"/>
  <c r="O534" i="16" a="1"/>
  <c r="O534" i="16" s="1"/>
  <c r="O539" i="16" a="1"/>
  <c r="O539" i="16" s="1"/>
  <c r="P541" i="16" a="1"/>
  <c r="P541" i="16" s="1"/>
  <c r="Q543" i="16" a="1"/>
  <c r="Q543" i="16" s="1"/>
  <c r="P546" i="16" a="1"/>
  <c r="P546" i="16" s="1"/>
  <c r="Q548" i="16" a="1"/>
  <c r="Q548" i="16" s="1"/>
  <c r="P551" i="16" a="1"/>
  <c r="P551" i="16" s="1"/>
  <c r="Q553" i="16" a="1"/>
  <c r="Q553" i="16" s="1"/>
  <c r="P556" i="16" a="1"/>
  <c r="P556" i="16" s="1"/>
  <c r="O559" i="16" a="1"/>
  <c r="O559" i="16" s="1"/>
  <c r="P561" i="16" a="1"/>
  <c r="P561" i="16" s="1"/>
  <c r="O564" i="16" a="1"/>
  <c r="O564" i="16" s="1"/>
  <c r="O566" i="16" a="1"/>
  <c r="O566" i="16" s="1"/>
  <c r="P568" i="16" a="1"/>
  <c r="P568" i="16" s="1"/>
  <c r="Q570" i="16" a="1"/>
  <c r="Q570" i="16" s="1"/>
  <c r="Q572" i="16" a="1"/>
  <c r="Q572" i="16" s="1"/>
  <c r="P575" i="16" a="1"/>
  <c r="P575" i="16" s="1"/>
  <c r="Q577" i="16" a="1"/>
  <c r="Q577" i="16" s="1"/>
  <c r="O580" i="16" a="1"/>
  <c r="O580" i="16" s="1"/>
  <c r="Q582" i="16" a="1"/>
  <c r="Q582" i="16" s="1"/>
  <c r="P585" i="16" a="1"/>
  <c r="P585" i="16" s="1"/>
  <c r="P587" i="16" a="1"/>
  <c r="P587" i="16" s="1"/>
  <c r="P592" i="16" a="1"/>
  <c r="P592" i="16" s="1"/>
  <c r="O595" i="16" a="1"/>
  <c r="O595" i="16" s="1"/>
  <c r="O600" i="16" a="1"/>
  <c r="O600" i="16" s="1"/>
  <c r="P602" i="16" a="1"/>
  <c r="P602" i="16" s="1"/>
  <c r="Q606" i="16" a="1"/>
  <c r="Q606" i="16" s="1"/>
  <c r="P609" i="16" a="1"/>
  <c r="P609" i="16" s="1"/>
  <c r="Q611" i="16" a="1"/>
  <c r="Q611" i="16" s="1"/>
  <c r="O614" i="16" a="1"/>
  <c r="O614" i="16" s="1"/>
  <c r="P616" i="16" a="1"/>
  <c r="P616" i="16" s="1"/>
  <c r="O619" i="16" a="1"/>
  <c r="O619" i="16" s="1"/>
  <c r="Q621" i="16" a="1"/>
  <c r="Q621" i="16" s="1"/>
  <c r="Q623" i="16" a="1"/>
  <c r="Q623" i="16" s="1"/>
  <c r="P626" i="16" a="1"/>
  <c r="P626" i="16" s="1"/>
  <c r="O629" i="16" a="1"/>
  <c r="O629" i="16" s="1"/>
  <c r="Q633" i="16" a="1"/>
  <c r="Q633" i="16" s="1"/>
  <c r="P636" i="16" a="1"/>
  <c r="P636" i="16" s="1"/>
  <c r="O639" i="16" a="1"/>
  <c r="O639" i="16" s="1"/>
  <c r="Q641" i="16" a="1"/>
  <c r="Q641" i="16" s="1"/>
  <c r="O644" i="16" a="1"/>
  <c r="O644" i="16" s="1"/>
  <c r="P646" i="16" a="1"/>
  <c r="P646" i="16" s="1"/>
  <c r="O390" i="16" a="1"/>
  <c r="O390" i="16" s="1"/>
  <c r="Q401" i="16" a="1"/>
  <c r="Q401" i="16" s="1"/>
  <c r="P408" i="16" a="1"/>
  <c r="P408" i="16" s="1"/>
  <c r="P421" i="16" a="1"/>
  <c r="P421" i="16" s="1"/>
  <c r="O426" i="16" a="1"/>
  <c r="O426" i="16" s="1"/>
  <c r="Q430" i="16" a="1"/>
  <c r="Q430" i="16" s="1"/>
  <c r="P439" i="16" a="1"/>
  <c r="P439" i="16" s="1"/>
  <c r="Q443" i="16" a="1"/>
  <c r="Q443" i="16" s="1"/>
  <c r="Q448" i="16" a="1"/>
  <c r="Q448" i="16" s="1"/>
  <c r="O457" i="16" a="1"/>
  <c r="O457" i="16" s="1"/>
  <c r="Q461" i="16" a="1"/>
  <c r="Q461" i="16" s="1"/>
  <c r="Q465" i="16" a="1"/>
  <c r="Q465" i="16" s="1"/>
  <c r="O470" i="16" a="1"/>
  <c r="O470" i="16" s="1"/>
  <c r="P478" i="16" a="1"/>
  <c r="P478" i="16" s="1"/>
  <c r="O483" i="16" a="1"/>
  <c r="O483" i="16" s="1"/>
  <c r="P487" i="16" a="1"/>
  <c r="P487" i="16" s="1"/>
  <c r="O496" i="16" a="1"/>
  <c r="O496" i="16" s="1"/>
  <c r="P499" i="16" a="1"/>
  <c r="P499" i="16" s="1"/>
  <c r="P502" i="16" a="1"/>
  <c r="P502" i="16" s="1"/>
  <c r="Q504" i="16" a="1"/>
  <c r="Q504" i="16" s="1"/>
  <c r="O507" i="16" a="1"/>
  <c r="O507" i="16" s="1"/>
  <c r="Q511" i="16" a="1"/>
  <c r="Q511" i="16" s="1"/>
  <c r="P514" i="16" a="1"/>
  <c r="P514" i="16" s="1"/>
  <c r="P516" i="16" a="1"/>
  <c r="P516" i="16" s="1"/>
  <c r="O519" i="16" a="1"/>
  <c r="O519" i="16" s="1"/>
  <c r="P523" i="16" a="1"/>
  <c r="P523" i="16" s="1"/>
  <c r="O528" i="16" a="1"/>
  <c r="O528" i="16" s="1"/>
  <c r="O530" i="16" a="1"/>
  <c r="O530" i="16" s="1"/>
  <c r="P534" i="16" a="1"/>
  <c r="P534" i="16" s="1"/>
  <c r="Q536" i="16" a="1"/>
  <c r="Q536" i="16" s="1"/>
  <c r="P539" i="16" a="1"/>
  <c r="P539" i="16" s="1"/>
  <c r="Q541" i="16" a="1"/>
  <c r="Q541" i="16" s="1"/>
  <c r="O544" i="16" a="1"/>
  <c r="O544" i="16" s="1"/>
  <c r="Q546" i="16" a="1"/>
  <c r="Q546" i="16" s="1"/>
  <c r="O549" i="16" a="1"/>
  <c r="O549" i="16" s="1"/>
  <c r="Q441" i="16" a="1"/>
  <c r="Q441" i="16" s="1"/>
  <c r="Q476" i="16" a="1"/>
  <c r="Q476" i="16" s="1"/>
  <c r="Q494" i="16" a="1"/>
  <c r="Q494" i="16" s="1"/>
  <c r="O506" i="16" a="1"/>
  <c r="O506" i="16" s="1"/>
  <c r="P515" i="16" a="1"/>
  <c r="P515" i="16" s="1"/>
  <c r="O525" i="16" a="1"/>
  <c r="O525" i="16" s="1"/>
  <c r="Q531" i="16" a="1"/>
  <c r="Q531" i="16" s="1"/>
  <c r="P538" i="16" a="1"/>
  <c r="P538" i="16" s="1"/>
  <c r="P545" i="16" a="1"/>
  <c r="P545" i="16" s="1"/>
  <c r="O551" i="16" a="1"/>
  <c r="O551" i="16" s="1"/>
  <c r="O556" i="16" a="1"/>
  <c r="O556" i="16" s="1"/>
  <c r="O561" i="16" a="1"/>
  <c r="O561" i="16" s="1"/>
  <c r="Q565" i="16" a="1"/>
  <c r="Q565" i="16" s="1"/>
  <c r="P570" i="16" a="1"/>
  <c r="P570" i="16" s="1"/>
  <c r="O575" i="16" a="1"/>
  <c r="O575" i="16" s="1"/>
  <c r="Q579" i="16" a="1"/>
  <c r="Q579" i="16" s="1"/>
  <c r="O585" i="16" a="1"/>
  <c r="O585" i="16" s="1"/>
  <c r="Q589" i="16" a="1"/>
  <c r="Q589" i="16" s="1"/>
  <c r="Q594" i="16" a="1"/>
  <c r="Q594" i="16" s="1"/>
  <c r="Q599" i="16" a="1"/>
  <c r="Q599" i="16" s="1"/>
  <c r="O604" i="16" a="1"/>
  <c r="O604" i="16" s="1"/>
  <c r="O609" i="16" a="1"/>
  <c r="O609" i="16" s="1"/>
  <c r="Q618" i="16" a="1"/>
  <c r="Q618" i="16" s="1"/>
  <c r="Q628" i="16" a="1"/>
  <c r="Q628" i="16" s="1"/>
  <c r="P633" i="16" a="1"/>
  <c r="P633" i="16" s="1"/>
  <c r="Q638" i="16" a="1"/>
  <c r="Q638" i="16" s="1"/>
  <c r="P643" i="16" a="1"/>
  <c r="P643" i="16" s="1"/>
  <c r="Q646" i="16" a="1"/>
  <c r="Q646" i="16" s="1"/>
  <c r="Q649" i="16" a="1"/>
  <c r="Q649" i="16" s="1"/>
  <c r="Q652" i="16" a="1"/>
  <c r="Q652" i="16" s="1"/>
  <c r="Q655" i="16" a="1"/>
  <c r="Q655" i="16" s="1"/>
  <c r="O661" i="16" a="1"/>
  <c r="O661" i="16" s="1"/>
  <c r="Q663" i="16" a="1"/>
  <c r="Q663" i="16" s="1"/>
  <c r="P666" i="16" a="1"/>
  <c r="P666" i="16" s="1"/>
  <c r="O669" i="16" a="1"/>
  <c r="O669" i="16" s="1"/>
  <c r="Q673" i="16" a="1"/>
  <c r="Q673" i="16" s="1"/>
  <c r="O676" i="16" a="1"/>
  <c r="O676" i="16" s="1"/>
  <c r="Q678" i="16" a="1"/>
  <c r="Q678" i="16" s="1"/>
  <c r="O681" i="16" a="1"/>
  <c r="O681" i="16" s="1"/>
  <c r="P683" i="16" a="1"/>
  <c r="P683" i="16" s="1"/>
  <c r="O686" i="16" a="1"/>
  <c r="O686" i="16" s="1"/>
  <c r="P688" i="16" a="1"/>
  <c r="P688" i="16" s="1"/>
  <c r="O691" i="16" a="1"/>
  <c r="O691" i="16" s="1"/>
  <c r="P693" i="16" a="1"/>
  <c r="P693" i="16" s="1"/>
  <c r="P695" i="16" a="1"/>
  <c r="P695" i="16" s="1"/>
  <c r="Q697" i="16" a="1"/>
  <c r="Q697" i="16" s="1"/>
  <c r="P699" i="16" a="1"/>
  <c r="P699" i="16" s="1"/>
  <c r="O702" i="16" a="1"/>
  <c r="O702" i="16" s="1"/>
  <c r="P704" i="16" a="1"/>
  <c r="P704" i="16" s="1"/>
  <c r="Q706" i="16" a="1"/>
  <c r="Q706" i="16" s="1"/>
  <c r="O709" i="16" a="1"/>
  <c r="O709" i="16" s="1"/>
  <c r="O711" i="16" a="1"/>
  <c r="O711" i="16" s="1"/>
  <c r="P715" i="16" a="1"/>
  <c r="P715" i="16" s="1"/>
  <c r="P717" i="16" a="1"/>
  <c r="P717" i="16" s="1"/>
  <c r="P719" i="16" a="1"/>
  <c r="P719" i="16" s="1"/>
  <c r="O723" i="16" a="1"/>
  <c r="O723" i="16" s="1"/>
  <c r="P725" i="16" a="1"/>
  <c r="P725" i="16" s="1"/>
  <c r="Q727" i="16" a="1"/>
  <c r="Q727" i="16" s="1"/>
  <c r="P730" i="16" a="1"/>
  <c r="P730" i="16" s="1"/>
  <c r="P732" i="16" a="1"/>
  <c r="P732" i="16" s="1"/>
  <c r="Q734" i="16" a="1"/>
  <c r="Q734" i="16" s="1"/>
  <c r="P737" i="16" a="1"/>
  <c r="P737" i="16" s="1"/>
  <c r="Q739" i="16" a="1"/>
  <c r="Q739" i="16" s="1"/>
  <c r="P742" i="16" a="1"/>
  <c r="P742" i="16" s="1"/>
  <c r="Q744" i="16" a="1"/>
  <c r="Q744" i="16" s="1"/>
  <c r="P747" i="16" a="1"/>
  <c r="P747" i="16" s="1"/>
  <c r="O752" i="16" a="1"/>
  <c r="O752" i="16" s="1"/>
  <c r="Q754" i="16" a="1"/>
  <c r="Q754" i="16" s="1"/>
  <c r="P757" i="16" a="1"/>
  <c r="P757" i="16" s="1"/>
  <c r="Q759" i="16" a="1"/>
  <c r="Q759" i="16" s="1"/>
  <c r="O762" i="16" a="1"/>
  <c r="O762" i="16" s="1"/>
  <c r="Q764" i="16" a="1"/>
  <c r="Q764" i="16" s="1"/>
  <c r="P767" i="16" a="1"/>
  <c r="P767" i="16" s="1"/>
  <c r="O770" i="16" a="1"/>
  <c r="O770" i="16" s="1"/>
  <c r="Q774" i="16" a="1"/>
  <c r="Q774" i="16" s="1"/>
  <c r="O777" i="16" a="1"/>
  <c r="O777" i="16" s="1"/>
  <c r="Q779" i="16" a="1"/>
  <c r="Q779" i="16" s="1"/>
  <c r="Q410" i="16" a="1"/>
  <c r="Q410" i="16" s="1"/>
  <c r="P446" i="16" a="1"/>
  <c r="P446" i="16" s="1"/>
  <c r="Q480" i="16" a="1"/>
  <c r="Q480" i="16" s="1"/>
  <c r="O508" i="16" a="1"/>
  <c r="O508" i="16" s="1"/>
  <c r="Q517" i="16" a="1"/>
  <c r="Q517" i="16" s="1"/>
  <c r="O527" i="16" a="1"/>
  <c r="O527" i="16" s="1"/>
  <c r="P533" i="16" a="1"/>
  <c r="P533" i="16" s="1"/>
  <c r="Q538" i="16" a="1"/>
  <c r="Q538" i="16" s="1"/>
  <c r="Q545" i="16" a="1"/>
  <c r="Q545" i="16" s="1"/>
  <c r="Q551" i="16" a="1"/>
  <c r="Q551" i="16" s="1"/>
  <c r="Q556" i="16" a="1"/>
  <c r="Q556" i="16" s="1"/>
  <c r="Q561" i="16" a="1"/>
  <c r="Q561" i="16" s="1"/>
  <c r="P566" i="16" a="1"/>
  <c r="P566" i="16" s="1"/>
  <c r="O571" i="16" a="1"/>
  <c r="O571" i="16" s="1"/>
  <c r="Q575" i="16" a="1"/>
  <c r="Q575" i="16" s="1"/>
  <c r="P580" i="16" a="1"/>
  <c r="P580" i="16" s="1"/>
  <c r="Q585" i="16" a="1"/>
  <c r="Q585" i="16" s="1"/>
  <c r="O590" i="16" a="1"/>
  <c r="O590" i="16" s="1"/>
  <c r="P595" i="16" a="1"/>
  <c r="P595" i="16" s="1"/>
  <c r="P604" i="16" a="1"/>
  <c r="P604" i="16" s="1"/>
  <c r="Q609" i="16" a="1"/>
  <c r="Q609" i="16" s="1"/>
  <c r="P614" i="16" a="1"/>
  <c r="P614" i="16" s="1"/>
  <c r="P619" i="16" a="1"/>
  <c r="P619" i="16" s="1"/>
  <c r="O624" i="16" a="1"/>
  <c r="O624" i="16" s="1"/>
  <c r="P629" i="16" a="1"/>
  <c r="P629" i="16" s="1"/>
  <c r="O634" i="16" a="1"/>
  <c r="O634" i="16" s="1"/>
  <c r="P639" i="16" a="1"/>
  <c r="P639" i="16" s="1"/>
  <c r="Q643" i="16" a="1"/>
  <c r="Q643" i="16" s="1"/>
  <c r="O647" i="16" a="1"/>
  <c r="O647" i="16" s="1"/>
  <c r="P650" i="16" a="1"/>
  <c r="P650" i="16" s="1"/>
  <c r="O653" i="16" a="1"/>
  <c r="O653" i="16" s="1"/>
  <c r="O656" i="16" a="1"/>
  <c r="O656" i="16" s="1"/>
  <c r="Q658" i="16" a="1"/>
  <c r="Q658" i="16" s="1"/>
  <c r="P661" i="16" a="1"/>
  <c r="P661" i="16" s="1"/>
  <c r="O664" i="16" a="1"/>
  <c r="O664" i="16" s="1"/>
  <c r="Q666" i="16" a="1"/>
  <c r="Q666" i="16" s="1"/>
  <c r="P671" i="16" a="1"/>
  <c r="P671" i="16" s="1"/>
  <c r="O674" i="16" a="1"/>
  <c r="O674" i="16" s="1"/>
  <c r="P676" i="16" a="1"/>
  <c r="P676" i="16" s="1"/>
  <c r="O679" i="16" a="1"/>
  <c r="O679" i="16" s="1"/>
  <c r="P681" i="16" a="1"/>
  <c r="P681" i="16" s="1"/>
  <c r="Q683" i="16" a="1"/>
  <c r="Q683" i="16" s="1"/>
  <c r="P686" i="16" a="1"/>
  <c r="P686" i="16" s="1"/>
  <c r="Q688" i="16" a="1"/>
  <c r="Q688" i="16" s="1"/>
  <c r="P691" i="16" a="1"/>
  <c r="P691" i="16" s="1"/>
  <c r="Q693" i="16" a="1"/>
  <c r="Q693" i="16" s="1"/>
  <c r="O698" i="16" a="1"/>
  <c r="O698" i="16" s="1"/>
  <c r="Q699" i="16" a="1"/>
  <c r="Q699" i="16" s="1"/>
  <c r="Q704" i="16" a="1"/>
  <c r="Q704" i="16" s="1"/>
  <c r="O707" i="16" a="1"/>
  <c r="O707" i="16" s="1"/>
  <c r="P709" i="16" a="1"/>
  <c r="P709" i="16" s="1"/>
  <c r="P711" i="16" a="1"/>
  <c r="P711" i="16" s="1"/>
  <c r="P713" i="16" a="1"/>
  <c r="P713" i="16" s="1"/>
  <c r="Q715" i="16" a="1"/>
  <c r="Q715" i="16" s="1"/>
  <c r="Q717" i="16" a="1"/>
  <c r="Q717" i="16" s="1"/>
  <c r="Q719" i="16" a="1"/>
  <c r="Q719" i="16" s="1"/>
  <c r="P721" i="16" a="1"/>
  <c r="P721" i="16" s="1"/>
  <c r="P723" i="16" a="1"/>
  <c r="P723" i="16" s="1"/>
  <c r="Q725" i="16" a="1"/>
  <c r="Q725" i="16" s="1"/>
  <c r="O728" i="16" a="1"/>
  <c r="O728" i="16" s="1"/>
  <c r="Q730" i="16" a="1"/>
  <c r="Q730" i="16" s="1"/>
  <c r="Q732" i="16" a="1"/>
  <c r="Q732" i="16" s="1"/>
  <c r="O735" i="16" a="1"/>
  <c r="O735" i="16" s="1"/>
  <c r="O740" i="16" a="1"/>
  <c r="O740" i="16" s="1"/>
  <c r="Q742" i="16" a="1"/>
  <c r="Q742" i="16" s="1"/>
  <c r="O745" i="16" a="1"/>
  <c r="O745" i="16" s="1"/>
  <c r="Q747" i="16" a="1"/>
  <c r="Q747" i="16" s="1"/>
  <c r="Q749" i="16" a="1"/>
  <c r="Q749" i="16" s="1"/>
  <c r="P752" i="16" a="1"/>
  <c r="P752" i="16" s="1"/>
  <c r="O755" i="16" a="1"/>
  <c r="O755" i="16" s="1"/>
  <c r="Q757" i="16" a="1"/>
  <c r="Q757" i="16" s="1"/>
  <c r="O760" i="16" a="1"/>
  <c r="O760" i="16" s="1"/>
  <c r="P762" i="16" a="1"/>
  <c r="P762" i="16" s="1"/>
  <c r="O765" i="16" a="1"/>
  <c r="O765" i="16" s="1"/>
  <c r="Q767" i="16" a="1"/>
  <c r="Q767" i="16" s="1"/>
  <c r="P770" i="16" a="1"/>
  <c r="P770" i="16" s="1"/>
  <c r="P772" i="16" a="1"/>
  <c r="P772" i="16" s="1"/>
  <c r="O415" i="16" a="1"/>
  <c r="O415" i="16" s="1"/>
  <c r="O451" i="16" a="1"/>
  <c r="O451" i="16" s="1"/>
  <c r="O498" i="16" a="1"/>
  <c r="O498" i="16" s="1"/>
  <c r="P508" i="16" a="1"/>
  <c r="P508" i="16" s="1"/>
  <c r="O518" i="16" a="1"/>
  <c r="O518" i="16" s="1"/>
  <c r="Q540" i="16" a="1"/>
  <c r="Q540" i="16" s="1"/>
  <c r="O546" i="16" a="1"/>
  <c r="O546" i="16" s="1"/>
  <c r="Q552" i="16" a="1"/>
  <c r="Q552" i="16" s="1"/>
  <c r="O558" i="16" a="1"/>
  <c r="O558" i="16" s="1"/>
  <c r="O563" i="16" a="1"/>
  <c r="O563" i="16" s="1"/>
  <c r="P567" i="16" a="1"/>
  <c r="P567" i="16" s="1"/>
  <c r="Q576" i="16" a="1"/>
  <c r="Q576" i="16" s="1"/>
  <c r="Q581" i="16" a="1"/>
  <c r="Q581" i="16" s="1"/>
  <c r="Q586" i="16" a="1"/>
  <c r="Q586" i="16" s="1"/>
  <c r="P591" i="16" a="1"/>
  <c r="P591" i="16" s="1"/>
  <c r="Q596" i="16" a="1"/>
  <c r="Q596" i="16" s="1"/>
  <c r="P601" i="16" a="1"/>
  <c r="P601" i="16" s="1"/>
  <c r="Q605" i="16" a="1"/>
  <c r="Q605" i="16" s="1"/>
  <c r="Q615" i="16" a="1"/>
  <c r="Q615" i="16" s="1"/>
  <c r="Q620" i="16" a="1"/>
  <c r="Q620" i="16" s="1"/>
  <c r="P625" i="16" a="1"/>
  <c r="P625" i="16" s="1"/>
  <c r="P630" i="16" a="1"/>
  <c r="P630" i="16" s="1"/>
  <c r="P635" i="16" a="1"/>
  <c r="P635" i="16" s="1"/>
  <c r="Q639" i="16" a="1"/>
  <c r="Q639" i="16" s="1"/>
  <c r="Q647" i="16" a="1"/>
  <c r="Q647" i="16" s="1"/>
  <c r="Q650" i="16" a="1"/>
  <c r="Q650" i="16" s="1"/>
  <c r="P653" i="16" a="1"/>
  <c r="P653" i="16" s="1"/>
  <c r="P656" i="16" a="1"/>
  <c r="P656" i="16" s="1"/>
  <c r="O659" i="16" a="1"/>
  <c r="O659" i="16" s="1"/>
  <c r="Q661" i="16" a="1"/>
  <c r="Q661" i="16" s="1"/>
  <c r="P664" i="16" a="1"/>
  <c r="P664" i="16" s="1"/>
  <c r="O667" i="16" a="1"/>
  <c r="O667" i="16" s="1"/>
  <c r="P669" i="16" a="1"/>
  <c r="P669" i="16" s="1"/>
  <c r="Q671" i="16" a="1"/>
  <c r="Q671" i="16" s="1"/>
  <c r="Q676" i="16" a="1"/>
  <c r="Q676" i="16" s="1"/>
  <c r="P679" i="16" a="1"/>
  <c r="P679" i="16" s="1"/>
  <c r="Q681" i="16" a="1"/>
  <c r="Q681" i="16" s="1"/>
  <c r="O684" i="16" a="1"/>
  <c r="O684" i="16" s="1"/>
  <c r="Q686" i="16" a="1"/>
  <c r="Q686" i="16" s="1"/>
  <c r="O689" i="16" a="1"/>
  <c r="O689" i="16" s="1"/>
  <c r="O694" i="16" a="1"/>
  <c r="O694" i="16" s="1"/>
  <c r="Q695" i="16" a="1"/>
  <c r="Q695" i="16" s="1"/>
  <c r="O700" i="16" a="1"/>
  <c r="O700" i="16" s="1"/>
  <c r="P702" i="16" a="1"/>
  <c r="P702" i="16" s="1"/>
  <c r="O705" i="16" a="1"/>
  <c r="O705" i="16" s="1"/>
  <c r="P707" i="16" a="1"/>
  <c r="P707" i="16" s="1"/>
  <c r="Q709" i="16" a="1"/>
  <c r="Q709" i="16" s="1"/>
  <c r="Q711" i="16" a="1"/>
  <c r="Q711" i="16" s="1"/>
  <c r="Q713" i="16" a="1"/>
  <c r="Q713" i="16" s="1"/>
  <c r="O720" i="16" a="1"/>
  <c r="O720" i="16" s="1"/>
  <c r="Q721" i="16" a="1"/>
  <c r="Q721" i="16" s="1"/>
  <c r="Q723" i="16" a="1"/>
  <c r="Q723" i="16" s="1"/>
  <c r="O726" i="16" a="1"/>
  <c r="O726" i="16" s="1"/>
  <c r="P728" i="16" a="1"/>
  <c r="P728" i="16" s="1"/>
  <c r="O733" i="16" a="1"/>
  <c r="O733" i="16" s="1"/>
  <c r="P735" i="16" a="1"/>
  <c r="P735" i="16" s="1"/>
  <c r="Q737" i="16" a="1"/>
  <c r="Q737" i="16" s="1"/>
  <c r="P740" i="16" a="1"/>
  <c r="P740" i="16" s="1"/>
  <c r="O743" i="16" a="1"/>
  <c r="O743" i="16" s="1"/>
  <c r="P745" i="16" a="1"/>
  <c r="P745" i="16" s="1"/>
  <c r="O748" i="16" a="1"/>
  <c r="O748" i="16" s="1"/>
  <c r="O750" i="16" a="1"/>
  <c r="O750" i="16" s="1"/>
  <c r="Q752" i="16" a="1"/>
  <c r="Q752" i="16" s="1"/>
  <c r="P755" i="16" a="1"/>
  <c r="P755" i="16" s="1"/>
  <c r="O758" i="16" a="1"/>
  <c r="O758" i="16" s="1"/>
  <c r="Q762" i="16" a="1"/>
  <c r="Q762" i="16" s="1"/>
  <c r="P765" i="16" a="1"/>
  <c r="P765" i="16" s="1"/>
  <c r="O768" i="16" a="1"/>
  <c r="O768" i="16" s="1"/>
  <c r="Q770" i="16" a="1"/>
  <c r="Q770" i="16" s="1"/>
  <c r="Q772" i="16" a="1"/>
  <c r="Q772" i="16" s="1"/>
  <c r="P775" i="16" a="1"/>
  <c r="P775" i="16" s="1"/>
  <c r="Q777" i="16" a="1"/>
  <c r="Q777" i="16" s="1"/>
  <c r="P780" i="16" a="1"/>
  <c r="P780" i="16" s="1"/>
  <c r="Q782" i="16" a="1"/>
  <c r="Q782" i="16" s="1"/>
  <c r="P785" i="16" a="1"/>
  <c r="P785" i="16" s="1"/>
  <c r="O788" i="16" a="1"/>
  <c r="O788" i="16" s="1"/>
  <c r="Q419" i="16" a="1"/>
  <c r="Q419" i="16" s="1"/>
  <c r="P455" i="16" a="1"/>
  <c r="P455" i="16" s="1"/>
  <c r="P485" i="16" a="1"/>
  <c r="P485" i="16" s="1"/>
  <c r="Q500" i="16" a="1"/>
  <c r="Q500" i="16" s="1"/>
  <c r="P510" i="16" a="1"/>
  <c r="P510" i="16" s="1"/>
  <c r="P520" i="16" a="1"/>
  <c r="P520" i="16" s="1"/>
  <c r="O529" i="16" a="1"/>
  <c r="O529" i="16" s="1"/>
  <c r="Q533" i="16" a="1"/>
  <c r="Q533" i="16" s="1"/>
  <c r="O541" i="16" a="1"/>
  <c r="O541" i="16" s="1"/>
  <c r="Q547" i="16" a="1"/>
  <c r="Q547" i="16" s="1"/>
  <c r="O553" i="16" a="1"/>
  <c r="O553" i="16" s="1"/>
  <c r="P558" i="16" a="1"/>
  <c r="P558" i="16" s="1"/>
  <c r="P563" i="16" a="1"/>
  <c r="P563" i="16" s="1"/>
  <c r="Q567" i="16" a="1"/>
  <c r="Q567" i="16" s="1"/>
  <c r="O572" i="16" a="1"/>
  <c r="O572" i="16" s="1"/>
  <c r="O577" i="16" a="1"/>
  <c r="O577" i="16" s="1"/>
  <c r="O582" i="16" a="1"/>
  <c r="O582" i="16" s="1"/>
  <c r="Q591" i="16" a="1"/>
  <c r="Q591" i="16" s="1"/>
  <c r="O597" i="16" a="1"/>
  <c r="O597" i="16" s="1"/>
  <c r="Q601" i="16" a="1"/>
  <c r="Q601" i="16" s="1"/>
  <c r="O606" i="16" a="1"/>
  <c r="O606" i="16" s="1"/>
  <c r="O611" i="16" a="1"/>
  <c r="O611" i="16" s="1"/>
  <c r="O621" i="16" a="1"/>
  <c r="O621" i="16" s="1"/>
  <c r="Q625" i="16" a="1"/>
  <c r="Q625" i="16" s="1"/>
  <c r="Q630" i="16" a="1"/>
  <c r="Q630" i="16" s="1"/>
  <c r="Q635" i="16" a="1"/>
  <c r="Q635" i="16" s="1"/>
  <c r="Q640" i="16" a="1"/>
  <c r="Q640" i="16" s="1"/>
  <c r="P644" i="16" a="1"/>
  <c r="P644" i="16" s="1"/>
  <c r="O648" i="16" a="1"/>
  <c r="O648" i="16" s="1"/>
  <c r="O651" i="16" a="1"/>
  <c r="O651" i="16" s="1"/>
  <c r="Q653" i="16" a="1"/>
  <c r="Q653" i="16" s="1"/>
  <c r="Q656" i="16" a="1"/>
  <c r="Q656" i="16" s="1"/>
  <c r="P659" i="16" a="1"/>
  <c r="P659" i="16" s="1"/>
  <c r="O662" i="16" a="1"/>
  <c r="O662" i="16" s="1"/>
  <c r="Q664" i="16" a="1"/>
  <c r="Q664" i="16" s="1"/>
  <c r="P667" i="16" a="1"/>
  <c r="P667" i="16" s="1"/>
  <c r="Q669" i="16" a="1"/>
  <c r="Q669" i="16" s="1"/>
  <c r="O672" i="16" a="1"/>
  <c r="O672" i="16" s="1"/>
  <c r="P674" i="16" a="1"/>
  <c r="P674" i="16" s="1"/>
  <c r="O677" i="16" a="1"/>
  <c r="O677" i="16" s="1"/>
  <c r="Q679" i="16" a="1"/>
  <c r="Q679" i="16" s="1"/>
  <c r="P684" i="16" a="1"/>
  <c r="P684" i="16" s="1"/>
  <c r="O687" i="16" a="1"/>
  <c r="O687" i="16" s="1"/>
  <c r="P689" i="16" a="1"/>
  <c r="P689" i="16" s="1"/>
  <c r="Q691" i="16" a="1"/>
  <c r="Q691" i="16" s="1"/>
  <c r="P694" i="16" a="1"/>
  <c r="P694" i="16" s="1"/>
  <c r="O696" i="16" a="1"/>
  <c r="O696" i="16" s="1"/>
  <c r="P698" i="16" a="1"/>
  <c r="P698" i="16" s="1"/>
  <c r="P700" i="16" a="1"/>
  <c r="P700" i="16" s="1"/>
  <c r="Q702" i="16" a="1"/>
  <c r="Q702" i="16" s="1"/>
  <c r="P705" i="16" a="1"/>
  <c r="P705" i="16" s="1"/>
  <c r="Q707" i="16" a="1"/>
  <c r="Q707" i="16" s="1"/>
  <c r="O716" i="16" a="1"/>
  <c r="O716" i="16" s="1"/>
  <c r="O718" i="16" a="1"/>
  <c r="O718" i="16" s="1"/>
  <c r="O722" i="16" a="1"/>
  <c r="O722" i="16" s="1"/>
  <c r="O724" i="16" a="1"/>
  <c r="O724" i="16" s="1"/>
  <c r="P726" i="16" a="1"/>
  <c r="P726" i="16" s="1"/>
  <c r="Q728" i="16" a="1"/>
  <c r="Q728" i="16" s="1"/>
  <c r="O731" i="16" a="1"/>
  <c r="O731" i="16" s="1"/>
  <c r="P733" i="16" a="1"/>
  <c r="P733" i="16" s="1"/>
  <c r="Q735" i="16" a="1"/>
  <c r="Q735" i="16" s="1"/>
  <c r="O738" i="16" a="1"/>
  <c r="O738" i="16" s="1"/>
  <c r="Q740" i="16" a="1"/>
  <c r="Q740" i="16" s="1"/>
  <c r="P743" i="16" a="1"/>
  <c r="P743" i="16" s="1"/>
  <c r="Q745" i="16" a="1"/>
  <c r="Q745" i="16" s="1"/>
  <c r="P750" i="16" a="1"/>
  <c r="P750" i="16" s="1"/>
  <c r="O753" i="16" a="1"/>
  <c r="O753" i="16" s="1"/>
  <c r="Q755" i="16" a="1"/>
  <c r="Q755" i="16" s="1"/>
  <c r="P758" i="16" a="1"/>
  <c r="P758" i="16" s="1"/>
  <c r="P760" i="16" a="1"/>
  <c r="P760" i="16" s="1"/>
  <c r="O763" i="16" a="1"/>
  <c r="O763" i="16" s="1"/>
  <c r="Q765" i="16" a="1"/>
  <c r="Q765" i="16" s="1"/>
  <c r="P768" i="16" a="1"/>
  <c r="P768" i="16" s="1"/>
  <c r="O773" i="16" a="1"/>
  <c r="O773" i="16" s="1"/>
  <c r="Q775" i="16" a="1"/>
  <c r="Q775" i="16" s="1"/>
  <c r="O778" i="16" a="1"/>
  <c r="O778" i="16" s="1"/>
  <c r="O424" i="16" a="1"/>
  <c r="O424" i="16" s="1"/>
  <c r="O464" i="16" a="1"/>
  <c r="O464" i="16" s="1"/>
  <c r="Q489" i="16" a="1"/>
  <c r="Q489" i="16" s="1"/>
  <c r="P433" i="16" a="1"/>
  <c r="P433" i="16" s="1"/>
  <c r="O490" i="16" a="1"/>
  <c r="O490" i="16" s="1"/>
  <c r="Q503" i="16" a="1"/>
  <c r="Q503" i="16" s="1"/>
  <c r="P513" i="16" a="1"/>
  <c r="P513" i="16" s="1"/>
  <c r="Q522" i="16" a="1"/>
  <c r="Q522" i="16" s="1"/>
  <c r="O531" i="16" a="1"/>
  <c r="O531" i="16" s="1"/>
  <c r="P536" i="16" a="1"/>
  <c r="P536" i="16" s="1"/>
  <c r="Q437" i="16" a="1"/>
  <c r="Q437" i="16" s="1"/>
  <c r="P819" i="16" a="1"/>
  <c r="P819" i="16" s="1"/>
  <c r="O812" i="16" a="1"/>
  <c r="O812" i="16" s="1"/>
  <c r="O802" i="16" a="1"/>
  <c r="O802" i="16" s="1"/>
  <c r="P773" i="16" a="1"/>
  <c r="P773" i="16" s="1"/>
  <c r="P831" i="16" a="1"/>
  <c r="P831" i="16" s="1"/>
  <c r="Q825" i="16" a="1"/>
  <c r="Q825" i="16" s="1"/>
  <c r="O819" i="16" a="1"/>
  <c r="O819" i="16" s="1"/>
  <c r="Q811" i="16" a="1"/>
  <c r="Q811" i="16" s="1"/>
  <c r="P804" i="16" a="1"/>
  <c r="P804" i="16" s="1"/>
  <c r="O797" i="16" a="1"/>
  <c r="O797" i="16" s="1"/>
  <c r="P789" i="16" a="1"/>
  <c r="P789" i="16" s="1"/>
  <c r="Q780" i="16" a="1"/>
  <c r="Q780" i="16" s="1"/>
  <c r="O767" i="16" a="1"/>
  <c r="O767" i="16" s="1"/>
  <c r="Q751" i="16" a="1"/>
  <c r="Q751" i="16" s="1"/>
  <c r="O737" i="16" a="1"/>
  <c r="O737" i="16" s="1"/>
  <c r="Q710" i="16" a="1"/>
  <c r="Q710" i="16" s="1"/>
  <c r="P697" i="16" a="1"/>
  <c r="P697" i="16" s="1"/>
  <c r="O683" i="16" a="1"/>
  <c r="O683" i="16" s="1"/>
  <c r="Q668" i="16" a="1"/>
  <c r="Q668" i="16" s="1"/>
  <c r="P652" i="16" a="1"/>
  <c r="P652" i="16" s="1"/>
  <c r="P628" i="16" a="1"/>
  <c r="P628" i="16" s="1"/>
  <c r="P589" i="16" a="1"/>
  <c r="P589" i="16" s="1"/>
  <c r="T811" i="14"/>
  <c r="T788" i="14"/>
  <c r="T770" i="14"/>
  <c r="T747" i="14"/>
  <c r="T724" i="14"/>
  <c r="T706" i="14"/>
  <c r="T683" i="14"/>
  <c r="T660" i="14"/>
  <c r="T642" i="14"/>
  <c r="T619" i="14"/>
  <c r="T596" i="14"/>
  <c r="T578" i="14"/>
  <c r="T555" i="14"/>
  <c r="T532" i="14"/>
  <c r="T512" i="14"/>
  <c r="T486" i="14"/>
  <c r="T459" i="14"/>
  <c r="O835" i="16" a="1"/>
  <c r="O835" i="16" s="1"/>
  <c r="Q832" i="16" a="1"/>
  <c r="Q832" i="16" s="1"/>
  <c r="Q828" i="16" a="1"/>
  <c r="Q828" i="16" s="1"/>
  <c r="Q822" i="16" a="1"/>
  <c r="Q822" i="16" s="1"/>
  <c r="P820" i="16" a="1"/>
  <c r="P820" i="16" s="1"/>
  <c r="O818" i="16" a="1"/>
  <c r="O818" i="16" s="1"/>
  <c r="Q815" i="16" a="1"/>
  <c r="Q815" i="16" s="1"/>
  <c r="P813" i="16" a="1"/>
  <c r="P813" i="16" s="1"/>
  <c r="P808" i="16" a="1"/>
  <c r="P808" i="16" s="1"/>
  <c r="Q805" i="16" a="1"/>
  <c r="Q805" i="16" s="1"/>
  <c r="P803" i="16" a="1"/>
  <c r="P803" i="16" s="1"/>
  <c r="Q800" i="16" a="1"/>
  <c r="Q800" i="16" s="1"/>
  <c r="P798" i="16" a="1"/>
  <c r="P798" i="16" s="1"/>
  <c r="O796" i="16" a="1"/>
  <c r="O796" i="16" s="1"/>
  <c r="P793" i="16" a="1"/>
  <c r="P793" i="16" s="1"/>
  <c r="Q790" i="16" a="1"/>
  <c r="Q790" i="16" s="1"/>
  <c r="P788" i="16" a="1"/>
  <c r="P788" i="16" s="1"/>
  <c r="O785" i="16" a="1"/>
  <c r="O785" i="16" s="1"/>
  <c r="O782" i="16" a="1"/>
  <c r="O782" i="16" s="1"/>
  <c r="O779" i="16" a="1"/>
  <c r="O779" i="16" s="1"/>
  <c r="O775" i="16" a="1"/>
  <c r="O775" i="16" s="1"/>
  <c r="O771" i="16" a="1"/>
  <c r="O771" i="16" s="1"/>
  <c r="O766" i="16" a="1"/>
  <c r="O766" i="16" s="1"/>
  <c r="Q760" i="16" a="1"/>
  <c r="Q760" i="16" s="1"/>
  <c r="O756" i="16" a="1"/>
  <c r="O756" i="16" s="1"/>
  <c r="Q750" i="16" a="1"/>
  <c r="Q750" i="16" s="1"/>
  <c r="O746" i="16" a="1"/>
  <c r="O746" i="16" s="1"/>
  <c r="O741" i="16" a="1"/>
  <c r="O741" i="16" s="1"/>
  <c r="O736" i="16" a="1"/>
  <c r="O736" i="16" s="1"/>
  <c r="P731" i="16" a="1"/>
  <c r="P731" i="16" s="1"/>
  <c r="Q726" i="16" a="1"/>
  <c r="Q726" i="16" s="1"/>
  <c r="P722" i="16" a="1"/>
  <c r="P722" i="16" s="1"/>
  <c r="P718" i="16" a="1"/>
  <c r="P718" i="16" s="1"/>
  <c r="O714" i="16" a="1"/>
  <c r="O714" i="16" s="1"/>
  <c r="O710" i="16" a="1"/>
  <c r="O710" i="16" s="1"/>
  <c r="Q705" i="16" a="1"/>
  <c r="Q705" i="16" s="1"/>
  <c r="Q700" i="16" a="1"/>
  <c r="Q700" i="16" s="1"/>
  <c r="P696" i="16" a="1"/>
  <c r="P696" i="16" s="1"/>
  <c r="O692" i="16" a="1"/>
  <c r="O692" i="16" s="1"/>
  <c r="P687" i="16" a="1"/>
  <c r="P687" i="16" s="1"/>
  <c r="O682" i="16" a="1"/>
  <c r="O682" i="16" s="1"/>
  <c r="P677" i="16" a="1"/>
  <c r="P677" i="16" s="1"/>
  <c r="P672" i="16" a="1"/>
  <c r="P672" i="16" s="1"/>
  <c r="Q667" i="16" a="1"/>
  <c r="Q667" i="16" s="1"/>
  <c r="P662" i="16" a="1"/>
  <c r="P662" i="16" s="1"/>
  <c r="O657" i="16" a="1"/>
  <c r="O657" i="16" s="1"/>
  <c r="P651" i="16" a="1"/>
  <c r="P651" i="16" s="1"/>
  <c r="Q644" i="16" a="1"/>
  <c r="Q644" i="16" s="1"/>
  <c r="O636" i="16" a="1"/>
  <c r="O636" i="16" s="1"/>
  <c r="O626" i="16" a="1"/>
  <c r="O626" i="16" s="1"/>
  <c r="O616" i="16" a="1"/>
  <c r="O616" i="16" s="1"/>
  <c r="P606" i="16" a="1"/>
  <c r="P606" i="16" s="1"/>
  <c r="P597" i="16" a="1"/>
  <c r="P597" i="16" s="1"/>
  <c r="O587" i="16" a="1"/>
  <c r="O587" i="16" s="1"/>
  <c r="P577" i="16" a="1"/>
  <c r="P577" i="16" s="1"/>
  <c r="O568" i="16" a="1"/>
  <c r="O568" i="16" s="1"/>
  <c r="Q558" i="16" a="1"/>
  <c r="Q558" i="16" s="1"/>
  <c r="O548" i="16" a="1"/>
  <c r="O548" i="16" s="1"/>
  <c r="P531" i="16" a="1"/>
  <c r="P531" i="16" s="1"/>
  <c r="Q510" i="16" a="1"/>
  <c r="Q510" i="16" s="1"/>
  <c r="P6" i="16" a="1"/>
  <c r="P6" i="16" s="1"/>
  <c r="B6" i="16"/>
  <c r="L4" i="14" a="1"/>
  <c r="L4" i="14" s="1"/>
  <c r="L3" i="14" a="1"/>
  <c r="L3" i="14" s="1"/>
  <c r="D14" i="14" a="1"/>
  <c r="D14" i="14" s="1"/>
  <c r="Q5" i="14" a="1"/>
  <c r="Q5" i="14" s="1"/>
  <c r="T829" i="14"/>
  <c r="T821" i="14"/>
  <c r="T813" i="14"/>
  <c r="T805" i="14"/>
  <c r="T797" i="14"/>
  <c r="T789" i="14"/>
  <c r="T781" i="14"/>
  <c r="T773" i="14"/>
  <c r="T765" i="14"/>
  <c r="T757" i="14"/>
  <c r="T749" i="14"/>
  <c r="T741" i="14"/>
  <c r="T733" i="14"/>
  <c r="T725" i="14"/>
  <c r="T717" i="14"/>
  <c r="T709" i="14"/>
  <c r="T701" i="14"/>
  <c r="T693" i="14"/>
  <c r="T685" i="14"/>
  <c r="T677" i="14"/>
  <c r="T669" i="14"/>
  <c r="T661" i="14"/>
  <c r="T653" i="14"/>
  <c r="T645" i="14"/>
  <c r="T637" i="14"/>
  <c r="T629" i="14"/>
  <c r="T621" i="14"/>
  <c r="T613" i="14"/>
  <c r="T605" i="14"/>
  <c r="T597" i="14"/>
  <c r="T589" i="14"/>
  <c r="T581" i="14"/>
  <c r="T573" i="14"/>
  <c r="T565" i="14"/>
  <c r="T557" i="14"/>
  <c r="T549" i="14"/>
  <c r="T541" i="14"/>
  <c r="T533" i="14"/>
  <c r="T524" i="14"/>
  <c r="T515" i="14"/>
  <c r="T506" i="14"/>
  <c r="T497" i="14"/>
  <c r="T488" i="14"/>
  <c r="T479" i="14"/>
  <c r="T470" i="14"/>
  <c r="T460" i="14"/>
  <c r="T451" i="14"/>
  <c r="T442" i="14"/>
  <c r="T433" i="14"/>
  <c r="T424" i="14"/>
  <c r="T415" i="14"/>
  <c r="T406" i="14"/>
  <c r="T396" i="14"/>
  <c r="T387" i="14"/>
  <c r="T378" i="14"/>
  <c r="T368" i="14"/>
  <c r="T358" i="14"/>
  <c r="T346" i="14"/>
  <c r="T336" i="14"/>
  <c r="V336" i="14" s="1"/>
  <c r="T323" i="14"/>
  <c r="T312" i="14"/>
  <c r="T298" i="14"/>
  <c r="T287" i="14"/>
  <c r="T273" i="14"/>
  <c r="T259" i="14"/>
  <c r="T248" i="14"/>
  <c r="T234" i="14"/>
  <c r="T223" i="14"/>
  <c r="T209" i="14"/>
  <c r="T194" i="14"/>
  <c r="T178" i="14"/>
  <c r="T162" i="14"/>
  <c r="T146" i="14"/>
  <c r="T130" i="14"/>
  <c r="T114" i="14"/>
  <c r="T98" i="14"/>
  <c r="T82" i="14"/>
  <c r="T66" i="14"/>
  <c r="T50" i="14"/>
  <c r="T34" i="14"/>
  <c r="T18" i="14"/>
  <c r="U821" i="14"/>
  <c r="V821" i="14" s="1"/>
  <c r="U809" i="14"/>
  <c r="V809" i="14" s="1"/>
  <c r="U798" i="14"/>
  <c r="U786" i="14"/>
  <c r="V786" i="14" s="1"/>
  <c r="U773" i="14"/>
  <c r="U761" i="14"/>
  <c r="U749" i="14"/>
  <c r="U722" i="14"/>
  <c r="V722" i="14" s="1"/>
  <c r="U709" i="14"/>
  <c r="U697" i="14"/>
  <c r="U685" i="14"/>
  <c r="U646" i="14"/>
  <c r="U633" i="14"/>
  <c r="U620" i="14"/>
  <c r="V620" i="14" s="1"/>
  <c r="U606" i="14"/>
  <c r="U593" i="14"/>
  <c r="U580" i="14"/>
  <c r="V580" i="14" s="1"/>
  <c r="U568" i="14"/>
  <c r="U539" i="14"/>
  <c r="V539" i="14" s="1"/>
  <c r="U525" i="14"/>
  <c r="U494" i="14"/>
  <c r="V494" i="14" s="1"/>
  <c r="U465" i="14"/>
  <c r="U448" i="14"/>
  <c r="V448" i="14" s="1"/>
  <c r="U413" i="14"/>
  <c r="U396" i="14"/>
  <c r="U379" i="14"/>
  <c r="U358" i="14"/>
  <c r="U338" i="14"/>
  <c r="U297" i="14"/>
  <c r="U279" i="14"/>
  <c r="U233" i="14"/>
  <c r="U189" i="14"/>
  <c r="U142" i="14"/>
  <c r="U56" i="14"/>
  <c r="Z97" i="14"/>
  <c r="Z664" i="14"/>
  <c r="T441" i="14"/>
  <c r="T432" i="14"/>
  <c r="T423" i="14"/>
  <c r="T414" i="14"/>
  <c r="T404" i="14"/>
  <c r="T395" i="14"/>
  <c r="T386" i="14"/>
  <c r="T377" i="14"/>
  <c r="T367" i="14"/>
  <c r="T355" i="14"/>
  <c r="T345" i="14"/>
  <c r="T335" i="14"/>
  <c r="T322" i="14"/>
  <c r="T311" i="14"/>
  <c r="T297" i="14"/>
  <c r="T283" i="14"/>
  <c r="T272" i="14"/>
  <c r="T258" i="14"/>
  <c r="T247" i="14"/>
  <c r="T233" i="14"/>
  <c r="T219" i="14"/>
  <c r="T208" i="14"/>
  <c r="T193" i="14"/>
  <c r="V193" i="14" s="1"/>
  <c r="T177" i="14"/>
  <c r="T161" i="14"/>
  <c r="T145" i="14"/>
  <c r="T129" i="14"/>
  <c r="T113" i="14"/>
  <c r="T97" i="14"/>
  <c r="T81" i="14"/>
  <c r="T65" i="14"/>
  <c r="T49" i="14"/>
  <c r="T33" i="14"/>
  <c r="T17" i="14"/>
  <c r="U820" i="14"/>
  <c r="V820" i="14" s="1"/>
  <c r="U797" i="14"/>
  <c r="U772" i="14"/>
  <c r="V772" i="14" s="1"/>
  <c r="U760" i="14"/>
  <c r="U748" i="14"/>
  <c r="V748" i="14" s="1"/>
  <c r="U735" i="14"/>
  <c r="U708" i="14"/>
  <c r="V708" i="14" s="1"/>
  <c r="U696" i="14"/>
  <c r="U684" i="14"/>
  <c r="V684" i="14" s="1"/>
  <c r="U671" i="14"/>
  <c r="U658" i="14"/>
  <c r="V658" i="14" s="1"/>
  <c r="U645" i="14"/>
  <c r="U632" i="14"/>
  <c r="U592" i="14"/>
  <c r="U566" i="14"/>
  <c r="U554" i="14"/>
  <c r="V554" i="14" s="1"/>
  <c r="U510" i="14"/>
  <c r="U493" i="14"/>
  <c r="U446" i="14"/>
  <c r="U429" i="14"/>
  <c r="V429" i="14" s="1"/>
  <c r="U412" i="14"/>
  <c r="V412" i="14" s="1"/>
  <c r="U317" i="14"/>
  <c r="U254" i="14"/>
  <c r="U232" i="14"/>
  <c r="U210" i="14"/>
  <c r="U187" i="14"/>
  <c r="U164" i="14"/>
  <c r="U140" i="14"/>
  <c r="U118" i="14"/>
  <c r="U97" i="14"/>
  <c r="U77" i="14"/>
  <c r="U55" i="14"/>
  <c r="U22" i="14"/>
  <c r="Z830" i="14"/>
  <c r="Z645" i="14"/>
  <c r="T431" i="14"/>
  <c r="T422" i="14"/>
  <c r="T412" i="14"/>
  <c r="T403" i="14"/>
  <c r="T394" i="14"/>
  <c r="T385" i="14"/>
  <c r="T376" i="14"/>
  <c r="T366" i="14"/>
  <c r="T354" i="14"/>
  <c r="V354" i="14" s="1"/>
  <c r="T344" i="14"/>
  <c r="T334" i="14"/>
  <c r="T321" i="14"/>
  <c r="T307" i="14"/>
  <c r="T296" i="14"/>
  <c r="T282" i="14"/>
  <c r="T271" i="14"/>
  <c r="T257" i="14"/>
  <c r="T243" i="14"/>
  <c r="T232" i="14"/>
  <c r="T218" i="14"/>
  <c r="T207" i="14"/>
  <c r="T192" i="14"/>
  <c r="T176" i="14"/>
  <c r="T160" i="14"/>
  <c r="T144" i="14"/>
  <c r="T128" i="14"/>
  <c r="T112" i="14"/>
  <c r="T96" i="14"/>
  <c r="T80" i="14"/>
  <c r="T64" i="14"/>
  <c r="T48" i="14"/>
  <c r="T32" i="14"/>
  <c r="T16" i="14"/>
  <c r="V16" i="14" s="1"/>
  <c r="U808" i="14"/>
  <c r="U785" i="14"/>
  <c r="U759" i="14"/>
  <c r="U747" i="14"/>
  <c r="V747" i="14" s="1"/>
  <c r="U734" i="14"/>
  <c r="U721" i="14"/>
  <c r="U695" i="14"/>
  <c r="U683" i="14"/>
  <c r="U670" i="14"/>
  <c r="U644" i="14"/>
  <c r="V644" i="14" s="1"/>
  <c r="U618" i="14"/>
  <c r="V618" i="14" s="1"/>
  <c r="U605" i="14"/>
  <c r="U579" i="14"/>
  <c r="V579" i="14" s="1"/>
  <c r="U565" i="14"/>
  <c r="U553" i="14"/>
  <c r="U538" i="14"/>
  <c r="V538" i="14" s="1"/>
  <c r="U523" i="14"/>
  <c r="V523" i="14" s="1"/>
  <c r="U509" i="14"/>
  <c r="U478" i="14"/>
  <c r="V478" i="14" s="1"/>
  <c r="U462" i="14"/>
  <c r="U395" i="14"/>
  <c r="U376" i="14"/>
  <c r="V376" i="14" s="1"/>
  <c r="U336" i="14"/>
  <c r="U296" i="14"/>
  <c r="U275" i="14"/>
  <c r="U253" i="14"/>
  <c r="U231" i="14"/>
  <c r="U208" i="14"/>
  <c r="U162" i="14"/>
  <c r="U117" i="14"/>
  <c r="U51" i="14"/>
  <c r="U20" i="14"/>
  <c r="Z823" i="14"/>
  <c r="Z634" i="14"/>
  <c r="T430" i="14"/>
  <c r="T420" i="14"/>
  <c r="T411" i="14"/>
  <c r="T402" i="14"/>
  <c r="T393" i="14"/>
  <c r="T384" i="14"/>
  <c r="T375" i="14"/>
  <c r="T363" i="14"/>
  <c r="T353" i="14"/>
  <c r="T343" i="14"/>
  <c r="T331" i="14"/>
  <c r="T320" i="14"/>
  <c r="T306" i="14"/>
  <c r="T295" i="14"/>
  <c r="T281" i="14"/>
  <c r="T267" i="14"/>
  <c r="T256" i="14"/>
  <c r="T242" i="14"/>
  <c r="T231" i="14"/>
  <c r="T217" i="14"/>
  <c r="T203" i="14"/>
  <c r="T191" i="14"/>
  <c r="T175" i="14"/>
  <c r="T159" i="14"/>
  <c r="T143" i="14"/>
  <c r="T127" i="14"/>
  <c r="T111" i="14"/>
  <c r="T95" i="14"/>
  <c r="T79" i="14"/>
  <c r="T63" i="14"/>
  <c r="T47" i="14"/>
  <c r="T31" i="14"/>
  <c r="T15" i="14"/>
  <c r="U831" i="14"/>
  <c r="U819" i="14"/>
  <c r="V819" i="14" s="1"/>
  <c r="U796" i="14"/>
  <c r="V796" i="14" s="1"/>
  <c r="U771" i="14"/>
  <c r="V771" i="14" s="1"/>
  <c r="U758" i="14"/>
  <c r="U746" i="14"/>
  <c r="V746" i="14" s="1"/>
  <c r="U720" i="14"/>
  <c r="U707" i="14"/>
  <c r="V707" i="14" s="1"/>
  <c r="U694" i="14"/>
  <c r="U682" i="14"/>
  <c r="V682" i="14" s="1"/>
  <c r="U657" i="14"/>
  <c r="U631" i="14"/>
  <c r="U617" i="14"/>
  <c r="U604" i="14"/>
  <c r="V604" i="14" s="1"/>
  <c r="U591" i="14"/>
  <c r="U578" i="14"/>
  <c r="U551" i="14"/>
  <c r="U537" i="14"/>
  <c r="U522" i="14"/>
  <c r="V522" i="14" s="1"/>
  <c r="U507" i="14"/>
  <c r="U492" i="14"/>
  <c r="U477" i="14"/>
  <c r="U444" i="14"/>
  <c r="U428" i="14"/>
  <c r="U411" i="14"/>
  <c r="U392" i="14"/>
  <c r="U373" i="14"/>
  <c r="U354" i="14"/>
  <c r="U335" i="14"/>
  <c r="V335" i="14" s="1"/>
  <c r="U316" i="14"/>
  <c r="U294" i="14"/>
  <c r="U207" i="14"/>
  <c r="U184" i="14"/>
  <c r="U158" i="14"/>
  <c r="U137" i="14"/>
  <c r="U96" i="14"/>
  <c r="U50" i="14"/>
  <c r="U19" i="14"/>
  <c r="Z822" i="14"/>
  <c r="Z609" i="14"/>
  <c r="T769" i="14"/>
  <c r="T291" i="14"/>
  <c r="U793" i="14"/>
  <c r="U690" i="14"/>
  <c r="V690" i="14" s="1"/>
  <c r="U666" i="14"/>
  <c r="V666" i="14" s="1"/>
  <c r="U626" i="14"/>
  <c r="V626" i="14" s="1"/>
  <c r="U613" i="14"/>
  <c r="U587" i="14"/>
  <c r="V587" i="14" s="1"/>
  <c r="U574" i="14"/>
  <c r="U503" i="14"/>
  <c r="V503" i="14" s="1"/>
  <c r="U487" i="14"/>
  <c r="V487" i="14" s="1"/>
  <c r="U439" i="14"/>
  <c r="V439" i="14" s="1"/>
  <c r="U423" i="14"/>
  <c r="U387" i="14"/>
  <c r="U367" i="14"/>
  <c r="U348" i="14"/>
  <c r="U308" i="14"/>
  <c r="U222" i="14"/>
  <c r="U201" i="14"/>
  <c r="U176" i="14"/>
  <c r="U152" i="14"/>
  <c r="U110" i="14"/>
  <c r="V110" i="14" s="1"/>
  <c r="U67" i="14"/>
  <c r="U40" i="14"/>
  <c r="U8" i="14"/>
  <c r="Z780" i="14"/>
  <c r="Z532" i="14"/>
  <c r="Q7" i="14" a="1"/>
  <c r="Q7" i="14" s="1"/>
  <c r="T824" i="14"/>
  <c r="T816" i="14"/>
  <c r="T808" i="14"/>
  <c r="T800" i="14"/>
  <c r="T792" i="14"/>
  <c r="T784" i="14"/>
  <c r="T776" i="14"/>
  <c r="T768" i="14"/>
  <c r="T760" i="14"/>
  <c r="T752" i="14"/>
  <c r="T744" i="14"/>
  <c r="T736" i="14"/>
  <c r="T728" i="14"/>
  <c r="T720" i="14"/>
  <c r="T712" i="14"/>
  <c r="T704" i="14"/>
  <c r="T696" i="14"/>
  <c r="T688" i="14"/>
  <c r="T680" i="14"/>
  <c r="T672" i="14"/>
  <c r="T664" i="14"/>
  <c r="T656" i="14"/>
  <c r="T648" i="14"/>
  <c r="T640" i="14"/>
  <c r="T632" i="14"/>
  <c r="T624" i="14"/>
  <c r="T616" i="14"/>
  <c r="T608" i="14"/>
  <c r="T600" i="14"/>
  <c r="T592" i="14"/>
  <c r="T584" i="14"/>
  <c r="T576" i="14"/>
  <c r="T568" i="14"/>
  <c r="T560" i="14"/>
  <c r="V560" i="14" s="1"/>
  <c r="T552" i="14"/>
  <c r="T544" i="14"/>
  <c r="T536" i="14"/>
  <c r="T528" i="14"/>
  <c r="T519" i="14"/>
  <c r="T510" i="14"/>
  <c r="T500" i="14"/>
  <c r="T491" i="14"/>
  <c r="T482" i="14"/>
  <c r="T473" i="14"/>
  <c r="T464" i="14"/>
  <c r="T455" i="14"/>
  <c r="T446" i="14"/>
  <c r="T436" i="14"/>
  <c r="T427" i="14"/>
  <c r="T418" i="14"/>
  <c r="T409" i="14"/>
  <c r="T400" i="14"/>
  <c r="T391" i="14"/>
  <c r="T382" i="14"/>
  <c r="T371" i="14"/>
  <c r="T361" i="14"/>
  <c r="T351" i="14"/>
  <c r="T339" i="14"/>
  <c r="T329" i="14"/>
  <c r="T315" i="14"/>
  <c r="T304" i="14"/>
  <c r="T290" i="14"/>
  <c r="T279" i="14"/>
  <c r="T265" i="14"/>
  <c r="T251" i="14"/>
  <c r="T240" i="14"/>
  <c r="V240" i="14" s="1"/>
  <c r="T226" i="14"/>
  <c r="T215" i="14"/>
  <c r="T201" i="14"/>
  <c r="T185" i="14"/>
  <c r="T169" i="14"/>
  <c r="T153" i="14"/>
  <c r="T137" i="14"/>
  <c r="V137" i="14" s="1"/>
  <c r="T121" i="14"/>
  <c r="T105" i="14"/>
  <c r="T89" i="14"/>
  <c r="T73" i="14"/>
  <c r="T57" i="14"/>
  <c r="T41" i="14"/>
  <c r="T25" i="14"/>
  <c r="T9" i="14"/>
  <c r="U827" i="14"/>
  <c r="V827" i="14" s="1"/>
  <c r="U815" i="14"/>
  <c r="U804" i="14"/>
  <c r="V804" i="14" s="1"/>
  <c r="U792" i="14"/>
  <c r="V792" i="14" s="1"/>
  <c r="U780" i="14"/>
  <c r="V780" i="14" s="1"/>
  <c r="U767" i="14"/>
  <c r="U740" i="14"/>
  <c r="V740" i="14" s="1"/>
  <c r="U728" i="14"/>
  <c r="U716" i="14"/>
  <c r="V716" i="14" s="1"/>
  <c r="U703" i="14"/>
  <c r="U676" i="14"/>
  <c r="V676" i="14" s="1"/>
  <c r="U665" i="14"/>
  <c r="U652" i="14"/>
  <c r="V652" i="14" s="1"/>
  <c r="U639" i="14"/>
  <c r="U599" i="14"/>
  <c r="U586" i="14"/>
  <c r="V586" i="14" s="1"/>
  <c r="U573" i="14"/>
  <c r="U560" i="14"/>
  <c r="U546" i="14"/>
  <c r="V546" i="14" s="1"/>
  <c r="U531" i="14"/>
  <c r="V531" i="14" s="1"/>
  <c r="U516" i="14"/>
  <c r="U486" i="14"/>
  <c r="U472" i="14"/>
  <c r="U455" i="14"/>
  <c r="U438" i="14"/>
  <c r="U422" i="14"/>
  <c r="U403" i="14"/>
  <c r="U386" i="14"/>
  <c r="U366" i="14"/>
  <c r="U347" i="14"/>
  <c r="U328" i="14"/>
  <c r="U306" i="14"/>
  <c r="U286" i="14"/>
  <c r="U265" i="14"/>
  <c r="U244" i="14"/>
  <c r="U221" i="14"/>
  <c r="U197" i="14"/>
  <c r="U174" i="14"/>
  <c r="U151" i="14"/>
  <c r="U130" i="14"/>
  <c r="U66" i="14"/>
  <c r="U39" i="14"/>
  <c r="U7" i="14"/>
  <c r="Z760" i="14"/>
  <c r="S2" i="14"/>
  <c r="U3" i="14"/>
  <c r="U13" i="14"/>
  <c r="U18" i="14"/>
  <c r="U23" i="14"/>
  <c r="U28" i="14"/>
  <c r="U33" i="14"/>
  <c r="U42" i="14"/>
  <c r="U47" i="14"/>
  <c r="U52" i="14"/>
  <c r="U61" i="14"/>
  <c r="U6" i="14"/>
  <c r="U11" i="14"/>
  <c r="U21" i="14"/>
  <c r="U26" i="14"/>
  <c r="U31" i="14"/>
  <c r="U36" i="14"/>
  <c r="U4" i="14"/>
  <c r="U10" i="14"/>
  <c r="U17" i="14"/>
  <c r="U24" i="14"/>
  <c r="U69" i="14"/>
  <c r="U74" i="14"/>
  <c r="U79" i="14"/>
  <c r="U84" i="14"/>
  <c r="U93" i="14"/>
  <c r="U98" i="14"/>
  <c r="U104" i="14"/>
  <c r="U123" i="14"/>
  <c r="U133" i="14"/>
  <c r="U138" i="14"/>
  <c r="U143" i="14"/>
  <c r="U159" i="14"/>
  <c r="U165" i="14"/>
  <c r="U170" i="14"/>
  <c r="U182" i="14"/>
  <c r="U188" i="14"/>
  <c r="U193" i="14"/>
  <c r="U198" i="14"/>
  <c r="U203" i="14"/>
  <c r="U209" i="14"/>
  <c r="U214" i="14"/>
  <c r="U225" i="14"/>
  <c r="U230" i="14"/>
  <c r="U235" i="14"/>
  <c r="U241" i="14"/>
  <c r="U246" i="14"/>
  <c r="U251" i="14"/>
  <c r="U261" i="14"/>
  <c r="U266" i="14"/>
  <c r="U271" i="14"/>
  <c r="V271" i="14" s="1"/>
  <c r="U277" i="14"/>
  <c r="U282" i="14"/>
  <c r="U288" i="14"/>
  <c r="U293" i="14"/>
  <c r="U304" i="14"/>
  <c r="U309" i="14"/>
  <c r="U315" i="14"/>
  <c r="U326" i="14"/>
  <c r="U331" i="14"/>
  <c r="U337" i="14"/>
  <c r="U342" i="14"/>
  <c r="U357" i="14"/>
  <c r="U369" i="14"/>
  <c r="U375" i="14"/>
  <c r="U30" i="14"/>
  <c r="U37" i="14"/>
  <c r="U43" i="14"/>
  <c r="U49" i="14"/>
  <c r="U54" i="14"/>
  <c r="U59" i="14"/>
  <c r="U65" i="14"/>
  <c r="U80" i="14"/>
  <c r="U89" i="14"/>
  <c r="U99" i="14"/>
  <c r="U109" i="14"/>
  <c r="U114" i="14"/>
  <c r="U119" i="14"/>
  <c r="U124" i="14"/>
  <c r="U129" i="14"/>
  <c r="U144" i="14"/>
  <c r="U149" i="14"/>
  <c r="U154" i="14"/>
  <c r="U160" i="14"/>
  <c r="V160" i="14" s="1"/>
  <c r="U171" i="14"/>
  <c r="U177" i="14"/>
  <c r="U199" i="14"/>
  <c r="U204" i="14"/>
  <c r="U219" i="14"/>
  <c r="U236" i="14"/>
  <c r="U252" i="14"/>
  <c r="U257" i="14"/>
  <c r="U272" i="14"/>
  <c r="U278" i="14"/>
  <c r="U9" i="14"/>
  <c r="U15" i="14"/>
  <c r="U41" i="14"/>
  <c r="U46" i="14"/>
  <c r="U25" i="14"/>
  <c r="U34" i="14"/>
  <c r="U53" i="14"/>
  <c r="U68" i="14"/>
  <c r="U75" i="14"/>
  <c r="U87" i="14"/>
  <c r="U94" i="14"/>
  <c r="U101" i="14"/>
  <c r="U107" i="14"/>
  <c r="U121" i="14"/>
  <c r="U127" i="14"/>
  <c r="U134" i="14"/>
  <c r="U141" i="14"/>
  <c r="U147" i="14"/>
  <c r="U185" i="14"/>
  <c r="V185" i="14" s="1"/>
  <c r="U192" i="14"/>
  <c r="U200" i="14"/>
  <c r="U206" i="14"/>
  <c r="U220" i="14"/>
  <c r="U228" i="14"/>
  <c r="U234" i="14"/>
  <c r="U242" i="14"/>
  <c r="U249" i="14"/>
  <c r="U255" i="14"/>
  <c r="U262" i="14"/>
  <c r="U269" i="14"/>
  <c r="U276" i="14"/>
  <c r="U289" i="14"/>
  <c r="U301" i="14"/>
  <c r="U314" i="14"/>
  <c r="U320" i="14"/>
  <c r="U333" i="14"/>
  <c r="U345" i="14"/>
  <c r="U356" i="14"/>
  <c r="U363" i="14"/>
  <c r="U370" i="14"/>
  <c r="U377" i="14"/>
  <c r="U393" i="14"/>
  <c r="U410" i="14"/>
  <c r="U415" i="14"/>
  <c r="U431" i="14"/>
  <c r="U436" i="14"/>
  <c r="U442" i="14"/>
  <c r="U452" i="14"/>
  <c r="U458" i="14"/>
  <c r="V458" i="14" s="1"/>
  <c r="U463" i="14"/>
  <c r="U479" i="14"/>
  <c r="U484" i="14"/>
  <c r="V484" i="14" s="1"/>
  <c r="U490" i="14"/>
  <c r="U496" i="14"/>
  <c r="V496" i="14" s="1"/>
  <c r="U501" i="14"/>
  <c r="U513" i="14"/>
  <c r="V513" i="14" s="1"/>
  <c r="U518" i="14"/>
  <c r="U524" i="14"/>
  <c r="U529" i="14"/>
  <c r="U534" i="14"/>
  <c r="U540" i="14"/>
  <c r="V540" i="14" s="1"/>
  <c r="U562" i="14"/>
  <c r="V562" i="14" s="1"/>
  <c r="U567" i="14"/>
  <c r="U5" i="14"/>
  <c r="U14" i="14"/>
  <c r="U35" i="14"/>
  <c r="U45" i="14"/>
  <c r="U62" i="14"/>
  <c r="U76" i="14"/>
  <c r="U82" i="14"/>
  <c r="U88" i="14"/>
  <c r="U95" i="14"/>
  <c r="U102" i="14"/>
  <c r="U108" i="14"/>
  <c r="U115" i="14"/>
  <c r="U128" i="14"/>
  <c r="U135" i="14"/>
  <c r="U148" i="14"/>
  <c r="U155" i="14"/>
  <c r="V155" i="14" s="1"/>
  <c r="U163" i="14"/>
  <c r="U169" i="14"/>
  <c r="V169" i="14" s="1"/>
  <c r="U178" i="14"/>
  <c r="U186" i="14"/>
  <c r="U213" i="14"/>
  <c r="U256" i="14"/>
  <c r="U263" i="14"/>
  <c r="U283" i="14"/>
  <c r="V283" i="14" s="1"/>
  <c r="U290" i="14"/>
  <c r="U295" i="14"/>
  <c r="U302" i="14"/>
  <c r="U307" i="14"/>
  <c r="U321" i="14"/>
  <c r="U327" i="14"/>
  <c r="U339" i="14"/>
  <c r="U346" i="14"/>
  <c r="U351" i="14"/>
  <c r="U364" i="14"/>
  <c r="U378" i="14"/>
  <c r="U383" i="14"/>
  <c r="U388" i="14"/>
  <c r="U394" i="14"/>
  <c r="U399" i="14"/>
  <c r="U404" i="14"/>
  <c r="U416" i="14"/>
  <c r="U421" i="14"/>
  <c r="U427" i="14"/>
  <c r="U432" i="14"/>
  <c r="U447" i="14"/>
  <c r="U464" i="14"/>
  <c r="U469" i="14"/>
  <c r="U475" i="14"/>
  <c r="V475" i="14" s="1"/>
  <c r="U480" i="14"/>
  <c r="U491" i="14"/>
  <c r="U502" i="14"/>
  <c r="U508" i="14"/>
  <c r="U514" i="14"/>
  <c r="V514" i="14" s="1"/>
  <c r="U519" i="14"/>
  <c r="U530" i="14"/>
  <c r="V530" i="14" s="1"/>
  <c r="U535" i="14"/>
  <c r="U541" i="14"/>
  <c r="V541" i="14" s="1"/>
  <c r="U547" i="14"/>
  <c r="V547" i="14" s="1"/>
  <c r="U552" i="14"/>
  <c r="V552" i="14" s="1"/>
  <c r="U557" i="14"/>
  <c r="U595" i="14"/>
  <c r="V595" i="14" s="1"/>
  <c r="U601" i="14"/>
  <c r="U607" i="14"/>
  <c r="U612" i="14"/>
  <c r="V612" i="14" s="1"/>
  <c r="U619" i="14"/>
  <c r="U624" i="14"/>
  <c r="U630" i="14"/>
  <c r="U636" i="14"/>
  <c r="V636" i="14" s="1"/>
  <c r="U659" i="14"/>
  <c r="V659" i="14" s="1"/>
  <c r="U12" i="14"/>
  <c r="U60" i="14"/>
  <c r="U73" i="14"/>
  <c r="U86" i="14"/>
  <c r="U92" i="14"/>
  <c r="U100" i="14"/>
  <c r="U106" i="14"/>
  <c r="U120" i="14"/>
  <c r="U132" i="14"/>
  <c r="U139" i="14"/>
  <c r="U146" i="14"/>
  <c r="U161" i="14"/>
  <c r="U167" i="14"/>
  <c r="U175" i="14"/>
  <c r="U183" i="14"/>
  <c r="U190" i="14"/>
  <c r="U205" i="14"/>
  <c r="U211" i="14"/>
  <c r="U226" i="14"/>
  <c r="V226" i="14" s="1"/>
  <c r="U240" i="14"/>
  <c r="U247" i="14"/>
  <c r="U260" i="14"/>
  <c r="U267" i="14"/>
  <c r="U274" i="14"/>
  <c r="U281" i="14"/>
  <c r="U287" i="14"/>
  <c r="U299" i="14"/>
  <c r="U318" i="14"/>
  <c r="U324" i="14"/>
  <c r="U349" i="14"/>
  <c r="U355" i="14"/>
  <c r="U361" i="14"/>
  <c r="U368" i="14"/>
  <c r="U374" i="14"/>
  <c r="U381" i="14"/>
  <c r="U397" i="14"/>
  <c r="U408" i="14"/>
  <c r="U414" i="14"/>
  <c r="U425" i="14"/>
  <c r="U430" i="14"/>
  <c r="U435" i="14"/>
  <c r="U440" i="14"/>
  <c r="V440" i="14" s="1"/>
  <c r="U445" i="14"/>
  <c r="U451" i="14"/>
  <c r="U456" i="14"/>
  <c r="U461" i="14"/>
  <c r="U467" i="14"/>
  <c r="V467" i="14" s="1"/>
  <c r="Z217" i="14"/>
  <c r="Z565" i="14"/>
  <c r="Z693" i="14"/>
  <c r="Z802" i="14"/>
  <c r="U29" i="14"/>
  <c r="U58" i="14"/>
  <c r="U71" i="14"/>
  <c r="U81" i="14"/>
  <c r="U112" i="14"/>
  <c r="U145" i="14"/>
  <c r="U156" i="14"/>
  <c r="V156" i="14" s="1"/>
  <c r="U179" i="14"/>
  <c r="U191" i="14"/>
  <c r="U202" i="14"/>
  <c r="U215" i="14"/>
  <c r="U224" i="14"/>
  <c r="U248" i="14"/>
  <c r="U270" i="14"/>
  <c r="U291" i="14"/>
  <c r="U300" i="14"/>
  <c r="U311" i="14"/>
  <c r="U330" i="14"/>
  <c r="U350" i="14"/>
  <c r="U371" i="14"/>
  <c r="U380" i="14"/>
  <c r="U389" i="14"/>
  <c r="U398" i="14"/>
  <c r="U406" i="14"/>
  <c r="V406" i="14" s="1"/>
  <c r="U417" i="14"/>
  <c r="U424" i="14"/>
  <c r="U433" i="14"/>
  <c r="U441" i="14"/>
  <c r="U450" i="14"/>
  <c r="V450" i="14" s="1"/>
  <c r="U459" i="14"/>
  <c r="U482" i="14"/>
  <c r="U488" i="14"/>
  <c r="U497" i="14"/>
  <c r="U505" i="14"/>
  <c r="V505" i="14" s="1"/>
  <c r="U512" i="14"/>
  <c r="U542" i="14"/>
  <c r="U563" i="14"/>
  <c r="V563" i="14" s="1"/>
  <c r="U570" i="14"/>
  <c r="V570" i="14" s="1"/>
  <c r="U575" i="14"/>
  <c r="U581" i="14"/>
  <c r="U588" i="14"/>
  <c r="V588" i="14" s="1"/>
  <c r="U594" i="14"/>
  <c r="V594" i="14" s="1"/>
  <c r="U602" i="14"/>
  <c r="V602" i="14" s="1"/>
  <c r="U608" i="14"/>
  <c r="U615" i="14"/>
  <c r="U635" i="14"/>
  <c r="V635" i="14" s="1"/>
  <c r="U641" i="14"/>
  <c r="U648" i="14"/>
  <c r="U655" i="14"/>
  <c r="U661" i="14"/>
  <c r="V661" i="14" s="1"/>
  <c r="U673" i="14"/>
  <c r="U679" i="14"/>
  <c r="U686" i="14"/>
  <c r="U699" i="14"/>
  <c r="V699" i="14" s="1"/>
  <c r="U705" i="14"/>
  <c r="U711" i="14"/>
  <c r="U718" i="14"/>
  <c r="U731" i="14"/>
  <c r="V731" i="14" s="1"/>
  <c r="U737" i="14"/>
  <c r="U743" i="14"/>
  <c r="U750" i="14"/>
  <c r="U763" i="14"/>
  <c r="V763" i="14" s="1"/>
  <c r="U769" i="14"/>
  <c r="U775" i="14"/>
  <c r="U782" i="14"/>
  <c r="U794" i="14"/>
  <c r="V794" i="14" s="1"/>
  <c r="U811" i="14"/>
  <c r="U817" i="14"/>
  <c r="U823" i="14"/>
  <c r="T4" i="14"/>
  <c r="T12" i="14"/>
  <c r="T20" i="14"/>
  <c r="T28" i="14"/>
  <c r="V28" i="14" s="1"/>
  <c r="T36" i="14"/>
  <c r="T44" i="14"/>
  <c r="T52" i="14"/>
  <c r="T60" i="14"/>
  <c r="T68" i="14"/>
  <c r="T76" i="14"/>
  <c r="T84" i="14"/>
  <c r="T92" i="14"/>
  <c r="T100" i="14"/>
  <c r="T108" i="14"/>
  <c r="V108" i="14" s="1"/>
  <c r="T116" i="14"/>
  <c r="T124" i="14"/>
  <c r="T132" i="14"/>
  <c r="V132" i="14" s="1"/>
  <c r="T140" i="14"/>
  <c r="T148" i="14"/>
  <c r="T156" i="14"/>
  <c r="T164" i="14"/>
  <c r="T172" i="14"/>
  <c r="T180" i="14"/>
  <c r="T188" i="14"/>
  <c r="T196" i="14"/>
  <c r="T204" i="14"/>
  <c r="T212" i="14"/>
  <c r="T220" i="14"/>
  <c r="T228" i="14"/>
  <c r="T236" i="14"/>
  <c r="T244" i="14"/>
  <c r="T252" i="14"/>
  <c r="T260" i="14"/>
  <c r="T268" i="14"/>
  <c r="T276" i="14"/>
  <c r="V276" i="14" s="1"/>
  <c r="T284" i="14"/>
  <c r="T292" i="14"/>
  <c r="T300" i="14"/>
  <c r="T308" i="14"/>
  <c r="T316" i="14"/>
  <c r="T324" i="14"/>
  <c r="T332" i="14"/>
  <c r="T340" i="14"/>
  <c r="T348" i="14"/>
  <c r="T356" i="14"/>
  <c r="T364" i="14"/>
  <c r="T372" i="14"/>
  <c r="Z254" i="14"/>
  <c r="Z575" i="14"/>
  <c r="Z702" i="14"/>
  <c r="Z809" i="14"/>
  <c r="U16" i="14"/>
  <c r="U32" i="14"/>
  <c r="U48" i="14"/>
  <c r="U72" i="14"/>
  <c r="U91" i="14"/>
  <c r="U103" i="14"/>
  <c r="U113" i="14"/>
  <c r="U136" i="14"/>
  <c r="U157" i="14"/>
  <c r="U168" i="14"/>
  <c r="U180" i="14"/>
  <c r="U194" i="14"/>
  <c r="U216" i="14"/>
  <c r="U227" i="14"/>
  <c r="U238" i="14"/>
  <c r="V238" i="14" s="1"/>
  <c r="U250" i="14"/>
  <c r="U259" i="14"/>
  <c r="U292" i="14"/>
  <c r="U312" i="14"/>
  <c r="U322" i="14"/>
  <c r="U332" i="14"/>
  <c r="U341" i="14"/>
  <c r="U352" i="14"/>
  <c r="U360" i="14"/>
  <c r="U372" i="14"/>
  <c r="U382" i="14"/>
  <c r="U390" i="14"/>
  <c r="U400" i="14"/>
  <c r="U407" i="14"/>
  <c r="U418" i="14"/>
  <c r="U426" i="14"/>
  <c r="U434" i="14"/>
  <c r="U443" i="14"/>
  <c r="U468" i="14"/>
  <c r="V468" i="14" s="1"/>
  <c r="U476" i="14"/>
  <c r="V476" i="14" s="1"/>
  <c r="U489" i="14"/>
  <c r="U498" i="14"/>
  <c r="U506" i="14"/>
  <c r="U520" i="14"/>
  <c r="U527" i="14"/>
  <c r="U533" i="14"/>
  <c r="U549" i="14"/>
  <c r="U556" i="14"/>
  <c r="V556" i="14" s="1"/>
  <c r="U576" i="14"/>
  <c r="U582" i="14"/>
  <c r="U589" i="14"/>
  <c r="U603" i="14"/>
  <c r="V603" i="14" s="1"/>
  <c r="U609" i="14"/>
  <c r="U622" i="14"/>
  <c r="U628" i="14"/>
  <c r="V628" i="14" s="1"/>
  <c r="U642" i="14"/>
  <c r="U649" i="14"/>
  <c r="U662" i="14"/>
  <c r="U668" i="14"/>
  <c r="V668" i="14" s="1"/>
  <c r="U680" i="14"/>
  <c r="V680" i="14" s="1"/>
  <c r="U687" i="14"/>
  <c r="U692" i="14"/>
  <c r="V692" i="14" s="1"/>
  <c r="U700" i="14"/>
  <c r="V700" i="14" s="1"/>
  <c r="U712" i="14"/>
  <c r="U719" i="14"/>
  <c r="U724" i="14"/>
  <c r="U732" i="14"/>
  <c r="V732" i="14" s="1"/>
  <c r="U744" i="14"/>
  <c r="V744" i="14" s="1"/>
  <c r="U751" i="14"/>
  <c r="U756" i="14"/>
  <c r="V756" i="14" s="1"/>
  <c r="U764" i="14"/>
  <c r="V764" i="14" s="1"/>
  <c r="U776" i="14"/>
  <c r="U783" i="14"/>
  <c r="U788" i="14"/>
  <c r="U795" i="14"/>
  <c r="V795" i="14" s="1"/>
  <c r="U800" i="14"/>
  <c r="U806" i="14"/>
  <c r="V806" i="14" s="1"/>
  <c r="U812" i="14"/>
  <c r="V812" i="14" s="1"/>
  <c r="U824" i="14"/>
  <c r="U829" i="14"/>
  <c r="T5" i="14"/>
  <c r="T13" i="14"/>
  <c r="T21" i="14"/>
  <c r="T29" i="14"/>
  <c r="V29" i="14" s="1"/>
  <c r="T37" i="14"/>
  <c r="T45" i="14"/>
  <c r="T53" i="14"/>
  <c r="T61" i="14"/>
  <c r="T69" i="14"/>
  <c r="T77" i="14"/>
  <c r="T85" i="14"/>
  <c r="T93" i="14"/>
  <c r="V93" i="14" s="1"/>
  <c r="T101" i="14"/>
  <c r="T109" i="14"/>
  <c r="T117" i="14"/>
  <c r="T125" i="14"/>
  <c r="T133" i="14"/>
  <c r="T141" i="14"/>
  <c r="T149" i="14"/>
  <c r="T157" i="14"/>
  <c r="V157" i="14" s="1"/>
  <c r="T165" i="14"/>
  <c r="T173" i="14"/>
  <c r="T181" i="14"/>
  <c r="T189" i="14"/>
  <c r="T197" i="14"/>
  <c r="T205" i="14"/>
  <c r="T213" i="14"/>
  <c r="T221" i="14"/>
  <c r="T229" i="14"/>
  <c r="V229" i="14" s="1"/>
  <c r="T237" i="14"/>
  <c r="T245" i="14"/>
  <c r="T253" i="14"/>
  <c r="V253" i="14" s="1"/>
  <c r="T261" i="14"/>
  <c r="V261" i="14" s="1"/>
  <c r="T269" i="14"/>
  <c r="T277" i="14"/>
  <c r="T285" i="14"/>
  <c r="T293" i="14"/>
  <c r="T301" i="14"/>
  <c r="T309" i="14"/>
  <c r="T317" i="14"/>
  <c r="V317" i="14" s="1"/>
  <c r="T325" i="14"/>
  <c r="T333" i="14"/>
  <c r="V333" i="14" s="1"/>
  <c r="T341" i="14"/>
  <c r="T349" i="14"/>
  <c r="T357" i="14"/>
  <c r="T365" i="14"/>
  <c r="T373" i="14"/>
  <c r="T381" i="14"/>
  <c r="T389" i="14"/>
  <c r="T397" i="14"/>
  <c r="T405" i="14"/>
  <c r="T413" i="14"/>
  <c r="T421" i="14"/>
  <c r="T429" i="14"/>
  <c r="T437" i="14"/>
  <c r="T445" i="14"/>
  <c r="T453" i="14"/>
  <c r="T461" i="14"/>
  <c r="T469" i="14"/>
  <c r="T477" i="14"/>
  <c r="T485" i="14"/>
  <c r="T493" i="14"/>
  <c r="T501" i="14"/>
  <c r="T509" i="14"/>
  <c r="T517" i="14"/>
  <c r="T525" i="14"/>
  <c r="Z360" i="14"/>
  <c r="Z599" i="14"/>
  <c r="Z721" i="14"/>
  <c r="Z821" i="14"/>
  <c r="U63" i="14"/>
  <c r="U83" i="14"/>
  <c r="U105" i="14"/>
  <c r="U116" i="14"/>
  <c r="U125" i="14"/>
  <c r="U172" i="14"/>
  <c r="U181" i="14"/>
  <c r="U229" i="14"/>
  <c r="U239" i="14"/>
  <c r="U273" i="14"/>
  <c r="U284" i="14"/>
  <c r="U303" i="14"/>
  <c r="U313" i="14"/>
  <c r="U334" i="14"/>
  <c r="V334" i="14" s="1"/>
  <c r="U343" i="14"/>
  <c r="U353" i="14"/>
  <c r="U362" i="14"/>
  <c r="U384" i="14"/>
  <c r="U391" i="14"/>
  <c r="U409" i="14"/>
  <c r="U460" i="14"/>
  <c r="U470" i="14"/>
  <c r="V470" i="14" s="1"/>
  <c r="U483" i="14"/>
  <c r="U521" i="14"/>
  <c r="V521" i="14" s="1"/>
  <c r="U528" i="14"/>
  <c r="U536" i="14"/>
  <c r="V536" i="14" s="1"/>
  <c r="U543" i="14"/>
  <c r="U550" i="14"/>
  <c r="U558" i="14"/>
  <c r="U564" i="14"/>
  <c r="V564" i="14" s="1"/>
  <c r="U571" i="14"/>
  <c r="V571" i="14" s="1"/>
  <c r="U577" i="14"/>
  <c r="U583" i="14"/>
  <c r="U590" i="14"/>
  <c r="U596" i="14"/>
  <c r="U616" i="14"/>
  <c r="U623" i="14"/>
  <c r="U629" i="14"/>
  <c r="V629" i="14" s="1"/>
  <c r="U637" i="14"/>
  <c r="U643" i="14"/>
  <c r="V643" i="14" s="1"/>
  <c r="U650" i="14"/>
  <c r="V650" i="14" s="1"/>
  <c r="U656" i="14"/>
  <c r="U663" i="14"/>
  <c r="U669" i="14"/>
  <c r="U674" i="14"/>
  <c r="V674" i="14" s="1"/>
  <c r="U681" i="14"/>
  <c r="U693" i="14"/>
  <c r="U701" i="14"/>
  <c r="U706" i="14"/>
  <c r="V706" i="14" s="1"/>
  <c r="U713" i="14"/>
  <c r="U725" i="14"/>
  <c r="U733" i="14"/>
  <c r="U738" i="14"/>
  <c r="V738" i="14" s="1"/>
  <c r="U745" i="14"/>
  <c r="U757" i="14"/>
  <c r="U765" i="14"/>
  <c r="U770" i="14"/>
  <c r="V770" i="14" s="1"/>
  <c r="U777" i="14"/>
  <c r="U784" i="14"/>
  <c r="U789" i="14"/>
  <c r="U801" i="14"/>
  <c r="U807" i="14"/>
  <c r="U813" i="14"/>
  <c r="U818" i="14"/>
  <c r="V818" i="14" s="1"/>
  <c r="U825" i="14"/>
  <c r="U830" i="14"/>
  <c r="T6" i="14"/>
  <c r="T14" i="14"/>
  <c r="T22" i="14"/>
  <c r="T30" i="14"/>
  <c r="T38" i="14"/>
  <c r="T46" i="14"/>
  <c r="T54" i="14"/>
  <c r="T62" i="14"/>
  <c r="T70" i="14"/>
  <c r="T78" i="14"/>
  <c r="T86" i="14"/>
  <c r="T94" i="14"/>
  <c r="T102" i="14"/>
  <c r="T110" i="14"/>
  <c r="T118" i="14"/>
  <c r="T126" i="14"/>
  <c r="T134" i="14"/>
  <c r="T142" i="14"/>
  <c r="T150" i="14"/>
  <c r="T158" i="14"/>
  <c r="T166" i="14"/>
  <c r="T174" i="14"/>
  <c r="T182" i="14"/>
  <c r="T190" i="14"/>
  <c r="T198" i="14"/>
  <c r="T206" i="14"/>
  <c r="T214" i="14"/>
  <c r="T222" i="14"/>
  <c r="T230" i="14"/>
  <c r="T238" i="14"/>
  <c r="T246" i="14"/>
  <c r="V246" i="14" s="1"/>
  <c r="T254" i="14"/>
  <c r="T262" i="14"/>
  <c r="T270" i="14"/>
  <c r="T278" i="14"/>
  <c r="T286" i="14"/>
  <c r="T294" i="14"/>
  <c r="V294" i="14" s="1"/>
  <c r="T302" i="14"/>
  <c r="T310" i="14"/>
  <c r="T318" i="14"/>
  <c r="T326" i="14"/>
  <c r="Z543" i="14"/>
  <c r="Z673" i="14"/>
  <c r="Z788" i="14"/>
  <c r="U27" i="14"/>
  <c r="V27" i="14" s="1"/>
  <c r="U44" i="14"/>
  <c r="U57" i="14"/>
  <c r="U70" i="14"/>
  <c r="U78" i="14"/>
  <c r="U90" i="14"/>
  <c r="U111" i="14"/>
  <c r="U122" i="14"/>
  <c r="U131" i="14"/>
  <c r="U153" i="14"/>
  <c r="U166" i="14"/>
  <c r="U212" i="14"/>
  <c r="U223" i="14"/>
  <c r="U237" i="14"/>
  <c r="U245" i="14"/>
  <c r="U258" i="14"/>
  <c r="U268" i="14"/>
  <c r="U280" i="14"/>
  <c r="U298" i="14"/>
  <c r="V298" i="14" s="1"/>
  <c r="U310" i="14"/>
  <c r="U319" i="14"/>
  <c r="U329" i="14"/>
  <c r="U340" i="14"/>
  <c r="U359" i="14"/>
  <c r="U405" i="14"/>
  <c r="U449" i="14"/>
  <c r="V449" i="14" s="1"/>
  <c r="U457" i="14"/>
  <c r="V457" i="14" s="1"/>
  <c r="U466" i="14"/>
  <c r="V466" i="14" s="1"/>
  <c r="U474" i="14"/>
  <c r="U481" i="14"/>
  <c r="U495" i="14"/>
  <c r="V495" i="14" s="1"/>
  <c r="U504" i="14"/>
  <c r="V504" i="14" s="1"/>
  <c r="U511" i="14"/>
  <c r="U517" i="14"/>
  <c r="U526" i="14"/>
  <c r="U532" i="14"/>
  <c r="V532" i="14" s="1"/>
  <c r="U548" i="14"/>
  <c r="V548" i="14" s="1"/>
  <c r="U555" i="14"/>
  <c r="U561" i="14"/>
  <c r="U569" i="14"/>
  <c r="U600" i="14"/>
  <c r="U614" i="14"/>
  <c r="U621" i="14"/>
  <c r="U627" i="14"/>
  <c r="V627" i="14" s="1"/>
  <c r="U634" i="14"/>
  <c r="V634" i="14" s="1"/>
  <c r="U640" i="14"/>
  <c r="U647" i="14"/>
  <c r="U654" i="14"/>
  <c r="U660" i="14"/>
  <c r="V660" i="14" s="1"/>
  <c r="U667" i="14"/>
  <c r="V667" i="14" s="1"/>
  <c r="U672" i="14"/>
  <c r="V672" i="14" s="1"/>
  <c r="U678" i="14"/>
  <c r="U691" i="14"/>
  <c r="V691" i="14" s="1"/>
  <c r="U698" i="14"/>
  <c r="V698" i="14" s="1"/>
  <c r="U704" i="14"/>
  <c r="V704" i="14" s="1"/>
  <c r="U710" i="14"/>
  <c r="V710" i="14" s="1"/>
  <c r="U723" i="14"/>
  <c r="V723" i="14" s="1"/>
  <c r="U730" i="14"/>
  <c r="V730" i="14" s="1"/>
  <c r="U736" i="14"/>
  <c r="V736" i="14" s="1"/>
  <c r="U742" i="14"/>
  <c r="U755" i="14"/>
  <c r="V755" i="14" s="1"/>
  <c r="U762" i="14"/>
  <c r="V762" i="14" s="1"/>
  <c r="U768" i="14"/>
  <c r="V768" i="14" s="1"/>
  <c r="U774" i="14"/>
  <c r="V774" i="14" s="1"/>
  <c r="U787" i="14"/>
  <c r="V787" i="14" s="1"/>
  <c r="U799" i="14"/>
  <c r="U805" i="14"/>
  <c r="U810" i="14"/>
  <c r="V810" i="14" s="1"/>
  <c r="U822" i="14"/>
  <c r="U828" i="14"/>
  <c r="V828" i="14" s="1"/>
  <c r="T3" i="14"/>
  <c r="T11" i="14"/>
  <c r="T19" i="14"/>
  <c r="T27" i="14"/>
  <c r="T35" i="14"/>
  <c r="T43" i="14"/>
  <c r="T51" i="14"/>
  <c r="T59" i="14"/>
  <c r="T67" i="14"/>
  <c r="T75" i="14"/>
  <c r="T83" i="14"/>
  <c r="T91" i="14"/>
  <c r="T99" i="14"/>
  <c r="T107" i="14"/>
  <c r="T115" i="14"/>
  <c r="T123" i="14"/>
  <c r="T131" i="14"/>
  <c r="T139" i="14"/>
  <c r="T147" i="14"/>
  <c r="T155" i="14"/>
  <c r="T163" i="14"/>
  <c r="T171" i="14"/>
  <c r="T179" i="14"/>
  <c r="T187" i="14"/>
  <c r="T195" i="14"/>
  <c r="T825" i="14"/>
  <c r="T817" i="14"/>
  <c r="T809" i="14"/>
  <c r="T801" i="14"/>
  <c r="T793" i="14"/>
  <c r="T785" i="14"/>
  <c r="T777" i="14"/>
  <c r="T761" i="14"/>
  <c r="T753" i="14"/>
  <c r="T745" i="14"/>
  <c r="T737" i="14"/>
  <c r="T729" i="14"/>
  <c r="T721" i="14"/>
  <c r="T713" i="14"/>
  <c r="T705" i="14"/>
  <c r="T697" i="14"/>
  <c r="T689" i="14"/>
  <c r="T681" i="14"/>
  <c r="T673" i="14"/>
  <c r="T665" i="14"/>
  <c r="T657" i="14"/>
  <c r="T649" i="14"/>
  <c r="T641" i="14"/>
  <c r="T633" i="14"/>
  <c r="T625" i="14"/>
  <c r="T617" i="14"/>
  <c r="T609" i="14"/>
  <c r="T601" i="14"/>
  <c r="T593" i="14"/>
  <c r="T585" i="14"/>
  <c r="T577" i="14"/>
  <c r="T569" i="14"/>
  <c r="T561" i="14"/>
  <c r="T553" i="14"/>
  <c r="T545" i="14"/>
  <c r="T537" i="14"/>
  <c r="T529" i="14"/>
  <c r="T520" i="14"/>
  <c r="T511" i="14"/>
  <c r="T502" i="14"/>
  <c r="T492" i="14"/>
  <c r="V492" i="14" s="1"/>
  <c r="T483" i="14"/>
  <c r="V483" i="14" s="1"/>
  <c r="T474" i="14"/>
  <c r="T465" i="14"/>
  <c r="T456" i="14"/>
  <c r="T447" i="14"/>
  <c r="T438" i="14"/>
  <c r="T428" i="14"/>
  <c r="T419" i="14"/>
  <c r="T410" i="14"/>
  <c r="T401" i="14"/>
  <c r="T392" i="14"/>
  <c r="T383" i="14"/>
  <c r="T374" i="14"/>
  <c r="T362" i="14"/>
  <c r="T352" i="14"/>
  <c r="T342" i="14"/>
  <c r="T330" i="14"/>
  <c r="T319" i="14"/>
  <c r="T305" i="14"/>
  <c r="T280" i="14"/>
  <c r="T266" i="14"/>
  <c r="T255" i="14"/>
  <c r="T241" i="14"/>
  <c r="T227" i="14"/>
  <c r="T216" i="14"/>
  <c r="T202" i="14"/>
  <c r="T186" i="14"/>
  <c r="T170" i="14"/>
  <c r="T154" i="14"/>
  <c r="T138" i="14"/>
  <c r="T122" i="14"/>
  <c r="T106" i="14"/>
  <c r="T90" i="14"/>
  <c r="T74" i="14"/>
  <c r="T58" i="14"/>
  <c r="V58" i="14" s="1"/>
  <c r="T42" i="14"/>
  <c r="V42" i="14" s="1"/>
  <c r="T26" i="14"/>
  <c r="T10" i="14"/>
  <c r="U816" i="14"/>
  <c r="U781" i="14"/>
  <c r="U754" i="14"/>
  <c r="V754" i="14" s="1"/>
  <c r="U741" i="14"/>
  <c r="U729" i="14"/>
  <c r="V729" i="14" s="1"/>
  <c r="U717" i="14"/>
  <c r="U677" i="14"/>
  <c r="U653" i="14"/>
  <c r="U473" i="14"/>
  <c r="P5" i="14" a="1"/>
  <c r="P5" i="14" s="1"/>
  <c r="T831" i="14"/>
  <c r="T823" i="14"/>
  <c r="T815" i="14"/>
  <c r="T807" i="14"/>
  <c r="T799" i="14"/>
  <c r="T791" i="14"/>
  <c r="T783" i="14"/>
  <c r="T775" i="14"/>
  <c r="T767" i="14"/>
  <c r="T759" i="14"/>
  <c r="T751" i="14"/>
  <c r="T743" i="14"/>
  <c r="T735" i="14"/>
  <c r="T727" i="14"/>
  <c r="T719" i="14"/>
  <c r="T711" i="14"/>
  <c r="T703" i="14"/>
  <c r="V703" i="14" s="1"/>
  <c r="T695" i="14"/>
  <c r="T687" i="14"/>
  <c r="T679" i="14"/>
  <c r="T671" i="14"/>
  <c r="T663" i="14"/>
  <c r="T655" i="14"/>
  <c r="T647" i="14"/>
  <c r="T639" i="14"/>
  <c r="T631" i="14"/>
  <c r="T623" i="14"/>
  <c r="T615" i="14"/>
  <c r="T607" i="14"/>
  <c r="T599" i="14"/>
  <c r="T591" i="14"/>
  <c r="T583" i="14"/>
  <c r="T575" i="14"/>
  <c r="T567" i="14"/>
  <c r="T559" i="14"/>
  <c r="T551" i="14"/>
  <c r="V551" i="14" s="1"/>
  <c r="T543" i="14"/>
  <c r="T535" i="14"/>
  <c r="T527" i="14"/>
  <c r="T518" i="14"/>
  <c r="T508" i="14"/>
  <c r="T499" i="14"/>
  <c r="T490" i="14"/>
  <c r="T481" i="14"/>
  <c r="T472" i="14"/>
  <c r="T463" i="14"/>
  <c r="T454" i="14"/>
  <c r="T444" i="14"/>
  <c r="V444" i="14" s="1"/>
  <c r="T435" i="14"/>
  <c r="T426" i="14"/>
  <c r="T417" i="14"/>
  <c r="T408" i="14"/>
  <c r="T399" i="14"/>
  <c r="T390" i="14"/>
  <c r="T380" i="14"/>
  <c r="T370" i="14"/>
  <c r="V370" i="14" s="1"/>
  <c r="T360" i="14"/>
  <c r="T350" i="14"/>
  <c r="T338" i="14"/>
  <c r="T328" i="14"/>
  <c r="T314" i="14"/>
  <c r="T303" i="14"/>
  <c r="T289" i="14"/>
  <c r="T275" i="14"/>
  <c r="T264" i="14"/>
  <c r="T250" i="14"/>
  <c r="T239" i="14"/>
  <c r="T225" i="14"/>
  <c r="T211" i="14"/>
  <c r="T200" i="14"/>
  <c r="T184" i="14"/>
  <c r="T168" i="14"/>
  <c r="T152" i="14"/>
  <c r="T136" i="14"/>
  <c r="T120" i="14"/>
  <c r="V120" i="14" s="1"/>
  <c r="T104" i="14"/>
  <c r="T88" i="14"/>
  <c r="T72" i="14"/>
  <c r="T56" i="14"/>
  <c r="T40" i="14"/>
  <c r="T24" i="14"/>
  <c r="V24" i="14" s="1"/>
  <c r="T8" i="14"/>
  <c r="U826" i="14"/>
  <c r="V826" i="14" s="1"/>
  <c r="U814" i="14"/>
  <c r="U803" i="14"/>
  <c r="V803" i="14" s="1"/>
  <c r="U791" i="14"/>
  <c r="V791" i="14" s="1"/>
  <c r="U779" i="14"/>
  <c r="V779" i="14" s="1"/>
  <c r="U766" i="14"/>
  <c r="U753" i="14"/>
  <c r="U727" i="14"/>
  <c r="U715" i="14"/>
  <c r="V715" i="14" s="1"/>
  <c r="U702" i="14"/>
  <c r="U689" i="14"/>
  <c r="U664" i="14"/>
  <c r="U638" i="14"/>
  <c r="U625" i="14"/>
  <c r="U611" i="14"/>
  <c r="V611" i="14" s="1"/>
  <c r="U598" i="14"/>
  <c r="U585" i="14"/>
  <c r="U572" i="14"/>
  <c r="V572" i="14" s="1"/>
  <c r="U559" i="14"/>
  <c r="U545" i="14"/>
  <c r="U500" i="14"/>
  <c r="U485" i="14"/>
  <c r="U454" i="14"/>
  <c r="U437" i="14"/>
  <c r="U420" i="14"/>
  <c r="U402" i="14"/>
  <c r="U385" i="14"/>
  <c r="V385" i="14" s="1"/>
  <c r="U365" i="14"/>
  <c r="U325" i="14"/>
  <c r="U305" i="14"/>
  <c r="U243" i="14"/>
  <c r="V243" i="14" s="1"/>
  <c r="U218" i="14"/>
  <c r="U196" i="14"/>
  <c r="Z751" i="14"/>
  <c r="Z490" i="14"/>
  <c r="Q6" i="14" a="1"/>
  <c r="Q6" i="14" s="1"/>
  <c r="T830" i="14"/>
  <c r="T822" i="14"/>
  <c r="T814" i="14"/>
  <c r="T806" i="14"/>
  <c r="T798" i="14"/>
  <c r="T790" i="14"/>
  <c r="T782" i="14"/>
  <c r="T774" i="14"/>
  <c r="T766" i="14"/>
  <c r="T758" i="14"/>
  <c r="T750" i="14"/>
  <c r="T742" i="14"/>
  <c r="T734" i="14"/>
  <c r="T726" i="14"/>
  <c r="T718" i="14"/>
  <c r="T710" i="14"/>
  <c r="T702" i="14"/>
  <c r="T694" i="14"/>
  <c r="T686" i="14"/>
  <c r="T678" i="14"/>
  <c r="T670" i="14"/>
  <c r="T662" i="14"/>
  <c r="T654" i="14"/>
  <c r="T646" i="14"/>
  <c r="T638" i="14"/>
  <c r="T630" i="14"/>
  <c r="T622" i="14"/>
  <c r="T614" i="14"/>
  <c r="T606" i="14"/>
  <c r="T598" i="14"/>
  <c r="T590" i="14"/>
  <c r="T582" i="14"/>
  <c r="T574" i="14"/>
  <c r="T566" i="14"/>
  <c r="T558" i="14"/>
  <c r="T550" i="14"/>
  <c r="T542" i="14"/>
  <c r="T534" i="14"/>
  <c r="T526" i="14"/>
  <c r="T516" i="14"/>
  <c r="T507" i="14"/>
  <c r="V507" i="14" s="1"/>
  <c r="T498" i="14"/>
  <c r="V498" i="14" s="1"/>
  <c r="T489" i="14"/>
  <c r="T480" i="14"/>
  <c r="V480" i="14" s="1"/>
  <c r="T471" i="14"/>
  <c r="T462" i="14"/>
  <c r="T452" i="14"/>
  <c r="T443" i="14"/>
  <c r="T434" i="14"/>
  <c r="T425" i="14"/>
  <c r="T416" i="14"/>
  <c r="T407" i="14"/>
  <c r="T398" i="14"/>
  <c r="T388" i="14"/>
  <c r="T379" i="14"/>
  <c r="T369" i="14"/>
  <c r="T359" i="14"/>
  <c r="T347" i="14"/>
  <c r="V347" i="14" s="1"/>
  <c r="T337" i="14"/>
  <c r="V337" i="14" s="1"/>
  <c r="T327" i="14"/>
  <c r="T313" i="14"/>
  <c r="T299" i="14"/>
  <c r="T288" i="14"/>
  <c r="T274" i="14"/>
  <c r="T263" i="14"/>
  <c r="T249" i="14"/>
  <c r="T235" i="14"/>
  <c r="T224" i="14"/>
  <c r="T210" i="14"/>
  <c r="T199" i="14"/>
  <c r="T183" i="14"/>
  <c r="T167" i="14"/>
  <c r="T151" i="14"/>
  <c r="T135" i="14"/>
  <c r="T119" i="14"/>
  <c r="T103" i="14"/>
  <c r="T87" i="14"/>
  <c r="T71" i="14"/>
  <c r="T55" i="14"/>
  <c r="T39" i="14"/>
  <c r="T23" i="14"/>
  <c r="T7" i="14"/>
  <c r="U802" i="14"/>
  <c r="V802" i="14" s="1"/>
  <c r="U790" i="14"/>
  <c r="U778" i="14"/>
  <c r="V778" i="14" s="1"/>
  <c r="U752" i="14"/>
  <c r="U739" i="14"/>
  <c r="V739" i="14" s="1"/>
  <c r="U726" i="14"/>
  <c r="U714" i="14"/>
  <c r="V714" i="14" s="1"/>
  <c r="U688" i="14"/>
  <c r="U675" i="14"/>
  <c r="V675" i="14" s="1"/>
  <c r="U651" i="14"/>
  <c r="V651" i="14" s="1"/>
  <c r="U610" i="14"/>
  <c r="V610" i="14" s="1"/>
  <c r="U597" i="14"/>
  <c r="U584" i="14"/>
  <c r="U544" i="14"/>
  <c r="U515" i="14"/>
  <c r="U499" i="14"/>
  <c r="V499" i="14" s="1"/>
  <c r="U471" i="14"/>
  <c r="U453" i="14"/>
  <c r="U419" i="14"/>
  <c r="U401" i="14"/>
  <c r="U344" i="14"/>
  <c r="U323" i="14"/>
  <c r="U285" i="14"/>
  <c r="U264" i="14"/>
  <c r="U217" i="14"/>
  <c r="U195" i="14"/>
  <c r="U173" i="14"/>
  <c r="U150" i="14"/>
  <c r="U126" i="14"/>
  <c r="U85" i="14"/>
  <c r="U64" i="14"/>
  <c r="U38" i="14"/>
  <c r="Z730" i="14"/>
  <c r="Z364" i="14"/>
  <c r="Z831" i="14"/>
  <c r="Z810" i="14"/>
  <c r="Z789" i="14"/>
  <c r="Z764" i="14"/>
  <c r="Z733" i="14"/>
  <c r="Z703" i="14"/>
  <c r="Z674" i="14"/>
  <c r="Z646" i="14"/>
  <c r="Z613" i="14"/>
  <c r="Z577" i="14"/>
  <c r="Z544" i="14"/>
  <c r="Z494" i="14"/>
  <c r="Z400" i="14"/>
  <c r="Z263" i="14"/>
  <c r="Z801" i="14"/>
  <c r="Z777" i="14"/>
  <c r="Z749" i="14"/>
  <c r="Z720" i="14"/>
  <c r="Z692" i="14"/>
  <c r="Z663" i="14"/>
  <c r="Z630" i="14"/>
  <c r="Z596" i="14"/>
  <c r="Z564" i="14"/>
  <c r="Z530" i="14"/>
  <c r="Z461" i="14"/>
  <c r="Z351" i="14"/>
  <c r="Z205" i="14"/>
  <c r="Z799" i="14"/>
  <c r="Z775" i="14"/>
  <c r="Z748" i="14"/>
  <c r="Z719" i="14"/>
  <c r="Z690" i="14"/>
  <c r="Z660" i="14"/>
  <c r="Z628" i="14"/>
  <c r="Z594" i="14"/>
  <c r="Z562" i="14"/>
  <c r="Z529" i="14"/>
  <c r="Z457" i="14"/>
  <c r="Z314" i="14"/>
  <c r="Z192" i="14"/>
  <c r="Z820" i="14"/>
  <c r="Z798" i="14"/>
  <c r="Z774" i="14"/>
  <c r="Z746" i="14"/>
  <c r="Z718" i="14"/>
  <c r="Z687" i="14"/>
  <c r="Z657" i="14"/>
  <c r="Z626" i="14"/>
  <c r="Z593" i="14"/>
  <c r="Z561" i="14"/>
  <c r="Z516" i="14"/>
  <c r="Z448" i="14"/>
  <c r="Z311" i="14"/>
  <c r="Z116" i="14"/>
  <c r="Z813" i="14"/>
  <c r="Z791" i="14"/>
  <c r="Z766" i="14"/>
  <c r="Z737" i="14"/>
  <c r="Z709" i="14"/>
  <c r="Z678" i="14"/>
  <c r="Z648" i="14"/>
  <c r="Z616" i="14"/>
  <c r="Z583" i="14"/>
  <c r="Z550" i="14"/>
  <c r="Z512" i="14"/>
  <c r="Z412" i="14"/>
  <c r="Z302" i="14"/>
  <c r="Y2" i="14"/>
  <c r="Z3" i="14"/>
  <c r="Z11" i="14"/>
  <c r="Z19" i="14"/>
  <c r="Z27" i="14"/>
  <c r="Z35" i="14"/>
  <c r="Z43" i="14"/>
  <c r="Z51" i="14"/>
  <c r="Z59" i="14"/>
  <c r="Z67" i="14"/>
  <c r="Z75" i="14"/>
  <c r="Z83" i="14"/>
  <c r="Z91" i="14"/>
  <c r="Z99" i="14"/>
  <c r="Z107" i="14"/>
  <c r="Z115" i="14"/>
  <c r="Z123" i="14"/>
  <c r="Z131" i="14"/>
  <c r="Z139" i="14"/>
  <c r="Z147" i="14"/>
  <c r="Z155" i="14"/>
  <c r="Z163" i="14"/>
  <c r="Z171" i="14"/>
  <c r="Z179" i="14"/>
  <c r="Z187" i="14"/>
  <c r="Z195" i="14"/>
  <c r="Z203" i="14"/>
  <c r="Z211" i="14"/>
  <c r="Z219" i="14"/>
  <c r="Z227" i="14"/>
  <c r="Z235" i="14"/>
  <c r="Z243" i="14"/>
  <c r="Z251" i="14"/>
  <c r="Z259" i="14"/>
  <c r="Z267" i="14"/>
  <c r="Z275" i="14"/>
  <c r="Z283" i="14"/>
  <c r="Z291" i="14"/>
  <c r="Z299" i="14"/>
  <c r="Z307" i="14"/>
  <c r="Z315" i="14"/>
  <c r="Z323" i="14"/>
  <c r="Z331" i="14"/>
  <c r="Z339" i="14"/>
  <c r="Z347" i="14"/>
  <c r="Z355" i="14"/>
  <c r="Z363" i="14"/>
  <c r="Z371" i="14"/>
  <c r="Z379" i="14"/>
  <c r="Z387" i="14"/>
  <c r="Z395" i="14"/>
  <c r="Z403" i="14"/>
  <c r="Z411" i="14"/>
  <c r="Z419" i="14"/>
  <c r="Z427" i="14"/>
  <c r="Z435" i="14"/>
  <c r="Z443" i="14"/>
  <c r="Z451" i="14"/>
  <c r="Z459" i="14"/>
  <c r="Z467" i="14"/>
  <c r="Z475" i="14"/>
  <c r="Z483" i="14"/>
  <c r="Z491" i="14"/>
  <c r="Z499" i="14"/>
  <c r="Z507" i="14"/>
  <c r="Z515" i="14"/>
  <c r="Z523" i="14"/>
  <c r="Z531" i="14"/>
  <c r="Z539" i="14"/>
  <c r="Z547" i="14"/>
  <c r="Z555" i="14"/>
  <c r="Z563" i="14"/>
  <c r="Z571" i="14"/>
  <c r="Z579" i="14"/>
  <c r="Z587" i="14"/>
  <c r="Z595" i="14"/>
  <c r="Z603" i="14"/>
  <c r="Z611" i="14"/>
  <c r="Z619" i="14"/>
  <c r="Z627" i="14"/>
  <c r="Z635" i="14"/>
  <c r="Z643" i="14"/>
  <c r="Z7" i="14"/>
  <c r="Z15" i="14"/>
  <c r="Z23" i="14"/>
  <c r="Z31" i="14"/>
  <c r="Z39" i="14"/>
  <c r="Z47" i="14"/>
  <c r="Z55" i="14"/>
  <c r="Z63" i="14"/>
  <c r="Z71" i="14"/>
  <c r="Z79" i="14"/>
  <c r="Z87" i="14"/>
  <c r="Z95" i="14"/>
  <c r="Z103" i="14"/>
  <c r="Z111" i="14"/>
  <c r="Z5" i="14"/>
  <c r="Z16" i="14"/>
  <c r="Z26" i="14"/>
  <c r="Z37" i="14"/>
  <c r="Z48" i="14"/>
  <c r="Z58" i="14"/>
  <c r="Z69" i="14"/>
  <c r="Z80" i="14"/>
  <c r="Z90" i="14"/>
  <c r="Z101" i="14"/>
  <c r="Z112" i="14"/>
  <c r="Z121" i="14"/>
  <c r="Z130" i="14"/>
  <c r="Z140" i="14"/>
  <c r="Z149" i="14"/>
  <c r="Z158" i="14"/>
  <c r="Z167" i="14"/>
  <c r="Z176" i="14"/>
  <c r="Z185" i="14"/>
  <c r="Z194" i="14"/>
  <c r="Z204" i="14"/>
  <c r="Z213" i="14"/>
  <c r="Z222" i="14"/>
  <c r="Z231" i="14"/>
  <c r="Z240" i="14"/>
  <c r="Z249" i="14"/>
  <c r="Z258" i="14"/>
  <c r="Z268" i="14"/>
  <c r="Z277" i="14"/>
  <c r="Z286" i="14"/>
  <c r="Z295" i="14"/>
  <c r="Z304" i="14"/>
  <c r="Z313" i="14"/>
  <c r="Z322" i="14"/>
  <c r="Z332" i="14"/>
  <c r="Z341" i="14"/>
  <c r="Z350" i="14"/>
  <c r="Z359" i="14"/>
  <c r="Z368" i="14"/>
  <c r="Z377" i="14"/>
  <c r="Z386" i="14"/>
  <c r="Z396" i="14"/>
  <c r="Z405" i="14"/>
  <c r="Z414" i="14"/>
  <c r="Z423" i="14"/>
  <c r="Z432" i="14"/>
  <c r="Z441" i="14"/>
  <c r="Z450" i="14"/>
  <c r="Z460" i="14"/>
  <c r="Z469" i="14"/>
  <c r="Z478" i="14"/>
  <c r="Z487" i="14"/>
  <c r="Z496" i="14"/>
  <c r="Z505" i="14"/>
  <c r="Z514" i="14"/>
  <c r="Z524" i="14"/>
  <c r="Z533" i="14"/>
  <c r="Z542" i="14"/>
  <c r="Z551" i="14"/>
  <c r="Z560" i="14"/>
  <c r="Z569" i="14"/>
  <c r="Z578" i="14"/>
  <c r="Z588" i="14"/>
  <c r="Z597" i="14"/>
  <c r="Z606" i="14"/>
  <c r="Z615" i="14"/>
  <c r="Z624" i="14"/>
  <c r="Z633" i="14"/>
  <c r="Z642" i="14"/>
  <c r="Z651" i="14"/>
  <c r="Z659" i="14"/>
  <c r="Z667" i="14"/>
  <c r="Z675" i="14"/>
  <c r="Z683" i="14"/>
  <c r="Z691" i="14"/>
  <c r="Z699" i="14"/>
  <c r="Z707" i="14"/>
  <c r="Z715" i="14"/>
  <c r="Z723" i="14"/>
  <c r="Z731" i="14"/>
  <c r="Z739" i="14"/>
  <c r="Z747" i="14"/>
  <c r="Z755" i="14"/>
  <c r="Z763" i="14"/>
  <c r="Z8" i="14"/>
  <c r="Z18" i="14"/>
  <c r="Z29" i="14"/>
  <c r="Z40" i="14"/>
  <c r="Z50" i="14"/>
  <c r="Z61" i="14"/>
  <c r="Z72" i="14"/>
  <c r="Z82" i="14"/>
  <c r="Z93" i="14"/>
  <c r="Z104" i="14"/>
  <c r="Z114" i="14"/>
  <c r="Z124" i="14"/>
  <c r="Z133" i="14"/>
  <c r="Z142" i="14"/>
  <c r="Z151" i="14"/>
  <c r="Z160" i="14"/>
  <c r="Z169" i="14"/>
  <c r="Z178" i="14"/>
  <c r="Z188" i="14"/>
  <c r="Z197" i="14"/>
  <c r="Z206" i="14"/>
  <c r="Z215" i="14"/>
  <c r="Z224" i="14"/>
  <c r="Z233" i="14"/>
  <c r="Z242" i="14"/>
  <c r="Z252" i="14"/>
  <c r="Z261" i="14"/>
  <c r="Z270" i="14"/>
  <c r="Z279" i="14"/>
  <c r="Z288" i="14"/>
  <c r="Z297" i="14"/>
  <c r="Z306" i="14"/>
  <c r="Z316" i="14"/>
  <c r="Z325" i="14"/>
  <c r="Z334" i="14"/>
  <c r="Z343" i="14"/>
  <c r="Z352" i="14"/>
  <c r="Z361" i="14"/>
  <c r="Z370" i="14"/>
  <c r="Z380" i="14"/>
  <c r="Z389" i="14"/>
  <c r="Z398" i="14"/>
  <c r="Z407" i="14"/>
  <c r="Z416" i="14"/>
  <c r="Z425" i="14"/>
  <c r="Z434" i="14"/>
  <c r="Z444" i="14"/>
  <c r="Z453" i="14"/>
  <c r="Z462" i="14"/>
  <c r="Z471" i="14"/>
  <c r="Z13" i="14"/>
  <c r="Z24" i="14"/>
  <c r="Z34" i="14"/>
  <c r="Z45" i="14"/>
  <c r="Z56" i="14"/>
  <c r="Z66" i="14"/>
  <c r="Z77" i="14"/>
  <c r="Z88" i="14"/>
  <c r="Z98" i="14"/>
  <c r="Z109" i="14"/>
  <c r="Z119" i="14"/>
  <c r="Z128" i="14"/>
  <c r="Z137" i="14"/>
  <c r="Z14" i="14"/>
  <c r="Z32" i="14"/>
  <c r="Z49" i="14"/>
  <c r="Z65" i="14"/>
  <c r="Z84" i="14"/>
  <c r="Z100" i="14"/>
  <c r="Z117" i="14"/>
  <c r="Z132" i="14"/>
  <c r="Z145" i="14"/>
  <c r="Z157" i="14"/>
  <c r="Z170" i="14"/>
  <c r="Z182" i="14"/>
  <c r="Z193" i="14"/>
  <c r="Z207" i="14"/>
  <c r="Z218" i="14"/>
  <c r="Z230" i="14"/>
  <c r="Z244" i="14"/>
  <c r="Z255" i="14"/>
  <c r="Z266" i="14"/>
  <c r="Z280" i="14"/>
  <c r="Z292" i="14"/>
  <c r="Z303" i="14"/>
  <c r="Z317" i="14"/>
  <c r="Z328" i="14"/>
  <c r="Z340" i="14"/>
  <c r="Z353" i="14"/>
  <c r="Z365" i="14"/>
  <c r="Z376" i="14"/>
  <c r="Z390" i="14"/>
  <c r="Z401" i="14"/>
  <c r="Z413" i="14"/>
  <c r="Z426" i="14"/>
  <c r="Z438" i="14"/>
  <c r="Z449" i="14"/>
  <c r="Z463" i="14"/>
  <c r="Z474" i="14"/>
  <c r="Z485" i="14"/>
  <c r="Z495" i="14"/>
  <c r="Z506" i="14"/>
  <c r="Z517" i="14"/>
  <c r="Z527" i="14"/>
  <c r="Z537" i="14"/>
  <c r="Z548" i="14"/>
  <c r="Z558" i="14"/>
  <c r="Z568" i="14"/>
  <c r="Z580" i="14"/>
  <c r="Z590" i="14"/>
  <c r="Z600" i="14"/>
  <c r="Z610" i="14"/>
  <c r="Z621" i="14"/>
  <c r="Z631" i="14"/>
  <c r="Z641" i="14"/>
  <c r="Z652" i="14"/>
  <c r="Z661" i="14"/>
  <c r="Z670" i="14"/>
  <c r="Z679" i="14"/>
  <c r="Z688" i="14"/>
  <c r="Z697" i="14"/>
  <c r="Z706" i="14"/>
  <c r="Z716" i="14"/>
  <c r="Z725" i="14"/>
  <c r="Z734" i="14"/>
  <c r="Z743" i="14"/>
  <c r="Z752" i="14"/>
  <c r="Z761" i="14"/>
  <c r="Z770" i="14"/>
  <c r="Z778" i="14"/>
  <c r="Z786" i="14"/>
  <c r="Z17" i="14"/>
  <c r="Z33" i="14"/>
  <c r="Z52" i="14"/>
  <c r="Z68" i="14"/>
  <c r="Z85" i="14"/>
  <c r="Z102" i="14"/>
  <c r="Z118" i="14"/>
  <c r="Z134" i="14"/>
  <c r="Z146" i="14"/>
  <c r="Z159" i="14"/>
  <c r="Z172" i="14"/>
  <c r="Z183" i="14"/>
  <c r="Z196" i="14"/>
  <c r="Z208" i="14"/>
  <c r="Z220" i="14"/>
  <c r="Z232" i="14"/>
  <c r="Z245" i="14"/>
  <c r="Z256" i="14"/>
  <c r="Z269" i="14"/>
  <c r="Z281" i="14"/>
  <c r="Z293" i="14"/>
  <c r="Z305" i="14"/>
  <c r="Z318" i="14"/>
  <c r="Z329" i="14"/>
  <c r="Z342" i="14"/>
  <c r="Z354" i="14"/>
  <c r="Z366" i="14"/>
  <c r="Z378" i="14"/>
  <c r="Z391" i="14"/>
  <c r="Z402" i="14"/>
  <c r="Z415" i="14"/>
  <c r="Z428" i="14"/>
  <c r="Z439" i="14"/>
  <c r="Z452" i="14"/>
  <c r="Z464" i="14"/>
  <c r="Z476" i="14"/>
  <c r="Z486" i="14"/>
  <c r="Z497" i="14"/>
  <c r="Z508" i="14"/>
  <c r="Z518" i="14"/>
  <c r="Z528" i="14"/>
  <c r="Z538" i="14"/>
  <c r="Z549" i="14"/>
  <c r="Z559" i="14"/>
  <c r="Z570" i="14"/>
  <c r="Z581" i="14"/>
  <c r="Z591" i="14"/>
  <c r="Z601" i="14"/>
  <c r="Z612" i="14"/>
  <c r="Z622" i="14"/>
  <c r="Z632" i="14"/>
  <c r="Z644" i="14"/>
  <c r="Z653" i="14"/>
  <c r="Z662" i="14"/>
  <c r="Z671" i="14"/>
  <c r="Z680" i="14"/>
  <c r="Z689" i="14"/>
  <c r="Z698" i="14"/>
  <c r="Z708" i="14"/>
  <c r="Z717" i="14"/>
  <c r="Z726" i="14"/>
  <c r="Z735" i="14"/>
  <c r="Z744" i="14"/>
  <c r="Z753" i="14"/>
  <c r="Z762" i="14"/>
  <c r="Z771" i="14"/>
  <c r="Z779" i="14"/>
  <c r="Z787" i="14"/>
  <c r="Z795" i="14"/>
  <c r="Z803" i="14"/>
  <c r="Z811" i="14"/>
  <c r="Z819" i="14"/>
  <c r="Z827" i="14"/>
  <c r="Z20" i="14"/>
  <c r="Z36" i="14"/>
  <c r="Z53" i="14"/>
  <c r="Z70" i="14"/>
  <c r="Z86" i="14"/>
  <c r="Z105" i="14"/>
  <c r="Z120" i="14"/>
  <c r="Z135" i="14"/>
  <c r="Z148" i="14"/>
  <c r="Z161" i="14"/>
  <c r="Z173" i="14"/>
  <c r="Z184" i="14"/>
  <c r="Z198" i="14"/>
  <c r="Z209" i="14"/>
  <c r="Z221" i="14"/>
  <c r="Z234" i="14"/>
  <c r="Z246" i="14"/>
  <c r="Z257" i="14"/>
  <c r="Z271" i="14"/>
  <c r="Z282" i="14"/>
  <c r="Z294" i="14"/>
  <c r="Z308" i="14"/>
  <c r="Z319" i="14"/>
  <c r="Z330" i="14"/>
  <c r="Z344" i="14"/>
  <c r="Z356" i="14"/>
  <c r="Z367" i="14"/>
  <c r="Z381" i="14"/>
  <c r="Z392" i="14"/>
  <c r="Z404" i="14"/>
  <c r="Z417" i="14"/>
  <c r="Z429" i="14"/>
  <c r="Z440" i="14"/>
  <c r="Z454" i="14"/>
  <c r="Z465" i="14"/>
  <c r="Z477" i="14"/>
  <c r="Z488" i="14"/>
  <c r="Z498" i="14"/>
  <c r="Z509" i="14"/>
  <c r="Z4" i="14"/>
  <c r="Z21" i="14"/>
  <c r="Z38" i="14"/>
  <c r="Z54" i="14"/>
  <c r="Z73" i="14"/>
  <c r="Z89" i="14"/>
  <c r="Z106" i="14"/>
  <c r="Z122" i="14"/>
  <c r="Z136" i="14"/>
  <c r="Z150" i="14"/>
  <c r="Z162" i="14"/>
  <c r="Z174" i="14"/>
  <c r="Z186" i="14"/>
  <c r="Z199" i="14"/>
  <c r="Z210" i="14"/>
  <c r="Z223" i="14"/>
  <c r="Z236" i="14"/>
  <c r="Z247" i="14"/>
  <c r="Z260" i="14"/>
  <c r="Z272" i="14"/>
  <c r="Z284" i="14"/>
  <c r="Z296" i="14"/>
  <c r="Z309" i="14"/>
  <c r="Z320" i="14"/>
  <c r="Z333" i="14"/>
  <c r="Z345" i="14"/>
  <c r="Z357" i="14"/>
  <c r="Z369" i="14"/>
  <c r="Z382" i="14"/>
  <c r="Z393" i="14"/>
  <c r="Z406" i="14"/>
  <c r="Z418" i="14"/>
  <c r="Z430" i="14"/>
  <c r="Z442" i="14"/>
  <c r="Z455" i="14"/>
  <c r="Z466" i="14"/>
  <c r="Z479" i="14"/>
  <c r="Z6" i="14"/>
  <c r="Z22" i="14"/>
  <c r="Z41" i="14"/>
  <c r="Z57" i="14"/>
  <c r="Z74" i="14"/>
  <c r="Z92" i="14"/>
  <c r="Z108" i="14"/>
  <c r="Z125" i="14"/>
  <c r="Z138" i="14"/>
  <c r="Z152" i="14"/>
  <c r="Z164" i="14"/>
  <c r="Z175" i="14"/>
  <c r="Z189" i="14"/>
  <c r="Z200" i="14"/>
  <c r="Z212" i="14"/>
  <c r="Z225" i="14"/>
  <c r="Z237" i="14"/>
  <c r="Z248" i="14"/>
  <c r="Z262" i="14"/>
  <c r="Z273" i="14"/>
  <c r="Z285" i="14"/>
  <c r="Z298" i="14"/>
  <c r="Z310" i="14"/>
  <c r="Z321" i="14"/>
  <c r="Z335" i="14"/>
  <c r="Z346" i="14"/>
  <c r="Z358" i="14"/>
  <c r="Z372" i="14"/>
  <c r="Z383" i="14"/>
  <c r="Z394" i="14"/>
  <c r="Z408" i="14"/>
  <c r="Z420" i="14"/>
  <c r="Z431" i="14"/>
  <c r="Z445" i="14"/>
  <c r="Z456" i="14"/>
  <c r="Z468" i="14"/>
  <c r="Z480" i="14"/>
  <c r="Z9" i="14"/>
  <c r="Z25" i="14"/>
  <c r="Z42" i="14"/>
  <c r="Z60" i="14"/>
  <c r="Z76" i="14"/>
  <c r="Z94" i="14"/>
  <c r="Z110" i="14"/>
  <c r="Z126" i="14"/>
  <c r="Z141" i="14"/>
  <c r="Z153" i="14"/>
  <c r="Z165" i="14"/>
  <c r="Z177" i="14"/>
  <c r="Z190" i="14"/>
  <c r="Z201" i="14"/>
  <c r="Z214" i="14"/>
  <c r="Z10" i="14"/>
  <c r="Z28" i="14"/>
  <c r="Z44" i="14"/>
  <c r="Z62" i="14"/>
  <c r="Z78" i="14"/>
  <c r="Z96" i="14"/>
  <c r="Z113" i="14"/>
  <c r="Z127" i="14"/>
  <c r="Z143" i="14"/>
  <c r="Z154" i="14"/>
  <c r="Z166" i="14"/>
  <c r="Z180" i="14"/>
  <c r="Z191" i="14"/>
  <c r="Z202" i="14"/>
  <c r="Z216" i="14"/>
  <c r="Z228" i="14"/>
  <c r="Z239" i="14"/>
  <c r="Z253" i="14"/>
  <c r="Z264" i="14"/>
  <c r="Z276" i="14"/>
  <c r="Z289" i="14"/>
  <c r="Z301" i="14"/>
  <c r="Z312" i="14"/>
  <c r="Z326" i="14"/>
  <c r="Z337" i="14"/>
  <c r="Z349" i="14"/>
  <c r="Z362" i="14"/>
  <c r="Z374" i="14"/>
  <c r="Z385" i="14"/>
  <c r="Z399" i="14"/>
  <c r="Z410" i="14"/>
  <c r="Z422" i="14"/>
  <c r="Z436" i="14"/>
  <c r="Z447" i="14"/>
  <c r="Z458" i="14"/>
  <c r="Z472" i="14"/>
  <c r="Z482" i="14"/>
  <c r="Z493" i="14"/>
  <c r="Z503" i="14"/>
  <c r="Z513" i="14"/>
  <c r="Z525" i="14"/>
  <c r="Z535" i="14"/>
  <c r="Z545" i="14"/>
  <c r="Z556" i="14"/>
  <c r="Z566" i="14"/>
  <c r="Z576" i="14"/>
  <c r="Z586" i="14"/>
  <c r="Z598" i="14"/>
  <c r="Z608" i="14"/>
  <c r="Z618" i="14"/>
  <c r="Z629" i="14"/>
  <c r="Z639" i="14"/>
  <c r="Z649" i="14"/>
  <c r="Z658" i="14"/>
  <c r="Z668" i="14"/>
  <c r="Z677" i="14"/>
  <c r="Z686" i="14"/>
  <c r="Z695" i="14"/>
  <c r="Z704" i="14"/>
  <c r="Z713" i="14"/>
  <c r="Z722" i="14"/>
  <c r="Z732" i="14"/>
  <c r="Z741" i="14"/>
  <c r="Z750" i="14"/>
  <c r="Z759" i="14"/>
  <c r="Z768" i="14"/>
  <c r="Z776" i="14"/>
  <c r="Z784" i="14"/>
  <c r="Z792" i="14"/>
  <c r="Z800" i="14"/>
  <c r="Z808" i="14"/>
  <c r="Z816" i="14"/>
  <c r="Z824" i="14"/>
  <c r="Z12" i="14"/>
  <c r="Z144" i="14"/>
  <c r="Z229" i="14"/>
  <c r="Z278" i="14"/>
  <c r="Z327" i="14"/>
  <c r="Z375" i="14"/>
  <c r="Z424" i="14"/>
  <c r="Z473" i="14"/>
  <c r="Z501" i="14"/>
  <c r="Z520" i="14"/>
  <c r="Z536" i="14"/>
  <c r="Z553" i="14"/>
  <c r="Z572" i="14"/>
  <c r="Z585" i="14"/>
  <c r="Z604" i="14"/>
  <c r="Z620" i="14"/>
  <c r="Z637" i="14"/>
  <c r="Z654" i="14"/>
  <c r="Z666" i="14"/>
  <c r="Z682" i="14"/>
  <c r="Z696" i="14"/>
  <c r="Z711" i="14"/>
  <c r="Z727" i="14"/>
  <c r="Z740" i="14"/>
  <c r="Z756" i="14"/>
  <c r="Z769" i="14"/>
  <c r="Z782" i="14"/>
  <c r="Z794" i="14"/>
  <c r="Z805" i="14"/>
  <c r="Z815" i="14"/>
  <c r="Z826" i="14"/>
  <c r="Z30" i="14"/>
  <c r="Z156" i="14"/>
  <c r="Z238" i="14"/>
  <c r="Z287" i="14"/>
  <c r="Z336" i="14"/>
  <c r="Z384" i="14"/>
  <c r="Z433" i="14"/>
  <c r="Z481" i="14"/>
  <c r="Z502" i="14"/>
  <c r="Z521" i="14"/>
  <c r="Z540" i="14"/>
  <c r="Z554" i="14"/>
  <c r="Z573" i="14"/>
  <c r="Z589" i="14"/>
  <c r="Z605" i="14"/>
  <c r="Z623" i="14"/>
  <c r="Z638" i="14"/>
  <c r="Z655" i="14"/>
  <c r="Z669" i="14"/>
  <c r="Z684" i="14"/>
  <c r="Z700" i="14"/>
  <c r="Z712" i="14"/>
  <c r="Z728" i="14"/>
  <c r="Z742" i="14"/>
  <c r="Z757" i="14"/>
  <c r="Z772" i="14"/>
  <c r="Z783" i="14"/>
  <c r="Z796" i="14"/>
  <c r="Z806" i="14"/>
  <c r="Z817" i="14"/>
  <c r="Z828" i="14"/>
  <c r="Z46" i="14"/>
  <c r="Z168" i="14"/>
  <c r="Z241" i="14"/>
  <c r="Z290" i="14"/>
  <c r="Z338" i="14"/>
  <c r="Z388" i="14"/>
  <c r="Z437" i="14"/>
  <c r="Z484" i="14"/>
  <c r="Z504" i="14"/>
  <c r="Z522" i="14"/>
  <c r="Z541" i="14"/>
  <c r="Z557" i="14"/>
  <c r="Z574" i="14"/>
  <c r="Z592" i="14"/>
  <c r="Z607" i="14"/>
  <c r="Z625" i="14"/>
  <c r="Z640" i="14"/>
  <c r="Z656" i="14"/>
  <c r="Z672" i="14"/>
  <c r="Z685" i="14"/>
  <c r="Z701" i="14"/>
  <c r="Z714" i="14"/>
  <c r="Z729" i="14"/>
  <c r="Z745" i="14"/>
  <c r="Z758" i="14"/>
  <c r="Z773" i="14"/>
  <c r="Z785" i="14"/>
  <c r="Z797" i="14"/>
  <c r="Z807" i="14"/>
  <c r="Z818" i="14"/>
  <c r="Z829" i="14"/>
  <c r="Z64" i="14"/>
  <c r="Z181" i="14"/>
  <c r="Z250" i="14"/>
  <c r="Z300" i="14"/>
  <c r="Z348" i="14"/>
  <c r="Z397" i="14"/>
  <c r="Z446" i="14"/>
  <c r="Z489" i="14"/>
  <c r="Z510" i="14"/>
  <c r="Z526" i="14"/>
  <c r="Z129" i="14"/>
  <c r="Z226" i="14"/>
  <c r="Z274" i="14"/>
  <c r="Z324" i="14"/>
  <c r="Z373" i="14"/>
  <c r="Z421" i="14"/>
  <c r="Z470" i="14"/>
  <c r="Z500" i="14"/>
  <c r="Z519" i="14"/>
  <c r="Z534" i="14"/>
  <c r="Z552" i="14"/>
  <c r="Z567" i="14"/>
  <c r="Z584" i="14"/>
  <c r="Z602" i="14"/>
  <c r="Z617" i="14"/>
  <c r="Z636" i="14"/>
  <c r="Z650" i="14"/>
  <c r="Z665" i="14"/>
  <c r="Z681" i="14"/>
  <c r="Z694" i="14"/>
  <c r="Z710" i="14"/>
  <c r="Z724" i="14"/>
  <c r="Z738" i="14"/>
  <c r="Z754" i="14"/>
  <c r="Z767" i="14"/>
  <c r="Z781" i="14"/>
  <c r="Z793" i="14"/>
  <c r="Z804" i="14"/>
  <c r="Z814" i="14"/>
  <c r="Z825" i="14"/>
  <c r="Z812" i="14"/>
  <c r="Z790" i="14"/>
  <c r="Z765" i="14"/>
  <c r="Z736" i="14"/>
  <c r="Z705" i="14"/>
  <c r="Z676" i="14"/>
  <c r="Z647" i="14"/>
  <c r="Z614" i="14"/>
  <c r="Z582" i="14"/>
  <c r="Z546" i="14"/>
  <c r="Z511" i="14"/>
  <c r="Z409" i="14"/>
  <c r="Z265" i="14"/>
  <c r="Z81" i="14"/>
  <c r="D89" i="14" a="1"/>
  <c r="D89" i="14" s="1"/>
  <c r="D81" i="14" a="1"/>
  <c r="D81" i="14" s="1"/>
  <c r="D73" i="14" a="1"/>
  <c r="D73" i="14" s="1"/>
  <c r="D65" i="14" a="1"/>
  <c r="D65" i="14" s="1"/>
  <c r="D57" i="14" a="1"/>
  <c r="D57" i="14" s="1"/>
  <c r="D49" i="14" a="1"/>
  <c r="D49" i="14" s="1"/>
  <c r="D41" i="14" a="1"/>
  <c r="D41" i="14" s="1"/>
  <c r="D33" i="14" a="1"/>
  <c r="D33" i="14" s="1"/>
  <c r="D25" i="14" a="1"/>
  <c r="D25" i="14" s="1"/>
  <c r="D17" i="14" a="1"/>
  <c r="D17" i="14" s="1"/>
  <c r="D9" i="14" a="1"/>
  <c r="D9" i="14" s="1"/>
  <c r="D88" i="14" a="1"/>
  <c r="D88" i="14" s="1"/>
  <c r="D80" i="14" a="1"/>
  <c r="D80" i="14" s="1"/>
  <c r="D72" i="14" a="1"/>
  <c r="D72" i="14" s="1"/>
  <c r="D64" i="14" a="1"/>
  <c r="D64" i="14" s="1"/>
  <c r="D56" i="14" a="1"/>
  <c r="D56" i="14" s="1"/>
  <c r="D48" i="14" a="1"/>
  <c r="D48" i="14" s="1"/>
  <c r="D40" i="14" a="1"/>
  <c r="D40" i="14" s="1"/>
  <c r="D32" i="14" a="1"/>
  <c r="D32" i="14" s="1"/>
  <c r="D24" i="14" a="1"/>
  <c r="D24" i="14" s="1"/>
  <c r="D16" i="14" a="1"/>
  <c r="D16" i="14" s="1"/>
  <c r="D8" i="14" a="1"/>
  <c r="D8" i="14" s="1"/>
  <c r="D87" i="14" a="1"/>
  <c r="D87" i="14" s="1"/>
  <c r="D79" i="14" a="1"/>
  <c r="D79" i="14" s="1"/>
  <c r="D71" i="14" a="1"/>
  <c r="D71" i="14" s="1"/>
  <c r="D63" i="14" a="1"/>
  <c r="D63" i="14" s="1"/>
  <c r="D55" i="14" a="1"/>
  <c r="D55" i="14" s="1"/>
  <c r="D47" i="14" a="1"/>
  <c r="D47" i="14" s="1"/>
  <c r="D39" i="14" a="1"/>
  <c r="D39" i="14" s="1"/>
  <c r="D31" i="14" a="1"/>
  <c r="D31" i="14" s="1"/>
  <c r="D23" i="14" a="1"/>
  <c r="D23" i="14" s="1"/>
  <c r="D15" i="14" a="1"/>
  <c r="D15" i="14" s="1"/>
  <c r="D7" i="14" a="1"/>
  <c r="D7" i="14" s="1"/>
  <c r="D6" i="14" a="1"/>
  <c r="D6" i="14" s="1"/>
  <c r="D77" i="14" a="1"/>
  <c r="D77" i="14" s="1"/>
  <c r="D69" i="14" a="1"/>
  <c r="D69" i="14" s="1"/>
  <c r="D61" i="14" a="1"/>
  <c r="D61" i="14" s="1"/>
  <c r="D53" i="14" a="1"/>
  <c r="D53" i="14" s="1"/>
  <c r="D45" i="14" a="1"/>
  <c r="D45" i="14" s="1"/>
  <c r="D37" i="14" a="1"/>
  <c r="D37" i="14" s="1"/>
  <c r="D29" i="14" a="1"/>
  <c r="D29" i="14" s="1"/>
  <c r="D21" i="14" a="1"/>
  <c r="D21" i="14" s="1"/>
  <c r="D13" i="14" a="1"/>
  <c r="D13" i="14" s="1"/>
  <c r="D5" i="14" a="1"/>
  <c r="D5" i="14" s="1"/>
  <c r="D78" i="14" a="1"/>
  <c r="D78" i="14" s="1"/>
  <c r="D30" i="14" a="1"/>
  <c r="D30" i="14" s="1"/>
  <c r="D92" i="14" a="1"/>
  <c r="D92" i="14" s="1"/>
  <c r="D84" i="14" a="1"/>
  <c r="D84" i="14" s="1"/>
  <c r="D76" i="14" a="1"/>
  <c r="D76" i="14" s="1"/>
  <c r="D68" i="14" a="1"/>
  <c r="D68" i="14" s="1"/>
  <c r="D60" i="14" a="1"/>
  <c r="D60" i="14" s="1"/>
  <c r="D52" i="14" a="1"/>
  <c r="D52" i="14" s="1"/>
  <c r="D44" i="14" a="1"/>
  <c r="D44" i="14" s="1"/>
  <c r="D36" i="14" a="1"/>
  <c r="D36" i="14" s="1"/>
  <c r="D28" i="14" a="1"/>
  <c r="D28" i="14" s="1"/>
  <c r="D20" i="14" a="1"/>
  <c r="D20" i="14" s="1"/>
  <c r="D12" i="14" a="1"/>
  <c r="D12" i="14" s="1"/>
  <c r="D4" i="14" a="1"/>
  <c r="D4" i="14" s="1"/>
  <c r="D38" i="14" a="1"/>
  <c r="D38" i="14" s="1"/>
  <c r="D2" i="14" a="1"/>
  <c r="D2" i="14" s="1"/>
  <c r="D91" i="14" a="1"/>
  <c r="D91" i="14" s="1"/>
  <c r="D83" i="14" a="1"/>
  <c r="D83" i="14" s="1"/>
  <c r="D75" i="14" a="1"/>
  <c r="D75" i="14" s="1"/>
  <c r="D67" i="14" a="1"/>
  <c r="D67" i="14" s="1"/>
  <c r="D59" i="14" a="1"/>
  <c r="D59" i="14" s="1"/>
  <c r="D51" i="14" a="1"/>
  <c r="D51" i="14" s="1"/>
  <c r="D43" i="14" a="1"/>
  <c r="D43" i="14" s="1"/>
  <c r="D35" i="14" a="1"/>
  <c r="D35" i="14" s="1"/>
  <c r="D27" i="14" a="1"/>
  <c r="D27" i="14" s="1"/>
  <c r="D19" i="14" a="1"/>
  <c r="D19" i="14" s="1"/>
  <c r="D11" i="14" a="1"/>
  <c r="D11" i="14" s="1"/>
  <c r="D3" i="14" a="1"/>
  <c r="D3" i="14" s="1"/>
  <c r="D86" i="14" a="1"/>
  <c r="D86" i="14" s="1"/>
  <c r="D70" i="14" a="1"/>
  <c r="D70" i="14" s="1"/>
  <c r="D62" i="14" a="1"/>
  <c r="D62" i="14" s="1"/>
  <c r="D54" i="14" a="1"/>
  <c r="D54" i="14" s="1"/>
  <c r="D46" i="14" a="1"/>
  <c r="D46" i="14" s="1"/>
  <c r="D22" i="14" a="1"/>
  <c r="D22" i="14" s="1"/>
  <c r="D85" i="14" a="1"/>
  <c r="D85" i="14" s="1"/>
  <c r="D90" i="14" a="1"/>
  <c r="D90" i="14" s="1"/>
  <c r="D82" i="14" a="1"/>
  <c r="D82" i="14" s="1"/>
  <c r="D74" i="14" a="1"/>
  <c r="D74" i="14" s="1"/>
  <c r="D66" i="14" a="1"/>
  <c r="D66" i="14" s="1"/>
  <c r="D58" i="14" a="1"/>
  <c r="D58" i="14" s="1"/>
  <c r="D50" i="14" a="1"/>
  <c r="D50" i="14" s="1"/>
  <c r="D42" i="14" a="1"/>
  <c r="D42" i="14" s="1"/>
  <c r="D34" i="14" a="1"/>
  <c r="D34" i="14" s="1"/>
  <c r="D26" i="14" a="1"/>
  <c r="D26" i="14" s="1"/>
  <c r="D18" i="14" a="1"/>
  <c r="D18" i="14" s="1"/>
  <c r="D10" i="14" a="1"/>
  <c r="D10" i="14" s="1"/>
  <c r="V172" i="14" l="1"/>
  <c r="V43" i="14"/>
  <c r="V728" i="14"/>
  <c r="V427" i="14"/>
  <c r="V384" i="14"/>
  <c r="V443" i="14"/>
  <c r="V365" i="14"/>
  <c r="V545" i="14"/>
  <c r="V329" i="14"/>
  <c r="V616" i="14"/>
  <c r="V550" i="14"/>
  <c r="V409" i="14"/>
  <c r="V407" i="14"/>
  <c r="V91" i="14"/>
  <c r="V823" i="14"/>
  <c r="V46" i="14"/>
  <c r="V174" i="14"/>
  <c r="V486" i="14"/>
  <c r="V493" i="14"/>
  <c r="V797" i="14"/>
  <c r="V701" i="14"/>
  <c r="V765" i="14"/>
  <c r="V287" i="14"/>
  <c r="V338" i="14"/>
  <c r="V687" i="14"/>
  <c r="V751" i="14"/>
  <c r="V118" i="14"/>
  <c r="V54" i="14"/>
  <c r="V53" i="14"/>
  <c r="V549" i="14"/>
  <c r="V228" i="14"/>
  <c r="V100" i="14"/>
  <c r="V456" i="14"/>
  <c r="V408" i="14"/>
  <c r="V624" i="14"/>
  <c r="V377" i="14"/>
  <c r="V301" i="14"/>
  <c r="V199" i="14"/>
  <c r="V207" i="14"/>
  <c r="V578" i="14"/>
  <c r="V759" i="14"/>
  <c r="V218" i="14"/>
  <c r="V254" i="14"/>
  <c r="V387" i="14"/>
  <c r="V619" i="14"/>
  <c r="V574" i="14"/>
  <c r="V591" i="14"/>
  <c r="V655" i="14"/>
  <c r="V241" i="14"/>
  <c r="V278" i="14"/>
  <c r="V214" i="14"/>
  <c r="V150" i="14"/>
  <c r="V86" i="14"/>
  <c r="V85" i="14"/>
  <c r="V21" i="14"/>
  <c r="V103" i="14"/>
  <c r="V260" i="14"/>
  <c r="V68" i="14"/>
  <c r="V4" i="14"/>
  <c r="V394" i="14"/>
  <c r="V327" i="14"/>
  <c r="V107" i="14"/>
  <c r="V170" i="14"/>
  <c r="V153" i="14"/>
  <c r="V265" i="14"/>
  <c r="V695" i="14"/>
  <c r="V97" i="14"/>
  <c r="V788" i="14"/>
  <c r="V126" i="14"/>
  <c r="V344" i="14"/>
  <c r="V584" i="14"/>
  <c r="V288" i="14"/>
  <c r="V379" i="14"/>
  <c r="V452" i="14"/>
  <c r="V88" i="14"/>
  <c r="V314" i="14"/>
  <c r="V607" i="14"/>
  <c r="V671" i="14"/>
  <c r="V735" i="14"/>
  <c r="V799" i="14"/>
  <c r="V677" i="14"/>
  <c r="V154" i="14"/>
  <c r="V266" i="14"/>
  <c r="V785" i="14"/>
  <c r="V822" i="14"/>
  <c r="V319" i="14"/>
  <c r="V223" i="14"/>
  <c r="V78" i="14"/>
  <c r="V326" i="14"/>
  <c r="V596" i="14"/>
  <c r="V284" i="14"/>
  <c r="V133" i="14"/>
  <c r="V69" i="14"/>
  <c r="V5" i="14"/>
  <c r="V783" i="14"/>
  <c r="V576" i="14"/>
  <c r="V372" i="14"/>
  <c r="V116" i="14"/>
  <c r="V52" i="14"/>
  <c r="V743" i="14"/>
  <c r="V679" i="14"/>
  <c r="V371" i="14"/>
  <c r="V224" i="14"/>
  <c r="V425" i="14"/>
  <c r="V267" i="14"/>
  <c r="V557" i="14"/>
  <c r="V383" i="14"/>
  <c r="V307" i="14"/>
  <c r="V529" i="14"/>
  <c r="V479" i="14"/>
  <c r="V94" i="14"/>
  <c r="V219" i="14"/>
  <c r="V144" i="14"/>
  <c r="V159" i="14"/>
  <c r="V366" i="14"/>
  <c r="V290" i="14"/>
  <c r="V455" i="14"/>
  <c r="V222" i="14"/>
  <c r="V158" i="14"/>
  <c r="V411" i="14"/>
  <c r="V64" i="14"/>
  <c r="V192" i="14"/>
  <c r="V296" i="14"/>
  <c r="V22" i="14"/>
  <c r="V129" i="14"/>
  <c r="V423" i="14"/>
  <c r="V233" i="14"/>
  <c r="V34" i="14"/>
  <c r="V273" i="14"/>
  <c r="V368" i="14"/>
  <c r="V515" i="14"/>
  <c r="V512" i="14"/>
  <c r="V639" i="14"/>
  <c r="V767" i="14"/>
  <c r="V831" i="14"/>
  <c r="V90" i="14"/>
  <c r="V216" i="14"/>
  <c r="V600" i="14"/>
  <c r="V511" i="14"/>
  <c r="V165" i="14"/>
  <c r="V212" i="14"/>
  <c r="V648" i="14"/>
  <c r="V300" i="14"/>
  <c r="V445" i="14"/>
  <c r="V381" i="14"/>
  <c r="V299" i="14"/>
  <c r="V127" i="14"/>
  <c r="V171" i="14"/>
  <c r="V573" i="14"/>
  <c r="V65" i="14"/>
  <c r="V386" i="14"/>
  <c r="V102" i="14"/>
  <c r="V272" i="14"/>
  <c r="V434" i="14"/>
  <c r="V56" i="14"/>
  <c r="V428" i="14"/>
  <c r="V561" i="14"/>
  <c r="V313" i="14"/>
  <c r="V196" i="14"/>
  <c r="V459" i="14"/>
  <c r="V553" i="14"/>
  <c r="V32" i="14"/>
  <c r="V404" i="14"/>
  <c r="V346" i="14"/>
  <c r="V330" i="14"/>
  <c r="V166" i="14"/>
  <c r="V181" i="14"/>
  <c r="V359" i="14"/>
  <c r="V473" i="14"/>
  <c r="V122" i="14"/>
  <c r="V352" i="14"/>
  <c r="V245" i="14"/>
  <c r="V801" i="14"/>
  <c r="V227" i="14"/>
  <c r="V601" i="14"/>
  <c r="V490" i="14"/>
  <c r="V431" i="14"/>
  <c r="V99" i="14"/>
  <c r="V98" i="14"/>
  <c r="V436" i="14"/>
  <c r="V323" i="14"/>
  <c r="V544" i="14"/>
  <c r="V726" i="14"/>
  <c r="V664" i="14"/>
  <c r="V138" i="14"/>
  <c r="V555" i="14"/>
  <c r="V481" i="14"/>
  <c r="V789" i="14"/>
  <c r="V141" i="14"/>
  <c r="V77" i="14"/>
  <c r="V724" i="14"/>
  <c r="V662" i="14"/>
  <c r="V316" i="14"/>
  <c r="V188" i="14"/>
  <c r="V124" i="14"/>
  <c r="V190" i="14"/>
  <c r="V62" i="14"/>
  <c r="V534" i="14"/>
  <c r="V236" i="14"/>
  <c r="V315" i="14"/>
  <c r="V402" i="14"/>
  <c r="V48" i="14"/>
  <c r="V414" i="14"/>
  <c r="E2" i="14" a="1"/>
  <c r="E2" i="14" s="1"/>
  <c r="B8" i="13" s="1" a="1"/>
  <c r="B8" i="13" s="1"/>
  <c r="V526" i="14"/>
  <c r="V559" i="14"/>
  <c r="V26" i="14"/>
  <c r="V725" i="14"/>
  <c r="V489" i="14"/>
  <c r="V244" i="14"/>
  <c r="V608" i="14"/>
  <c r="V441" i="14"/>
  <c r="V508" i="14"/>
  <c r="V375" i="14"/>
  <c r="V309" i="14"/>
  <c r="V47" i="14"/>
  <c r="V57" i="14"/>
  <c r="V382" i="14"/>
  <c r="V528" i="14"/>
  <c r="V392" i="14"/>
  <c r="V537" i="14"/>
  <c r="V734" i="14"/>
  <c r="V606" i="14"/>
  <c r="V442" i="14"/>
  <c r="V642" i="14"/>
  <c r="V811" i="14"/>
  <c r="B31" i="13" a="1"/>
  <c r="B31" i="13" s="1"/>
  <c r="Q6" i="16" a="1"/>
  <c r="Q6" i="16" s="1"/>
  <c r="V790" i="14"/>
  <c r="V598" i="14"/>
  <c r="V8" i="14"/>
  <c r="V350" i="14"/>
  <c r="V741" i="14"/>
  <c r="V673" i="14"/>
  <c r="V737" i="14"/>
  <c r="V302" i="14"/>
  <c r="V232" i="14"/>
  <c r="V293" i="14"/>
  <c r="V688" i="14"/>
  <c r="V485" i="14"/>
  <c r="V40" i="14"/>
  <c r="V168" i="14"/>
  <c r="V583" i="14"/>
  <c r="F8" i="13" a="1"/>
  <c r="F8" i="13" s="1"/>
  <c r="V419" i="14"/>
  <c r="V753" i="14"/>
  <c r="V825" i="14"/>
  <c r="V745" i="14"/>
  <c r="V681" i="14"/>
  <c r="V800" i="14"/>
  <c r="V575" i="14"/>
  <c r="V339" i="14"/>
  <c r="V9" i="14"/>
  <c r="V617" i="14"/>
  <c r="V683" i="14"/>
  <c r="V114" i="14"/>
  <c r="V234" i="14"/>
  <c r="V621" i="14"/>
  <c r="V685" i="14"/>
  <c r="V813" i="14"/>
  <c r="V543" i="14"/>
  <c r="V183" i="14"/>
  <c r="V195" i="14"/>
  <c r="V453" i="14"/>
  <c r="V437" i="14"/>
  <c r="V727" i="14"/>
  <c r="V136" i="14"/>
  <c r="V250" i="14"/>
  <c r="V426" i="14"/>
  <c r="V567" i="14"/>
  <c r="V631" i="14"/>
  <c r="V74" i="14"/>
  <c r="V202" i="14"/>
  <c r="V474" i="14"/>
  <c r="V609" i="14"/>
  <c r="V614" i="14"/>
  <c r="V517" i="14"/>
  <c r="V577" i="14"/>
  <c r="V353" i="14"/>
  <c r="V237" i="14"/>
  <c r="V173" i="14"/>
  <c r="V109" i="14"/>
  <c r="V45" i="14"/>
  <c r="V622" i="14"/>
  <c r="V533" i="14"/>
  <c r="V259" i="14"/>
  <c r="V348" i="14"/>
  <c r="V220" i="14"/>
  <c r="V92" i="14"/>
  <c r="V782" i="14"/>
  <c r="V718" i="14"/>
  <c r="V497" i="14"/>
  <c r="V417" i="14"/>
  <c r="V311" i="14"/>
  <c r="V191" i="14"/>
  <c r="V397" i="14"/>
  <c r="V318" i="14"/>
  <c r="V161" i="14"/>
  <c r="V416" i="14"/>
  <c r="V351" i="14"/>
  <c r="V163" i="14"/>
  <c r="V95" i="14"/>
  <c r="V289" i="14"/>
  <c r="V134" i="14"/>
  <c r="V119" i="14"/>
  <c r="V342" i="14"/>
  <c r="V39" i="14"/>
  <c r="V422" i="14"/>
  <c r="V815" i="14"/>
  <c r="V105" i="14"/>
  <c r="V482" i="14"/>
  <c r="V808" i="14"/>
  <c r="V67" i="14"/>
  <c r="V367" i="14"/>
  <c r="V613" i="14"/>
  <c r="V720" i="14"/>
  <c r="V363" i="14"/>
  <c r="V509" i="14"/>
  <c r="V112" i="14"/>
  <c r="V592" i="14"/>
  <c r="V49" i="14"/>
  <c r="V177" i="14"/>
  <c r="V525" i="14"/>
  <c r="V646" i="14"/>
  <c r="V82" i="14"/>
  <c r="V209" i="14"/>
  <c r="V312" i="14"/>
  <c r="V396" i="14"/>
  <c r="V605" i="14"/>
  <c r="V669" i="14"/>
  <c r="V733" i="14"/>
  <c r="V558" i="14"/>
  <c r="V454" i="14"/>
  <c r="V152" i="14"/>
  <c r="V264" i="14"/>
  <c r="V435" i="14"/>
  <c r="V410" i="14"/>
  <c r="V817" i="14"/>
  <c r="V405" i="14"/>
  <c r="V268" i="14"/>
  <c r="V131" i="14"/>
  <c r="V230" i="14"/>
  <c r="V38" i="14"/>
  <c r="V757" i="14"/>
  <c r="V693" i="14"/>
  <c r="V37" i="14"/>
  <c r="V527" i="14"/>
  <c r="V360" i="14"/>
  <c r="V340" i="14"/>
  <c r="V148" i="14"/>
  <c r="V84" i="14"/>
  <c r="V20" i="14"/>
  <c r="V775" i="14"/>
  <c r="V711" i="14"/>
  <c r="V581" i="14"/>
  <c r="V488" i="14"/>
  <c r="V179" i="14"/>
  <c r="V535" i="14"/>
  <c r="V501" i="14"/>
  <c r="V235" i="14"/>
  <c r="V123" i="14"/>
  <c r="V11" i="14"/>
  <c r="V23" i="14"/>
  <c r="V286" i="14"/>
  <c r="V438" i="14"/>
  <c r="V121" i="14"/>
  <c r="V418" i="14"/>
  <c r="V491" i="14"/>
  <c r="V816" i="14"/>
  <c r="V19" i="14"/>
  <c r="V477" i="14"/>
  <c r="V281" i="14"/>
  <c r="V275" i="14"/>
  <c r="V670" i="14"/>
  <c r="V128" i="14"/>
  <c r="V632" i="14"/>
  <c r="V297" i="14"/>
  <c r="V358" i="14"/>
  <c r="V798" i="14"/>
  <c r="V805" i="14"/>
  <c r="V249" i="14"/>
  <c r="V766" i="14"/>
  <c r="V647" i="14"/>
  <c r="V106" i="14"/>
  <c r="V625" i="14"/>
  <c r="V689" i="14"/>
  <c r="V654" i="14"/>
  <c r="V569" i="14"/>
  <c r="V285" i="14"/>
  <c r="V520" i="14"/>
  <c r="V76" i="14"/>
  <c r="V12" i="14"/>
  <c r="V291" i="14"/>
  <c r="V374" i="14"/>
  <c r="V211" i="14"/>
  <c r="V139" i="14"/>
  <c r="V469" i="14"/>
  <c r="V399" i="14"/>
  <c r="V263" i="14"/>
  <c r="V331" i="14"/>
  <c r="V277" i="14"/>
  <c r="V6" i="14"/>
  <c r="V500" i="14"/>
  <c r="V758" i="14"/>
  <c r="V257" i="14"/>
  <c r="V140" i="14"/>
  <c r="V645" i="14"/>
  <c r="V760" i="14"/>
  <c r="V81" i="14"/>
  <c r="V395" i="14"/>
  <c r="V568" i="14"/>
  <c r="V697" i="14"/>
  <c r="V749" i="14"/>
  <c r="V325" i="14"/>
  <c r="V638" i="14"/>
  <c r="V719" i="14"/>
  <c r="V111" i="14"/>
  <c r="V341" i="14"/>
  <c r="V389" i="14"/>
  <c r="V135" i="14"/>
  <c r="V345" i="14"/>
  <c r="V262" i="14"/>
  <c r="V151" i="14"/>
  <c r="V472" i="14"/>
  <c r="V25" i="14"/>
  <c r="V510" i="14"/>
  <c r="V306" i="14"/>
  <c r="V51" i="14"/>
  <c r="V322" i="14"/>
  <c r="V709" i="14"/>
  <c r="V130" i="14"/>
  <c r="Z2" i="14"/>
  <c r="V516" i="14"/>
  <c r="V72" i="14"/>
  <c r="V200" i="14"/>
  <c r="V599" i="14"/>
  <c r="V663" i="14"/>
  <c r="V10" i="14"/>
  <c r="V641" i="14"/>
  <c r="V705" i="14"/>
  <c r="V640" i="14"/>
  <c r="V270" i="14"/>
  <c r="V206" i="14"/>
  <c r="V142" i="14"/>
  <c r="V303" i="14"/>
  <c r="V269" i="14"/>
  <c r="V205" i="14"/>
  <c r="V13" i="14"/>
  <c r="V582" i="14"/>
  <c r="V332" i="14"/>
  <c r="V252" i="14"/>
  <c r="V60" i="14"/>
  <c r="V750" i="14"/>
  <c r="V686" i="14"/>
  <c r="V380" i="14"/>
  <c r="V248" i="14"/>
  <c r="V361" i="14"/>
  <c r="V274" i="14"/>
  <c r="V447" i="14"/>
  <c r="V213" i="14"/>
  <c r="V415" i="14"/>
  <c r="V255" i="14"/>
  <c r="V101" i="14"/>
  <c r="V149" i="14"/>
  <c r="V30" i="14"/>
  <c r="V3" i="14"/>
  <c r="V41" i="14"/>
  <c r="V446" i="14"/>
  <c r="V519" i="14"/>
  <c r="V373" i="14"/>
  <c r="V217" i="14"/>
  <c r="V320" i="14"/>
  <c r="V117" i="14"/>
  <c r="V565" i="14"/>
  <c r="V176" i="14"/>
  <c r="V282" i="14"/>
  <c r="V187" i="14"/>
  <c r="V113" i="14"/>
  <c r="V413" i="14"/>
  <c r="V18" i="14"/>
  <c r="V146" i="14"/>
  <c r="V506" i="14"/>
  <c r="V637" i="14"/>
  <c r="V649" i="14"/>
  <c r="V115" i="14"/>
  <c r="T2" i="14"/>
  <c r="U2" i="14"/>
  <c r="V197" i="14"/>
  <c r="V784" i="14"/>
  <c r="V162" i="14"/>
  <c r="V401" i="14"/>
  <c r="V597" i="14"/>
  <c r="V752" i="14"/>
  <c r="V388" i="14"/>
  <c r="V702" i="14"/>
  <c r="V814" i="14"/>
  <c r="V104" i="14"/>
  <c r="V225" i="14"/>
  <c r="V328" i="14"/>
  <c r="V615" i="14"/>
  <c r="V807" i="14"/>
  <c r="V280" i="14"/>
  <c r="V593" i="14"/>
  <c r="V657" i="14"/>
  <c r="V721" i="14"/>
  <c r="V793" i="14"/>
  <c r="V742" i="14"/>
  <c r="V678" i="14"/>
  <c r="V310" i="14"/>
  <c r="V70" i="14"/>
  <c r="V830" i="14"/>
  <c r="V777" i="14"/>
  <c r="V713" i="14"/>
  <c r="V656" i="14"/>
  <c r="V590" i="14"/>
  <c r="V83" i="14"/>
  <c r="V189" i="14"/>
  <c r="V125" i="14"/>
  <c r="V61" i="14"/>
  <c r="V829" i="14"/>
  <c r="V776" i="14"/>
  <c r="V712" i="14"/>
  <c r="V390" i="14"/>
  <c r="V180" i="14"/>
  <c r="V364" i="14"/>
  <c r="V44" i="14"/>
  <c r="V433" i="14"/>
  <c r="V215" i="14"/>
  <c r="V71" i="14"/>
  <c r="V461" i="14"/>
  <c r="V349" i="14"/>
  <c r="V175" i="14"/>
  <c r="V630" i="14"/>
  <c r="V502" i="14"/>
  <c r="V35" i="14"/>
  <c r="V463" i="14"/>
  <c r="V393" i="14"/>
  <c r="V147" i="14"/>
  <c r="V87" i="14"/>
  <c r="V15" i="14"/>
  <c r="V204" i="14"/>
  <c r="V369" i="14"/>
  <c r="V251" i="14"/>
  <c r="V203" i="14"/>
  <c r="V143" i="14"/>
  <c r="V79" i="14"/>
  <c r="V31" i="14"/>
  <c r="V221" i="14"/>
  <c r="V665" i="14"/>
  <c r="V73" i="14"/>
  <c r="V201" i="14"/>
  <c r="V304" i="14"/>
  <c r="V391" i="14"/>
  <c r="V464" i="14"/>
  <c r="V308" i="14"/>
  <c r="V769" i="14"/>
  <c r="V184" i="14"/>
  <c r="V694" i="14"/>
  <c r="V242" i="14"/>
  <c r="V343" i="14"/>
  <c r="V420" i="14"/>
  <c r="V208" i="14"/>
  <c r="V462" i="14"/>
  <c r="V80" i="14"/>
  <c r="V55" i="14"/>
  <c r="V696" i="14"/>
  <c r="V17" i="14"/>
  <c r="V145" i="14"/>
  <c r="V258" i="14"/>
  <c r="V355" i="14"/>
  <c r="V432" i="14"/>
  <c r="V279" i="14"/>
  <c r="V465" i="14"/>
  <c r="V761" i="14"/>
  <c r="V50" i="14"/>
  <c r="V178" i="14"/>
  <c r="V378" i="14"/>
  <c r="V451" i="14"/>
  <c r="V524" i="14"/>
  <c r="V589" i="14"/>
  <c r="V653" i="14"/>
  <c r="V717" i="14"/>
  <c r="V781" i="14"/>
  <c r="V210" i="14"/>
  <c r="V398" i="14"/>
  <c r="V471" i="14"/>
  <c r="V542" i="14"/>
  <c r="V585" i="14"/>
  <c r="V623" i="14"/>
  <c r="V186" i="14"/>
  <c r="V305" i="14"/>
  <c r="V182" i="14"/>
  <c r="V362" i="14"/>
  <c r="V239" i="14"/>
  <c r="V63" i="14"/>
  <c r="V824" i="14"/>
  <c r="V356" i="14"/>
  <c r="V292" i="14"/>
  <c r="V164" i="14"/>
  <c r="V36" i="14"/>
  <c r="V424" i="14"/>
  <c r="V324" i="14"/>
  <c r="V247" i="14"/>
  <c r="V167" i="14"/>
  <c r="V421" i="14"/>
  <c r="V295" i="14"/>
  <c r="V14" i="14"/>
  <c r="V518" i="14"/>
  <c r="V75" i="14"/>
  <c r="V59" i="14"/>
  <c r="V357" i="14"/>
  <c r="V198" i="14"/>
  <c r="V7" i="14"/>
  <c r="V89" i="14"/>
  <c r="V400" i="14"/>
  <c r="V256" i="14"/>
  <c r="V430" i="14"/>
  <c r="V231" i="14"/>
  <c r="V96" i="14"/>
  <c r="V321" i="14"/>
  <c r="V403" i="14"/>
  <c r="V566" i="14"/>
  <c r="V33" i="14"/>
  <c r="V633" i="14"/>
  <c r="V773" i="14"/>
  <c r="V66" i="14"/>
  <c r="V194" i="14"/>
  <c r="V460" i="14"/>
  <c r="B19" i="13" l="1" a="1"/>
  <c r="B19" i="13" s="1"/>
  <c r="V2" i="14"/>
  <c r="W2" i="14" l="1" a="1"/>
  <c r="W2" i="14" l="1"/>
  <c r="X24" i="14" a="1"/>
  <c r="X24" i="14" s="1"/>
  <c r="X14" i="14" a="1"/>
  <c r="X14" i="14" s="1"/>
  <c r="X10" i="14" a="1"/>
  <c r="X10" i="14" s="1"/>
  <c r="X22" i="14" a="1"/>
  <c r="X22" i="14" s="1"/>
  <c r="X6" i="14" a="1"/>
  <c r="X6" i="14" s="1"/>
  <c r="X5" i="14" a="1"/>
  <c r="X5" i="14" s="1"/>
  <c r="X15" i="14" a="1"/>
  <c r="X15" i="14" s="1"/>
  <c r="X23" i="14" a="1"/>
  <c r="X23" i="14" s="1"/>
  <c r="X3" i="14" a="1"/>
  <c r="X3" i="14" s="1"/>
  <c r="X11" i="14" a="1"/>
  <c r="X11" i="14" s="1"/>
  <c r="X17" i="14" a="1"/>
  <c r="X17" i="14" s="1"/>
  <c r="X21" i="14" a="1"/>
  <c r="X21" i="14" s="1"/>
  <c r="X7" i="14" a="1"/>
  <c r="X7" i="14" s="1"/>
  <c r="X12" i="14" a="1"/>
  <c r="X12" i="14" s="1"/>
  <c r="X19" i="14" a="1"/>
  <c r="X19" i="14" s="1"/>
  <c r="X8" i="14" a="1"/>
  <c r="X8" i="14" s="1"/>
  <c r="X18" i="14" a="1"/>
  <c r="X18" i="14" s="1"/>
  <c r="X13" i="14" a="1"/>
  <c r="X13" i="14" s="1"/>
  <c r="X9" i="14" a="1"/>
  <c r="X9" i="14" s="1"/>
  <c r="X16" i="14" a="1"/>
  <c r="X16" i="14" s="1"/>
  <c r="X4" i="14" a="1"/>
  <c r="X4" i="14" s="1"/>
  <c r="X20" i="14" a="1"/>
  <c r="X20" i="14" s="1"/>
  <c r="AA23" i="14" a="1"/>
  <c r="AA23" i="14" s="1"/>
  <c r="AA9" i="14" a="1"/>
  <c r="AA9" i="14" s="1"/>
  <c r="AA15" i="14" a="1"/>
  <c r="AA15" i="14" s="1"/>
  <c r="AA8" i="14" a="1"/>
  <c r="AA8" i="14" s="1"/>
  <c r="AA5" i="14" a="1"/>
  <c r="AA5" i="14" s="1"/>
  <c r="AA3" i="14" a="1"/>
  <c r="AA3" i="14" s="1"/>
  <c r="AA17" i="14" a="1"/>
  <c r="AA17" i="14" s="1"/>
  <c r="AA24" i="14" a="1"/>
  <c r="AA24" i="14" s="1"/>
  <c r="AA11" i="14" a="1"/>
  <c r="AA11" i="14" s="1"/>
  <c r="AA13" i="14" a="1"/>
  <c r="AA13" i="14" s="1"/>
  <c r="AA16" i="14" a="1"/>
  <c r="AA16" i="14" s="1"/>
  <c r="AA20" i="14" a="1"/>
  <c r="AA20" i="14" s="1"/>
  <c r="AA18" i="14" a="1"/>
  <c r="AA18" i="14" s="1"/>
  <c r="AA19" i="14" a="1"/>
  <c r="AA19" i="14" s="1"/>
  <c r="AA12" i="14" a="1"/>
  <c r="AA12" i="14" s="1"/>
  <c r="AA10" i="14" a="1"/>
  <c r="AA10" i="14" s="1"/>
  <c r="AA14" i="14" a="1"/>
  <c r="AA14" i="14" s="1"/>
  <c r="AA21" i="14" a="1"/>
  <c r="AA21" i="14" s="1"/>
  <c r="AA22" i="14" a="1"/>
  <c r="AA22" i="14" s="1"/>
  <c r="AA6" i="14" a="1"/>
  <c r="AA6" i="14" s="1"/>
  <c r="AA4" i="14" a="1"/>
  <c r="AA4" i="14" s="1"/>
  <c r="AA7" i="14" a="1"/>
  <c r="AA7" i="14" s="1"/>
  <c r="X2" i="14" l="1" a="1"/>
  <c r="X2" i="14" s="1"/>
  <c r="F19" i="13" s="1" a="1"/>
  <c r="F19" i="13" s="1"/>
  <c r="AA2" i="14" a="1"/>
  <c r="AA2" i="14" s="1"/>
  <c r="H19" i="13" s="1" a="1"/>
  <c r="H19" i="13"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<sst xmlns="http://schemas.openxmlformats.org/spreadsheetml/2006/main" count="7716" uniqueCount="1532">
  <si>
    <t>orderID</t>
  </si>
  <si>
    <t>customerID</t>
  </si>
  <si>
    <t>employeeID</t>
  </si>
  <si>
    <t>orderDate</t>
  </si>
  <si>
    <t>requiredDate</t>
  </si>
  <si>
    <t>shippedDate</t>
  </si>
  <si>
    <t>shipVia</t>
  </si>
  <si>
    <t xml:space="preserve"> freight </t>
  </si>
  <si>
    <t>shipName</t>
  </si>
  <si>
    <t>shipAddress</t>
  </si>
  <si>
    <t>shipCity</t>
  </si>
  <si>
    <t>shipRegion</t>
  </si>
  <si>
    <t>shipPostalCode</t>
  </si>
  <si>
    <t>shipCountry</t>
  </si>
  <si>
    <t>VINET</t>
  </si>
  <si>
    <t>Vins et alcools Chevalier</t>
  </si>
  <si>
    <t>59 rue de l'Abbaye</t>
  </si>
  <si>
    <t>Reims</t>
  </si>
  <si>
    <t>NULL</t>
  </si>
  <si>
    <t>France</t>
  </si>
  <si>
    <t>TOMSP</t>
  </si>
  <si>
    <t>Toms Spezialitäten</t>
  </si>
  <si>
    <t>Luisenstr. 48</t>
  </si>
  <si>
    <t>Münster</t>
  </si>
  <si>
    <t>Germany</t>
  </si>
  <si>
    <t>HANAR</t>
  </si>
  <si>
    <t>Hanari Carnes</t>
  </si>
  <si>
    <t>Rua do Paço 67</t>
  </si>
  <si>
    <t>Rio de Janeiro</t>
  </si>
  <si>
    <t>RJ</t>
  </si>
  <si>
    <t>05454-876</t>
  </si>
  <si>
    <t>Brazil</t>
  </si>
  <si>
    <t>VICTE</t>
  </si>
  <si>
    <t>Victuailles en stock</t>
  </si>
  <si>
    <t>2  rue du Commerce</t>
  </si>
  <si>
    <t>Lyon</t>
  </si>
  <si>
    <t>SUPRD</t>
  </si>
  <si>
    <t>Suprêmes délices</t>
  </si>
  <si>
    <t>Boulevard Tirou 255</t>
  </si>
  <si>
    <t>Charleroi</t>
  </si>
  <si>
    <t>B-6000</t>
  </si>
  <si>
    <t>Belgium</t>
  </si>
  <si>
    <t>CHOPS</t>
  </si>
  <si>
    <t>Chop-suey Chinese</t>
  </si>
  <si>
    <t>Hauptstr. 31</t>
  </si>
  <si>
    <t>Bern</t>
  </si>
  <si>
    <t>Switzerland</t>
  </si>
  <si>
    <t>RICSU</t>
  </si>
  <si>
    <t>Richter Supermarkt</t>
  </si>
  <si>
    <t>Starenweg 5</t>
  </si>
  <si>
    <t>Genève</t>
  </si>
  <si>
    <t>WELLI</t>
  </si>
  <si>
    <t>Wellington Importadora</t>
  </si>
  <si>
    <t>Rua do Mercado 12</t>
  </si>
  <si>
    <t>Resende</t>
  </si>
  <si>
    <t>SP</t>
  </si>
  <si>
    <t>08737-363</t>
  </si>
  <si>
    <t>HILAA</t>
  </si>
  <si>
    <t>HILARION-Abastos</t>
  </si>
  <si>
    <t>Carrera 22 con Ave. Carlos Soublette #8-35</t>
  </si>
  <si>
    <t>San Cristóbal</t>
  </si>
  <si>
    <t>Táchira</t>
  </si>
  <si>
    <t>Venezuela</t>
  </si>
  <si>
    <t>ERNSH</t>
  </si>
  <si>
    <t>Ernst Handel</t>
  </si>
  <si>
    <t>Kirchgasse 6</t>
  </si>
  <si>
    <t>Graz</t>
  </si>
  <si>
    <t>Austria</t>
  </si>
  <si>
    <t>CENTC</t>
  </si>
  <si>
    <t>Centro comercial Moctezuma</t>
  </si>
  <si>
    <t>Sierras de Granada 9993</t>
  </si>
  <si>
    <t>México D.F.</t>
  </si>
  <si>
    <t>Mexico</t>
  </si>
  <si>
    <t>OTTIK</t>
  </si>
  <si>
    <t>Ottilies Käseladen</t>
  </si>
  <si>
    <t>Mehrheimerstr. 369</t>
  </si>
  <si>
    <t>Köln</t>
  </si>
  <si>
    <t>QUEDE</t>
  </si>
  <si>
    <t>Que Delícia</t>
  </si>
  <si>
    <t>Rua da Panificadora 12</t>
  </si>
  <si>
    <t>02389-673</t>
  </si>
  <si>
    <t>RATTC</t>
  </si>
  <si>
    <t>Rattlesnake Canyon Grocery</t>
  </si>
  <si>
    <t>2817 Milton Dr.</t>
  </si>
  <si>
    <t>Albuquerque</t>
  </si>
  <si>
    <t>NM</t>
  </si>
  <si>
    <t>USA</t>
  </si>
  <si>
    <t>FOLKO</t>
  </si>
  <si>
    <t>Folk och fä HB</t>
  </si>
  <si>
    <t>Åkergatan 24</t>
  </si>
  <si>
    <t>Bräcke</t>
  </si>
  <si>
    <t>S-844 67</t>
  </si>
  <si>
    <t>Sweden</t>
  </si>
  <si>
    <t>BLONP</t>
  </si>
  <si>
    <t>Blondel père et fils</t>
  </si>
  <si>
    <t>24  place Kléber</t>
  </si>
  <si>
    <t>Strasbourg</t>
  </si>
  <si>
    <t>WARTH</t>
  </si>
  <si>
    <t>Wartian Herkku</t>
  </si>
  <si>
    <t>Torikatu 38</t>
  </si>
  <si>
    <t>Oulu</t>
  </si>
  <si>
    <t>Finland</t>
  </si>
  <si>
    <t>FRANK</t>
  </si>
  <si>
    <t>Frankenversand</t>
  </si>
  <si>
    <t>Berliner Platz 43</t>
  </si>
  <si>
    <t>München</t>
  </si>
  <si>
    <t>GROSR</t>
  </si>
  <si>
    <t>GROSELLA-Restaurante</t>
  </si>
  <si>
    <t>5ª Ave. Los Palos Grandes</t>
  </si>
  <si>
    <t>Caracas</t>
  </si>
  <si>
    <t>DF</t>
  </si>
  <si>
    <t>WHITC</t>
  </si>
  <si>
    <t>White Clover Markets</t>
  </si>
  <si>
    <t>1029 - 12th Ave. S.</t>
  </si>
  <si>
    <t>Seattle</t>
  </si>
  <si>
    <t>WA</t>
  </si>
  <si>
    <t>SPLIR</t>
  </si>
  <si>
    <t>Split Rail Beer &amp; Ale</t>
  </si>
  <si>
    <t>P.O. Box 555</t>
  </si>
  <si>
    <t>Lander</t>
  </si>
  <si>
    <t>WY</t>
  </si>
  <si>
    <t>QUICK</t>
  </si>
  <si>
    <t>QUICK-Stop</t>
  </si>
  <si>
    <t>Taucherstraße 10</t>
  </si>
  <si>
    <t>Cunewalde</t>
  </si>
  <si>
    <t>MAGAA</t>
  </si>
  <si>
    <t>Magazzini Alimentari Riuniti</t>
  </si>
  <si>
    <t>Via Ludovico il Moro 22</t>
  </si>
  <si>
    <t>Bergamo</t>
  </si>
  <si>
    <t>Italy</t>
  </si>
  <si>
    <t>TORTU</t>
  </si>
  <si>
    <t>Tortuga Restaurante</t>
  </si>
  <si>
    <t>Avda. Azteca 123</t>
  </si>
  <si>
    <t>MORGK</t>
  </si>
  <si>
    <t>Morgenstern Gesundkost</t>
  </si>
  <si>
    <t>Heerstr. 22</t>
  </si>
  <si>
    <t>Leipzig</t>
  </si>
  <si>
    <t>BERGS</t>
  </si>
  <si>
    <t>Berglunds snabbköp</t>
  </si>
  <si>
    <t>Berguvsvägen  8</t>
  </si>
  <si>
    <t>Luleå</t>
  </si>
  <si>
    <t>S-958 22</t>
  </si>
  <si>
    <t>LEHMS</t>
  </si>
  <si>
    <t>Lehmanns Marktstand</t>
  </si>
  <si>
    <t>Magazinweg 7</t>
  </si>
  <si>
    <t>Frankfurt a.M.</t>
  </si>
  <si>
    <t>ROMEY</t>
  </si>
  <si>
    <t>Romero y tomillo</t>
  </si>
  <si>
    <t>Gran Vía 1</t>
  </si>
  <si>
    <t>Madrid</t>
  </si>
  <si>
    <t>Spain</t>
  </si>
  <si>
    <t>LILAS</t>
  </si>
  <si>
    <t>LILA-Supermercado</t>
  </si>
  <si>
    <t>Carrera 52 con Ave. Bolívar #65-98 Llano Largo</t>
  </si>
  <si>
    <t>Barquisimeto</t>
  </si>
  <si>
    <t>Lara</t>
  </si>
  <si>
    <t>RICAR</t>
  </si>
  <si>
    <t>Ricardo Adocicados</t>
  </si>
  <si>
    <t>Av. Copacabana 267</t>
  </si>
  <si>
    <t>02389-890</t>
  </si>
  <si>
    <t>REGGC</t>
  </si>
  <si>
    <t>Reggiani Caseifici</t>
  </si>
  <si>
    <t>Strada Provinciale 124</t>
  </si>
  <si>
    <t>Reggio Emilia</t>
  </si>
  <si>
    <t>BSBEV</t>
  </si>
  <si>
    <t>B's Beverages</t>
  </si>
  <si>
    <t>Fauntleroy Circus</t>
  </si>
  <si>
    <t>London</t>
  </si>
  <si>
    <t>EC2 5NT</t>
  </si>
  <si>
    <t>UK</t>
  </si>
  <si>
    <t>COMMI</t>
  </si>
  <si>
    <t>Comércio Mineiro</t>
  </si>
  <si>
    <t>Av. dos Lusíadas 23</t>
  </si>
  <si>
    <t>Sao Paulo</t>
  </si>
  <si>
    <t>05432-043</t>
  </si>
  <si>
    <t>TRADH</t>
  </si>
  <si>
    <t>Tradiçao Hipermercados</t>
  </si>
  <si>
    <t>Av. Inês de Castro 414</t>
  </si>
  <si>
    <t>05634-030</t>
  </si>
  <si>
    <t>HUNGO</t>
  </si>
  <si>
    <t>Hungry Owl All-Night Grocers</t>
  </si>
  <si>
    <t>8 Johnstown Road</t>
  </si>
  <si>
    <t>Cork</t>
  </si>
  <si>
    <t>Co. Cork</t>
  </si>
  <si>
    <t>Ireland</t>
  </si>
  <si>
    <t>WANDK</t>
  </si>
  <si>
    <t>Die Wandernde Kuh</t>
  </si>
  <si>
    <t>Adenauerallee 900</t>
  </si>
  <si>
    <t>Stuttgart</t>
  </si>
  <si>
    <t>GODOS</t>
  </si>
  <si>
    <t>Godos Cocina Típica</t>
  </si>
  <si>
    <t>C/ Romero 33</t>
  </si>
  <si>
    <t>Sevilla</t>
  </si>
  <si>
    <t>OLDWO</t>
  </si>
  <si>
    <t>Old World Delicatessen</t>
  </si>
  <si>
    <t>2743 Bering St.</t>
  </si>
  <si>
    <t>Anchorage</t>
  </si>
  <si>
    <t>AK</t>
  </si>
  <si>
    <t>LONEP</t>
  </si>
  <si>
    <t>Lonesome Pine Restaurant</t>
  </si>
  <si>
    <t>89 Chiaroscuro Rd.</t>
  </si>
  <si>
    <t>Portland</t>
  </si>
  <si>
    <t>OR</t>
  </si>
  <si>
    <t>ANATR</t>
  </si>
  <si>
    <t>Ana Trujillo Emparedados y helados</t>
  </si>
  <si>
    <t>Avda. de la Constitución 2222</t>
  </si>
  <si>
    <t>THEBI</t>
  </si>
  <si>
    <t>The Big Cheese</t>
  </si>
  <si>
    <t>89 Jefferson Way Suite 2</t>
  </si>
  <si>
    <t>DUMON</t>
  </si>
  <si>
    <t>Du monde entier</t>
  </si>
  <si>
    <t>67  rue des Cinquante Otages</t>
  </si>
  <si>
    <t>Nantes</t>
  </si>
  <si>
    <t>ISLAT</t>
  </si>
  <si>
    <t>Island Trading</t>
  </si>
  <si>
    <t>Garden House Crowther Way</t>
  </si>
  <si>
    <t>Cowes</t>
  </si>
  <si>
    <t>Isle of Wight</t>
  </si>
  <si>
    <t>PO31 7PJ</t>
  </si>
  <si>
    <t>PERIC</t>
  </si>
  <si>
    <t>Pericles Comidas clásicas</t>
  </si>
  <si>
    <t>Calle Dr. Jorge Cash 321</t>
  </si>
  <si>
    <t>KOENE</t>
  </si>
  <si>
    <t>Königlich Essen</t>
  </si>
  <si>
    <t>Maubelstr. 90</t>
  </si>
  <si>
    <t>Brandenburg</t>
  </si>
  <si>
    <t>SAVEA</t>
  </si>
  <si>
    <t>Save-a-lot Markets</t>
  </si>
  <si>
    <t>187 Suffolk Ln.</t>
  </si>
  <si>
    <t>Boise</t>
  </si>
  <si>
    <t>ID</t>
  </si>
  <si>
    <t>BOLID</t>
  </si>
  <si>
    <t>Bólido Comidas preparadas</t>
  </si>
  <si>
    <t>C/ Araquil 67</t>
  </si>
  <si>
    <t>FURIB</t>
  </si>
  <si>
    <t>Furia Bacalhau e Frutos do Mar</t>
  </si>
  <si>
    <t>Jardim das rosas n. 32</t>
  </si>
  <si>
    <t>Lisboa</t>
  </si>
  <si>
    <t>Portugal</t>
  </si>
  <si>
    <t>BONAP</t>
  </si>
  <si>
    <t>Bon app'</t>
  </si>
  <si>
    <t>12  rue des Bouchers</t>
  </si>
  <si>
    <t>Marseille</t>
  </si>
  <si>
    <t>MEREP</t>
  </si>
  <si>
    <t>Mère Paillarde</t>
  </si>
  <si>
    <t>43 rue St. Laurent</t>
  </si>
  <si>
    <t>Montréal</t>
  </si>
  <si>
    <t>Québec</t>
  </si>
  <si>
    <t>H1J 1C3</t>
  </si>
  <si>
    <t>Canada</t>
  </si>
  <si>
    <t>PRINI</t>
  </si>
  <si>
    <t>Princesa Isabel Vinhos</t>
  </si>
  <si>
    <t>Estrada da saúde n. 58</t>
  </si>
  <si>
    <t>SIMOB</t>
  </si>
  <si>
    <t>Simons bistro</t>
  </si>
  <si>
    <t>Vinbæltet 34</t>
  </si>
  <si>
    <t>Kobenhavn</t>
  </si>
  <si>
    <t>Denmark</t>
  </si>
  <si>
    <t>FAMIA</t>
  </si>
  <si>
    <t>Familia Arquibaldo</t>
  </si>
  <si>
    <t>Rua Orós 92</t>
  </si>
  <si>
    <t>05442-030</t>
  </si>
  <si>
    <t>LAMAI</t>
  </si>
  <si>
    <t>La maison d'Asie</t>
  </si>
  <si>
    <t>1 rue Alsace-Lorraine</t>
  </si>
  <si>
    <t>Toulouse</t>
  </si>
  <si>
    <t>PICCO</t>
  </si>
  <si>
    <t>Piccolo und mehr</t>
  </si>
  <si>
    <t>Geislweg 14</t>
  </si>
  <si>
    <t>Salzburg</t>
  </si>
  <si>
    <t>AROUT</t>
  </si>
  <si>
    <t>Around the Horn</t>
  </si>
  <si>
    <t>Brook Farm Stratford St. Mary</t>
  </si>
  <si>
    <t>Colchester</t>
  </si>
  <si>
    <t>Essex</t>
  </si>
  <si>
    <t>CO7 6JX</t>
  </si>
  <si>
    <t>SEVES</t>
  </si>
  <si>
    <t>Seven Seas Imports</t>
  </si>
  <si>
    <t>90 Wadhurst Rd.</t>
  </si>
  <si>
    <t>OX15 4NB</t>
  </si>
  <si>
    <t>DRACD</t>
  </si>
  <si>
    <t>Drachenblut Delikatessen</t>
  </si>
  <si>
    <t>Walserweg 21</t>
  </si>
  <si>
    <t>Aachen</t>
  </si>
  <si>
    <t>EASTC</t>
  </si>
  <si>
    <t>Eastern Connection</t>
  </si>
  <si>
    <t>35 King George</t>
  </si>
  <si>
    <t>WX3 6FW</t>
  </si>
  <si>
    <t>ANTON</t>
  </si>
  <si>
    <t>Antonio Moreno Taquería</t>
  </si>
  <si>
    <t>Mataderos  2312</t>
  </si>
  <si>
    <t>GALED</t>
  </si>
  <si>
    <t>Galería del gastronómo</t>
  </si>
  <si>
    <t>Rambla de Cataluña 23</t>
  </si>
  <si>
    <t>Barcelona</t>
  </si>
  <si>
    <t>VAFFE</t>
  </si>
  <si>
    <t>Vaffeljernet</t>
  </si>
  <si>
    <t>Smagsloget 45</t>
  </si>
  <si>
    <t>Århus</t>
  </si>
  <si>
    <t>QUEEN</t>
  </si>
  <si>
    <t>Queen Cozinha</t>
  </si>
  <si>
    <t>Alameda dos Canàrios 891</t>
  </si>
  <si>
    <t>05487-020</t>
  </si>
  <si>
    <t>WOLZA</t>
  </si>
  <si>
    <t>Wolski Zajazd</t>
  </si>
  <si>
    <t>ul. Filtrowa 68</t>
  </si>
  <si>
    <t>Warszawa</t>
  </si>
  <si>
    <t>01-012</t>
  </si>
  <si>
    <t>Poland</t>
  </si>
  <si>
    <t>HUNGC</t>
  </si>
  <si>
    <t>Hungry Coyote Import Store</t>
  </si>
  <si>
    <t>City Center Plaza 516 Main St.</t>
  </si>
  <si>
    <t>Elgin</t>
  </si>
  <si>
    <t>SANTG</t>
  </si>
  <si>
    <t>Santé Gourmet</t>
  </si>
  <si>
    <t>Erling Skakkes gate 78</t>
  </si>
  <si>
    <t>Stavern</t>
  </si>
  <si>
    <t>Norway</t>
  </si>
  <si>
    <t>BOTTM</t>
  </si>
  <si>
    <t>Bottom-Dollar Markets</t>
  </si>
  <si>
    <t>23 Tsawassen Blvd.</t>
  </si>
  <si>
    <t>Tsawassen</t>
  </si>
  <si>
    <t>BC</t>
  </si>
  <si>
    <t>T2F 8M4</t>
  </si>
  <si>
    <t>LINOD</t>
  </si>
  <si>
    <t>LINO-Delicateses</t>
  </si>
  <si>
    <t>Ave. 5 de Mayo Porlamar</t>
  </si>
  <si>
    <t>I. de Margarita</t>
  </si>
  <si>
    <t>Nueva Esparta</t>
  </si>
  <si>
    <t>FOLIG</t>
  </si>
  <si>
    <t>Folies gourmandes</t>
  </si>
  <si>
    <t>184  chaussée de Tournai</t>
  </si>
  <si>
    <t>Lille</t>
  </si>
  <si>
    <t>OCEAN</t>
  </si>
  <si>
    <t>Océano Atlántico Ltda.</t>
  </si>
  <si>
    <t>Ing. Gustavo Moncada 8585 Piso 20-A</t>
  </si>
  <si>
    <t>Buenos Aires</t>
  </si>
  <si>
    <t>Argentina</t>
  </si>
  <si>
    <t>FRANS</t>
  </si>
  <si>
    <t>Franchi S.p.A.</t>
  </si>
  <si>
    <t>Via Monte Bianco 34</t>
  </si>
  <si>
    <t>Torino</t>
  </si>
  <si>
    <t>GOURL</t>
  </si>
  <si>
    <t>Gourmet Lanchonetes</t>
  </si>
  <si>
    <t>Av. Brasil 442</t>
  </si>
  <si>
    <t>Campinas</t>
  </si>
  <si>
    <t>04876-786</t>
  </si>
  <si>
    <t>CONSH</t>
  </si>
  <si>
    <t>Consolidated Holdings</t>
  </si>
  <si>
    <t>Berkeley Gardens 12  Brewery</t>
  </si>
  <si>
    <t>WX1 6LT</t>
  </si>
  <si>
    <t>RANCH</t>
  </si>
  <si>
    <t>Rancho grande</t>
  </si>
  <si>
    <t>Av. del Libertador 900</t>
  </si>
  <si>
    <t>LAZYK</t>
  </si>
  <si>
    <t>Lazy K Kountry Store</t>
  </si>
  <si>
    <t>12 Orchestra Terrace</t>
  </si>
  <si>
    <t>Walla Walla</t>
  </si>
  <si>
    <t>LAUGB</t>
  </si>
  <si>
    <t>Laughing Bacchus Wine Cellars</t>
  </si>
  <si>
    <t>2319 Elm St.</t>
  </si>
  <si>
    <t>Vancouver</t>
  </si>
  <si>
    <t>V3F 2K1</t>
  </si>
  <si>
    <t>BLAUS</t>
  </si>
  <si>
    <t>Blauer See Delikatessen</t>
  </si>
  <si>
    <t>Forsterstr. 57</t>
  </si>
  <si>
    <t>Mannheim</t>
  </si>
  <si>
    <t>NORTS</t>
  </si>
  <si>
    <t>North/South</t>
  </si>
  <si>
    <t>South House 300 Queensbridge</t>
  </si>
  <si>
    <t>SW7 1RZ</t>
  </si>
  <si>
    <t>CACTU</t>
  </si>
  <si>
    <t>Cactus Comidas para llevar</t>
  </si>
  <si>
    <t>Cerrito 333</t>
  </si>
  <si>
    <t>GREAL</t>
  </si>
  <si>
    <t>Great Lakes Food Market</t>
  </si>
  <si>
    <t>2732 Baker Blvd.</t>
  </si>
  <si>
    <t>Eugene</t>
  </si>
  <si>
    <t>MAISD</t>
  </si>
  <si>
    <t>Maison Dewey</t>
  </si>
  <si>
    <t>Rue Joseph-Bens 532</t>
  </si>
  <si>
    <t>Bruxelles</t>
  </si>
  <si>
    <t>B-1180</t>
  </si>
  <si>
    <t>TRAIH</t>
  </si>
  <si>
    <t>Trail's Head Gourmet Provisioners</t>
  </si>
  <si>
    <t>722 DaVinci Blvd.</t>
  </si>
  <si>
    <t>Kirkland</t>
  </si>
  <si>
    <t>LETSS</t>
  </si>
  <si>
    <t>Let's Stop N Shop</t>
  </si>
  <si>
    <t>87 Polk St. Suite 5</t>
  </si>
  <si>
    <t>San Francisco</t>
  </si>
  <si>
    <t>CA</t>
  </si>
  <si>
    <t>WILMK</t>
  </si>
  <si>
    <t>Wilman Kala</t>
  </si>
  <si>
    <t>Keskuskatu 45</t>
  </si>
  <si>
    <t>Helsinki</t>
  </si>
  <si>
    <t>THECR</t>
  </si>
  <si>
    <t>The Cracker Box</t>
  </si>
  <si>
    <t>55 Grizzly Peak Rd.</t>
  </si>
  <si>
    <t>Butte</t>
  </si>
  <si>
    <t>MT</t>
  </si>
  <si>
    <t>ALFKI</t>
  </si>
  <si>
    <t>Alfreds Futterkiste</t>
  </si>
  <si>
    <t>Obere Str. 57</t>
  </si>
  <si>
    <t>Berlin</t>
  </si>
  <si>
    <t>FRANR</t>
  </si>
  <si>
    <t>France restauration</t>
  </si>
  <si>
    <t>54  rue Royale</t>
  </si>
  <si>
    <t>Alfred's Futterkiste</t>
  </si>
  <si>
    <t>SPECD</t>
  </si>
  <si>
    <t>Spécialités du monde</t>
  </si>
  <si>
    <t>25  rue Lauriston</t>
  </si>
  <si>
    <t>Paris</t>
  </si>
  <si>
    <t>LACOR</t>
  </si>
  <si>
    <t>La corne d'abondance</t>
  </si>
  <si>
    <t>67  avenue de l'Europe</t>
  </si>
  <si>
    <t>Versailles</t>
  </si>
  <si>
    <t>productID</t>
  </si>
  <si>
    <t xml:space="preserve"> unitPrice </t>
  </si>
  <si>
    <t xml:space="preserve"> quantity </t>
  </si>
  <si>
    <t>discount</t>
  </si>
  <si>
    <t>companyName</t>
  </si>
  <si>
    <t>contactName</t>
  </si>
  <si>
    <t>contactTitle</t>
  </si>
  <si>
    <t>address</t>
  </si>
  <si>
    <t>city</t>
  </si>
  <si>
    <t>region</t>
  </si>
  <si>
    <t>postalCode</t>
  </si>
  <si>
    <t>country</t>
  </si>
  <si>
    <t>phone</t>
  </si>
  <si>
    <t>fax</t>
  </si>
  <si>
    <t>Maria Anders</t>
  </si>
  <si>
    <t>Sales Representative</t>
  </si>
  <si>
    <t>030-0074321</t>
  </si>
  <si>
    <t>030-0076545</t>
  </si>
  <si>
    <t>Ana Trujillo</t>
  </si>
  <si>
    <t>Owner</t>
  </si>
  <si>
    <t>(5) 555-4729</t>
  </si>
  <si>
    <t>(5) 555-3745</t>
  </si>
  <si>
    <t>Antonio Moreno</t>
  </si>
  <si>
    <t>(5) 555-3932</t>
  </si>
  <si>
    <t>Thomas Hardy</t>
  </si>
  <si>
    <t>120 Hanover Sq.</t>
  </si>
  <si>
    <t>WA1 1DP</t>
  </si>
  <si>
    <t>(171) 555-7788</t>
  </si>
  <si>
    <t>(171) 555-6750</t>
  </si>
  <si>
    <t>Christina Berglund</t>
  </si>
  <si>
    <t>Order Administrator</t>
  </si>
  <si>
    <t>0921-12 34 65</t>
  </si>
  <si>
    <t>0921-12 34 67</t>
  </si>
  <si>
    <t>Hanna Moos</t>
  </si>
  <si>
    <t>0621-08460</t>
  </si>
  <si>
    <t>0621-08924</t>
  </si>
  <si>
    <t>Blondesddsl père et fils</t>
  </si>
  <si>
    <t>Frédérique Citeaux</t>
  </si>
  <si>
    <t>Marketing Manager</t>
  </si>
  <si>
    <t>88.60.15.31</t>
  </si>
  <si>
    <t>88.60.15.32</t>
  </si>
  <si>
    <t>Martín Sommer</t>
  </si>
  <si>
    <t>(91) 555 22 82</t>
  </si>
  <si>
    <t>(91) 555 91 99</t>
  </si>
  <si>
    <t>Laurence Lebihan</t>
  </si>
  <si>
    <t>91.24.45.40</t>
  </si>
  <si>
    <t>91.24.45.41</t>
  </si>
  <si>
    <t>Elizabeth Lincoln</t>
  </si>
  <si>
    <t>Accounting Manager</t>
  </si>
  <si>
    <t>(604) 555-4729</t>
  </si>
  <si>
    <t>(604) 555-3745</t>
  </si>
  <si>
    <t>Victoria Ashworth</t>
  </si>
  <si>
    <t>(171) 555-1212</t>
  </si>
  <si>
    <t>Patricio Simpson</t>
  </si>
  <si>
    <t>Sales Agent</t>
  </si>
  <si>
    <t>(1) 135-5555</t>
  </si>
  <si>
    <t>(1) 135-4892</t>
  </si>
  <si>
    <t>Francisco Chang</t>
  </si>
  <si>
    <t>(5) 555-3392</t>
  </si>
  <si>
    <t>(5) 555-7293</t>
  </si>
  <si>
    <t>Yang Wang</t>
  </si>
  <si>
    <t>Hauptstr. 29</t>
  </si>
  <si>
    <t>0452-076545</t>
  </si>
  <si>
    <t>Pedro Afonso</t>
  </si>
  <si>
    <t>Sales Associate</t>
  </si>
  <si>
    <t>(11) 555-7647</t>
  </si>
  <si>
    <t>Elizabeth Brown</t>
  </si>
  <si>
    <t>(171) 555-2282</t>
  </si>
  <si>
    <t>(171) 555-9199</t>
  </si>
  <si>
    <t>Sven Ottlieb</t>
  </si>
  <si>
    <t>0241-039123</t>
  </si>
  <si>
    <t>0241-059428</t>
  </si>
  <si>
    <t>Janine Labrune</t>
  </si>
  <si>
    <t>40.67.88.88</t>
  </si>
  <si>
    <t>40.67.89.89</t>
  </si>
  <si>
    <t>Ann Devon</t>
  </si>
  <si>
    <t>(171) 555-0297</t>
  </si>
  <si>
    <t>(171) 555-3373</t>
  </si>
  <si>
    <t>Roland Mendel</t>
  </si>
  <si>
    <t>Sales Manager</t>
  </si>
  <si>
    <t>7675-3425</t>
  </si>
  <si>
    <t>7675-3426</t>
  </si>
  <si>
    <t>Aria Cruz</t>
  </si>
  <si>
    <t>Marketing Assistant</t>
  </si>
  <si>
    <t>(11) 555-9857</t>
  </si>
  <si>
    <t>FISSA</t>
  </si>
  <si>
    <t>FISSA Fabrica Inter. Salchichas S.A.</t>
  </si>
  <si>
    <t>Diego Roel</t>
  </si>
  <si>
    <t>C/ Moralzarzal 86</t>
  </si>
  <si>
    <t>(91) 555 94 44</t>
  </si>
  <si>
    <t>(91) 555 55 93</t>
  </si>
  <si>
    <t>Martine Rancé</t>
  </si>
  <si>
    <t>Assistant Sales Agent</t>
  </si>
  <si>
    <t>20.16.10.16</t>
  </si>
  <si>
    <t>20.16.10.17</t>
  </si>
  <si>
    <t>Maria Larsson</t>
  </si>
  <si>
    <t>0695-34 67 21</t>
  </si>
  <si>
    <t>Peter Franken</t>
  </si>
  <si>
    <t>089-0877310</t>
  </si>
  <si>
    <t>089-0877451</t>
  </si>
  <si>
    <t>Carine Schmitt</t>
  </si>
  <si>
    <t>40.32.21.21</t>
  </si>
  <si>
    <t>40.32.21.20</t>
  </si>
  <si>
    <t>Paolo Accorti</t>
  </si>
  <si>
    <t>011-4988260</t>
  </si>
  <si>
    <t>011-4988261</t>
  </si>
  <si>
    <t>Lino Rodriguez</t>
  </si>
  <si>
    <t>(1) 354-2534</t>
  </si>
  <si>
    <t>(1) 354-2535</t>
  </si>
  <si>
    <t>Galería del gastrónomo</t>
  </si>
  <si>
    <t>Eduardo Saavedra</t>
  </si>
  <si>
    <t>(93) 203 4560</t>
  </si>
  <si>
    <t>(93) 203 4561</t>
  </si>
  <si>
    <t>José Pedro Freyre</t>
  </si>
  <si>
    <t>(95) 555 82 82</t>
  </si>
  <si>
    <t>André Fonseca</t>
  </si>
  <si>
    <t>(11) 555-9482</t>
  </si>
  <si>
    <t>Howard Snyder</t>
  </si>
  <si>
    <t>(503) 555-7555</t>
  </si>
  <si>
    <t>Manuel Pereira</t>
  </si>
  <si>
    <t>(2) 283-2951</t>
  </si>
  <si>
    <t>(2) 283-3397</t>
  </si>
  <si>
    <t>Mario Pontes</t>
  </si>
  <si>
    <t>(21) 555-0091</t>
  </si>
  <si>
    <t>(21) 555-8765</t>
  </si>
  <si>
    <t>Carlos Hernández</t>
  </si>
  <si>
    <t>(5) 555-1340</t>
  </si>
  <si>
    <t>(5) 555-1948</t>
  </si>
  <si>
    <t>Yoshi Latimer</t>
  </si>
  <si>
    <t>(503) 555-6874</t>
  </si>
  <si>
    <t>(503) 555-2376</t>
  </si>
  <si>
    <t>Patricia McKenna</t>
  </si>
  <si>
    <t>2967 542</t>
  </si>
  <si>
    <t>2967 3333</t>
  </si>
  <si>
    <t>Helen Bennett</t>
  </si>
  <si>
    <t>(198) 555-8888</t>
  </si>
  <si>
    <t>Philip Cramer</t>
  </si>
  <si>
    <t>0555-09876</t>
  </si>
  <si>
    <t>Daniel Tonini</t>
  </si>
  <si>
    <t>30.59.84.10</t>
  </si>
  <si>
    <t>30.59.85.11</t>
  </si>
  <si>
    <t>Annette Roulet</t>
  </si>
  <si>
    <t>61.77.61.10</t>
  </si>
  <si>
    <t>61.77.61.11</t>
  </si>
  <si>
    <t>Yoshi Tannamuri</t>
  </si>
  <si>
    <t>1900 Oak St.</t>
  </si>
  <si>
    <t>(604) 555-3392</t>
  </si>
  <si>
    <t>(604) 555-7293</t>
  </si>
  <si>
    <t>John Steel</t>
  </si>
  <si>
    <t>(509) 555-7969</t>
  </si>
  <si>
    <t>(509) 555-6221</t>
  </si>
  <si>
    <t>Renate Messner</t>
  </si>
  <si>
    <t>069-0245984</t>
  </si>
  <si>
    <t>069-0245874</t>
  </si>
  <si>
    <t>Jaime Yorres</t>
  </si>
  <si>
    <t>(415) 555-5938</t>
  </si>
  <si>
    <t>Carlos González</t>
  </si>
  <si>
    <t>(9) 331-6954</t>
  </si>
  <si>
    <t>(9) 331-7256</t>
  </si>
  <si>
    <t>Felipe Izquierdo</t>
  </si>
  <si>
    <t>(8) 34-56-12</t>
  </si>
  <si>
    <t>(8) 34-93-93</t>
  </si>
  <si>
    <t>Fran Wilson</t>
  </si>
  <si>
    <t>(503) 555-9573</t>
  </si>
  <si>
    <t>(503) 555-9646</t>
  </si>
  <si>
    <t>Giovanni Rovelli</t>
  </si>
  <si>
    <t>035-640230</t>
  </si>
  <si>
    <t>035-640231</t>
  </si>
  <si>
    <t>Catherine Dewey</t>
  </si>
  <si>
    <t>(02) 201 24 67</t>
  </si>
  <si>
    <t>(02) 201 24 68</t>
  </si>
  <si>
    <t>Jean Fresnière</t>
  </si>
  <si>
    <t>(514) 555-8054</t>
  </si>
  <si>
    <t>(514) 555-8055</t>
  </si>
  <si>
    <t>Alexander Feuer</t>
  </si>
  <si>
    <t>0342-023176</t>
  </si>
  <si>
    <t>Simon Crowther</t>
  </si>
  <si>
    <t>(171) 555-7733</t>
  </si>
  <si>
    <t>(171) 555-2530</t>
  </si>
  <si>
    <t>Yvonne Moncada</t>
  </si>
  <si>
    <t>(1) 135-5333</t>
  </si>
  <si>
    <t>(1) 135-5535</t>
  </si>
  <si>
    <t>Rene Phillips</t>
  </si>
  <si>
    <t>(907) 555-7584</t>
  </si>
  <si>
    <t>(907) 555-2880</t>
  </si>
  <si>
    <t>Henriette Pfalzheim</t>
  </si>
  <si>
    <t>0221-0644327</t>
  </si>
  <si>
    <t>0221-0765721</t>
  </si>
  <si>
    <t>PARIS</t>
  </si>
  <si>
    <t>Paris spécialités</t>
  </si>
  <si>
    <t>Marie Bertrand</t>
  </si>
  <si>
    <t>265  boulevard Charonne</t>
  </si>
  <si>
    <t>(1) 42.34.22.66</t>
  </si>
  <si>
    <t>(1) 42.34.22.77</t>
  </si>
  <si>
    <t>Guillermo Fernández</t>
  </si>
  <si>
    <t>(5) 552-3745</t>
  </si>
  <si>
    <t>(5) 545-3745</t>
  </si>
  <si>
    <t>Georg Pipps</t>
  </si>
  <si>
    <t>6562-9722</t>
  </si>
  <si>
    <t>6562-9723</t>
  </si>
  <si>
    <t>Isabel de Castro</t>
  </si>
  <si>
    <t>(1) 356-5634</t>
  </si>
  <si>
    <t>Bernardo Batista</t>
  </si>
  <si>
    <t>(21) 555-4252</t>
  </si>
  <si>
    <t>(21) 555-4545</t>
  </si>
  <si>
    <t>Lúcia Carvalho</t>
  </si>
  <si>
    <t>(11) 555-1189</t>
  </si>
  <si>
    <t>Horst Kloss</t>
  </si>
  <si>
    <t>0372-035188</t>
  </si>
  <si>
    <t>Sergio Gutiérrez</t>
  </si>
  <si>
    <t>(1) 123-5555</t>
  </si>
  <si>
    <t>(1) 123-5556</t>
  </si>
  <si>
    <t>Paula Wilson</t>
  </si>
  <si>
    <t>Assistant Sales Representative</t>
  </si>
  <si>
    <t>(505) 555-5939</t>
  </si>
  <si>
    <t>(505) 555-3620</t>
  </si>
  <si>
    <t>Maurizio Moroni</t>
  </si>
  <si>
    <t>0522-556721</t>
  </si>
  <si>
    <t>0522-556722</t>
  </si>
  <si>
    <t>Janete Limeira</t>
  </si>
  <si>
    <t>(21) 555-3412</t>
  </si>
  <si>
    <t>Michael Holz</t>
  </si>
  <si>
    <t>Grenzacherweg 237</t>
  </si>
  <si>
    <t>0897-034214</t>
  </si>
  <si>
    <t>Alejandra Camino</t>
  </si>
  <si>
    <t>(91) 745 6200</t>
  </si>
  <si>
    <t>(91) 745 6210</t>
  </si>
  <si>
    <t>Jonas Bergulfsen</t>
  </si>
  <si>
    <t>07-98 92 35</t>
  </si>
  <si>
    <t>07-98 92 47</t>
  </si>
  <si>
    <t>Jose Pavarotti</t>
  </si>
  <si>
    <t>(208) 555-8097</t>
  </si>
  <si>
    <t>Hari Kumar</t>
  </si>
  <si>
    <t>(171) 555-1717</t>
  </si>
  <si>
    <t>(171) 555-5646</t>
  </si>
  <si>
    <t>Jytte Petersen</t>
  </si>
  <si>
    <t>31 12 34 56</t>
  </si>
  <si>
    <t>31 13 35 57</t>
  </si>
  <si>
    <t>Dominique Perrier</t>
  </si>
  <si>
    <t>(1) 47.55.60.10</t>
  </si>
  <si>
    <t>(1) 47.55.60.20</t>
  </si>
  <si>
    <t>Art Braunschweiger</t>
  </si>
  <si>
    <t>(307) 555-4680</t>
  </si>
  <si>
    <t>(307) 555-6525</t>
  </si>
  <si>
    <t>Pascale Cartrain</t>
  </si>
  <si>
    <t>(071) 23 67 22 20</t>
  </si>
  <si>
    <t>(071) 23 67 22 21</t>
  </si>
  <si>
    <t>Liz Nixon</t>
  </si>
  <si>
    <t>(503) 555-3612</t>
  </si>
  <si>
    <t>Liu Wong</t>
  </si>
  <si>
    <t>(406) 555-5834</t>
  </si>
  <si>
    <t>(406) 555-8083</t>
  </si>
  <si>
    <t>Karin Josephs</t>
  </si>
  <si>
    <t>0251-031259</t>
  </si>
  <si>
    <t>0251-035695</t>
  </si>
  <si>
    <t>Miguel Angel Paolino</t>
  </si>
  <si>
    <t>(5) 555-2933</t>
  </si>
  <si>
    <t>Tradição Hipermercados</t>
  </si>
  <si>
    <t>Anabela Domingues</t>
  </si>
  <si>
    <t>(11) 555-2167</t>
  </si>
  <si>
    <t>(11) 555-2168</t>
  </si>
  <si>
    <t>Helvetius Nagy</t>
  </si>
  <si>
    <t>(206) 555-8257</t>
  </si>
  <si>
    <t>(206) 555-2174</t>
  </si>
  <si>
    <t>Palle Ibsen</t>
  </si>
  <si>
    <t>86 21 32 43</t>
  </si>
  <si>
    <t>86 22 33 44</t>
  </si>
  <si>
    <t>Mary Saveley</t>
  </si>
  <si>
    <t>78.32.54.86</t>
  </si>
  <si>
    <t>78.32.54.87</t>
  </si>
  <si>
    <t>Paul Henriot</t>
  </si>
  <si>
    <t>26.47.15.10</t>
  </si>
  <si>
    <t>26.47.15.11</t>
  </si>
  <si>
    <t>Rita Müller</t>
  </si>
  <si>
    <t>0711-020361</t>
  </si>
  <si>
    <t>0711-035428</t>
  </si>
  <si>
    <t>Pirkko Koskitalo</t>
  </si>
  <si>
    <t>981-443655</t>
  </si>
  <si>
    <t>Paula Parente</t>
  </si>
  <si>
    <t>(14) 555-8122</t>
  </si>
  <si>
    <t>Karl Jablonski</t>
  </si>
  <si>
    <t>305 - 14th Ave. S. Suite 3B</t>
  </si>
  <si>
    <t>(206) 555-4112</t>
  </si>
  <si>
    <t>(206) 555-4115</t>
  </si>
  <si>
    <t>Matti Karttunen</t>
  </si>
  <si>
    <t>Owner/Marketing Assistant</t>
  </si>
  <si>
    <t>90-224 8858</t>
  </si>
  <si>
    <t>Wolski  Zajazd</t>
  </si>
  <si>
    <t>Zbyszek Piestrzeniewicz</t>
  </si>
  <si>
    <t>(26) 642-7012</t>
  </si>
  <si>
    <t>lastName</t>
  </si>
  <si>
    <t>firstName</t>
  </si>
  <si>
    <t>title</t>
  </si>
  <si>
    <t>titleOfCourtesy</t>
  </si>
  <si>
    <t>birthDate</t>
  </si>
  <si>
    <t>hireDate</t>
  </si>
  <si>
    <t>homePhone</t>
  </si>
  <si>
    <t>extension</t>
  </si>
  <si>
    <t>notes</t>
  </si>
  <si>
    <t>reportsTo</t>
  </si>
  <si>
    <t>photoPath</t>
  </si>
  <si>
    <t>education</t>
  </si>
  <si>
    <t>educationDegree</t>
  </si>
  <si>
    <t>educationMode</t>
  </si>
  <si>
    <t>specialization</t>
  </si>
  <si>
    <t>educationType</t>
  </si>
  <si>
    <t>educationExtra</t>
  </si>
  <si>
    <t>french</t>
  </si>
  <si>
    <t>german</t>
  </si>
  <si>
    <t>international</t>
  </si>
  <si>
    <t>languageDomain</t>
  </si>
  <si>
    <t>Davolio</t>
  </si>
  <si>
    <t>Nancy</t>
  </si>
  <si>
    <t>Ms.</t>
  </si>
  <si>
    <t>507 - 20th Ave. E. Apt. 2A</t>
  </si>
  <si>
    <t>(206) 555-9857</t>
  </si>
  <si>
    <t>Education includes a BA in psychology from Colorado State University in 1970.  She also completed "The Art of the Cold Call."  Nancy is a member of Toastmasters International.</t>
  </si>
  <si>
    <t>http://accweb/emmployees/davolio.bmp</t>
  </si>
  <si>
    <t>Psychology</t>
  </si>
  <si>
    <t>BA</t>
  </si>
  <si>
    <t>arts</t>
  </si>
  <si>
    <t>Fuller</t>
  </si>
  <si>
    <t>Andrew</t>
  </si>
  <si>
    <t>Vice President, Sales</t>
  </si>
  <si>
    <t>Dr.</t>
  </si>
  <si>
    <t>908 W. Capital Way</t>
  </si>
  <si>
    <t>Tacoma</t>
  </si>
  <si>
    <t>(206) 555-9482</t>
  </si>
  <si>
    <t>Andrew received his BTS commercial in 1974 and a Ph.D. in international marketing from the University of Dallas in 1981.  He is fluent in French and Italian and reads German.  He joined the company as a sales representative, was promoted to sales manager i</t>
  </si>
  <si>
    <t>http://accweb/emmployees/fuller.bmp</t>
  </si>
  <si>
    <t>International Marketing</t>
  </si>
  <si>
    <t>BTS, PhD</t>
  </si>
  <si>
    <t>science</t>
  </si>
  <si>
    <t>Marketing</t>
  </si>
  <si>
    <t>Leverling</t>
  </si>
  <si>
    <t>Janet</t>
  </si>
  <si>
    <t>722 Moss Bay Blvd.</t>
  </si>
  <si>
    <t>(206) 555-3412</t>
  </si>
  <si>
    <t>Janet has a BS degree in chemistry from Boston College (1984).  She has also completed a certificate program in food retailing management.  Janet was hired as a sales associate in 1991 and promoted to sales representative in February 1992.</t>
  </si>
  <si>
    <t>http://accweb/emmployees/leverling.bmp</t>
  </si>
  <si>
    <t>Chemistry</t>
  </si>
  <si>
    <t>BS</t>
  </si>
  <si>
    <t>Engineer</t>
  </si>
  <si>
    <t>Peacock</t>
  </si>
  <si>
    <t>Margaret</t>
  </si>
  <si>
    <t>Mrs.</t>
  </si>
  <si>
    <t>4110 Old Redmond Rd.</t>
  </si>
  <si>
    <t>Redmond</t>
  </si>
  <si>
    <t>(206) 555-8122</t>
  </si>
  <si>
    <t>Margaret holds a BA in English literature from Concordia College (1958) and an MA from the American Institute of Culinary Arts (1966).  She was assigned to the London office temporarily from July through November 1992.</t>
  </si>
  <si>
    <t>http://accweb/emmployees/peacock.bmp</t>
  </si>
  <si>
    <t>English Literature</t>
  </si>
  <si>
    <t>BA, MA</t>
  </si>
  <si>
    <t>Literature</t>
  </si>
  <si>
    <t>Buchanan</t>
  </si>
  <si>
    <t>Steven</t>
  </si>
  <si>
    <t>Mr.</t>
  </si>
  <si>
    <t>14 Garrett Hill</t>
  </si>
  <si>
    <t>SW1 8JR</t>
  </si>
  <si>
    <t>(71) 555-4848</t>
  </si>
  <si>
    <t>Steven Buchanan graduated from St. Andrews University, Scotland, with a BSC degree in 1976.  Upon joining the company as a sales representative in 1992, he spent 6 months in an orientation program at the Seattle office and then returned to his permanent po</t>
  </si>
  <si>
    <t>http://accweb/emmployees/buchanan.bmp</t>
  </si>
  <si>
    <t>Business</t>
  </si>
  <si>
    <t>BSc</t>
  </si>
  <si>
    <t>administration</t>
  </si>
  <si>
    <t>Suyama</t>
  </si>
  <si>
    <t>Michael</t>
  </si>
  <si>
    <t>Coventry House Miner Rd.</t>
  </si>
  <si>
    <t>EC2 7JR</t>
  </si>
  <si>
    <t>(71) 555-7773</t>
  </si>
  <si>
    <t>Michael is a graduate of Sussex University (MA, economics, 1983) and the University of California at Los Angeles (MBA, marketing, 1986).  He has also taken the courses "Multi-Cultural Selling" and "Time Management for the Sales Professional."  He is fluent</t>
  </si>
  <si>
    <t>Economics / Marketing</t>
  </si>
  <si>
    <t>MA, MBA</t>
  </si>
  <si>
    <t>King</t>
  </si>
  <si>
    <t>Robert</t>
  </si>
  <si>
    <t>Edgeham Hollow Winchester Way</t>
  </si>
  <si>
    <t>RG1 9SP</t>
  </si>
  <si>
    <t>(71) 555-5598</t>
  </si>
  <si>
    <t>Robert King served in the Peace Corps and traveled extensively before completing his degree in English at the University of Michigan in 1992, the year he joined the company.  After completing a course entitled "Selling in Europe," he was transferred to the</t>
  </si>
  <si>
    <t>Callahan</t>
  </si>
  <si>
    <t>Laura</t>
  </si>
  <si>
    <t>Inside Sales Coordinator</t>
  </si>
  <si>
    <t>4726 - 11th Ave. N.E.</t>
  </si>
  <si>
    <t>(206) 555-1189</t>
  </si>
  <si>
    <t>Laura received a BA in psychology from the University of Washington.  She has also completed a course in business French.  She reads and writes French.</t>
  </si>
  <si>
    <t>Dodsworth</t>
  </si>
  <si>
    <t>Anne</t>
  </si>
  <si>
    <t>7 Houndstooth Rd.</t>
  </si>
  <si>
    <t>WG2 7LT</t>
  </si>
  <si>
    <t>(71) 555-4444</t>
  </si>
  <si>
    <t>Anne has a BA degree in English from St. Lawrence College.  She is fluent in French and German.</t>
  </si>
  <si>
    <t>shipperID</t>
  </si>
  <si>
    <t>Speedy Express</t>
  </si>
  <si>
    <t>(503) 555-9831</t>
  </si>
  <si>
    <t>United Package</t>
  </si>
  <si>
    <t>(503) 555-3199</t>
  </si>
  <si>
    <t>Federal Shipping</t>
  </si>
  <si>
    <t>(503) 555-9931</t>
  </si>
  <si>
    <t>productName</t>
  </si>
  <si>
    <t>supplierID</t>
  </si>
  <si>
    <t>categoryID</t>
  </si>
  <si>
    <t>quantityPerUnit</t>
  </si>
  <si>
    <t>unitsInStock</t>
  </si>
  <si>
    <t>unitsOnOrder</t>
  </si>
  <si>
    <t>reorderLevel</t>
  </si>
  <si>
    <t>discontinued</t>
  </si>
  <si>
    <t>Chai</t>
  </si>
  <si>
    <t>10 boxes x 20 bags</t>
  </si>
  <si>
    <t>Chang</t>
  </si>
  <si>
    <t>24 - 12 oz bottles</t>
  </si>
  <si>
    <t>Aniseed Syrup</t>
  </si>
  <si>
    <t>12 - 550 ml bottles</t>
  </si>
  <si>
    <t>Chef Anton's Cajun Seasoning</t>
  </si>
  <si>
    <t>48 - 6 oz jars</t>
  </si>
  <si>
    <t>Chef Anton's Gumbo Mix</t>
  </si>
  <si>
    <t>36 boxes</t>
  </si>
  <si>
    <t>Grandma's Boysenberry Spread</t>
  </si>
  <si>
    <t>12 - 8 oz jars</t>
  </si>
  <si>
    <t>Uncle Bob's Organic Dried Pears</t>
  </si>
  <si>
    <t>12 - 1 lb pkgs.</t>
  </si>
  <si>
    <t>Northwoods Cranberry Sauce</t>
  </si>
  <si>
    <t>12 - 12 oz jars</t>
  </si>
  <si>
    <t>Mishi Kobe Niku</t>
  </si>
  <si>
    <t>18 - 500 g pkgs.</t>
  </si>
  <si>
    <t>Ikura</t>
  </si>
  <si>
    <t>12 - 200 ml jars</t>
  </si>
  <si>
    <t>Queso Cabrales</t>
  </si>
  <si>
    <t>1 kg pkg.</t>
  </si>
  <si>
    <t>Queso Manchego La Pastora</t>
  </si>
  <si>
    <t>10 - 500 g pkgs.</t>
  </si>
  <si>
    <t>Konbu</t>
  </si>
  <si>
    <t>2 kg box</t>
  </si>
  <si>
    <t>Tofu</t>
  </si>
  <si>
    <t>40 - 100 g pkgs.</t>
  </si>
  <si>
    <t>Genen Shouyu</t>
  </si>
  <si>
    <t>24 - 250 ml bottles</t>
  </si>
  <si>
    <t>Pavlova</t>
  </si>
  <si>
    <t>32 - 500 g boxes</t>
  </si>
  <si>
    <t>Alice Mutton</t>
  </si>
  <si>
    <t>20 - 1 kg tins</t>
  </si>
  <si>
    <t>Carnarvon Tigers</t>
  </si>
  <si>
    <t>16 kg pkg.</t>
  </si>
  <si>
    <t>Teatime Chocolate Biscuits</t>
  </si>
  <si>
    <t>10 boxes x 12 pieces</t>
  </si>
  <si>
    <t>Sir Rodney's Marmalade</t>
  </si>
  <si>
    <t>30 gift boxes</t>
  </si>
  <si>
    <t>Sir Rodney's Scones</t>
  </si>
  <si>
    <t>24 pkgs. x 4 pieces</t>
  </si>
  <si>
    <t>Gustaf's Knäckebröd</t>
  </si>
  <si>
    <t>24 - 500 g pkgs.</t>
  </si>
  <si>
    <t>Tunnbröd</t>
  </si>
  <si>
    <t>12 - 250 g pkgs.</t>
  </si>
  <si>
    <t>Guaraná Fantástica</t>
  </si>
  <si>
    <t>12 - 355 ml cans</t>
  </si>
  <si>
    <t>NuNuCa Nuß-Nougat-Creme</t>
  </si>
  <si>
    <t>20 - 450 g glasses</t>
  </si>
  <si>
    <t>Gumbär Gummibärchen</t>
  </si>
  <si>
    <t>100 - 250 g bags</t>
  </si>
  <si>
    <t>Schoggi Schokolade</t>
  </si>
  <si>
    <t>100 - 100 g pieces</t>
  </si>
  <si>
    <t>Rössle Sauerkraut</t>
  </si>
  <si>
    <t>25 - 825 g cans</t>
  </si>
  <si>
    <t>Thüringer Rostbratwurst</t>
  </si>
  <si>
    <t>50 bags x 30 sausgs.</t>
  </si>
  <si>
    <t>Nord-Ost Matjeshering</t>
  </si>
  <si>
    <t>10 - 200 g glasses</t>
  </si>
  <si>
    <t>Gorgonzola Telino</t>
  </si>
  <si>
    <t>12 - 100 g pkgs</t>
  </si>
  <si>
    <t>Mascarpone Fabioli</t>
  </si>
  <si>
    <t>24 - 200 g pkgs.</t>
  </si>
  <si>
    <t>Geitost</t>
  </si>
  <si>
    <t>500 g</t>
  </si>
  <si>
    <t>Sasquatch Ale</t>
  </si>
  <si>
    <t>Steeleye Stout</t>
  </si>
  <si>
    <t>Inlagd Sill</t>
  </si>
  <si>
    <t>24 - 250 g  jars</t>
  </si>
  <si>
    <t>Gravad lax</t>
  </si>
  <si>
    <t>12 - 500 g pkgs.</t>
  </si>
  <si>
    <t>Côte de Blaye</t>
  </si>
  <si>
    <t>12 - 75 cl bottles</t>
  </si>
  <si>
    <t>Chartreuse verte</t>
  </si>
  <si>
    <t>750 cc per bottle</t>
  </si>
  <si>
    <t>Boston Crab Meat</t>
  </si>
  <si>
    <t>24 - 4 oz tins</t>
  </si>
  <si>
    <t>Jack's New England Clam Chowder</t>
  </si>
  <si>
    <t>12 - 12 oz cans</t>
  </si>
  <si>
    <t>Singaporean Hokkien Fried Mee</t>
  </si>
  <si>
    <t>32 - 1 kg pkgs.</t>
  </si>
  <si>
    <t>Ipoh Coffee</t>
  </si>
  <si>
    <t>16 - 500 g tins</t>
  </si>
  <si>
    <t>Gula Malacca</t>
  </si>
  <si>
    <t>20 - 2 kg bags</t>
  </si>
  <si>
    <t>Rogede sild</t>
  </si>
  <si>
    <t>1k pkg.</t>
  </si>
  <si>
    <t>Spegesild</t>
  </si>
  <si>
    <t>4 - 450 g glasses</t>
  </si>
  <si>
    <t>Zaanse koeken</t>
  </si>
  <si>
    <t>10 - 4 oz boxes</t>
  </si>
  <si>
    <t>Chocolade</t>
  </si>
  <si>
    <t>10 pkgs.</t>
  </si>
  <si>
    <t>Maxilaku</t>
  </si>
  <si>
    <t>24 - 50 g pkgs.</t>
  </si>
  <si>
    <t>Valkoinen suklaa</t>
  </si>
  <si>
    <t>12 - 100 g bars</t>
  </si>
  <si>
    <t>Manjimup Dried Apples</t>
  </si>
  <si>
    <t>50 - 300 g pkgs.</t>
  </si>
  <si>
    <t>Filo Mix</t>
  </si>
  <si>
    <t>16 - 2 kg boxes</t>
  </si>
  <si>
    <t>Perth Pasties</t>
  </si>
  <si>
    <t>48 pieces</t>
  </si>
  <si>
    <t>Tourtière</t>
  </si>
  <si>
    <t>16 pies</t>
  </si>
  <si>
    <t>Pâté chinois</t>
  </si>
  <si>
    <t>24 boxes x 2 pies</t>
  </si>
  <si>
    <t>Gnocchi di nonna Alice</t>
  </si>
  <si>
    <t>24 - 250 g pkgs.</t>
  </si>
  <si>
    <t>Ravioli Angelo</t>
  </si>
  <si>
    <t>Escargots de Bourgogne</t>
  </si>
  <si>
    <t>24 pieces</t>
  </si>
  <si>
    <t>Raclette Courdavault</t>
  </si>
  <si>
    <t>5 kg pkg.</t>
  </si>
  <si>
    <t>Camembert Pierrot</t>
  </si>
  <si>
    <t>15 - 300 g rounds</t>
  </si>
  <si>
    <t>Sirop d'érable</t>
  </si>
  <si>
    <t>24 - 500 ml bottles</t>
  </si>
  <si>
    <t>Tarte au sucre</t>
  </si>
  <si>
    <t>48 pies</t>
  </si>
  <si>
    <t>Vegie-spread</t>
  </si>
  <si>
    <t>15 - 625 g jars</t>
  </si>
  <si>
    <t>Wimmers gute Semmelknödel</t>
  </si>
  <si>
    <t>20 bags x 4 pieces</t>
  </si>
  <si>
    <t>Louisiana Fiery Hot Pepper Sauce</t>
  </si>
  <si>
    <t>32 - 8 oz bottles</t>
  </si>
  <si>
    <t>Louisiana Hot Spiced Okra</t>
  </si>
  <si>
    <t>24 - 8 oz jars</t>
  </si>
  <si>
    <t>Laughing Lumberjack Lager</t>
  </si>
  <si>
    <t>Scottish Longbreads</t>
  </si>
  <si>
    <t>10 boxes x 8 pieces</t>
  </si>
  <si>
    <t>Gudbrandsdalsost</t>
  </si>
  <si>
    <t>10 kg pkg.</t>
  </si>
  <si>
    <t>Outback Lager</t>
  </si>
  <si>
    <t>24 - 355 ml bottles</t>
  </si>
  <si>
    <t>Flotemysost</t>
  </si>
  <si>
    <t>Mozzarella di Giovanni</t>
  </si>
  <si>
    <t>Röd Kaviar</t>
  </si>
  <si>
    <t>24 - 150 g jars</t>
  </si>
  <si>
    <t>Longlife Tofu</t>
  </si>
  <si>
    <t>Rhönbräu Klosterbier</t>
  </si>
  <si>
    <t>24 - 0.5 l bottles</t>
  </si>
  <si>
    <t>Lakkalikööri</t>
  </si>
  <si>
    <t>500 ml</t>
  </si>
  <si>
    <t>Original Frankfurter grüne Soße</t>
  </si>
  <si>
    <t>12 boxes</t>
  </si>
  <si>
    <t>Exotic Liquids</t>
  </si>
  <si>
    <t>Charlotte Cooper</t>
  </si>
  <si>
    <t>Purchasing Manager</t>
  </si>
  <si>
    <t>49 Gilbert St.</t>
  </si>
  <si>
    <t>EC1 4SD</t>
  </si>
  <si>
    <t>(171) 555-2222</t>
  </si>
  <si>
    <t>New Orleans Cajun Delights</t>
  </si>
  <si>
    <t>Shelley Burke</t>
  </si>
  <si>
    <t>P.O. Box 78934</t>
  </si>
  <si>
    <t>New Orleans</t>
  </si>
  <si>
    <t>LA</t>
  </si>
  <si>
    <t>(100) 555-4822</t>
  </si>
  <si>
    <t>Grandma Kelly's Homestead</t>
  </si>
  <si>
    <t>Regina Murphy</t>
  </si>
  <si>
    <t>707 Oxford Rd.</t>
  </si>
  <si>
    <t>Ann Arbor</t>
  </si>
  <si>
    <t>MI</t>
  </si>
  <si>
    <t>(313) 555-5735</t>
  </si>
  <si>
    <t>(313) 555-3349</t>
  </si>
  <si>
    <t>Tokyo Traders</t>
  </si>
  <si>
    <t>Yoshi Nagase</t>
  </si>
  <si>
    <t>9-8 Sekimai Musashino-shi</t>
  </si>
  <si>
    <t>Tokyo</t>
  </si>
  <si>
    <t>Japan</t>
  </si>
  <si>
    <t>(03) 3555-5011</t>
  </si>
  <si>
    <t>Cooperativa de Quesos 'Las Cabras'</t>
  </si>
  <si>
    <t>Antonio del Valle Saavedra</t>
  </si>
  <si>
    <t>Export Administrator</t>
  </si>
  <si>
    <t>Calle del Rosal 4</t>
  </si>
  <si>
    <t>Oviedo</t>
  </si>
  <si>
    <t>Asturias</t>
  </si>
  <si>
    <t>(98) 598 76 54</t>
  </si>
  <si>
    <t>Mayumi's</t>
  </si>
  <si>
    <t>Mayumi Ohno</t>
  </si>
  <si>
    <t>Marketing Representative</t>
  </si>
  <si>
    <t>92 Setsuko Chuo-ku</t>
  </si>
  <si>
    <t>Osaka</t>
  </si>
  <si>
    <t>(06) 431-7877</t>
  </si>
  <si>
    <t> Ltd.</t>
  </si>
  <si>
    <t>Ian Devling</t>
  </si>
  <si>
    <t>Marketing Manager 74 Rose St. Moonie Ponds</t>
  </si>
  <si>
    <t>Melbourne</t>
  </si>
  <si>
    <t>Victoria</t>
  </si>
  <si>
    <t>Australia</t>
  </si>
  <si>
    <t>(03) 444-2343</t>
  </si>
  <si>
    <t>(03) 444-6588</t>
  </si>
  <si>
    <t>Specialty Biscuits</t>
  </si>
  <si>
    <t>Peter Wilson</t>
  </si>
  <si>
    <t>Sales Representative 29 King's Way</t>
  </si>
  <si>
    <t>Manchester</t>
  </si>
  <si>
    <t>M14 GSD</t>
  </si>
  <si>
    <t>(161) 555-4448</t>
  </si>
  <si>
    <t>PB Knäckebröd AB</t>
  </si>
  <si>
    <t>Lars Peterson</t>
  </si>
  <si>
    <t>Kaloadagatan 13</t>
  </si>
  <si>
    <t>Göteborg</t>
  </si>
  <si>
    <t>S-345 67</t>
  </si>
  <si>
    <t>031-987 65 43</t>
  </si>
  <si>
    <t>031-987 65 91</t>
  </si>
  <si>
    <t>Refrescos Americanas LTDA</t>
  </si>
  <si>
    <t>Carlos Diaz</t>
  </si>
  <si>
    <t>Av. das Americanas 12.890</t>
  </si>
  <si>
    <t>(11) 555 4640</t>
  </si>
  <si>
    <t>Heli Süßwaren GmbH &amp; Co. KG</t>
  </si>
  <si>
    <t>Petra Winkler</t>
  </si>
  <si>
    <t>Tiergartenstraße 5</t>
  </si>
  <si>
    <t>(010) 9984510</t>
  </si>
  <si>
    <t>Plutzer Lebensmittelgroßmärkte AG</t>
  </si>
  <si>
    <t>Martin Bein</t>
  </si>
  <si>
    <t>International Marketing Mgr.</t>
  </si>
  <si>
    <t>Bogenallee 51</t>
  </si>
  <si>
    <t>Frankfurt</t>
  </si>
  <si>
    <t>(069) 992755</t>
  </si>
  <si>
    <t>Nord-Ost-Fisch Handelsgesellschaft mbH</t>
  </si>
  <si>
    <t>Sven Petersen</t>
  </si>
  <si>
    <t>Coordinator Foreign Markets</t>
  </si>
  <si>
    <t>Frahmredder 112a</t>
  </si>
  <si>
    <t>Cuxhaven</t>
  </si>
  <si>
    <t>(04721) 8713</t>
  </si>
  <si>
    <t>(04721) 8714</t>
  </si>
  <si>
    <t>Formaggi Fortini s.r.l.</t>
  </si>
  <si>
    <t>Elio Rossi</t>
  </si>
  <si>
    <t>Viale Dante 75</t>
  </si>
  <si>
    <t>Ravenna</t>
  </si>
  <si>
    <t>(0544) 60323</t>
  </si>
  <si>
    <t>(0544) 60603</t>
  </si>
  <si>
    <t>Norske Meierier</t>
  </si>
  <si>
    <t>Beate Vileid</t>
  </si>
  <si>
    <t>Hatlevegen 5</t>
  </si>
  <si>
    <t>Sandvika</t>
  </si>
  <si>
    <t>(0)2-953010</t>
  </si>
  <si>
    <t>Bigfoot Breweries</t>
  </si>
  <si>
    <t>Cheryl Saylor</t>
  </si>
  <si>
    <t>Regional Account Rep.</t>
  </si>
  <si>
    <t>3400 - 8th Avenue Suite 210</t>
  </si>
  <si>
    <t>Bend</t>
  </si>
  <si>
    <t>Svensk Sjöföda AB</t>
  </si>
  <si>
    <t>Michael Björn</t>
  </si>
  <si>
    <t>Brovallavägen 231</t>
  </si>
  <si>
    <t>Stockholm</t>
  </si>
  <si>
    <t>S-123 45</t>
  </si>
  <si>
    <t>08-123 45 67</t>
  </si>
  <si>
    <t>Aux joyeux ecclésiastiques</t>
  </si>
  <si>
    <t>Guylène Nodier</t>
  </si>
  <si>
    <t>203  Rue des Francs-Bourgeois</t>
  </si>
  <si>
    <t>(1) 03.83.00.68</t>
  </si>
  <si>
    <t>(1) 03.83.00.62</t>
  </si>
  <si>
    <t>New England Seafood Cannery</t>
  </si>
  <si>
    <t>Robb Merchant</t>
  </si>
  <si>
    <t>Wholesale Account Agent</t>
  </si>
  <si>
    <t>Order Processing Dept. 2100 Paul Revere Blvd.</t>
  </si>
  <si>
    <t>Boston</t>
  </si>
  <si>
    <t>MA</t>
  </si>
  <si>
    <t>(617) 555-3267</t>
  </si>
  <si>
    <t>(617) 555-3389</t>
  </si>
  <si>
    <t>Leka Trading</t>
  </si>
  <si>
    <t>Chandra Leka</t>
  </si>
  <si>
    <t>471 Serangoon Loop Suite #402</t>
  </si>
  <si>
    <t>Singapore</t>
  </si>
  <si>
    <t>555-8787</t>
  </si>
  <si>
    <t>Lyngbysild</t>
  </si>
  <si>
    <t>Niels Petersen</t>
  </si>
  <si>
    <t>Lyngbysild Fiskebakken 10</t>
  </si>
  <si>
    <t>Lyngby</t>
  </si>
  <si>
    <t>Zaanse Snoepfabriek</t>
  </si>
  <si>
    <t>Dirk Luchte</t>
  </si>
  <si>
    <t>Verkoop Rijnweg 22</t>
  </si>
  <si>
    <t>Zaandam</t>
  </si>
  <si>
    <t>9999 ZZ</t>
  </si>
  <si>
    <t>Netherlands</t>
  </si>
  <si>
    <t>(12345) 1212</t>
  </si>
  <si>
    <t>(12345) 1210</t>
  </si>
  <si>
    <t>Karkki Oy</t>
  </si>
  <si>
    <t>Anne Heikkonen</t>
  </si>
  <si>
    <t>Product Manager</t>
  </si>
  <si>
    <t>Valtakatu 12</t>
  </si>
  <si>
    <t>Lappeenranta</t>
  </si>
  <si>
    <t>(953) 10956</t>
  </si>
  <si>
    <t>G'day</t>
  </si>
  <si>
    <t> Mate</t>
  </si>
  <si>
    <t>Wendy Mackenzie</t>
  </si>
  <si>
    <t>Sales Representative 170 Prince Edward Parade Hunter's Hill</t>
  </si>
  <si>
    <t>Sydney</t>
  </si>
  <si>
    <t>NSW</t>
  </si>
  <si>
    <t>(02) 555-5914</t>
  </si>
  <si>
    <t>(02) 555-4873</t>
  </si>
  <si>
    <t>Ma Maison</t>
  </si>
  <si>
    <t>Jean-Guy Lauzon</t>
  </si>
  <si>
    <t>2960 Rue St. Laurent</t>
  </si>
  <si>
    <t>(514) 555-9022</t>
  </si>
  <si>
    <t>Pasta Buttini s.r.l.</t>
  </si>
  <si>
    <t>Giovanni Giudici</t>
  </si>
  <si>
    <t>Via dei Gelsomini 153</t>
  </si>
  <si>
    <t>Salerno</t>
  </si>
  <si>
    <t>(089) 6547665</t>
  </si>
  <si>
    <t>(089) 6547667</t>
  </si>
  <si>
    <t>Escargots Nouveaux</t>
  </si>
  <si>
    <t>Marie Delamare</t>
  </si>
  <si>
    <t>22  rue H. Voiron</t>
  </si>
  <si>
    <t>Montceau</t>
  </si>
  <si>
    <t>85.57.00.07</t>
  </si>
  <si>
    <t>Gai pâturage</t>
  </si>
  <si>
    <t>Eliane Noz</t>
  </si>
  <si>
    <t>Bat. B 3  rue des Alpes</t>
  </si>
  <si>
    <t>Annecy</t>
  </si>
  <si>
    <t>38.76.98.06</t>
  </si>
  <si>
    <t>38.76.98.58</t>
  </si>
  <si>
    <t>Forêts d'érables</t>
  </si>
  <si>
    <t>Chantal Goulet</t>
  </si>
  <si>
    <t>148 rue Chasseur</t>
  </si>
  <si>
    <t>Ste-Hyacinthe</t>
  </si>
  <si>
    <t>J2S 7S8</t>
  </si>
  <si>
    <t>(514) 555-2955</t>
  </si>
  <si>
    <t>(514) 555-2921</t>
  </si>
  <si>
    <t>categoryName</t>
  </si>
  <si>
    <t>description</t>
  </si>
  <si>
    <t>Beverages</t>
  </si>
  <si>
    <t>Soft drinks, coffees, teas, beers, and ales</t>
  </si>
  <si>
    <t>Condiments</t>
  </si>
  <si>
    <t>Sweet and savory sauces, relishes, spreads, and seasonings</t>
  </si>
  <si>
    <t>Confections</t>
  </si>
  <si>
    <t>Desserts, candies, and sweet breads</t>
  </si>
  <si>
    <t>Dairy Products</t>
  </si>
  <si>
    <t>Cheeses</t>
  </si>
  <si>
    <t>Grains/Cereals</t>
  </si>
  <si>
    <t>Breads, crackers, pasta, and cereal</t>
  </si>
  <si>
    <t>Meat/Poultry</t>
  </si>
  <si>
    <t>Prepared meats</t>
  </si>
  <si>
    <t>Produce</t>
  </si>
  <si>
    <t>Dried fruit and bean curd</t>
  </si>
  <si>
    <t>Seafood</t>
  </si>
  <si>
    <t>Seaweed and fish</t>
  </si>
  <si>
    <t>Nombre</t>
  </si>
  <si>
    <t>Rango</t>
  </si>
  <si>
    <t>Campo</t>
  </si>
  <si>
    <t>Tipo</t>
  </si>
  <si>
    <t>Faltantes</t>
  </si>
  <si>
    <t>Descripcion</t>
  </si>
  <si>
    <t>Analizable</t>
  </si>
  <si>
    <t>Orders</t>
  </si>
  <si>
    <t>A2:A831</t>
  </si>
  <si>
    <t>#Orden</t>
  </si>
  <si>
    <t>B2:B831</t>
  </si>
  <si>
    <t>#Cliente</t>
  </si>
  <si>
    <t>C2:C831</t>
  </si>
  <si>
    <t>#Empleado</t>
  </si>
  <si>
    <t>D2:D831</t>
  </si>
  <si>
    <t>Fecha</t>
  </si>
  <si>
    <t>Fecha de solicitud</t>
  </si>
  <si>
    <t>E2:E831</t>
  </si>
  <si>
    <t>Fecha de requerimiento</t>
  </si>
  <si>
    <t>F2:F831</t>
  </si>
  <si>
    <t>Fecha de envío</t>
  </si>
  <si>
    <t>G2:G831</t>
  </si>
  <si>
    <t>#Transportista</t>
  </si>
  <si>
    <t>H2:H831</t>
  </si>
  <si>
    <t>Moneda</t>
  </si>
  <si>
    <t>Costo de envío</t>
  </si>
  <si>
    <t>I2:I831</t>
  </si>
  <si>
    <t>Texto</t>
  </si>
  <si>
    <t>Nombre del comercio de envío</t>
  </si>
  <si>
    <t>J2:J831</t>
  </si>
  <si>
    <t>Dirección envío</t>
  </si>
  <si>
    <t>K2:K831</t>
  </si>
  <si>
    <t>Categoria</t>
  </si>
  <si>
    <t>Ciudad de envío</t>
  </si>
  <si>
    <t>L2:L831</t>
  </si>
  <si>
    <t>Región de envío</t>
  </si>
  <si>
    <t>M2:M831</t>
  </si>
  <si>
    <t>Código postal envío</t>
  </si>
  <si>
    <t>N2:N831</t>
  </si>
  <si>
    <t>País envío</t>
  </si>
  <si>
    <t>OrderDetails</t>
  </si>
  <si>
    <t>A2:A2156</t>
  </si>
  <si>
    <t>B2:B2156</t>
  </si>
  <si>
    <t>#Producto</t>
  </si>
  <si>
    <t>C2:C2156</t>
  </si>
  <si>
    <t>Precio unitario</t>
  </si>
  <si>
    <t>D2:D2156</t>
  </si>
  <si>
    <t>Entero</t>
  </si>
  <si>
    <t>Cantidad solicitada</t>
  </si>
  <si>
    <t>E2:E2156</t>
  </si>
  <si>
    <t>Porcentaje</t>
  </si>
  <si>
    <t>Descuento aplicado</t>
  </si>
  <si>
    <t>Customers</t>
  </si>
  <si>
    <t>A2:A92</t>
  </si>
  <si>
    <t>B2:B92</t>
  </si>
  <si>
    <t>Nombre del comercio</t>
  </si>
  <si>
    <t>C2:C92</t>
  </si>
  <si>
    <t>Persona de contacto del comercio</t>
  </si>
  <si>
    <t>D2:D92</t>
  </si>
  <si>
    <t>Puesto de la persona de contacto del comercio</t>
  </si>
  <si>
    <t>E2:E92</t>
  </si>
  <si>
    <t>Dirección del comercio</t>
  </si>
  <si>
    <t>F2:F92</t>
  </si>
  <si>
    <t>Ciudad del comercio</t>
  </si>
  <si>
    <t>G2:G92</t>
  </si>
  <si>
    <t>Región del comercio</t>
  </si>
  <si>
    <t>H2:H92</t>
  </si>
  <si>
    <t>Código postal comercio</t>
  </si>
  <si>
    <t>I2:I92</t>
  </si>
  <si>
    <t>País del comercio</t>
  </si>
  <si>
    <t>J2:J92</t>
  </si>
  <si>
    <t>Teléfono del comercio</t>
  </si>
  <si>
    <t>K2:K92</t>
  </si>
  <si>
    <t>Fax del comercio</t>
  </si>
  <si>
    <t>Employees</t>
  </si>
  <si>
    <t>A2:A9</t>
  </si>
  <si>
    <t>B2:B9</t>
  </si>
  <si>
    <t>Apellido del empleado</t>
  </si>
  <si>
    <t>C2:C9</t>
  </si>
  <si>
    <t>Nombre del empleado</t>
  </si>
  <si>
    <t>D2:D9</t>
  </si>
  <si>
    <t>Puesto</t>
  </si>
  <si>
    <t>E2:E9</t>
  </si>
  <si>
    <t>Referencia educativa</t>
  </si>
  <si>
    <t>F2:F9</t>
  </si>
  <si>
    <t>Fecha de nacimiento</t>
  </si>
  <si>
    <t>G2:G9</t>
  </si>
  <si>
    <t>Fecha de contratación</t>
  </si>
  <si>
    <t>H2:H9</t>
  </si>
  <si>
    <t>Dirección del empleado</t>
  </si>
  <si>
    <t>I2:I9</t>
  </si>
  <si>
    <t>Ciudad del empleado</t>
  </si>
  <si>
    <t>J2:J9</t>
  </si>
  <si>
    <t>Región del empleado</t>
  </si>
  <si>
    <t>K2:K9</t>
  </si>
  <si>
    <t>Código postal del empleado</t>
  </si>
  <si>
    <t>L2:L9</t>
  </si>
  <si>
    <t>País del empleado</t>
  </si>
  <si>
    <t>M2:M9</t>
  </si>
  <si>
    <t>Teléfono del empleado</t>
  </si>
  <si>
    <t>N2:N9</t>
  </si>
  <si>
    <t>Extensión del teléfono</t>
  </si>
  <si>
    <t>O2:O9</t>
  </si>
  <si>
    <t>Notas y comentarios</t>
  </si>
  <si>
    <t>P2:P9</t>
  </si>
  <si>
    <t>ID del jefe inmediato</t>
  </si>
  <si>
    <t>Q2:Q9</t>
  </si>
  <si>
    <t>Foto del empleado</t>
  </si>
  <si>
    <t>R2:R9</t>
  </si>
  <si>
    <t>Educación principal</t>
  </si>
  <si>
    <t>S2:S9</t>
  </si>
  <si>
    <t>Grado académico (BA, MA, PhD…)</t>
  </si>
  <si>
    <t>T2:T9</t>
  </si>
  <si>
    <t>Área / modalidad (Arts, Science…)</t>
  </si>
  <si>
    <t>U2:U9</t>
  </si>
  <si>
    <t>Binario</t>
  </si>
  <si>
    <t>Especialización académica</t>
  </si>
  <si>
    <t>V2:V9</t>
  </si>
  <si>
    <t>Tipo de educación (Psychology…)</t>
  </si>
  <si>
    <t>W2:W9</t>
  </si>
  <si>
    <t>Cursos adicionales o certificados</t>
  </si>
  <si>
    <t>X2:X9</t>
  </si>
  <si>
    <t>Habla francés</t>
  </si>
  <si>
    <t>Y2:Y9</t>
  </si>
  <si>
    <t>Habla alemán</t>
  </si>
  <si>
    <t>Z2:Z9</t>
  </si>
  <si>
    <t>Experiencia internacional</t>
  </si>
  <si>
    <t>AA2:AA9</t>
  </si>
  <si>
    <t>Enfoque en idiomas</t>
  </si>
  <si>
    <t>Shippers</t>
  </si>
  <si>
    <t>A2:A3</t>
  </si>
  <si>
    <t>B2:B3</t>
  </si>
  <si>
    <t>Nombre del transportista</t>
  </si>
  <si>
    <t>C2:C3</t>
  </si>
  <si>
    <t>Teléfono del transportista</t>
  </si>
  <si>
    <t>Products</t>
  </si>
  <si>
    <t>A2:A78</t>
  </si>
  <si>
    <t>B2:B78</t>
  </si>
  <si>
    <t>Nombre del producto</t>
  </si>
  <si>
    <t>C2:C78</t>
  </si>
  <si>
    <t>#Proveedor</t>
  </si>
  <si>
    <t>D2:D78</t>
  </si>
  <si>
    <t>#CategoríaProducto</t>
  </si>
  <si>
    <t>E2:E78</t>
  </si>
  <si>
    <t>Cantidad por pedido</t>
  </si>
  <si>
    <t>F2:F78</t>
  </si>
  <si>
    <t>G2:G78</t>
  </si>
  <si>
    <t>Unidades disponibles</t>
  </si>
  <si>
    <t>H2:H78</t>
  </si>
  <si>
    <t>Unidades en espera de abastecimiento</t>
  </si>
  <si>
    <t>I2:I78</t>
  </si>
  <si>
    <t>Nivel de abastecimiento</t>
  </si>
  <si>
    <t>J2:J78</t>
  </si>
  <si>
    <t>Descontinuado</t>
  </si>
  <si>
    <t>Suppliers</t>
  </si>
  <si>
    <t>A2:A30</t>
  </si>
  <si>
    <t>B2:B30</t>
  </si>
  <si>
    <t>Nombre del proveedor</t>
  </si>
  <si>
    <t>C2:C30</t>
  </si>
  <si>
    <t>Persona de contacto del proveedor</t>
  </si>
  <si>
    <t>D2:D30</t>
  </si>
  <si>
    <t>Puesto de la persona de contacto del proveedor</t>
  </si>
  <si>
    <t>E2:E30</t>
  </si>
  <si>
    <t>Dirección del proveedor</t>
  </si>
  <si>
    <t>F2:F30</t>
  </si>
  <si>
    <t>Ciudad del proveedor</t>
  </si>
  <si>
    <t>G2:G30</t>
  </si>
  <si>
    <t>Región del proveedor</t>
  </si>
  <si>
    <t>H2:H30</t>
  </si>
  <si>
    <t>Código postal proveedor</t>
  </si>
  <si>
    <t>I2:I30</t>
  </si>
  <si>
    <t>País del proveedor</t>
  </si>
  <si>
    <t>J2:J30</t>
  </si>
  <si>
    <t>Teléfono del proveedor</t>
  </si>
  <si>
    <t>K2:K30</t>
  </si>
  <si>
    <t>Fax del proveedor</t>
  </si>
  <si>
    <t>Categories</t>
  </si>
  <si>
    <t>A2:A8</t>
  </si>
  <si>
    <t>B2:B8</t>
  </si>
  <si>
    <t>Nombre de la categoría</t>
  </si>
  <si>
    <t>C2:C8</t>
  </si>
  <si>
    <t>Descripción de la categoría</t>
  </si>
  <si>
    <t>D2:D8</t>
  </si>
  <si>
    <t>drinks</t>
  </si>
  <si>
    <t>Bebidas</t>
  </si>
  <si>
    <t>E2:E8</t>
  </si>
  <si>
    <t>species</t>
  </si>
  <si>
    <t>Especies</t>
  </si>
  <si>
    <t>F2:F8</t>
  </si>
  <si>
    <t>candies</t>
  </si>
  <si>
    <t>Dulces</t>
  </si>
  <si>
    <t>G2:G8</t>
  </si>
  <si>
    <t>foods</t>
  </si>
  <si>
    <t>Alimentos</t>
  </si>
  <si>
    <t>H2:H8</t>
  </si>
  <si>
    <t>fruits</t>
  </si>
  <si>
    <t>Frutos y semillas</t>
  </si>
  <si>
    <t>I2:I8</t>
  </si>
  <si>
    <t>meat</t>
  </si>
  <si>
    <t>Carnes</t>
  </si>
  <si>
    <t>J2:J8</t>
  </si>
  <si>
    <t>bread</t>
  </si>
  <si>
    <t>Pan y cereales</t>
  </si>
  <si>
    <t>AnalisisSimple</t>
  </si>
  <si>
    <t>Indicador</t>
  </si>
  <si>
    <t>Total de órdenes</t>
  </si>
  <si>
    <t>TO</t>
  </si>
  <si>
    <t>Órdenes por cliente</t>
  </si>
  <si>
    <t>TOC</t>
  </si>
  <si>
    <t>• Órdenes por empleado
•  Clientes por empleado</t>
  </si>
  <si>
    <t>TOE
TO-CE</t>
  </si>
  <si>
    <t>Órdenes por fecha de solicitud</t>
  </si>
  <si>
    <t>TO-FS</t>
  </si>
  <si>
    <t>Días de requerimiento desde la solicitud</t>
  </si>
  <si>
    <t>D-S</t>
  </si>
  <si>
    <t>• Días de envío desde la solicitud
• Días de adelanto antes del requerimiento</t>
  </si>
  <si>
    <t>D-ES
D-AR</t>
  </si>
  <si>
    <t>Órdenes por transportista</t>
  </si>
  <si>
    <t>T-OT</t>
  </si>
  <si>
    <t>freight</t>
  </si>
  <si>
    <t>• Costo promedio de envío
• Costo total de envío
• Costo total de envío por cliente
• Costo total de envío por empleado
• Costo promedio de envío por empleado
• Costo total de envío por ciudad
• Costo total de envío por país
• Costo promedio de envío por país</t>
  </si>
  <si>
    <t xml:space="preserve">CXV
CYV
CY-VC
CY-VE
CY-VJ
CY-VK
CX-VK </t>
  </si>
  <si>
    <t>Órdenes por ciudad</t>
  </si>
  <si>
    <t>TOJ</t>
  </si>
  <si>
    <t>Órdenes por país</t>
  </si>
  <si>
    <t>TOK</t>
  </si>
  <si>
    <t>Total de detalles de órdenes</t>
  </si>
  <si>
    <t>T-OD</t>
  </si>
  <si>
    <t>Total de productos por orden (x cantidad)</t>
  </si>
  <si>
    <t>TOP</t>
  </si>
  <si>
    <t>unitPrice</t>
  </si>
  <si>
    <t>• Precio total por orden (x cantidad)
• Precio promedio por orden (x cantidad)
• Precio promedio por producto (x cantidad)
• Precio total por producto (x cantidad)</t>
  </si>
  <si>
    <t>UY
UX
UXP
UYP</t>
  </si>
  <si>
    <t>quantity</t>
  </si>
  <si>
    <t>Unidades por orden y producto</t>
  </si>
  <si>
    <t>QP</t>
  </si>
  <si>
    <t>• Descuento total por orden (precio x cantidad)
• Descuento total por orden y producto (precio x cantidad)</t>
  </si>
  <si>
    <t>DY
DYP</t>
  </si>
  <si>
    <t>Total de clientes</t>
  </si>
  <si>
    <t>TC</t>
  </si>
  <si>
    <t>• Clientes por puesto
• Total de propietarios
• Porcentaje de propietarios</t>
  </si>
  <si>
    <t>T-CH
T-CW
G-CW</t>
  </si>
  <si>
    <t>Clientes por ciudad</t>
  </si>
  <si>
    <t>T-CJ</t>
  </si>
  <si>
    <t>Clientes por país</t>
  </si>
  <si>
    <t>T-CK</t>
  </si>
  <si>
    <t>Total de Empleados</t>
  </si>
  <si>
    <t>TE</t>
  </si>
  <si>
    <t>Empleados por puesto</t>
  </si>
  <si>
    <t>E1</t>
  </si>
  <si>
    <t>Empleados por título educativo</t>
  </si>
  <si>
    <t>E2</t>
  </si>
  <si>
    <t>Empleados por edad</t>
  </si>
  <si>
    <t>Empleados por antigüedad en meses de contratación</t>
  </si>
  <si>
    <t>E3</t>
  </si>
  <si>
    <t>Empleados por ciudad</t>
  </si>
  <si>
    <t>EJ</t>
  </si>
  <si>
    <t>Empleados por país</t>
  </si>
  <si>
    <t>EK</t>
  </si>
  <si>
    <t>Empleados por jefe</t>
  </si>
  <si>
    <t>EE</t>
  </si>
  <si>
    <t>Empleados por carrera</t>
  </si>
  <si>
    <t>E4</t>
  </si>
  <si>
    <t>Empleados por tipo de carrera</t>
  </si>
  <si>
    <t>E5</t>
  </si>
  <si>
    <t>Empleados especialidos</t>
  </si>
  <si>
    <t>E6</t>
  </si>
  <si>
    <t>Empleados por tipo de educación</t>
  </si>
  <si>
    <t>E7</t>
  </si>
  <si>
    <t>Empleados por cursos extra</t>
  </si>
  <si>
    <t>E8</t>
  </si>
  <si>
    <t>Empleados con dominio del francés</t>
  </si>
  <si>
    <t>E9</t>
  </si>
  <si>
    <t>Empleados con dominio del alemán</t>
  </si>
  <si>
    <t>E-10</t>
  </si>
  <si>
    <t>Empleados con experiencia internacional</t>
  </si>
  <si>
    <t>E-11</t>
  </si>
  <si>
    <t>Empleados con enfoque en lenguas</t>
  </si>
  <si>
    <t>E-12</t>
  </si>
  <si>
    <t>Total de transportistas</t>
  </si>
  <si>
    <t>T-T</t>
  </si>
  <si>
    <t>Total de productos</t>
  </si>
  <si>
    <t>TP</t>
  </si>
  <si>
    <t>Total de productos por proveedor</t>
  </si>
  <si>
    <t>TPR</t>
  </si>
  <si>
    <t>Total de productos por categoría</t>
  </si>
  <si>
    <t>TPZ</t>
  </si>
  <si>
    <t>• Top de productos baratos
• Top de productos caros
• Precio promedio de los productos
• Precio mínimo de los productos
• Precio máximo de los productos
• Precio Q1 de los productos
• Precio Q2 de los productos
• Precio Q3 de los productos
• Precio máximo ajustado de los productos
• Precio mínimo ajustado de los productos</t>
  </si>
  <si>
    <t xml:space="preserve">LP-A
LP-B
XP
AP
BP
Q1P
Q2P
Q3P
A*P
B*P
</t>
  </si>
  <si>
    <t>• Productos sin existencias
• Total de productos sin existencias
• Precio acumulado en existencias por producto
• Total acumulado en existencia de los productos</t>
  </si>
  <si>
    <t>LP1
TP1
SP1
TSP1</t>
  </si>
  <si>
    <t>• Productos en abacestimiento
• Total de productos en abastecimiento
• Precio acumulado en abastecimiento por producto
• Total acumulado en abastecimiento de los productos</t>
  </si>
  <si>
    <t>LP2
TP2
SP2
TSP2</t>
  </si>
  <si>
    <t>• Demanda de los productos</t>
  </si>
  <si>
    <t>FP</t>
  </si>
  <si>
    <t>• Productos desconcontinuados
• Total de productos desconcontinuados
• Total acumulado de existencias en productos descontinuados
• Total acumulado de abastecimiento en productos descontinuados</t>
  </si>
  <si>
    <t>LP3
TP3
SP3
TSP3</t>
  </si>
  <si>
    <t>Total de proveedores</t>
  </si>
  <si>
    <t>TR</t>
  </si>
  <si>
    <t>Total de proveedores por puesto del contacto</t>
  </si>
  <si>
    <t>TR1</t>
  </si>
  <si>
    <t>Total de proveedores por ciudad</t>
  </si>
  <si>
    <t>TRJ</t>
  </si>
  <si>
    <t>Total de proveedores por país</t>
  </si>
  <si>
    <t>TRK</t>
  </si>
  <si>
    <t>Total de categorías</t>
  </si>
  <si>
    <t>TZ</t>
  </si>
  <si>
    <t>Z1</t>
  </si>
  <si>
    <t>Z2</t>
  </si>
  <si>
    <t>Z3</t>
  </si>
  <si>
    <t>Z4</t>
  </si>
  <si>
    <t>Z5</t>
  </si>
  <si>
    <t>Z6</t>
  </si>
  <si>
    <t>Z7</t>
  </si>
  <si>
    <t>Z8</t>
  </si>
  <si>
    <t>Dashboard de Órdenes</t>
  </si>
  <si>
    <t>Total</t>
  </si>
  <si>
    <t>Cliente</t>
  </si>
  <si>
    <t>Órdenes</t>
  </si>
  <si>
    <t>Empleado</t>
  </si>
  <si>
    <t>Clientes</t>
  </si>
  <si>
    <t>Desde</t>
  </si>
  <si>
    <t>Hasta</t>
  </si>
  <si>
    <t>Mes</t>
  </si>
  <si>
    <t>Transportista</t>
  </si>
  <si>
    <t>Días comp.</t>
  </si>
  <si>
    <t>Días env.</t>
  </si>
  <si>
    <t>Días falt.</t>
  </si>
  <si>
    <t xml:space="preserve"> </t>
  </si>
  <si>
    <t>TOE</t>
  </si>
  <si>
    <t>TO-CE</t>
  </si>
  <si>
    <t>D-ER</t>
  </si>
  <si>
    <t>D-AR</t>
  </si>
  <si>
    <t>Inferiores</t>
  </si>
  <si>
    <t>Superiores</t>
  </si>
  <si>
    <t>Dashboard Ganancias</t>
  </si>
  <si>
    <t>subtotal1</t>
  </si>
  <si>
    <t>subtotal2</t>
  </si>
  <si>
    <t>subtotal3</t>
  </si>
  <si>
    <t>cost</t>
  </si>
  <si>
    <t>subtotal4</t>
  </si>
  <si>
    <t>margen</t>
  </si>
  <si>
    <t>Etiquetas de fila</t>
  </si>
  <si>
    <t>Total general</t>
  </si>
  <si>
    <t>Cuenta de orderID</t>
  </si>
  <si>
    <t>Cuenta de customerID</t>
  </si>
  <si>
    <t>1996</t>
  </si>
  <si>
    <t>1997</t>
  </si>
  <si>
    <t>1998</t>
  </si>
  <si>
    <t>jul</t>
  </si>
  <si>
    <t>ago</t>
  </si>
  <si>
    <t>sep</t>
  </si>
  <si>
    <t>oct</t>
  </si>
  <si>
    <t>nov</t>
  </si>
  <si>
    <t>dic</t>
  </si>
  <si>
    <t>ene</t>
  </si>
  <si>
    <t>feb</t>
  </si>
  <si>
    <t>mar</t>
  </si>
  <si>
    <t>abr</t>
  </si>
  <si>
    <t>may</t>
  </si>
  <si>
    <t>jun</t>
  </si>
  <si>
    <t>diasEspera</t>
  </si>
  <si>
    <t>diasEnvio</t>
  </si>
  <si>
    <t>diasAdelento</t>
  </si>
  <si>
    <t>Promedio de diasEspera</t>
  </si>
  <si>
    <t>Promedio de diasEnvio</t>
  </si>
  <si>
    <t>Promedio de diasAdelento</t>
  </si>
  <si>
    <t>Suma de subtotal4</t>
  </si>
  <si>
    <t>Suma de subtotal3</t>
  </si>
  <si>
    <t>Suma de margen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</si>
</sst>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quot;$&quot;#,##0.00;[Red]\-&quot;$&quot;#,##0.00"/>
    <numFmt numFmtId="44" formatCode="_-&quot;$&quot;* #,##0.00_-;\-&quot;$&quot;* #,##0.00_-;_-&quot;$&quot;* &quot;-&quot;??_-;_-@_-"/>
    <numFmt numFmtId="164" formatCode="mmmm/yy"/>
    <numFmt numFmtId="165" formatCode="0.0"/>
  </numFmts>
  <fonts count="7" x14ac:knownFonts="1">
    <font>
      <sz val="12"/>
      <color theme="1"/>
      <name val="Aptos Narrow"/>
      <family val="2"/>
      <scheme val="minor"/>
    </font>
    <font>
      <sz val="12"/>
      <color theme="0"/>
      <name val="Aptos Narrow"/>
      <family val="2"/>
      <scheme val="minor"/>
    </font>
    <font>
      <sz val="12"/>
      <color rgb="FF000000"/>
      <name val="Aptos Narrow"/>
      <family val="2"/>
      <scheme val="minor"/>
    </font>
    <font>
      <sz val="12"/>
      <color rgb="FF000000"/>
      <name val="Aptos Narrow"/>
    </font>
    <font>
      <sz val="12"/>
      <color theme="1"/>
      <name val="Aptos Narrow"/>
      <family val="2"/>
      <scheme val="minor"/>
    </font>
    <font>
      <sz val="12"/>
      <name val="Aptos Narrow"/>
      <family val="2"/>
      <scheme val="minor"/>
    </font>
    <font>
      <sz val="8"/>
      <name val="Aptos Narrow"/>
      <family val="2"/>
      <scheme val="minor"/>
    </font>
  </fonts>
  <fills count="11">
    <fill>
      <patternFill patternType="none"/>
    </fill>
    <fill>
      <patternFill patternType="gray125"/>
    </fill>
    <fill>
      <patternFill patternType="solid">
        <fgColor theme="8" tint="0.79998168889431442"/>
        <bgColor indexed="64"/>
      </patternFill>
    </fill>
    <fill>
      <patternFill patternType="solid">
        <fgColor rgb="FF00206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2"/>
        <bgColor indexed="64"/>
      </patternFill>
    </fill>
    <fill>
      <patternFill patternType="solid">
        <fgColor theme="4" tint="0.79998168889431442"/>
        <bgColor indexed="64"/>
      </patternFill>
    </fill>
    <fill>
      <patternFill patternType="solid">
        <fgColor theme="3" tint="0.89999084444715716"/>
        <bgColor indexed="64"/>
      </patternFill>
    </fill>
    <fill>
      <patternFill patternType="solid">
        <fgColor theme="1"/>
        <bgColor indexed="64"/>
      </patternFill>
    </fill>
    <fill>
      <patternFill patternType="solid">
        <fgColor rgb="FFFFFF00"/>
        <bgColor indexed="64"/>
      </patternFill>
    </fill>
  </fills>
  <borders count="18">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44" fontId="4" fillId="0" borderId="0" applyFont="0" applyFill="0" applyBorder="0" applyAlignment="0" applyProtection="0"/>
    <xf numFmtId="9" fontId="4" fillId="0" borderId="0" applyFont="0" applyFill="0" applyBorder="0" applyAlignment="0" applyProtection="0"/>
  </cellStyleXfs>
  <cellXfs count="92">
    <xf numFmtId="0" fontId="0" fillId="0" borderId="0" xfId="0"/>
    <xf numFmtId="14" fontId="0" fillId="0" borderId="0" xfId="0" applyNumberFormat="1"/>
    <xf numFmtId="8" fontId="0" fillId="0" borderId="0" xfId="0" applyNumberFormat="1"/>
    <xf numFmtId="9" fontId="0" fillId="0" borderId="0" xfId="0" applyNumberFormat="1"/>
    <xf numFmtId="0" fontId="0" fillId="0" borderId="1" xfId="0" applyBorder="1"/>
    <xf numFmtId="0" fontId="1" fillId="3" borderId="1" xfId="0" applyFont="1" applyFill="1" applyBorder="1"/>
    <xf numFmtId="0" fontId="0" fillId="0" borderId="2" xfId="0" applyBorder="1"/>
    <xf numFmtId="0" fontId="0" fillId="6" borderId="0" xfId="0" applyFill="1"/>
    <xf numFmtId="0" fontId="0" fillId="6" borderId="1" xfId="0" applyFill="1" applyBorder="1"/>
    <xf numFmtId="0" fontId="0" fillId="0" borderId="0" xfId="0" applyAlignment="1">
      <alignment wrapText="1"/>
    </xf>
    <xf numFmtId="0" fontId="0" fillId="0" borderId="1" xfId="0" applyBorder="1" applyAlignment="1">
      <alignment wrapText="1"/>
    </xf>
    <xf numFmtId="0" fontId="0" fillId="0" borderId="3" xfId="0" applyBorder="1"/>
    <xf numFmtId="0" fontId="2" fillId="0" borderId="0" xfId="0" applyFont="1"/>
    <xf numFmtId="164" fontId="2" fillId="0" borderId="0" xfId="0" applyNumberFormat="1" applyFont="1"/>
    <xf numFmtId="0" fontId="2" fillId="0" borderId="4" xfId="0" applyFont="1" applyBorder="1"/>
    <xf numFmtId="0" fontId="0" fillId="0" borderId="5" xfId="0" applyBorder="1"/>
    <xf numFmtId="0" fontId="0" fillId="0" borderId="4" xfId="0" applyBorder="1"/>
    <xf numFmtId="0" fontId="2" fillId="0" borderId="6" xfId="0" applyFont="1" applyBorder="1"/>
    <xf numFmtId="0" fontId="0" fillId="0" borderId="7" xfId="0" applyBorder="1"/>
    <xf numFmtId="0" fontId="0" fillId="0" borderId="8" xfId="0" applyBorder="1"/>
    <xf numFmtId="0" fontId="2" fillId="0" borderId="7" xfId="0" applyFont="1" applyBorder="1"/>
    <xf numFmtId="164" fontId="2" fillId="0" borderId="4" xfId="0" applyNumberFormat="1" applyFont="1" applyBorder="1"/>
    <xf numFmtId="164" fontId="2" fillId="0" borderId="6" xfId="0" applyNumberFormat="1" applyFont="1" applyBorder="1"/>
    <xf numFmtId="0" fontId="0" fillId="0" borderId="6" xfId="0" applyBorder="1"/>
    <xf numFmtId="0" fontId="0" fillId="0" borderId="9" xfId="0" applyBorder="1"/>
    <xf numFmtId="0" fontId="0" fillId="0" borderId="10" xfId="0" applyBorder="1"/>
    <xf numFmtId="0" fontId="0" fillId="0" borderId="14" xfId="0" applyBorder="1"/>
    <xf numFmtId="0" fontId="0" fillId="0" borderId="15" xfId="0" applyBorder="1"/>
    <xf numFmtId="0" fontId="1" fillId="9" borderId="0" xfId="0" applyFont="1" applyFill="1" applyAlignment="1">
      <alignment horizontal="center" vertical="center"/>
    </xf>
    <xf numFmtId="14" fontId="0" fillId="8" borderId="9" xfId="0" applyNumberFormat="1" applyFill="1" applyBorder="1"/>
    <xf numFmtId="14" fontId="0" fillId="8" borderId="10" xfId="0" applyNumberFormat="1" applyFill="1" applyBorder="1"/>
    <xf numFmtId="0" fontId="0" fillId="6" borderId="16" xfId="0" applyFill="1" applyBorder="1"/>
    <xf numFmtId="0" fontId="0" fillId="6" borderId="17" xfId="0" applyFill="1" applyBorder="1"/>
    <xf numFmtId="0" fontId="0" fillId="6" borderId="11" xfId="0" applyFill="1" applyBorder="1"/>
    <xf numFmtId="0" fontId="0" fillId="6" borderId="12" xfId="0" applyFill="1" applyBorder="1"/>
    <xf numFmtId="0" fontId="0" fillId="6" borderId="13" xfId="0" applyFill="1" applyBorder="1"/>
    <xf numFmtId="165" fontId="0" fillId="0" borderId="0" xfId="0" applyNumberFormat="1"/>
    <xf numFmtId="1" fontId="0" fillId="0" borderId="0" xfId="0" applyNumberFormat="1"/>
    <xf numFmtId="165" fontId="0" fillId="0" borderId="7" xfId="0" applyNumberFormat="1" applyBorder="1"/>
    <xf numFmtId="0" fontId="0" fillId="2" borderId="2" xfId="0" applyFill="1" applyBorder="1" applyAlignment="1">
      <alignment horizontal="center" vertical="center"/>
    </xf>
    <xf numFmtId="0" fontId="0" fillId="2" borderId="0" xfId="0" applyFill="1" applyAlignment="1">
      <alignment horizontal="center" vertical="center"/>
    </xf>
    <xf numFmtId="0" fontId="0" fillId="2" borderId="1" xfId="0" applyFill="1" applyBorder="1" applyAlignment="1">
      <alignment horizontal="center" vertical="center"/>
    </xf>
    <xf numFmtId="0" fontId="0" fillId="4" borderId="2" xfId="0" applyFill="1" applyBorder="1" applyAlignment="1">
      <alignment horizontal="center" vertical="center"/>
    </xf>
    <xf numFmtId="0" fontId="0" fillId="4" borderId="0" xfId="0" applyFill="1" applyAlignment="1">
      <alignment horizontal="center" vertical="center"/>
    </xf>
    <xf numFmtId="0" fontId="0" fillId="4" borderId="1" xfId="0" applyFill="1" applyBorder="1" applyAlignment="1">
      <alignment horizontal="center" vertical="center"/>
    </xf>
    <xf numFmtId="0" fontId="0" fillId="5" borderId="2" xfId="0" applyFill="1" applyBorder="1" applyAlignment="1">
      <alignment horizontal="center" vertical="center"/>
    </xf>
    <xf numFmtId="0" fontId="0" fillId="5" borderId="0" xfId="0" applyFill="1" applyAlignment="1">
      <alignment horizontal="center" vertical="center"/>
    </xf>
    <xf numFmtId="0" fontId="0" fillId="5" borderId="1" xfId="0" applyFill="1" applyBorder="1" applyAlignment="1">
      <alignment horizontal="center" vertical="center"/>
    </xf>
    <xf numFmtId="0" fontId="0" fillId="7" borderId="2" xfId="0" applyFill="1" applyBorder="1" applyAlignment="1">
      <alignment horizontal="center" vertical="center"/>
    </xf>
    <xf numFmtId="0" fontId="0" fillId="7" borderId="0" xfId="0" applyFill="1" applyAlignment="1">
      <alignment horizontal="center" vertical="center"/>
    </xf>
    <xf numFmtId="0" fontId="0" fillId="7" borderId="1" xfId="0" applyFill="1" applyBorder="1" applyAlignment="1">
      <alignment horizontal="center" vertical="center"/>
    </xf>
    <xf numFmtId="0" fontId="0" fillId="8" borderId="2" xfId="0" applyFill="1" applyBorder="1" applyAlignment="1">
      <alignment horizontal="center" vertical="center"/>
    </xf>
    <xf numFmtId="0" fontId="0" fillId="8" borderId="0" xfId="0" applyFill="1" applyAlignment="1">
      <alignment horizontal="center" vertical="center"/>
    </xf>
    <xf numFmtId="0" fontId="0" fillId="8" borderId="1" xfId="0" applyFill="1" applyBorder="1" applyAlignment="1">
      <alignment horizontal="center" vertical="center"/>
    </xf>
    <xf numFmtId="0" fontId="0" fillId="0" borderId="2" xfId="0"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0" fillId="0" borderId="14" xfId="0" applyBorder="1" applyAlignment="1">
      <alignment horizontal="center"/>
    </xf>
    <xf numFmtId="0" fontId="0" fillId="0" borderId="3" xfId="0" applyBorder="1" applyAlignment="1">
      <alignment horizontal="center"/>
    </xf>
    <xf numFmtId="0" fontId="0" fillId="0" borderId="15" xfId="0" applyBorder="1" applyAlignment="1">
      <alignment horizontal="center"/>
    </xf>
    <xf numFmtId="0" fontId="2" fillId="0" borderId="14" xfId="0" applyFont="1" applyBorder="1" applyAlignment="1">
      <alignment horizontal="center"/>
    </xf>
    <xf numFmtId="0" fontId="2" fillId="0" borderId="3" xfId="0" applyFont="1" applyBorder="1" applyAlignment="1">
      <alignment horizontal="center"/>
    </xf>
    <xf numFmtId="0" fontId="2" fillId="0" borderId="15" xfId="0" applyFont="1" applyBorder="1" applyAlignment="1">
      <alignment horizontal="center"/>
    </xf>
    <xf numFmtId="0" fontId="0" fillId="10" borderId="0" xfId="0" applyFill="1" applyBorder="1"/>
    <xf numFmtId="0" fontId="0" fillId="10" borderId="5" xfId="0" applyFill="1" applyBorder="1"/>
    <xf numFmtId="0" fontId="0" fillId="10" borderId="4" xfId="0" applyFill="1" applyBorder="1"/>
    <xf numFmtId="0" fontId="0" fillId="10" borderId="7" xfId="0" applyFill="1" applyBorder="1"/>
    <xf numFmtId="0" fontId="0" fillId="10" borderId="8" xfId="0" applyFill="1" applyBorder="1"/>
    <xf numFmtId="164" fontId="2" fillId="10" borderId="4" xfId="0" applyNumberFormat="1" applyFont="1" applyFill="1" applyBorder="1"/>
    <xf numFmtId="0" fontId="0" fillId="10" borderId="0" xfId="0" applyFill="1"/>
    <xf numFmtId="165" fontId="0" fillId="10" borderId="0" xfId="0" applyNumberFormat="1" applyFill="1"/>
    <xf numFmtId="164" fontId="2" fillId="10" borderId="6" xfId="0" applyNumberFormat="1" applyFont="1" applyFill="1" applyBorder="1"/>
    <xf numFmtId="165" fontId="0" fillId="10" borderId="7" xfId="0" applyNumberFormat="1" applyFill="1" applyBorder="1"/>
    <xf numFmtId="0" fontId="0" fillId="10" borderId="6" xfId="0" applyFill="1" applyBorder="1"/>
    <xf numFmtId="0" fontId="0" fillId="0" borderId="10" xfId="0" applyFill="1" applyBorder="1"/>
    <xf numFmtId="0" fontId="0" fillId="0" borderId="4" xfId="0" applyFill="1" applyBorder="1"/>
    <xf numFmtId="0" fontId="0" fillId="0" borderId="0" xfId="0" applyFill="1" applyBorder="1"/>
    <xf numFmtId="0" fontId="0" fillId="0" borderId="5" xfId="0" applyFill="1" applyBorder="1"/>
    <xf numFmtId="0" fontId="5" fillId="0" borderId="4" xfId="0" applyFont="1" applyFill="1" applyBorder="1"/>
    <xf numFmtId="0" fontId="5" fillId="0" borderId="0" xfId="0" applyFont="1" applyFill="1" applyBorder="1"/>
    <xf numFmtId="0" fontId="5" fillId="0" borderId="5" xfId="0" applyFont="1" applyFill="1" applyBorder="1"/>
    <xf numFmtId="0" fontId="5" fillId="0" borderId="6" xfId="0" applyFont="1" applyFill="1" applyBorder="1"/>
    <xf numFmtId="0" fontId="5" fillId="0" borderId="7" xfId="0" applyFont="1" applyFill="1" applyBorder="1"/>
    <xf numFmtId="0" fontId="5" fillId="0" borderId="8" xfId="0" applyFont="1" applyFill="1" applyBorder="1"/>
    <xf numFmtId="44" fontId="0" fillId="0" borderId="0" xfId="1" applyFont="1"/>
    <xf numFmtId="9" fontId="0" fillId="0" borderId="0" xfId="2" applyFont="1"/>
    <xf numFmtId="44"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2" fontId="0" fillId="0" borderId="0" xfId="0" applyNumberFormat="1"/>
  </cellXfs>
  <cellStyles count="3">
    <cellStyle name="Moneda" xfId="1" builtinId="4"/>
    <cellStyle name="Normal" xfId="0" builtinId="0"/>
    <cellStyle name="Porcentaje" xfId="2" builtinId="5"/>
  </cellStyles>
  <dxfs count="82">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9" formatCode="dd/mm/yy"/>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165" formatCode="0.0"/>
    </dxf>
    <dxf>
      <numFmt numFmtId="2" formatCode="0.00"/>
    </dxf>
    <dxf>
      <numFmt numFmtId="2" formatCode="0.00"/>
    </dxf>
    <dxf>
      <numFmt numFmtId="165" formatCode="0.0"/>
    </dxf>
    <dxf>
      <numFmt numFmtId="2" formatCode="0.00"/>
    </dxf>
    <dxf>
      <numFmt numFmtId="2" formatCode="0.00"/>
    </dxf>
    <dxf>
      <numFmt numFmtId="2" formatCode="0.00"/>
    </dxf>
    <dxf>
      <font>
        <color rgb="FF9C0006"/>
      </font>
      <fill>
        <patternFill>
          <bgColor rgb="FFFFC7CE"/>
        </patternFill>
      </fill>
    </dxf>
    <dxf>
      <numFmt numFmtId="0" formatCode="General"/>
    </dxf>
    <dxf>
      <numFmt numFmtId="0" formatCode="General"/>
    </dxf>
    <dxf>
      <numFmt numFmtId="0" formatCode="General"/>
    </dxf>
    <dxf>
      <numFmt numFmtId="2" formatCode="0.00"/>
    </dxf>
    <dxf>
      <numFmt numFmtId="2" formatCode="0.00"/>
    </dxf>
    <dxf>
      <numFmt numFmtId="19" formatCode="dd/mm/yy"/>
    </dxf>
    <dxf>
      <numFmt numFmtId="19" formatCode="dd/mm/yy"/>
    </dxf>
    <dxf>
      <numFmt numFmtId="12" formatCode="&quot;$&quot;#,##0.00;[Red]\-&quot;$&quot;#,##0.00"/>
    </dxf>
    <dxf>
      <numFmt numFmtId="13" formatCode="0%"/>
    </dxf>
    <dxf>
      <numFmt numFmtId="12" formatCode="&quot;$&quot;#,##0.00;[Red]\-&quot;$&quot;#,##0.00"/>
    </dxf>
    <dxf>
      <numFmt numFmtId="12" formatCode="&quot;$&quot;#,##0.00;[Red]\-&quot;$&quot;#,##0.00"/>
    </dxf>
    <dxf>
      <numFmt numFmtId="12" formatCode="&quot;$&quot;#,##0.00;[Red]\-&quot;$&quot;#,##0.00"/>
    </dxf>
    <dxf>
      <numFmt numFmtId="19" formatCode="dd/mm/yy"/>
    </dxf>
    <dxf>
      <numFmt numFmtId="19" formatCode="dd/mm/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1/relationships/timelineCache" Target="timelineCaches/timelineCache1.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pivotSource>
    <c:name>[sA01.xlsm]Dashboards2!TablaDinámica9</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Dashboards2!$D$1</c:f>
              <c:strCache>
                <c:ptCount val="1"/>
                <c:pt idx="0">
                  <c:v>Total</c:v>
                </c:pt>
              </c:strCache>
            </c:strRef>
          </c:tx>
          <c:spPr>
            <a:solidFill>
              <a:schemeClr val="accent1"/>
            </a:solidFill>
            <a:ln>
              <a:noFill/>
            </a:ln>
            <a:effectLst/>
          </c:spPr>
          <c:invertIfNegative val="0"/>
          <c:cat>
            <c:strRef>
              <c:f>Dashboards2!$C$2:$C$12</c:f>
              <c:strCache>
                <c:ptCount val="10"/>
                <c:pt idx="0">
                  <c:v>BOTTM</c:v>
                </c:pt>
                <c:pt idx="1">
                  <c:v>HANAR</c:v>
                </c:pt>
                <c:pt idx="2">
                  <c:v>SUPRD</c:v>
                </c:pt>
                <c:pt idx="3">
                  <c:v>QUEEN</c:v>
                </c:pt>
                <c:pt idx="4">
                  <c:v>WELLI</c:v>
                </c:pt>
                <c:pt idx="5">
                  <c:v>RICAR</c:v>
                </c:pt>
                <c:pt idx="6">
                  <c:v>MAISD</c:v>
                </c:pt>
                <c:pt idx="7">
                  <c:v>TRADH</c:v>
                </c:pt>
                <c:pt idx="8">
                  <c:v>GOURL</c:v>
                </c:pt>
                <c:pt idx="9">
                  <c:v>COMMI</c:v>
                </c:pt>
              </c:strCache>
            </c:strRef>
          </c:cat>
          <c:val>
            <c:numRef>
              <c:f>Dashboards2!$D$2:$D$12</c:f>
              <c:numCache>
                <c:formatCode>General</c:formatCode>
                <c:ptCount val="10"/>
                <c:pt idx="0">
                  <c:v>8</c:v>
                </c:pt>
                <c:pt idx="1">
                  <c:v>7</c:v>
                </c:pt>
                <c:pt idx="2">
                  <c:v>6</c:v>
                </c:pt>
                <c:pt idx="3">
                  <c:v>5</c:v>
                </c:pt>
                <c:pt idx="4">
                  <c:v>4</c:v>
                </c:pt>
                <c:pt idx="5">
                  <c:v>4</c:v>
                </c:pt>
                <c:pt idx="6">
                  <c:v>4</c:v>
                </c:pt>
                <c:pt idx="7">
                  <c:v>3</c:v>
                </c:pt>
                <c:pt idx="8">
                  <c:v>2</c:v>
                </c:pt>
                <c:pt idx="9">
                  <c:v>2</c:v>
                </c:pt>
              </c:numCache>
            </c:numRef>
          </c:val>
          <c:extLst>
            <c:ext xmlns:c16="http://schemas.microsoft.com/office/drawing/2014/chart" uri="{C3380CC4-5D6E-409C-BE32-E72D297353CC}">
              <c16:uniqueId val="{00000000-13B2-8D45-B474-077437F02F31}"/>
            </c:ext>
          </c:extLst>
        </c:ser>
        <c:dLbls>
          <c:showLegendKey val="0"/>
          <c:showVal val="0"/>
          <c:showCatName val="0"/>
          <c:showSerName val="0"/>
          <c:showPercent val="0"/>
          <c:showBubbleSize val="0"/>
        </c:dLbls>
        <c:gapWidth val="219"/>
        <c:overlap val="-27"/>
        <c:axId val="1661052047"/>
        <c:axId val="1119847967"/>
      </c:barChart>
      <c:catAx>
        <c:axId val="1661052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119847967"/>
        <c:crosses val="autoZero"/>
        <c:auto val="1"/>
        <c:lblAlgn val="ctr"/>
        <c:lblOffset val="100"/>
        <c:noMultiLvlLbl val="0"/>
      </c:catAx>
      <c:valAx>
        <c:axId val="11198479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6610520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pivotSource>
    <c:name>[sA01.xlsm]Dasboard3!TablaDinámica16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3610734389724281E-2"/>
          <c:y val="2.6875140635988563E-2"/>
          <c:w val="0.80313858729623633"/>
          <c:h val="0.95072890883402095"/>
        </c:manualLayout>
      </c:layout>
      <c:barChart>
        <c:barDir val="col"/>
        <c:grouping val="clustered"/>
        <c:varyColors val="0"/>
        <c:ser>
          <c:idx val="0"/>
          <c:order val="0"/>
          <c:tx>
            <c:strRef>
              <c:f>Dasboard3!$B$1</c:f>
              <c:strCache>
                <c:ptCount val="1"/>
                <c:pt idx="0">
                  <c:v>Suma de subtotal3</c:v>
                </c:pt>
              </c:strCache>
            </c:strRef>
          </c:tx>
          <c:spPr>
            <a:solidFill>
              <a:schemeClr val="accent1"/>
            </a:solidFill>
            <a:ln>
              <a:noFill/>
            </a:ln>
            <a:effectLst/>
          </c:spPr>
          <c:invertIfNegative val="0"/>
          <c:cat>
            <c:multiLvlStrRef>
              <c:f>Dasboard3!$A$2:$A$28</c:f>
              <c:multiLvlStrCache>
                <c:ptCount val="23"/>
                <c:lvl>
                  <c:pt idx="0">
                    <c:v>jul</c:v>
                  </c:pt>
                  <c:pt idx="1">
                    <c:v>ago</c:v>
                  </c:pt>
                  <c:pt idx="2">
                    <c:v>sep</c:v>
                  </c:pt>
                  <c:pt idx="3">
                    <c:v>oct</c:v>
                  </c:pt>
                  <c:pt idx="4">
                    <c:v>nov</c:v>
                  </c:pt>
                  <c:pt idx="5">
                    <c:v>dic</c:v>
                  </c:pt>
                  <c:pt idx="6">
                    <c:v>ene</c:v>
                  </c:pt>
                  <c:pt idx="7">
                    <c:v>feb</c:v>
                  </c:pt>
                  <c:pt idx="8">
                    <c:v>mar</c:v>
                  </c:pt>
                  <c:pt idx="9">
                    <c:v>abr</c:v>
                  </c:pt>
                  <c:pt idx="10">
                    <c:v>may</c:v>
                  </c:pt>
                  <c:pt idx="11">
                    <c:v>jun</c:v>
                  </c:pt>
                  <c:pt idx="12">
                    <c:v>jul</c:v>
                  </c:pt>
                  <c:pt idx="13">
                    <c:v>ago</c:v>
                  </c:pt>
                  <c:pt idx="14">
                    <c:v>sep</c:v>
                  </c:pt>
                  <c:pt idx="15">
                    <c:v>oct</c:v>
                  </c:pt>
                  <c:pt idx="16">
                    <c:v>nov</c:v>
                  </c:pt>
                  <c:pt idx="17">
                    <c:v>dic</c:v>
                  </c:pt>
                  <c:pt idx="18">
                    <c:v>ene</c:v>
                  </c:pt>
                  <c:pt idx="19">
                    <c:v>feb</c:v>
                  </c:pt>
                  <c:pt idx="20">
                    <c:v>mar</c:v>
                  </c:pt>
                  <c:pt idx="21">
                    <c:v>abr</c:v>
                  </c:pt>
                  <c:pt idx="22">
                    <c:v>may</c:v>
                  </c:pt>
                </c:lvl>
                <c:lvl>
                  <c:pt idx="0">
                    <c:v>1996</c:v>
                  </c:pt>
                  <c:pt idx="6">
                    <c:v>1997</c:v>
                  </c:pt>
                  <c:pt idx="18">
                    <c:v>1998</c:v>
                  </c:pt>
                </c:lvl>
              </c:multiLvlStrCache>
            </c:multiLvlStrRef>
          </c:cat>
          <c:val>
            <c:numRef>
              <c:f>Dasboard3!$B$2:$B$28</c:f>
              <c:numCache>
                <c:formatCode>General</c:formatCode>
                <c:ptCount val="23"/>
                <c:pt idx="0">
                  <c:v>27861.894999999997</c:v>
                </c:pt>
                <c:pt idx="1">
                  <c:v>25485.275000000001</c:v>
                </c:pt>
                <c:pt idx="2">
                  <c:v>26381.399999999998</c:v>
                </c:pt>
                <c:pt idx="3">
                  <c:v>37515.724999999999</c:v>
                </c:pt>
                <c:pt idx="4">
                  <c:v>45600.044999999991</c:v>
                </c:pt>
                <c:pt idx="5">
                  <c:v>45239.63</c:v>
                </c:pt>
                <c:pt idx="6">
                  <c:v>61258.070000000007</c:v>
                </c:pt>
                <c:pt idx="7">
                  <c:v>38483.634999999995</c:v>
                </c:pt>
                <c:pt idx="8">
                  <c:v>38547.219999999987</c:v>
                </c:pt>
                <c:pt idx="9">
                  <c:v>53032.952500000007</c:v>
                </c:pt>
                <c:pt idx="10">
                  <c:v>53781.290000000008</c:v>
                </c:pt>
                <c:pt idx="11">
                  <c:v>36362.802500000005</c:v>
                </c:pt>
                <c:pt idx="12">
                  <c:v>51020.857499999998</c:v>
                </c:pt>
                <c:pt idx="13">
                  <c:v>47287.67</c:v>
                </c:pt>
                <c:pt idx="14">
                  <c:v>55629.242499999993</c:v>
                </c:pt>
                <c:pt idx="15">
                  <c:v>66749.22600000001</c:v>
                </c:pt>
                <c:pt idx="16">
                  <c:v>43533.808999999994</c:v>
                </c:pt>
                <c:pt idx="17">
                  <c:v>71398.428499999995</c:v>
                </c:pt>
                <c:pt idx="18">
                  <c:v>94222.110499999995</c:v>
                </c:pt>
                <c:pt idx="19">
                  <c:v>99415.287499999991</c:v>
                </c:pt>
                <c:pt idx="20">
                  <c:v>104854.15500000001</c:v>
                </c:pt>
                <c:pt idx="21">
                  <c:v>123798.68250000001</c:v>
                </c:pt>
                <c:pt idx="22">
                  <c:v>18333.630499999999</c:v>
                </c:pt>
              </c:numCache>
            </c:numRef>
          </c:val>
          <c:extLst>
            <c:ext xmlns:c16="http://schemas.microsoft.com/office/drawing/2014/chart" uri="{C3380CC4-5D6E-409C-BE32-E72D297353CC}">
              <c16:uniqueId val="{00000000-0C08-5648-AA3A-75F5017E5C43}"/>
            </c:ext>
          </c:extLst>
        </c:ser>
        <c:ser>
          <c:idx val="1"/>
          <c:order val="1"/>
          <c:tx>
            <c:strRef>
              <c:f>Dasboard3!$C$1</c:f>
              <c:strCache>
                <c:ptCount val="1"/>
                <c:pt idx="0">
                  <c:v>Suma de subtotal4</c:v>
                </c:pt>
              </c:strCache>
            </c:strRef>
          </c:tx>
          <c:spPr>
            <a:solidFill>
              <a:schemeClr val="accent2"/>
            </a:solidFill>
            <a:ln>
              <a:noFill/>
            </a:ln>
            <a:effectLst/>
          </c:spPr>
          <c:invertIfNegative val="0"/>
          <c:cat>
            <c:multiLvlStrRef>
              <c:f>Dasboard3!$A$2:$A$28</c:f>
              <c:multiLvlStrCache>
                <c:ptCount val="23"/>
                <c:lvl>
                  <c:pt idx="0">
                    <c:v>jul</c:v>
                  </c:pt>
                  <c:pt idx="1">
                    <c:v>ago</c:v>
                  </c:pt>
                  <c:pt idx="2">
                    <c:v>sep</c:v>
                  </c:pt>
                  <c:pt idx="3">
                    <c:v>oct</c:v>
                  </c:pt>
                  <c:pt idx="4">
                    <c:v>nov</c:v>
                  </c:pt>
                  <c:pt idx="5">
                    <c:v>dic</c:v>
                  </c:pt>
                  <c:pt idx="6">
                    <c:v>ene</c:v>
                  </c:pt>
                  <c:pt idx="7">
                    <c:v>feb</c:v>
                  </c:pt>
                  <c:pt idx="8">
                    <c:v>mar</c:v>
                  </c:pt>
                  <c:pt idx="9">
                    <c:v>abr</c:v>
                  </c:pt>
                  <c:pt idx="10">
                    <c:v>may</c:v>
                  </c:pt>
                  <c:pt idx="11">
                    <c:v>jun</c:v>
                  </c:pt>
                  <c:pt idx="12">
                    <c:v>jul</c:v>
                  </c:pt>
                  <c:pt idx="13">
                    <c:v>ago</c:v>
                  </c:pt>
                  <c:pt idx="14">
                    <c:v>sep</c:v>
                  </c:pt>
                  <c:pt idx="15">
                    <c:v>oct</c:v>
                  </c:pt>
                  <c:pt idx="16">
                    <c:v>nov</c:v>
                  </c:pt>
                  <c:pt idx="17">
                    <c:v>dic</c:v>
                  </c:pt>
                  <c:pt idx="18">
                    <c:v>ene</c:v>
                  </c:pt>
                  <c:pt idx="19">
                    <c:v>feb</c:v>
                  </c:pt>
                  <c:pt idx="20">
                    <c:v>mar</c:v>
                  </c:pt>
                  <c:pt idx="21">
                    <c:v>abr</c:v>
                  </c:pt>
                  <c:pt idx="22">
                    <c:v>may</c:v>
                  </c:pt>
                </c:lvl>
                <c:lvl>
                  <c:pt idx="0">
                    <c:v>1996</c:v>
                  </c:pt>
                  <c:pt idx="6">
                    <c:v>1997</c:v>
                  </c:pt>
                  <c:pt idx="18">
                    <c:v>1998</c:v>
                  </c:pt>
                </c:lvl>
              </c:multiLvlStrCache>
            </c:multiLvlStrRef>
          </c:cat>
          <c:val>
            <c:numRef>
              <c:f>Dasboard3!$C$2:$C$28</c:f>
              <c:numCache>
                <c:formatCode>General</c:formatCode>
                <c:ptCount val="23"/>
                <c:pt idx="0">
                  <c:v>37779.85</c:v>
                </c:pt>
                <c:pt idx="1">
                  <c:v>33285.490000000005</c:v>
                </c:pt>
                <c:pt idx="2">
                  <c:v>34565.600000000006</c:v>
                </c:pt>
                <c:pt idx="3">
                  <c:v>51528.689999999995</c:v>
                </c:pt>
                <c:pt idx="4">
                  <c:v>62163.990000000005</c:v>
                </c:pt>
                <c:pt idx="5">
                  <c:v>63721.229999999996</c:v>
                </c:pt>
                <c:pt idx="6">
                  <c:v>83400.469999999987</c:v>
                </c:pt>
                <c:pt idx="7">
                  <c:v>51561.060000000005</c:v>
                </c:pt>
                <c:pt idx="8">
                  <c:v>49992.59</c:v>
                </c:pt>
                <c:pt idx="9">
                  <c:v>56787.540000000008</c:v>
                </c:pt>
                <c:pt idx="10">
                  <c:v>56823.700000000004</c:v>
                </c:pt>
                <c:pt idx="11">
                  <c:v>39088</c:v>
                </c:pt>
                <c:pt idx="12">
                  <c:v>55464.929999999993</c:v>
                </c:pt>
                <c:pt idx="13">
                  <c:v>49981.689999999995</c:v>
                </c:pt>
                <c:pt idx="14">
                  <c:v>59733.02</c:v>
                </c:pt>
                <c:pt idx="15">
                  <c:v>70328.5</c:v>
                </c:pt>
                <c:pt idx="16">
                  <c:v>45913.359999999993</c:v>
                </c:pt>
                <c:pt idx="17">
                  <c:v>77476.259999999995</c:v>
                </c:pt>
                <c:pt idx="18">
                  <c:v>100854.72</c:v>
                </c:pt>
                <c:pt idx="19">
                  <c:v>104561.95</c:v>
                </c:pt>
                <c:pt idx="20">
                  <c:v>109825.45</c:v>
                </c:pt>
                <c:pt idx="21">
                  <c:v>134630.56</c:v>
                </c:pt>
                <c:pt idx="22">
                  <c:v>19898.66</c:v>
                </c:pt>
              </c:numCache>
            </c:numRef>
          </c:val>
          <c:extLst>
            <c:ext xmlns:c16="http://schemas.microsoft.com/office/drawing/2014/chart" uri="{C3380CC4-5D6E-409C-BE32-E72D297353CC}">
              <c16:uniqueId val="{00000001-0C08-5648-AA3A-75F5017E5C43}"/>
            </c:ext>
          </c:extLst>
        </c:ser>
        <c:ser>
          <c:idx val="2"/>
          <c:order val="2"/>
          <c:tx>
            <c:strRef>
              <c:f>Dasboard3!$D$1</c:f>
              <c:strCache>
                <c:ptCount val="1"/>
                <c:pt idx="0">
                  <c:v>Suma de margen</c:v>
                </c:pt>
              </c:strCache>
            </c:strRef>
          </c:tx>
          <c:spPr>
            <a:solidFill>
              <a:schemeClr val="accent3"/>
            </a:solidFill>
            <a:ln>
              <a:noFill/>
            </a:ln>
            <a:effectLst/>
          </c:spPr>
          <c:invertIfNegative val="0"/>
          <c:cat>
            <c:multiLvlStrRef>
              <c:f>Dasboard3!$A$2:$A$28</c:f>
              <c:multiLvlStrCache>
                <c:ptCount val="23"/>
                <c:lvl>
                  <c:pt idx="0">
                    <c:v>jul</c:v>
                  </c:pt>
                  <c:pt idx="1">
                    <c:v>ago</c:v>
                  </c:pt>
                  <c:pt idx="2">
                    <c:v>sep</c:v>
                  </c:pt>
                  <c:pt idx="3">
                    <c:v>oct</c:v>
                  </c:pt>
                  <c:pt idx="4">
                    <c:v>nov</c:v>
                  </c:pt>
                  <c:pt idx="5">
                    <c:v>dic</c:v>
                  </c:pt>
                  <c:pt idx="6">
                    <c:v>ene</c:v>
                  </c:pt>
                  <c:pt idx="7">
                    <c:v>feb</c:v>
                  </c:pt>
                  <c:pt idx="8">
                    <c:v>mar</c:v>
                  </c:pt>
                  <c:pt idx="9">
                    <c:v>abr</c:v>
                  </c:pt>
                  <c:pt idx="10">
                    <c:v>may</c:v>
                  </c:pt>
                  <c:pt idx="11">
                    <c:v>jun</c:v>
                  </c:pt>
                  <c:pt idx="12">
                    <c:v>jul</c:v>
                  </c:pt>
                  <c:pt idx="13">
                    <c:v>ago</c:v>
                  </c:pt>
                  <c:pt idx="14">
                    <c:v>sep</c:v>
                  </c:pt>
                  <c:pt idx="15">
                    <c:v>oct</c:v>
                  </c:pt>
                  <c:pt idx="16">
                    <c:v>nov</c:v>
                  </c:pt>
                  <c:pt idx="17">
                    <c:v>dic</c:v>
                  </c:pt>
                  <c:pt idx="18">
                    <c:v>ene</c:v>
                  </c:pt>
                  <c:pt idx="19">
                    <c:v>feb</c:v>
                  </c:pt>
                  <c:pt idx="20">
                    <c:v>mar</c:v>
                  </c:pt>
                  <c:pt idx="21">
                    <c:v>abr</c:v>
                  </c:pt>
                  <c:pt idx="22">
                    <c:v>may</c:v>
                  </c:pt>
                </c:lvl>
                <c:lvl>
                  <c:pt idx="0">
                    <c:v>1996</c:v>
                  </c:pt>
                  <c:pt idx="6">
                    <c:v>1997</c:v>
                  </c:pt>
                  <c:pt idx="18">
                    <c:v>1998</c:v>
                  </c:pt>
                </c:lvl>
              </c:multiLvlStrCache>
            </c:multiLvlStrRef>
          </c:cat>
          <c:val>
            <c:numRef>
              <c:f>Dasboard3!$D$2:$D$28</c:f>
              <c:numCache>
                <c:formatCode>General</c:formatCode>
                <c:ptCount val="23"/>
                <c:pt idx="0">
                  <c:v>-9917.9549999999981</c:v>
                </c:pt>
                <c:pt idx="1">
                  <c:v>-7800.2150000000001</c:v>
                </c:pt>
                <c:pt idx="2">
                  <c:v>-8184.2</c:v>
                </c:pt>
                <c:pt idx="3">
                  <c:v>-14012.965000000002</c:v>
                </c:pt>
                <c:pt idx="4">
                  <c:v>-16563.945</c:v>
                </c:pt>
                <c:pt idx="5">
                  <c:v>-18481.600000000002</c:v>
                </c:pt>
                <c:pt idx="6">
                  <c:v>-22142.399999999998</c:v>
                </c:pt>
                <c:pt idx="7">
                  <c:v>-13077.424999999997</c:v>
                </c:pt>
                <c:pt idx="8">
                  <c:v>-11445.369999999999</c:v>
                </c:pt>
                <c:pt idx="9">
                  <c:v>-3754.5875000000001</c:v>
                </c:pt>
                <c:pt idx="10">
                  <c:v>-3042.4100000000003</c:v>
                </c:pt>
                <c:pt idx="11">
                  <c:v>-2725.1975000000002</c:v>
                </c:pt>
                <c:pt idx="12">
                  <c:v>-4444.0725000000002</c:v>
                </c:pt>
                <c:pt idx="13">
                  <c:v>-2694.02</c:v>
                </c:pt>
                <c:pt idx="14">
                  <c:v>-4103.7775000000001</c:v>
                </c:pt>
                <c:pt idx="15">
                  <c:v>-3579.2739999999994</c:v>
                </c:pt>
                <c:pt idx="16">
                  <c:v>-2379.5509999999999</c:v>
                </c:pt>
                <c:pt idx="17">
                  <c:v>-6077.8315000000002</c:v>
                </c:pt>
                <c:pt idx="18">
                  <c:v>-6632.6095000000005</c:v>
                </c:pt>
                <c:pt idx="19">
                  <c:v>-5146.6625000000004</c:v>
                </c:pt>
                <c:pt idx="20">
                  <c:v>-4971.2950000000001</c:v>
                </c:pt>
                <c:pt idx="21">
                  <c:v>-10831.877500000001</c:v>
                </c:pt>
                <c:pt idx="22">
                  <c:v>-1565.0295000000003</c:v>
                </c:pt>
              </c:numCache>
            </c:numRef>
          </c:val>
          <c:extLst>
            <c:ext xmlns:c16="http://schemas.microsoft.com/office/drawing/2014/chart" uri="{C3380CC4-5D6E-409C-BE32-E72D297353CC}">
              <c16:uniqueId val="{00000002-0C08-5648-AA3A-75F5017E5C43}"/>
            </c:ext>
          </c:extLst>
        </c:ser>
        <c:dLbls>
          <c:showLegendKey val="0"/>
          <c:showVal val="0"/>
          <c:showCatName val="0"/>
          <c:showSerName val="0"/>
          <c:showPercent val="0"/>
          <c:showBubbleSize val="0"/>
        </c:dLbls>
        <c:gapWidth val="219"/>
        <c:overlap val="-27"/>
        <c:axId val="1119388383"/>
        <c:axId val="1119846063"/>
      </c:barChart>
      <c:catAx>
        <c:axId val="11193883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119846063"/>
        <c:crosses val="autoZero"/>
        <c:auto val="1"/>
        <c:lblAlgn val="ctr"/>
        <c:lblOffset val="100"/>
        <c:noMultiLvlLbl val="0"/>
      </c:catAx>
      <c:valAx>
        <c:axId val="1119846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1193883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6" Type="http://schemas.openxmlformats.org/officeDocument/2006/relationships/customXml" Target="../ink/ink13.xml"/><Relationship Id="rId117" Type="http://schemas.openxmlformats.org/officeDocument/2006/relationships/customXml" Target="../ink/ink60.xml"/><Relationship Id="rId21" Type="http://schemas.openxmlformats.org/officeDocument/2006/relationships/image" Target="../media/image11.png"/><Relationship Id="rId42" Type="http://schemas.openxmlformats.org/officeDocument/2006/relationships/customXml" Target="../ink/ink21.xml"/><Relationship Id="rId47" Type="http://schemas.openxmlformats.org/officeDocument/2006/relationships/image" Target="../media/image24.png"/><Relationship Id="rId63" Type="http://schemas.openxmlformats.org/officeDocument/2006/relationships/image" Target="../media/image31.png"/><Relationship Id="rId68" Type="http://schemas.openxmlformats.org/officeDocument/2006/relationships/customXml" Target="../ink/ink35.xml"/><Relationship Id="rId84" Type="http://schemas.openxmlformats.org/officeDocument/2006/relationships/customXml" Target="../ink/ink43.xml"/><Relationship Id="rId89" Type="http://schemas.openxmlformats.org/officeDocument/2006/relationships/image" Target="../media/image44.png"/><Relationship Id="rId112" Type="http://schemas.openxmlformats.org/officeDocument/2006/relationships/image" Target="../media/image55.png"/><Relationship Id="rId16" Type="http://schemas.openxmlformats.org/officeDocument/2006/relationships/customXml" Target="../ink/ink8.xml"/><Relationship Id="rId107" Type="http://schemas.openxmlformats.org/officeDocument/2006/relationships/customXml" Target="../ink/ink55.xml"/><Relationship Id="rId11" Type="http://schemas.openxmlformats.org/officeDocument/2006/relationships/image" Target="../media/image6.png"/><Relationship Id="rId32" Type="http://schemas.openxmlformats.org/officeDocument/2006/relationships/customXml" Target="../ink/ink16.xml"/><Relationship Id="rId37" Type="http://schemas.openxmlformats.org/officeDocument/2006/relationships/image" Target="../media/image19.png"/><Relationship Id="rId53" Type="http://schemas.openxmlformats.org/officeDocument/2006/relationships/image" Target="../media/image26.png"/><Relationship Id="rId58" Type="http://schemas.openxmlformats.org/officeDocument/2006/relationships/customXml" Target="../ink/ink30.xml"/><Relationship Id="rId74" Type="http://schemas.openxmlformats.org/officeDocument/2006/relationships/customXml" Target="../ink/ink38.xml"/><Relationship Id="rId79" Type="http://schemas.openxmlformats.org/officeDocument/2006/relationships/image" Target="../media/image39.png"/><Relationship Id="rId102" Type="http://schemas.openxmlformats.org/officeDocument/2006/relationships/customXml" Target="../ink/ink52.xml"/><Relationship Id="rId123" Type="http://schemas.openxmlformats.org/officeDocument/2006/relationships/image" Target="../media/image60.png"/><Relationship Id="rId5" Type="http://schemas.openxmlformats.org/officeDocument/2006/relationships/image" Target="../media/image3.png"/><Relationship Id="rId90" Type="http://schemas.openxmlformats.org/officeDocument/2006/relationships/customXml" Target="../ink/ink46.xml"/><Relationship Id="rId95" Type="http://schemas.openxmlformats.org/officeDocument/2006/relationships/image" Target="../media/image47.png"/><Relationship Id="rId22" Type="http://schemas.openxmlformats.org/officeDocument/2006/relationships/customXml" Target="../ink/ink11.xml"/><Relationship Id="rId27" Type="http://schemas.openxmlformats.org/officeDocument/2006/relationships/image" Target="../media/image14.png"/><Relationship Id="rId43" Type="http://schemas.openxmlformats.org/officeDocument/2006/relationships/image" Target="../media/image22.png"/><Relationship Id="rId48" Type="http://schemas.openxmlformats.org/officeDocument/2006/relationships/customXml" Target="../ink/ink24.xml"/><Relationship Id="rId64" Type="http://schemas.openxmlformats.org/officeDocument/2006/relationships/customXml" Target="../ink/ink33.xml"/><Relationship Id="rId69" Type="http://schemas.openxmlformats.org/officeDocument/2006/relationships/image" Target="../media/image34.png"/><Relationship Id="rId113" Type="http://schemas.openxmlformats.org/officeDocument/2006/relationships/customXml" Target="../ink/ink58.xml"/><Relationship Id="rId118" Type="http://schemas.openxmlformats.org/officeDocument/2006/relationships/image" Target="../media/image58.png"/><Relationship Id="rId80" Type="http://schemas.openxmlformats.org/officeDocument/2006/relationships/customXml" Target="../ink/ink41.xml"/><Relationship Id="rId85" Type="http://schemas.openxmlformats.org/officeDocument/2006/relationships/image" Target="../media/image42.png"/><Relationship Id="rId12" Type="http://schemas.openxmlformats.org/officeDocument/2006/relationships/customXml" Target="../ink/ink6.xml"/><Relationship Id="rId17" Type="http://schemas.openxmlformats.org/officeDocument/2006/relationships/image" Target="../media/image9.png"/><Relationship Id="rId33" Type="http://schemas.openxmlformats.org/officeDocument/2006/relationships/image" Target="../media/image17.png"/><Relationship Id="rId38" Type="http://schemas.openxmlformats.org/officeDocument/2006/relationships/customXml" Target="../ink/ink19.xml"/><Relationship Id="rId59" Type="http://schemas.openxmlformats.org/officeDocument/2006/relationships/image" Target="../media/image29.png"/><Relationship Id="rId103" Type="http://schemas.openxmlformats.org/officeDocument/2006/relationships/image" Target="../media/image51.png"/><Relationship Id="rId108" Type="http://schemas.openxmlformats.org/officeDocument/2006/relationships/image" Target="../media/image53.png"/><Relationship Id="rId54" Type="http://schemas.openxmlformats.org/officeDocument/2006/relationships/customXml" Target="../ink/ink28.xml"/><Relationship Id="rId70" Type="http://schemas.openxmlformats.org/officeDocument/2006/relationships/customXml" Target="../ink/ink36.xml"/><Relationship Id="rId75" Type="http://schemas.openxmlformats.org/officeDocument/2006/relationships/image" Target="../media/image37.png"/><Relationship Id="rId91" Type="http://schemas.openxmlformats.org/officeDocument/2006/relationships/image" Target="../media/image45.png"/><Relationship Id="rId96" Type="http://schemas.openxmlformats.org/officeDocument/2006/relationships/customXml" Target="../ink/ink49.xml"/><Relationship Id="rId1" Type="http://schemas.openxmlformats.org/officeDocument/2006/relationships/image" Target="../media/image1.png"/><Relationship Id="rId6" Type="http://schemas.openxmlformats.org/officeDocument/2006/relationships/customXml" Target="../ink/ink3.xml"/><Relationship Id="rId23" Type="http://schemas.openxmlformats.org/officeDocument/2006/relationships/image" Target="../media/image12.png"/><Relationship Id="rId28" Type="http://schemas.openxmlformats.org/officeDocument/2006/relationships/customXml" Target="../ink/ink14.xml"/><Relationship Id="rId49" Type="http://schemas.openxmlformats.org/officeDocument/2006/relationships/customXml" Target="../ink/ink25.xml"/><Relationship Id="rId114" Type="http://schemas.openxmlformats.org/officeDocument/2006/relationships/image" Target="../media/image56.png"/><Relationship Id="rId119" Type="http://schemas.openxmlformats.org/officeDocument/2006/relationships/customXml" Target="../ink/ink61.xml"/><Relationship Id="rId44" Type="http://schemas.openxmlformats.org/officeDocument/2006/relationships/customXml" Target="../ink/ink22.xml"/><Relationship Id="rId60" Type="http://schemas.openxmlformats.org/officeDocument/2006/relationships/customXml" Target="../ink/ink31.xml"/><Relationship Id="rId65" Type="http://schemas.openxmlformats.org/officeDocument/2006/relationships/image" Target="../media/image32.png"/><Relationship Id="rId81" Type="http://schemas.openxmlformats.org/officeDocument/2006/relationships/image" Target="../media/image40.png"/><Relationship Id="rId86" Type="http://schemas.openxmlformats.org/officeDocument/2006/relationships/customXml" Target="../ink/ink44.xml"/><Relationship Id="rId4" Type="http://schemas.openxmlformats.org/officeDocument/2006/relationships/customXml" Target="../ink/ink2.xml"/><Relationship Id="rId9" Type="http://schemas.openxmlformats.org/officeDocument/2006/relationships/image" Target="../media/image5.png"/><Relationship Id="rId13" Type="http://schemas.openxmlformats.org/officeDocument/2006/relationships/image" Target="../media/image7.png"/><Relationship Id="rId18" Type="http://schemas.openxmlformats.org/officeDocument/2006/relationships/customXml" Target="../ink/ink9.xml"/><Relationship Id="rId39" Type="http://schemas.openxmlformats.org/officeDocument/2006/relationships/image" Target="../media/image20.png"/><Relationship Id="rId109" Type="http://schemas.openxmlformats.org/officeDocument/2006/relationships/customXml" Target="../ink/ink56.xml"/><Relationship Id="rId34" Type="http://schemas.openxmlformats.org/officeDocument/2006/relationships/customXml" Target="../ink/ink17.xml"/><Relationship Id="rId50" Type="http://schemas.openxmlformats.org/officeDocument/2006/relationships/customXml" Target="../ink/ink26.xml"/><Relationship Id="rId55" Type="http://schemas.openxmlformats.org/officeDocument/2006/relationships/image" Target="../media/image27.png"/><Relationship Id="rId76" Type="http://schemas.openxmlformats.org/officeDocument/2006/relationships/customXml" Target="../ink/ink39.xml"/><Relationship Id="rId97" Type="http://schemas.openxmlformats.org/officeDocument/2006/relationships/image" Target="../media/image48.png"/><Relationship Id="rId104" Type="http://schemas.openxmlformats.org/officeDocument/2006/relationships/customXml" Target="../ink/ink53.xml"/><Relationship Id="rId120" Type="http://schemas.openxmlformats.org/officeDocument/2006/relationships/image" Target="../media/image59.png"/><Relationship Id="rId7" Type="http://schemas.openxmlformats.org/officeDocument/2006/relationships/image" Target="../media/image4.png"/><Relationship Id="rId71" Type="http://schemas.openxmlformats.org/officeDocument/2006/relationships/image" Target="../media/image35.png"/><Relationship Id="rId92" Type="http://schemas.openxmlformats.org/officeDocument/2006/relationships/customXml" Target="../ink/ink47.xml"/><Relationship Id="rId2" Type="http://schemas.openxmlformats.org/officeDocument/2006/relationships/customXml" Target="../ink/ink1.xml"/><Relationship Id="rId29" Type="http://schemas.openxmlformats.org/officeDocument/2006/relationships/image" Target="../media/image15.png"/><Relationship Id="rId24" Type="http://schemas.openxmlformats.org/officeDocument/2006/relationships/customXml" Target="../ink/ink12.xml"/><Relationship Id="rId40" Type="http://schemas.openxmlformats.org/officeDocument/2006/relationships/customXml" Target="../ink/ink20.xml"/><Relationship Id="rId45" Type="http://schemas.openxmlformats.org/officeDocument/2006/relationships/image" Target="../media/image23.png"/><Relationship Id="rId66" Type="http://schemas.openxmlformats.org/officeDocument/2006/relationships/customXml" Target="../ink/ink34.xml"/><Relationship Id="rId87" Type="http://schemas.openxmlformats.org/officeDocument/2006/relationships/image" Target="../media/image43.png"/><Relationship Id="rId110" Type="http://schemas.openxmlformats.org/officeDocument/2006/relationships/image" Target="../media/image54.png"/><Relationship Id="rId115" Type="http://schemas.openxmlformats.org/officeDocument/2006/relationships/customXml" Target="../ink/ink59.xml"/><Relationship Id="rId61" Type="http://schemas.openxmlformats.org/officeDocument/2006/relationships/image" Target="../media/image30.png"/><Relationship Id="rId82" Type="http://schemas.openxmlformats.org/officeDocument/2006/relationships/customXml" Target="../ink/ink42.xml"/><Relationship Id="rId19" Type="http://schemas.openxmlformats.org/officeDocument/2006/relationships/image" Target="../media/image10.png"/><Relationship Id="rId14" Type="http://schemas.openxmlformats.org/officeDocument/2006/relationships/customXml" Target="../ink/ink7.xml"/><Relationship Id="rId30" Type="http://schemas.openxmlformats.org/officeDocument/2006/relationships/customXml" Target="../ink/ink15.xml"/><Relationship Id="rId35" Type="http://schemas.openxmlformats.org/officeDocument/2006/relationships/image" Target="../media/image18.png"/><Relationship Id="rId56" Type="http://schemas.openxmlformats.org/officeDocument/2006/relationships/customXml" Target="../ink/ink29.xml"/><Relationship Id="rId77" Type="http://schemas.openxmlformats.org/officeDocument/2006/relationships/image" Target="../media/image38.png"/><Relationship Id="rId100" Type="http://schemas.openxmlformats.org/officeDocument/2006/relationships/customXml" Target="../ink/ink51.xml"/><Relationship Id="rId105" Type="http://schemas.openxmlformats.org/officeDocument/2006/relationships/image" Target="../media/image52.png"/><Relationship Id="rId8" Type="http://schemas.openxmlformats.org/officeDocument/2006/relationships/customXml" Target="../ink/ink4.xml"/><Relationship Id="rId51" Type="http://schemas.openxmlformats.org/officeDocument/2006/relationships/image" Target="../media/image25.png"/><Relationship Id="rId72" Type="http://schemas.openxmlformats.org/officeDocument/2006/relationships/customXml" Target="../ink/ink37.xml"/><Relationship Id="rId93" Type="http://schemas.openxmlformats.org/officeDocument/2006/relationships/image" Target="../media/image46.png"/><Relationship Id="rId98" Type="http://schemas.openxmlformats.org/officeDocument/2006/relationships/customXml" Target="../ink/ink50.xml"/><Relationship Id="rId121" Type="http://schemas.openxmlformats.org/officeDocument/2006/relationships/customXml" Target="../ink/ink62.xml"/><Relationship Id="rId3" Type="http://schemas.openxmlformats.org/officeDocument/2006/relationships/image" Target="../media/image2.png"/><Relationship Id="rId25" Type="http://schemas.openxmlformats.org/officeDocument/2006/relationships/image" Target="../media/image13.png"/><Relationship Id="rId46" Type="http://schemas.openxmlformats.org/officeDocument/2006/relationships/customXml" Target="../ink/ink23.xml"/><Relationship Id="rId67" Type="http://schemas.openxmlformats.org/officeDocument/2006/relationships/image" Target="../media/image33.png"/><Relationship Id="rId116" Type="http://schemas.openxmlformats.org/officeDocument/2006/relationships/image" Target="../media/image57.png"/><Relationship Id="rId20" Type="http://schemas.openxmlformats.org/officeDocument/2006/relationships/customXml" Target="../ink/ink10.xml"/><Relationship Id="rId41" Type="http://schemas.openxmlformats.org/officeDocument/2006/relationships/image" Target="../media/image21.png"/><Relationship Id="rId62" Type="http://schemas.openxmlformats.org/officeDocument/2006/relationships/customXml" Target="../ink/ink32.xml"/><Relationship Id="rId83" Type="http://schemas.openxmlformats.org/officeDocument/2006/relationships/image" Target="../media/image41.png"/><Relationship Id="rId88" Type="http://schemas.openxmlformats.org/officeDocument/2006/relationships/customXml" Target="../ink/ink45.xml"/><Relationship Id="rId111" Type="http://schemas.openxmlformats.org/officeDocument/2006/relationships/customXml" Target="../ink/ink57.xml"/><Relationship Id="rId15" Type="http://schemas.openxmlformats.org/officeDocument/2006/relationships/image" Target="../media/image8.png"/><Relationship Id="rId36" Type="http://schemas.openxmlformats.org/officeDocument/2006/relationships/customXml" Target="../ink/ink18.xml"/><Relationship Id="rId57" Type="http://schemas.openxmlformats.org/officeDocument/2006/relationships/image" Target="../media/image28.png"/><Relationship Id="rId106" Type="http://schemas.openxmlformats.org/officeDocument/2006/relationships/customXml" Target="../ink/ink54.xml"/><Relationship Id="rId10" Type="http://schemas.openxmlformats.org/officeDocument/2006/relationships/customXml" Target="../ink/ink5.xml"/><Relationship Id="rId31" Type="http://schemas.openxmlformats.org/officeDocument/2006/relationships/image" Target="../media/image16.png"/><Relationship Id="rId52" Type="http://schemas.openxmlformats.org/officeDocument/2006/relationships/customXml" Target="../ink/ink27.xml"/><Relationship Id="rId73" Type="http://schemas.openxmlformats.org/officeDocument/2006/relationships/image" Target="../media/image36.png"/><Relationship Id="rId78" Type="http://schemas.openxmlformats.org/officeDocument/2006/relationships/customXml" Target="../ink/ink40.xml"/><Relationship Id="rId94" Type="http://schemas.openxmlformats.org/officeDocument/2006/relationships/customXml" Target="../ink/ink48.xml"/><Relationship Id="rId99" Type="http://schemas.openxmlformats.org/officeDocument/2006/relationships/image" Target="../media/image49.png"/><Relationship Id="rId101" Type="http://schemas.openxmlformats.org/officeDocument/2006/relationships/image" Target="../media/image50.png"/><Relationship Id="rId122" Type="http://schemas.openxmlformats.org/officeDocument/2006/relationships/customXml" Target="../ink/ink6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0</xdr:col>
      <xdr:colOff>25400</xdr:colOff>
      <xdr:row>0</xdr:row>
      <xdr:rowOff>0</xdr:rowOff>
    </xdr:from>
    <xdr:to>
      <xdr:col>7</xdr:col>
      <xdr:colOff>720811</xdr:colOff>
      <xdr:row>15</xdr:row>
      <xdr:rowOff>104025</xdr:rowOff>
    </xdr:to>
    <xdr:pic>
      <xdr:nvPicPr>
        <xdr:cNvPr id="2" name="Imagen 1">
          <a:extLst>
            <a:ext uri="{FF2B5EF4-FFF2-40B4-BE49-F238E27FC236}">
              <a16:creationId xmlns:a16="http://schemas.microsoft.com/office/drawing/2014/main" id="{C04D611D-CAE2-4D2E-D695-1C30A186E040}"/>
            </a:ext>
          </a:extLst>
        </xdr:cNvPr>
        <xdr:cNvPicPr>
          <a:picLocks noChangeAspect="1"/>
        </xdr:cNvPicPr>
      </xdr:nvPicPr>
      <xdr:blipFill>
        <a:blip xmlns:r="http://schemas.openxmlformats.org/officeDocument/2006/relationships" r:embed="rId1"/>
        <a:stretch>
          <a:fillRect/>
        </a:stretch>
      </xdr:blipFill>
      <xdr:spPr>
        <a:xfrm>
          <a:off x="25400" y="0"/>
          <a:ext cx="6461897" cy="3193214"/>
        </a:xfrm>
        <a:prstGeom prst="rect">
          <a:avLst/>
        </a:prstGeom>
      </xdr:spPr>
    </xdr:pic>
    <xdr:clientData/>
  </xdr:twoCellAnchor>
  <xdr:twoCellAnchor editAs="oneCell">
    <xdr:from>
      <xdr:col>5</xdr:col>
      <xdr:colOff>161638</xdr:colOff>
      <xdr:row>13</xdr:row>
      <xdr:rowOff>25881</xdr:rowOff>
    </xdr:from>
    <xdr:to>
      <xdr:col>5</xdr:col>
      <xdr:colOff>743758</xdr:colOff>
      <xdr:row>14</xdr:row>
      <xdr:rowOff>83506</xdr:rowOff>
    </xdr:to>
    <mc:AlternateContent xmlns:mc="http://schemas.openxmlformats.org/markup-compatibility/2006" xmlns:xdr14="http://schemas.microsoft.com/office/excel/2010/spreadsheetDrawing">
      <mc:Choice Requires="xdr14">
        <xdr:contentPart xmlns:r="http://schemas.openxmlformats.org/officeDocument/2006/relationships" r:id="rId2">
          <xdr14:nvContentPartPr>
            <xdr14:cNvPr id="8" name="Entrada de lápiz 7">
              <a:extLst>
                <a:ext uri="{FF2B5EF4-FFF2-40B4-BE49-F238E27FC236}">
                  <a16:creationId xmlns:a16="http://schemas.microsoft.com/office/drawing/2014/main" id="{3FE16951-4E97-B6FB-1735-DC54E9550C2F}"/>
                </a:ext>
              </a:extLst>
            </xdr14:cNvPr>
            <xdr14:cNvContentPartPr/>
          </xdr14:nvContentPartPr>
          <xdr14:nvPr macro=""/>
          <xdr14:xfrm>
            <a:off x="4299840" y="2622960"/>
            <a:ext cx="582120" cy="257400"/>
          </xdr14:xfrm>
        </xdr:contentPart>
      </mc:Choice>
      <mc:Fallback xmlns="">
        <xdr:pic>
          <xdr:nvPicPr>
            <xdr:cNvPr id="8" name="Entrada de lápiz 7">
              <a:extLst>
                <a:ext uri="{FF2B5EF4-FFF2-40B4-BE49-F238E27FC236}">
                  <a16:creationId xmlns:a16="http://schemas.microsoft.com/office/drawing/2014/main" id="{3FE16951-4E97-B6FB-1735-DC54E9550C2F}"/>
                </a:ext>
              </a:extLst>
            </xdr:cNvPr>
            <xdr:cNvPicPr/>
          </xdr:nvPicPr>
          <xdr:blipFill>
            <a:blip xmlns:r="http://schemas.openxmlformats.org/officeDocument/2006/relationships" r:embed="rId3"/>
            <a:stretch>
              <a:fillRect/>
            </a:stretch>
          </xdr:blipFill>
          <xdr:spPr>
            <a:xfrm>
              <a:off x="4293720" y="2616849"/>
              <a:ext cx="594360" cy="269623"/>
            </a:xfrm>
            <a:prstGeom prst="rect">
              <a:avLst/>
            </a:prstGeom>
          </xdr:spPr>
        </xdr:pic>
      </mc:Fallback>
    </mc:AlternateContent>
    <xdr:clientData/>
  </xdr:twoCellAnchor>
  <xdr:twoCellAnchor editAs="oneCell">
    <xdr:from>
      <xdr:col>5</xdr:col>
      <xdr:colOff>307798</xdr:colOff>
      <xdr:row>1</xdr:row>
      <xdr:rowOff>187225</xdr:rowOff>
    </xdr:from>
    <xdr:to>
      <xdr:col>5</xdr:col>
      <xdr:colOff>471238</xdr:colOff>
      <xdr:row>1</xdr:row>
      <xdr:rowOff>187585</xdr:rowOff>
    </xdr:to>
    <mc:AlternateContent xmlns:mc="http://schemas.openxmlformats.org/markup-compatibility/2006" xmlns:xdr14="http://schemas.microsoft.com/office/excel/2010/spreadsheetDrawing">
      <mc:Choice Requires="xdr14">
        <xdr:contentPart xmlns:r="http://schemas.openxmlformats.org/officeDocument/2006/relationships" r:id="rId4">
          <xdr14:nvContentPartPr>
            <xdr14:cNvPr id="9" name="Entrada de lápiz 8">
              <a:extLst>
                <a:ext uri="{FF2B5EF4-FFF2-40B4-BE49-F238E27FC236}">
                  <a16:creationId xmlns:a16="http://schemas.microsoft.com/office/drawing/2014/main" id="{61B7C8F2-1A31-F63B-F3D8-64F561825F68}"/>
                </a:ext>
              </a:extLst>
            </xdr14:cNvPr>
            <xdr14:cNvContentPartPr/>
          </xdr14:nvContentPartPr>
          <xdr14:nvPr macro=""/>
          <xdr14:xfrm>
            <a:off x="4446000" y="387000"/>
            <a:ext cx="163440" cy="360"/>
          </xdr14:xfrm>
        </xdr:contentPart>
      </mc:Choice>
      <mc:Fallback xmlns="">
        <xdr:pic>
          <xdr:nvPicPr>
            <xdr:cNvPr id="9" name="Entrada de lápiz 8">
              <a:extLst>
                <a:ext uri="{FF2B5EF4-FFF2-40B4-BE49-F238E27FC236}">
                  <a16:creationId xmlns:a16="http://schemas.microsoft.com/office/drawing/2014/main" id="{61B7C8F2-1A31-F63B-F3D8-64F561825F68}"/>
                </a:ext>
              </a:extLst>
            </xdr:cNvPr>
            <xdr:cNvPicPr/>
          </xdr:nvPicPr>
          <xdr:blipFill>
            <a:blip xmlns:r="http://schemas.openxmlformats.org/officeDocument/2006/relationships" r:embed="rId5"/>
            <a:stretch>
              <a:fillRect/>
            </a:stretch>
          </xdr:blipFill>
          <xdr:spPr>
            <a:xfrm>
              <a:off x="4439880" y="380880"/>
              <a:ext cx="175680" cy="12600"/>
            </a:xfrm>
            <a:prstGeom prst="rect">
              <a:avLst/>
            </a:prstGeom>
          </xdr:spPr>
        </xdr:pic>
      </mc:Fallback>
    </mc:AlternateContent>
    <xdr:clientData/>
  </xdr:twoCellAnchor>
  <xdr:twoCellAnchor editAs="oneCell">
    <xdr:from>
      <xdr:col>3</xdr:col>
      <xdr:colOff>656279</xdr:colOff>
      <xdr:row>5</xdr:row>
      <xdr:rowOff>170044</xdr:rowOff>
    </xdr:from>
    <xdr:to>
      <xdr:col>4</xdr:col>
      <xdr:colOff>282958</xdr:colOff>
      <xdr:row>6</xdr:row>
      <xdr:rowOff>99148</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15" name="Entrada de lápiz 14">
              <a:extLst>
                <a:ext uri="{FF2B5EF4-FFF2-40B4-BE49-F238E27FC236}">
                  <a16:creationId xmlns:a16="http://schemas.microsoft.com/office/drawing/2014/main" id="{ED8CCDF3-2AFA-98F0-93AB-1D8B9FF3606F}"/>
                </a:ext>
              </a:extLst>
            </xdr14:cNvPr>
            <xdr14:cNvContentPartPr/>
          </xdr14:nvContentPartPr>
          <xdr14:nvPr macro=""/>
          <xdr14:xfrm>
            <a:off x="3139200" y="1168920"/>
            <a:ext cx="454320" cy="128880"/>
          </xdr14:xfrm>
        </xdr:contentPart>
      </mc:Choice>
      <mc:Fallback xmlns="">
        <xdr:pic>
          <xdr:nvPicPr>
            <xdr:cNvPr id="15" name="Entrada de lápiz 14">
              <a:extLst>
                <a:ext uri="{FF2B5EF4-FFF2-40B4-BE49-F238E27FC236}">
                  <a16:creationId xmlns:a16="http://schemas.microsoft.com/office/drawing/2014/main" id="{ED8CCDF3-2AFA-98F0-93AB-1D8B9FF3606F}"/>
                </a:ext>
              </a:extLst>
            </xdr:cNvPr>
            <xdr:cNvPicPr/>
          </xdr:nvPicPr>
          <xdr:blipFill>
            <a:blip xmlns:r="http://schemas.openxmlformats.org/officeDocument/2006/relationships" r:embed="rId7"/>
            <a:stretch>
              <a:fillRect/>
            </a:stretch>
          </xdr:blipFill>
          <xdr:spPr>
            <a:xfrm>
              <a:off x="3133085" y="1162800"/>
              <a:ext cx="466550" cy="141120"/>
            </a:xfrm>
            <a:prstGeom prst="rect">
              <a:avLst/>
            </a:prstGeom>
          </xdr:spPr>
        </xdr:pic>
      </mc:Fallback>
    </mc:AlternateContent>
    <xdr:clientData/>
  </xdr:twoCellAnchor>
  <xdr:twoCellAnchor editAs="oneCell">
    <xdr:from>
      <xdr:col>3</xdr:col>
      <xdr:colOff>749879</xdr:colOff>
      <xdr:row>1</xdr:row>
      <xdr:rowOff>73105</xdr:rowOff>
    </xdr:from>
    <xdr:to>
      <xdr:col>4</xdr:col>
      <xdr:colOff>65518</xdr:colOff>
      <xdr:row>2</xdr:row>
      <xdr:rowOff>140809</xdr:rowOff>
    </xdr:to>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16" name="Entrada de lápiz 15">
              <a:extLst>
                <a:ext uri="{FF2B5EF4-FFF2-40B4-BE49-F238E27FC236}">
                  <a16:creationId xmlns:a16="http://schemas.microsoft.com/office/drawing/2014/main" id="{82F5D4F3-06E4-CD1C-675F-FCD3C52A4E27}"/>
                </a:ext>
              </a:extLst>
            </xdr14:cNvPr>
            <xdr14:cNvContentPartPr/>
          </xdr14:nvContentPartPr>
          <xdr14:nvPr macro=""/>
          <xdr14:xfrm>
            <a:off x="3232800" y="272880"/>
            <a:ext cx="143280" cy="267480"/>
          </xdr14:xfrm>
        </xdr:contentPart>
      </mc:Choice>
      <mc:Fallback xmlns="">
        <xdr:pic>
          <xdr:nvPicPr>
            <xdr:cNvPr id="16" name="Entrada de lápiz 15">
              <a:extLst>
                <a:ext uri="{FF2B5EF4-FFF2-40B4-BE49-F238E27FC236}">
                  <a16:creationId xmlns:a16="http://schemas.microsoft.com/office/drawing/2014/main" id="{82F5D4F3-06E4-CD1C-675F-FCD3C52A4E27}"/>
                </a:ext>
              </a:extLst>
            </xdr:cNvPr>
            <xdr:cNvPicPr/>
          </xdr:nvPicPr>
          <xdr:blipFill>
            <a:blip xmlns:r="http://schemas.openxmlformats.org/officeDocument/2006/relationships" r:embed="rId9"/>
            <a:stretch>
              <a:fillRect/>
            </a:stretch>
          </xdr:blipFill>
          <xdr:spPr>
            <a:xfrm>
              <a:off x="3226680" y="266760"/>
              <a:ext cx="155520" cy="279720"/>
            </a:xfrm>
            <a:prstGeom prst="rect">
              <a:avLst/>
            </a:prstGeom>
          </xdr:spPr>
        </xdr:pic>
      </mc:Fallback>
    </mc:AlternateContent>
    <xdr:clientData/>
  </xdr:twoCellAnchor>
  <xdr:twoCellAnchor editAs="oneCell">
    <xdr:from>
      <xdr:col>4</xdr:col>
      <xdr:colOff>122398</xdr:colOff>
      <xdr:row>1</xdr:row>
      <xdr:rowOff>190465</xdr:rowOff>
    </xdr:from>
    <xdr:to>
      <xdr:col>4</xdr:col>
      <xdr:colOff>199078</xdr:colOff>
      <xdr:row>2</xdr:row>
      <xdr:rowOff>74209</xdr:rowOff>
    </xdr:to>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19" name="Entrada de lápiz 18">
              <a:extLst>
                <a:ext uri="{FF2B5EF4-FFF2-40B4-BE49-F238E27FC236}">
                  <a16:creationId xmlns:a16="http://schemas.microsoft.com/office/drawing/2014/main" id="{02E84809-6BA7-1F00-C4E6-29F923CD879D}"/>
                </a:ext>
              </a:extLst>
            </xdr14:cNvPr>
            <xdr14:cNvContentPartPr/>
          </xdr14:nvContentPartPr>
          <xdr14:nvPr macro=""/>
          <xdr14:xfrm>
            <a:off x="3432960" y="390240"/>
            <a:ext cx="76680" cy="83520"/>
          </xdr14:xfrm>
        </xdr:contentPart>
      </mc:Choice>
      <mc:Fallback xmlns="">
        <xdr:pic>
          <xdr:nvPicPr>
            <xdr:cNvPr id="19" name="Entrada de lápiz 18">
              <a:extLst>
                <a:ext uri="{FF2B5EF4-FFF2-40B4-BE49-F238E27FC236}">
                  <a16:creationId xmlns:a16="http://schemas.microsoft.com/office/drawing/2014/main" id="{02E84809-6BA7-1F00-C4E6-29F923CD879D}"/>
                </a:ext>
              </a:extLst>
            </xdr:cNvPr>
            <xdr:cNvPicPr/>
          </xdr:nvPicPr>
          <xdr:blipFill>
            <a:blip xmlns:r="http://schemas.openxmlformats.org/officeDocument/2006/relationships" r:embed="rId11"/>
            <a:stretch>
              <a:fillRect/>
            </a:stretch>
          </xdr:blipFill>
          <xdr:spPr>
            <a:xfrm>
              <a:off x="3426840" y="384120"/>
              <a:ext cx="88920" cy="95760"/>
            </a:xfrm>
            <a:prstGeom prst="rect">
              <a:avLst/>
            </a:prstGeom>
          </xdr:spPr>
        </xdr:pic>
      </mc:Fallback>
    </mc:AlternateContent>
    <xdr:clientData/>
  </xdr:twoCellAnchor>
  <xdr:twoCellAnchor editAs="oneCell">
    <xdr:from>
      <xdr:col>4</xdr:col>
      <xdr:colOff>132118</xdr:colOff>
      <xdr:row>1</xdr:row>
      <xdr:rowOff>198385</xdr:rowOff>
    </xdr:from>
    <xdr:to>
      <xdr:col>4</xdr:col>
      <xdr:colOff>206998</xdr:colOff>
      <xdr:row>2</xdr:row>
      <xdr:rowOff>82129</xdr:rowOff>
    </xdr:to>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22" name="Entrada de lápiz 21">
              <a:extLst>
                <a:ext uri="{FF2B5EF4-FFF2-40B4-BE49-F238E27FC236}">
                  <a16:creationId xmlns:a16="http://schemas.microsoft.com/office/drawing/2014/main" id="{58AE4649-C0D1-7272-7E47-B3CB5B69FE6C}"/>
                </a:ext>
              </a:extLst>
            </xdr14:cNvPr>
            <xdr14:cNvContentPartPr/>
          </xdr14:nvContentPartPr>
          <xdr14:nvPr macro=""/>
          <xdr14:xfrm>
            <a:off x="3442680" y="398160"/>
            <a:ext cx="74880" cy="83520"/>
          </xdr14:xfrm>
        </xdr:contentPart>
      </mc:Choice>
      <mc:Fallback xmlns="">
        <xdr:pic>
          <xdr:nvPicPr>
            <xdr:cNvPr id="22" name="Entrada de lápiz 21">
              <a:extLst>
                <a:ext uri="{FF2B5EF4-FFF2-40B4-BE49-F238E27FC236}">
                  <a16:creationId xmlns:a16="http://schemas.microsoft.com/office/drawing/2014/main" id="{58AE4649-C0D1-7272-7E47-B3CB5B69FE6C}"/>
                </a:ext>
              </a:extLst>
            </xdr:cNvPr>
            <xdr:cNvPicPr/>
          </xdr:nvPicPr>
          <xdr:blipFill>
            <a:blip xmlns:r="http://schemas.openxmlformats.org/officeDocument/2006/relationships" r:embed="rId13"/>
            <a:stretch>
              <a:fillRect/>
            </a:stretch>
          </xdr:blipFill>
          <xdr:spPr>
            <a:xfrm>
              <a:off x="3436560" y="392040"/>
              <a:ext cx="87120" cy="95760"/>
            </a:xfrm>
            <a:prstGeom prst="rect">
              <a:avLst/>
            </a:prstGeom>
          </xdr:spPr>
        </xdr:pic>
      </mc:Fallback>
    </mc:AlternateContent>
    <xdr:clientData/>
  </xdr:twoCellAnchor>
  <xdr:twoCellAnchor editAs="oneCell">
    <xdr:from>
      <xdr:col>3</xdr:col>
      <xdr:colOff>730079</xdr:colOff>
      <xdr:row>15</xdr:row>
      <xdr:rowOff>110891</xdr:rowOff>
    </xdr:from>
    <xdr:to>
      <xdr:col>3</xdr:col>
      <xdr:colOff>826919</xdr:colOff>
      <xdr:row>16</xdr:row>
      <xdr:rowOff>89316</xdr:rowOff>
    </xdr:to>
    <mc:AlternateContent xmlns:mc="http://schemas.openxmlformats.org/markup-compatibility/2006" xmlns:xdr14="http://schemas.microsoft.com/office/excel/2010/spreadsheetDrawing">
      <mc:Choice Requires="xdr14">
        <xdr:contentPart xmlns:r="http://schemas.openxmlformats.org/officeDocument/2006/relationships" r:id="rId14">
          <xdr14:nvContentPartPr>
            <xdr14:cNvPr id="23" name="Entrada de lápiz 22">
              <a:extLst>
                <a:ext uri="{FF2B5EF4-FFF2-40B4-BE49-F238E27FC236}">
                  <a16:creationId xmlns:a16="http://schemas.microsoft.com/office/drawing/2014/main" id="{B29C4FCF-E973-95F4-D3D7-FB50A868B55B}"/>
                </a:ext>
              </a:extLst>
            </xdr14:cNvPr>
            <xdr14:cNvContentPartPr/>
          </xdr14:nvContentPartPr>
          <xdr14:nvPr macro=""/>
          <xdr14:xfrm>
            <a:off x="3213000" y="3107520"/>
            <a:ext cx="96840" cy="178200"/>
          </xdr14:xfrm>
        </xdr:contentPart>
      </mc:Choice>
      <mc:Fallback xmlns="">
        <xdr:pic>
          <xdr:nvPicPr>
            <xdr:cNvPr id="23" name="Entrada de lápiz 22">
              <a:extLst>
                <a:ext uri="{FF2B5EF4-FFF2-40B4-BE49-F238E27FC236}">
                  <a16:creationId xmlns:a16="http://schemas.microsoft.com/office/drawing/2014/main" id="{B29C4FCF-E973-95F4-D3D7-FB50A868B55B}"/>
                </a:ext>
              </a:extLst>
            </xdr:cNvPr>
            <xdr:cNvPicPr/>
          </xdr:nvPicPr>
          <xdr:blipFill>
            <a:blip xmlns:r="http://schemas.openxmlformats.org/officeDocument/2006/relationships" r:embed="rId15"/>
            <a:stretch>
              <a:fillRect/>
            </a:stretch>
          </xdr:blipFill>
          <xdr:spPr>
            <a:xfrm>
              <a:off x="3206880" y="3101400"/>
              <a:ext cx="109080" cy="190440"/>
            </a:xfrm>
            <a:prstGeom prst="rect">
              <a:avLst/>
            </a:prstGeom>
          </xdr:spPr>
        </xdr:pic>
      </mc:Fallback>
    </mc:AlternateContent>
    <xdr:clientData/>
  </xdr:twoCellAnchor>
  <xdr:twoCellAnchor editAs="oneCell">
    <xdr:from>
      <xdr:col>6</xdr:col>
      <xdr:colOff>810357</xdr:colOff>
      <xdr:row>7</xdr:row>
      <xdr:rowOff>110693</xdr:rowOff>
    </xdr:from>
    <xdr:to>
      <xdr:col>7</xdr:col>
      <xdr:colOff>146157</xdr:colOff>
      <xdr:row>8</xdr:row>
      <xdr:rowOff>43758</xdr:rowOff>
    </xdr:to>
    <mc:AlternateContent xmlns:mc="http://schemas.openxmlformats.org/markup-compatibility/2006" xmlns:xdr14="http://schemas.microsoft.com/office/excel/2010/spreadsheetDrawing">
      <mc:Choice Requires="xdr14">
        <xdr:contentPart xmlns:r="http://schemas.openxmlformats.org/officeDocument/2006/relationships" r:id="rId16">
          <xdr14:nvContentPartPr>
            <xdr14:cNvPr id="26" name="Entrada de lápiz 25">
              <a:extLst>
                <a:ext uri="{FF2B5EF4-FFF2-40B4-BE49-F238E27FC236}">
                  <a16:creationId xmlns:a16="http://schemas.microsoft.com/office/drawing/2014/main" id="{240F0B61-7335-C28C-A40D-20E4915EDBFF}"/>
                </a:ext>
              </a:extLst>
            </xdr14:cNvPr>
            <xdr14:cNvContentPartPr/>
          </xdr14:nvContentPartPr>
          <xdr14:nvPr macro=""/>
          <xdr14:xfrm>
            <a:off x="5776200" y="1509120"/>
            <a:ext cx="163440" cy="132840"/>
          </xdr14:xfrm>
        </xdr:contentPart>
      </mc:Choice>
      <mc:Fallback xmlns="">
        <xdr:pic>
          <xdr:nvPicPr>
            <xdr:cNvPr id="26" name="Entrada de lápiz 25">
              <a:extLst>
                <a:ext uri="{FF2B5EF4-FFF2-40B4-BE49-F238E27FC236}">
                  <a16:creationId xmlns:a16="http://schemas.microsoft.com/office/drawing/2014/main" id="{240F0B61-7335-C28C-A40D-20E4915EDBFF}"/>
                </a:ext>
              </a:extLst>
            </xdr:cNvPr>
            <xdr:cNvPicPr/>
          </xdr:nvPicPr>
          <xdr:blipFill>
            <a:blip xmlns:r="http://schemas.openxmlformats.org/officeDocument/2006/relationships" r:embed="rId17"/>
            <a:stretch>
              <a:fillRect/>
            </a:stretch>
          </xdr:blipFill>
          <xdr:spPr>
            <a:xfrm>
              <a:off x="5770080" y="1503000"/>
              <a:ext cx="175680" cy="145080"/>
            </a:xfrm>
            <a:prstGeom prst="rect">
              <a:avLst/>
            </a:prstGeom>
          </xdr:spPr>
        </xdr:pic>
      </mc:Fallback>
    </mc:AlternateContent>
    <xdr:clientData/>
  </xdr:twoCellAnchor>
  <xdr:twoCellAnchor editAs="oneCell">
    <xdr:from>
      <xdr:col>7</xdr:col>
      <xdr:colOff>114837</xdr:colOff>
      <xdr:row>13</xdr:row>
      <xdr:rowOff>76281</xdr:rowOff>
    </xdr:from>
    <xdr:to>
      <xdr:col>7</xdr:col>
      <xdr:colOff>196197</xdr:colOff>
      <xdr:row>14</xdr:row>
      <xdr:rowOff>19066</xdr:rowOff>
    </xdr:to>
    <mc:AlternateContent xmlns:mc="http://schemas.openxmlformats.org/markup-compatibility/2006" xmlns:xdr14="http://schemas.microsoft.com/office/excel/2010/spreadsheetDrawing">
      <mc:Choice Requires="xdr14">
        <xdr:contentPart xmlns:r="http://schemas.openxmlformats.org/officeDocument/2006/relationships" r:id="rId18">
          <xdr14:nvContentPartPr>
            <xdr14:cNvPr id="27" name="Entrada de lápiz 26">
              <a:extLst>
                <a:ext uri="{FF2B5EF4-FFF2-40B4-BE49-F238E27FC236}">
                  <a16:creationId xmlns:a16="http://schemas.microsoft.com/office/drawing/2014/main" id="{2A6BE100-C4BB-97AE-458B-3231B30F3025}"/>
                </a:ext>
              </a:extLst>
            </xdr14:cNvPr>
            <xdr14:cNvContentPartPr/>
          </xdr14:nvContentPartPr>
          <xdr14:nvPr macro=""/>
          <xdr14:xfrm>
            <a:off x="5908320" y="2673360"/>
            <a:ext cx="81360" cy="142560"/>
          </xdr14:xfrm>
        </xdr:contentPart>
      </mc:Choice>
      <mc:Fallback xmlns="">
        <xdr:pic>
          <xdr:nvPicPr>
            <xdr:cNvPr id="27" name="Entrada de lápiz 26">
              <a:extLst>
                <a:ext uri="{FF2B5EF4-FFF2-40B4-BE49-F238E27FC236}">
                  <a16:creationId xmlns:a16="http://schemas.microsoft.com/office/drawing/2014/main" id="{2A6BE100-C4BB-97AE-458B-3231B30F3025}"/>
                </a:ext>
              </a:extLst>
            </xdr:cNvPr>
            <xdr:cNvPicPr/>
          </xdr:nvPicPr>
          <xdr:blipFill>
            <a:blip xmlns:r="http://schemas.openxmlformats.org/officeDocument/2006/relationships" r:embed="rId19"/>
            <a:stretch>
              <a:fillRect/>
            </a:stretch>
          </xdr:blipFill>
          <xdr:spPr>
            <a:xfrm>
              <a:off x="5902200" y="2667240"/>
              <a:ext cx="93600" cy="154800"/>
            </a:xfrm>
            <a:prstGeom prst="rect">
              <a:avLst/>
            </a:prstGeom>
          </xdr:spPr>
        </xdr:pic>
      </mc:Fallback>
    </mc:AlternateContent>
    <xdr:clientData/>
  </xdr:twoCellAnchor>
  <xdr:twoCellAnchor editAs="oneCell">
    <xdr:from>
      <xdr:col>2</xdr:col>
      <xdr:colOff>139679</xdr:colOff>
      <xdr:row>9</xdr:row>
      <xdr:rowOff>189582</xdr:rowOff>
    </xdr:from>
    <xdr:to>
      <xdr:col>2</xdr:col>
      <xdr:colOff>431999</xdr:colOff>
      <xdr:row>10</xdr:row>
      <xdr:rowOff>156127</xdr:rowOff>
    </xdr:to>
    <mc:AlternateContent xmlns:mc="http://schemas.openxmlformats.org/markup-compatibility/2006" xmlns:xdr14="http://schemas.microsoft.com/office/excel/2010/spreadsheetDrawing">
      <mc:Choice Requires="xdr14">
        <xdr:contentPart xmlns:r="http://schemas.openxmlformats.org/officeDocument/2006/relationships" r:id="rId20">
          <xdr14:nvContentPartPr>
            <xdr14:cNvPr id="33" name="Entrada de lápiz 32">
              <a:extLst>
                <a:ext uri="{FF2B5EF4-FFF2-40B4-BE49-F238E27FC236}">
                  <a16:creationId xmlns:a16="http://schemas.microsoft.com/office/drawing/2014/main" id="{A290DBEA-E261-E7A2-E754-E1207E0117EB}"/>
                </a:ext>
              </a:extLst>
            </xdr14:cNvPr>
            <xdr14:cNvContentPartPr/>
          </xdr14:nvContentPartPr>
          <xdr14:nvPr macro=""/>
          <xdr14:xfrm>
            <a:off x="1794960" y="1987560"/>
            <a:ext cx="292320" cy="166320"/>
          </xdr14:xfrm>
        </xdr:contentPart>
      </mc:Choice>
      <mc:Fallback xmlns="">
        <xdr:pic>
          <xdr:nvPicPr>
            <xdr:cNvPr id="33" name="Entrada de lápiz 32">
              <a:extLst>
                <a:ext uri="{FF2B5EF4-FFF2-40B4-BE49-F238E27FC236}">
                  <a16:creationId xmlns:a16="http://schemas.microsoft.com/office/drawing/2014/main" id="{A290DBEA-E261-E7A2-E754-E1207E0117EB}"/>
                </a:ext>
              </a:extLst>
            </xdr:cNvPr>
            <xdr:cNvPicPr/>
          </xdr:nvPicPr>
          <xdr:blipFill>
            <a:blip xmlns:r="http://schemas.openxmlformats.org/officeDocument/2006/relationships" r:embed="rId21"/>
            <a:stretch>
              <a:fillRect/>
            </a:stretch>
          </xdr:blipFill>
          <xdr:spPr>
            <a:xfrm>
              <a:off x="1788832" y="1981440"/>
              <a:ext cx="304575" cy="178560"/>
            </a:xfrm>
            <a:prstGeom prst="rect">
              <a:avLst/>
            </a:prstGeom>
          </xdr:spPr>
        </xdr:pic>
      </mc:Fallback>
    </mc:AlternateContent>
    <xdr:clientData/>
  </xdr:twoCellAnchor>
  <xdr:twoCellAnchor editAs="oneCell">
    <xdr:from>
      <xdr:col>0</xdr:col>
      <xdr:colOff>381960</xdr:colOff>
      <xdr:row>7</xdr:row>
      <xdr:rowOff>59573</xdr:rowOff>
    </xdr:from>
    <xdr:to>
      <xdr:col>0</xdr:col>
      <xdr:colOff>630720</xdr:colOff>
      <xdr:row>8</xdr:row>
      <xdr:rowOff>16398</xdr:rowOff>
    </xdr:to>
    <mc:AlternateContent xmlns:mc="http://schemas.openxmlformats.org/markup-compatibility/2006" xmlns:xdr14="http://schemas.microsoft.com/office/excel/2010/spreadsheetDrawing">
      <mc:Choice Requires="xdr14">
        <xdr:contentPart xmlns:r="http://schemas.openxmlformats.org/officeDocument/2006/relationships" r:id="rId22">
          <xdr14:nvContentPartPr>
            <xdr14:cNvPr id="36" name="Entrada de lápiz 35">
              <a:extLst>
                <a:ext uri="{FF2B5EF4-FFF2-40B4-BE49-F238E27FC236}">
                  <a16:creationId xmlns:a16="http://schemas.microsoft.com/office/drawing/2014/main" id="{19B1EBFA-9D25-DAE4-31AA-355E7554430A}"/>
                </a:ext>
              </a:extLst>
            </xdr14:cNvPr>
            <xdr14:cNvContentPartPr/>
          </xdr14:nvContentPartPr>
          <xdr14:nvPr macro=""/>
          <xdr14:xfrm>
            <a:off x="381960" y="1458000"/>
            <a:ext cx="248760" cy="156600"/>
          </xdr14:xfrm>
        </xdr:contentPart>
      </mc:Choice>
      <mc:Fallback xmlns="">
        <xdr:pic>
          <xdr:nvPicPr>
            <xdr:cNvPr id="36" name="Entrada de lápiz 35">
              <a:extLst>
                <a:ext uri="{FF2B5EF4-FFF2-40B4-BE49-F238E27FC236}">
                  <a16:creationId xmlns:a16="http://schemas.microsoft.com/office/drawing/2014/main" id="{19B1EBFA-9D25-DAE4-31AA-355E7554430A}"/>
                </a:ext>
              </a:extLst>
            </xdr:cNvPr>
            <xdr:cNvPicPr/>
          </xdr:nvPicPr>
          <xdr:blipFill>
            <a:blip xmlns:r="http://schemas.openxmlformats.org/officeDocument/2006/relationships" r:embed="rId23"/>
            <a:stretch>
              <a:fillRect/>
            </a:stretch>
          </xdr:blipFill>
          <xdr:spPr>
            <a:xfrm>
              <a:off x="375849" y="1451880"/>
              <a:ext cx="260982" cy="168840"/>
            </a:xfrm>
            <a:prstGeom prst="rect">
              <a:avLst/>
            </a:prstGeom>
          </xdr:spPr>
        </xdr:pic>
      </mc:Fallback>
    </mc:AlternateContent>
    <xdr:clientData/>
  </xdr:twoCellAnchor>
  <xdr:twoCellAnchor editAs="oneCell">
    <xdr:from>
      <xdr:col>0</xdr:col>
      <xdr:colOff>408600</xdr:colOff>
      <xdr:row>13</xdr:row>
      <xdr:rowOff>27681</xdr:rowOff>
    </xdr:from>
    <xdr:to>
      <xdr:col>0</xdr:col>
      <xdr:colOff>546120</xdr:colOff>
      <xdr:row>14</xdr:row>
      <xdr:rowOff>111946</xdr:rowOff>
    </xdr:to>
    <mc:AlternateContent xmlns:mc="http://schemas.openxmlformats.org/markup-compatibility/2006" xmlns:xdr14="http://schemas.microsoft.com/office/excel/2010/spreadsheetDrawing">
      <mc:Choice Requires="xdr14">
        <xdr:contentPart xmlns:r="http://schemas.openxmlformats.org/officeDocument/2006/relationships" r:id="rId24">
          <xdr14:nvContentPartPr>
            <xdr14:cNvPr id="39" name="Entrada de lápiz 38">
              <a:extLst>
                <a:ext uri="{FF2B5EF4-FFF2-40B4-BE49-F238E27FC236}">
                  <a16:creationId xmlns:a16="http://schemas.microsoft.com/office/drawing/2014/main" id="{0004775A-2BCA-D2C8-9BA8-8214652972FF}"/>
                </a:ext>
              </a:extLst>
            </xdr14:cNvPr>
            <xdr14:cNvContentPartPr/>
          </xdr14:nvContentPartPr>
          <xdr14:nvPr macro=""/>
          <xdr14:xfrm>
            <a:off x="408600" y="2624760"/>
            <a:ext cx="137520" cy="284040"/>
          </xdr14:xfrm>
        </xdr:contentPart>
      </mc:Choice>
      <mc:Fallback xmlns="">
        <xdr:pic>
          <xdr:nvPicPr>
            <xdr:cNvPr id="39" name="Entrada de lápiz 38">
              <a:extLst>
                <a:ext uri="{FF2B5EF4-FFF2-40B4-BE49-F238E27FC236}">
                  <a16:creationId xmlns:a16="http://schemas.microsoft.com/office/drawing/2014/main" id="{0004775A-2BCA-D2C8-9BA8-8214652972FF}"/>
                </a:ext>
              </a:extLst>
            </xdr:cNvPr>
            <xdr:cNvPicPr/>
          </xdr:nvPicPr>
          <xdr:blipFill>
            <a:blip xmlns:r="http://schemas.openxmlformats.org/officeDocument/2006/relationships" r:embed="rId25"/>
            <a:stretch>
              <a:fillRect/>
            </a:stretch>
          </xdr:blipFill>
          <xdr:spPr>
            <a:xfrm>
              <a:off x="402480" y="2618640"/>
              <a:ext cx="149760" cy="296280"/>
            </a:xfrm>
            <a:prstGeom prst="rect">
              <a:avLst/>
            </a:prstGeom>
          </xdr:spPr>
        </xdr:pic>
      </mc:Fallback>
    </mc:AlternateContent>
    <xdr:clientData/>
  </xdr:twoCellAnchor>
  <xdr:twoCellAnchor editAs="oneCell">
    <xdr:from>
      <xdr:col>7</xdr:col>
      <xdr:colOff>216717</xdr:colOff>
      <xdr:row>1</xdr:row>
      <xdr:rowOff>194425</xdr:rowOff>
    </xdr:from>
    <xdr:to>
      <xdr:col>7</xdr:col>
      <xdr:colOff>336957</xdr:colOff>
      <xdr:row>2</xdr:row>
      <xdr:rowOff>2569</xdr:rowOff>
    </xdr:to>
    <mc:AlternateContent xmlns:mc="http://schemas.openxmlformats.org/markup-compatibility/2006" xmlns:xdr14="http://schemas.microsoft.com/office/excel/2010/spreadsheetDrawing">
      <mc:Choice Requires="xdr14">
        <xdr:contentPart xmlns:r="http://schemas.openxmlformats.org/officeDocument/2006/relationships" r:id="rId26">
          <xdr14:nvContentPartPr>
            <xdr14:cNvPr id="40" name="Entrada de lápiz 39">
              <a:extLst>
                <a:ext uri="{FF2B5EF4-FFF2-40B4-BE49-F238E27FC236}">
                  <a16:creationId xmlns:a16="http://schemas.microsoft.com/office/drawing/2014/main" id="{E9EA79FE-B1AE-9F67-A9B2-93898BCC706E}"/>
                </a:ext>
              </a:extLst>
            </xdr14:cNvPr>
            <xdr14:cNvContentPartPr/>
          </xdr14:nvContentPartPr>
          <xdr14:nvPr macro=""/>
          <xdr14:xfrm>
            <a:off x="6010200" y="394200"/>
            <a:ext cx="120240" cy="7920"/>
          </xdr14:xfrm>
        </xdr:contentPart>
      </mc:Choice>
      <mc:Fallback xmlns="">
        <xdr:pic>
          <xdr:nvPicPr>
            <xdr:cNvPr id="40" name="Entrada de lápiz 39">
              <a:extLst>
                <a:ext uri="{FF2B5EF4-FFF2-40B4-BE49-F238E27FC236}">
                  <a16:creationId xmlns:a16="http://schemas.microsoft.com/office/drawing/2014/main" id="{E9EA79FE-B1AE-9F67-A9B2-93898BCC706E}"/>
                </a:ext>
              </a:extLst>
            </xdr:cNvPr>
            <xdr:cNvPicPr/>
          </xdr:nvPicPr>
          <xdr:blipFill>
            <a:blip xmlns:r="http://schemas.openxmlformats.org/officeDocument/2006/relationships" r:embed="rId27"/>
            <a:stretch>
              <a:fillRect/>
            </a:stretch>
          </xdr:blipFill>
          <xdr:spPr>
            <a:xfrm>
              <a:off x="6004080" y="388080"/>
              <a:ext cx="132480" cy="20160"/>
            </a:xfrm>
            <a:prstGeom prst="rect">
              <a:avLst/>
            </a:prstGeom>
          </xdr:spPr>
        </xdr:pic>
      </mc:Fallback>
    </mc:AlternateContent>
    <xdr:clientData/>
  </xdr:twoCellAnchor>
  <xdr:twoCellAnchor editAs="oneCell">
    <xdr:from>
      <xdr:col>4</xdr:col>
      <xdr:colOff>16558</xdr:colOff>
      <xdr:row>8</xdr:row>
      <xdr:rowOff>100278</xdr:rowOff>
    </xdr:from>
    <xdr:to>
      <xdr:col>4</xdr:col>
      <xdr:colOff>171358</xdr:colOff>
      <xdr:row>8</xdr:row>
      <xdr:rowOff>100638</xdr:rowOff>
    </xdr:to>
    <mc:AlternateContent xmlns:mc="http://schemas.openxmlformats.org/markup-compatibility/2006" xmlns:xdr14="http://schemas.microsoft.com/office/excel/2010/spreadsheetDrawing">
      <mc:Choice Requires="xdr14">
        <xdr:contentPart xmlns:r="http://schemas.openxmlformats.org/officeDocument/2006/relationships" r:id="rId28">
          <xdr14:nvContentPartPr>
            <xdr14:cNvPr id="41" name="Entrada de lápiz 40">
              <a:extLst>
                <a:ext uri="{FF2B5EF4-FFF2-40B4-BE49-F238E27FC236}">
                  <a16:creationId xmlns:a16="http://schemas.microsoft.com/office/drawing/2014/main" id="{1D3DA79D-FAD8-8988-A1D9-BCC069EA3040}"/>
                </a:ext>
              </a:extLst>
            </xdr14:cNvPr>
            <xdr14:cNvContentPartPr/>
          </xdr14:nvContentPartPr>
          <xdr14:nvPr macro=""/>
          <xdr14:xfrm>
            <a:off x="3327120" y="1698480"/>
            <a:ext cx="154800" cy="360"/>
          </xdr14:xfrm>
        </xdr:contentPart>
      </mc:Choice>
      <mc:Fallback xmlns="">
        <xdr:pic>
          <xdr:nvPicPr>
            <xdr:cNvPr id="41" name="Entrada de lápiz 40">
              <a:extLst>
                <a:ext uri="{FF2B5EF4-FFF2-40B4-BE49-F238E27FC236}">
                  <a16:creationId xmlns:a16="http://schemas.microsoft.com/office/drawing/2014/main" id="{1D3DA79D-FAD8-8988-A1D9-BCC069EA3040}"/>
                </a:ext>
              </a:extLst>
            </xdr:cNvPr>
            <xdr:cNvPicPr/>
          </xdr:nvPicPr>
          <xdr:blipFill>
            <a:blip xmlns:r="http://schemas.openxmlformats.org/officeDocument/2006/relationships" r:embed="rId29"/>
            <a:stretch>
              <a:fillRect/>
            </a:stretch>
          </xdr:blipFill>
          <xdr:spPr>
            <a:xfrm>
              <a:off x="3321000" y="1692360"/>
              <a:ext cx="167040" cy="12600"/>
            </a:xfrm>
            <a:prstGeom prst="rect">
              <a:avLst/>
            </a:prstGeom>
          </xdr:spPr>
        </xdr:pic>
      </mc:Fallback>
    </mc:AlternateContent>
    <xdr:clientData/>
  </xdr:twoCellAnchor>
  <xdr:twoCellAnchor editAs="oneCell">
    <xdr:from>
      <xdr:col>7</xdr:col>
      <xdr:colOff>118077</xdr:colOff>
      <xdr:row>10</xdr:row>
      <xdr:rowOff>25087</xdr:rowOff>
    </xdr:from>
    <xdr:to>
      <xdr:col>7</xdr:col>
      <xdr:colOff>215637</xdr:colOff>
      <xdr:row>10</xdr:row>
      <xdr:rowOff>25447</xdr:rowOff>
    </xdr:to>
    <mc:AlternateContent xmlns:mc="http://schemas.openxmlformats.org/markup-compatibility/2006" xmlns:xdr14="http://schemas.microsoft.com/office/excel/2010/spreadsheetDrawing">
      <mc:Choice Requires="xdr14">
        <xdr:contentPart xmlns:r="http://schemas.openxmlformats.org/officeDocument/2006/relationships" r:id="rId30">
          <xdr14:nvContentPartPr>
            <xdr14:cNvPr id="42" name="Entrada de lápiz 41">
              <a:extLst>
                <a:ext uri="{FF2B5EF4-FFF2-40B4-BE49-F238E27FC236}">
                  <a16:creationId xmlns:a16="http://schemas.microsoft.com/office/drawing/2014/main" id="{95982DFF-46E6-2BE9-FC45-37B12588AEBD}"/>
                </a:ext>
              </a:extLst>
            </xdr14:cNvPr>
            <xdr14:cNvContentPartPr/>
          </xdr14:nvContentPartPr>
          <xdr14:nvPr macro=""/>
          <xdr14:xfrm>
            <a:off x="5911560" y="2022840"/>
            <a:ext cx="97560" cy="360"/>
          </xdr14:xfrm>
        </xdr:contentPart>
      </mc:Choice>
      <mc:Fallback xmlns="">
        <xdr:pic>
          <xdr:nvPicPr>
            <xdr:cNvPr id="42" name="Entrada de lápiz 41">
              <a:extLst>
                <a:ext uri="{FF2B5EF4-FFF2-40B4-BE49-F238E27FC236}">
                  <a16:creationId xmlns:a16="http://schemas.microsoft.com/office/drawing/2014/main" id="{95982DFF-46E6-2BE9-FC45-37B12588AEBD}"/>
                </a:ext>
              </a:extLst>
            </xdr:cNvPr>
            <xdr:cNvPicPr/>
          </xdr:nvPicPr>
          <xdr:blipFill>
            <a:blip xmlns:r="http://schemas.openxmlformats.org/officeDocument/2006/relationships" r:embed="rId31"/>
            <a:stretch>
              <a:fillRect/>
            </a:stretch>
          </xdr:blipFill>
          <xdr:spPr>
            <a:xfrm>
              <a:off x="5905440" y="2016720"/>
              <a:ext cx="109800" cy="12600"/>
            </a:xfrm>
            <a:prstGeom prst="rect">
              <a:avLst/>
            </a:prstGeom>
          </xdr:spPr>
        </xdr:pic>
      </mc:Fallback>
    </mc:AlternateContent>
    <xdr:clientData/>
  </xdr:twoCellAnchor>
  <xdr:twoCellAnchor editAs="oneCell">
    <xdr:from>
      <xdr:col>2</xdr:col>
      <xdr:colOff>264239</xdr:colOff>
      <xdr:row>1</xdr:row>
      <xdr:rowOff>182905</xdr:rowOff>
    </xdr:from>
    <xdr:to>
      <xdr:col>2</xdr:col>
      <xdr:colOff>370799</xdr:colOff>
      <xdr:row>1</xdr:row>
      <xdr:rowOff>183265</xdr:rowOff>
    </xdr:to>
    <mc:AlternateContent xmlns:mc="http://schemas.openxmlformats.org/markup-compatibility/2006" xmlns:xdr14="http://schemas.microsoft.com/office/excel/2010/spreadsheetDrawing">
      <mc:Choice Requires="xdr14">
        <xdr:contentPart xmlns:r="http://schemas.openxmlformats.org/officeDocument/2006/relationships" r:id="rId32">
          <xdr14:nvContentPartPr>
            <xdr14:cNvPr id="43" name="Entrada de lápiz 42">
              <a:extLst>
                <a:ext uri="{FF2B5EF4-FFF2-40B4-BE49-F238E27FC236}">
                  <a16:creationId xmlns:a16="http://schemas.microsoft.com/office/drawing/2014/main" id="{1C186A6E-F394-9C6D-BF1B-B223D4334C49}"/>
                </a:ext>
              </a:extLst>
            </xdr14:cNvPr>
            <xdr14:cNvContentPartPr/>
          </xdr14:nvContentPartPr>
          <xdr14:nvPr macro=""/>
          <xdr14:xfrm>
            <a:off x="1919520" y="382680"/>
            <a:ext cx="106560" cy="360"/>
          </xdr14:xfrm>
        </xdr:contentPart>
      </mc:Choice>
      <mc:Fallback xmlns="">
        <xdr:pic>
          <xdr:nvPicPr>
            <xdr:cNvPr id="43" name="Entrada de lápiz 42">
              <a:extLst>
                <a:ext uri="{FF2B5EF4-FFF2-40B4-BE49-F238E27FC236}">
                  <a16:creationId xmlns:a16="http://schemas.microsoft.com/office/drawing/2014/main" id="{1C186A6E-F394-9C6D-BF1B-B223D4334C49}"/>
                </a:ext>
              </a:extLst>
            </xdr:cNvPr>
            <xdr:cNvPicPr/>
          </xdr:nvPicPr>
          <xdr:blipFill>
            <a:blip xmlns:r="http://schemas.openxmlformats.org/officeDocument/2006/relationships" r:embed="rId33"/>
            <a:stretch>
              <a:fillRect/>
            </a:stretch>
          </xdr:blipFill>
          <xdr:spPr>
            <a:xfrm>
              <a:off x="1913400" y="376560"/>
              <a:ext cx="118800" cy="12600"/>
            </a:xfrm>
            <a:prstGeom prst="rect">
              <a:avLst/>
            </a:prstGeom>
          </xdr:spPr>
        </xdr:pic>
      </mc:Fallback>
    </mc:AlternateContent>
    <xdr:clientData/>
  </xdr:twoCellAnchor>
  <xdr:twoCellAnchor editAs="oneCell">
    <xdr:from>
      <xdr:col>0</xdr:col>
      <xdr:colOff>588600</xdr:colOff>
      <xdr:row>1</xdr:row>
      <xdr:rowOff>176065</xdr:rowOff>
    </xdr:from>
    <xdr:to>
      <xdr:col>0</xdr:col>
      <xdr:colOff>713520</xdr:colOff>
      <xdr:row>1</xdr:row>
      <xdr:rowOff>178225</xdr:rowOff>
    </xdr:to>
    <mc:AlternateContent xmlns:mc="http://schemas.openxmlformats.org/markup-compatibility/2006" xmlns:xdr14="http://schemas.microsoft.com/office/excel/2010/spreadsheetDrawing">
      <mc:Choice Requires="xdr14">
        <xdr:contentPart xmlns:r="http://schemas.openxmlformats.org/officeDocument/2006/relationships" r:id="rId34">
          <xdr14:nvContentPartPr>
            <xdr14:cNvPr id="44" name="Entrada de lápiz 43">
              <a:extLst>
                <a:ext uri="{FF2B5EF4-FFF2-40B4-BE49-F238E27FC236}">
                  <a16:creationId xmlns:a16="http://schemas.microsoft.com/office/drawing/2014/main" id="{5EC94B92-31B0-913E-FA82-F4370FC74F51}"/>
                </a:ext>
              </a:extLst>
            </xdr14:cNvPr>
            <xdr14:cNvContentPartPr/>
          </xdr14:nvContentPartPr>
          <xdr14:nvPr macro=""/>
          <xdr14:xfrm>
            <a:off x="588600" y="375840"/>
            <a:ext cx="124920" cy="2160"/>
          </xdr14:xfrm>
        </xdr:contentPart>
      </mc:Choice>
      <mc:Fallback xmlns="">
        <xdr:pic>
          <xdr:nvPicPr>
            <xdr:cNvPr id="44" name="Entrada de lápiz 43">
              <a:extLst>
                <a:ext uri="{FF2B5EF4-FFF2-40B4-BE49-F238E27FC236}">
                  <a16:creationId xmlns:a16="http://schemas.microsoft.com/office/drawing/2014/main" id="{5EC94B92-31B0-913E-FA82-F4370FC74F51}"/>
                </a:ext>
              </a:extLst>
            </xdr:cNvPr>
            <xdr:cNvPicPr/>
          </xdr:nvPicPr>
          <xdr:blipFill>
            <a:blip xmlns:r="http://schemas.openxmlformats.org/officeDocument/2006/relationships" r:embed="rId35"/>
            <a:stretch>
              <a:fillRect/>
            </a:stretch>
          </xdr:blipFill>
          <xdr:spPr>
            <a:xfrm>
              <a:off x="582480" y="369720"/>
              <a:ext cx="137160" cy="14400"/>
            </a:xfrm>
            <a:prstGeom prst="rect">
              <a:avLst/>
            </a:prstGeom>
          </xdr:spPr>
        </xdr:pic>
      </mc:Fallback>
    </mc:AlternateContent>
    <xdr:clientData/>
  </xdr:twoCellAnchor>
  <xdr:twoCellAnchor editAs="oneCell">
    <xdr:from>
      <xdr:col>0</xdr:col>
      <xdr:colOff>634680</xdr:colOff>
      <xdr:row>9</xdr:row>
      <xdr:rowOff>152862</xdr:rowOff>
    </xdr:from>
    <xdr:to>
      <xdr:col>0</xdr:col>
      <xdr:colOff>729720</xdr:colOff>
      <xdr:row>9</xdr:row>
      <xdr:rowOff>153222</xdr:rowOff>
    </xdr:to>
    <mc:AlternateContent xmlns:mc="http://schemas.openxmlformats.org/markup-compatibility/2006" xmlns:xdr14="http://schemas.microsoft.com/office/excel/2010/spreadsheetDrawing">
      <mc:Choice Requires="xdr14">
        <xdr:contentPart xmlns:r="http://schemas.openxmlformats.org/officeDocument/2006/relationships" r:id="rId36">
          <xdr14:nvContentPartPr>
            <xdr14:cNvPr id="45" name="Entrada de lápiz 44">
              <a:extLst>
                <a:ext uri="{FF2B5EF4-FFF2-40B4-BE49-F238E27FC236}">
                  <a16:creationId xmlns:a16="http://schemas.microsoft.com/office/drawing/2014/main" id="{9B75220D-C678-7319-757D-6088705C9030}"/>
                </a:ext>
              </a:extLst>
            </xdr14:cNvPr>
            <xdr14:cNvContentPartPr/>
          </xdr14:nvContentPartPr>
          <xdr14:nvPr macro=""/>
          <xdr14:xfrm>
            <a:off x="634680" y="1950840"/>
            <a:ext cx="95040" cy="360"/>
          </xdr14:xfrm>
        </xdr:contentPart>
      </mc:Choice>
      <mc:Fallback xmlns="">
        <xdr:pic>
          <xdr:nvPicPr>
            <xdr:cNvPr id="45" name="Entrada de lápiz 44">
              <a:extLst>
                <a:ext uri="{FF2B5EF4-FFF2-40B4-BE49-F238E27FC236}">
                  <a16:creationId xmlns:a16="http://schemas.microsoft.com/office/drawing/2014/main" id="{9B75220D-C678-7319-757D-6088705C9030}"/>
                </a:ext>
              </a:extLst>
            </xdr:cNvPr>
            <xdr:cNvPicPr/>
          </xdr:nvPicPr>
          <xdr:blipFill>
            <a:blip xmlns:r="http://schemas.openxmlformats.org/officeDocument/2006/relationships" r:embed="rId37"/>
            <a:stretch>
              <a:fillRect/>
            </a:stretch>
          </xdr:blipFill>
          <xdr:spPr>
            <a:xfrm>
              <a:off x="628560" y="1944720"/>
              <a:ext cx="107280" cy="12600"/>
            </a:xfrm>
            <a:prstGeom prst="rect">
              <a:avLst/>
            </a:prstGeom>
          </xdr:spPr>
        </xdr:pic>
      </mc:Fallback>
    </mc:AlternateContent>
    <xdr:clientData/>
  </xdr:twoCellAnchor>
  <xdr:twoCellAnchor editAs="oneCell">
    <xdr:from>
      <xdr:col>1</xdr:col>
      <xdr:colOff>316080</xdr:colOff>
      <xdr:row>1</xdr:row>
      <xdr:rowOff>36745</xdr:rowOff>
    </xdr:from>
    <xdr:to>
      <xdr:col>1</xdr:col>
      <xdr:colOff>352080</xdr:colOff>
      <xdr:row>1</xdr:row>
      <xdr:rowOff>37105</xdr:rowOff>
    </xdr:to>
    <mc:AlternateContent xmlns:mc="http://schemas.openxmlformats.org/markup-compatibility/2006" xmlns:xdr14="http://schemas.microsoft.com/office/excel/2010/spreadsheetDrawing">
      <mc:Choice Requires="xdr14">
        <xdr:contentPart xmlns:r="http://schemas.openxmlformats.org/officeDocument/2006/relationships" r:id="rId38">
          <xdr14:nvContentPartPr>
            <xdr14:cNvPr id="46" name="Entrada de lápiz 45">
              <a:extLst>
                <a:ext uri="{FF2B5EF4-FFF2-40B4-BE49-F238E27FC236}">
                  <a16:creationId xmlns:a16="http://schemas.microsoft.com/office/drawing/2014/main" id="{E10917CF-7575-19E1-FD41-B9EB94722851}"/>
                </a:ext>
              </a:extLst>
            </xdr14:cNvPr>
            <xdr14:cNvContentPartPr/>
          </xdr14:nvContentPartPr>
          <xdr14:nvPr macro=""/>
          <xdr14:xfrm>
            <a:off x="1143720" y="236520"/>
            <a:ext cx="36000" cy="360"/>
          </xdr14:xfrm>
        </xdr:contentPart>
      </mc:Choice>
      <mc:Fallback xmlns="">
        <xdr:pic>
          <xdr:nvPicPr>
            <xdr:cNvPr id="46" name="Entrada de lápiz 45">
              <a:extLst>
                <a:ext uri="{FF2B5EF4-FFF2-40B4-BE49-F238E27FC236}">
                  <a16:creationId xmlns:a16="http://schemas.microsoft.com/office/drawing/2014/main" id="{E10917CF-7575-19E1-FD41-B9EB94722851}"/>
                </a:ext>
              </a:extLst>
            </xdr:cNvPr>
            <xdr:cNvPicPr/>
          </xdr:nvPicPr>
          <xdr:blipFill>
            <a:blip xmlns:r="http://schemas.openxmlformats.org/officeDocument/2006/relationships" r:embed="rId39"/>
            <a:stretch>
              <a:fillRect/>
            </a:stretch>
          </xdr:blipFill>
          <xdr:spPr>
            <a:xfrm>
              <a:off x="1090080" y="128880"/>
              <a:ext cx="143640" cy="216000"/>
            </a:xfrm>
            <a:prstGeom prst="rect">
              <a:avLst/>
            </a:prstGeom>
          </xdr:spPr>
        </xdr:pic>
      </mc:Fallback>
    </mc:AlternateContent>
    <xdr:clientData/>
  </xdr:twoCellAnchor>
  <xdr:twoCellAnchor editAs="oneCell">
    <xdr:from>
      <xdr:col>1</xdr:col>
      <xdr:colOff>312480</xdr:colOff>
      <xdr:row>8</xdr:row>
      <xdr:rowOff>193158</xdr:rowOff>
    </xdr:from>
    <xdr:to>
      <xdr:col>1</xdr:col>
      <xdr:colOff>362880</xdr:colOff>
      <xdr:row>8</xdr:row>
      <xdr:rowOff>193518</xdr:rowOff>
    </xdr:to>
    <mc:AlternateContent xmlns:mc="http://schemas.openxmlformats.org/markup-compatibility/2006" xmlns:xdr14="http://schemas.microsoft.com/office/excel/2010/spreadsheetDrawing">
      <mc:Choice Requires="xdr14">
        <xdr:contentPart xmlns:r="http://schemas.openxmlformats.org/officeDocument/2006/relationships" r:id="rId40">
          <xdr14:nvContentPartPr>
            <xdr14:cNvPr id="47" name="Entrada de lápiz 46">
              <a:extLst>
                <a:ext uri="{FF2B5EF4-FFF2-40B4-BE49-F238E27FC236}">
                  <a16:creationId xmlns:a16="http://schemas.microsoft.com/office/drawing/2014/main" id="{BECBE08D-6DDD-59FE-C437-C4A11A6A26D7}"/>
                </a:ext>
              </a:extLst>
            </xdr14:cNvPr>
            <xdr14:cNvContentPartPr/>
          </xdr14:nvContentPartPr>
          <xdr14:nvPr macro=""/>
          <xdr14:xfrm>
            <a:off x="1140120" y="1791360"/>
            <a:ext cx="50400" cy="360"/>
          </xdr14:xfrm>
        </xdr:contentPart>
      </mc:Choice>
      <mc:Fallback xmlns="">
        <xdr:pic>
          <xdr:nvPicPr>
            <xdr:cNvPr id="47" name="Entrada de lápiz 46">
              <a:extLst>
                <a:ext uri="{FF2B5EF4-FFF2-40B4-BE49-F238E27FC236}">
                  <a16:creationId xmlns:a16="http://schemas.microsoft.com/office/drawing/2014/main" id="{BECBE08D-6DDD-59FE-C437-C4A11A6A26D7}"/>
                </a:ext>
              </a:extLst>
            </xdr:cNvPr>
            <xdr:cNvPicPr/>
          </xdr:nvPicPr>
          <xdr:blipFill>
            <a:blip xmlns:r="http://schemas.openxmlformats.org/officeDocument/2006/relationships" r:embed="rId41"/>
            <a:stretch>
              <a:fillRect/>
            </a:stretch>
          </xdr:blipFill>
          <xdr:spPr>
            <a:xfrm>
              <a:off x="1086480" y="1683720"/>
              <a:ext cx="158040" cy="216000"/>
            </a:xfrm>
            <a:prstGeom prst="rect">
              <a:avLst/>
            </a:prstGeom>
          </xdr:spPr>
        </xdr:pic>
      </mc:Fallback>
    </mc:AlternateContent>
    <xdr:clientData/>
  </xdr:twoCellAnchor>
  <xdr:twoCellAnchor editAs="oneCell">
    <xdr:from>
      <xdr:col>3</xdr:col>
      <xdr:colOff>4679</xdr:colOff>
      <xdr:row>1</xdr:row>
      <xdr:rowOff>21265</xdr:rowOff>
    </xdr:from>
    <xdr:to>
      <xdr:col>3</xdr:col>
      <xdr:colOff>43199</xdr:colOff>
      <xdr:row>1</xdr:row>
      <xdr:rowOff>21625</xdr:rowOff>
    </xdr:to>
    <mc:AlternateContent xmlns:mc="http://schemas.openxmlformats.org/markup-compatibility/2006" xmlns:xdr14="http://schemas.microsoft.com/office/excel/2010/spreadsheetDrawing">
      <mc:Choice Requires="xdr14">
        <xdr:contentPart xmlns:r="http://schemas.openxmlformats.org/officeDocument/2006/relationships" r:id="rId42">
          <xdr14:nvContentPartPr>
            <xdr14:cNvPr id="48" name="Entrada de lápiz 47">
              <a:extLst>
                <a:ext uri="{FF2B5EF4-FFF2-40B4-BE49-F238E27FC236}">
                  <a16:creationId xmlns:a16="http://schemas.microsoft.com/office/drawing/2014/main" id="{C5FFB36C-0C33-11F2-8151-10FF45650643}"/>
                </a:ext>
              </a:extLst>
            </xdr14:cNvPr>
            <xdr14:cNvContentPartPr/>
          </xdr14:nvContentPartPr>
          <xdr14:nvPr macro=""/>
          <xdr14:xfrm>
            <a:off x="2487600" y="221040"/>
            <a:ext cx="38520" cy="360"/>
          </xdr14:xfrm>
        </xdr:contentPart>
      </mc:Choice>
      <mc:Fallback xmlns="">
        <xdr:pic>
          <xdr:nvPicPr>
            <xdr:cNvPr id="48" name="Entrada de lápiz 47">
              <a:extLst>
                <a:ext uri="{FF2B5EF4-FFF2-40B4-BE49-F238E27FC236}">
                  <a16:creationId xmlns:a16="http://schemas.microsoft.com/office/drawing/2014/main" id="{C5FFB36C-0C33-11F2-8151-10FF45650643}"/>
                </a:ext>
              </a:extLst>
            </xdr:cNvPr>
            <xdr:cNvPicPr/>
          </xdr:nvPicPr>
          <xdr:blipFill>
            <a:blip xmlns:r="http://schemas.openxmlformats.org/officeDocument/2006/relationships" r:embed="rId43"/>
            <a:stretch>
              <a:fillRect/>
            </a:stretch>
          </xdr:blipFill>
          <xdr:spPr>
            <a:xfrm>
              <a:off x="2433960" y="113040"/>
              <a:ext cx="146160" cy="216000"/>
            </a:xfrm>
            <a:prstGeom prst="rect">
              <a:avLst/>
            </a:prstGeom>
          </xdr:spPr>
        </xdr:pic>
      </mc:Fallback>
    </mc:AlternateContent>
    <xdr:clientData/>
  </xdr:twoCellAnchor>
  <xdr:twoCellAnchor editAs="oneCell">
    <xdr:from>
      <xdr:col>4</xdr:col>
      <xdr:colOff>674638</xdr:colOff>
      <xdr:row>1</xdr:row>
      <xdr:rowOff>40345</xdr:rowOff>
    </xdr:from>
    <xdr:to>
      <xdr:col>4</xdr:col>
      <xdr:colOff>728638</xdr:colOff>
      <xdr:row>1</xdr:row>
      <xdr:rowOff>40705</xdr:rowOff>
    </xdr:to>
    <mc:AlternateContent xmlns:mc="http://schemas.openxmlformats.org/markup-compatibility/2006" xmlns:xdr14="http://schemas.microsoft.com/office/excel/2010/spreadsheetDrawing">
      <mc:Choice Requires="xdr14">
        <xdr:contentPart xmlns:r="http://schemas.openxmlformats.org/officeDocument/2006/relationships" r:id="rId44">
          <xdr14:nvContentPartPr>
            <xdr14:cNvPr id="49" name="Entrada de lápiz 48">
              <a:extLst>
                <a:ext uri="{FF2B5EF4-FFF2-40B4-BE49-F238E27FC236}">
                  <a16:creationId xmlns:a16="http://schemas.microsoft.com/office/drawing/2014/main" id="{2A6A392D-B48C-A750-34A9-85ABE890E6F4}"/>
                </a:ext>
              </a:extLst>
            </xdr14:cNvPr>
            <xdr14:cNvContentPartPr/>
          </xdr14:nvContentPartPr>
          <xdr14:nvPr macro=""/>
          <xdr14:xfrm>
            <a:off x="3985200" y="240120"/>
            <a:ext cx="54000" cy="360"/>
          </xdr14:xfrm>
        </xdr:contentPart>
      </mc:Choice>
      <mc:Fallback xmlns="">
        <xdr:pic>
          <xdr:nvPicPr>
            <xdr:cNvPr id="49" name="Entrada de lápiz 48">
              <a:extLst>
                <a:ext uri="{FF2B5EF4-FFF2-40B4-BE49-F238E27FC236}">
                  <a16:creationId xmlns:a16="http://schemas.microsoft.com/office/drawing/2014/main" id="{2A6A392D-B48C-A750-34A9-85ABE890E6F4}"/>
                </a:ext>
              </a:extLst>
            </xdr:cNvPr>
            <xdr:cNvPicPr/>
          </xdr:nvPicPr>
          <xdr:blipFill>
            <a:blip xmlns:r="http://schemas.openxmlformats.org/officeDocument/2006/relationships" r:embed="rId45"/>
            <a:stretch>
              <a:fillRect/>
            </a:stretch>
          </xdr:blipFill>
          <xdr:spPr>
            <a:xfrm>
              <a:off x="3931200" y="132480"/>
              <a:ext cx="161640" cy="216000"/>
            </a:xfrm>
            <a:prstGeom prst="rect">
              <a:avLst/>
            </a:prstGeom>
          </xdr:spPr>
        </xdr:pic>
      </mc:Fallback>
    </mc:AlternateContent>
    <xdr:clientData/>
  </xdr:twoCellAnchor>
  <xdr:twoCellAnchor editAs="oneCell">
    <xdr:from>
      <xdr:col>4</xdr:col>
      <xdr:colOff>517678</xdr:colOff>
      <xdr:row>7</xdr:row>
      <xdr:rowOff>134813</xdr:rowOff>
    </xdr:from>
    <xdr:to>
      <xdr:col>4</xdr:col>
      <xdr:colOff>542518</xdr:colOff>
      <xdr:row>7</xdr:row>
      <xdr:rowOff>135173</xdr:rowOff>
    </xdr:to>
    <mc:AlternateContent xmlns:mc="http://schemas.openxmlformats.org/markup-compatibility/2006" xmlns:xdr14="http://schemas.microsoft.com/office/excel/2010/spreadsheetDrawing">
      <mc:Choice Requires="xdr14">
        <xdr:contentPart xmlns:r="http://schemas.openxmlformats.org/officeDocument/2006/relationships" r:id="rId46">
          <xdr14:nvContentPartPr>
            <xdr14:cNvPr id="50" name="Entrada de lápiz 49">
              <a:extLst>
                <a:ext uri="{FF2B5EF4-FFF2-40B4-BE49-F238E27FC236}">
                  <a16:creationId xmlns:a16="http://schemas.microsoft.com/office/drawing/2014/main" id="{479242FE-09FD-6DFF-91E9-668EC607F715}"/>
                </a:ext>
              </a:extLst>
            </xdr14:cNvPr>
            <xdr14:cNvContentPartPr/>
          </xdr14:nvContentPartPr>
          <xdr14:nvPr macro=""/>
          <xdr14:xfrm>
            <a:off x="3828240" y="1533240"/>
            <a:ext cx="24840" cy="360"/>
          </xdr14:xfrm>
        </xdr:contentPart>
      </mc:Choice>
      <mc:Fallback xmlns="">
        <xdr:pic>
          <xdr:nvPicPr>
            <xdr:cNvPr id="50" name="Entrada de lápiz 49">
              <a:extLst>
                <a:ext uri="{FF2B5EF4-FFF2-40B4-BE49-F238E27FC236}">
                  <a16:creationId xmlns:a16="http://schemas.microsoft.com/office/drawing/2014/main" id="{479242FE-09FD-6DFF-91E9-668EC607F715}"/>
                </a:ext>
              </a:extLst>
            </xdr:cNvPr>
            <xdr:cNvPicPr/>
          </xdr:nvPicPr>
          <xdr:blipFill>
            <a:blip xmlns:r="http://schemas.openxmlformats.org/officeDocument/2006/relationships" r:embed="rId47"/>
            <a:stretch>
              <a:fillRect/>
            </a:stretch>
          </xdr:blipFill>
          <xdr:spPr>
            <a:xfrm>
              <a:off x="3774600" y="1425240"/>
              <a:ext cx="132480" cy="216000"/>
            </a:xfrm>
            <a:prstGeom prst="rect">
              <a:avLst/>
            </a:prstGeom>
          </xdr:spPr>
        </xdr:pic>
      </mc:Fallback>
    </mc:AlternateContent>
    <xdr:clientData/>
  </xdr:twoCellAnchor>
  <xdr:twoCellAnchor editAs="oneCell">
    <xdr:from>
      <xdr:col>6</xdr:col>
      <xdr:colOff>342357</xdr:colOff>
      <xdr:row>1</xdr:row>
      <xdr:rowOff>46825</xdr:rowOff>
    </xdr:from>
    <xdr:to>
      <xdr:col>6</xdr:col>
      <xdr:colOff>392397</xdr:colOff>
      <xdr:row>1</xdr:row>
      <xdr:rowOff>47185</xdr:rowOff>
    </xdr:to>
    <mc:AlternateContent xmlns:mc="http://schemas.openxmlformats.org/markup-compatibility/2006" xmlns:xdr14="http://schemas.microsoft.com/office/excel/2010/spreadsheetDrawing">
      <mc:Choice Requires="xdr14">
        <xdr:contentPart xmlns:r="http://schemas.openxmlformats.org/officeDocument/2006/relationships" r:id="rId48">
          <xdr14:nvContentPartPr>
            <xdr14:cNvPr id="51" name="Entrada de lápiz 50">
              <a:extLst>
                <a:ext uri="{FF2B5EF4-FFF2-40B4-BE49-F238E27FC236}">
                  <a16:creationId xmlns:a16="http://schemas.microsoft.com/office/drawing/2014/main" id="{BB5C2E75-BEE7-61AE-F319-D31972F40310}"/>
                </a:ext>
              </a:extLst>
            </xdr14:cNvPr>
            <xdr14:cNvContentPartPr/>
          </xdr14:nvContentPartPr>
          <xdr14:nvPr macro=""/>
          <xdr14:xfrm>
            <a:off x="5308200" y="246600"/>
            <a:ext cx="50040" cy="360"/>
          </xdr14:xfrm>
        </xdr:contentPart>
      </mc:Choice>
      <mc:Fallback xmlns="">
        <xdr:pic>
          <xdr:nvPicPr>
            <xdr:cNvPr id="51" name="Entrada de lápiz 50">
              <a:extLst>
                <a:ext uri="{FF2B5EF4-FFF2-40B4-BE49-F238E27FC236}">
                  <a16:creationId xmlns:a16="http://schemas.microsoft.com/office/drawing/2014/main" id="{BB5C2E75-BEE7-61AE-F319-D31972F40310}"/>
                </a:ext>
              </a:extLst>
            </xdr:cNvPr>
            <xdr:cNvPicPr/>
          </xdr:nvPicPr>
          <xdr:blipFill>
            <a:blip xmlns:r="http://schemas.openxmlformats.org/officeDocument/2006/relationships" r:embed="rId41"/>
            <a:stretch>
              <a:fillRect/>
            </a:stretch>
          </xdr:blipFill>
          <xdr:spPr>
            <a:xfrm>
              <a:off x="5254200" y="138600"/>
              <a:ext cx="157680" cy="216000"/>
            </a:xfrm>
            <a:prstGeom prst="rect">
              <a:avLst/>
            </a:prstGeom>
          </xdr:spPr>
        </xdr:pic>
      </mc:Fallback>
    </mc:AlternateContent>
    <xdr:clientData/>
  </xdr:twoCellAnchor>
  <xdr:twoCellAnchor editAs="oneCell">
    <xdr:from>
      <xdr:col>6</xdr:col>
      <xdr:colOff>351357</xdr:colOff>
      <xdr:row>9</xdr:row>
      <xdr:rowOff>56022</xdr:rowOff>
    </xdr:from>
    <xdr:to>
      <xdr:col>6</xdr:col>
      <xdr:colOff>389877</xdr:colOff>
      <xdr:row>9</xdr:row>
      <xdr:rowOff>56382</xdr:rowOff>
    </xdr:to>
    <mc:AlternateContent xmlns:mc="http://schemas.openxmlformats.org/markup-compatibility/2006" xmlns:xdr14="http://schemas.microsoft.com/office/excel/2010/spreadsheetDrawing">
      <mc:Choice Requires="xdr14">
        <xdr:contentPart xmlns:r="http://schemas.openxmlformats.org/officeDocument/2006/relationships" r:id="rId49">
          <xdr14:nvContentPartPr>
            <xdr14:cNvPr id="52" name="Entrada de lápiz 51">
              <a:extLst>
                <a:ext uri="{FF2B5EF4-FFF2-40B4-BE49-F238E27FC236}">
                  <a16:creationId xmlns:a16="http://schemas.microsoft.com/office/drawing/2014/main" id="{41BC20D5-CC3D-10B0-A34E-912A0FA3599C}"/>
                </a:ext>
              </a:extLst>
            </xdr14:cNvPr>
            <xdr14:cNvContentPartPr/>
          </xdr14:nvContentPartPr>
          <xdr14:nvPr macro=""/>
          <xdr14:xfrm>
            <a:off x="5317200" y="1854000"/>
            <a:ext cx="38520" cy="360"/>
          </xdr14:xfrm>
        </xdr:contentPart>
      </mc:Choice>
      <mc:Fallback xmlns="">
        <xdr:pic>
          <xdr:nvPicPr>
            <xdr:cNvPr id="52" name="Entrada de lápiz 51">
              <a:extLst>
                <a:ext uri="{FF2B5EF4-FFF2-40B4-BE49-F238E27FC236}">
                  <a16:creationId xmlns:a16="http://schemas.microsoft.com/office/drawing/2014/main" id="{41BC20D5-CC3D-10B0-A34E-912A0FA3599C}"/>
                </a:ext>
              </a:extLst>
            </xdr:cNvPr>
            <xdr:cNvPicPr/>
          </xdr:nvPicPr>
          <xdr:blipFill>
            <a:blip xmlns:r="http://schemas.openxmlformats.org/officeDocument/2006/relationships" r:embed="rId43"/>
            <a:stretch>
              <a:fillRect/>
            </a:stretch>
          </xdr:blipFill>
          <xdr:spPr>
            <a:xfrm>
              <a:off x="5263560" y="1746000"/>
              <a:ext cx="146160" cy="216000"/>
            </a:xfrm>
            <a:prstGeom prst="rect">
              <a:avLst/>
            </a:prstGeom>
          </xdr:spPr>
        </xdr:pic>
      </mc:Fallback>
    </mc:AlternateContent>
    <xdr:clientData/>
  </xdr:twoCellAnchor>
  <xdr:twoCellAnchor editAs="oneCell">
    <xdr:from>
      <xdr:col>8</xdr:col>
      <xdr:colOff>571316</xdr:colOff>
      <xdr:row>1</xdr:row>
      <xdr:rowOff>108025</xdr:rowOff>
    </xdr:from>
    <xdr:to>
      <xdr:col>9</xdr:col>
      <xdr:colOff>561236</xdr:colOff>
      <xdr:row>2</xdr:row>
      <xdr:rowOff>178969</xdr:rowOff>
    </xdr:to>
    <mc:AlternateContent xmlns:mc="http://schemas.openxmlformats.org/markup-compatibility/2006" xmlns:xdr14="http://schemas.microsoft.com/office/excel/2010/spreadsheetDrawing">
      <mc:Choice Requires="xdr14">
        <xdr:contentPart xmlns:r="http://schemas.openxmlformats.org/officeDocument/2006/relationships" r:id="rId50">
          <xdr14:nvContentPartPr>
            <xdr14:cNvPr id="58" name="Entrada de lápiz 57">
              <a:extLst>
                <a:ext uri="{FF2B5EF4-FFF2-40B4-BE49-F238E27FC236}">
                  <a16:creationId xmlns:a16="http://schemas.microsoft.com/office/drawing/2014/main" id="{3C40697E-B6CF-22A4-82B8-DFD1C67A0D5D}"/>
                </a:ext>
              </a:extLst>
            </xdr14:cNvPr>
            <xdr14:cNvContentPartPr/>
          </xdr14:nvContentPartPr>
          <xdr14:nvPr macro=""/>
          <xdr14:xfrm>
            <a:off x="7192440" y="307800"/>
            <a:ext cx="817560" cy="270720"/>
          </xdr14:xfrm>
        </xdr:contentPart>
      </mc:Choice>
      <mc:Fallback xmlns="">
        <xdr:pic>
          <xdr:nvPicPr>
            <xdr:cNvPr id="58" name="Entrada de lápiz 57">
              <a:extLst>
                <a:ext uri="{FF2B5EF4-FFF2-40B4-BE49-F238E27FC236}">
                  <a16:creationId xmlns:a16="http://schemas.microsoft.com/office/drawing/2014/main" id="{3C40697E-B6CF-22A4-82B8-DFD1C67A0D5D}"/>
                </a:ext>
              </a:extLst>
            </xdr:cNvPr>
            <xdr:cNvPicPr/>
          </xdr:nvPicPr>
          <xdr:blipFill>
            <a:blip xmlns:r="http://schemas.openxmlformats.org/officeDocument/2006/relationships" r:embed="rId51"/>
            <a:stretch>
              <a:fillRect/>
            </a:stretch>
          </xdr:blipFill>
          <xdr:spPr>
            <a:xfrm>
              <a:off x="7186323" y="301672"/>
              <a:ext cx="829795" cy="282976"/>
            </a:xfrm>
            <a:prstGeom prst="rect">
              <a:avLst/>
            </a:prstGeom>
          </xdr:spPr>
        </xdr:pic>
      </mc:Fallback>
    </mc:AlternateContent>
    <xdr:clientData/>
  </xdr:twoCellAnchor>
  <xdr:twoCellAnchor editAs="oneCell">
    <xdr:from>
      <xdr:col>9</xdr:col>
      <xdr:colOff>718916</xdr:colOff>
      <xdr:row>2</xdr:row>
      <xdr:rowOff>30649</xdr:rowOff>
    </xdr:from>
    <xdr:to>
      <xdr:col>11</xdr:col>
      <xdr:colOff>741595</xdr:colOff>
      <xdr:row>3</xdr:row>
      <xdr:rowOff>34994</xdr:rowOff>
    </xdr:to>
    <mc:AlternateContent xmlns:mc="http://schemas.openxmlformats.org/markup-compatibility/2006" xmlns:xdr14="http://schemas.microsoft.com/office/excel/2010/spreadsheetDrawing">
      <mc:Choice Requires="xdr14">
        <xdr:contentPart xmlns:r="http://schemas.openxmlformats.org/officeDocument/2006/relationships" r:id="rId52">
          <xdr14:nvContentPartPr>
            <xdr14:cNvPr id="70" name="Entrada de lápiz 69">
              <a:extLst>
                <a:ext uri="{FF2B5EF4-FFF2-40B4-BE49-F238E27FC236}">
                  <a16:creationId xmlns:a16="http://schemas.microsoft.com/office/drawing/2014/main" id="{0F23B467-7107-5A12-EFB3-0576477B0AE6}"/>
                </a:ext>
              </a:extLst>
            </xdr14:cNvPr>
            <xdr14:cNvContentPartPr/>
          </xdr14:nvContentPartPr>
          <xdr14:nvPr macro=""/>
          <xdr14:xfrm>
            <a:off x="8167680" y="430200"/>
            <a:ext cx="1677960" cy="204120"/>
          </xdr14:xfrm>
        </xdr:contentPart>
      </mc:Choice>
      <mc:Fallback xmlns="">
        <xdr:pic>
          <xdr:nvPicPr>
            <xdr:cNvPr id="70" name="Entrada de lápiz 69">
              <a:extLst>
                <a:ext uri="{FF2B5EF4-FFF2-40B4-BE49-F238E27FC236}">
                  <a16:creationId xmlns:a16="http://schemas.microsoft.com/office/drawing/2014/main" id="{0F23B467-7107-5A12-EFB3-0576477B0AE6}"/>
                </a:ext>
              </a:extLst>
            </xdr:cNvPr>
            <xdr:cNvPicPr/>
          </xdr:nvPicPr>
          <xdr:blipFill>
            <a:blip xmlns:r="http://schemas.openxmlformats.org/officeDocument/2006/relationships" r:embed="rId53"/>
            <a:stretch>
              <a:fillRect/>
            </a:stretch>
          </xdr:blipFill>
          <xdr:spPr>
            <a:xfrm>
              <a:off x="8161560" y="424080"/>
              <a:ext cx="1690200" cy="216360"/>
            </a:xfrm>
            <a:prstGeom prst="rect">
              <a:avLst/>
            </a:prstGeom>
          </xdr:spPr>
        </xdr:pic>
      </mc:Fallback>
    </mc:AlternateContent>
    <xdr:clientData/>
  </xdr:twoCellAnchor>
  <xdr:twoCellAnchor editAs="oneCell">
    <xdr:from>
      <xdr:col>12</xdr:col>
      <xdr:colOff>27355</xdr:colOff>
      <xdr:row>2</xdr:row>
      <xdr:rowOff>55849</xdr:rowOff>
    </xdr:from>
    <xdr:to>
      <xdr:col>12</xdr:col>
      <xdr:colOff>376915</xdr:colOff>
      <xdr:row>3</xdr:row>
      <xdr:rowOff>2954</xdr:rowOff>
    </xdr:to>
    <mc:AlternateContent xmlns:mc="http://schemas.openxmlformats.org/markup-compatibility/2006" xmlns:xdr14="http://schemas.microsoft.com/office/excel/2010/spreadsheetDrawing">
      <mc:Choice Requires="xdr14">
        <xdr:contentPart xmlns:r="http://schemas.openxmlformats.org/officeDocument/2006/relationships" r:id="rId54">
          <xdr14:nvContentPartPr>
            <xdr14:cNvPr id="73" name="Entrada de lápiz 72">
              <a:extLst>
                <a:ext uri="{FF2B5EF4-FFF2-40B4-BE49-F238E27FC236}">
                  <a16:creationId xmlns:a16="http://schemas.microsoft.com/office/drawing/2014/main" id="{8C8108FD-3BAC-CD6A-320E-E8F458F51F3C}"/>
                </a:ext>
              </a:extLst>
            </xdr14:cNvPr>
            <xdr14:cNvContentPartPr/>
          </xdr14:nvContentPartPr>
          <xdr14:nvPr macro=""/>
          <xdr14:xfrm>
            <a:off x="9959040" y="455400"/>
            <a:ext cx="349560" cy="146880"/>
          </xdr14:xfrm>
        </xdr:contentPart>
      </mc:Choice>
      <mc:Fallback xmlns="">
        <xdr:pic>
          <xdr:nvPicPr>
            <xdr:cNvPr id="73" name="Entrada de lápiz 72">
              <a:extLst>
                <a:ext uri="{FF2B5EF4-FFF2-40B4-BE49-F238E27FC236}">
                  <a16:creationId xmlns:a16="http://schemas.microsoft.com/office/drawing/2014/main" id="{8C8108FD-3BAC-CD6A-320E-E8F458F51F3C}"/>
                </a:ext>
              </a:extLst>
            </xdr:cNvPr>
            <xdr:cNvPicPr/>
          </xdr:nvPicPr>
          <xdr:blipFill>
            <a:blip xmlns:r="http://schemas.openxmlformats.org/officeDocument/2006/relationships" r:embed="rId55"/>
            <a:stretch>
              <a:fillRect/>
            </a:stretch>
          </xdr:blipFill>
          <xdr:spPr>
            <a:xfrm>
              <a:off x="9952920" y="449280"/>
              <a:ext cx="361800" cy="159120"/>
            </a:xfrm>
            <a:prstGeom prst="rect">
              <a:avLst/>
            </a:prstGeom>
          </xdr:spPr>
        </xdr:pic>
      </mc:Fallback>
    </mc:AlternateContent>
    <xdr:clientData/>
  </xdr:twoCellAnchor>
  <xdr:twoCellAnchor editAs="oneCell">
    <xdr:from>
      <xdr:col>12</xdr:col>
      <xdr:colOff>478795</xdr:colOff>
      <xdr:row>1</xdr:row>
      <xdr:rowOff>199465</xdr:rowOff>
    </xdr:from>
    <xdr:to>
      <xdr:col>14</xdr:col>
      <xdr:colOff>105474</xdr:colOff>
      <xdr:row>4</xdr:row>
      <xdr:rowOff>33939</xdr:rowOff>
    </xdr:to>
    <mc:AlternateContent xmlns:mc="http://schemas.openxmlformats.org/markup-compatibility/2006" xmlns:xdr14="http://schemas.microsoft.com/office/excel/2010/spreadsheetDrawing">
      <mc:Choice Requires="xdr14">
        <xdr:contentPart xmlns:r="http://schemas.openxmlformats.org/officeDocument/2006/relationships" r:id="rId56">
          <xdr14:nvContentPartPr>
            <xdr14:cNvPr id="81" name="Entrada de lápiz 80">
              <a:extLst>
                <a:ext uri="{FF2B5EF4-FFF2-40B4-BE49-F238E27FC236}">
                  <a16:creationId xmlns:a16="http://schemas.microsoft.com/office/drawing/2014/main" id="{A86C6507-98F1-3220-95AC-CE039A9FDCAC}"/>
                </a:ext>
              </a:extLst>
            </xdr14:cNvPr>
            <xdr14:cNvContentPartPr/>
          </xdr14:nvContentPartPr>
          <xdr14:nvPr macro=""/>
          <xdr14:xfrm>
            <a:off x="10410480" y="399240"/>
            <a:ext cx="1281960" cy="433800"/>
          </xdr14:xfrm>
        </xdr:contentPart>
      </mc:Choice>
      <mc:Fallback xmlns="">
        <xdr:pic>
          <xdr:nvPicPr>
            <xdr:cNvPr id="81" name="Entrada de lápiz 80">
              <a:extLst>
                <a:ext uri="{FF2B5EF4-FFF2-40B4-BE49-F238E27FC236}">
                  <a16:creationId xmlns:a16="http://schemas.microsoft.com/office/drawing/2014/main" id="{A86C6507-98F1-3220-95AC-CE039A9FDCAC}"/>
                </a:ext>
              </a:extLst>
            </xdr:cNvPr>
            <xdr:cNvPicPr/>
          </xdr:nvPicPr>
          <xdr:blipFill>
            <a:blip xmlns:r="http://schemas.openxmlformats.org/officeDocument/2006/relationships" r:embed="rId57"/>
            <a:stretch>
              <a:fillRect/>
            </a:stretch>
          </xdr:blipFill>
          <xdr:spPr>
            <a:xfrm>
              <a:off x="10404362" y="393120"/>
              <a:ext cx="1294197" cy="446040"/>
            </a:xfrm>
            <a:prstGeom prst="rect">
              <a:avLst/>
            </a:prstGeom>
          </xdr:spPr>
        </xdr:pic>
      </mc:Fallback>
    </mc:AlternateContent>
    <xdr:clientData/>
  </xdr:twoCellAnchor>
  <xdr:twoCellAnchor editAs="oneCell">
    <xdr:from>
      <xdr:col>14</xdr:col>
      <xdr:colOff>257754</xdr:colOff>
      <xdr:row>2</xdr:row>
      <xdr:rowOff>153049</xdr:rowOff>
    </xdr:from>
    <xdr:to>
      <xdr:col>14</xdr:col>
      <xdr:colOff>404634</xdr:colOff>
      <xdr:row>2</xdr:row>
      <xdr:rowOff>153409</xdr:rowOff>
    </xdr:to>
    <mc:AlternateContent xmlns:mc="http://schemas.openxmlformats.org/markup-compatibility/2006" xmlns:xdr14="http://schemas.microsoft.com/office/excel/2010/spreadsheetDrawing">
      <mc:Choice Requires="xdr14">
        <xdr:contentPart xmlns:r="http://schemas.openxmlformats.org/officeDocument/2006/relationships" r:id="rId58">
          <xdr14:nvContentPartPr>
            <xdr14:cNvPr id="82" name="Entrada de lápiz 81">
              <a:extLst>
                <a:ext uri="{FF2B5EF4-FFF2-40B4-BE49-F238E27FC236}">
                  <a16:creationId xmlns:a16="http://schemas.microsoft.com/office/drawing/2014/main" id="{096C6DDB-E0B2-2165-D11E-BC1A040FCF84}"/>
                </a:ext>
              </a:extLst>
            </xdr14:cNvPr>
            <xdr14:cNvContentPartPr/>
          </xdr14:nvContentPartPr>
          <xdr14:nvPr macro=""/>
          <xdr14:xfrm>
            <a:off x="11844720" y="552600"/>
            <a:ext cx="146880" cy="360"/>
          </xdr14:xfrm>
        </xdr:contentPart>
      </mc:Choice>
      <mc:Fallback xmlns="">
        <xdr:pic>
          <xdr:nvPicPr>
            <xdr:cNvPr id="82" name="Entrada de lápiz 81">
              <a:extLst>
                <a:ext uri="{FF2B5EF4-FFF2-40B4-BE49-F238E27FC236}">
                  <a16:creationId xmlns:a16="http://schemas.microsoft.com/office/drawing/2014/main" id="{096C6DDB-E0B2-2165-D11E-BC1A040FCF84}"/>
                </a:ext>
              </a:extLst>
            </xdr:cNvPr>
            <xdr:cNvPicPr/>
          </xdr:nvPicPr>
          <xdr:blipFill>
            <a:blip xmlns:r="http://schemas.openxmlformats.org/officeDocument/2006/relationships" r:embed="rId59"/>
            <a:stretch>
              <a:fillRect/>
            </a:stretch>
          </xdr:blipFill>
          <xdr:spPr>
            <a:xfrm>
              <a:off x="11838600" y="546480"/>
              <a:ext cx="159120" cy="12600"/>
            </a:xfrm>
            <a:prstGeom prst="rect">
              <a:avLst/>
            </a:prstGeom>
          </xdr:spPr>
        </xdr:pic>
      </mc:Fallback>
    </mc:AlternateContent>
    <xdr:clientData/>
  </xdr:twoCellAnchor>
  <xdr:twoCellAnchor editAs="oneCell">
    <xdr:from>
      <xdr:col>14</xdr:col>
      <xdr:colOff>539274</xdr:colOff>
      <xdr:row>2</xdr:row>
      <xdr:rowOff>55489</xdr:rowOff>
    </xdr:from>
    <xdr:to>
      <xdr:col>14</xdr:col>
      <xdr:colOff>640434</xdr:colOff>
      <xdr:row>3</xdr:row>
      <xdr:rowOff>23114</xdr:rowOff>
    </xdr:to>
    <mc:AlternateContent xmlns:mc="http://schemas.openxmlformats.org/markup-compatibility/2006" xmlns:xdr14="http://schemas.microsoft.com/office/excel/2010/spreadsheetDrawing">
      <mc:Choice Requires="xdr14">
        <xdr:contentPart xmlns:r="http://schemas.openxmlformats.org/officeDocument/2006/relationships" r:id="rId60">
          <xdr14:nvContentPartPr>
            <xdr14:cNvPr id="83" name="Entrada de lápiz 82">
              <a:extLst>
                <a:ext uri="{FF2B5EF4-FFF2-40B4-BE49-F238E27FC236}">
                  <a16:creationId xmlns:a16="http://schemas.microsoft.com/office/drawing/2014/main" id="{596ED14D-5BCB-8ADA-8AF8-10F0CF671AF4}"/>
                </a:ext>
              </a:extLst>
            </xdr14:cNvPr>
            <xdr14:cNvContentPartPr/>
          </xdr14:nvContentPartPr>
          <xdr14:nvPr macro=""/>
          <xdr14:xfrm>
            <a:off x="12126240" y="455040"/>
            <a:ext cx="101160" cy="167400"/>
          </xdr14:xfrm>
        </xdr:contentPart>
      </mc:Choice>
      <mc:Fallback xmlns="">
        <xdr:pic>
          <xdr:nvPicPr>
            <xdr:cNvPr id="83" name="Entrada de lápiz 82">
              <a:extLst>
                <a:ext uri="{FF2B5EF4-FFF2-40B4-BE49-F238E27FC236}">
                  <a16:creationId xmlns:a16="http://schemas.microsoft.com/office/drawing/2014/main" id="{596ED14D-5BCB-8ADA-8AF8-10F0CF671AF4}"/>
                </a:ext>
              </a:extLst>
            </xdr:cNvPr>
            <xdr:cNvPicPr/>
          </xdr:nvPicPr>
          <xdr:blipFill>
            <a:blip xmlns:r="http://schemas.openxmlformats.org/officeDocument/2006/relationships" r:embed="rId61"/>
            <a:stretch>
              <a:fillRect/>
            </a:stretch>
          </xdr:blipFill>
          <xdr:spPr>
            <a:xfrm>
              <a:off x="12120120" y="448920"/>
              <a:ext cx="113400" cy="179640"/>
            </a:xfrm>
            <a:prstGeom prst="rect">
              <a:avLst/>
            </a:prstGeom>
          </xdr:spPr>
        </xdr:pic>
      </mc:Fallback>
    </mc:AlternateContent>
    <xdr:clientData/>
  </xdr:twoCellAnchor>
  <xdr:twoCellAnchor editAs="oneCell">
    <xdr:from>
      <xdr:col>14</xdr:col>
      <xdr:colOff>823674</xdr:colOff>
      <xdr:row>1</xdr:row>
      <xdr:rowOff>52945</xdr:rowOff>
    </xdr:from>
    <xdr:to>
      <xdr:col>15</xdr:col>
      <xdr:colOff>105113</xdr:colOff>
      <xdr:row>2</xdr:row>
      <xdr:rowOff>171049</xdr:rowOff>
    </xdr:to>
    <mc:AlternateContent xmlns:mc="http://schemas.openxmlformats.org/markup-compatibility/2006" xmlns:xdr14="http://schemas.microsoft.com/office/excel/2010/spreadsheetDrawing">
      <mc:Choice Requires="xdr14">
        <xdr:contentPart xmlns:r="http://schemas.openxmlformats.org/officeDocument/2006/relationships" r:id="rId62">
          <xdr14:nvContentPartPr>
            <xdr14:cNvPr id="84" name="Entrada de lápiz 83">
              <a:extLst>
                <a:ext uri="{FF2B5EF4-FFF2-40B4-BE49-F238E27FC236}">
                  <a16:creationId xmlns:a16="http://schemas.microsoft.com/office/drawing/2014/main" id="{11BEF67E-2F73-C7E0-C165-6F8137BE7BDC}"/>
                </a:ext>
              </a:extLst>
            </xdr14:cNvPr>
            <xdr14:cNvContentPartPr/>
          </xdr14:nvContentPartPr>
          <xdr14:nvPr macro=""/>
          <xdr14:xfrm>
            <a:off x="12410640" y="252720"/>
            <a:ext cx="109080" cy="317880"/>
          </xdr14:xfrm>
        </xdr:contentPart>
      </mc:Choice>
      <mc:Fallback xmlns="">
        <xdr:pic>
          <xdr:nvPicPr>
            <xdr:cNvPr id="84" name="Entrada de lápiz 83">
              <a:extLst>
                <a:ext uri="{FF2B5EF4-FFF2-40B4-BE49-F238E27FC236}">
                  <a16:creationId xmlns:a16="http://schemas.microsoft.com/office/drawing/2014/main" id="{11BEF67E-2F73-C7E0-C165-6F8137BE7BDC}"/>
                </a:ext>
              </a:extLst>
            </xdr:cNvPr>
            <xdr:cNvPicPr/>
          </xdr:nvPicPr>
          <xdr:blipFill>
            <a:blip xmlns:r="http://schemas.openxmlformats.org/officeDocument/2006/relationships" r:embed="rId63"/>
            <a:stretch>
              <a:fillRect/>
            </a:stretch>
          </xdr:blipFill>
          <xdr:spPr>
            <a:xfrm>
              <a:off x="12404520" y="246600"/>
              <a:ext cx="121320" cy="330120"/>
            </a:xfrm>
            <a:prstGeom prst="rect">
              <a:avLst/>
            </a:prstGeom>
          </xdr:spPr>
        </xdr:pic>
      </mc:Fallback>
    </mc:AlternateContent>
    <xdr:clientData/>
  </xdr:twoCellAnchor>
  <xdr:twoCellAnchor editAs="oneCell">
    <xdr:from>
      <xdr:col>15</xdr:col>
      <xdr:colOff>282593</xdr:colOff>
      <xdr:row>2</xdr:row>
      <xdr:rowOff>85369</xdr:rowOff>
    </xdr:from>
    <xdr:to>
      <xdr:col>16</xdr:col>
      <xdr:colOff>178553</xdr:colOff>
      <xdr:row>3</xdr:row>
      <xdr:rowOff>151274</xdr:rowOff>
    </xdr:to>
    <mc:AlternateContent xmlns:mc="http://schemas.openxmlformats.org/markup-compatibility/2006" xmlns:xdr14="http://schemas.microsoft.com/office/excel/2010/spreadsheetDrawing">
      <mc:Choice Requires="xdr14">
        <xdr:contentPart xmlns:r="http://schemas.openxmlformats.org/officeDocument/2006/relationships" r:id="rId64">
          <xdr14:nvContentPartPr>
            <xdr14:cNvPr id="92" name="Entrada de lápiz 91">
              <a:extLst>
                <a:ext uri="{FF2B5EF4-FFF2-40B4-BE49-F238E27FC236}">
                  <a16:creationId xmlns:a16="http://schemas.microsoft.com/office/drawing/2014/main" id="{5C35B5CA-3CA0-F78F-84AF-0140F6F21A30}"/>
                </a:ext>
              </a:extLst>
            </xdr14:cNvPr>
            <xdr14:cNvContentPartPr/>
          </xdr14:nvContentPartPr>
          <xdr14:nvPr macro=""/>
          <xdr14:xfrm>
            <a:off x="12697200" y="484920"/>
            <a:ext cx="723600" cy="265680"/>
          </xdr14:xfrm>
        </xdr:contentPart>
      </mc:Choice>
      <mc:Fallback xmlns="">
        <xdr:pic>
          <xdr:nvPicPr>
            <xdr:cNvPr id="92" name="Entrada de lápiz 91">
              <a:extLst>
                <a:ext uri="{FF2B5EF4-FFF2-40B4-BE49-F238E27FC236}">
                  <a16:creationId xmlns:a16="http://schemas.microsoft.com/office/drawing/2014/main" id="{5C35B5CA-3CA0-F78F-84AF-0140F6F21A30}"/>
                </a:ext>
              </a:extLst>
            </xdr:cNvPr>
            <xdr:cNvPicPr/>
          </xdr:nvPicPr>
          <xdr:blipFill>
            <a:blip xmlns:r="http://schemas.openxmlformats.org/officeDocument/2006/relationships" r:embed="rId65"/>
            <a:stretch>
              <a:fillRect/>
            </a:stretch>
          </xdr:blipFill>
          <xdr:spPr>
            <a:xfrm>
              <a:off x="12691083" y="478800"/>
              <a:ext cx="735834" cy="277920"/>
            </a:xfrm>
            <a:prstGeom prst="rect">
              <a:avLst/>
            </a:prstGeom>
          </xdr:spPr>
        </xdr:pic>
      </mc:Fallback>
    </mc:AlternateContent>
    <xdr:clientData/>
  </xdr:twoCellAnchor>
  <xdr:twoCellAnchor editAs="oneCell">
    <xdr:from>
      <xdr:col>9</xdr:col>
      <xdr:colOff>803876</xdr:colOff>
      <xdr:row>1</xdr:row>
      <xdr:rowOff>85345</xdr:rowOff>
    </xdr:from>
    <xdr:to>
      <xdr:col>12</xdr:col>
      <xdr:colOff>116995</xdr:colOff>
      <xdr:row>2</xdr:row>
      <xdr:rowOff>27409</xdr:rowOff>
    </xdr:to>
    <mc:AlternateContent xmlns:mc="http://schemas.openxmlformats.org/markup-compatibility/2006" xmlns:xdr14="http://schemas.microsoft.com/office/excel/2010/spreadsheetDrawing">
      <mc:Choice Requires="xdr14">
        <xdr:contentPart xmlns:r="http://schemas.openxmlformats.org/officeDocument/2006/relationships" r:id="rId66">
          <xdr14:nvContentPartPr>
            <xdr14:cNvPr id="95" name="Entrada de lápiz 94">
              <a:extLst>
                <a:ext uri="{FF2B5EF4-FFF2-40B4-BE49-F238E27FC236}">
                  <a16:creationId xmlns:a16="http://schemas.microsoft.com/office/drawing/2014/main" id="{D3DC0E78-3B02-7076-1E66-42E8F34B2068}"/>
                </a:ext>
              </a:extLst>
            </xdr14:cNvPr>
            <xdr14:cNvContentPartPr/>
          </xdr14:nvContentPartPr>
          <xdr14:nvPr macro=""/>
          <xdr14:xfrm>
            <a:off x="8252640" y="285120"/>
            <a:ext cx="1796040" cy="141840"/>
          </xdr14:xfrm>
        </xdr:contentPart>
      </mc:Choice>
      <mc:Fallback xmlns="">
        <xdr:pic>
          <xdr:nvPicPr>
            <xdr:cNvPr id="95" name="Entrada de lápiz 94">
              <a:extLst>
                <a:ext uri="{FF2B5EF4-FFF2-40B4-BE49-F238E27FC236}">
                  <a16:creationId xmlns:a16="http://schemas.microsoft.com/office/drawing/2014/main" id="{D3DC0E78-3B02-7076-1E66-42E8F34B2068}"/>
                </a:ext>
              </a:extLst>
            </xdr:cNvPr>
            <xdr:cNvPicPr/>
          </xdr:nvPicPr>
          <xdr:blipFill>
            <a:blip xmlns:r="http://schemas.openxmlformats.org/officeDocument/2006/relationships" r:embed="rId67"/>
            <a:stretch>
              <a:fillRect/>
            </a:stretch>
          </xdr:blipFill>
          <xdr:spPr>
            <a:xfrm>
              <a:off x="8246521" y="279000"/>
              <a:ext cx="1808278" cy="154080"/>
            </a:xfrm>
            <a:prstGeom prst="rect">
              <a:avLst/>
            </a:prstGeom>
          </xdr:spPr>
        </xdr:pic>
      </mc:Fallback>
    </mc:AlternateContent>
    <xdr:clientData/>
  </xdr:twoCellAnchor>
  <xdr:twoCellAnchor editAs="oneCell">
    <xdr:from>
      <xdr:col>14</xdr:col>
      <xdr:colOff>296634</xdr:colOff>
      <xdr:row>1</xdr:row>
      <xdr:rowOff>150865</xdr:rowOff>
    </xdr:from>
    <xdr:to>
      <xdr:col>14</xdr:col>
      <xdr:colOff>378714</xdr:colOff>
      <xdr:row>2</xdr:row>
      <xdr:rowOff>62329</xdr:rowOff>
    </xdr:to>
    <mc:AlternateContent xmlns:mc="http://schemas.openxmlformats.org/markup-compatibility/2006" xmlns:xdr14="http://schemas.microsoft.com/office/excel/2010/spreadsheetDrawing">
      <mc:Choice Requires="xdr14">
        <xdr:contentPart xmlns:r="http://schemas.openxmlformats.org/officeDocument/2006/relationships" r:id="rId68">
          <xdr14:nvContentPartPr>
            <xdr14:cNvPr id="96" name="Entrada de lápiz 95">
              <a:extLst>
                <a:ext uri="{FF2B5EF4-FFF2-40B4-BE49-F238E27FC236}">
                  <a16:creationId xmlns:a16="http://schemas.microsoft.com/office/drawing/2014/main" id="{9DE37640-F359-7429-89C4-20B4C01A7C8F}"/>
                </a:ext>
              </a:extLst>
            </xdr14:cNvPr>
            <xdr14:cNvContentPartPr/>
          </xdr14:nvContentPartPr>
          <xdr14:nvPr macro=""/>
          <xdr14:xfrm>
            <a:off x="11883600" y="350640"/>
            <a:ext cx="82080" cy="111240"/>
          </xdr14:xfrm>
        </xdr:contentPart>
      </mc:Choice>
      <mc:Fallback xmlns="">
        <xdr:pic>
          <xdr:nvPicPr>
            <xdr:cNvPr id="96" name="Entrada de lápiz 95">
              <a:extLst>
                <a:ext uri="{FF2B5EF4-FFF2-40B4-BE49-F238E27FC236}">
                  <a16:creationId xmlns:a16="http://schemas.microsoft.com/office/drawing/2014/main" id="{9DE37640-F359-7429-89C4-20B4C01A7C8F}"/>
                </a:ext>
              </a:extLst>
            </xdr:cNvPr>
            <xdr:cNvPicPr/>
          </xdr:nvPicPr>
          <xdr:blipFill>
            <a:blip xmlns:r="http://schemas.openxmlformats.org/officeDocument/2006/relationships" r:embed="rId69"/>
            <a:stretch>
              <a:fillRect/>
            </a:stretch>
          </xdr:blipFill>
          <xdr:spPr>
            <a:xfrm>
              <a:off x="11877480" y="344520"/>
              <a:ext cx="94320" cy="123480"/>
            </a:xfrm>
            <a:prstGeom prst="rect">
              <a:avLst/>
            </a:prstGeom>
          </xdr:spPr>
        </xdr:pic>
      </mc:Fallback>
    </mc:AlternateContent>
    <xdr:clientData/>
  </xdr:twoCellAnchor>
  <xdr:twoCellAnchor editAs="oneCell">
    <xdr:from>
      <xdr:col>9</xdr:col>
      <xdr:colOff>220316</xdr:colOff>
      <xdr:row>3</xdr:row>
      <xdr:rowOff>93674</xdr:rowOff>
    </xdr:from>
    <xdr:to>
      <xdr:col>9</xdr:col>
      <xdr:colOff>237596</xdr:colOff>
      <xdr:row>8</xdr:row>
      <xdr:rowOff>31518</xdr:rowOff>
    </xdr:to>
    <mc:AlternateContent xmlns:mc="http://schemas.openxmlformats.org/markup-compatibility/2006" xmlns:xdr14="http://schemas.microsoft.com/office/excel/2010/spreadsheetDrawing">
      <mc:Choice Requires="xdr14">
        <xdr:contentPart xmlns:r="http://schemas.openxmlformats.org/officeDocument/2006/relationships" r:id="rId70">
          <xdr14:nvContentPartPr>
            <xdr14:cNvPr id="97" name="Entrada de lápiz 96">
              <a:extLst>
                <a:ext uri="{FF2B5EF4-FFF2-40B4-BE49-F238E27FC236}">
                  <a16:creationId xmlns:a16="http://schemas.microsoft.com/office/drawing/2014/main" id="{F8BCF126-50F3-EC96-94B1-F12419C8F771}"/>
                </a:ext>
              </a:extLst>
            </xdr14:cNvPr>
            <xdr14:cNvContentPartPr/>
          </xdr14:nvContentPartPr>
          <xdr14:nvPr macro=""/>
          <xdr14:xfrm>
            <a:off x="7669080" y="693000"/>
            <a:ext cx="17280" cy="936720"/>
          </xdr14:xfrm>
        </xdr:contentPart>
      </mc:Choice>
      <mc:Fallback xmlns="">
        <xdr:pic>
          <xdr:nvPicPr>
            <xdr:cNvPr id="97" name="Entrada de lápiz 96">
              <a:extLst>
                <a:ext uri="{FF2B5EF4-FFF2-40B4-BE49-F238E27FC236}">
                  <a16:creationId xmlns:a16="http://schemas.microsoft.com/office/drawing/2014/main" id="{F8BCF126-50F3-EC96-94B1-F12419C8F771}"/>
                </a:ext>
              </a:extLst>
            </xdr:cNvPr>
            <xdr:cNvPicPr/>
          </xdr:nvPicPr>
          <xdr:blipFill>
            <a:blip xmlns:r="http://schemas.openxmlformats.org/officeDocument/2006/relationships" r:embed="rId71"/>
            <a:stretch>
              <a:fillRect/>
            </a:stretch>
          </xdr:blipFill>
          <xdr:spPr>
            <a:xfrm>
              <a:off x="7662960" y="686880"/>
              <a:ext cx="29520" cy="948960"/>
            </a:xfrm>
            <a:prstGeom prst="rect">
              <a:avLst/>
            </a:prstGeom>
          </xdr:spPr>
        </xdr:pic>
      </mc:Fallback>
    </mc:AlternateContent>
    <xdr:clientData/>
  </xdr:twoCellAnchor>
  <xdr:twoCellAnchor editAs="oneCell">
    <xdr:from>
      <xdr:col>9</xdr:col>
      <xdr:colOff>327596</xdr:colOff>
      <xdr:row>5</xdr:row>
      <xdr:rowOff>191284</xdr:rowOff>
    </xdr:from>
    <xdr:to>
      <xdr:col>9</xdr:col>
      <xdr:colOff>438476</xdr:colOff>
      <xdr:row>6</xdr:row>
      <xdr:rowOff>121828</xdr:rowOff>
    </xdr:to>
    <mc:AlternateContent xmlns:mc="http://schemas.openxmlformats.org/markup-compatibility/2006" xmlns:xdr14="http://schemas.microsoft.com/office/excel/2010/spreadsheetDrawing">
      <mc:Choice Requires="xdr14">
        <xdr:contentPart xmlns:r="http://schemas.openxmlformats.org/officeDocument/2006/relationships" r:id="rId72">
          <xdr14:nvContentPartPr>
            <xdr14:cNvPr id="102" name="Entrada de lápiz 101">
              <a:extLst>
                <a:ext uri="{FF2B5EF4-FFF2-40B4-BE49-F238E27FC236}">
                  <a16:creationId xmlns:a16="http://schemas.microsoft.com/office/drawing/2014/main" id="{BA0E3C68-6052-9903-C289-DD1597053859}"/>
                </a:ext>
              </a:extLst>
            </xdr14:cNvPr>
            <xdr14:cNvContentPartPr/>
          </xdr14:nvContentPartPr>
          <xdr14:nvPr macro=""/>
          <xdr14:xfrm>
            <a:off x="7776360" y="1190160"/>
            <a:ext cx="110880" cy="130320"/>
          </xdr14:xfrm>
        </xdr:contentPart>
      </mc:Choice>
      <mc:Fallback xmlns="">
        <xdr:pic>
          <xdr:nvPicPr>
            <xdr:cNvPr id="102" name="Entrada de lápiz 101">
              <a:extLst>
                <a:ext uri="{FF2B5EF4-FFF2-40B4-BE49-F238E27FC236}">
                  <a16:creationId xmlns:a16="http://schemas.microsoft.com/office/drawing/2014/main" id="{BA0E3C68-6052-9903-C289-DD1597053859}"/>
                </a:ext>
              </a:extLst>
            </xdr:cNvPr>
            <xdr:cNvPicPr/>
          </xdr:nvPicPr>
          <xdr:blipFill>
            <a:blip xmlns:r="http://schemas.openxmlformats.org/officeDocument/2006/relationships" r:embed="rId73"/>
            <a:stretch>
              <a:fillRect/>
            </a:stretch>
          </xdr:blipFill>
          <xdr:spPr>
            <a:xfrm>
              <a:off x="7770220" y="1184040"/>
              <a:ext cx="123160" cy="142560"/>
            </a:xfrm>
            <a:prstGeom prst="rect">
              <a:avLst/>
            </a:prstGeom>
          </xdr:spPr>
        </xdr:pic>
      </mc:Fallback>
    </mc:AlternateContent>
    <xdr:clientData/>
  </xdr:twoCellAnchor>
  <xdr:twoCellAnchor editAs="oneCell">
    <xdr:from>
      <xdr:col>9</xdr:col>
      <xdr:colOff>84956</xdr:colOff>
      <xdr:row>7</xdr:row>
      <xdr:rowOff>108173</xdr:rowOff>
    </xdr:from>
    <xdr:to>
      <xdr:col>9</xdr:col>
      <xdr:colOff>409676</xdr:colOff>
      <xdr:row>8</xdr:row>
      <xdr:rowOff>10638</xdr:rowOff>
    </xdr:to>
    <mc:AlternateContent xmlns:mc="http://schemas.openxmlformats.org/markup-compatibility/2006" xmlns:xdr14="http://schemas.microsoft.com/office/excel/2010/spreadsheetDrawing">
      <mc:Choice Requires="xdr14">
        <xdr:contentPart xmlns:r="http://schemas.openxmlformats.org/officeDocument/2006/relationships" r:id="rId74">
          <xdr14:nvContentPartPr>
            <xdr14:cNvPr id="105" name="Entrada de lápiz 104">
              <a:extLst>
                <a:ext uri="{FF2B5EF4-FFF2-40B4-BE49-F238E27FC236}">
                  <a16:creationId xmlns:a16="http://schemas.microsoft.com/office/drawing/2014/main" id="{E188FAA6-05C3-6377-6D76-2113D6DE13D2}"/>
                </a:ext>
              </a:extLst>
            </xdr14:cNvPr>
            <xdr14:cNvContentPartPr/>
          </xdr14:nvContentPartPr>
          <xdr14:nvPr macro=""/>
          <xdr14:xfrm>
            <a:off x="7533720" y="1506600"/>
            <a:ext cx="324720" cy="102240"/>
          </xdr14:xfrm>
        </xdr:contentPart>
      </mc:Choice>
      <mc:Fallback xmlns="">
        <xdr:pic>
          <xdr:nvPicPr>
            <xdr:cNvPr id="105" name="Entrada de lápiz 104">
              <a:extLst>
                <a:ext uri="{FF2B5EF4-FFF2-40B4-BE49-F238E27FC236}">
                  <a16:creationId xmlns:a16="http://schemas.microsoft.com/office/drawing/2014/main" id="{E188FAA6-05C3-6377-6D76-2113D6DE13D2}"/>
                </a:ext>
              </a:extLst>
            </xdr:cNvPr>
            <xdr:cNvPicPr/>
          </xdr:nvPicPr>
          <xdr:blipFill>
            <a:blip xmlns:r="http://schemas.openxmlformats.org/officeDocument/2006/relationships" r:embed="rId75"/>
            <a:stretch>
              <a:fillRect/>
            </a:stretch>
          </xdr:blipFill>
          <xdr:spPr>
            <a:xfrm>
              <a:off x="7527600" y="1500480"/>
              <a:ext cx="336960" cy="114480"/>
            </a:xfrm>
            <a:prstGeom prst="rect">
              <a:avLst/>
            </a:prstGeom>
          </xdr:spPr>
        </xdr:pic>
      </mc:Fallback>
    </mc:AlternateContent>
    <xdr:clientData/>
  </xdr:twoCellAnchor>
  <xdr:twoCellAnchor editAs="oneCell">
    <xdr:from>
      <xdr:col>8</xdr:col>
      <xdr:colOff>671396</xdr:colOff>
      <xdr:row>8</xdr:row>
      <xdr:rowOff>148158</xdr:rowOff>
    </xdr:from>
    <xdr:to>
      <xdr:col>10</xdr:col>
      <xdr:colOff>267116</xdr:colOff>
      <xdr:row>10</xdr:row>
      <xdr:rowOff>31567</xdr:rowOff>
    </xdr:to>
    <mc:AlternateContent xmlns:mc="http://schemas.openxmlformats.org/markup-compatibility/2006" xmlns:xdr14="http://schemas.microsoft.com/office/excel/2010/spreadsheetDrawing">
      <mc:Choice Requires="xdr14">
        <xdr:contentPart xmlns:r="http://schemas.openxmlformats.org/officeDocument/2006/relationships" r:id="rId76">
          <xdr14:nvContentPartPr>
            <xdr14:cNvPr id="114" name="Entrada de lápiz 113">
              <a:extLst>
                <a:ext uri="{FF2B5EF4-FFF2-40B4-BE49-F238E27FC236}">
                  <a16:creationId xmlns:a16="http://schemas.microsoft.com/office/drawing/2014/main" id="{B4DE9B3F-C388-4F52-C99A-A79271E3B480}"/>
                </a:ext>
              </a:extLst>
            </xdr14:cNvPr>
            <xdr14:cNvContentPartPr/>
          </xdr14:nvContentPartPr>
          <xdr14:nvPr macro=""/>
          <xdr14:xfrm>
            <a:off x="7292520" y="1746360"/>
            <a:ext cx="1251000" cy="282960"/>
          </xdr14:xfrm>
        </xdr:contentPart>
      </mc:Choice>
      <mc:Fallback xmlns="">
        <xdr:pic>
          <xdr:nvPicPr>
            <xdr:cNvPr id="114" name="Entrada de lápiz 113">
              <a:extLst>
                <a:ext uri="{FF2B5EF4-FFF2-40B4-BE49-F238E27FC236}">
                  <a16:creationId xmlns:a16="http://schemas.microsoft.com/office/drawing/2014/main" id="{B4DE9B3F-C388-4F52-C99A-A79271E3B480}"/>
                </a:ext>
              </a:extLst>
            </xdr:cNvPr>
            <xdr:cNvPicPr/>
          </xdr:nvPicPr>
          <xdr:blipFill>
            <a:blip xmlns:r="http://schemas.openxmlformats.org/officeDocument/2006/relationships" r:embed="rId77"/>
            <a:stretch>
              <a:fillRect/>
            </a:stretch>
          </xdr:blipFill>
          <xdr:spPr>
            <a:xfrm>
              <a:off x="7286400" y="1740240"/>
              <a:ext cx="1263240" cy="295200"/>
            </a:xfrm>
            <a:prstGeom prst="rect">
              <a:avLst/>
            </a:prstGeom>
          </xdr:spPr>
        </xdr:pic>
      </mc:Fallback>
    </mc:AlternateContent>
    <xdr:clientData/>
  </xdr:twoCellAnchor>
  <xdr:twoCellAnchor editAs="oneCell">
    <xdr:from>
      <xdr:col>10</xdr:col>
      <xdr:colOff>393476</xdr:colOff>
      <xdr:row>9</xdr:row>
      <xdr:rowOff>86262</xdr:rowOff>
    </xdr:from>
    <xdr:to>
      <xdr:col>10</xdr:col>
      <xdr:colOff>529196</xdr:colOff>
      <xdr:row>9</xdr:row>
      <xdr:rowOff>86622</xdr:rowOff>
    </xdr:to>
    <mc:AlternateContent xmlns:mc="http://schemas.openxmlformats.org/markup-compatibility/2006" xmlns:xdr14="http://schemas.microsoft.com/office/excel/2010/spreadsheetDrawing">
      <mc:Choice Requires="xdr14">
        <xdr:contentPart xmlns:r="http://schemas.openxmlformats.org/officeDocument/2006/relationships" r:id="rId78">
          <xdr14:nvContentPartPr>
            <xdr14:cNvPr id="115" name="Entrada de lápiz 114">
              <a:extLst>
                <a:ext uri="{FF2B5EF4-FFF2-40B4-BE49-F238E27FC236}">
                  <a16:creationId xmlns:a16="http://schemas.microsoft.com/office/drawing/2014/main" id="{CA4649BB-25C3-26A5-33CE-3B8D4BADAA4B}"/>
                </a:ext>
              </a:extLst>
            </xdr14:cNvPr>
            <xdr14:cNvContentPartPr/>
          </xdr14:nvContentPartPr>
          <xdr14:nvPr macro=""/>
          <xdr14:xfrm>
            <a:off x="8669880" y="1884240"/>
            <a:ext cx="135720" cy="360"/>
          </xdr14:xfrm>
        </xdr:contentPart>
      </mc:Choice>
      <mc:Fallback xmlns="">
        <xdr:pic>
          <xdr:nvPicPr>
            <xdr:cNvPr id="115" name="Entrada de lápiz 114">
              <a:extLst>
                <a:ext uri="{FF2B5EF4-FFF2-40B4-BE49-F238E27FC236}">
                  <a16:creationId xmlns:a16="http://schemas.microsoft.com/office/drawing/2014/main" id="{CA4649BB-25C3-26A5-33CE-3B8D4BADAA4B}"/>
                </a:ext>
              </a:extLst>
            </xdr:cNvPr>
            <xdr:cNvPicPr/>
          </xdr:nvPicPr>
          <xdr:blipFill>
            <a:blip xmlns:r="http://schemas.openxmlformats.org/officeDocument/2006/relationships" r:embed="rId79"/>
            <a:stretch>
              <a:fillRect/>
            </a:stretch>
          </xdr:blipFill>
          <xdr:spPr>
            <a:xfrm>
              <a:off x="8663760" y="1878120"/>
              <a:ext cx="147960" cy="12600"/>
            </a:xfrm>
            <a:prstGeom prst="rect">
              <a:avLst/>
            </a:prstGeom>
          </xdr:spPr>
        </xdr:pic>
      </mc:Fallback>
    </mc:AlternateContent>
    <xdr:clientData/>
  </xdr:twoCellAnchor>
  <xdr:twoCellAnchor editAs="oneCell">
    <xdr:from>
      <xdr:col>10</xdr:col>
      <xdr:colOff>679676</xdr:colOff>
      <xdr:row>9</xdr:row>
      <xdr:rowOff>28662</xdr:rowOff>
    </xdr:from>
    <xdr:to>
      <xdr:col>12</xdr:col>
      <xdr:colOff>206275</xdr:colOff>
      <xdr:row>10</xdr:row>
      <xdr:rowOff>166207</xdr:rowOff>
    </xdr:to>
    <mc:AlternateContent xmlns:mc="http://schemas.openxmlformats.org/markup-compatibility/2006" xmlns:xdr14="http://schemas.microsoft.com/office/excel/2010/spreadsheetDrawing">
      <mc:Choice Requires="xdr14">
        <xdr:contentPart xmlns:r="http://schemas.openxmlformats.org/officeDocument/2006/relationships" r:id="rId80">
          <xdr14:nvContentPartPr>
            <xdr14:cNvPr id="125" name="Entrada de lápiz 124">
              <a:extLst>
                <a:ext uri="{FF2B5EF4-FFF2-40B4-BE49-F238E27FC236}">
                  <a16:creationId xmlns:a16="http://schemas.microsoft.com/office/drawing/2014/main" id="{55E3F4C2-FB29-6419-C875-047920796065}"/>
                </a:ext>
              </a:extLst>
            </xdr14:cNvPr>
            <xdr14:cNvContentPartPr/>
          </xdr14:nvContentPartPr>
          <xdr14:nvPr macro=""/>
          <xdr14:xfrm>
            <a:off x="8956080" y="1826640"/>
            <a:ext cx="1181880" cy="337320"/>
          </xdr14:xfrm>
        </xdr:contentPart>
      </mc:Choice>
      <mc:Fallback xmlns="">
        <xdr:pic>
          <xdr:nvPicPr>
            <xdr:cNvPr id="125" name="Entrada de lápiz 124">
              <a:extLst>
                <a:ext uri="{FF2B5EF4-FFF2-40B4-BE49-F238E27FC236}">
                  <a16:creationId xmlns:a16="http://schemas.microsoft.com/office/drawing/2014/main" id="{55E3F4C2-FB29-6419-C875-047920796065}"/>
                </a:ext>
              </a:extLst>
            </xdr:cNvPr>
            <xdr:cNvPicPr/>
          </xdr:nvPicPr>
          <xdr:blipFill>
            <a:blip xmlns:r="http://schemas.openxmlformats.org/officeDocument/2006/relationships" r:embed="rId81"/>
            <a:stretch>
              <a:fillRect/>
            </a:stretch>
          </xdr:blipFill>
          <xdr:spPr>
            <a:xfrm>
              <a:off x="8949960" y="1820513"/>
              <a:ext cx="1194120" cy="349573"/>
            </a:xfrm>
            <a:prstGeom prst="rect">
              <a:avLst/>
            </a:prstGeom>
          </xdr:spPr>
        </xdr:pic>
      </mc:Fallback>
    </mc:AlternateContent>
    <xdr:clientData/>
  </xdr:twoCellAnchor>
  <xdr:twoCellAnchor editAs="oneCell">
    <xdr:from>
      <xdr:col>12</xdr:col>
      <xdr:colOff>377635</xdr:colOff>
      <xdr:row>9</xdr:row>
      <xdr:rowOff>161142</xdr:rowOff>
    </xdr:from>
    <xdr:to>
      <xdr:col>12</xdr:col>
      <xdr:colOff>456115</xdr:colOff>
      <xdr:row>9</xdr:row>
      <xdr:rowOff>162222</xdr:rowOff>
    </xdr:to>
    <mc:AlternateContent xmlns:mc="http://schemas.openxmlformats.org/markup-compatibility/2006" xmlns:xdr14="http://schemas.microsoft.com/office/excel/2010/spreadsheetDrawing">
      <mc:Choice Requires="xdr14">
        <xdr:contentPart xmlns:r="http://schemas.openxmlformats.org/officeDocument/2006/relationships" r:id="rId82">
          <xdr14:nvContentPartPr>
            <xdr14:cNvPr id="126" name="Entrada de lápiz 125">
              <a:extLst>
                <a:ext uri="{FF2B5EF4-FFF2-40B4-BE49-F238E27FC236}">
                  <a16:creationId xmlns:a16="http://schemas.microsoft.com/office/drawing/2014/main" id="{7595AB86-661C-31A4-8541-0460A525AAE9}"/>
                </a:ext>
              </a:extLst>
            </xdr14:cNvPr>
            <xdr14:cNvContentPartPr/>
          </xdr14:nvContentPartPr>
          <xdr14:nvPr macro=""/>
          <xdr14:xfrm>
            <a:off x="10309320" y="1959120"/>
            <a:ext cx="78480" cy="1080"/>
          </xdr14:xfrm>
        </xdr:contentPart>
      </mc:Choice>
      <mc:Fallback xmlns="">
        <xdr:pic>
          <xdr:nvPicPr>
            <xdr:cNvPr id="126" name="Entrada de lápiz 125">
              <a:extLst>
                <a:ext uri="{FF2B5EF4-FFF2-40B4-BE49-F238E27FC236}">
                  <a16:creationId xmlns:a16="http://schemas.microsoft.com/office/drawing/2014/main" id="{7595AB86-661C-31A4-8541-0460A525AAE9}"/>
                </a:ext>
              </a:extLst>
            </xdr:cNvPr>
            <xdr:cNvPicPr/>
          </xdr:nvPicPr>
          <xdr:blipFill>
            <a:blip xmlns:r="http://schemas.openxmlformats.org/officeDocument/2006/relationships" r:embed="rId83"/>
            <a:stretch>
              <a:fillRect/>
            </a:stretch>
          </xdr:blipFill>
          <xdr:spPr>
            <a:xfrm>
              <a:off x="10303200" y="1953000"/>
              <a:ext cx="90720" cy="13320"/>
            </a:xfrm>
            <a:prstGeom prst="rect">
              <a:avLst/>
            </a:prstGeom>
          </xdr:spPr>
        </xdr:pic>
      </mc:Fallback>
    </mc:AlternateContent>
    <xdr:clientData/>
  </xdr:twoCellAnchor>
  <xdr:twoCellAnchor editAs="oneCell">
    <xdr:from>
      <xdr:col>12</xdr:col>
      <xdr:colOff>629275</xdr:colOff>
      <xdr:row>8</xdr:row>
      <xdr:rowOff>141678</xdr:rowOff>
    </xdr:from>
    <xdr:to>
      <xdr:col>14</xdr:col>
      <xdr:colOff>352794</xdr:colOff>
      <xdr:row>10</xdr:row>
      <xdr:rowOff>144967</xdr:rowOff>
    </xdr:to>
    <mc:AlternateContent xmlns:mc="http://schemas.openxmlformats.org/markup-compatibility/2006" xmlns:xdr14="http://schemas.microsoft.com/office/excel/2010/spreadsheetDrawing">
      <mc:Choice Requires="xdr14">
        <xdr:contentPart xmlns:r="http://schemas.openxmlformats.org/officeDocument/2006/relationships" r:id="rId84">
          <xdr14:nvContentPartPr>
            <xdr14:cNvPr id="139" name="Entrada de lápiz 138">
              <a:extLst>
                <a:ext uri="{FF2B5EF4-FFF2-40B4-BE49-F238E27FC236}">
                  <a16:creationId xmlns:a16="http://schemas.microsoft.com/office/drawing/2014/main" id="{290C1F29-D936-B962-1ECD-E1A8AD502739}"/>
                </a:ext>
              </a:extLst>
            </xdr14:cNvPr>
            <xdr14:cNvContentPartPr/>
          </xdr14:nvContentPartPr>
          <xdr14:nvPr macro=""/>
          <xdr14:xfrm>
            <a:off x="10560960" y="1739880"/>
            <a:ext cx="1378800" cy="402840"/>
          </xdr14:xfrm>
        </xdr:contentPart>
      </mc:Choice>
      <mc:Fallback xmlns="">
        <xdr:pic>
          <xdr:nvPicPr>
            <xdr:cNvPr id="139" name="Entrada de lápiz 138">
              <a:extLst>
                <a:ext uri="{FF2B5EF4-FFF2-40B4-BE49-F238E27FC236}">
                  <a16:creationId xmlns:a16="http://schemas.microsoft.com/office/drawing/2014/main" id="{290C1F29-D936-B962-1ECD-E1A8AD502739}"/>
                </a:ext>
              </a:extLst>
            </xdr:cNvPr>
            <xdr:cNvPicPr/>
          </xdr:nvPicPr>
          <xdr:blipFill>
            <a:blip xmlns:r="http://schemas.openxmlformats.org/officeDocument/2006/relationships" r:embed="rId85"/>
            <a:stretch>
              <a:fillRect/>
            </a:stretch>
          </xdr:blipFill>
          <xdr:spPr>
            <a:xfrm>
              <a:off x="10554840" y="1733760"/>
              <a:ext cx="1391040" cy="415080"/>
            </a:xfrm>
            <a:prstGeom prst="rect">
              <a:avLst/>
            </a:prstGeom>
          </xdr:spPr>
        </xdr:pic>
      </mc:Fallback>
    </mc:AlternateContent>
    <xdr:clientData/>
  </xdr:twoCellAnchor>
  <xdr:twoCellAnchor editAs="oneCell">
    <xdr:from>
      <xdr:col>9</xdr:col>
      <xdr:colOff>228596</xdr:colOff>
      <xdr:row>13</xdr:row>
      <xdr:rowOff>79521</xdr:rowOff>
    </xdr:from>
    <xdr:to>
      <xdr:col>10</xdr:col>
      <xdr:colOff>344156</xdr:colOff>
      <xdr:row>14</xdr:row>
      <xdr:rowOff>155866</xdr:rowOff>
    </xdr:to>
    <mc:AlternateContent xmlns:mc="http://schemas.openxmlformats.org/markup-compatibility/2006" xmlns:xdr14="http://schemas.microsoft.com/office/excel/2010/spreadsheetDrawing">
      <mc:Choice Requires="xdr14">
        <xdr:contentPart xmlns:r="http://schemas.openxmlformats.org/officeDocument/2006/relationships" r:id="rId86">
          <xdr14:nvContentPartPr>
            <xdr14:cNvPr id="151" name="Entrada de lápiz 150">
              <a:extLst>
                <a:ext uri="{FF2B5EF4-FFF2-40B4-BE49-F238E27FC236}">
                  <a16:creationId xmlns:a16="http://schemas.microsoft.com/office/drawing/2014/main" id="{D9C20311-09C6-61E4-2FD7-8FBCC14DB160}"/>
                </a:ext>
              </a:extLst>
            </xdr14:cNvPr>
            <xdr14:cNvContentPartPr/>
          </xdr14:nvContentPartPr>
          <xdr14:nvPr macro=""/>
          <xdr14:xfrm>
            <a:off x="7677360" y="2676600"/>
            <a:ext cx="943200" cy="276120"/>
          </xdr14:xfrm>
        </xdr:contentPart>
      </mc:Choice>
      <mc:Fallback xmlns="">
        <xdr:pic>
          <xdr:nvPicPr>
            <xdr:cNvPr id="151" name="Entrada de lápiz 150">
              <a:extLst>
                <a:ext uri="{FF2B5EF4-FFF2-40B4-BE49-F238E27FC236}">
                  <a16:creationId xmlns:a16="http://schemas.microsoft.com/office/drawing/2014/main" id="{D9C20311-09C6-61E4-2FD7-8FBCC14DB160}"/>
                </a:ext>
              </a:extLst>
            </xdr:cNvPr>
            <xdr:cNvPicPr/>
          </xdr:nvPicPr>
          <xdr:blipFill>
            <a:blip xmlns:r="http://schemas.openxmlformats.org/officeDocument/2006/relationships" r:embed="rId87"/>
            <a:stretch>
              <a:fillRect/>
            </a:stretch>
          </xdr:blipFill>
          <xdr:spPr>
            <a:xfrm>
              <a:off x="7671240" y="2670480"/>
              <a:ext cx="955440" cy="288360"/>
            </a:xfrm>
            <a:prstGeom prst="rect">
              <a:avLst/>
            </a:prstGeom>
          </xdr:spPr>
        </xdr:pic>
      </mc:Fallback>
    </mc:AlternateContent>
    <xdr:clientData/>
  </xdr:twoCellAnchor>
  <xdr:twoCellAnchor editAs="oneCell">
    <xdr:from>
      <xdr:col>10</xdr:col>
      <xdr:colOff>601556</xdr:colOff>
      <xdr:row>13</xdr:row>
      <xdr:rowOff>74841</xdr:rowOff>
    </xdr:from>
    <xdr:to>
      <xdr:col>10</xdr:col>
      <xdr:colOff>603716</xdr:colOff>
      <xdr:row>14</xdr:row>
      <xdr:rowOff>191146</xdr:rowOff>
    </xdr:to>
    <mc:AlternateContent xmlns:mc="http://schemas.openxmlformats.org/markup-compatibility/2006" xmlns:xdr14="http://schemas.microsoft.com/office/excel/2010/spreadsheetDrawing">
      <mc:Choice Requires="xdr14">
        <xdr:contentPart xmlns:r="http://schemas.openxmlformats.org/officeDocument/2006/relationships" r:id="rId88">
          <xdr14:nvContentPartPr>
            <xdr14:cNvPr id="152" name="Entrada de lápiz 151">
              <a:extLst>
                <a:ext uri="{FF2B5EF4-FFF2-40B4-BE49-F238E27FC236}">
                  <a16:creationId xmlns:a16="http://schemas.microsoft.com/office/drawing/2014/main" id="{29FCF3D2-DAD5-0765-D7ED-1489E877B37C}"/>
                </a:ext>
              </a:extLst>
            </xdr14:cNvPr>
            <xdr14:cNvContentPartPr/>
          </xdr14:nvContentPartPr>
          <xdr14:nvPr macro=""/>
          <xdr14:xfrm>
            <a:off x="8877960" y="2671920"/>
            <a:ext cx="2160" cy="316080"/>
          </xdr14:xfrm>
        </xdr:contentPart>
      </mc:Choice>
      <mc:Fallback xmlns="">
        <xdr:pic>
          <xdr:nvPicPr>
            <xdr:cNvPr id="152" name="Entrada de lápiz 151">
              <a:extLst>
                <a:ext uri="{FF2B5EF4-FFF2-40B4-BE49-F238E27FC236}">
                  <a16:creationId xmlns:a16="http://schemas.microsoft.com/office/drawing/2014/main" id="{29FCF3D2-DAD5-0765-D7ED-1489E877B37C}"/>
                </a:ext>
              </a:extLst>
            </xdr:cNvPr>
            <xdr:cNvPicPr/>
          </xdr:nvPicPr>
          <xdr:blipFill>
            <a:blip xmlns:r="http://schemas.openxmlformats.org/officeDocument/2006/relationships" r:embed="rId89"/>
            <a:stretch>
              <a:fillRect/>
            </a:stretch>
          </xdr:blipFill>
          <xdr:spPr>
            <a:xfrm>
              <a:off x="8871840" y="2665800"/>
              <a:ext cx="14400" cy="328320"/>
            </a:xfrm>
            <a:prstGeom prst="rect">
              <a:avLst/>
            </a:prstGeom>
          </xdr:spPr>
        </xdr:pic>
      </mc:Fallback>
    </mc:AlternateContent>
    <xdr:clientData/>
  </xdr:twoCellAnchor>
  <xdr:twoCellAnchor editAs="oneCell">
    <xdr:from>
      <xdr:col>10</xdr:col>
      <xdr:colOff>826556</xdr:colOff>
      <xdr:row>13</xdr:row>
      <xdr:rowOff>192921</xdr:rowOff>
    </xdr:from>
    <xdr:to>
      <xdr:col>13</xdr:col>
      <xdr:colOff>306354</xdr:colOff>
      <xdr:row>15</xdr:row>
      <xdr:rowOff>39611</xdr:rowOff>
    </xdr:to>
    <mc:AlternateContent xmlns:mc="http://schemas.openxmlformats.org/markup-compatibility/2006" xmlns:xdr14="http://schemas.microsoft.com/office/excel/2010/spreadsheetDrawing">
      <mc:Choice Requires="xdr14">
        <xdr:contentPart xmlns:r="http://schemas.openxmlformats.org/officeDocument/2006/relationships" r:id="rId90">
          <xdr14:nvContentPartPr>
            <xdr14:cNvPr id="162" name="Entrada de lápiz 161">
              <a:extLst>
                <a:ext uri="{FF2B5EF4-FFF2-40B4-BE49-F238E27FC236}">
                  <a16:creationId xmlns:a16="http://schemas.microsoft.com/office/drawing/2014/main" id="{EF5DB279-A388-4648-4715-D898D7FC5C9A}"/>
                </a:ext>
              </a:extLst>
            </xdr14:cNvPr>
            <xdr14:cNvContentPartPr/>
          </xdr14:nvContentPartPr>
          <xdr14:nvPr macro=""/>
          <xdr14:xfrm>
            <a:off x="9102960" y="2790000"/>
            <a:ext cx="1962720" cy="246240"/>
          </xdr14:xfrm>
        </xdr:contentPart>
      </mc:Choice>
      <mc:Fallback xmlns="">
        <xdr:pic>
          <xdr:nvPicPr>
            <xdr:cNvPr id="162" name="Entrada de lápiz 161">
              <a:extLst>
                <a:ext uri="{FF2B5EF4-FFF2-40B4-BE49-F238E27FC236}">
                  <a16:creationId xmlns:a16="http://schemas.microsoft.com/office/drawing/2014/main" id="{EF5DB279-A388-4648-4715-D898D7FC5C9A}"/>
                </a:ext>
              </a:extLst>
            </xdr:cNvPr>
            <xdr:cNvPicPr/>
          </xdr:nvPicPr>
          <xdr:blipFill>
            <a:blip xmlns:r="http://schemas.openxmlformats.org/officeDocument/2006/relationships" r:embed="rId91"/>
            <a:stretch>
              <a:fillRect/>
            </a:stretch>
          </xdr:blipFill>
          <xdr:spPr>
            <a:xfrm>
              <a:off x="9096840" y="2783880"/>
              <a:ext cx="1974960" cy="258480"/>
            </a:xfrm>
            <a:prstGeom prst="rect">
              <a:avLst/>
            </a:prstGeom>
          </xdr:spPr>
        </xdr:pic>
      </mc:Fallback>
    </mc:AlternateContent>
    <xdr:clientData/>
  </xdr:twoCellAnchor>
  <xdr:twoCellAnchor editAs="oneCell">
    <xdr:from>
      <xdr:col>13</xdr:col>
      <xdr:colOff>445314</xdr:colOff>
      <xdr:row>13</xdr:row>
      <xdr:rowOff>100041</xdr:rowOff>
    </xdr:from>
    <xdr:to>
      <xdr:col>13</xdr:col>
      <xdr:colOff>608394</xdr:colOff>
      <xdr:row>15</xdr:row>
      <xdr:rowOff>66611</xdr:rowOff>
    </xdr:to>
    <mc:AlternateContent xmlns:mc="http://schemas.openxmlformats.org/markup-compatibility/2006" xmlns:xdr14="http://schemas.microsoft.com/office/excel/2010/spreadsheetDrawing">
      <mc:Choice Requires="xdr14">
        <xdr:contentPart xmlns:r="http://schemas.openxmlformats.org/officeDocument/2006/relationships" r:id="rId92">
          <xdr14:nvContentPartPr>
            <xdr14:cNvPr id="163" name="Entrada de lápiz 162">
              <a:extLst>
                <a:ext uri="{FF2B5EF4-FFF2-40B4-BE49-F238E27FC236}">
                  <a16:creationId xmlns:a16="http://schemas.microsoft.com/office/drawing/2014/main" id="{75C76CA2-02BA-8962-25A8-2A7A25163DE5}"/>
                </a:ext>
              </a:extLst>
            </xdr14:cNvPr>
            <xdr14:cNvContentPartPr/>
          </xdr14:nvContentPartPr>
          <xdr14:nvPr macro=""/>
          <xdr14:xfrm>
            <a:off x="11204640" y="2697120"/>
            <a:ext cx="163080" cy="366120"/>
          </xdr14:xfrm>
        </xdr:contentPart>
      </mc:Choice>
      <mc:Fallback xmlns="">
        <xdr:pic>
          <xdr:nvPicPr>
            <xdr:cNvPr id="163" name="Entrada de lápiz 162">
              <a:extLst>
                <a:ext uri="{FF2B5EF4-FFF2-40B4-BE49-F238E27FC236}">
                  <a16:creationId xmlns:a16="http://schemas.microsoft.com/office/drawing/2014/main" id="{75C76CA2-02BA-8962-25A8-2A7A25163DE5}"/>
                </a:ext>
              </a:extLst>
            </xdr:cNvPr>
            <xdr:cNvPicPr/>
          </xdr:nvPicPr>
          <xdr:blipFill>
            <a:blip xmlns:r="http://schemas.openxmlformats.org/officeDocument/2006/relationships" r:embed="rId93"/>
            <a:stretch>
              <a:fillRect/>
            </a:stretch>
          </xdr:blipFill>
          <xdr:spPr>
            <a:xfrm>
              <a:off x="11198520" y="2691000"/>
              <a:ext cx="175320" cy="378360"/>
            </a:xfrm>
            <a:prstGeom prst="rect">
              <a:avLst/>
            </a:prstGeom>
          </xdr:spPr>
        </xdr:pic>
      </mc:Fallback>
    </mc:AlternateContent>
    <xdr:clientData/>
  </xdr:twoCellAnchor>
  <xdr:twoCellAnchor editAs="oneCell">
    <xdr:from>
      <xdr:col>8</xdr:col>
      <xdr:colOff>776156</xdr:colOff>
      <xdr:row>13</xdr:row>
      <xdr:rowOff>48201</xdr:rowOff>
    </xdr:from>
    <xdr:to>
      <xdr:col>9</xdr:col>
      <xdr:colOff>80636</xdr:colOff>
      <xdr:row>15</xdr:row>
      <xdr:rowOff>112691</xdr:rowOff>
    </xdr:to>
    <mc:AlternateContent xmlns:mc="http://schemas.openxmlformats.org/markup-compatibility/2006" xmlns:xdr14="http://schemas.microsoft.com/office/excel/2010/spreadsheetDrawing">
      <mc:Choice Requires="xdr14">
        <xdr:contentPart xmlns:r="http://schemas.openxmlformats.org/officeDocument/2006/relationships" r:id="rId94">
          <xdr14:nvContentPartPr>
            <xdr14:cNvPr id="164" name="Entrada de lápiz 163">
              <a:extLst>
                <a:ext uri="{FF2B5EF4-FFF2-40B4-BE49-F238E27FC236}">
                  <a16:creationId xmlns:a16="http://schemas.microsoft.com/office/drawing/2014/main" id="{D8AA0542-6890-8F73-6950-336BD609C80F}"/>
                </a:ext>
              </a:extLst>
            </xdr14:cNvPr>
            <xdr14:cNvContentPartPr/>
          </xdr14:nvContentPartPr>
          <xdr14:nvPr macro=""/>
          <xdr14:xfrm>
            <a:off x="7397280" y="2645280"/>
            <a:ext cx="132120" cy="464040"/>
          </xdr14:xfrm>
        </xdr:contentPart>
      </mc:Choice>
      <mc:Fallback xmlns="">
        <xdr:pic>
          <xdr:nvPicPr>
            <xdr:cNvPr id="164" name="Entrada de lápiz 163">
              <a:extLst>
                <a:ext uri="{FF2B5EF4-FFF2-40B4-BE49-F238E27FC236}">
                  <a16:creationId xmlns:a16="http://schemas.microsoft.com/office/drawing/2014/main" id="{D8AA0542-6890-8F73-6950-336BD609C80F}"/>
                </a:ext>
              </a:extLst>
            </xdr:cNvPr>
            <xdr:cNvPicPr/>
          </xdr:nvPicPr>
          <xdr:blipFill>
            <a:blip xmlns:r="http://schemas.openxmlformats.org/officeDocument/2006/relationships" r:embed="rId95"/>
            <a:stretch>
              <a:fillRect/>
            </a:stretch>
          </xdr:blipFill>
          <xdr:spPr>
            <a:xfrm>
              <a:off x="7391160" y="2639160"/>
              <a:ext cx="144360" cy="476280"/>
            </a:xfrm>
            <a:prstGeom prst="rect">
              <a:avLst/>
            </a:prstGeom>
          </xdr:spPr>
        </xdr:pic>
      </mc:Fallback>
    </mc:AlternateContent>
    <xdr:clientData/>
  </xdr:twoCellAnchor>
  <xdr:twoCellAnchor editAs="oneCell">
    <xdr:from>
      <xdr:col>14</xdr:col>
      <xdr:colOff>61194</xdr:colOff>
      <xdr:row>13</xdr:row>
      <xdr:rowOff>189321</xdr:rowOff>
    </xdr:from>
    <xdr:to>
      <xdr:col>14</xdr:col>
      <xdr:colOff>188994</xdr:colOff>
      <xdr:row>14</xdr:row>
      <xdr:rowOff>138586</xdr:rowOff>
    </xdr:to>
    <mc:AlternateContent xmlns:mc="http://schemas.openxmlformats.org/markup-compatibility/2006" xmlns:xdr14="http://schemas.microsoft.com/office/excel/2010/spreadsheetDrawing">
      <mc:Choice Requires="xdr14">
        <xdr:contentPart xmlns:r="http://schemas.openxmlformats.org/officeDocument/2006/relationships" r:id="rId96">
          <xdr14:nvContentPartPr>
            <xdr14:cNvPr id="165" name="Entrada de lápiz 164">
              <a:extLst>
                <a:ext uri="{FF2B5EF4-FFF2-40B4-BE49-F238E27FC236}">
                  <a16:creationId xmlns:a16="http://schemas.microsoft.com/office/drawing/2014/main" id="{E5E7BE87-85F3-755F-F9F3-FC7D9CA36547}"/>
                </a:ext>
              </a:extLst>
            </xdr14:cNvPr>
            <xdr14:cNvContentPartPr/>
          </xdr14:nvContentPartPr>
          <xdr14:nvPr macro=""/>
          <xdr14:xfrm>
            <a:off x="11648160" y="2786400"/>
            <a:ext cx="127800" cy="149040"/>
          </xdr14:xfrm>
        </xdr:contentPart>
      </mc:Choice>
      <mc:Fallback xmlns="">
        <xdr:pic>
          <xdr:nvPicPr>
            <xdr:cNvPr id="165" name="Entrada de lápiz 164">
              <a:extLst>
                <a:ext uri="{FF2B5EF4-FFF2-40B4-BE49-F238E27FC236}">
                  <a16:creationId xmlns:a16="http://schemas.microsoft.com/office/drawing/2014/main" id="{E5E7BE87-85F3-755F-F9F3-FC7D9CA36547}"/>
                </a:ext>
              </a:extLst>
            </xdr:cNvPr>
            <xdr:cNvPicPr/>
          </xdr:nvPicPr>
          <xdr:blipFill>
            <a:blip xmlns:r="http://schemas.openxmlformats.org/officeDocument/2006/relationships" r:embed="rId97"/>
            <a:stretch>
              <a:fillRect/>
            </a:stretch>
          </xdr:blipFill>
          <xdr:spPr>
            <a:xfrm>
              <a:off x="11642040" y="2780280"/>
              <a:ext cx="140040" cy="161280"/>
            </a:xfrm>
            <a:prstGeom prst="rect">
              <a:avLst/>
            </a:prstGeom>
          </xdr:spPr>
        </xdr:pic>
      </mc:Fallback>
    </mc:AlternateContent>
    <xdr:clientData/>
  </xdr:twoCellAnchor>
  <xdr:twoCellAnchor editAs="oneCell">
    <xdr:from>
      <xdr:col>14</xdr:col>
      <xdr:colOff>34554</xdr:colOff>
      <xdr:row>14</xdr:row>
      <xdr:rowOff>125626</xdr:rowOff>
    </xdr:from>
    <xdr:to>
      <xdr:col>14</xdr:col>
      <xdr:colOff>254514</xdr:colOff>
      <xdr:row>15</xdr:row>
      <xdr:rowOff>41051</xdr:rowOff>
    </xdr:to>
    <mc:AlternateContent xmlns:mc="http://schemas.openxmlformats.org/markup-compatibility/2006" xmlns:xdr14="http://schemas.microsoft.com/office/excel/2010/spreadsheetDrawing">
      <mc:Choice Requires="xdr14">
        <xdr:contentPart xmlns:r="http://schemas.openxmlformats.org/officeDocument/2006/relationships" r:id="rId98">
          <xdr14:nvContentPartPr>
            <xdr14:cNvPr id="166" name="Entrada de lápiz 165">
              <a:extLst>
                <a:ext uri="{FF2B5EF4-FFF2-40B4-BE49-F238E27FC236}">
                  <a16:creationId xmlns:a16="http://schemas.microsoft.com/office/drawing/2014/main" id="{B5832813-EEA3-2DA2-D6CE-40BA192A966C}"/>
                </a:ext>
              </a:extLst>
            </xdr14:cNvPr>
            <xdr14:cNvContentPartPr/>
          </xdr14:nvContentPartPr>
          <xdr14:nvPr macro=""/>
          <xdr14:xfrm>
            <a:off x="11621520" y="2922480"/>
            <a:ext cx="219960" cy="115200"/>
          </xdr14:xfrm>
        </xdr:contentPart>
      </mc:Choice>
      <mc:Fallback xmlns="">
        <xdr:pic>
          <xdr:nvPicPr>
            <xdr:cNvPr id="166" name="Entrada de lápiz 165">
              <a:extLst>
                <a:ext uri="{FF2B5EF4-FFF2-40B4-BE49-F238E27FC236}">
                  <a16:creationId xmlns:a16="http://schemas.microsoft.com/office/drawing/2014/main" id="{B5832813-EEA3-2DA2-D6CE-40BA192A966C}"/>
                </a:ext>
              </a:extLst>
            </xdr:cNvPr>
            <xdr:cNvPicPr/>
          </xdr:nvPicPr>
          <xdr:blipFill>
            <a:blip xmlns:r="http://schemas.openxmlformats.org/officeDocument/2006/relationships" r:embed="rId99"/>
            <a:stretch>
              <a:fillRect/>
            </a:stretch>
          </xdr:blipFill>
          <xdr:spPr>
            <a:xfrm>
              <a:off x="11615400" y="2916360"/>
              <a:ext cx="232200" cy="127440"/>
            </a:xfrm>
            <a:prstGeom prst="rect">
              <a:avLst/>
            </a:prstGeom>
          </xdr:spPr>
        </xdr:pic>
      </mc:Fallback>
    </mc:AlternateContent>
    <xdr:clientData/>
  </xdr:twoCellAnchor>
  <xdr:twoCellAnchor editAs="oneCell">
    <xdr:from>
      <xdr:col>14</xdr:col>
      <xdr:colOff>379074</xdr:colOff>
      <xdr:row>13</xdr:row>
      <xdr:rowOff>176721</xdr:rowOff>
    </xdr:from>
    <xdr:to>
      <xdr:col>14</xdr:col>
      <xdr:colOff>764634</xdr:colOff>
      <xdr:row>14</xdr:row>
      <xdr:rowOff>188626</xdr:rowOff>
    </xdr:to>
    <mc:AlternateContent xmlns:mc="http://schemas.openxmlformats.org/markup-compatibility/2006" xmlns:xdr14="http://schemas.microsoft.com/office/excel/2010/spreadsheetDrawing">
      <mc:Choice Requires="xdr14">
        <xdr:contentPart xmlns:r="http://schemas.openxmlformats.org/officeDocument/2006/relationships" r:id="rId100">
          <xdr14:nvContentPartPr>
            <xdr14:cNvPr id="171" name="Entrada de lápiz 170">
              <a:extLst>
                <a:ext uri="{FF2B5EF4-FFF2-40B4-BE49-F238E27FC236}">
                  <a16:creationId xmlns:a16="http://schemas.microsoft.com/office/drawing/2014/main" id="{3DDC1C76-7B40-87E3-2FFE-23DE2EAE42CF}"/>
                </a:ext>
              </a:extLst>
            </xdr14:cNvPr>
            <xdr14:cNvContentPartPr/>
          </xdr14:nvContentPartPr>
          <xdr14:nvPr macro=""/>
          <xdr14:xfrm>
            <a:off x="11966040" y="2773800"/>
            <a:ext cx="385560" cy="211680"/>
          </xdr14:xfrm>
        </xdr:contentPart>
      </mc:Choice>
      <mc:Fallback xmlns="">
        <xdr:pic>
          <xdr:nvPicPr>
            <xdr:cNvPr id="171" name="Entrada de lápiz 170">
              <a:extLst>
                <a:ext uri="{FF2B5EF4-FFF2-40B4-BE49-F238E27FC236}">
                  <a16:creationId xmlns:a16="http://schemas.microsoft.com/office/drawing/2014/main" id="{3DDC1C76-7B40-87E3-2FFE-23DE2EAE42CF}"/>
                </a:ext>
              </a:extLst>
            </xdr:cNvPr>
            <xdr:cNvPicPr/>
          </xdr:nvPicPr>
          <xdr:blipFill>
            <a:blip xmlns:r="http://schemas.openxmlformats.org/officeDocument/2006/relationships" r:embed="rId101"/>
            <a:stretch>
              <a:fillRect/>
            </a:stretch>
          </xdr:blipFill>
          <xdr:spPr>
            <a:xfrm>
              <a:off x="11959920" y="2767680"/>
              <a:ext cx="397800" cy="223920"/>
            </a:xfrm>
            <a:prstGeom prst="rect">
              <a:avLst/>
            </a:prstGeom>
          </xdr:spPr>
        </xdr:pic>
      </mc:Fallback>
    </mc:AlternateContent>
    <xdr:clientData/>
  </xdr:twoCellAnchor>
  <xdr:twoCellAnchor editAs="oneCell">
    <xdr:from>
      <xdr:col>8</xdr:col>
      <xdr:colOff>824036</xdr:colOff>
      <xdr:row>16</xdr:row>
      <xdr:rowOff>191916</xdr:rowOff>
    </xdr:from>
    <xdr:to>
      <xdr:col>9</xdr:col>
      <xdr:colOff>71636</xdr:colOff>
      <xdr:row>18</xdr:row>
      <xdr:rowOff>128245</xdr:rowOff>
    </xdr:to>
    <mc:AlternateContent xmlns:mc="http://schemas.openxmlformats.org/markup-compatibility/2006" xmlns:xdr14="http://schemas.microsoft.com/office/excel/2010/spreadsheetDrawing">
      <mc:Choice Requires="xdr14">
        <xdr:contentPart xmlns:r="http://schemas.openxmlformats.org/officeDocument/2006/relationships" r:id="rId102">
          <xdr14:nvContentPartPr>
            <xdr14:cNvPr id="172" name="Entrada de lápiz 171">
              <a:extLst>
                <a:ext uri="{FF2B5EF4-FFF2-40B4-BE49-F238E27FC236}">
                  <a16:creationId xmlns:a16="http://schemas.microsoft.com/office/drawing/2014/main" id="{AF5F9A0A-12EE-1A32-F41D-1CC365BF32F6}"/>
                </a:ext>
              </a:extLst>
            </xdr14:cNvPr>
            <xdr14:cNvContentPartPr/>
          </xdr14:nvContentPartPr>
          <xdr14:nvPr macro=""/>
          <xdr14:xfrm>
            <a:off x="7445160" y="3388320"/>
            <a:ext cx="75240" cy="335880"/>
          </xdr14:xfrm>
        </xdr:contentPart>
      </mc:Choice>
      <mc:Fallback xmlns="">
        <xdr:pic>
          <xdr:nvPicPr>
            <xdr:cNvPr id="172" name="Entrada de lápiz 171">
              <a:extLst>
                <a:ext uri="{FF2B5EF4-FFF2-40B4-BE49-F238E27FC236}">
                  <a16:creationId xmlns:a16="http://schemas.microsoft.com/office/drawing/2014/main" id="{AF5F9A0A-12EE-1A32-F41D-1CC365BF32F6}"/>
                </a:ext>
              </a:extLst>
            </xdr:cNvPr>
            <xdr:cNvPicPr/>
          </xdr:nvPicPr>
          <xdr:blipFill>
            <a:blip xmlns:r="http://schemas.openxmlformats.org/officeDocument/2006/relationships" r:embed="rId103"/>
            <a:stretch>
              <a:fillRect/>
            </a:stretch>
          </xdr:blipFill>
          <xdr:spPr>
            <a:xfrm>
              <a:off x="7439040" y="3382200"/>
              <a:ext cx="87480" cy="348120"/>
            </a:xfrm>
            <a:prstGeom prst="rect">
              <a:avLst/>
            </a:prstGeom>
          </xdr:spPr>
        </xdr:pic>
      </mc:Fallback>
    </mc:AlternateContent>
    <xdr:clientData/>
  </xdr:twoCellAnchor>
  <xdr:twoCellAnchor editAs="oneCell">
    <xdr:from>
      <xdr:col>9</xdr:col>
      <xdr:colOff>245156</xdr:colOff>
      <xdr:row>17</xdr:row>
      <xdr:rowOff>42540</xdr:rowOff>
    </xdr:from>
    <xdr:to>
      <xdr:col>9</xdr:col>
      <xdr:colOff>339116</xdr:colOff>
      <xdr:row>17</xdr:row>
      <xdr:rowOff>189060</xdr:rowOff>
    </xdr:to>
    <mc:AlternateContent xmlns:mc="http://schemas.openxmlformats.org/markup-compatibility/2006" xmlns:xdr14="http://schemas.microsoft.com/office/excel/2010/spreadsheetDrawing">
      <mc:Choice Requires="xdr14">
        <xdr:contentPart xmlns:r="http://schemas.openxmlformats.org/officeDocument/2006/relationships" r:id="rId104">
          <xdr14:nvContentPartPr>
            <xdr14:cNvPr id="173" name="Entrada de lápiz 172">
              <a:extLst>
                <a:ext uri="{FF2B5EF4-FFF2-40B4-BE49-F238E27FC236}">
                  <a16:creationId xmlns:a16="http://schemas.microsoft.com/office/drawing/2014/main" id="{0857F470-1604-A83C-B5F8-6620C1AC161D}"/>
                </a:ext>
              </a:extLst>
            </xdr14:cNvPr>
            <xdr14:cNvContentPartPr/>
          </xdr14:nvContentPartPr>
          <xdr14:nvPr macro=""/>
          <xdr14:xfrm>
            <a:off x="7693920" y="3438720"/>
            <a:ext cx="93960" cy="146520"/>
          </xdr14:xfrm>
        </xdr:contentPart>
      </mc:Choice>
      <mc:Fallback xmlns="">
        <xdr:pic>
          <xdr:nvPicPr>
            <xdr:cNvPr id="173" name="Entrada de lápiz 172">
              <a:extLst>
                <a:ext uri="{FF2B5EF4-FFF2-40B4-BE49-F238E27FC236}">
                  <a16:creationId xmlns:a16="http://schemas.microsoft.com/office/drawing/2014/main" id="{0857F470-1604-A83C-B5F8-6620C1AC161D}"/>
                </a:ext>
              </a:extLst>
            </xdr:cNvPr>
            <xdr:cNvPicPr/>
          </xdr:nvPicPr>
          <xdr:blipFill>
            <a:blip xmlns:r="http://schemas.openxmlformats.org/officeDocument/2006/relationships" r:embed="rId105"/>
            <a:stretch>
              <a:fillRect/>
            </a:stretch>
          </xdr:blipFill>
          <xdr:spPr>
            <a:xfrm>
              <a:off x="7687800" y="3432600"/>
              <a:ext cx="106200" cy="158760"/>
            </a:xfrm>
            <a:prstGeom prst="rect">
              <a:avLst/>
            </a:prstGeom>
          </xdr:spPr>
        </xdr:pic>
      </mc:Fallback>
    </mc:AlternateContent>
    <xdr:clientData/>
  </xdr:twoCellAnchor>
  <xdr:twoCellAnchor editAs="oneCell">
    <xdr:from>
      <xdr:col>10</xdr:col>
      <xdr:colOff>664196</xdr:colOff>
      <xdr:row>16</xdr:row>
      <xdr:rowOff>129276</xdr:rowOff>
    </xdr:from>
    <xdr:to>
      <xdr:col>10</xdr:col>
      <xdr:colOff>664556</xdr:colOff>
      <xdr:row>18</xdr:row>
      <xdr:rowOff>40765</xdr:rowOff>
    </xdr:to>
    <mc:AlternateContent xmlns:mc="http://schemas.openxmlformats.org/markup-compatibility/2006" xmlns:xdr14="http://schemas.microsoft.com/office/excel/2010/spreadsheetDrawing">
      <mc:Choice Requires="xdr14">
        <xdr:contentPart xmlns:r="http://schemas.openxmlformats.org/officeDocument/2006/relationships" r:id="rId106">
          <xdr14:nvContentPartPr>
            <xdr14:cNvPr id="178" name="Entrada de lápiz 177">
              <a:extLst>
                <a:ext uri="{FF2B5EF4-FFF2-40B4-BE49-F238E27FC236}">
                  <a16:creationId xmlns:a16="http://schemas.microsoft.com/office/drawing/2014/main" id="{9AA69D51-0364-DA36-C3D4-605AF57E39F0}"/>
                </a:ext>
              </a:extLst>
            </xdr14:cNvPr>
            <xdr14:cNvContentPartPr/>
          </xdr14:nvContentPartPr>
          <xdr14:nvPr macro=""/>
          <xdr14:xfrm>
            <a:off x="8940600" y="3325680"/>
            <a:ext cx="360" cy="311040"/>
          </xdr14:xfrm>
        </xdr:contentPart>
      </mc:Choice>
      <mc:Fallback xmlns="">
        <xdr:pic>
          <xdr:nvPicPr>
            <xdr:cNvPr id="178" name="Entrada de lápiz 177">
              <a:extLst>
                <a:ext uri="{FF2B5EF4-FFF2-40B4-BE49-F238E27FC236}">
                  <a16:creationId xmlns:a16="http://schemas.microsoft.com/office/drawing/2014/main" id="{9AA69D51-0364-DA36-C3D4-605AF57E39F0}"/>
                </a:ext>
              </a:extLst>
            </xdr:cNvPr>
            <xdr:cNvPicPr/>
          </xdr:nvPicPr>
          <xdr:blipFill>
            <a:blip xmlns:r="http://schemas.openxmlformats.org/officeDocument/2006/relationships" r:embed="rId89"/>
            <a:stretch>
              <a:fillRect/>
            </a:stretch>
          </xdr:blipFill>
          <xdr:spPr>
            <a:xfrm>
              <a:off x="8934480" y="3319560"/>
              <a:ext cx="12600" cy="323280"/>
            </a:xfrm>
            <a:prstGeom prst="rect">
              <a:avLst/>
            </a:prstGeom>
          </xdr:spPr>
        </xdr:pic>
      </mc:Fallback>
    </mc:AlternateContent>
    <xdr:clientData/>
  </xdr:twoCellAnchor>
  <xdr:twoCellAnchor editAs="oneCell">
    <xdr:from>
      <xdr:col>9</xdr:col>
      <xdr:colOff>500396</xdr:colOff>
      <xdr:row>16</xdr:row>
      <xdr:rowOff>193356</xdr:rowOff>
    </xdr:from>
    <xdr:to>
      <xdr:col>10</xdr:col>
      <xdr:colOff>446756</xdr:colOff>
      <xdr:row>18</xdr:row>
      <xdr:rowOff>18805</xdr:rowOff>
    </xdr:to>
    <mc:AlternateContent xmlns:mc="http://schemas.openxmlformats.org/markup-compatibility/2006" xmlns:xdr14="http://schemas.microsoft.com/office/excel/2010/spreadsheetDrawing">
      <mc:Choice Requires="xdr14">
        <xdr:contentPart xmlns:r="http://schemas.openxmlformats.org/officeDocument/2006/relationships" r:id="rId107">
          <xdr14:nvContentPartPr>
            <xdr14:cNvPr id="179" name="Entrada de lápiz 178">
              <a:extLst>
                <a:ext uri="{FF2B5EF4-FFF2-40B4-BE49-F238E27FC236}">
                  <a16:creationId xmlns:a16="http://schemas.microsoft.com/office/drawing/2014/main" id="{04822ABB-ADDF-076D-B055-F9A4A8F03919}"/>
                </a:ext>
              </a:extLst>
            </xdr14:cNvPr>
            <xdr14:cNvContentPartPr/>
          </xdr14:nvContentPartPr>
          <xdr14:nvPr macro=""/>
          <xdr14:xfrm>
            <a:off x="7949160" y="3389760"/>
            <a:ext cx="774000" cy="225000"/>
          </xdr14:xfrm>
        </xdr:contentPart>
      </mc:Choice>
      <mc:Fallback xmlns="">
        <xdr:pic>
          <xdr:nvPicPr>
            <xdr:cNvPr id="179" name="Entrada de lápiz 178">
              <a:extLst>
                <a:ext uri="{FF2B5EF4-FFF2-40B4-BE49-F238E27FC236}">
                  <a16:creationId xmlns:a16="http://schemas.microsoft.com/office/drawing/2014/main" id="{04822ABB-ADDF-076D-B055-F9A4A8F03919}"/>
                </a:ext>
              </a:extLst>
            </xdr:cNvPr>
            <xdr:cNvPicPr/>
          </xdr:nvPicPr>
          <xdr:blipFill>
            <a:blip xmlns:r="http://schemas.openxmlformats.org/officeDocument/2006/relationships" r:embed="rId108"/>
            <a:stretch>
              <a:fillRect/>
            </a:stretch>
          </xdr:blipFill>
          <xdr:spPr>
            <a:xfrm>
              <a:off x="7943040" y="3383640"/>
              <a:ext cx="786240" cy="237240"/>
            </a:xfrm>
            <a:prstGeom prst="rect">
              <a:avLst/>
            </a:prstGeom>
          </xdr:spPr>
        </xdr:pic>
      </mc:Fallback>
    </mc:AlternateContent>
    <xdr:clientData/>
  </xdr:twoCellAnchor>
  <xdr:twoCellAnchor editAs="oneCell">
    <xdr:from>
      <xdr:col>8</xdr:col>
      <xdr:colOff>334796</xdr:colOff>
      <xdr:row>1</xdr:row>
      <xdr:rowOff>92185</xdr:rowOff>
    </xdr:from>
    <xdr:to>
      <xdr:col>8</xdr:col>
      <xdr:colOff>529916</xdr:colOff>
      <xdr:row>2</xdr:row>
      <xdr:rowOff>23089</xdr:rowOff>
    </xdr:to>
    <mc:AlternateContent xmlns:mc="http://schemas.openxmlformats.org/markup-compatibility/2006" xmlns:xdr14="http://schemas.microsoft.com/office/excel/2010/spreadsheetDrawing">
      <mc:Choice Requires="xdr14">
        <xdr:contentPart xmlns:r="http://schemas.openxmlformats.org/officeDocument/2006/relationships" r:id="rId109">
          <xdr14:nvContentPartPr>
            <xdr14:cNvPr id="182" name="Entrada de lápiz 181">
              <a:extLst>
                <a:ext uri="{FF2B5EF4-FFF2-40B4-BE49-F238E27FC236}">
                  <a16:creationId xmlns:a16="http://schemas.microsoft.com/office/drawing/2014/main" id="{AD580681-AA22-4EA8-47CC-4F6F351DE415}"/>
                </a:ext>
              </a:extLst>
            </xdr14:cNvPr>
            <xdr14:cNvContentPartPr/>
          </xdr14:nvContentPartPr>
          <xdr14:nvPr macro=""/>
          <xdr14:xfrm>
            <a:off x="6955920" y="291960"/>
            <a:ext cx="195120" cy="130680"/>
          </xdr14:xfrm>
        </xdr:contentPart>
      </mc:Choice>
      <mc:Fallback xmlns="">
        <xdr:pic>
          <xdr:nvPicPr>
            <xdr:cNvPr id="182" name="Entrada de lápiz 181">
              <a:extLst>
                <a:ext uri="{FF2B5EF4-FFF2-40B4-BE49-F238E27FC236}">
                  <a16:creationId xmlns:a16="http://schemas.microsoft.com/office/drawing/2014/main" id="{AD580681-AA22-4EA8-47CC-4F6F351DE415}"/>
                </a:ext>
              </a:extLst>
            </xdr:cNvPr>
            <xdr:cNvPicPr/>
          </xdr:nvPicPr>
          <xdr:blipFill>
            <a:blip xmlns:r="http://schemas.openxmlformats.org/officeDocument/2006/relationships" r:embed="rId110"/>
            <a:stretch>
              <a:fillRect/>
            </a:stretch>
          </xdr:blipFill>
          <xdr:spPr>
            <a:xfrm>
              <a:off x="6949800" y="285840"/>
              <a:ext cx="207360" cy="142920"/>
            </a:xfrm>
            <a:prstGeom prst="rect">
              <a:avLst/>
            </a:prstGeom>
          </xdr:spPr>
        </xdr:pic>
      </mc:Fallback>
    </mc:AlternateContent>
    <xdr:clientData/>
  </xdr:twoCellAnchor>
  <xdr:twoCellAnchor editAs="oneCell">
    <xdr:from>
      <xdr:col>13</xdr:col>
      <xdr:colOff>473754</xdr:colOff>
      <xdr:row>7</xdr:row>
      <xdr:rowOff>85853</xdr:rowOff>
    </xdr:from>
    <xdr:to>
      <xdr:col>13</xdr:col>
      <xdr:colOff>579594</xdr:colOff>
      <xdr:row>8</xdr:row>
      <xdr:rowOff>197118</xdr:rowOff>
    </xdr:to>
    <mc:AlternateContent xmlns:mc="http://schemas.openxmlformats.org/markup-compatibility/2006" xmlns:xdr14="http://schemas.microsoft.com/office/excel/2010/spreadsheetDrawing">
      <mc:Choice Requires="xdr14">
        <xdr:contentPart xmlns:r="http://schemas.openxmlformats.org/officeDocument/2006/relationships" r:id="rId111">
          <xdr14:nvContentPartPr>
            <xdr14:cNvPr id="185" name="Entrada de lápiz 184">
              <a:extLst>
                <a:ext uri="{FF2B5EF4-FFF2-40B4-BE49-F238E27FC236}">
                  <a16:creationId xmlns:a16="http://schemas.microsoft.com/office/drawing/2014/main" id="{B1216387-4A1F-F249-B6E4-8CFA8AB7B32B}"/>
                </a:ext>
              </a:extLst>
            </xdr14:cNvPr>
            <xdr14:cNvContentPartPr/>
          </xdr14:nvContentPartPr>
          <xdr14:nvPr macro=""/>
          <xdr14:xfrm>
            <a:off x="11233080" y="1484280"/>
            <a:ext cx="105840" cy="311040"/>
          </xdr14:xfrm>
        </xdr:contentPart>
      </mc:Choice>
      <mc:Fallback xmlns="">
        <xdr:pic>
          <xdr:nvPicPr>
            <xdr:cNvPr id="185" name="Entrada de lápiz 184">
              <a:extLst>
                <a:ext uri="{FF2B5EF4-FFF2-40B4-BE49-F238E27FC236}">
                  <a16:creationId xmlns:a16="http://schemas.microsoft.com/office/drawing/2014/main" id="{B1216387-4A1F-F249-B6E4-8CFA8AB7B32B}"/>
                </a:ext>
              </a:extLst>
            </xdr:cNvPr>
            <xdr:cNvPicPr/>
          </xdr:nvPicPr>
          <xdr:blipFill>
            <a:blip xmlns:r="http://schemas.openxmlformats.org/officeDocument/2006/relationships" r:embed="rId112"/>
            <a:stretch>
              <a:fillRect/>
            </a:stretch>
          </xdr:blipFill>
          <xdr:spPr>
            <a:xfrm>
              <a:off x="11226960" y="1478153"/>
              <a:ext cx="118080" cy="323294"/>
            </a:xfrm>
            <a:prstGeom prst="rect">
              <a:avLst/>
            </a:prstGeom>
          </xdr:spPr>
        </xdr:pic>
      </mc:Fallback>
    </mc:AlternateContent>
    <xdr:clientData/>
  </xdr:twoCellAnchor>
  <xdr:twoCellAnchor editAs="oneCell">
    <xdr:from>
      <xdr:col>9</xdr:col>
      <xdr:colOff>630356</xdr:colOff>
      <xdr:row>5</xdr:row>
      <xdr:rowOff>143044</xdr:rowOff>
    </xdr:from>
    <xdr:to>
      <xdr:col>10</xdr:col>
      <xdr:colOff>488876</xdr:colOff>
      <xdr:row>6</xdr:row>
      <xdr:rowOff>183028</xdr:rowOff>
    </xdr:to>
    <mc:AlternateContent xmlns:mc="http://schemas.openxmlformats.org/markup-compatibility/2006" xmlns:xdr14="http://schemas.microsoft.com/office/excel/2010/spreadsheetDrawing">
      <mc:Choice Requires="xdr14">
        <xdr:contentPart xmlns:r="http://schemas.openxmlformats.org/officeDocument/2006/relationships" r:id="rId113">
          <xdr14:nvContentPartPr>
            <xdr14:cNvPr id="193" name="Entrada de lápiz 192">
              <a:extLst>
                <a:ext uri="{FF2B5EF4-FFF2-40B4-BE49-F238E27FC236}">
                  <a16:creationId xmlns:a16="http://schemas.microsoft.com/office/drawing/2014/main" id="{B99E3F53-A722-2D2B-ECA4-67226E0A57C3}"/>
                </a:ext>
              </a:extLst>
            </xdr14:cNvPr>
            <xdr14:cNvContentPartPr/>
          </xdr14:nvContentPartPr>
          <xdr14:nvPr macro=""/>
          <xdr14:xfrm>
            <a:off x="8079120" y="1141920"/>
            <a:ext cx="686160" cy="239760"/>
          </xdr14:xfrm>
        </xdr:contentPart>
      </mc:Choice>
      <mc:Fallback xmlns="">
        <xdr:pic>
          <xdr:nvPicPr>
            <xdr:cNvPr id="193" name="Entrada de lápiz 192">
              <a:extLst>
                <a:ext uri="{FF2B5EF4-FFF2-40B4-BE49-F238E27FC236}">
                  <a16:creationId xmlns:a16="http://schemas.microsoft.com/office/drawing/2014/main" id="{B99E3F53-A722-2D2B-ECA4-67226E0A57C3}"/>
                </a:ext>
              </a:extLst>
            </xdr:cNvPr>
            <xdr:cNvPicPr/>
          </xdr:nvPicPr>
          <xdr:blipFill>
            <a:blip xmlns:r="http://schemas.openxmlformats.org/officeDocument/2006/relationships" r:embed="rId114"/>
            <a:stretch>
              <a:fillRect/>
            </a:stretch>
          </xdr:blipFill>
          <xdr:spPr>
            <a:xfrm>
              <a:off x="8073000" y="1135800"/>
              <a:ext cx="698400" cy="252000"/>
            </a:xfrm>
            <a:prstGeom prst="rect">
              <a:avLst/>
            </a:prstGeom>
          </xdr:spPr>
        </xdr:pic>
      </mc:Fallback>
    </mc:AlternateContent>
    <xdr:clientData/>
  </xdr:twoCellAnchor>
  <xdr:twoCellAnchor editAs="oneCell">
    <xdr:from>
      <xdr:col>13</xdr:col>
      <xdr:colOff>542154</xdr:colOff>
      <xdr:row>16</xdr:row>
      <xdr:rowOff>198756</xdr:rowOff>
    </xdr:from>
    <xdr:to>
      <xdr:col>13</xdr:col>
      <xdr:colOff>647994</xdr:colOff>
      <xdr:row>18</xdr:row>
      <xdr:rowOff>115285</xdr:rowOff>
    </xdr:to>
    <mc:AlternateContent xmlns:mc="http://schemas.openxmlformats.org/markup-compatibility/2006" xmlns:xdr14="http://schemas.microsoft.com/office/excel/2010/spreadsheetDrawing">
      <mc:Choice Requires="xdr14">
        <xdr:contentPart xmlns:r="http://schemas.openxmlformats.org/officeDocument/2006/relationships" r:id="rId115">
          <xdr14:nvContentPartPr>
            <xdr14:cNvPr id="203" name="Entrada de lápiz 202">
              <a:extLst>
                <a:ext uri="{FF2B5EF4-FFF2-40B4-BE49-F238E27FC236}">
                  <a16:creationId xmlns:a16="http://schemas.microsoft.com/office/drawing/2014/main" id="{AF110F1B-FB9C-3CEF-0B3E-DED2564E57D0}"/>
                </a:ext>
              </a:extLst>
            </xdr14:cNvPr>
            <xdr14:cNvContentPartPr/>
          </xdr14:nvContentPartPr>
          <xdr14:nvPr macro=""/>
          <xdr14:xfrm>
            <a:off x="11301480" y="3395160"/>
            <a:ext cx="105840" cy="316080"/>
          </xdr14:xfrm>
        </xdr:contentPart>
      </mc:Choice>
      <mc:Fallback xmlns="">
        <xdr:pic>
          <xdr:nvPicPr>
            <xdr:cNvPr id="203" name="Entrada de lápiz 202">
              <a:extLst>
                <a:ext uri="{FF2B5EF4-FFF2-40B4-BE49-F238E27FC236}">
                  <a16:creationId xmlns:a16="http://schemas.microsoft.com/office/drawing/2014/main" id="{AF110F1B-FB9C-3CEF-0B3E-DED2564E57D0}"/>
                </a:ext>
              </a:extLst>
            </xdr:cNvPr>
            <xdr:cNvPicPr/>
          </xdr:nvPicPr>
          <xdr:blipFill>
            <a:blip xmlns:r="http://schemas.openxmlformats.org/officeDocument/2006/relationships" r:embed="rId116"/>
            <a:stretch>
              <a:fillRect/>
            </a:stretch>
          </xdr:blipFill>
          <xdr:spPr>
            <a:xfrm>
              <a:off x="11295360" y="3389040"/>
              <a:ext cx="118080" cy="328320"/>
            </a:xfrm>
            <a:prstGeom prst="rect">
              <a:avLst/>
            </a:prstGeom>
          </xdr:spPr>
        </xdr:pic>
      </mc:Fallback>
    </mc:AlternateContent>
    <xdr:clientData/>
  </xdr:twoCellAnchor>
  <xdr:twoCellAnchor editAs="oneCell">
    <xdr:from>
      <xdr:col>11</xdr:col>
      <xdr:colOff>82435</xdr:colOff>
      <xdr:row>16</xdr:row>
      <xdr:rowOff>192996</xdr:rowOff>
    </xdr:from>
    <xdr:to>
      <xdr:col>13</xdr:col>
      <xdr:colOff>285114</xdr:colOff>
      <xdr:row>19</xdr:row>
      <xdr:rowOff>52310</xdr:rowOff>
    </xdr:to>
    <mc:AlternateContent xmlns:mc="http://schemas.openxmlformats.org/markup-compatibility/2006" xmlns:xdr14="http://schemas.microsoft.com/office/excel/2010/spreadsheetDrawing">
      <mc:Choice Requires="xdr14">
        <xdr:contentPart xmlns:r="http://schemas.openxmlformats.org/officeDocument/2006/relationships" r:id="rId117">
          <xdr14:nvContentPartPr>
            <xdr14:cNvPr id="204" name="Entrada de lápiz 203">
              <a:extLst>
                <a:ext uri="{FF2B5EF4-FFF2-40B4-BE49-F238E27FC236}">
                  <a16:creationId xmlns:a16="http://schemas.microsoft.com/office/drawing/2014/main" id="{400371E1-B660-8FEA-A7CB-B93EF551D7A0}"/>
                </a:ext>
              </a:extLst>
            </xdr14:cNvPr>
            <xdr14:cNvContentPartPr/>
          </xdr14:nvContentPartPr>
          <xdr14:nvPr macro=""/>
          <xdr14:xfrm>
            <a:off x="9186480" y="3389400"/>
            <a:ext cx="1857960" cy="458640"/>
          </xdr14:xfrm>
        </xdr:contentPart>
      </mc:Choice>
      <mc:Fallback xmlns="">
        <xdr:pic>
          <xdr:nvPicPr>
            <xdr:cNvPr id="204" name="Entrada de lápiz 203">
              <a:extLst>
                <a:ext uri="{FF2B5EF4-FFF2-40B4-BE49-F238E27FC236}">
                  <a16:creationId xmlns:a16="http://schemas.microsoft.com/office/drawing/2014/main" id="{400371E1-B660-8FEA-A7CB-B93EF551D7A0}"/>
                </a:ext>
              </a:extLst>
            </xdr:cNvPr>
            <xdr:cNvPicPr/>
          </xdr:nvPicPr>
          <xdr:blipFill>
            <a:blip xmlns:r="http://schemas.openxmlformats.org/officeDocument/2006/relationships" r:embed="rId118"/>
            <a:stretch>
              <a:fillRect/>
            </a:stretch>
          </xdr:blipFill>
          <xdr:spPr>
            <a:xfrm>
              <a:off x="9180360" y="3383280"/>
              <a:ext cx="1870200" cy="470880"/>
            </a:xfrm>
            <a:prstGeom prst="rect">
              <a:avLst/>
            </a:prstGeom>
          </xdr:spPr>
        </xdr:pic>
      </mc:Fallback>
    </mc:AlternateContent>
    <xdr:clientData/>
  </xdr:twoCellAnchor>
  <xdr:twoCellAnchor editAs="oneCell">
    <xdr:from>
      <xdr:col>12</xdr:col>
      <xdr:colOff>424795</xdr:colOff>
      <xdr:row>8</xdr:row>
      <xdr:rowOff>159678</xdr:rowOff>
    </xdr:from>
    <xdr:to>
      <xdr:col>12</xdr:col>
      <xdr:colOff>425155</xdr:colOff>
      <xdr:row>9</xdr:row>
      <xdr:rowOff>46662</xdr:rowOff>
    </xdr:to>
    <mc:AlternateContent xmlns:mc="http://schemas.openxmlformats.org/markup-compatibility/2006" xmlns:xdr14="http://schemas.microsoft.com/office/excel/2010/spreadsheetDrawing">
      <mc:Choice Requires="xdr14">
        <xdr:contentPart xmlns:r="http://schemas.openxmlformats.org/officeDocument/2006/relationships" r:id="rId119">
          <xdr14:nvContentPartPr>
            <xdr14:cNvPr id="205" name="Entrada de lápiz 204">
              <a:extLst>
                <a:ext uri="{FF2B5EF4-FFF2-40B4-BE49-F238E27FC236}">
                  <a16:creationId xmlns:a16="http://schemas.microsoft.com/office/drawing/2014/main" id="{0F912C2B-E08C-C73B-7C23-675121370AB9}"/>
                </a:ext>
              </a:extLst>
            </xdr14:cNvPr>
            <xdr14:cNvContentPartPr/>
          </xdr14:nvContentPartPr>
          <xdr14:nvPr macro=""/>
          <xdr14:xfrm>
            <a:off x="10356480" y="1757880"/>
            <a:ext cx="360" cy="86760"/>
          </xdr14:xfrm>
        </xdr:contentPart>
      </mc:Choice>
      <mc:Fallback xmlns="">
        <xdr:pic>
          <xdr:nvPicPr>
            <xdr:cNvPr id="205" name="Entrada de lápiz 204">
              <a:extLst>
                <a:ext uri="{FF2B5EF4-FFF2-40B4-BE49-F238E27FC236}">
                  <a16:creationId xmlns:a16="http://schemas.microsoft.com/office/drawing/2014/main" id="{0F912C2B-E08C-C73B-7C23-675121370AB9}"/>
                </a:ext>
              </a:extLst>
            </xdr:cNvPr>
            <xdr:cNvPicPr/>
          </xdr:nvPicPr>
          <xdr:blipFill>
            <a:blip xmlns:r="http://schemas.openxmlformats.org/officeDocument/2006/relationships" r:embed="rId120"/>
            <a:stretch>
              <a:fillRect/>
            </a:stretch>
          </xdr:blipFill>
          <xdr:spPr>
            <a:xfrm>
              <a:off x="10350360" y="1751760"/>
              <a:ext cx="12600" cy="99000"/>
            </a:xfrm>
            <a:prstGeom prst="rect">
              <a:avLst/>
            </a:prstGeom>
          </xdr:spPr>
        </xdr:pic>
      </mc:Fallback>
    </mc:AlternateContent>
    <xdr:clientData/>
  </xdr:twoCellAnchor>
  <xdr:twoCellAnchor editAs="oneCell">
    <xdr:from>
      <xdr:col>10</xdr:col>
      <xdr:colOff>433796</xdr:colOff>
      <xdr:row>8</xdr:row>
      <xdr:rowOff>131598</xdr:rowOff>
    </xdr:from>
    <xdr:to>
      <xdr:col>10</xdr:col>
      <xdr:colOff>434156</xdr:colOff>
      <xdr:row>9</xdr:row>
      <xdr:rowOff>14262</xdr:rowOff>
    </xdr:to>
    <mc:AlternateContent xmlns:mc="http://schemas.openxmlformats.org/markup-compatibility/2006" xmlns:xdr14="http://schemas.microsoft.com/office/excel/2010/spreadsheetDrawing">
      <mc:Choice Requires="xdr14">
        <xdr:contentPart xmlns:r="http://schemas.openxmlformats.org/officeDocument/2006/relationships" r:id="rId121">
          <xdr14:nvContentPartPr>
            <xdr14:cNvPr id="206" name="Entrada de lápiz 205">
              <a:extLst>
                <a:ext uri="{FF2B5EF4-FFF2-40B4-BE49-F238E27FC236}">
                  <a16:creationId xmlns:a16="http://schemas.microsoft.com/office/drawing/2014/main" id="{5BDB673E-5441-4A62-0791-2994AC528EB2}"/>
                </a:ext>
              </a:extLst>
            </xdr14:cNvPr>
            <xdr14:cNvContentPartPr/>
          </xdr14:nvContentPartPr>
          <xdr14:nvPr macro=""/>
          <xdr14:xfrm>
            <a:off x="8710200" y="1729800"/>
            <a:ext cx="360" cy="82440"/>
          </xdr14:xfrm>
        </xdr:contentPart>
      </mc:Choice>
      <mc:Fallback xmlns="">
        <xdr:pic>
          <xdr:nvPicPr>
            <xdr:cNvPr id="206" name="Entrada de lápiz 205">
              <a:extLst>
                <a:ext uri="{FF2B5EF4-FFF2-40B4-BE49-F238E27FC236}">
                  <a16:creationId xmlns:a16="http://schemas.microsoft.com/office/drawing/2014/main" id="{5BDB673E-5441-4A62-0791-2994AC528EB2}"/>
                </a:ext>
              </a:extLst>
            </xdr:cNvPr>
            <xdr:cNvPicPr/>
          </xdr:nvPicPr>
          <xdr:blipFill>
            <a:blip xmlns:r="http://schemas.openxmlformats.org/officeDocument/2006/relationships" r:embed="rId120"/>
            <a:stretch>
              <a:fillRect/>
            </a:stretch>
          </xdr:blipFill>
          <xdr:spPr>
            <a:xfrm>
              <a:off x="8704080" y="1723680"/>
              <a:ext cx="12600" cy="94680"/>
            </a:xfrm>
            <a:prstGeom prst="rect">
              <a:avLst/>
            </a:prstGeom>
          </xdr:spPr>
        </xdr:pic>
      </mc:Fallback>
    </mc:AlternateContent>
    <xdr:clientData/>
  </xdr:twoCellAnchor>
  <xdr:twoCellAnchor editAs="oneCell">
    <xdr:from>
      <xdr:col>14</xdr:col>
      <xdr:colOff>50394</xdr:colOff>
      <xdr:row>17</xdr:row>
      <xdr:rowOff>43980</xdr:rowOff>
    </xdr:from>
    <xdr:to>
      <xdr:col>14</xdr:col>
      <xdr:colOff>791634</xdr:colOff>
      <xdr:row>18</xdr:row>
      <xdr:rowOff>53365</xdr:rowOff>
    </xdr:to>
    <mc:AlternateContent xmlns:mc="http://schemas.openxmlformats.org/markup-compatibility/2006" xmlns:xdr14="http://schemas.microsoft.com/office/excel/2010/spreadsheetDrawing">
      <mc:Choice Requires="xdr14">
        <xdr:contentPart xmlns:r="http://schemas.openxmlformats.org/officeDocument/2006/relationships" r:id="rId122">
          <xdr14:nvContentPartPr>
            <xdr14:cNvPr id="211" name="Entrada de lápiz 210">
              <a:extLst>
                <a:ext uri="{FF2B5EF4-FFF2-40B4-BE49-F238E27FC236}">
                  <a16:creationId xmlns:a16="http://schemas.microsoft.com/office/drawing/2014/main" id="{D3BBA031-1687-EC42-3519-74189CEF5B47}"/>
                </a:ext>
              </a:extLst>
            </xdr14:cNvPr>
            <xdr14:cNvContentPartPr/>
          </xdr14:nvContentPartPr>
          <xdr14:nvPr macro=""/>
          <xdr14:xfrm>
            <a:off x="11637360" y="3440160"/>
            <a:ext cx="741240" cy="209160"/>
          </xdr14:xfrm>
        </xdr:contentPart>
      </mc:Choice>
      <mc:Fallback xmlns="">
        <xdr:pic>
          <xdr:nvPicPr>
            <xdr:cNvPr id="211" name="Entrada de lápiz 210">
              <a:extLst>
                <a:ext uri="{FF2B5EF4-FFF2-40B4-BE49-F238E27FC236}">
                  <a16:creationId xmlns:a16="http://schemas.microsoft.com/office/drawing/2014/main" id="{D3BBA031-1687-EC42-3519-74189CEF5B47}"/>
                </a:ext>
              </a:extLst>
            </xdr:cNvPr>
            <xdr:cNvPicPr/>
          </xdr:nvPicPr>
          <xdr:blipFill>
            <a:blip xmlns:r="http://schemas.openxmlformats.org/officeDocument/2006/relationships" r:embed="rId123"/>
            <a:stretch>
              <a:fillRect/>
            </a:stretch>
          </xdr:blipFill>
          <xdr:spPr>
            <a:xfrm>
              <a:off x="11631237" y="3434029"/>
              <a:ext cx="753486" cy="221421"/>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1</xdr:row>
          <xdr:rowOff>215900</xdr:rowOff>
        </xdr:from>
        <xdr:to>
          <xdr:col>10</xdr:col>
          <xdr:colOff>0</xdr:colOff>
          <xdr:row>3</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4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200" b="0" i="0" u="none" strike="noStrike" baseline="0">
                  <a:solidFill>
                    <a:srgbClr val="000000"/>
                  </a:solidFill>
                  <a:latin typeface="Aptos Narrow" charset="0"/>
                </a:rPr>
                <a:t>Calcular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815340</xdr:colOff>
          <xdr:row>2</xdr:row>
          <xdr:rowOff>2540</xdr:rowOff>
        </xdr:from>
        <xdr:to>
          <xdr:col>9</xdr:col>
          <xdr:colOff>802640</xdr:colOff>
          <xdr:row>3</xdr:row>
          <xdr:rowOff>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6CC82FE4-D1F4-0427-D564-87569F3C8AA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200" b="0" i="0" u="none" strike="noStrike" baseline="0">
                  <a:solidFill>
                    <a:srgbClr val="000000"/>
                  </a:solidFill>
                  <a:latin typeface="Aptos Narrow" pitchFamily="2" charset="0"/>
                </a:rPr>
                <a:t>Calcular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5080</xdr:colOff>
          <xdr:row>1</xdr:row>
          <xdr:rowOff>200660</xdr:rowOff>
        </xdr:from>
        <xdr:to>
          <xdr:col>11</xdr:col>
          <xdr:colOff>802640</xdr:colOff>
          <xdr:row>2</xdr:row>
          <xdr:rowOff>203200</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C422A327-9FCB-6480-F7E6-7935779C6C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200" b="0" i="0" u="none" strike="noStrike" baseline="0">
                  <a:solidFill>
                    <a:srgbClr val="000000"/>
                  </a:solidFill>
                  <a:latin typeface="Aptos Narrow" pitchFamily="2" charset="0"/>
                </a:rPr>
                <a:t>Borrar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1174078</xdr:colOff>
      <xdr:row>20</xdr:row>
      <xdr:rowOff>65291</xdr:rowOff>
    </xdr:from>
    <xdr:to>
      <xdr:col>3</xdr:col>
      <xdr:colOff>419909</xdr:colOff>
      <xdr:row>33</xdr:row>
      <xdr:rowOff>87585</xdr:rowOff>
    </xdr:to>
    <mc:AlternateContent xmlns:mc="http://schemas.openxmlformats.org/markup-compatibility/2006">
      <mc:Choice xmlns:a14="http://schemas.microsoft.com/office/drawing/2010/main" Requires="a14">
        <xdr:graphicFrame macro="">
          <xdr:nvGraphicFramePr>
            <xdr:cNvPr id="2" name="shipCountry">
              <a:extLst>
                <a:ext uri="{FF2B5EF4-FFF2-40B4-BE49-F238E27FC236}">
                  <a16:creationId xmlns:a16="http://schemas.microsoft.com/office/drawing/2014/main" id="{F96CB957-BF46-6092-84FD-52A042BFA4F7}"/>
                </a:ext>
              </a:extLst>
            </xdr:cNvPr>
            <xdr:cNvGraphicFramePr/>
          </xdr:nvGraphicFramePr>
          <xdr:xfrm>
            <a:off x="0" y="0"/>
            <a:ext cx="0" cy="0"/>
          </xdr:xfrm>
          <a:graphic>
            <a:graphicData uri="http://schemas.microsoft.com/office/drawing/2010/slicer">
              <sle:slicer xmlns:sle="http://schemas.microsoft.com/office/drawing/2010/slicer" name="shipCountry"/>
            </a:graphicData>
          </a:graphic>
        </xdr:graphicFrame>
      </mc:Choice>
      <mc:Fallback>
        <xdr:sp macro="" textlink="">
          <xdr:nvSpPr>
            <xdr:cNvPr id="0" name=""/>
            <xdr:cNvSpPr>
              <a:spLocks noTextEdit="1"/>
            </xdr:cNvSpPr>
          </xdr:nvSpPr>
          <xdr:spPr>
            <a:xfrm>
              <a:off x="2486411" y="4016402"/>
              <a:ext cx="1828165" cy="2590516"/>
            </a:xfrm>
            <a:prstGeom prst="rect">
              <a:avLst/>
            </a:prstGeom>
            <a:solidFill>
              <a:prstClr val="white"/>
            </a:solidFill>
            <a:ln w="1">
              <a:solidFill>
                <a:prstClr val="green"/>
              </a:solidFill>
            </a:ln>
          </xdr:spPr>
          <xdr:txBody>
            <a:bodyPr vertOverflow="clip" horzOverflow="clip"/>
            <a:lstStyle/>
            <a:p>
              <a:r>
                <a:rPr lang="es-MX"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3</xdr:col>
      <xdr:colOff>1311081</xdr:colOff>
      <xdr:row>22</xdr:row>
      <xdr:rowOff>126049</xdr:rowOff>
    </xdr:from>
    <xdr:to>
      <xdr:col>6</xdr:col>
      <xdr:colOff>1142747</xdr:colOff>
      <xdr:row>29</xdr:row>
      <xdr:rowOff>50641</xdr:rowOff>
    </xdr:to>
    <mc:AlternateContent xmlns:mc="http://schemas.openxmlformats.org/markup-compatibility/2006">
      <mc:Choice xmlns:tsle="http://schemas.microsoft.com/office/drawing/2012/timeslicer" Requires="tsle">
        <xdr:graphicFrame macro="">
          <xdr:nvGraphicFramePr>
            <xdr:cNvPr id="3" name="orderDate">
              <a:extLst>
                <a:ext uri="{FF2B5EF4-FFF2-40B4-BE49-F238E27FC236}">
                  <a16:creationId xmlns:a16="http://schemas.microsoft.com/office/drawing/2014/main" id="{1529E1F0-509A-B334-C3DF-B585F1DEB131}"/>
                </a:ext>
              </a:extLst>
            </xdr:cNvPr>
            <xdr:cNvGraphicFramePr/>
          </xdr:nvGraphicFramePr>
          <xdr:xfrm>
            <a:off x="0" y="0"/>
            <a:ext cx="0" cy="0"/>
          </xdr:xfrm>
          <a:graphic>
            <a:graphicData uri="http://schemas.microsoft.com/office/drawing/2012/timeslicer">
              <tsle:timeslicer xmlns:tsle="http://schemas.microsoft.com/office/drawing/2012/timeslicer" name="orderDate"/>
            </a:graphicData>
          </a:graphic>
        </xdr:graphicFrame>
      </mc:Choice>
      <mc:Fallback>
        <xdr:sp macro="" textlink="">
          <xdr:nvSpPr>
            <xdr:cNvPr id="0" name=""/>
            <xdr:cNvSpPr>
              <a:spLocks noTextEdit="1"/>
            </xdr:cNvSpPr>
          </xdr:nvSpPr>
          <xdr:spPr>
            <a:xfrm>
              <a:off x="5205748" y="4472271"/>
              <a:ext cx="3345332" cy="1307481"/>
            </a:xfrm>
            <a:prstGeom prst="rect">
              <a:avLst/>
            </a:prstGeom>
            <a:solidFill>
              <a:prstClr val="white"/>
            </a:solidFill>
            <a:ln w="1">
              <a:solidFill>
                <a:prstClr val="green"/>
              </a:solidFill>
            </a:ln>
          </xdr:spPr>
          <xdr:txBody>
            <a:bodyPr vertOverflow="clip" horzOverflow="clip"/>
            <a:lstStyle/>
            <a:p>
              <a:r>
                <a:rPr lang="es-MX" sz="1100"/>
                <a:t>Línea de tiempo: Funciona en Excel 2013 o superior. No mover ni cambiar el tamaño.</a:t>
              </a:r>
            </a:p>
          </xdr:txBody>
        </xdr:sp>
      </mc:Fallback>
    </mc:AlternateContent>
    <xdr:clientData/>
  </xdr:twoCellAnchor>
  <xdr:twoCellAnchor>
    <xdr:from>
      <xdr:col>3</xdr:col>
      <xdr:colOff>684389</xdr:colOff>
      <xdr:row>38</xdr:row>
      <xdr:rowOff>88900</xdr:rowOff>
    </xdr:from>
    <xdr:to>
      <xdr:col>7</xdr:col>
      <xdr:colOff>430389</xdr:colOff>
      <xdr:row>52</xdr:row>
      <xdr:rowOff>66322</xdr:rowOff>
    </xdr:to>
    <xdr:graphicFrame macro="">
      <xdr:nvGraphicFramePr>
        <xdr:cNvPr id="4" name="Gráfico 3">
          <a:extLst>
            <a:ext uri="{FF2B5EF4-FFF2-40B4-BE49-F238E27FC236}">
              <a16:creationId xmlns:a16="http://schemas.microsoft.com/office/drawing/2014/main" id="{53970555-31DD-9B9C-F9C8-310D3B05B2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92292</xdr:colOff>
      <xdr:row>0</xdr:row>
      <xdr:rowOff>0</xdr:rowOff>
    </xdr:from>
    <xdr:to>
      <xdr:col>33</xdr:col>
      <xdr:colOff>212981</xdr:colOff>
      <xdr:row>27</xdr:row>
      <xdr:rowOff>133152</xdr:rowOff>
    </xdr:to>
    <xdr:graphicFrame macro="">
      <xdr:nvGraphicFramePr>
        <xdr:cNvPr id="2" name="Gráfico 1">
          <a:extLst>
            <a:ext uri="{FF2B5EF4-FFF2-40B4-BE49-F238E27FC236}">
              <a16:creationId xmlns:a16="http://schemas.microsoft.com/office/drawing/2014/main" id="{A491D23E-7A62-98B1-ED72-8A6F9F62EB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0:50.275"/>
    </inkml:context>
    <inkml:brush xml:id="br0">
      <inkml:brushProperty name="width" value="0.035" units="cm"/>
      <inkml:brushProperty name="height" value="0.035" units="cm"/>
      <inkml:brushProperty name="color" value="#E71224"/>
    </inkml:brush>
  </inkml:definitions>
  <inkml:trace contextRef="#ctx0" brushRef="#br0">116 5 24575,'-4'-3'0,"-1"1"0,-5 2 0,-3 1 0,-4 5 0,-2 8 0,2 7 0,3 7 0,4 3 0,6-1 0,2 2 0,2-1 0,0-1 0,0-3 0,1-5 0,6-4 0,6-3 0,10-5 0,8-4 0,4-4 0,-1-3 0,-3-4 0,-5-3 0,-4-4 0,-4-2 0,-3 0 0,-3-2 0,-2-1 0,0-2 0,-3-1 0,0 0 0,-3-1 0,-2 1 0,-1 3 0,-1 1 0,0 0 0,-1 4 0,-4-1 0,-7 2 0,-6 1 0,-5 2 0,-1 4 0,3 3 0,-1 0 0,1 1 0,0 0 0,1 2 0,1 2 0,4 1 0,3 0 0,5-2 0,3-2 0</inkml:trace>
  <inkml:trace contextRef="#ctx0" brushRef="#br0" timeOffset="1440">62 337 24575,'-9'0'0,"-1"5"0,2 6 0,0 8 0,1 7 0,3 3 0,3 2 0,0 0 0,1 0 0,3-1 0,8-3 0,11-2 0,12-1 0,6-4 0,1-2 0,-2-4 0,-6-5 0,-4-4 0,-4-5 0,-3-7 0,-2-7 0,-3-8 0,-4-3 0,-1-2 0,-5-1 0,-3-2 0,-2-3 0,-2 2 0,0 3 0,0 5 0,-1 4 0,-4 4 0,-5 2 0,-6 2 0,-7 3 0,-4 0 0,-6 0 0,-4 2 0,1 2 0,4 2 0,7 2 0,9 0 0,8 0 0,4 0 0</inkml:trace>
  <inkml:trace contextRef="#ctx0" brushRef="#br0" timeOffset="2627">539 58 24575,'15'0'0,"14"0"0,18 0 0,13 0 0,3 0 0,-8 0 0,-14 5 0,-18 8 0,-12 11 0,-8 10 0,-9 7 0,-13 4 0,-8-2 0,-10-2 0,3-10 0,7-7 0,6-7 0,13-8 0,12-4 0,17-3 0,16 1 0,9 5 0,0 7 0,-8 6 0,-10 1 0,-10 0 0,-7 0 0,-6-1 0,-4 3 0,-5 0 0,-8 2 0,-10 0 0,-8-4 0,-6-2 0,-1-4 0,2-4 0,6-3 0,9-3 0,4-4 0,4 0 0,2-2 0,2 0 0,1-2 0,2 0 0,2 0 0,2-1 0</inkml:trace>
  <inkml:trace contextRef="#ctx0" brushRef="#br0" timeOffset="4296">1279 166 24575,'-1'-6'0,"-3"6"0,-2 5 0,0 9 0,-2 8 0,1 7 0,2 6 0,0 5 0,3 2 0,0-3 0,1-8 0,1-9 0,0-7 0,0-4 0,0-1 0,0 0 0,2 2 0,3 3 0,4 1 0,3 1 0,1-3 0,0-3 0,3-1 0,0-1 0,2 0 0,3 0 0,1-1 0,2-2 0,0-2 0,-3-3 0,1-2 0,-1-3 0,-1-5 0,0-7 0,-2-5 0,-3-3 0,-1-2 0,-3 2 0,-2-1 0,-2 0 0,-2 1 0,-1-2 0,-3 3 0,0-1 0,0 0 0,-1-1 0,-3 0 0,-2-1 0,-4 1 0,-4 2 0,-2 2 0,-3 5 0,0 3 0,-1 2 0,1 2 0,-1 1 0,1 1 0,1 2 0,1 2 0,3 1 0,0 1 0,1 0 0,0 1 0,-2 0 0,-2 0 0,-1 1 0,-1 2 0,2 3 0,3 1 0,4 1 0,2-1 0,3-3 0,1-1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0:57.679"/>
    </inkml:context>
    <inkml:brush xml:id="br0">
      <inkml:brushProperty name="width" value="0.035" units="cm"/>
      <inkml:brushProperty name="height" value="0.035" units="cm"/>
      <inkml:brushProperty name="color" value="#E71224"/>
    </inkml:brush>
  </inkml:definitions>
  <inkml:trace contextRef="#ctx0" brushRef="#br0">0 1 24575,'8'0'0,"7"0"0,10 0 0,11 0 0,10 0 0,3 0 0,2 0 0,1 0 0,-5 0 0,-5 0 0,-10 0 0,-10 0 0,-7 0 0,-7 0 0,-3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1:29.108"/>
    </inkml:context>
    <inkml:brush xml:id="br0">
      <inkml:brushProperty name="width" value="0.035" units="cm"/>
      <inkml:brushProperty name="height" value="0.035" units="cm"/>
      <inkml:brushProperty name="color" value="#E71224"/>
    </inkml:brush>
  </inkml:definitions>
  <inkml:trace contextRef="#ctx0" brushRef="#br0">0 105 24575,'0'-6'0,"6"-2"0,9-2 0,5 2 0,8 3 0,-3 3 0,-6 2 0,-2 0 0,-6 0 0,-2 0 0,-2 2 0,-4 5 0,0 3 0,-2 6 0,-1 2 0,0 2 0,-4 1 0,-3-1 0,-3 1 0,-1-3 0,2-4 0,3 0 0,4-2 0,1-2 0,1-1 0,1 0 0,4-1 0,5 1 0,4-1 0,5-2 0,-1-1 0,-1-3 0,0 0 0,-1 0 0,-3-2 0,-1 0 0,-6 0 0,-2 0 0</inkml:trace>
  <inkml:trace contextRef="#ctx0" brushRef="#br0" timeOffset="760">440 120 24575,'0'24'0,"0"2"0,0 5 0,0-3 0,0-7 0,0-6 0,0-5 0,0-3 0,0-3 0,0-1 0</inkml:trace>
  <inkml:trace contextRef="#ctx0" brushRef="#br0" timeOffset="1655">746 53 24575,'-7'0'0,"-4"0"0,-2 0 0,-1 0 0,-1-1 0,6 5 0,4 6 0,2 8 0,5 7 0,4-1 0,6-2 0,4-6 0,2-3 0,-2-4 0,-3-3 0,-2-1 0,-2 0 0,-2 0 0,-2 2 0,-2-1 0,-2 0 0,-1 1 0,0 0 0,-1 4 0,-2 0 0,-5 1 0,-2-1 0,-4-4 0,-3-3 0,0-2 0,0-1 0,3-1 0,5 0 0,1 0 0,5 0 0,-1 0 0</inkml:trace>
  <inkml:trace contextRef="#ctx0" brushRef="#br0" timeOffset="2897">1076 0 24575,'-7'0'0,"-1"0"0,0 0 0,0 0 0,3 0 0,1 1 0,1 5 0,2 6 0,0 4 0,1 1 0,0-4 0,0-5 0,0-2 0,0 1 0,0 2 0,2 1 0,3 3 0,4-1 0,4 0 0,2 2 0,-1-3 0,0 2 0,-1 0 0,-1 1 0,-1 1 0,-1 1 0,-2 0 0,-3 0 0,-3 0 0,-2-1 0,0 0 0,0-3 0,0-1 0,-2-2 0,-3-4 0,-6-2 0,-5-2 0,-4-1 0,-5 0 0,0 0 0,2 0 0,3 0 0,6 0 0,8 0 0,2 0 0</inkml:trace>
  <inkml:trace contextRef="#ctx0" brushRef="#br0" timeOffset="3894">1050 26 24575,'21'0'0,"4"0"0,3 0 0,-1 0 0,-4 0 0,-3 0 0,-2 0 0,-2 0 0,-2 0 0,-3 0 0,-5 0 0,-3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1:39.216"/>
    </inkml:context>
    <inkml:brush xml:id="br0">
      <inkml:brushProperty name="width" value="0.035" units="cm"/>
      <inkml:brushProperty name="height" value="0.035" units="cm"/>
      <inkml:brushProperty name="color" value="#E71224"/>
    </inkml:brush>
  </inkml:definitions>
  <inkml:trace contextRef="#ctx0" brushRef="#br0">0 742 24575,'6'0'0,"5"0"0,4 0 0,5 0 0,3 0 0,1 0 0,2 0 0,0 0 0,-1 0 0,-2 0 0,-3 0 0,-1 0 0,-1 0 0,3 0 0,-1 0 0,1 0 0,-3 0 0,-4 0 0,-3 0 0,-3-1 0,-4-5 0,-1-7 0,-2-6 0,-1-5 0,0-4 0,0-2 0,0-3 0,0-2 0,0 1 0,0 2 0,0-1 0,0 3 0,0 1 0,0 1 0,0 6 0,0 4 0,0 4 0,0 3 0,0 1 0,0 3 0,0 1 0,0-2 0,0-1 0,0-2 0,0-1 0,0 2 0,0 1 0,0 2 0,0 1 0,0 0 0,0-2 0,1-2 0,0-2 0,1 1 0,-1 1 0,-1 2 0,0 1 0,0 1 0,0-1 0,1 0 0,0-1 0,1 2 0,-1 0 0,0 1 0,0 0 0,0 0 0,0 0 0,0-1 0,-1 1 0,0 0 0,0 0 0,0 0 0,0-3 0,0-3 0,1-1 0,1 2 0,-1 4 0,0 4 0,-1 4 0,0-1 0,0 1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1:42.365"/>
    </inkml:context>
    <inkml:brush xml:id="br0">
      <inkml:brushProperty name="width" value="0.035" units="cm"/>
      <inkml:brushProperty name="height" value="0.035" units="cm"/>
      <inkml:brushProperty name="color" value="#E71224"/>
    </inkml:brush>
  </inkml:definitions>
  <inkml:trace contextRef="#ctx0" brushRef="#br0">30 0 24575,'0'11'0,"4"6"0,7 10 0,4 4 0,7 1 0,-1-2 0,0-5 0,-3-5 0,-5-8 0,-5-4 0,-4-6 0,-2-1 0</inkml:trace>
  <inkml:trace contextRef="#ctx0" brushRef="#br0" timeOffset="1706">0 231 24575,'1'-9'0,"5"-1"0,4-3 0,6 0 0,0 3 0,-2 2 0,-2 0 0,-4 2 0,0 1 0,-1-2 0,1 1 0,0-3 0,2-1 0,1-2 0,-1 0 0,-1 1 0,0 1 0,-1 2 0,0 2 0,-3 1 0,-1 2 0,-2 0 0,1 0 0,1 0 0,0-1 0,0 0 0,0 0 0,-2 1 0,0 1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1:50.125"/>
    </inkml:context>
    <inkml:brush xml:id="br0">
      <inkml:brushProperty name="width" value="0.035" units="cm"/>
      <inkml:brushProperty name="height" value="0.035" units="cm"/>
      <inkml:brushProperty name="color" value="#E71224"/>
    </inkml:brush>
  </inkml:definitions>
  <inkml:trace contextRef="#ctx0" brushRef="#br0">108 0 24575,'0'15'0,"0"8"0,0 10 0,0 7 0,0-2 0,0-6 0,0-9 0,0-8 0,0-7 0,0-4 0</inkml:trace>
  <inkml:trace contextRef="#ctx0" brushRef="#br0" timeOffset="1467">0 131 24575,'10'0'0,"3"0"0,9 0 0,4 0 0,2 0 0,-7 0 0,-5 0 0,-7 0 0,-1 0 0,-1 0 0,0 0 0,-1 0 0,1 0 0,0 0 0,1 0 0,-1 0 0,-4 0 0,-1 0 0</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2:26.103"/>
    </inkml:context>
    <inkml:brush xml:id="br0">
      <inkml:brushProperty name="width" value="0.035" units="cm"/>
      <inkml:brushProperty name="height" value="0.035" units="cm"/>
      <inkml:brushProperty name="color" value="#E71224"/>
    </inkml:brush>
  </inkml:definitions>
  <inkml:trace contextRef="#ctx0" brushRef="#br0">269 0 24575,'-14'0'0,"-4"0"0,-10 0 0,-5 0 0,-2 0 0,2 0 0,2 3 0,5 5 0,6 5 0,6 5 0,5 3 0,4 0 0,3 0 0,2 1 0,0-3 0,0-1 0,4-3 0,5-3 0,6-3 0,6-4 0,5-3 0,2-6 0,-1-7 0,-1-3 0,-5-3 0,-5 4 0,-5 3 0,-3 5 0,-5 5 0,-1 7 0,-2 7 0,0 7 0,0 7 0,0 3 0,0 2 0,0-1 0,0-2 0,0 0 0,0-1 0,0-3 0,0-4 0,0-5 0,0-3 0,0-3 0,0-3 0,0-3 0,0-2 0</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2:55.935"/>
    </inkml:context>
    <inkml:brush xml:id="br0">
      <inkml:brushProperty name="width" value="0.035" units="cm"/>
      <inkml:brushProperty name="height" value="0.035" units="cm"/>
      <inkml:brushProperty name="color" value="#E71224"/>
    </inkml:brush>
  </inkml:definitions>
  <inkml:trace contextRef="#ctx0" brushRef="#br0">220 0 24575,'-7'0'0,"-6"0"0,-8 0 0,-6 0 0,-2 0 0,0 0 0,4 2 0,5 4 0,5 4 0,2 5 0,3 1 0,3 2 0,4-2 0,3 1 0,0-2 0,0-3 0,0-2 0,3-2 0,6-1 0,4-4 0,3-1 0,-2-2 0,-3 0 0,-1-2 0,-2-1 0,1-5 0,1-5 0,2-2 0,0 0 0,-1 3 0,-2 3 0,-3 2 0,-3 2 0,-1 0 0,-1 1 0,1 0 0,1 0 0,-1 0 0,1 0 0,-1-1 0,-1 3 0,-1 2 0,1 4 0,0 6 0,2 5 0,1 6 0,0 3 0,-1 1 0,-2 1 0,0 2 0,-1 3 0,0 1 0,0-1 0,0-4 0,0-7 0,0-6 0,0-5 0,0-3 0,0-2 0,0-2 0</inkml:trace>
  <inkml:trace contextRef="#ctx0" brushRef="#br0" timeOffset="1240">453 6 24575,'0'21'0,"0"5"0,0 7 0,0 5 0,0-1 0,0-5 0,0-6 0,0-6 0,0-5 0,0-5 0,0-2 0,0-2 0,0 0 0,0 4 0,0 1 0,0 1 0,0 2 0,0-3 0,0-1 0,0-2 0,0-3 0,0-2 0</inkml:trace>
</inkml:ink>
</file>

<file path=xl/ink/ink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3:15.570"/>
    </inkml:context>
    <inkml:brush xml:id="br0">
      <inkml:brushProperty name="width" value="0.035" units="cm"/>
      <inkml:brushProperty name="height" value="0.035" units="cm"/>
      <inkml:brushProperty name="color" value="#E71224"/>
    </inkml:brush>
  </inkml:definitions>
  <inkml:trace contextRef="#ctx0" brushRef="#br0">8 0 24575,'21'0'0,"3"0"0,4 0 0,0 0 0,-3 0 0,-3 1 0,-6 0 0,-6 3 0,-6 1 0,-3 2 0,0 3 0,-1 2 0,0 3 0,-1 4 0,-4 1 0,-5 1 0,-6-1 0,-4-2 0,0-3 0,1-2 0,5-5 0,4-3 0,4-1 0,3-2 0,2 2 0,2 2 0,6 1 0,8 4 0,7 4 0,4 3 0,-2 0 0,-2-3 0,-5-2 0,-6-3 0,-2-2 0,-4 0 0,-3-2 0,0 1 0,-6 1 0,-3 0 0,-4 1 0,-5-1 0,-2-2 0,-3-3 0,0-2 0,-2 0 0,3 0 0,1 1 0,1-1 0,4 0 0,3-1 0,2 0 0,2 0 0,4 0 0,0 0 0</inkml:trace>
</inkml:ink>
</file>

<file path=xl/ink/ink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3:34.015"/>
    </inkml:context>
    <inkml:brush xml:id="br0">
      <inkml:brushProperty name="width" value="0.035" units="cm"/>
      <inkml:brushProperty name="height" value="0.035" units="cm"/>
      <inkml:brushProperty name="color" value="#E71224"/>
    </inkml:brush>
  </inkml:definitions>
  <inkml:trace contextRef="#ctx0" brushRef="#br0">1 34 24575,'11'0'0,"7"0"0,15 0 0,9 0 0,8 0 0,2 0 0,-5 0 0,-8 0 0,-13 6 0,-13 5 0,-7 9 0,-4 10 0,-4 7 0,-6 9 0,-7 6 0,-4-1 0,1-5 0,5-10 0,4-12 0,4-6 0,1-11 0,3-3 0</inkml:trace>
  <inkml:trace contextRef="#ctx0" brushRef="#br0" timeOffset="668">181 260 24575,'22'0'0,"3"0"0,6 0 0,2 0 0,-5 0 0,-8 0 0,-9 0 0,-7 0 0</inkml:trace>
  <inkml:trace contextRef="#ctx0" brushRef="#br0" timeOffset="1721">584 5 24575,'17'-2'0,"4"0"0,10 2 0,4 0 0,-5 0 0,-2 0 0,-9 0 0,-4 0 0,-5 0 0,-4 4 0,-2 3 0,-3 6 0,0 7 0,-1 12 0,-5 7 0,-6 11 0,-6 7 0,-5-1 0,-1 2 0,4-11 0,5-12 0,5-10 0,5-14 0,2-5 0</inkml:trace>
  <inkml:trace contextRef="#ctx0" brushRef="#br0" timeOffset="2601">548 252 24575,'26'0'0,"6"0"0,7 0 0,-3 0 0,-7 0 0,-10 0 0,-8 0 0,-2 0 0,-2 0 0,-1 0 0,1 0 0,-1 0 0,1 0 0,0 0 0,0 0 0,1 0 0,-4 0 0,-1 0 0</inkml:trace>
</inkml:ink>
</file>

<file path=xl/ink/ink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08.174"/>
    </inkml:context>
    <inkml:brush xml:id="br0">
      <inkml:brushProperty name="width" value="0.035" units="cm"/>
      <inkml:brushProperty name="height" value="0.035" units="cm"/>
      <inkml:brushProperty name="color" value="#E71224"/>
    </inkml:brush>
  </inkml:definitions>
  <inkml:trace contextRef="#ctx0" brushRef="#br0">0 20 24575,'11'0'0,"3"0"0,2 0 0,5 0 0,4 0 0,1 0 0,-2 0 0,-5 2 0,-7 1 0,-5 1 0,-4 3 0,-2 3 0,-3 4 0,-6 2 0,-5 1 0,-4 0 0,0 0 0,5-2 0,2-2 0,5-4 0,2-3 0,2 0 0,0 0 0,1 0 0,0 2 0,0 0 0,0 0 0,1 1 0,2-1 0,5-1 0,5 1 0,3-2 0,3 0 0,0 1 0,-1-1 0,-1 0 0,-2-1 0,-2-1 0,-4-3 0,0-1 0,-2 0 0,1 0 0,-3 1 0,-1-1 0,-2 1 0</inkml:trace>
  <inkml:trace contextRef="#ctx0" brushRef="#br0" timeOffset="1775">657 5 24575,'-5'-3'0,"-2"1"0,-3 2 0,-2 0 0,-2 0 0,-1 0 0,0 0 0,2 0 0,3 0 0,1 1 0,3 2 0,0 4 0,-1 8 0,-1 7 0,0 1 0,1-2 0,3-8 0,0-5 0,1 0 0,0-2 0,1 0 0,4-2 0,4 0 0,4-1 0,3-1 0,2-1 0,1-1 0,1 0 0,4 0 0,-1 0 0,-1-2 0,-2-3 0,-4-1 0,-5 0 0,-3 1 0,-1 0 0,-3 0 0,2-1 0,-2-1 0,1 0 0,0 0 0,0 3 0,-1 5 0,1 10 0,-2 11 0,0 9 0,0 5 0,0 0 0,0-3 0,0-4 0,0-7 0,0-6 0,0-3 0,0-3 0,0-2 0,0 1 0,0-1 0,0 0 0,0 1 0,0-1 0,0 1 0,0-1 0,0-1 0,0-1 0,0-2 0,1 0 0,-1-1 0,1-2 0</inkml:trace>
</inkml:ink>
</file>

<file path=xl/ink/ink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12.229"/>
    </inkml:context>
    <inkml:brush xml:id="br0">
      <inkml:brushProperty name="width" value="0.035" units="cm"/>
      <inkml:brushProperty name="height" value="0.035" units="cm"/>
      <inkml:brushProperty name="color" value="#E71224"/>
    </inkml:brush>
  </inkml:definitions>
  <inkml:trace contextRef="#ctx0" brushRef="#br0">299 0 24575,'-12'0'0,"-5"0"0,-3 0 0,-4 0 0,-1 0 0,-1 0 0,2 0 0,0 2 0,4 3 0,5 3 0,3 7 0,2 2 0,2 5 0,3 5 0,2 4 0,3 6 0,0 3 0,0 0 0,0-4 0,4-7 0,4-7 0,7-5 0,6-6 0,3-5 0,2-4 0,-2-2 0,-2-2 0,-3-3 0,-3-5 0,-2-5 0,-2-2 0,-1-2 0,-1-2 0,-3 0 0,-3-2 0,-2 2 0,-2-1 0,1 1 0,-1 2 0,0 1 0,0 3 0,0 2 0,-1 2 0,-1 3 0,-3 2 0,-2 2 0,-2 1 0,1 2 0,0 1 0,1 0 0,1 0 0,3 0 0,1 0 0</inkml:trace>
  <inkml:trace contextRef="#ctx0" brushRef="#br0" timeOffset="1698">178 438 24575,'-7'-2'0,"-1"0"0,-3 3 0,-3 6 0,-4 6 0,-2 5 0,0 4 0,2-1 0,3 0 0,3 1 0,3 1 0,1 1 0,1 2 0,2-2 0,1-2 0,3-3 0,1-5 0,0-1 0,3-4 0,5 0 0,6 0 0,6 0 0,3 0 0,3 0 0,-1-4 0,-2-1 0,0-3 0,0-1 0,2 0 0,1-2 0,1-5 0,-3-3 0,-4-2 0,-4-1 0,-4 0 0,-2-1 0,0-2 0,-1 2 0,-2-2 0,-3-1 0,-1 0 0,-3-1 0,0-3 0,0 0 0,-1-2 0,0 1 0,-3 1 0,-1 3 0,-1 2 0,0 3 0,1 5 0,0 3 0,-1 3 0,-1-1 0,-4 1 0,-1 0 0,-3-1 0,1 2 0,1-1 0,1 2 0,0 0 0,-1 0 0,0 0 0,0 0 0,1 0 0,4 0 0,4 0 0,1 0 0</inkml:trace>
</inkml:ink>
</file>

<file path=xl/ink/ink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37.919"/>
    </inkml:context>
    <inkml:brush xml:id="br0">
      <inkml:brushProperty name="width" value="0.035" units="cm"/>
      <inkml:brushProperty name="height" value="0.035" units="cm"/>
      <inkml:brushProperty name="color" value="#E71224"/>
    </inkml:brush>
  </inkml:definitions>
  <inkml:trace contextRef="#ctx0" brushRef="#br0">0 0 24575,'12'0'0,"7"0"0,13 0 0,14 0 0,6 0 0,1 0 0,-9 0 0,-13 0 0,-9 0 0,-11 2 0,-4 0 0,-4 3 0,-2 1 0,-1-2 0,0-1 0</inkml:trace>
</inkml:ink>
</file>

<file path=xl/ink/ink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40.842"/>
    </inkml:context>
    <inkml:brush xml:id="br0">
      <inkml:brushProperty name="width" value="0.035" units="cm"/>
      <inkml:brushProperty name="height" value="0.035" units="cm"/>
      <inkml:brushProperty name="color" value="#E71224"/>
    </inkml:brush>
  </inkml:definitions>
  <inkml:trace contextRef="#ctx0" brushRef="#br0">0 0 24575,'34'0'0,"5"0"0,14 0 0,6 0 0,2 0 0,-2 0 0,-11 0 0,-12 0 0,-12 0 0,-14 0 0,-5 0 0,-3 0 0</inkml:trace>
</inkml:ink>
</file>

<file path=xl/ink/ink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45.484"/>
    </inkml:context>
    <inkml:brush xml:id="br0">
      <inkml:brushProperty name="width" value="0.035" units="cm"/>
      <inkml:brushProperty name="height" value="0.035" units="cm"/>
      <inkml:brushProperty name="color" value="#E71224"/>
    </inkml:brush>
  </inkml:definitions>
  <inkml:trace contextRef="#ctx0" brushRef="#br0">1 1 24575,'7'0'0,"5"0"0,8 0 0,5 0 0,3 0 0,-1 0 0,-4 0 0,0 0 0,-2 0 0,-1 0 0,0 0 0,-3 0 0,-4 0 0,-5 0 0,-4 0 0,-2 0 0</inkml:trace>
</inkml:ink>
</file>

<file path=xl/ink/ink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47.801"/>
    </inkml:context>
    <inkml:brush xml:id="br0">
      <inkml:brushProperty name="width" value="0.035" units="cm"/>
      <inkml:brushProperty name="height" value="0.035" units="cm"/>
      <inkml:brushProperty name="color" value="#E71224"/>
    </inkml:brush>
  </inkml:definitions>
  <inkml:trace contextRef="#ctx0" brushRef="#br0">1 1 24575,'15'0'0,"8"0"0,12 0 0,11 0 0,1 0 0,-4 0 0,-7 0 0,-13 0 0,-7 0 0,-8 0 0,-5 0 0</inkml:trace>
</inkml:ink>
</file>

<file path=xl/ink/ink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50.044"/>
    </inkml:context>
    <inkml:brush xml:id="br0">
      <inkml:brushProperty name="width" value="0.035" units="cm"/>
      <inkml:brushProperty name="height" value="0.035" units="cm"/>
      <inkml:brushProperty name="color" value="#E71224"/>
    </inkml:brush>
  </inkml:definitions>
  <inkml:trace contextRef="#ctx0" brushRef="#br0">0 5 24575,'8'0'0,"4"0"0,8 0 0,7 0 0,10 0 0,6 0 0,3 0 0,-1 0 0,-9 0 0,-5 0 0,-11 0 0,-7-2 0,-7 1 0,-4-1 0</inkml:trace>
</inkml:ink>
</file>

<file path=xl/ink/ink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52.685"/>
    </inkml:context>
    <inkml:brush xml:id="br0">
      <inkml:brushProperty name="width" value="0.035" units="cm"/>
      <inkml:brushProperty name="height" value="0.035" units="cm"/>
      <inkml:brushProperty name="color" value="#E71224"/>
    </inkml:brush>
  </inkml:definitions>
  <inkml:trace contextRef="#ctx0" brushRef="#br0">1 0 24575,'10'0'0,"6"0"0,13 0 0,10 0 0,6 0 0,-1 0 0,-11 0 0,-10 0 0,-9 0 0,-8 0 0,-3 0 0</inkml:trace>
</inkml:ink>
</file>

<file path=xl/ink/ink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08-18T23:25:14.384"/>
    </inkml:context>
    <inkml:brush xml:id="br0">
      <inkml:brushProperty name="width" value="0.3" units="cm"/>
      <inkml:brushProperty name="height" value="0.6" units="cm"/>
      <inkml:brushProperty name="color" value="#FFFC00"/>
      <inkml:brushProperty name="tip" value="rectangle"/>
      <inkml:brushProperty name="rasterOp" value="maskPen"/>
    </inkml:brush>
  </inkml:definitions>
  <inkml:trace contextRef="#ctx0" brushRef="#br0">1 1,'41'0,"-7"0,-21 0,-2 0</inkml:trace>
</inkml:ink>
</file>

<file path=xl/ink/ink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08-18T23:25:16.025"/>
    </inkml:context>
    <inkml:brush xml:id="br0">
      <inkml:brushProperty name="width" value="0.3" units="cm"/>
      <inkml:brushProperty name="height" value="0.6" units="cm"/>
      <inkml:brushProperty name="color" value="#FFFC00"/>
      <inkml:brushProperty name="tip" value="rectangle"/>
      <inkml:brushProperty name="rasterOp" value="maskPen"/>
    </inkml:brush>
  </inkml:definitions>
  <inkml:trace contextRef="#ctx0" brushRef="#br0">1 1,'60'0,"-10"0,-33 0,-9 0,-4 0</inkml:trace>
</inkml:ink>
</file>

<file path=xl/ink/ink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08-18T23:25:17.868"/>
    </inkml:context>
    <inkml:brush xml:id="br0">
      <inkml:brushProperty name="width" value="0.3" units="cm"/>
      <inkml:brushProperty name="height" value="0.6" units="cm"/>
      <inkml:brushProperty name="color" value="#FFFC00"/>
      <inkml:brushProperty name="tip" value="rectangle"/>
      <inkml:brushProperty name="rasterOp" value="maskPen"/>
    </inkml:brush>
  </inkml:definitions>
  <inkml:trace contextRef="#ctx0" brushRef="#br0">1 0,'44'0,"-9"0,-25 0,-2 0,1 0</inkml:trace>
</inkml:ink>
</file>

<file path=xl/ink/ink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08-18T23:25:19.655"/>
    </inkml:context>
    <inkml:brush xml:id="br0">
      <inkml:brushProperty name="width" value="0.3" units="cm"/>
      <inkml:brushProperty name="height" value="0.6" units="cm"/>
      <inkml:brushProperty name="color" value="#FFFC00"/>
      <inkml:brushProperty name="tip" value="rectangle"/>
      <inkml:brushProperty name="rasterOp" value="maskPen"/>
    </inkml:brush>
  </inkml:definitions>
  <inkml:trace contextRef="#ctx0" brushRef="#br0">0 1,'55'0,"-8"0,-27 0,-5 0,-2 0</inkml:trace>
</inkml:ink>
</file>

<file path=xl/ink/ink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08-18T23:25:21.521"/>
    </inkml:context>
    <inkml:brush xml:id="br0">
      <inkml:brushProperty name="width" value="0.3" units="cm"/>
      <inkml:brushProperty name="height" value="0.6" units="cm"/>
      <inkml:brushProperty name="color" value="#FFFC00"/>
      <inkml:brushProperty name="tip" value="rectangle"/>
      <inkml:brushProperty name="rasterOp" value="maskPen"/>
    </inkml:brush>
  </inkml:definitions>
  <inkml:trace contextRef="#ctx0" brushRef="#br0">1 0,'37'0,"-7"0</inkml:trace>
</inkml:ink>
</file>

<file path=xl/ink/ink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08-18T23:25:23.615"/>
    </inkml:context>
    <inkml:brush xml:id="br0">
      <inkml:brushProperty name="width" value="0.3" units="cm"/>
      <inkml:brushProperty name="height" value="0.6" units="cm"/>
      <inkml:brushProperty name="color" value="#FFFC00"/>
      <inkml:brushProperty name="tip" value="rectangle"/>
      <inkml:brushProperty name="rasterOp" value="maskPen"/>
    </inkml:brush>
  </inkml:definitions>
  <inkml:trace contextRef="#ctx0" brushRef="#br0">0 0,'57'0,"-8"0,-32 0,-7 0,-5 0</inkml:trace>
</inkml:ink>
</file>

<file path=xl/ink/ink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08-18T23:25:25.601"/>
    </inkml:context>
    <inkml:brush xml:id="br0">
      <inkml:brushProperty name="width" value="0.3" units="cm"/>
      <inkml:brushProperty name="height" value="0.6" units="cm"/>
      <inkml:brushProperty name="color" value="#FFFC00"/>
      <inkml:brushProperty name="tip" value="rectangle"/>
      <inkml:brushProperty name="rasterOp" value="maskPen"/>
    </inkml:brush>
  </inkml:definitions>
  <inkml:trace contextRef="#ctx0" brushRef="#br0">1 0,'44'0,"-8"0,-24 0,-4 0,-2 0</inkml:trace>
</inkml:ink>
</file>

<file path=xl/ink/ink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5:34.898"/>
    </inkml:context>
    <inkml:brush xml:id="br0">
      <inkml:brushProperty name="width" value="0.035" units="cm"/>
      <inkml:brushProperty name="height" value="0.035" units="cm"/>
      <inkml:brushProperty name="color" value="#E71224"/>
    </inkml:brush>
  </inkml:definitions>
  <inkml:trace contextRef="#ctx0" brushRef="#br0">85 145 24575,'-7'-3'0,"-2"1"0,-2 2 0,-1 9 0,-2 7 0,1 12 0,3 5 0,4 4 0,4 0 0,2-2 0,0-6 0,4-5 0,10-5 0,11-4 0,10-4 0,2-5 0,-5-3 0,-4-3 0,-4 0 0,-1 0 0,2-1 0,1-3 0,0-4 0,-3-5 0,-4-6 0,-4-5 0,-4-2 0,-2-4 0,-4 0 0,-2-1 0,-2-1 0,-1 4 0,-2 2 0,-3 3 0,-5 5 0,-3 6 0,-2 4 0,-1 4 0,-5 2 0,-6 1 0,-7 1 0,-5 0 0,-2 2 0,2 2 0,5 4 0,8 4 0,9 0 0,8-5 0,6-2 0</inkml:trace>
  <inkml:trace contextRef="#ctx0" brushRef="#br0" timeOffset="1363">531 331 24575,'3'5'0,"-1"1"0,-2 3 0,0 2 0,0 2 0,0 2 0,0 0 0,0 1 0,0-1 0,0 1 0,0-1 0,1-1 0,1-3 0,0-1 0,1-5 0,-2-5 0,2-9 0,0-11 0,1-4 0,2-4 0,3 1 0,2 3 0,2 4 0,-1 6 0,-1 4 0,0 4 0,-1 2 0,0 3 0,-3 1 0,1-1 0,2-1 0,4-2 0,2-3 0,1 1 0,-8 1 0,-2 3 0</inkml:trace>
  <inkml:trace contextRef="#ctx0" brushRef="#br0" timeOffset="2603">1180 1 24575,'0'15'0,"0"9"0,0 15 0,0 9 0,0 2 0,0-3 0,0-9 0,0-14 0,0-9 0,0-7 0,0-1 0,0 3 0,0 7 0,0 3 0,0 4 0,0 0 0,0-3 0,0-4 0,-1-5 0,-4-11 0,-9-9 0,-6-6 0,-6-3 0,-1 2 0,1 3 0,2 3 0,2 6 0,2 1 0,2 6 0,2 10 0,1 13 0,4 10 0,3 3 0,5-5 0,2-6 0,1-7 0,2-6 0,3-4 0,5-4 0,7-4 0,6-2 0,1-3 0,0-3 0,-5-3 0,-5 0 0,-8 2 0,-2 3 0</inkml:trace>
  <inkml:trace contextRef="#ctx0" brushRef="#br0" timeOffset="3483">1352 566 24575,'9'0'0,"9"-2"0,7-2 0,5-7 0,-3-5 0,-8-6 0,-8-3 0,-5-3 0,-4-2 0,-1 0 0,-1 3 0,0 6 0,-1 6 0,-4 6 0,-6 5 0,-9 8 0,-3 14 0,-4 14 0,3 14 0,6 5 0,5 4 0,7-4 0,5-5 0,8-5 0,13-10 0,15-7 0,15-8 0,2-7 0,-5-5 0,-9-3 0,-12-2 0,-8-1 0,-11 0 0,-4 0 0</inkml:trace>
  <inkml:trace contextRef="#ctx0" brushRef="#br0" timeOffset="4564">1857 483 24575,'0'5'0,"0"0"0,0 1 0,0-1 0,0 3 0,3 4 0,6 6 0,6 6 0,5 5 0,0 3 0,-3-1 0,-5-5 0,-3-6 0,-3-6 0,-4-6 0,1-7 0,-4-8 0,-1-9 0,-3-10 0,0-7 0,2-4 0,2-1 0,1 1 0,0 7 0,0 4 0,1 7 0,3 5 0,4 3 0,7 4 0,6 2 0,11 2 0,9 1 0,5 1 0,1 1 0,-8 0 0,-11 0 0,-8 0 0,-12 0 0,-3 0 0</inkml:trace>
</inkml:ink>
</file>

<file path=xl/ink/ink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5:44.144"/>
    </inkml:context>
    <inkml:brush xml:id="br0">
      <inkml:brushProperty name="width" value="0.035" units="cm"/>
      <inkml:brushProperty name="height" value="0.035" units="cm"/>
      <inkml:brushProperty name="color" value="#E71224"/>
    </inkml:brush>
  </inkml:definitions>
  <inkml:trace contextRef="#ctx0" brushRef="#br0">1 182 24575,'13'0'0,"15"0"0,21 0 0,13 0 0,9 0 0,-5 0 0,-9 0 0,-12 0 0,-16 0 0,-14-2 0,-8-1 0,-5 0 0,-2 0 0</inkml:trace>
  <inkml:trace contextRef="#ctx0" brushRef="#br0" timeOffset="2893">1022 5 24575,'-6'-3'0,"-8"1"0,-7 2 0,-6 0 0,-4 0 0,2 1 0,0 4 0,3 8 0,3 8 0,5 7 0,4 2 0,6 1 0,5-2 0,1-2 0,2 0 0,0-3 0,7 0 0,9 2 0,10-2 0,10-1 0,4-5 0,0-5 0,-1-2 0,-7-4 0,-9-2 0,-7-4 0,-5-1 0,-5 1 0,-1 0 0,-3 0 0</inkml:trace>
  <inkml:trace contextRef="#ctx0" brushRef="#br0" timeOffset="3828">1326 261 24575,'0'9'0,"0"6"0,0 23 0,0 5 0,9 0 0,10-5 0,15-10 0,9-11 0,2-8 0,5-10 0,-3-15 0,-5-15 0,-9-21 0,-10-14 0,-7 4 0,-5 5 0,-5 16 0,-4 12 0,-2 14 0,0 7 0</inkml:trace>
  <inkml:trace contextRef="#ctx0" brushRef="#br0" timeOffset="4575">2110 135 24575,'-21'-3'0,"1"1"0,-4 1 0,4 1 0,4-1 0,4 5 0,7 7 0,3 6 0,1 7 0,4 2 0,8-1 0,16 0 0,11-2 0,4 0 0,-2 0 0,-12-1 0,-9 0 0,-9-1 0,-6 1 0,-5 1 0,-5 2 0,-7-2 0,-9 0 0,-5-5 0,1-4 0,1-3 0,4-4 0,0-3 0,2-2 0,1-5 0,-1-5 0,9 3 0,2-2 0</inkml:trace>
  <inkml:trace contextRef="#ctx0" brushRef="#br0" timeOffset="5094">2480 29 24575,'-2'-4'0,"0"26"0,1 13 0,1 30 0,0 7 0,0 4 0,0-8 0,0-8 0,0-18 0,0-15 0,0-14 0,0-8 0</inkml:trace>
  <inkml:trace contextRef="#ctx0" brushRef="#br0" timeOffset="5428">2330 272 24575,'21'0'0,"7"0"0,12 0 0,2 0 0,-5 0 0,-10 0 0,-15 0 0,-6 0 0</inkml:trace>
  <inkml:trace contextRef="#ctx0" brushRef="#br0" timeOffset="6442">2778 272 24575,'-1'11'0,"-1"5"0,1 11 0,0 7 0,1 5 0,10 0 0,8-7 0,11-10 0,13-10 0,2-11 0,0-14 0,-4-17 0,-6-15 0,-3-7 0,-7 2 0,-9 10 0,-9 6 0,-5 7 0,-8 5 0,-10 6 0,-11 5 0,-10 5 0,-2 3 0,-3 10 0,2 10 0,2 8 0,2 8 0,8-4 0,9-5 0,9-11 0,7-7 0</inkml:trace>
  <inkml:trace contextRef="#ctx0" brushRef="#br0" timeOffset="7881">3279 206 24575,'0'14'0,"2"8"0,1 13 0,3 6 0,0-2 0,-1-7 0,-1-10 0,-2-13 0,1-17 0,5-22 0,7-20 0,5-14 0,4 2 0,-2 12 0,-2 19 0,0 17 0,0 13 0,1 14 0,-4 9 0,-3 8 0,-3-1 0,-4-7 0,-3-8 0,0-7 0,0-4 0,9-6 0,10-8 0,9-10 0,2-4 0,-5 3 0,-7 8 0,-7 9 0,-4 3 0,-2 6 0,-2 9 0,0 8 0,-1 8 0,-1 4 0,-2 0 0,-1-3 0,-2-1 0,0-3 0,-1-4 0,1-8 0,-2-7 0</inkml:trace>
  <inkml:trace contextRef="#ctx0" brushRef="#br0" timeOffset="8909">3848 334 20011,'5'-5'0,"-1"2"2138,5 1-2138,3 2 775,10 0-775,7 0 400,2 0-400,-1-2 1251,-6-2-1251,-4-4 0,-7-4 0,-4-3 0,-5-2 0,-1-1 0,-2 2 0,-2 1 0,-4 2 0,-7 3 0,-8 2 0,-5 3 0,0 4 0,0 0 0,5 1 0,2 1 0,3 3 0,4 7 0,2 9 0,4 9 0,3 8 0,1 5 0,6 0 0,7-3 0,7-4 0,8-9 0,3-6 0,-1-7 0,-2-6 0,-3-4 0,-4-3 0,-9 0 0,-4-1 0</inkml:trace>
  <inkml:trace contextRef="#ctx0" brushRef="#br0" timeOffset="9869">4257 277 24575,'10'7'0,"5"11"0,7 13 0,1 8 0,-4 3 0,-5-2 0,-7-7 0,-4-11 0,-2-14 0,-1-15 0,0-15 0,0-11 0,0-10 0,3-6 0,5-1 0,5 6 0,2 5 0,1 11 0,0 10 0,2 8 0,7 5 0,5 3 0,2 2 0,0 2 0,-4 1 0,-7 1 0,-5 0 0,-6-1 0,-5 2 0,-4 2 0,-1-3 0,0 1 0</inkml:trace>
</inkml:ink>
</file>

<file path=xl/ink/ink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5:58.855"/>
    </inkml:context>
    <inkml:brush xml:id="br0">
      <inkml:brushProperty name="width" value="0.035" units="cm"/>
      <inkml:brushProperty name="height" value="0.035" units="cm"/>
      <inkml:brushProperty name="color" value="#E71224"/>
    </inkml:brush>
  </inkml:definitions>
  <inkml:trace contextRef="#ctx0" brushRef="#br0">1 293 24575,'6'3'0,"9"-1"0,14-2 0,12 0 0,7 0 0,1 0 0,-6 0 0,-8 0 0,-7 0 0,-10 0 0,-9 0 0,-5 0 0</inkml:trace>
  <inkml:trace contextRef="#ctx0" brushRef="#br0" timeOffset="1187">654 150 24575,'14'0'0,"10"0"0,11 0 0,12 0 0,1 0 0,-6 0 0,-7-1 0,-12-2 0,-10-3 0,-6-3 0,-5-5 0,-2-3 0,-1-4 0,-4-1 0,-6 1 0,-6 4 0,-6 5 0,-8 7 0,-8 3 0,-5 5 0,-2 10 0,4 10 0,6 12 0,10 6 0,10-1 0,9 2 0,5-2 0,4-1 0,7-4 0,10-5 0,11-5 0,10-7 0,5-4 0,4-7 0,0-5 0,-5-7 0,-11-3 0,-9-1 0,-9 0 0,-7 5 0,-3 1 0</inkml:trace>
</inkml:ink>
</file>

<file path=xl/ink/ink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04.617"/>
    </inkml:context>
    <inkml:brush xml:id="br0">
      <inkml:brushProperty name="width" value="0.035" units="cm"/>
      <inkml:brushProperty name="height" value="0.035" units="cm"/>
      <inkml:brushProperty name="color" value="#E71224"/>
    </inkml:brush>
  </inkml:definitions>
  <inkml:trace contextRef="#ctx0" brushRef="#br0">2 220 24575,'-2'6'0,"4"14"0,5 15 0,1 15 0,-2 5 0,-1-4 0,-2-6 0,1-18 0,4-16 0,6-20 0,6-13 0,2-5 0,-1 3 0,-3 9 0,-2 6 0,-4 7 0,-2 2 0,-1 0 0,-1 2 0,1 3 0,-1 1 0,5 0 0,7-2 0,9-9 0,6-9 0,5-6 0,-2-2 0,-3 7 0,-3 7 0,-5 6 0,-4 3 0,-3 5 0,-3 2 0,-3 3 0,1-1 0,0-1 0,2-1 0,2 0 0,-2-1 0,-2 1 0,-3 4 0,-6 2 0,-2-5 0,-4 0 0</inkml:trace>
  <inkml:trace contextRef="#ctx0" brushRef="#br0" timeOffset="1214">827 385 10783,'6'16'0,"1"3"5016,3 12-5016,1 13 2399,1 17-2399,-3 5 1379,-5 4-1379,-2-8 4998,-2-13-4998,0-9 0,-1-18 0,-1-19 0,-4-23 0,-1-27 0,1-21 0,2-14 0,4-4 0,1 7 0,3 13 0,2 19 0,4 18 0,2 10 0,3 9 0,5 6 0,2 2 0,4 2 0,2 1 0,-2 3 0,0 5 0,-6 6 0,-4 3 0,-5 0 0,-4 1 0,-4-1 0,-1 1 0,-5-1 0,-6 0 0,-9-3 0,-9-1 0,-4-4 0,-1-3 0,1-1 0,5-3 0,3-1 0,8-2 0,4 0 0,6 0 0,2 0 0</inkml:trace>
  <inkml:trace contextRef="#ctx0" brushRef="#br0" timeOffset="1866">1410 0 24575,'0'49'0,"0"9"0,0 15 0,0 5 0,0-2 0,0-9 0,0-9 0,0-17 0,0-13 0,0-11 0,0-9 0,0-4 0</inkml:trace>
  <inkml:trace contextRef="#ctx0" brushRef="#br0" timeOffset="2654">1808 424 24575,'-4'-3'0,"-1"1"0,0 7 0,1 10 0,2 14 0,2 12 0,0 6 0,1-2 0,10-10 0,21-12 0,24-13 0,16-17 0,2-20 0,-10-16 0,-16-10 0,-15 3 0,-18 9 0,-12 6 0,-14 8 0,-12 7 0,-9 7 0,-6 6 0,2 4 0,2 2 0,2 7 0,2 6 0,3 6 0,6 0 0,6-3 0,5-4 0,6-7 0,1 0 0</inkml:trace>
  <inkml:trace contextRef="#ctx0" brushRef="#br0" timeOffset="3724">2334 381 24575,'0'7'0,"0"5"0,0 9 0,3 9 0,3 4 0,4-3 0,4-9 0,4-9 0,1-6 0,3-5 0,-1-7 0,-3-7 0,-3-10 0,-5-6 0,-4-1 0,-2 5 0,-2 7 0,-1 8 0,2 12 0,5 16 0,4 17 0,3 16 0,0 10 0,-2 7 0,-3 6 0,-5 2 0,-8-3 0,-10-2 0,-13-6 0,-11-9 0,-7-7 0,-1-12 0,1-14 0,5-12 0,9-8 0,7-7 0,9-6 0,5-3 0,4-4 0,3 2 0,1 3 0,0-1 0,1 7 0,0 0 0</inkml:trace>
  <inkml:trace contextRef="#ctx0" brushRef="#br0" timeOffset="4936">2684 416 24575,'12'0'0,"8"0"0,8 0 0,12 0 0,3 0 0,-2-1 0,-7-1 0,-11-1 0,-10-1 0,-7 1 0,-8-2 0,-6 0 0,-8-4 0,-4 0 0,-4 0 0,1 1 0,3 4 0,4 0 0,3 2 0,3 5 0,4 7 0,2 10 0,3 9 0,1 2 0,0-1 0,1-7 0,3-5 0,3-5 0,4-5 0,2-2 0,2-1 0,2-2 0,0 0 0,3-2 0,2-1 0,-1-2 0,-2-1 0,-9 0 0,-5 1 0</inkml:trace>
  <inkml:trace contextRef="#ctx0" brushRef="#br0" timeOffset="5949">3198 475 24575,'10'0'0,"12"-3"0,12-7 0,11-7 0,5-4 0,-7 1 0,-9 6 0,-15 6 0,-9 2 0,-5 2 0,-4-3 0,0-3 0,-1-2 0,-6-1 0,-6 2 0,-7 0 0,-10 4 0,-2 3 0,-4 3 0,1 9 0,4 9 0,5 11 0,6 12 0,8 5 0,5 4 0,4 0 0,4-5 0,7-10 0,10-7 0,10-10 0,8-7 0,7-4 0,0-5 0,2-1 0,-6 0 0,-9-2 0,-8-2 0,-9 0 0,-7 1 0,-4 2 0</inkml:trace>
</inkml:ink>
</file>

<file path=xl/ink/ink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13.379"/>
    </inkml:context>
    <inkml:brush xml:id="br0">
      <inkml:brushProperty name="width" value="0.035" units="cm"/>
      <inkml:brushProperty name="height" value="0.035" units="cm"/>
      <inkml:brushProperty name="color" value="#E71224"/>
    </inkml:brush>
  </inkml:definitions>
  <inkml:trace contextRef="#ctx0" brushRef="#br0">1 0 24575,'32'0'0,"14"0"0,17 0 0,6 0 0,-2 0 0,-14 0 0,-15 0 0,-13 0 0,-17 0 0,-3 0 0</inkml:trace>
</inkml:ink>
</file>

<file path=xl/ink/ink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14.329"/>
    </inkml:context>
    <inkml:brush xml:id="br0">
      <inkml:brushProperty name="width" value="0.035" units="cm"/>
      <inkml:brushProperty name="height" value="0.035" units="cm"/>
      <inkml:brushProperty name="color" value="#E71224"/>
    </inkml:brush>
  </inkml:definitions>
  <inkml:trace contextRef="#ctx0" brushRef="#br0">246 7 24575,'-22'-3'0,"5"1"0,-5 1 0,1 1 0,-1 0 0,-2 0 0,0 2 0,0 8 0,5 7 0,6 7 0,7 3 0,7 0 0,7-3 0,14-4 0,11-2 0,6-3 0,-2 3 0,-8 2 0,-7-1 0,-4 4 0,-6 0 0,-2 2 0,-2 2 0,-2-3 0,-3 0 0,-2-4 0,-4-2 0,-7-1 0,-8-7 0,-11-2 0,-9-5 0,-2-3 0,-2-5 0,5-5 0,8-2 0,9 1 0,10 6 0,6 3 0</inkml:trace>
</inkml:ink>
</file>

<file path=xl/ink/ink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15.342"/>
    </inkml:context>
    <inkml:brush xml:id="br0">
      <inkml:brushProperty name="width" value="0.035" units="cm"/>
      <inkml:brushProperty name="height" value="0.035" units="cm"/>
      <inkml:brushProperty name="color" value="#E71224"/>
    </inkml:brush>
  </inkml:definitions>
  <inkml:trace contextRef="#ctx0" brushRef="#br0">5 0 24575,'-3'18'0,"1"17"0,2 31 0,0 30 0,0-37 0,0 1 0,0 2 0,0 0 0,0-5 0,0-2 0,0 37 0,0-28 0,0-23 0,0-21 0,1-18 0,6-14 0,8-12 0,6-10 0,5-2 0,-3 6 0,-3 8 0,0 11 0,0 6 0,3 6 0,0 9 0,-2 11 0,-1 11 0,-3 5 0,-3 0 0,-4-5 0,-3-8 0,-2-5 0,-3-4 0,0-4 0,0-1 0,-1 0 0,1-6 0,-2 1 0</inkml:trace>
</inkml:ink>
</file>

<file path=xl/ink/ink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15.982"/>
    </inkml:context>
    <inkml:brush xml:id="br0">
      <inkml:brushProperty name="width" value="0.035" units="cm"/>
      <inkml:brushProperty name="height" value="0.035" units="cm"/>
      <inkml:brushProperty name="color" value="#E71224"/>
    </inkml:brush>
  </inkml:definitions>
  <inkml:trace contextRef="#ctx0" brushRef="#br0">0 165 24575,'3'29'0,"-1"-1"0,-1 5 0,-1-4 0,0-4 0,0-7 0,0-10 0,0-18 0,0-23 0,0 12 0,0-6 0</inkml:trace>
  <inkml:trace contextRef="#ctx0" brushRef="#br0" timeOffset="267">6 0 24575,'0'0'0</inkml:trace>
  <inkml:trace contextRef="#ctx0" brushRef="#br0" timeOffset="1412">280 182 24575,'0'12'0,"0"5"0,1 13 0,1 12 0,-1 17 0,3 8 0,-2 4 0,0 0 0,0-6 0,-2-11 0,0-11 0,0-20 0,0-22 0,0-25 0,0-27 0,0-19 0,0-13 0,3 5 0,2 8 0,4 14 0,1 19 0,0 11 0,-1 9 0,2 3 0,3 2 0,0 1 0,2 2 0,-2 3 0,-2 3 0,-2 2 0,0 1 0,1 2 0,1 6 0,0 4 0,-2 3 0,-1 1 0,-2-1 0,-3-1 0,-2 1 0,-2 2 0,-3 0 0,-4 0 0,-5-2 0,-8-2 0,-5-4 0,-2-2 0,-2-4 0,3-2 0,6-1 0,3 0 0,7-3 0,5 2 0,2-2 0</inkml:trace>
  <inkml:trace contextRef="#ctx0" brushRef="#br0" timeOffset="2870">765 179 24575,'3'89'0,"-1"-3"0,-2-26 0,0 1 0,0-5 0,0-11 0,0-15 0,0-15 0,-1-12 0,0-10 0,-5-11 0,-4-16 0,-2-14 0,-1-10 0,2-9 0,5 1 0,3 1 0,2 7 0,1 13 0,0 10 0,1 12 0,2 8 0,5 6 0,5 5 0,7 1 0,5 1 0,1 0 0,1 1 0,-2 1 0,-5 0 0,-4 0 0,-3 0 0,-3 3 0,-3 5 0,-3 5 0,-1 3 0,-3 1 0,0 0 0,-1 0 0,-2 2 0,-6 1 0,-4 1 0,-4-2 0,-3-2 0,-1-3 0,-1-3 0,0-1 0,3-4 0,4-3 0,8-1 0,2-2 0</inkml:trace>
  <inkml:trace contextRef="#ctx0" brushRef="#br0" timeOffset="3947">1106 173 24575,'16'0'0,"10"0"0,13 0 0,7-4 0,-5-2 0,-8-1 0,-11 0 0,-10 1 0,-7 1 0,-5 0 0,-5-2 0,-3 1 0,-7-3 0,-8 3 0,-6 2 0,-5 2 0,0 2 0,5 0 0,4 2 0,6 2 0,7 4 0,3 5 0,6 4 0,1 6 0,2 3 0,0 1 0,3-1 0,4-3 0,4-4 0,8-3 0,5-2 0,3-3 0,1-2 0,-2-3 0,-6-3 0,-6-3 0,-7 0 0,-3 0 0</inkml:trace>
  <inkml:trace contextRef="#ctx0" brushRef="#br0" timeOffset="5098">1547 180 24575,'7'0'0,"3"0"0,4 2 0,5 10 0,4 10 0,3 13 0,-4 3 0,-4-5 0,-8-8 0,-7-11 0,-1-6 0,-2-13 0,0-16 0,0-17 0,-1-13 0,-1-4 0,0 8 0,0 8 0,2 11 0,2 8 0,7 4 0,9 5 0,9 2 0,8 2 0,2 2 0,0 3 0,-3 2 0,-4 0 0,-4-1 0,-6 1 0,-4 1 0,-4 0 0,-4 2 0,-4 0 0,-3 1 0,-1-1 0,0-1 0</inkml:trace>
</inkml:ink>
</file>

<file path=xl/ink/ink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32.934"/>
    </inkml:context>
    <inkml:brush xml:id="br0">
      <inkml:brushProperty name="width" value="0.035" units="cm"/>
      <inkml:brushProperty name="height" value="0.035" units="cm"/>
      <inkml:brushProperty name="color" value="#E71224"/>
    </inkml:brush>
  </inkml:definitions>
  <inkml:trace contextRef="#ctx0" brushRef="#br0">44 81 24575,'0'-8'0,"0"-5"0,0-4 0,0-2 0,0 3 0,0 8 0,0 11 0,0 16 0,0 10 0,0 7 0,0 3 0,-2 0 0,-3-4 0,-4-4 0,-2-7 0,2-6 0,2-5 0,6-5 0,10-4 0,9-1 0,9-4 0,0-2 0,-4 0 0,-6-1 0,-10 3 0,-2 0 0</inkml:trace>
  <inkml:trace contextRef="#ctx0" brushRef="#br0" timeOffset="2108">4875 193 24575,'2'-12'0,"2"-4"0,1-3 0,-1-4 0,-2 1 0,-1 1 0,-1 6 0,0 5 0,0 9 0,0 10 0,0 12 0,0 9 0,0 9 0,-2 3 0,-1 0 0,-4-3 0,0-7 0,-1-8 0,3-8 0,1-5 0,0-5 0,-1-3 0,-3-2 0,-3-1 0,-2 0 0,0 0 0,2 0 0,1 0 0,6 1 0,9 0 0,12 2 0,12 2 0,6-1 0,-1 0 0,-4-1 0,-7-2 0,-6 1 0,-6-2 0,-5 0 0,-2 0 0</inkml:trace>
</inkml:ink>
</file>

<file path=xl/ink/ink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38.977"/>
    </inkml:context>
    <inkml:brush xml:id="br0">
      <inkml:brushProperty name="width" value="0.035" units="cm"/>
      <inkml:brushProperty name="height" value="0.035" units="cm"/>
      <inkml:brushProperty name="color" value="#E71224"/>
    </inkml:brush>
  </inkml:definitions>
  <inkml:trace contextRef="#ctx0" brushRef="#br0">53 44 24575,'3'-8'0,"1"-1"0,0 1 0,-1 0 0,-2 1 0,-1 4 0,1 13 0,-1 8 0,1 15 0,1 1 0,0 0 0,-1-3 0,0-7 0,-1-8 0,0-4 0,0-3 0,0-2 0,0-2 0,-1 0 0,-2-2 0,-3 1 0,-3 0 0,-3 0 0,0-1 0,1-2 0,1-1 0,3 0 0,3 1 0,5 1 0,10 3 0,11 2 0,7 1 0,3-1 0,-3-3 0,-7-2 0,-6-2 0,-5 0 0,-2 0 0,-2 2 0,0 2 0,-1 0 0,0-1 0,-1-1 0,-1-2 0,0 0 0,-1 0 0,-1 0 0</inkml:trace>
</inkml:ink>
</file>

<file path=xl/ink/ink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44.591"/>
    </inkml:context>
    <inkml:brush xml:id="br0">
      <inkml:brushProperty name="width" value="0.035" units="cm"/>
      <inkml:brushProperty name="height" value="0.035" units="cm"/>
      <inkml:brushProperty name="color" value="#E71224"/>
    </inkml:brush>
  </inkml:definitions>
  <inkml:trace contextRef="#ctx0" brushRef="#br0">48 1 24575,'0'22'0,"0"17"0,0 28 0,0 32 0,0-35 0,0 3 0,0 11 0,0 2-462,0 6 0,0 3 462,-1 1 0,-1 1 0,0-3 0,-1-2 0,0-5 0,-1-3 0,0-4 0,1-2 0,0-6 0,0-1 113,1-4 1,-1-2-114,0-1 0,1-1 0,-1-4 0,1-1 0,-2 48 0,3-2 0,1-11 697,0-8-697,0-12 0,0-10 0,0-3 0,0-4 0,0-4 0,0-4 0,0-8 0,0-9 0,0-7 0,0-6 0,0-5 0,0-4 0</inkml:trace>
</inkml:ink>
</file>

<file path=xl/ink/ink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55.302"/>
    </inkml:context>
    <inkml:brush xml:id="br0">
      <inkml:brushProperty name="width" value="0.035" units="cm"/>
      <inkml:brushProperty name="height" value="0.035" units="cm"/>
      <inkml:brushProperty name="color" value="#E71224"/>
    </inkml:brush>
  </inkml:definitions>
  <inkml:trace contextRef="#ctx0" brushRef="#br0">69 1 24575,'0'12'0,"0"10"0,0 15 0,0 5 0,0 0 0,0-6 0,0-9 0,0-7 0,0-8 0,0-8 0,0-1 0</inkml:trace>
  <inkml:trace contextRef="#ctx0" brushRef="#br0" timeOffset="735">10 184 24575,'9'0'0,"7"0"0,14 0 0,5 0 0,5 0 0,-2 0 0,-8 0 0,-2 0 0,-8 0 0,-4 0 0,-2 0 0,-3 0 0,-4 0 0,-4 0 0,-3 0 0</inkml:trace>
  <inkml:trace contextRef="#ctx0" brushRef="#br0" timeOffset="1696">227 115 24575,'-14'11'0,"-1"6"0,-5 5 0,-4 5 0,-3-1 0,0-2 0,2-2 0,2-3 0,5-4 0,4-3 0,4-4 0,5-3 0,2-3 0,2-2 0</inkml:trace>
  <inkml:trace contextRef="#ctx0" brushRef="#br0" timeOffset="2535">1 133 24575,'17'3'0,"0"4"0,3 7 0,0 4 0,0 3 0,-1-1 0,-1 2 0,0-2 0,1 1 0,0-2 0,2-2 0,-2-2 0,0-4 0,-5-2 0,-3-3 0,-6-2 0,-2-2 0</inkml:trace>
</inkml:ink>
</file>

<file path=xl/ink/ink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7:02.640"/>
    </inkml:context>
    <inkml:brush xml:id="br0">
      <inkml:brushProperty name="width" value="0.035" units="cm"/>
      <inkml:brushProperty name="height" value="0.035" units="cm"/>
      <inkml:brushProperty name="color" value="#E71224"/>
    </inkml:brush>
  </inkml:definitions>
  <inkml:trace contextRef="#ctx0" brushRef="#br0">322 1 24575,'-11'1'0,"-11"8"0,-11 8 0,-10 12 0,-4 9 0,4 2 0,4-2 0,9-7 0,9-8 0,6-8 0,5-6 0,6-4 0,1-4 0</inkml:trace>
  <inkml:trace contextRef="#ctx0" brushRef="#br0" timeOffset="999">415 1 24575,'12'0'0,"3"1"0,5 3 0,6 7 0,5 7 0,3 8 0,7 4 0,3 1 0,3 0 0,-1-2 0,-3-4 0,-7-5 0,-9-3 0,-6-5 0,-9-4 0,-2 0 0,-2-3 0,-2-1 0,-1-2 0,-2-1 0</inkml:trace>
</inkml:ink>
</file>

<file path=xl/ink/ink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7:05.545"/>
    </inkml:context>
    <inkml:brush xml:id="br0">
      <inkml:brushProperty name="width" value="0.035" units="cm"/>
      <inkml:brushProperty name="height" value="0.035" units="cm"/>
      <inkml:brushProperty name="color" value="#E71224"/>
    </inkml:brush>
  </inkml:definitions>
  <inkml:trace contextRef="#ctx0" brushRef="#br0">24 98 24575,'0'37'0,"0"14"0,0 28 0,0-30 0,0 3 0,0 2 0,0 0 0,0-3 0,0-1 0,0 37 0,0-26 0,0-19 0,0-22 0,0-20 0,-2-22 0,-2-23 0,-1-14 0,-1-13 0,2-5 0,2 2 0,2 0 0,3 10 0,3 13 0,4 12 0,4 9 0,3 8 0,4 6 0,8 6 0,7 4 0,5 3 0,2 2 0,-3 3 0,-9 5 0,-8 7 0,-8 7 0,-7 5 0,-3 0 0,-3 1 0,-4 0 0,-5-2 0,-5 0 0,-7-1 0,-4 0 0,-5-3 0,-3-2 0,0-2 0,-3-5 0,1-3 0,2-4 0,4-3 0,6-1 0,8-1 0,4-1 0,4-1 0,3-2 0,1 2 0,1 1 0</inkml:trace>
  <inkml:trace contextRef="#ctx0" brushRef="#br0" timeOffset="1136">568 269 24575,'6'22'0,"-1"0"0,-5-3 0,0 7 0,0 12 0,0 5 0,0 3 0,0-6 0,0-11 0,0-11 0,0-13 0,-1-11 0,-1-12 0,-1-11 0,0-6 0,1-2 0,1 4 0,1 5 0,0 4 0,3 5 0,6 1 0,11 1 0,9 3 0,8 2 0,4 4 0,-4 3 0,-2 3 0,-8 2 0,-9 1 0,-4 0 0,-7 1 0,-4 2 0,-1-2 0,-1 0 0</inkml:trace>
  <inkml:trace contextRef="#ctx0" brushRef="#br0" timeOffset="2136">1156 283 24575,'-7'3'0,"3"8"0,1 11 0,2 14 0,1 9 0,0 3 0,0-7 0,8-13 0,12-12 0,15-12 0,13-18 0,2-17 0,-6-14 0,-8-9 0,-13 7 0,-8 7 0,-10 9 0,-8 10 0,-12 4 0,-8 5 0,-7 5 0,0 4 0,1 3 0,3 3 0,2 5 0,4 2 0,4 2 0,3-2 0,1-2 0,7-4 0,-1-1 0</inkml:trace>
  <inkml:trace contextRef="#ctx0" brushRef="#br0" timeOffset="3349">1792 0 24575,'0'15'0,"0"10"0,0 19 0,0 10 0,0 11 0,0-3 0,0-8 0,0-10 0,1-17 0,-1-12 0,-3-13 0,-8-7 0,-12-6 0,-11-4 0,-4 1 0,2 4 0,5 4 0,7 3 0,6 2 0,7 1 0,6 5 0,2 8 0,3 12 0,-1 9 0,1 4 0,2-2 0,1-8 0,4-6 0,1-8 0,3-5 0,9-3 0,9-2 0,10-4 0,2-3 0,-4-3 0,-8-1 0,-8 0 0,-8 3 0,-6 2 0,-4 1 0</inkml:trace>
  <inkml:trace contextRef="#ctx0" brushRef="#br0" timeOffset="4137">2027 415 24575,'0'10'0,"0"6"0,0 10 0,2 5 0,3 1 0,6-5 0,8-6 0,6-8 0,4-6 0,5-5 0,0-3 0,-1-7 0,-4-12 0,-7-10 0,-7-11 0,-4-5 0,-5 0 0,-2 1 0,-2 6 0,-1 10 0,-1 7 0,0 11 0,0 6 0</inkml:trace>
  <inkml:trace contextRef="#ctx0" brushRef="#br0" timeOffset="4830">2591 325 24575,'-18'0'0,"-2"0"0,-6 0 0,0 0 0,-5 6 0,12 7 0,3 12 0,13 9 0,3 6 0,0-1 0,1-1 0,5-6 0,8-8 0,9-5 0,10-9 0,7-4 0,8-4 0,-2-6 0,-6-1 0,-11 0 0,-15 1 0,-7 4 0</inkml:trace>
  <inkml:trace contextRef="#ctx0" brushRef="#br0" timeOffset="5631">3077 50 24575,'-3'9'0,"1"12"0,2 27 0,0 35 0,0-32 0,0 1 0,0 2 0,0 1 0,0 43 0,0-26 0,0-16 0,0-20 0,0-14 0,0-6 0,0-2 0,0-3 0,0 1 0,0-2 0,0-3 0,0-3 0,0-1 0</inkml:trace>
  <inkml:trace contextRef="#ctx0" brushRef="#br0" timeOffset="6231">2953 460 24575,'10'0'0,"18"0"0,29 0 0,22 0 0,15 0 0,-2 0 0,-19 0 0,-18 0 0,-31 0 0,-14 0 0</inkml:trace>
</inkml:ink>
</file>

<file path=xl/ink/ink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7:20.231"/>
    </inkml:context>
    <inkml:brush xml:id="br0">
      <inkml:brushProperty name="width" value="0.035" units="cm"/>
      <inkml:brushProperty name="height" value="0.035" units="cm"/>
      <inkml:brushProperty name="color" value="#E71224"/>
    </inkml:brush>
  </inkml:definitions>
  <inkml:trace contextRef="#ctx0" brushRef="#br0">1 0 24575,'30'0'0,"10"0"0,16 0 0,7 0 0,-6 0 0,-7 0 0,-15 0 0,-13 0 0,-9 0 0,-8 0 0,-1 0 0</inkml:trace>
</inkml:ink>
</file>

<file path=xl/ink/ink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7:23.113"/>
    </inkml:context>
    <inkml:brush xml:id="br0">
      <inkml:brushProperty name="width" value="0.035" units="cm"/>
      <inkml:brushProperty name="height" value="0.035" units="cm"/>
      <inkml:brushProperty name="color" value="#E71224"/>
    </inkml:brush>
  </inkml:definitions>
  <inkml:trace contextRef="#ctx0" brushRef="#br0">118 15 24575,'-11'-3'0,"-4"1"0,-8 2 0,-3 0 0,5 2 0,7 5 0,8 8 0,4 5 0,5 5 0,7 1 0,9-2 0,7 0 0,3-2 0,-3 0 0,-4-1 0,-5 0 0,-5 0 0,-5 0 0,-3 0 0,-4 0 0,-6-1 0,-8-1 0,-4-3 0,-3-4 0,-1-5 0,2-3 0,1-3 0,3-2 0,4-1 0,2-1 0,5 0 0,1 2 0</inkml:trace>
  <inkml:trace contextRef="#ctx0" brushRef="#br0" timeOffset="881">404 61 24575,'0'12'0,"0"6"0,0 7 0,0 7 0,0 3 0,0-4 0,0 0 0,6-5 0,4-5 0,7-3 0,4-6 0,1-4 0,0-4 0,-1-2 0,-1-2 0,0-5 0,1-6 0,0-8 0,-3-5 0,-3 0 0,-4 3 0,-3 1 0,-1 3 0,-2-1 0,-3-2 0,0-2 0,-1-1 0,-1 4 0,0 3 0,0 6 0,0 4 0,0 3 0</inkml:trace>
  <inkml:trace contextRef="#ctx0" brushRef="#br0" timeOffset="1841">1069 133 24575,'0'14'0,"0"14"0,0 17 0,0 24 0,0 20 0,0 5 0,0 3 0,0-9 0,0-18 0,0-15 0,0-25 0,-1-26 0,-7-24 0,-6-28 0,-3-14 0,-3-12 0,6-9 0,4-1 0,4 2 0,4 14 0,2 17 0,7 19 0,10 12 0,13 11 0,14 6 0,8 3 0,4 6 0,-3 5 0,-10 5 0,-13 0 0,-11-4 0,-10-2 0,-6 1 0,-16 4 0,-20 2 0,-21 4 0,-18-3 0,-1-5 0,5-5 0,15-6 0,25-2 0,13 0 0</inkml:trace>
  <inkml:trace contextRef="#ctx0" brushRef="#br0" timeOffset="3068">1431 117 24575,'10'5'0,"4"9"0,3 13 0,5 16 0,-2 11 0,-5 12 0,-4 10 0,-2 7 0,-3 5 0,-1-1 0,-2-2 0,-3-15 0,0-14 0,0-19 0,0-17 0,0-12 0,-5-39 0,-4-7 0,-4-43 0,0-5 0,9 36 0,0-1 0,2-5 0,0-1 0,1 4 0,1 0 0,-1 2 0,2 1 0,-1-36 0,4 21 0,5 15 0,4 20 0,5 14 0,2 9 0,2 9 0,3 11 0,2 10 0,-1 9 0,-2 3 0,-5-4 0,-3-7 0,-4-4 0,-5-4 0,-3-2 0,-3 0 0,-7 0 0,-11-1 0,-15 1 0,-15 0 0,-6-3 0,4-5 0,8-3 0,22-3 0,7 0 0</inkml:trace>
  <inkml:trace contextRef="#ctx0" brushRef="#br0" timeOffset="3826">1839 7 24575,'0'13'0,"0"7"0,0 12 0,0 10 0,0 11 0,0 9 0,0 1 0,0-4 0,0-15 0,1-13 0,1-10 0,0-12 0,0-2 0</inkml:trace>
  <inkml:trace contextRef="#ctx0" brushRef="#br0" timeOffset="4322">2069 332 24575,'0'22'0,"0"2"0,0 8 0,0-3 0,0-5 0,0-11 0,0-17 0,0-8 0</inkml:trace>
  <inkml:trace contextRef="#ctx0" brushRef="#br0" timeOffset="4574">2069 1 24575,'0'0'0</inkml:trace>
  <inkml:trace contextRef="#ctx0" brushRef="#br0" timeOffset="5362">2380 297 24575,'23'0'0,"10"-2"0,14-8 0,10-8 0,-7-6 0,-8 1 0,-16 5 0,-15 6 0,-10 4 0,-13 2 0,-13 2 0,-17 1 0,-11 2 0,0 1 0,4 6 0,11 9 0,13 10 0,9 13 0,11 4 0,6 8 0,12-2 0,13-3 0,14-7 0,6-12 0,-3-7 0,-5-7 0,-8-6 0,-14-4 0,-5-1 0</inkml:trace>
  <inkml:trace contextRef="#ctx0" brushRef="#br0" timeOffset="6254">2913 234 24575,'18'26'0,"6"7"0,6 8 0,1 5 0,-5-4 0,-6-7 0,-4-9 0,-9-14 0,-7-16 0,-1-13 0,-2-14 0,2-6 0,1-5 0,1 3 0,9 0 0,9 6 0,7 7 0,4 7 0,-5 10 0,-3 6 0,-3 1 0,-5 4 0,-2 3 0,-2 1 0,-3 2 0,-2-4 0,-3-1 0</inkml:trace>
</inkml:ink>
</file>

<file path=xl/ink/ink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7:31.462"/>
    </inkml:context>
    <inkml:brush xml:id="br0">
      <inkml:brushProperty name="width" value="0.035" units="cm"/>
      <inkml:brushProperty name="height" value="0.035" units="cm"/>
      <inkml:brushProperty name="color" value="#E71224"/>
    </inkml:brush>
  </inkml:definitions>
  <inkml:trace contextRef="#ctx0" brushRef="#br0">1 2 24575,'19'0'0,"8"0"0,12 0 0,2 0 0,-7 0 0,-9 0 0,-8 0 0,-9-1 0,-2 1 0</inkml:trace>
</inkml:ink>
</file>

<file path=xl/ink/ink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7:32.650"/>
    </inkml:context>
    <inkml:brush xml:id="br0">
      <inkml:brushProperty name="width" value="0.035" units="cm"/>
      <inkml:brushProperty name="height" value="0.035" units="cm"/>
      <inkml:brushProperty name="color" value="#E71224"/>
    </inkml:brush>
  </inkml:definitions>
  <inkml:trace contextRef="#ctx0" brushRef="#br0">382 406 24575,'-32'0'0,"-6"0"0,-8 0 0,-3 4 0,-3 14 0,8 10 0,4 15 0,9 6 0,11-5 0,3-1 0,9-10 0,4-8 0,5-4 0,15-8 0,15-4 0,15-4 0,7-4 0,-4-1 0,-8 0 0,-14 0 0,-13 0 0,-8 0 0</inkml:trace>
  <inkml:trace contextRef="#ctx0" brushRef="#br0" timeOffset="947">804 522 24575,'0'-2'0,"-5"0"0,-9 1 0,-10 1 0,-5 0 0,-1 0 0,6 0 0,6 2 0,5 6 0,6 10 0,3 10 0,2 7 0,2-1 0,0-5 0,1-10 0,6-8 0,9-10 0,7-10 0,3-5 0,-1-4 0,-8 1 0,-3 5 0,-3 6 0,-4 10 0,1 10 0,-1 11 0,2 7 0,2-1 0,-2-5 0,1-7 0,-2-7 0,1-6 0,-1-2 0,-3-4 0,-2 0 0</inkml:trace>
  <inkml:trace contextRef="#ctx0" brushRef="#br0" timeOffset="1572">1115 2 24575,'3'-1'0,"-1"9"0,-1 14 0,-1 29 0,0 28 0,0-28 0,0 2 0,0 2 0,0 0 0,0-3 0,0-1 0,0 35 0,0-24 0,0-18 0,0-24 0,0-10 0</inkml:trace>
  <inkml:trace contextRef="#ctx0" brushRef="#br0" timeOffset="2028">1010 545 24575,'10'0'0,"8"0"0,12 0 0,10 0 0,10 0 0,-4 0 0,-5 0 0,-10 0 0,-10 0 0,-8 0 0,-7 0 0,-4 0 0</inkml:trace>
  <inkml:trace contextRef="#ctx0" brushRef="#br0" timeOffset="2853">1579 587 24575,'9'0'0,"10"0"0,6-2 0,7-6 0,2-8 0,-4-6 0,-4-2 0,-10 3 0,-8 4 0,-5 4 0,-24 2 0,-11 6 0,-23 1 0,-2 5 0,4 4 0,9 3 0,13 3 0,11 4 0,12 4 0,9 6 0,11 8 0,11 3 0,13 0 0,9-6 0,-2-8 0,-1-8 0,-8-7 0,-4-6 0,0-1 0,2-6 0,-13 5 0,-2-5 0</inkml:trace>
  <inkml:trace contextRef="#ctx0" brushRef="#br0" timeOffset="4096">2357 531 24575,'-3'-3'0,"-5"1"0,-7 2 0,-7 0 0,-4 0 0,0 0 0,3 0 0,2 0 0,1 0 0,2 5 0,1 7 0,4 8 0,2 6 0,4 0 0,2-3 0,2-4 0,4-7 0,2-2 0,7-4 0,6-3 0,6 0 0,3-3 0,1 0 0,-2-3 0,-1-3 0,-5-3 0,-5-3 0,-2 3 0,-4 0 0,0 1 0,-3 1 0,-1 1 0,0 1 0,1 2 0,1 6 0,2 11 0,2 12 0,1 13 0,0 11 0,-2 6 0,-2 4 0,-3 1 0,-2-6 0,-2-6 0,-3-11 0,-7-11 0,-8-11 0,-11-8 0,-6-5 0,-3-4 0,2-3 0,8-2 0,9-1 0,9-2 0,6 3 0,3 0 0,2 1 0,0 3 0,0 0 0</inkml:trace>
  <inkml:trace contextRef="#ctx0" brushRef="#br0" timeOffset="5268">2632 634 24575,'-3'5'0,"1"9"0,2 10 0,0 5 0,0-4 0,5-5 0,4-7 0,8-7 0,6-3 0,4-4 0,4-7 0,0-9 0,-2-8 0,-6-6 0,-6-1 0,-6 0 0,-5 3 0,-3 1 0,-2 4 0,-1 4 0,0 6 0,-1 5 0,-5 4 0,-8 3 0,-9 1 0,-10 1 0,-3 0 0,2 0 0,5 0 0,10 0 0,5 1 0,7 3 0,2 2 0,2 0 0,2 0 0,0 0 0,-3 0 0,2-2 0,-2-1 0</inkml:trace>
  <inkml:trace contextRef="#ctx0" brushRef="#br0" timeOffset="6187">3047 500 24575,'0'16'0,"0"11"0,1 13 0,3 6 0,1-4 0,0-12 0,-2-14 0,-2-16 0,-1-15 0,0-14 0,0-7 0,0-4 0,3 1 0,6 4 0,4 6 0,7 8 0,0 8 0,0 5 0,2 4 0,-2 2 0,-3 0 0,-3 2 0,-4 0 0,-2-1 0,-4 1 0,-1-1 0</inkml:trace>
  <inkml:trace contextRef="#ctx0" brushRef="#br0" timeOffset="7711">3519 467 24575,'0'24'0,"0"2"0,0 2 0,0-5 0,0-6 0,0-6 0,0-4 0,0 0 0,0-1 0,0 0 0,0 1 0,0-1 0,0 1 0,0 0 0,0 0 0,0 0 0,0-2 0,0-4 0,0-4 0</inkml:trace>
  <inkml:trace contextRef="#ctx0" brushRef="#br0" timeOffset="10245">3570 535 24575,'0'10'0,"0"6"0,0 10 0,0 9 0,0 3 0,-1-4 0,0-8 0,4-10 0,2-5 0,4-5 0,2-3 0,2-2 0,2-1 0,4-3 0,5-7 0,3-12 0,1-9 0,-2-8 0,-5-1 0,-5 5 0,-4 5 0,-6 9 0,-1 7 0,-4 7 0,-1 10 0,0 13 0,0 13 0,2 9 0,1 6 0,3 3 0,-1 0 0,-2-3 0,-1-4 0,-2-5 0,-1-4 0,-4-4 0,-4-5 0,-5-3 0,-5-3 0,-2-2 0,-2-2 0,1-3 0,-3-2 0,0-2 0,0-3 0,2-1 0,4-1 0,2 0 0,5 0 0,3 0 0,3-1 0,3-13 0,1 9 0,2-9 0</inkml:trace>
</inkml:ink>
</file>

<file path=xl/ink/ink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20.414"/>
    </inkml:context>
    <inkml:brush xml:id="br0">
      <inkml:brushProperty name="width" value="0.035" units="cm"/>
      <inkml:brushProperty name="height" value="0.035" units="cm"/>
    </inkml:brush>
  </inkml:definitions>
  <inkml:trace contextRef="#ctx0" brushRef="#br0">49 66 12124,'-12'0'0,"3"0"4794,-1 0-4794,4 4 2166,1 7-2166,2 17 1217,1 22-1217,1 16 4274,0 10-4274,1 0 0,1-8 0,10-9 0,15-18 0,18-20 0,14-20 0,3-24 0,-3-16 0,-13-10 0,-11-1 0,-15 6 0,-10 8 0,-12 5 0,-15 3 0,-12 3 0,-12 5 0,0 3 0,4 5 0,7 4 0,10 4 0,7 3 0,6 1 0,1 0 0,2 0 0,0 0 0,3 0 0,0 0 0</inkml:trace>
  <inkml:trace contextRef="#ctx0" brushRef="#br0" timeOffset="1120">561 292 24575,'3'16'0,"1"-1"0,1 2 0,0-4 0,2-1 0,0-2 0,-1 1 0,1 0 0,1 4 0,0 1 0,-1 2 0,0 0 0,-2 1 0,0 3 0,0 1 0,0 2 0,0 0 0,-2-5 0,2-2 0,-2-8 0,-2-8 0,1-9 0,-2-8 0,0-3 0,0-5 0,0-3 0,0-5 0,0-1 0,1-1 0,4 3 0,5 7 0,8 7 0,6 6 0,6 4 0,4 3 0,1 2 0,-2 1 0,-6 0 0,-6 1 0,-6 2 0,-8-2 0,-3 2 0</inkml:trace>
  <inkml:trace contextRef="#ctx0" brushRef="#br0" timeOffset="2241">1394 0 24575,'0'33'0,"0"13"0,0 20 0,0 18 0,1 0 0,4-3 0,4-12 0,1-20 0,0-12 0,-5-20 0,-10-14 0,-9-10 0,-13-7 0,-12-3 0,-1 3 0,2 4 0,11 5 0,8 3 0,4 6 0,3 10 0,2 12 0,2 12 0,4 4 0,2-3 0,3-8 0,7-10 0,12-9 0,12-14 0,10-13 0,3-14 0,-7-7 0,-8 2 0,-9 7 0,-8 10 0,-6 8 0,-3 4 0</inkml:trace>
  <inkml:trace contextRef="#ctx0" brushRef="#br0" timeOffset="3162">1758 553 24575,'20'0'0,"9"-1"0,9-5 0,5-9 0,-3-11 0,-7-7 0,-8-4 0,-10 3 0,-9 6 0,-5 7 0,-10 8 0,-10 4 0,-12 5 0,-7 3 0,0 1 0,6 1 0,9 6 0,5 8 0,8 14 0,3 10 0,3 10 0,4 3 0,0 1 0,0-2 0,4-5 0,6-8 0,4-9 0,9-11 0,7-7 0,5-8 0,1-5 0,-1-7 0,-8-1 0,-8 1 0,-8 5 0,-8 3 0</inkml:trace>
  <inkml:trace contextRef="#ctx0" brushRef="#br0" timeOffset="4041">2276 476 24575,'6'25'0,"4"5"0,8 7 0,8 3 0,-1-2 0,-1-4 0,-4-7 0,-7-9 0,-4-9 0,-4-7 0,-6-10 0,-1-10 0,-2-14 0,1-13 0,2-6 0,1-2 0,2 8 0,5 11 0,7 11 0,6 11 0,5 6 0,0 4 0,1 2 0,-2 2 0,-5 1 0,-5 0 0,-3-1 0,-5 0 0,-2-2 0,-3 0 0</inkml:trace>
</inkml:ink>
</file>

<file path=xl/ink/ink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25.949"/>
    </inkml:context>
    <inkml:brush xml:id="br0">
      <inkml:brushProperty name="width" value="0.035" units="cm"/>
      <inkml:brushProperty name="height" value="0.035" units="cm"/>
    </inkml:brush>
  </inkml:definitions>
  <inkml:trace contextRef="#ctx0" brushRef="#br0">6 1 24575,'-3'15'0,"1"19"0,2 27 0,0 26 0,0-35 0,0 1 0,0 6 0,0 1 0,0-2 0,0-1 0,0-6 0,0-1 0,0 37 0,0-24 0,0-15 0,0-19 0,0-19 0,0-7 0</inkml:trace>
</inkml:ink>
</file>

<file path=xl/ink/ink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26.669"/>
    </inkml:context>
    <inkml:brush xml:id="br0">
      <inkml:brushProperty name="width" value="0.035" units="cm"/>
      <inkml:brushProperty name="height" value="0.035" units="cm"/>
    </inkml:brush>
  </inkml:definitions>
  <inkml:trace contextRef="#ctx0" brushRef="#br0">180 107 24575,'-16'0'0,"-5"0"0,-10 3 0,-3 9 0,3 12 0,6 15 0,12 14 0,6 8 0,6 1 0,1-4 0,6-12 0,15-13 0,18-13 0,20-10 0,9-8 0,5-9 0,-6-6 0,-10-5 0,-15 2 0,-21 6 0,-11 6 0</inkml:trace>
  <inkml:trace contextRef="#ctx0" brushRef="#br0" timeOffset="842">708 283 16738,'3'9'0,"-2"3"3448,0 9-3448,-1 10 1347,2 11-1347,4 2 715,7-3-715,7-9 2327,5-11-2327,10-8 0,9-8 0,3-11 0,-1-12 0,-11-13 0,-10-9 0,-8-1 0,-9 6 0,-4 9 0,-4 7 0,-1 2 0,-2 5 0,-2 3 0,2 4 0,0 3 0</inkml:trace>
  <inkml:trace contextRef="#ctx0" brushRef="#br0" timeOffset="1828">1521 228 24575,'-8'-3'0,"-7"1"0,-9 2 0,-4 0 0,3 3 0,6 4 0,7 2 0,3 6 0,4 4 0,2 2 0,2 7 0,1-2 0,9 2 0,10-2 0,14-7 0,14-2 0,0-5 0,-2-1 0,-9 0 0,-10 0 0,-8 4 0,-5 3 0,-3 4 0,-2 2 0,-3 0 0,-3 0 0,-2-4 0,0-2 0,-10-3 0,-11-6 0,-15-3 0,-10-3 0,-3-3 0,4 0 0,11-2 0,9-2 0,14 1 0,5-1 0</inkml:trace>
  <inkml:trace contextRef="#ctx0" brushRef="#br0" timeOffset="2469">2223 1 24575,'0'14'0,"0"16"0,0 20 0,0 13 0,0 7 0,0 1 0,0-1 0,0-1 0,0-5 0,0-10 0,0-11 0,0-12 0,0-17 0,0-7 0</inkml:trace>
  <inkml:trace contextRef="#ctx0" brushRef="#br0" timeOffset="2854">2086 400 24575,'20'0'0,"21"0"0,28 0 0,13 0 0,4 0 0,-18 0 0,-18 0 0,-16 0 0,-22 0 0,-4 0 0</inkml:trace>
  <inkml:trace contextRef="#ctx0" brushRef="#br0" timeOffset="3643">2946 400 24575,'-3'12'0,"2"5"0,-1 10 0,3 2 0,2-2 0,7-4 0,9-9 0,12-7 0,11-5 0,5-5 0,2-6 0,-3-8 0,-11-7 0,-11-6 0,-12 0 0,-12-1 0,-15 2 0,-12 4 0,-10 6 0,-5 8 0,1 5 0,2 4 0,5 4 0,5 4 0,6 6 0,5 1 0,5 0 0,6-3 0,3-6 0,3-1 0</inkml:trace>
  <inkml:trace contextRef="#ctx0" brushRef="#br0" timeOffset="4816">3485 255 24575,'10'12'0,"4"8"0,6 13 0,2 11 0,-2 5 0,-3 5 0,-5-4 0,-6-10 0,-4-14 0,-2-15 0,0-13 0,0-16 0,0-11 0,0-12 0,1-3 0,2 6 0,5 6 0,5 9 0,4 8 0,4 7 0,4 4 0,1 5 0,1 4 0,-2 6 0,-7 2 0,-3 0 0,-5-4 0,-3-5 0,-1-1 0,2-7 0,3-4 0,0-5 0,3-2 0,1 3 0,0 2 0,3 4 0,2 3 0,2 1 0,0 7 0,-1 9 0,-5 10 0,-2 9 0,-4 2 0,-3-5 0,-2-5 0,-2-6 0,-2-6 0,-1-3 0,0-6 0,0 0 0</inkml:trace>
  <inkml:trace contextRef="#ctx0" brushRef="#br0" timeOffset="5737">4283 441 24575,'18'0'0,"3"-1"0,5-4 0,1-4 0,-1-4 0,-6-3 0,-5-1 0,-6-2 0,-4-1 0,-3 0 0,-1-2 0,-4 3 0,-6 4 0,-10 5 0,-8 4 0,-7 3 0,-1 3 0,2 7 0,4 7 0,9 9 0,8 11 0,7 8 0,4 9 0,4 7 0,7-1 0,5-9 0,5-12 0,3-11 0,8-11 0,13-8 0,12-14 0,6-13 0,-2-7 0,-28 9 0,-9 6 0</inkml:trace>
  <inkml:trace contextRef="#ctx0" brushRef="#br0" timeOffset="6669">4939 301 24575,'-2'11'0,"4"8"0,11 14 0,7 10 0,9 9 0,0 0 0,-1-7 0,-4-8 0,-7-13 0,-5-12 0,-5-9 0,-4-7 0,-2-7 0,-1-10 0,0-6 0,0-9 0,0-7 0,1-1 0,5 3 0,9 4 0,11 8 0,9 9 0,4 7 0,-1 8 0,0 3 0,-5 2 0,-4 2 0,-5 2 0,-6 1 0,-4 1 0,-5-2 0,-6 0 0,-1-2 0,-2 1 0</inkml:trace>
</inkml:ink>
</file>

<file path=xl/ink/ink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48.531"/>
    </inkml:context>
    <inkml:brush xml:id="br0">
      <inkml:brushProperty name="width" value="0.035" units="cm"/>
      <inkml:brushProperty name="height" value="0.035" units="cm"/>
    </inkml:brush>
  </inkml:definitions>
  <inkml:trace contextRef="#ctx0" brushRef="#br0">0 1 24575,'33'36'0,"11"12"0,16 22 0,-23-25 0,-1 2 0,1 1 0,-3 0 0,-3 1 0,-2 0 0,17 39 0,-18-19 0,-9-13 0,-9-17 0,-5-12 0,-3-5 0,-1-1 0,-2 5 0,-4 8 0,-5 9 0,-3 5 0,-1 3 0,7-22 0,3-6 0</inkml:trace>
</inkml:ink>
</file>

<file path=xl/ink/ink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49.918"/>
    </inkml:context>
    <inkml:brush xml:id="br0">
      <inkml:brushProperty name="width" value="0.035" units="cm"/>
      <inkml:brushProperty name="height" value="0.035" units="cm"/>
    </inkml:brush>
  </inkml:definitions>
  <inkml:trace contextRef="#ctx0" brushRef="#br0">366 1 24575,'-18'0'0,"3"1"0,-4 8 0,-1 18 0,-6 23 0,-10 27 0,14-30 0,-1 1 0,-3 5 0,0 2 0,1 5 0,1 1 0,2 2 0,3 2 0,4 3 0,3 1 0,5-5 0,2-2 0,2-1 0,1-2 0,1-7 0,2-4 0,7 29 0,9-18 0,11-28 0,-9-16 0,-3-9 0</inkml:trace>
</inkml:ink>
</file>

<file path=xl/ink/ink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51.292"/>
    </inkml:context>
    <inkml:brush xml:id="br0">
      <inkml:brushProperty name="width" value="0.035" units="cm"/>
      <inkml:brushProperty name="height" value="0.035" units="cm"/>
    </inkml:brush>
  </inkml:definitions>
  <inkml:trace contextRef="#ctx0" brushRef="#br0">354 0 24575,'-25'0'0,"-9"0"0,-10 0 0,-8 0 0,-1 11 0,5 10 0,4 19 0,14 12 0,14 6 0,9 9 0,13-6 0,12-8 0,18-19 0,15-18 0,9-20 0,-8-16 0,-10-17 0,-9-13 0,-13 3 0,-4 4 0,-9 11 0,-5 10 0,-7 6 0,-11 5 0,-13 5 0,-13 3 0,-7 2 0,-2 1 0,3 0 0,10 1 0,10 2 0,11-1 0,9 1 0,5-2 0</inkml:trace>
</inkml:ink>
</file>

<file path=xl/ink/ink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52.213"/>
    </inkml:context>
    <inkml:brush xml:id="br0">
      <inkml:brushProperty name="width" value="0.035" units="cm"/>
      <inkml:brushProperty name="height" value="0.035" units="cm"/>
    </inkml:brush>
  </inkml:definitions>
  <inkml:trace contextRef="#ctx0" brushRef="#br0">6 117 24575,'-3'8'0,"2"-1"0,0 3 0,1-1 0,-1 6 0,1 3 0,0 4 0,0 3 0,4 2 0,11 0 0,23-6 0,29-8 0,22-13 0,5-9 0,-5-15 0,-16-9 0,-17-8 0,-13 0 0,-19 8 0,-11 1 0,-8 7 0,-8 2 0,-10 3 0,-13 5 0,-15 2 0,-9 7 0,-4 2 0,-1 5 0,4 8 0,6 10 0,8 8 0,9 4 0,10-3 0,8-4 0,7-11 0,2-4 0</inkml:trace>
</inkml:ink>
</file>

<file path=xl/ink/ink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55.387"/>
    </inkml:context>
    <inkml:brush xml:id="br0">
      <inkml:brushProperty name="width" value="0.035" units="cm"/>
      <inkml:brushProperty name="height" value="0.035" units="cm"/>
    </inkml:brush>
  </inkml:definitions>
  <inkml:trace contextRef="#ctx0" brushRef="#br0">103 1 24575,'19'0'0,"6"0"0,10 0 0,2 0 0,-7 0 0,-10 3 0,-8 4 0,-7 9 0,-3 11 0,-6 8 0,-6 7 0,-5 0 0,-3-3 0,4-9 0,5-9 0,4-9 0,3-5 0,4-1 0,3 1 0,6 2 0,3 7 0,3 8 0,-2 8 0,-1 3 0,-4-3 0,-4-6 0,-4-7 0,-9-4 0,-11-4 0,-10-1 0,-12 1 0,-5 0 0,-1 0 0,3-1 0,10-1 0,10-2 0,9-4 0,9-2 0,1-1 0</inkml:trace>
  <inkml:trace contextRef="#ctx0" brushRef="#br0" timeOffset="986">647 97 24575,'-8'16'0,"0"12"0,0 13 0,3 12 0,3 6 0,2-2 0,4-4 0,11-11 0,15-14 0,16-10 0,6-11 0,-1-5 0,-8-2 0,-7-2 0,-3-5 0,-4-7 0,1-7 0,-3-5 0,-4-2 0,-6-1 0,-6-2 0,-6-3 0,-3-3 0,-6 0 0,-8 2 0,-10 2 0,-10 4 0,-4 5 0,-1 5 0,4 8 0,5 5 0,6 3 0,4 2 0,2 1 0,2 1 0,0 2 0,-1 5 0,1 4 0,5-4 0,4-1 0</inkml:trace>
</inkml:ink>
</file>

<file path=xl/ink/ink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58.976"/>
    </inkml:context>
    <inkml:brush xml:id="br0">
      <inkml:brushProperty name="width" value="0.035" units="cm"/>
      <inkml:brushProperty name="height" value="0.035" units="cm"/>
    </inkml:brush>
  </inkml:definitions>
  <inkml:trace contextRef="#ctx0" brushRef="#br0">99 2 24575,'-7'-2'0,"-5"13"0,-3 20 0,-2 22 0,-2 27 0,12-31 0,1 3 0,1 4 0,1 3 0,1 3 0,1 0 0,1-2 0,1-2 0,0-6 0,0-2 0,6 31 0,11-30 0,15-23 0,10-18 0,-2-9 0,-8-1 0,-12 0 0,-9 1 0,-5 4 0,-4 3 0,-2-1 0,0-1 0</inkml:trace>
</inkml:ink>
</file>

<file path=xl/ink/ink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59.913"/>
    </inkml:context>
    <inkml:brush xml:id="br0">
      <inkml:brushProperty name="width" value="0.035" units="cm"/>
      <inkml:brushProperty name="height" value="0.035" units="cm"/>
    </inkml:brush>
  </inkml:definitions>
  <inkml:trace contextRef="#ctx0" brushRef="#br0">30 152 24575,'-14'15'0,"5"-3"0,3 4 0,6-2 0,0 9 0,0 6 0,0 5 0,0 3 0,3-6 0,6-7 0,9-10 0,11-8 0,5-12 0,2-11 0,0-13 0,-7-11 0,-3-1 0,-7 3 0,-6 5 0,-5 4 0,-8 0 0,-7-1 0,-12 0 0,-11 3 0,-5 6 0,-1 8 0,7 6 0,7 4 0,9 5 0,4 4 0,6 8 0,2 7 0,1-6 0,0-1 0</inkml:trace>
</inkml:ink>
</file>

<file path=xl/ink/ink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04.724"/>
    </inkml:context>
    <inkml:brush xml:id="br0">
      <inkml:brushProperty name="width" value="0.035" units="cm"/>
      <inkml:brushProperty name="height" value="0.035" units="cm"/>
    </inkml:brush>
  </inkml:definitions>
  <inkml:trace contextRef="#ctx0" brushRef="#br0">0 1 24575,'0'13'0,"0"16"0,0 27 0,0 32 0,0-30 0,0 3 0,0 4 0,0 1 0,0 1 0,0-2 0,0-6 0,0-3 0,0 29 0,0-27 0,0-32 0,0-15 0</inkml:trace>
</inkml:ink>
</file>

<file path=xl/ink/ink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00.722"/>
    </inkml:context>
    <inkml:brush xml:id="br0">
      <inkml:brushProperty name="width" value="0.035" units="cm"/>
      <inkml:brushProperty name="height" value="0.035" units="cm"/>
    </inkml:brush>
  </inkml:definitions>
  <inkml:trace contextRef="#ctx0" brushRef="#br0">0 292 24575,'15'26'0,"3"6"0,7 12 0,0 2 0,4 2 0,-2-7 0,-3-8 0,-4-6 0,-8-12 0,-5-11 0,-6-13 0,0-13 0,-1-16 0,1-12 0,-1-7 0,3 4 0,6 13 0,3 13 0,5 11 0,0 10 0,1 4 0,5 2 0,1 1 0,-10-1 0,-3 1 0</inkml:trace>
  <inkml:trace contextRef="#ctx0" brushRef="#br0" timeOffset="1480">975 0 24575,'2'15'0,"0"12"0,-2 19 0,0 17 0,0 12 0,0-4 0,1-4 0,1-12 0,0-17 0,2-14 0,-3-17 0,-6-9 0,-11-7 0,-12 1 0,-13 2 0,-8 2 0,0 4 0,8 3 0,13 7 0,15 7 0,7 6 0,7 3 0,4 0 0,7-3 0,7-5 0,5-5 0,3-8 0,-1-4 0,3-10 0,1-9 0,3-6 0,-15 7 0,-3 5 0</inkml:trace>
  <inkml:trace contextRef="#ctx0" brushRef="#br0" timeOffset="2322">1207 440 24575,'13'0'0,"8"-3"0,15-6 0,10-11 0,-1-11 0,-2-4 0,-13 0 0,-11 4 0,-9 6 0,-7 7 0,-3 8 0,-3 5 0,-5 3 0,-6 1 0,-4 4 0,-4 11 0,1 10 0,-2 13 0,2 6 0,6 4 0,6 2 0,6 0 0,6-3 0,8-8 0,16-10 0,15-11 0,10-8 0,-1-12 0,-6-8 0,-10-1 0,-18 3 0,-6 4 0</inkml:trace>
  <inkml:trace contextRef="#ctx0" brushRef="#br0" timeOffset="3268">1765 344 24575,'0'19'0,"6"9"0,2 10 0,6 4 0,1 3 0,-2-5 0,-2-4 0,-4-14 0,-2-19 0,-3-30 0,-1-23 0,-1-15 0,3-3 0,5 13 0,5 11 0,5 16 0,5 12 0,3 9 0,3 4 0,1 2 0,1 1 0,-3 0 0,-3 0 0,-5 0 0,-3 0 0,-2 0 0,-6 0 0,-2 0 0</inkml:trace>
</inkml:ink>
</file>

<file path=xl/ink/ink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07.272"/>
    </inkml:context>
    <inkml:brush xml:id="br0">
      <inkml:brushProperty name="width" value="0.035" units="cm"/>
      <inkml:brushProperty name="height" value="0.035" units="cm"/>
    </inkml:brush>
  </inkml:definitions>
  <inkml:trace contextRef="#ctx0" brushRef="#br0">0 155 24575,'28'0'0,"11"0"0,12 0 0,7 0 0,-3 0 0,-7 0 0,-10 0 0,-11 0 0,-15 0 0,-6 0 0</inkml:trace>
  <inkml:trace contextRef="#ctx0" brushRef="#br0" timeOffset="960">362 0 24575,'0'11'0,"0"9"0,0 11 0,0 9 0,0 4 0,0-2 0,0-2 0,0-10 0,0-9 0,0-12 0,0-10 0,0-12 0,0-14 0,0-11 0,0-6 0,0 3 0,0 12 0,0 10 0,1 10 0,3 5 0,7 7 0,8 12 0,9 10 0,2 9 0,0 4 0,-6-2 0,-7-6 0,-6-6 0,-6-7 0,-5-3 0,-6-1 0,-8-2 0,-7 0 0,-4-2 0,3 0 0,5-3 0,9-3 0,3-2 0</inkml:trace>
</inkml:ink>
</file>

<file path=xl/ink/ink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09.914"/>
    </inkml:context>
    <inkml:brush xml:id="br0">
      <inkml:brushProperty name="width" value="0.035" units="cm"/>
      <inkml:brushProperty name="height" value="0.035" units="cm"/>
    </inkml:brush>
  </inkml:definitions>
  <inkml:trace contextRef="#ctx0" brushRef="#br0">119 1 24575,'0'25'0,"0"13"0,0 25 0,0 12 0,0 1 0,0-1 0,0-10 0,0-7 0,0-12 0,0-9 0,0-10 0,0-7 0,0-6 0,0-7 0,0-3 0</inkml:trace>
  <inkml:trace contextRef="#ctx0" brushRef="#br0" timeOffset="1172">1 576 24575,'15'0'0,"13"0"0,12 0 0,9 0 0,1 0 0,-8 0 0,-8 0 0,-14 0 0,-11 0 0,-13 0 0,-12 0 0,-13 0 0,-11 0 0,-4 0 0,1 0 0,4 0 0,11 0 0,8 0 0,9 2 0,5 4 0,3 8 0,3 9 0,2 6 0,4 2 0,5-1 0,2-4 0,0-4 0,-3-3 0,0-2 0,-1-1 0,0-2 0,0-1 0,-1-2 0,1-3 0,-1-4 0,0-2 0,-1-2 0,0-4 0,2-8 0,6-10 0,6-10 0,4-1 0,1 2 0,-6 8 0,-5 9 0,-4 6 0,-7 4 0,0 3 0</inkml:trace>
</inkml:ink>
</file>

<file path=xl/ink/ink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23.757"/>
    </inkml:context>
    <inkml:brush xml:id="br0">
      <inkml:brushProperty name="width" value="0.035" units="cm"/>
      <inkml:brushProperty name="height" value="0.035" units="cm"/>
    </inkml:brush>
  </inkml:definitions>
  <inkml:trace contextRef="#ctx0" brushRef="#br0">78 27 24575,'-12'6'0,"-1"6"0,-3 12 0,2 11 0,4 7 0,2 8 0,6-2 0,0-3 0,2-6 0,0-9 0,1-4 0,5-7 0,8-3 0,12 0 0,7 2 0,0 1 0,-6-3 0,-10-3 0,-5-4 0,-4-3 0,-3-2 0,-2 0 0,-2-2 0,-1 0 0</inkml:trace>
  <inkml:trace contextRef="#ctx0" brushRef="#br0" timeOffset="1055">329 259 24575,'15'0'0,"0"0"0,0 0 0,-3 0 0,-1 0 0,0 0 0,0 0 0,1 0 0,-1 0 0,-3 3 0,-4 6 0,-2 8 0,-3 6 0,-4 5 0,-6 1 0,-2-3 0,-2-1 0,5-8 0,4-3 0,3-4 0,2-4 0,1 1 0,0-1 0,3-1 0,4-1 0,4-1 0,3-2 0,1-1 0,2 0 0,0 0 0,1-1 0,0-2 0,-2-2 0,-3 0 0,-6 2 0,-4 1 0</inkml:trace>
  <inkml:trace contextRef="#ctx0" brushRef="#br0" timeOffset="1707">767 244 24575,'2'12'0,"1"9"0,-3 12 0,0 11 0,0 5 0,0 1 0,0-7 0,0-12 0,0-13 0,0-10 0,0-4 0</inkml:trace>
  <inkml:trace contextRef="#ctx0" brushRef="#br0" timeOffset="2547">1153 274 24575,'-7'-3'0,"-2"1"0,-6 2 0,-5 0 0,-4-1 0,-2 4 0,3 4 0,7 5 0,8 6 0,6 2 0,1 2 0,1-2 0,0-1 0,1-2 0,4-3 0,6-2 0,7-2 0,8-1 0,0-1 0,-1 1 0,-5-2 0,-4 0 0,-6-1 0,-3-1 0,-2-1 0,-3 0 0,0 0 0,-1 1 0,-3-2 0,-4 0 0,-6 0 0,-6-1 0,-3 0 0,-2-1 0,0 0 0,11-1 0,2 0 0</inkml:trace>
  <inkml:trace contextRef="#ctx0" brushRef="#br0" timeOffset="3454">1486 196 24575,'-12'-3'0,"-7"1"0,-9 4 0,-5 8 0,-1 7 0,7 7 0,7 1 0,9-3 0,6-6 0,4-2 0,3-4 0,4 0 0,10-1 0,13-1 0,9 0 0,5-3 0,-2-1 0,-7 1 0,-6 1 0,-7 2 0,-5 2 0,-6 2 0,-5 1 0,-3 0 0,-5-2 0,-7 0 0,-8-2 0,-7 1 0,-1-2 0,2-1 0,4-2 0,6-2 0,3-2 0,6-1 0,2 0 0</inkml:trace>
  <inkml:trace contextRef="#ctx0" brushRef="#br0" timeOffset="4494">1566 0 24575,'15'0'0,"11"6"0,7 6 0,6 11 0,3 11 0,-5 7 0,0 7 0,-5 2 0,-6 1 0,-6-5 0,-6 0 0,-5-3 0,-3-2 0,-4-1 0,-1-4 0,-1-1 0,0-4 0,-1-6 0,0-2 0,-2-12 0,1 0 0,-1-7 0,0 0 0,1-2 0,0 1 0</inkml:trace>
</inkml:ink>
</file>

<file path=xl/ink/ink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38.510"/>
    </inkml:context>
    <inkml:brush xml:id="br0">
      <inkml:brushProperty name="width" value="0.035" units="cm"/>
      <inkml:brushProperty name="height" value="0.035" units="cm"/>
    </inkml:brush>
  </inkml:definitions>
  <inkml:trace contextRef="#ctx0" brushRef="#br0">0 0 24575,'29'15'0,"11"15"0,10 19 0,3 14 0,-4 9 0,-14 6 0,-12 5 0,-11 7 0,-9-2 0,-4-6 0,-3-11 0,-3-17 0,-2-12 0,1-16 0,2-11 0,2-6 0,-1-3 0,2-3 0,0-2 0</inkml:trace>
</inkml:ink>
</file>

<file path=xl/ink/ink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30.947"/>
    </inkml:context>
    <inkml:brush xml:id="br0">
      <inkml:brushProperty name="width" value="0.035" units="cm"/>
      <inkml:brushProperty name="height" value="0.035" units="cm"/>
    </inkml:brush>
  </inkml:definitions>
  <inkml:trace contextRef="#ctx0" brushRef="#br0">310 190 24575,'-30'0'0,"-15"5"0,-14 7 0,-2 14 0,9 14 0,17 12 0,15 10 0,12 2 0,20-4 0,17-10 0,18-15 0,15-13 0,2-12 0,1-7 0,-29-2 0,-8-1 0</inkml:trace>
  <inkml:trace contextRef="#ctx0" brushRef="#br0" timeOffset="907">995 326 24575,'-13'0'0,"-9"0"0,-17 0 0,-10 0 0,-6 0 0,4 1 0,11 5 0,10 9 0,13 11 0,8 9 0,9 5 0,17-7 0,22-11 0,24-11 0,20-12 0,-2-10 0,-3-14 0,-16-12 0,-18-5 0,-12 5 0,-15 11 0,-8 12 0,-4 13 0,0 16 0,1 15 0,3 7 0,3 3 0,2-3 0,1-8 0,0-7 0,-1-7 0,-6-10 0,-2-1 0</inkml:trace>
  <inkml:trace contextRef="#ctx0" brushRef="#br0" timeOffset="1521">1683 1 24575,'0'7'0,"0"12"0,0 21 0,0 23 0,0 13 0,0 7 0,0 1 0,0-3 0,0-2 0,0-15 0,0-16 0,0-16 0,0-17 0,0-8 0</inkml:trace>
  <inkml:trace contextRef="#ctx0" brushRef="#br0" timeOffset="1986">1599 495 24575,'34'-2'0,"17"-8"0,17-8 0,3-5 0,-13 3 0,-29 9 0,-14 7 0</inkml:trace>
  <inkml:trace contextRef="#ctx0" brushRef="#br0" timeOffset="3015">2216 520 24575,'14'-2'0,"13"-8"0,20-15 0,12-8 0,11-8 0,-8 3 0,-12 10 0,-16 7 0,-19 11 0,-9 5 0,-8 0 0,-9 1 0,-11 0 0,-13 2 0,-6 0 0,-1 2 0,2 6 0,4 10 0,6 11 0,8 13 0,8 8 0,7 5 0,4 0 0,11-2 0,13-10 0,18-8 0,16-9 0,9-10 0,4-6 0,-2-6 0,-8-5 0,-14-2 0,-14-2 0,-12 2 0,-11 2 0,-3 2 0</inkml:trace>
  <inkml:trace contextRef="#ctx0" brushRef="#br0" timeOffset="4055">3176 401 24575,'-3'-5'0,"-7"2"0,-12 1 0,-10 2 0,-9 0 0,3 0 0,5 0 0,10 10 0,10 11 0,7 17 0,4 13 0,2-2 0,0-7 0,2-16 0,5-11 0,6-10 0,6-14 0,4-10 0,0-12 0,-3-3 0,-4 9 0,-5 10 0,-2 9 0,1 10 0,5 14 0,8 23 0,3 23 0,1 24 0,-16-38 0,-2 1 0,2 48 0,-6-2 0,-5-13 0,-7-19 0,-5-16 0,-10-19 0,-7-14 0,-6-8 0,-6-7 0,1-6 0,0-5 0,7-4 0,8-2 0,9 1 0,8-3 0,6-8 0,2 12 0,1-3 0</inkml:trace>
  <inkml:trace contextRef="#ctx0" brushRef="#br0" timeOffset="4842">3524 469 24575,'-6'-3'0,"-1"1"0,-2 2 0,-2 0 0,0 2 0,3 7 0,4 10 0,3 15 0,1 10 0,12 1 0,10-7 0,16-12 0,12-12 0,6-8 0,1-4 0,-4-6 0,-8-8 0,-15-10 0,-10-9 0,-10-3 0,-6-1 0,-9 3 0,-13 6 0,-13 7 0,-12 4 0,-3 6 0,5 4 0,7 3 0,10 2 0,8 0 0,7 0 0,5 0 0,1 0 0</inkml:trace>
  <inkml:trace contextRef="#ctx0" brushRef="#br0" timeOffset="5655">3998 457 24575,'13'10'0,"2"6"0,5 12 0,3 4 0,-3 2 0,-3-5 0,-7-7 0,-4-9 0,-5-11 0,-1-21 0,0-20 0,2-17 0,6-13 0,9 2 0,9 8 0,5 10 0,-1 17 0,-3 14 0,-4 10 0,-4 6 0,-1 1 0,1 1 0,-2 0 0,1 0 0,-9 0 0,-3 0 0</inkml:trace>
  <inkml:trace contextRef="#ctx0" brushRef="#br0" timeOffset="6682">4751 346 24575,'10'11'0,"6"4"0,9 4 0,8-2 0,0-5 0,-2-5 0,-6-3 0,-7-2 0,-5-3 0,-4-6 0,-2-6 0,-3-4 0,0-3 0,-1 6 0,0 5 0,1 6 0,5 11 0,6 15 0,9 21 0,8 24 0,-1 14 0,-5 8 0,-7-2 0,-10-12 0,-3-12 0,-5-15 0,-12-10 0,-13-4 0,-14-5 0,-10-4 0,3-6 0,9-5 0,17-7 0,10-4 0</inkml:trace>
</inkml:ink>
</file>

<file path=xl/ink/ink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46.073"/>
    </inkml:context>
    <inkml:brush xml:id="br0">
      <inkml:brushProperty name="width" value="0.035" units="cm"/>
      <inkml:brushProperty name="height" value="0.035" units="cm"/>
      <inkml:brushProperty name="color" value="#E71224"/>
    </inkml:brush>
  </inkml:definitions>
  <inkml:trace contextRef="#ctx0" brushRef="#br0">0 1 24575,'0'11'0,"0"5"0,0 7 0,0 3 0,0-1 0,0-6 0,0-4 0,0-5 0,0 2 0,0 3 0,0 3 0,0 1 0,0-5 0,0-4 0,0-6 0,0-2 0</inkml:trace>
</inkml:ink>
</file>

<file path=xl/ink/ink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47.326"/>
    </inkml:context>
    <inkml:brush xml:id="br0">
      <inkml:brushProperty name="width" value="0.035" units="cm"/>
      <inkml:brushProperty name="height" value="0.035" units="cm"/>
      <inkml:brushProperty name="color" value="#E71224"/>
    </inkml:brush>
  </inkml:definitions>
  <inkml:trace contextRef="#ctx0" brushRef="#br0">1 0 24575,'0'38'0,"0"2"0,0 5 0,0-2 0,0-9 0,0-16 0,0-8 0</inkml:trace>
</inkml:ink>
</file>

<file path=xl/ink/ink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52.887"/>
    </inkml:context>
    <inkml:brush xml:id="br0">
      <inkml:brushProperty name="width" value="0.035" units="cm"/>
      <inkml:brushProperty name="height" value="0.035" units="cm"/>
    </inkml:brush>
  </inkml:definitions>
  <inkml:trace contextRef="#ctx0" brushRef="#br0">1 139 24575,'3'-8'0,"7"2"0,18 3 0,23 1 0,11 1 0,10 1 0,-7 0 0,-11 0 0,-12 0 0,-15 1 0,-14 5 0,-7 11 0,-7 16 0,-12 14 0,-8 9 0,-10 2 0,-3-5 0,7-3 0,6-7 0,10-9 0,6-9 0,9-9 0,11-6 0,15-4 0,10-2 0,6-2 0,-2-2 0,-6-2 0,-2-2 0,-3-2 0,-5-2 0,-3 2 0,-5-2 0,-4 0 0,-3 0 0,-6 4 0,-2 1 0</inkml:trace>
  <inkml:trace contextRef="#ctx0" brushRef="#br0" timeOffset="600">913 26 24575,'0'43'0,"0"8"0,0 16 0,0 5 0,0-1 0,0-4 0,0-10 0,0-13 0,0-16 0,0-15 0,0-9 0</inkml:trace>
  <inkml:trace contextRef="#ctx0" brushRef="#br0" timeOffset="1428">1374 164 15394,'0'-9'0,"-4"3"3913,-5 1-3913,-8 4 1585,-10 0-1585,-3 1 853,4 0-853,6 0 2830,9 1-2830,7 3 0,2 2 0,8 8 0,12 6 0,11 2 0,13 2 0,7-4 0,-3 0 0,-5 0 0,-10 1 0,-11-1 0,-4 7 0,-10-6 0,-2 6 0,-11-5 0,-9 2 0,-5 2 0,-4-6 0,4-4 0,3-4 0,4-6 0,2-1 0,-2-3 0,-1-4 0,0-2 0,3-2 0,6 0 0,2 2 0,3 2 0</inkml:trace>
  <inkml:trace contextRef="#ctx0" brushRef="#br0" timeOffset="2376">1956 7 24575,'-30'-3'0,"1"1"0,-5 1 0,8 1 0,5 0 0,8 0 0,3 2 0,2 4 0,3 6 0,2 8 0,2 6 0,1 1 0,5 2 0,9-2 0,11-5 0,10-2 0,6-6 0,-3-1 0,-3 0 0,-8-1 0,-6 1 0,-5 4 0,-4 2 0,-4 4 0,-5 3 0,-1-1 0,-2 0 0,-2-4 0,-9-1 0,-10-2 0,-11-2 0,-8-3 0,-2-4 0,0-4 0,1-4 0,7-1 0,8 0 0,7-1 0,9-3 0,5 2 0,3-1 0</inkml:trace>
</inkm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an Badillo Salas" refreshedDate="45888.785901504627" createdVersion="8" refreshedVersion="8" minRefreshableVersion="3" recordCount="830" xr:uid="{E14CADAA-243B-E046-B5B9-7C04539FCC24}">
  <cacheSource type="worksheet">
    <worksheetSource name="Orders"/>
  </cacheSource>
  <cacheFields count="22">
    <cacheField name="orderID" numFmtId="0">
      <sharedItems containsSemiMixedTypes="0" containsString="0" containsNumber="1" containsInteger="1" minValue="10248" maxValue="11077"/>
    </cacheField>
    <cacheField name="customerID" numFmtId="0">
      <sharedItems count="89">
        <s v="VINET"/>
        <s v="TOMSP"/>
        <s v="HANAR"/>
        <s v="VICTE"/>
        <s v="SUPRD"/>
        <s v="CHOPS"/>
        <s v="RICSU"/>
        <s v="WELLI"/>
        <s v="HILAA"/>
        <s v="ERNSH"/>
        <s v="CENTC"/>
        <s v="OTTIK"/>
        <s v="QUEDE"/>
        <s v="RATTC"/>
        <s v="FOLKO"/>
        <s v="BLONP"/>
        <s v="WARTH"/>
        <s v="FRANK"/>
        <s v="GROSR"/>
        <s v="WHITC"/>
        <s v="SPLIR"/>
        <s v="QUICK"/>
        <s v="MAGAA"/>
        <s v="TORTU"/>
        <s v="MORGK"/>
        <s v="BERGS"/>
        <s v="LEHMS"/>
        <s v="ROMEY"/>
        <s v="LILAS"/>
        <s v="RICAR"/>
        <s v="REGGC"/>
        <s v="BSBEV"/>
        <s v="COMMI"/>
        <s v="TRADH"/>
        <s v="HUNGO"/>
        <s v="WANDK"/>
        <s v="GODOS"/>
        <s v="OLDWO"/>
        <s v="LONEP"/>
        <s v="ANATR"/>
        <s v="THEBI"/>
        <s v="DUMON"/>
        <s v="ISLAT"/>
        <s v="PERIC"/>
        <s v="KOENE"/>
        <s v="SAVEA"/>
        <s v="BOLID"/>
        <s v="FURIB"/>
        <s v="BONAP"/>
        <s v="MEREP"/>
        <s v="PRINI"/>
        <s v="SIMOB"/>
        <s v="FAMIA"/>
        <s v="LAMAI"/>
        <s v="PICCO"/>
        <s v="AROUT"/>
        <s v="SEVES"/>
        <s v="DRACD"/>
        <s v="EASTC"/>
        <s v="ANTON"/>
        <s v="GALED"/>
        <s v="VAFFE"/>
        <s v="QUEEN"/>
        <s v="WOLZA"/>
        <s v="HUNGC"/>
        <s v="SANTG"/>
        <s v="BOTTM"/>
        <s v="LINOD"/>
        <s v="FOLIG"/>
        <s v="OCEAN"/>
        <s v="FRANS"/>
        <s v="GOURL"/>
        <s v="CONSH"/>
        <s v="RANCH"/>
        <s v="LAZYK"/>
        <s v="LAUGB"/>
        <s v="BLAUS"/>
        <s v="NORTS"/>
        <s v="CACTU"/>
        <s v="GREAL"/>
        <s v="MAISD"/>
        <s v="TRAIH"/>
        <s v="LETSS"/>
        <s v="WILMK"/>
        <s v="THECR"/>
        <s v="ALFKI"/>
        <s v="FRANR"/>
        <s v="SPECD"/>
        <s v="LACOR"/>
      </sharedItems>
    </cacheField>
    <cacheField name="employeeID" numFmtId="0">
      <sharedItems containsSemiMixedTypes="0" containsString="0" containsNumber="1" containsInteger="1" minValue="1" maxValue="9" count="9">
        <n v="5"/>
        <n v="6"/>
        <n v="4"/>
        <n v="3"/>
        <n v="9"/>
        <n v="1"/>
        <n v="8"/>
        <n v="2"/>
        <n v="7"/>
      </sharedItems>
    </cacheField>
    <cacheField name="orderDate" numFmtId="14">
      <sharedItems containsSemiMixedTypes="0" containsNonDate="0" containsDate="1" containsString="0" minDate="1996-07-04T00:00:00" maxDate="1998-05-07T00:00:00" count="480">
        <d v="1996-07-04T00:00:00"/>
        <d v="1996-07-05T00:00:00"/>
        <d v="1996-07-08T00:00:00"/>
        <d v="1996-07-09T00:00:00"/>
        <d v="1996-07-10T00:00:00"/>
        <d v="1996-07-11T00:00:00"/>
        <d v="1996-07-12T00:00:00"/>
        <d v="1996-07-15T00:00:00"/>
        <d v="1996-07-16T00:00:00"/>
        <d v="1996-07-17T00:00:00"/>
        <d v="1996-07-18T00:00:00"/>
        <d v="1996-07-19T00:00:00"/>
        <d v="1996-07-22T00:00:00"/>
        <d v="1996-07-23T00:00:00"/>
        <d v="1996-07-24T00:00:00"/>
        <d v="1996-07-25T00:00:00"/>
        <d v="1996-07-26T00:00:00"/>
        <d v="1996-07-29T00:00:00"/>
        <d v="1996-07-30T00:00:00"/>
        <d v="1996-07-31T00:00:00"/>
        <d v="1996-08-01T00:00:00"/>
        <d v="1996-08-02T00:00:00"/>
        <d v="1996-08-05T00:00:00"/>
        <d v="1996-08-06T00:00:00"/>
        <d v="1996-08-07T00:00:00"/>
        <d v="1996-08-08T00:00:00"/>
        <d v="1996-08-09T00:00:00"/>
        <d v="1996-08-12T00:00:00"/>
        <d v="1996-08-13T00:00:00"/>
        <d v="1996-08-14T00:00:00"/>
        <d v="1996-08-15T00:00:00"/>
        <d v="1996-08-16T00:00:00"/>
        <d v="1996-08-19T00:00:00"/>
        <d v="1996-08-20T00:00:00"/>
        <d v="1996-08-21T00:00:00"/>
        <d v="1996-08-22T00:00:00"/>
        <d v="1996-08-23T00:00:00"/>
        <d v="1996-08-26T00:00:00"/>
        <d v="1996-08-27T00:00:00"/>
        <d v="1996-08-28T00:00:00"/>
        <d v="1996-08-29T00:00:00"/>
        <d v="1996-08-30T00:00:00"/>
        <d v="1996-09-02T00:00:00"/>
        <d v="1996-09-03T00:00:00"/>
        <d v="1996-09-04T00:00:00"/>
        <d v="1996-09-05T00:00:00"/>
        <d v="1996-09-06T00:00:00"/>
        <d v="1996-09-09T00:00:00"/>
        <d v="1996-09-10T00:00:00"/>
        <d v="1996-09-11T00:00:00"/>
        <d v="1996-09-12T00:00:00"/>
        <d v="1996-09-13T00:00:00"/>
        <d v="1996-09-16T00:00:00"/>
        <d v="1996-09-17T00:00:00"/>
        <d v="1996-09-18T00:00:00"/>
        <d v="1996-09-19T00:00:00"/>
        <d v="1996-09-20T00:00:00"/>
        <d v="1996-09-23T00:00:00"/>
        <d v="1996-09-24T00:00:00"/>
        <d v="1996-09-25T00:00:00"/>
        <d v="1996-09-26T00:00:00"/>
        <d v="1996-09-27T00:00:00"/>
        <d v="1996-09-30T00:00:00"/>
        <d v="1996-10-01T00:00:00"/>
        <d v="1996-10-02T00:00:00"/>
        <d v="1996-10-03T00:00:00"/>
        <d v="1996-10-04T00:00:00"/>
        <d v="1996-10-07T00:00:00"/>
        <d v="1996-10-08T00:00:00"/>
        <d v="1996-10-09T00:00:00"/>
        <d v="1996-10-10T00:00:00"/>
        <d v="1996-10-11T00:00:00"/>
        <d v="1996-10-14T00:00:00"/>
        <d v="1996-10-15T00:00:00"/>
        <d v="1996-10-16T00:00:00"/>
        <d v="1996-10-17T00:00:00"/>
        <d v="1996-10-18T00:00:00"/>
        <d v="1996-10-21T00:00:00"/>
        <d v="1996-10-22T00:00:00"/>
        <d v="1996-10-23T00:00:00"/>
        <d v="1996-10-24T00:00:00"/>
        <d v="1996-10-25T00:00:00"/>
        <d v="1996-10-28T00:00:00"/>
        <d v="1996-10-29T00:00:00"/>
        <d v="1996-10-30T00:00:00"/>
        <d v="1996-10-31T00:00:00"/>
        <d v="1996-11-01T00:00:00"/>
        <d v="1996-11-04T00:00:00"/>
        <d v="1996-11-05T00:00:00"/>
        <d v="1996-11-06T00:00:00"/>
        <d v="1996-11-07T00:00:00"/>
        <d v="1996-11-08T00:00:00"/>
        <d v="1996-11-11T00:00:00"/>
        <d v="1996-11-12T00:00:00"/>
        <d v="1996-11-13T00:00:00"/>
        <d v="1996-11-14T00:00:00"/>
        <d v="1996-11-15T00:00:00"/>
        <d v="1996-11-18T00:00:00"/>
        <d v="1996-11-19T00:00:00"/>
        <d v="1996-11-20T00:00:00"/>
        <d v="1996-11-21T00:00:00"/>
        <d v="1996-11-22T00:00:00"/>
        <d v="1996-11-25T00:00:00"/>
        <d v="1996-11-26T00:00:00"/>
        <d v="1996-11-27T00:00:00"/>
        <d v="1996-11-28T00:00:00"/>
        <d v="1996-11-29T00:00:00"/>
        <d v="1996-12-02T00:00:00"/>
        <d v="1996-12-03T00:00:00"/>
        <d v="1996-12-04T00:00:00"/>
        <d v="1996-12-05T00:00:00"/>
        <d v="1996-12-06T00:00:00"/>
        <d v="1996-12-09T00:00:00"/>
        <d v="1996-12-10T00:00:00"/>
        <d v="1996-12-11T00:00:00"/>
        <d v="1996-12-12T00:00:00"/>
        <d v="1996-12-13T00:00:00"/>
        <d v="1996-12-16T00:00:00"/>
        <d v="1996-12-17T00:00:00"/>
        <d v="1996-12-18T00:00:00"/>
        <d v="1996-12-19T00:00:00"/>
        <d v="1996-12-20T00:00:00"/>
        <d v="1996-12-23T00:00:00"/>
        <d v="1996-12-24T00:00:00"/>
        <d v="1996-12-25T00:00:00"/>
        <d v="1996-12-26T00:00:00"/>
        <d v="1996-12-27T00:00:00"/>
        <d v="1996-12-30T00:00:00"/>
        <d v="1996-12-31T00:00:00"/>
        <d v="1997-01-01T00:00:00"/>
        <d v="1997-01-02T00:00:00"/>
        <d v="1997-01-03T00:00:00"/>
        <d v="1997-01-06T00:00:00"/>
        <d v="1997-01-07T00:00:00"/>
        <d v="1997-01-08T00:00:00"/>
        <d v="1997-01-09T00:00:00"/>
        <d v="1997-01-10T00:00:00"/>
        <d v="1997-01-13T00:00:00"/>
        <d v="1997-01-14T00:00:00"/>
        <d v="1997-01-15T00:00:00"/>
        <d v="1997-01-16T00:00:00"/>
        <d v="1997-01-17T00:00:00"/>
        <d v="1997-01-20T00:00:00"/>
        <d v="1997-01-21T00:00:00"/>
        <d v="1997-01-22T00:00:00"/>
        <d v="1997-01-23T00:00:00"/>
        <d v="1997-01-24T00:00:00"/>
        <d v="1997-01-27T00:00:00"/>
        <d v="1997-01-28T00:00:00"/>
        <d v="1997-01-29T00:00:00"/>
        <d v="1997-01-30T00:00:00"/>
        <d v="1997-01-31T00:00:00"/>
        <d v="1997-02-03T00:00:00"/>
        <d v="1997-02-04T00:00:00"/>
        <d v="1997-02-05T00:00:00"/>
        <d v="1997-02-06T00:00:00"/>
        <d v="1997-02-07T00:00:00"/>
        <d v="1997-02-10T00:00:00"/>
        <d v="1997-02-11T00:00:00"/>
        <d v="1997-02-12T00:00:00"/>
        <d v="1997-02-13T00:00:00"/>
        <d v="1997-02-14T00:00:00"/>
        <d v="1997-02-17T00:00:00"/>
        <d v="1997-02-18T00:00:00"/>
        <d v="1997-02-19T00:00:00"/>
        <d v="1997-02-20T00:00:00"/>
        <d v="1997-02-21T00:00:00"/>
        <d v="1997-02-24T00:00:00"/>
        <d v="1997-02-25T00:00:00"/>
        <d v="1997-02-26T00:00:00"/>
        <d v="1997-02-27T00:00:00"/>
        <d v="1997-02-28T00:00:00"/>
        <d v="1997-03-03T00:00:00"/>
        <d v="1997-03-04T00:00:00"/>
        <d v="1997-03-05T00:00:00"/>
        <d v="1997-03-06T00:00:00"/>
        <d v="1997-03-07T00:00:00"/>
        <d v="1997-03-10T00:00:00"/>
        <d v="1997-03-11T00:00:00"/>
        <d v="1997-03-12T00:00:00"/>
        <d v="1997-03-13T00:00:00"/>
        <d v="1997-03-14T00:00:00"/>
        <d v="1997-03-17T00:00:00"/>
        <d v="1997-03-18T00:00:00"/>
        <d v="1997-03-19T00:00:00"/>
        <d v="1997-03-20T00:00:00"/>
        <d v="1997-03-21T00:00:00"/>
        <d v="1997-03-24T00:00:00"/>
        <d v="1997-03-25T00:00:00"/>
        <d v="1997-03-26T00:00:00"/>
        <d v="1997-03-27T00:00:00"/>
        <d v="1997-03-28T00:00:00"/>
        <d v="1997-03-31T00:00:00"/>
        <d v="1997-04-01T00:00:00"/>
        <d v="1997-04-02T00:00:00"/>
        <d v="1997-04-03T00:00:00"/>
        <d v="1997-04-04T00:00:00"/>
        <d v="1997-04-07T00:00:00"/>
        <d v="1997-04-08T00:00:00"/>
        <d v="1997-04-09T00:00:00"/>
        <d v="1997-04-10T00:00:00"/>
        <d v="1997-04-11T00:00:00"/>
        <d v="1997-04-14T00:00:00"/>
        <d v="1997-04-15T00:00:00"/>
        <d v="1997-04-16T00:00:00"/>
        <d v="1997-04-17T00:00:00"/>
        <d v="1997-04-18T00:00:00"/>
        <d v="1997-04-21T00:00:00"/>
        <d v="1997-04-22T00:00:00"/>
        <d v="1997-04-23T00:00:00"/>
        <d v="1997-04-24T00:00:00"/>
        <d v="1997-04-25T00:00:00"/>
        <d v="1997-04-28T00:00:00"/>
        <d v="1997-04-29T00:00:00"/>
        <d v="1997-04-30T00:00:00"/>
        <d v="1997-05-01T00:00:00"/>
        <d v="1997-05-02T00:00:00"/>
        <d v="1997-05-05T00:00:00"/>
        <d v="1997-05-06T00:00:00"/>
        <d v="1997-05-07T00:00:00"/>
        <d v="1997-05-08T00:00:00"/>
        <d v="1997-05-09T00:00:00"/>
        <d v="1997-05-12T00:00:00"/>
        <d v="1997-05-13T00:00:00"/>
        <d v="1997-05-14T00:00:00"/>
        <d v="1997-05-15T00:00:00"/>
        <d v="1997-05-16T00:00:00"/>
        <d v="1997-05-19T00:00:00"/>
        <d v="1997-05-20T00:00:00"/>
        <d v="1997-05-21T00:00:00"/>
        <d v="1997-05-22T00:00:00"/>
        <d v="1997-05-23T00:00:00"/>
        <d v="1997-05-26T00:00:00"/>
        <d v="1997-05-27T00:00:00"/>
        <d v="1997-05-28T00:00:00"/>
        <d v="1997-05-29T00:00:00"/>
        <d v="1997-05-30T00:00:00"/>
        <d v="1997-06-02T00:00:00"/>
        <d v="1997-06-03T00:00:00"/>
        <d v="1997-06-04T00:00:00"/>
        <d v="1997-06-05T00:00:00"/>
        <d v="1997-06-06T00:00:00"/>
        <d v="1997-06-09T00:00:00"/>
        <d v="1997-06-10T00:00:00"/>
        <d v="1997-06-11T00:00:00"/>
        <d v="1997-06-12T00:00:00"/>
        <d v="1997-06-13T00:00:00"/>
        <d v="1997-06-16T00:00:00"/>
        <d v="1997-06-17T00:00:00"/>
        <d v="1997-06-18T00:00:00"/>
        <d v="1997-06-19T00:00:00"/>
        <d v="1997-06-20T00:00:00"/>
        <d v="1997-06-23T00:00:00"/>
        <d v="1997-06-24T00:00:00"/>
        <d v="1997-06-25T00:00:00"/>
        <d v="1997-06-26T00:00:00"/>
        <d v="1997-06-27T00:00:00"/>
        <d v="1997-06-30T00:00:00"/>
        <d v="1997-07-01T00:00:00"/>
        <d v="1997-07-02T00:00:00"/>
        <d v="1997-07-03T00:00:00"/>
        <d v="1997-07-04T00:00:00"/>
        <d v="1997-07-07T00:00:00"/>
        <d v="1997-07-08T00:00:00"/>
        <d v="1997-07-09T00:00:00"/>
        <d v="1997-07-10T00:00:00"/>
        <d v="1997-07-11T00:00:00"/>
        <d v="1997-07-14T00:00:00"/>
        <d v="1997-07-15T00:00:00"/>
        <d v="1997-07-16T00:00:00"/>
        <d v="1997-07-17T00:00:00"/>
        <d v="1997-07-18T00:00:00"/>
        <d v="1997-07-21T00:00:00"/>
        <d v="1997-07-22T00:00:00"/>
        <d v="1997-07-23T00:00:00"/>
        <d v="1997-07-24T00:00:00"/>
        <d v="1997-07-25T00:00:00"/>
        <d v="1997-07-28T00:00:00"/>
        <d v="1997-07-29T00:00:00"/>
        <d v="1997-07-30T00:00:00"/>
        <d v="1997-07-31T00:00:00"/>
        <d v="1997-08-01T00:00:00"/>
        <d v="1997-08-04T00:00:00"/>
        <d v="1997-08-05T00:00:00"/>
        <d v="1997-08-06T00:00:00"/>
        <d v="1997-08-07T00:00:00"/>
        <d v="1997-08-08T00:00:00"/>
        <d v="1997-08-11T00:00:00"/>
        <d v="1997-08-12T00:00:00"/>
        <d v="1997-08-13T00:00:00"/>
        <d v="1997-08-14T00:00:00"/>
        <d v="1997-08-15T00:00:00"/>
        <d v="1997-08-18T00:00:00"/>
        <d v="1997-08-19T00:00:00"/>
        <d v="1997-08-20T00:00:00"/>
        <d v="1997-08-21T00:00:00"/>
        <d v="1997-08-22T00:00:00"/>
        <d v="1997-08-25T00:00:00"/>
        <d v="1997-08-26T00:00:00"/>
        <d v="1997-08-27T00:00:00"/>
        <d v="1997-08-28T00:00:00"/>
        <d v="1997-08-29T00:00:00"/>
        <d v="1997-09-01T00:00:00"/>
        <d v="1997-09-02T00:00:00"/>
        <d v="1997-09-03T00:00:00"/>
        <d v="1997-09-04T00:00:00"/>
        <d v="1997-09-05T00:00:00"/>
        <d v="1997-09-08T00:00:00"/>
        <d v="1997-09-09T00:00:00"/>
        <d v="1997-09-10T00:00:00"/>
        <d v="1997-09-11T00:00:00"/>
        <d v="1997-09-12T00:00:00"/>
        <d v="1997-09-15T00:00:00"/>
        <d v="1997-09-16T00:00:00"/>
        <d v="1997-09-17T00:00:00"/>
        <d v="1997-09-18T00:00:00"/>
        <d v="1997-09-19T00:00:00"/>
        <d v="1997-09-22T00:00:00"/>
        <d v="1997-09-23T00:00:00"/>
        <d v="1997-09-24T00:00:00"/>
        <d v="1997-09-25T00:00:00"/>
        <d v="1997-09-26T00:00:00"/>
        <d v="1997-09-29T00:00:00"/>
        <d v="1997-09-30T00:00:00"/>
        <d v="1997-10-01T00:00:00"/>
        <d v="1997-10-02T00:00:00"/>
        <d v="1997-10-03T00:00:00"/>
        <d v="1997-10-06T00:00:00"/>
        <d v="1997-10-07T00:00:00"/>
        <d v="1997-10-08T00:00:00"/>
        <d v="1997-10-09T00:00:00"/>
        <d v="1997-10-10T00:00:00"/>
        <d v="1997-10-13T00:00:00"/>
        <d v="1997-10-14T00:00:00"/>
        <d v="1997-10-15T00:00:00"/>
        <d v="1997-10-16T00:00:00"/>
        <d v="1997-10-17T00:00:00"/>
        <d v="1997-10-20T00:00:00"/>
        <d v="1997-10-21T00:00:00"/>
        <d v="1997-10-22T00:00:00"/>
        <d v="1997-10-23T00:00:00"/>
        <d v="1997-10-24T00:00:00"/>
        <d v="1997-10-27T00:00:00"/>
        <d v="1997-10-28T00:00:00"/>
        <d v="1997-10-29T00:00:00"/>
        <d v="1997-10-30T00:00:00"/>
        <d v="1997-10-31T00:00:00"/>
        <d v="1997-11-03T00:00:00"/>
        <d v="1997-11-04T00:00:00"/>
        <d v="1997-11-05T00:00:00"/>
        <d v="1997-11-06T00:00:00"/>
        <d v="1997-11-07T00:00:00"/>
        <d v="1997-11-10T00:00:00"/>
        <d v="1997-11-11T00:00:00"/>
        <d v="1997-11-12T00:00:00"/>
        <d v="1997-11-13T00:00:00"/>
        <d v="1997-11-14T00:00:00"/>
        <d v="1997-11-17T00:00:00"/>
        <d v="1997-11-18T00:00:00"/>
        <d v="1997-11-19T00:00:00"/>
        <d v="1997-11-20T00:00:00"/>
        <d v="1997-11-21T00:00:00"/>
        <d v="1997-11-24T00:00:00"/>
        <d v="1997-11-25T00:00:00"/>
        <d v="1997-11-26T00:00:00"/>
        <d v="1997-11-27T00:00:00"/>
        <d v="1997-11-28T00:00:00"/>
        <d v="1997-12-01T00:00:00"/>
        <d v="1997-12-02T00:00:00"/>
        <d v="1997-12-03T00:00:00"/>
        <d v="1997-12-04T00:00:00"/>
        <d v="1997-12-05T00:00:00"/>
        <d v="1997-12-08T00:00:00"/>
        <d v="1997-12-09T00:00:00"/>
        <d v="1997-12-10T00:00:00"/>
        <d v="1997-12-11T00:00:00"/>
        <d v="1997-12-12T00:00:00"/>
        <d v="1997-12-15T00:00:00"/>
        <d v="1997-12-16T00:00:00"/>
        <d v="1997-12-17T00:00:00"/>
        <d v="1997-12-18T00:00:00"/>
        <d v="1997-12-19T00:00:00"/>
        <d v="1997-12-22T00:00:00"/>
        <d v="1997-12-23T00:00:00"/>
        <d v="1997-12-24T00:00:00"/>
        <d v="1997-12-25T00:00:00"/>
        <d v="1997-12-26T00:00:00"/>
        <d v="1997-12-29T00:00:00"/>
        <d v="1997-12-30T00:00:00"/>
        <d v="1997-12-31T00:00:00"/>
        <d v="1998-01-01T00:00:00"/>
        <d v="1998-01-02T00:00:00"/>
        <d v="1998-01-05T00:00:00"/>
        <d v="1998-01-06T00:00:00"/>
        <d v="1998-01-07T00:00:00"/>
        <d v="1998-01-08T00:00:00"/>
        <d v="1998-01-09T00:00:00"/>
        <d v="1998-01-12T00:00:00"/>
        <d v="1998-01-13T00:00:00"/>
        <d v="1998-01-14T00:00:00"/>
        <d v="1998-01-15T00:00:00"/>
        <d v="1998-01-16T00:00:00"/>
        <d v="1998-01-19T00:00:00"/>
        <d v="1998-01-20T00:00:00"/>
        <d v="1998-01-21T00:00:00"/>
        <d v="1998-01-22T00:00:00"/>
        <d v="1998-01-23T00:00:00"/>
        <d v="1998-01-26T00:00:00"/>
        <d v="1998-01-27T00:00:00"/>
        <d v="1998-01-28T00:00:00"/>
        <d v="1998-01-29T00:00:00"/>
        <d v="1998-01-30T00:00:00"/>
        <d v="1998-02-02T00:00:00"/>
        <d v="1998-02-03T00:00:00"/>
        <d v="1998-02-04T00:00:00"/>
        <d v="1998-02-05T00:00:00"/>
        <d v="1998-02-06T00:00:00"/>
        <d v="1998-02-09T00:00:00"/>
        <d v="1998-02-10T00:00:00"/>
        <d v="1998-02-11T00:00:00"/>
        <d v="1998-02-12T00:00:00"/>
        <d v="1998-02-13T00:00:00"/>
        <d v="1998-02-16T00:00:00"/>
        <d v="1998-02-17T00:00:00"/>
        <d v="1998-02-18T00:00:00"/>
        <d v="1998-02-19T00:00:00"/>
        <d v="1998-02-20T00:00:00"/>
        <d v="1998-02-23T00:00:00"/>
        <d v="1998-02-24T00:00:00"/>
        <d v="1998-02-25T00:00:00"/>
        <d v="1998-02-26T00:00:00"/>
        <d v="1998-02-27T00:00:00"/>
        <d v="1998-03-02T00:00:00"/>
        <d v="1998-03-03T00:00:00"/>
        <d v="1998-03-04T00:00:00"/>
        <d v="1998-03-05T00:00:00"/>
        <d v="1998-03-06T00:00:00"/>
        <d v="1998-03-09T00:00:00"/>
        <d v="1998-03-10T00:00:00"/>
        <d v="1998-03-11T00:00:00"/>
        <d v="1998-03-12T00:00:00"/>
        <d v="1998-03-13T00:00:00"/>
        <d v="1998-03-16T00:00:00"/>
        <d v="1998-03-17T00:00:00"/>
        <d v="1998-03-18T00:00:00"/>
        <d v="1998-03-19T00:00:00"/>
        <d v="1998-03-20T00:00:00"/>
        <d v="1998-03-23T00:00:00"/>
        <d v="1998-03-24T00:00:00"/>
        <d v="1998-03-25T00:00:00"/>
        <d v="1998-03-26T00:00:00"/>
        <d v="1998-03-27T00:00:00"/>
        <d v="1998-03-30T00:00:00"/>
        <d v="1998-03-31T00:00:00"/>
        <d v="1998-04-01T00:00:00"/>
        <d v="1998-04-02T00:00:00"/>
        <d v="1998-04-03T00:00:00"/>
        <d v="1998-04-06T00:00:00"/>
        <d v="1998-04-07T00:00:00"/>
        <d v="1998-04-08T00:00:00"/>
        <d v="1998-04-09T00:00:00"/>
        <d v="1998-04-10T00:00:00"/>
        <d v="1998-04-13T00:00:00"/>
        <d v="1998-04-14T00:00:00"/>
        <d v="1998-04-15T00:00:00"/>
        <d v="1998-04-16T00:00:00"/>
        <d v="1998-04-17T00:00:00"/>
        <d v="1998-04-20T00:00:00"/>
        <d v="1998-04-21T00:00:00"/>
        <d v="1998-04-22T00:00:00"/>
        <d v="1998-04-23T00:00:00"/>
        <d v="1998-04-24T00:00:00"/>
        <d v="1998-04-27T00:00:00"/>
        <d v="1998-04-28T00:00:00"/>
        <d v="1998-04-29T00:00:00"/>
        <d v="1998-04-30T00:00:00"/>
        <d v="1998-05-01T00:00:00"/>
        <d v="1998-05-04T00:00:00"/>
        <d v="1998-05-05T00:00:00"/>
        <d v="1998-05-06T00:00:00"/>
      </sharedItems>
      <fieldGroup par="20"/>
    </cacheField>
    <cacheField name="requiredDate" numFmtId="14">
      <sharedItems containsSemiMixedTypes="0" containsNonDate="0" containsDate="1" containsString="0" minDate="1996-07-24T00:00:00" maxDate="1998-06-12T00:00:00"/>
    </cacheField>
    <cacheField name="shippedDate" numFmtId="0">
      <sharedItems containsDate="1" containsMixedTypes="1" minDate="1996-07-10T00:00:00" maxDate="1998-05-07T00:00:00"/>
    </cacheField>
    <cacheField name="shipVia" numFmtId="0">
      <sharedItems containsSemiMixedTypes="0" containsString="0" containsNumber="1" containsInteger="1" minValue="1" maxValue="3" count="3">
        <n v="3"/>
        <n v="1"/>
        <n v="2"/>
      </sharedItems>
    </cacheField>
    <cacheField name=" freight " numFmtId="8">
      <sharedItems containsSemiMixedTypes="0" containsString="0" containsNumber="1" minValue="0.02" maxValue="1007.64"/>
    </cacheField>
    <cacheField name="shipName" numFmtId="0">
      <sharedItems/>
    </cacheField>
    <cacheField name="shipAddress" numFmtId="0">
      <sharedItems/>
    </cacheField>
    <cacheField name="shipCity" numFmtId="0">
      <sharedItems/>
    </cacheField>
    <cacheField name="shipRegion" numFmtId="0">
      <sharedItems/>
    </cacheField>
    <cacheField name="shipPostalCode" numFmtId="0">
      <sharedItems containsMixedTypes="1" containsNumber="1" containsInteger="1" minValue="1010" maxValue="99508"/>
    </cacheField>
    <cacheField name="shipCountry" numFmtId="0">
      <sharedItems count="21">
        <s v="France"/>
        <s v="Germany"/>
        <s v="Brazil"/>
        <s v="Belgium"/>
        <s v="Switzerland"/>
        <s v="Venezuela"/>
        <s v="Austria"/>
        <s v="Mexico"/>
        <s v="USA"/>
        <s v="Sweden"/>
        <s v="Finland"/>
        <s v="Italy"/>
        <s v="Spain"/>
        <s v="UK"/>
        <s v="Ireland"/>
        <s v="Portugal"/>
        <s v="Canada"/>
        <s v="Denmark"/>
        <s v="Poland"/>
        <s v="Norway"/>
        <s v="Argentina"/>
      </sharedItems>
    </cacheField>
    <cacheField name="diasEspera" numFmtId="0">
      <sharedItems containsSemiMixedTypes="0" containsString="0" containsNumber="1" containsInteger="1" minValue="14" maxValue="42"/>
    </cacheField>
    <cacheField name="diasEnvio" numFmtId="0">
      <sharedItems containsMixedTypes="1" containsNumber="1" containsInteger="1" minValue="1" maxValue="37"/>
    </cacheField>
    <cacheField name="diasAdelento" numFmtId="0">
      <sharedItems containsMixedTypes="1" containsNumber="1" containsInteger="1" minValue="-23" maxValue="41"/>
    </cacheField>
    <cacheField name="ClientesUnicos" numFmtId="0" formula=" _xlfn.UNIQUE(customerID )" databaseField="0"/>
    <cacheField name="Meses (orderDate)" numFmtId="0" databaseField="0">
      <fieldGroup base="3">
        <rangePr groupBy="months" startDate="1996-07-04T00:00:00" endDate="1998-05-07T00:00:00"/>
        <groupItems count="14">
          <s v="&lt;04/07/96"/>
          <s v="ene"/>
          <s v="feb"/>
          <s v="mar"/>
          <s v="abr"/>
          <s v="may"/>
          <s v="jun"/>
          <s v="jul"/>
          <s v="ago"/>
          <s v="sep"/>
          <s v="oct"/>
          <s v="nov"/>
          <s v="dic"/>
          <s v="&gt;07/05/98"/>
        </groupItems>
      </fieldGroup>
    </cacheField>
    <cacheField name="Trimestres (orderDate)" numFmtId="0" databaseField="0">
      <fieldGroup base="3">
        <rangePr groupBy="quarters" startDate="1996-07-04T00:00:00" endDate="1998-05-07T00:00:00"/>
        <groupItems count="6">
          <s v="&lt;04/07/96"/>
          <s v="Trim.1"/>
          <s v="Trim.2"/>
          <s v="Trim.3"/>
          <s v="Trim.4"/>
          <s v="&gt;07/05/98"/>
        </groupItems>
      </fieldGroup>
    </cacheField>
    <cacheField name="Años (orderDate)" numFmtId="0" databaseField="0">
      <fieldGroup base="3">
        <rangePr groupBy="years" startDate="1996-07-04T00:00:00" endDate="1998-05-07T00:00:00"/>
        <groupItems count="5">
          <s v="&lt;04/07/96"/>
          <s v="1996"/>
          <s v="1997"/>
          <s v="1998"/>
          <s v="&gt;07/05/98"/>
        </groupItems>
      </fieldGroup>
    </cacheField>
    <cacheField name="DiasEspera2" numFmtId="0" formula="1*(requiredDate-orderDate)" databaseField="0"/>
  </cacheFields>
  <extLst>
    <ext xmlns:x14="http://schemas.microsoft.com/office/spreadsheetml/2009/9/main" uri="{725AE2AE-9491-48be-B2B4-4EB974FC3084}">
      <x14:pivotCacheDefinition pivotCacheId="55500400"/>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an Badillo Salas" refreshedDate="45888.789217361111" createdVersion="8" refreshedVersion="8" minRefreshableVersion="3" recordCount="830" xr:uid="{4E334687-02CE-014B-9667-5FE75DAD7869}">
  <cacheSource type="worksheet">
    <worksheetSource name="OrderCosts"/>
  </cacheSource>
  <cacheFields count="8">
    <cacheField name="orderID" numFmtId="0">
      <sharedItems containsSemiMixedTypes="0" containsString="0" containsNumber="1" containsInteger="1" minValue="10248" maxValue="11077" count="830">
        <n v="10248"/>
        <n v="10249"/>
        <n v="10250"/>
        <n v="10251"/>
        <n v="10252"/>
        <n v="10253"/>
        <n v="10254"/>
        <n v="10255"/>
        <n v="10256"/>
        <n v="10257"/>
        <n v="10258"/>
        <n v="10259"/>
        <n v="10260"/>
        <n v="10261"/>
        <n v="10262"/>
        <n v="10263"/>
        <n v="10264"/>
        <n v="10265"/>
        <n v="10266"/>
        <n v="10267"/>
        <n v="10268"/>
        <n v="10269"/>
        <n v="10270"/>
        <n v="10271"/>
        <n v="10272"/>
        <n v="10273"/>
        <n v="10274"/>
        <n v="10275"/>
        <n v="10276"/>
        <n v="10277"/>
        <n v="10278"/>
        <n v="10279"/>
        <n v="10280"/>
        <n v="10281"/>
        <n v="10282"/>
        <n v="10283"/>
        <n v="10284"/>
        <n v="10285"/>
        <n v="10286"/>
        <n v="10287"/>
        <n v="10288"/>
        <n v="10289"/>
        <n v="10290"/>
        <n v="10291"/>
        <n v="10292"/>
        <n v="10293"/>
        <n v="10294"/>
        <n v="10295"/>
        <n v="10296"/>
        <n v="10297"/>
        <n v="10298"/>
        <n v="10299"/>
        <n v="10300"/>
        <n v="10301"/>
        <n v="10302"/>
        <n v="10303"/>
        <n v="10304"/>
        <n v="10305"/>
        <n v="10306"/>
        <n v="10307"/>
        <n v="10308"/>
        <n v="10309"/>
        <n v="10310"/>
        <n v="10311"/>
        <n v="10312"/>
        <n v="10313"/>
        <n v="10314"/>
        <n v="10315"/>
        <n v="10316"/>
        <n v="10317"/>
        <n v="10318"/>
        <n v="10319"/>
        <n v="10320"/>
        <n v="10321"/>
        <n v="10322"/>
        <n v="10323"/>
        <n v="10324"/>
        <n v="10325"/>
        <n v="10326"/>
        <n v="10327"/>
        <n v="10328"/>
        <n v="10329"/>
        <n v="10330"/>
        <n v="10331"/>
        <n v="10332"/>
        <n v="10333"/>
        <n v="10334"/>
        <n v="10335"/>
        <n v="10336"/>
        <n v="10337"/>
        <n v="10338"/>
        <n v="10339"/>
        <n v="10340"/>
        <n v="10341"/>
        <n v="10342"/>
        <n v="10343"/>
        <n v="10344"/>
        <n v="10345"/>
        <n v="10346"/>
        <n v="10347"/>
        <n v="10348"/>
        <n v="10349"/>
        <n v="10350"/>
        <n v="10351"/>
        <n v="10352"/>
        <n v="10353"/>
        <n v="10354"/>
        <n v="10355"/>
        <n v="10356"/>
        <n v="10357"/>
        <n v="10358"/>
        <n v="10359"/>
        <n v="10360"/>
        <n v="10361"/>
        <n v="10362"/>
        <n v="10363"/>
        <n v="10364"/>
        <n v="10365"/>
        <n v="10366"/>
        <n v="10367"/>
        <n v="10368"/>
        <n v="10369"/>
        <n v="10370"/>
        <n v="10371"/>
        <n v="10372"/>
        <n v="10373"/>
        <n v="10374"/>
        <n v="10375"/>
        <n v="10376"/>
        <n v="10377"/>
        <n v="10378"/>
        <n v="10379"/>
        <n v="10380"/>
        <n v="10381"/>
        <n v="10382"/>
        <n v="10383"/>
        <n v="10384"/>
        <n v="10385"/>
        <n v="10386"/>
        <n v="10387"/>
        <n v="10388"/>
        <n v="10389"/>
        <n v="10390"/>
        <n v="10391"/>
        <n v="10392"/>
        <n v="10393"/>
        <n v="10394"/>
        <n v="10395"/>
        <n v="10396"/>
        <n v="10397"/>
        <n v="10398"/>
        <n v="10399"/>
        <n v="10400"/>
        <n v="10401"/>
        <n v="10402"/>
        <n v="10403"/>
        <n v="10404"/>
        <n v="10405"/>
        <n v="10406"/>
        <n v="10407"/>
        <n v="10408"/>
        <n v="10409"/>
        <n v="10410"/>
        <n v="10411"/>
        <n v="10412"/>
        <n v="10413"/>
        <n v="10414"/>
        <n v="10415"/>
        <n v="10416"/>
        <n v="10417"/>
        <n v="10418"/>
        <n v="10419"/>
        <n v="10420"/>
        <n v="10421"/>
        <n v="10422"/>
        <n v="10423"/>
        <n v="10424"/>
        <n v="10425"/>
        <n v="10426"/>
        <n v="10427"/>
        <n v="10428"/>
        <n v="10429"/>
        <n v="10430"/>
        <n v="10431"/>
        <n v="10432"/>
        <n v="10433"/>
        <n v="10434"/>
        <n v="10435"/>
        <n v="10436"/>
        <n v="10437"/>
        <n v="10438"/>
        <n v="10439"/>
        <n v="10440"/>
        <n v="10441"/>
        <n v="10442"/>
        <n v="10443"/>
        <n v="10444"/>
        <n v="10445"/>
        <n v="10446"/>
        <n v="10447"/>
        <n v="10448"/>
        <n v="10449"/>
        <n v="10450"/>
        <n v="10451"/>
        <n v="10452"/>
        <n v="10453"/>
        <n v="10454"/>
        <n v="10455"/>
        <n v="10456"/>
        <n v="10457"/>
        <n v="10458"/>
        <n v="10459"/>
        <n v="10460"/>
        <n v="10461"/>
        <n v="10462"/>
        <n v="10463"/>
        <n v="10464"/>
        <n v="10465"/>
        <n v="10466"/>
        <n v="10467"/>
        <n v="10468"/>
        <n v="10469"/>
        <n v="10470"/>
        <n v="10471"/>
        <n v="10472"/>
        <n v="10473"/>
        <n v="10474"/>
        <n v="10475"/>
        <n v="10476"/>
        <n v="10477"/>
        <n v="10478"/>
        <n v="10479"/>
        <n v="10480"/>
        <n v="10481"/>
        <n v="10482"/>
        <n v="10483"/>
        <n v="10484"/>
        <n v="10485"/>
        <n v="10486"/>
        <n v="10487"/>
        <n v="10488"/>
        <n v="10489"/>
        <n v="10490"/>
        <n v="10491"/>
        <n v="10492"/>
        <n v="10493"/>
        <n v="10494"/>
        <n v="10495"/>
        <n v="10496"/>
        <n v="10497"/>
        <n v="10498"/>
        <n v="10499"/>
        <n v="10500"/>
        <n v="10501"/>
        <n v="10502"/>
        <n v="10503"/>
        <n v="10504"/>
        <n v="10505"/>
        <n v="10506"/>
        <n v="10507"/>
        <n v="10508"/>
        <n v="10509"/>
        <n v="10510"/>
        <n v="10511"/>
        <n v="10512"/>
        <n v="10513"/>
        <n v="10514"/>
        <n v="10515"/>
        <n v="10516"/>
        <n v="10517"/>
        <n v="10518"/>
        <n v="10519"/>
        <n v="10520"/>
        <n v="10521"/>
        <n v="10522"/>
        <n v="10523"/>
        <n v="10524"/>
        <n v="10525"/>
        <n v="10526"/>
        <n v="10527"/>
        <n v="10528"/>
        <n v="10529"/>
        <n v="10530"/>
        <n v="10531"/>
        <n v="10532"/>
        <n v="10533"/>
        <n v="10534"/>
        <n v="10535"/>
        <n v="10536"/>
        <n v="10537"/>
        <n v="10538"/>
        <n v="10539"/>
        <n v="10540"/>
        <n v="10541"/>
        <n v="10542"/>
        <n v="10543"/>
        <n v="10544"/>
        <n v="10545"/>
        <n v="10546"/>
        <n v="10547"/>
        <n v="10548"/>
        <n v="10549"/>
        <n v="10550"/>
        <n v="10551"/>
        <n v="10552"/>
        <n v="10553"/>
        <n v="10554"/>
        <n v="10555"/>
        <n v="10556"/>
        <n v="10557"/>
        <n v="10558"/>
        <n v="10559"/>
        <n v="10560"/>
        <n v="10561"/>
        <n v="10562"/>
        <n v="10563"/>
        <n v="10564"/>
        <n v="10565"/>
        <n v="10566"/>
        <n v="10567"/>
        <n v="10568"/>
        <n v="10569"/>
        <n v="10570"/>
        <n v="10571"/>
        <n v="10572"/>
        <n v="10573"/>
        <n v="10574"/>
        <n v="10575"/>
        <n v="10576"/>
        <n v="10577"/>
        <n v="10578"/>
        <n v="10579"/>
        <n v="10580"/>
        <n v="10581"/>
        <n v="10582"/>
        <n v="10583"/>
        <n v="10584"/>
        <n v="10585"/>
        <n v="10586"/>
        <n v="10587"/>
        <n v="10588"/>
        <n v="10589"/>
        <n v="10590"/>
        <n v="10591"/>
        <n v="10592"/>
        <n v="10593"/>
        <n v="10594"/>
        <n v="10595"/>
        <n v="10596"/>
        <n v="10597"/>
        <n v="10598"/>
        <n v="10599"/>
        <n v="10600"/>
        <n v="10601"/>
        <n v="10602"/>
        <n v="10603"/>
        <n v="10604"/>
        <n v="10605"/>
        <n v="10606"/>
        <n v="10607"/>
        <n v="10608"/>
        <n v="10609"/>
        <n v="10610"/>
        <n v="10611"/>
        <n v="10612"/>
        <n v="10613"/>
        <n v="10614"/>
        <n v="10615"/>
        <n v="10616"/>
        <n v="10617"/>
        <n v="10618"/>
        <n v="10619"/>
        <n v="10620"/>
        <n v="10621"/>
        <n v="10622"/>
        <n v="10623"/>
        <n v="10624"/>
        <n v="10625"/>
        <n v="10626"/>
        <n v="10627"/>
        <n v="10628"/>
        <n v="10629"/>
        <n v="10630"/>
        <n v="10631"/>
        <n v="10632"/>
        <n v="10633"/>
        <n v="10634"/>
        <n v="10635"/>
        <n v="10636"/>
        <n v="10637"/>
        <n v="10638"/>
        <n v="10639"/>
        <n v="10640"/>
        <n v="10641"/>
        <n v="10642"/>
        <n v="10643"/>
        <n v="10644"/>
        <n v="10645"/>
        <n v="10646"/>
        <n v="10647"/>
        <n v="10648"/>
        <n v="10649"/>
        <n v="10650"/>
        <n v="10651"/>
        <n v="10652"/>
        <n v="10653"/>
        <n v="10654"/>
        <n v="10655"/>
        <n v="10656"/>
        <n v="10657"/>
        <n v="10658"/>
        <n v="10659"/>
        <n v="10660"/>
        <n v="10661"/>
        <n v="10662"/>
        <n v="10663"/>
        <n v="10664"/>
        <n v="10665"/>
        <n v="10666"/>
        <n v="10667"/>
        <n v="10668"/>
        <n v="10669"/>
        <n v="10670"/>
        <n v="10671"/>
        <n v="10672"/>
        <n v="10673"/>
        <n v="10674"/>
        <n v="10675"/>
        <n v="10676"/>
        <n v="10677"/>
        <n v="10678"/>
        <n v="10679"/>
        <n v="10680"/>
        <n v="10681"/>
        <n v="10682"/>
        <n v="10683"/>
        <n v="10684"/>
        <n v="10685"/>
        <n v="10686"/>
        <n v="10687"/>
        <n v="10688"/>
        <n v="10689"/>
        <n v="10690"/>
        <n v="10691"/>
        <n v="10692"/>
        <n v="10693"/>
        <n v="10694"/>
        <n v="10695"/>
        <n v="10696"/>
        <n v="10697"/>
        <n v="10698"/>
        <n v="10699"/>
        <n v="10700"/>
        <n v="10701"/>
        <n v="10702"/>
        <n v="10703"/>
        <n v="10704"/>
        <n v="10705"/>
        <n v="10706"/>
        <n v="10707"/>
        <n v="10708"/>
        <n v="10709"/>
        <n v="10710"/>
        <n v="10711"/>
        <n v="10712"/>
        <n v="10713"/>
        <n v="10714"/>
        <n v="10715"/>
        <n v="10716"/>
        <n v="10717"/>
        <n v="10718"/>
        <n v="10719"/>
        <n v="10720"/>
        <n v="10721"/>
        <n v="10722"/>
        <n v="10723"/>
        <n v="10724"/>
        <n v="10725"/>
        <n v="10726"/>
        <n v="10727"/>
        <n v="10728"/>
        <n v="10729"/>
        <n v="10730"/>
        <n v="10731"/>
        <n v="10732"/>
        <n v="10733"/>
        <n v="10734"/>
        <n v="10735"/>
        <n v="10736"/>
        <n v="10737"/>
        <n v="10738"/>
        <n v="10739"/>
        <n v="10740"/>
        <n v="10741"/>
        <n v="10742"/>
        <n v="10743"/>
        <n v="10744"/>
        <n v="10745"/>
        <n v="10746"/>
        <n v="10747"/>
        <n v="10748"/>
        <n v="10749"/>
        <n v="10750"/>
        <n v="10751"/>
        <n v="10752"/>
        <n v="10753"/>
        <n v="10754"/>
        <n v="10755"/>
        <n v="10756"/>
        <n v="10757"/>
        <n v="10758"/>
        <n v="10759"/>
        <n v="10760"/>
        <n v="10761"/>
        <n v="10762"/>
        <n v="10763"/>
        <n v="10764"/>
        <n v="10765"/>
        <n v="10766"/>
        <n v="10767"/>
        <n v="10768"/>
        <n v="10769"/>
        <n v="10770"/>
        <n v="10771"/>
        <n v="10772"/>
        <n v="10773"/>
        <n v="10774"/>
        <n v="10775"/>
        <n v="10776"/>
        <n v="10777"/>
        <n v="10778"/>
        <n v="10779"/>
        <n v="10780"/>
        <n v="10781"/>
        <n v="10782"/>
        <n v="10783"/>
        <n v="10784"/>
        <n v="10785"/>
        <n v="10786"/>
        <n v="10787"/>
        <n v="10788"/>
        <n v="10789"/>
        <n v="10790"/>
        <n v="10791"/>
        <n v="10792"/>
        <n v="10793"/>
        <n v="10794"/>
        <n v="10795"/>
        <n v="10796"/>
        <n v="10797"/>
        <n v="10798"/>
        <n v="10799"/>
        <n v="10800"/>
        <n v="10801"/>
        <n v="10802"/>
        <n v="10803"/>
        <n v="10804"/>
        <n v="10805"/>
        <n v="10806"/>
        <n v="10807"/>
        <n v="10808"/>
        <n v="10809"/>
        <n v="10810"/>
        <n v="10811"/>
        <n v="10812"/>
        <n v="10813"/>
        <n v="10814"/>
        <n v="10815"/>
        <n v="10816"/>
        <n v="10817"/>
        <n v="10818"/>
        <n v="10819"/>
        <n v="10820"/>
        <n v="10821"/>
        <n v="10822"/>
        <n v="10823"/>
        <n v="10824"/>
        <n v="10825"/>
        <n v="10826"/>
        <n v="10827"/>
        <n v="10828"/>
        <n v="10829"/>
        <n v="10830"/>
        <n v="10831"/>
        <n v="10832"/>
        <n v="10833"/>
        <n v="10834"/>
        <n v="10835"/>
        <n v="10836"/>
        <n v="10837"/>
        <n v="10838"/>
        <n v="10839"/>
        <n v="10840"/>
        <n v="10841"/>
        <n v="10842"/>
        <n v="10843"/>
        <n v="10844"/>
        <n v="10845"/>
        <n v="10846"/>
        <n v="10847"/>
        <n v="10848"/>
        <n v="10849"/>
        <n v="10850"/>
        <n v="10851"/>
        <n v="10852"/>
        <n v="10853"/>
        <n v="10854"/>
        <n v="10855"/>
        <n v="10856"/>
        <n v="10857"/>
        <n v="10858"/>
        <n v="10859"/>
        <n v="10860"/>
        <n v="10861"/>
        <n v="10862"/>
        <n v="10863"/>
        <n v="10864"/>
        <n v="10865"/>
        <n v="10866"/>
        <n v="10867"/>
        <n v="10868"/>
        <n v="10869"/>
        <n v="10870"/>
        <n v="10871"/>
        <n v="10872"/>
        <n v="10873"/>
        <n v="10874"/>
        <n v="10875"/>
        <n v="10876"/>
        <n v="10877"/>
        <n v="10878"/>
        <n v="10879"/>
        <n v="10880"/>
        <n v="10881"/>
        <n v="10882"/>
        <n v="10883"/>
        <n v="10884"/>
        <n v="10885"/>
        <n v="10886"/>
        <n v="10887"/>
        <n v="10888"/>
        <n v="10889"/>
        <n v="10890"/>
        <n v="10891"/>
        <n v="10892"/>
        <n v="10893"/>
        <n v="10894"/>
        <n v="10895"/>
        <n v="10896"/>
        <n v="10897"/>
        <n v="10898"/>
        <n v="10899"/>
        <n v="10900"/>
        <n v="10901"/>
        <n v="10902"/>
        <n v="10903"/>
        <n v="10904"/>
        <n v="10905"/>
        <n v="10906"/>
        <n v="10907"/>
        <n v="10908"/>
        <n v="10909"/>
        <n v="10910"/>
        <n v="10911"/>
        <n v="10912"/>
        <n v="10913"/>
        <n v="10914"/>
        <n v="10915"/>
        <n v="10916"/>
        <n v="10917"/>
        <n v="10918"/>
        <n v="10919"/>
        <n v="10920"/>
        <n v="10921"/>
        <n v="10922"/>
        <n v="10923"/>
        <n v="10924"/>
        <n v="10925"/>
        <n v="10926"/>
        <n v="10927"/>
        <n v="10928"/>
        <n v="10929"/>
        <n v="10930"/>
        <n v="10931"/>
        <n v="10932"/>
        <n v="10933"/>
        <n v="10934"/>
        <n v="10935"/>
        <n v="10936"/>
        <n v="10937"/>
        <n v="10938"/>
        <n v="10939"/>
        <n v="10940"/>
        <n v="10941"/>
        <n v="10942"/>
        <n v="10943"/>
        <n v="10944"/>
        <n v="10945"/>
        <n v="10946"/>
        <n v="10947"/>
        <n v="10948"/>
        <n v="10949"/>
        <n v="10950"/>
        <n v="10951"/>
        <n v="10952"/>
        <n v="10953"/>
        <n v="10954"/>
        <n v="10955"/>
        <n v="10956"/>
        <n v="10957"/>
        <n v="10958"/>
        <n v="10959"/>
        <n v="10960"/>
        <n v="10961"/>
        <n v="10962"/>
        <n v="10963"/>
        <n v="10964"/>
        <n v="10965"/>
        <n v="10966"/>
        <n v="10967"/>
        <n v="10968"/>
        <n v="10969"/>
        <n v="10970"/>
        <n v="10971"/>
        <n v="10972"/>
        <n v="10973"/>
        <n v="10974"/>
        <n v="10975"/>
        <n v="10976"/>
        <n v="10977"/>
        <n v="10978"/>
        <n v="10979"/>
        <n v="10980"/>
        <n v="10981"/>
        <n v="10982"/>
        <n v="10983"/>
        <n v="10984"/>
        <n v="10985"/>
        <n v="10986"/>
        <n v="10987"/>
        <n v="10988"/>
        <n v="10989"/>
        <n v="10990"/>
        <n v="10991"/>
        <n v="10992"/>
        <n v="10993"/>
        <n v="10994"/>
        <n v="10995"/>
        <n v="10996"/>
        <n v="10997"/>
        <n v="10998"/>
        <n v="10999"/>
        <n v="11000"/>
        <n v="11001"/>
        <n v="11002"/>
        <n v="11003"/>
        <n v="11004"/>
        <n v="11005"/>
        <n v="11006"/>
        <n v="11007"/>
        <n v="11008"/>
        <n v="11009"/>
        <n v="11010"/>
        <n v="11011"/>
        <n v="11012"/>
        <n v="11013"/>
        <n v="11014"/>
        <n v="11015"/>
        <n v="11016"/>
        <n v="11017"/>
        <n v="11018"/>
        <n v="11019"/>
        <n v="11020"/>
        <n v="11021"/>
        <n v="11022"/>
        <n v="11023"/>
        <n v="11024"/>
        <n v="11025"/>
        <n v="11026"/>
        <n v="11027"/>
        <n v="11028"/>
        <n v="11029"/>
        <n v="11030"/>
        <n v="11031"/>
        <n v="11032"/>
        <n v="11033"/>
        <n v="11034"/>
        <n v="11035"/>
        <n v="11036"/>
        <n v="11037"/>
        <n v="11038"/>
        <n v="11039"/>
        <n v="11040"/>
        <n v="11041"/>
        <n v="11042"/>
        <n v="11043"/>
        <n v="11044"/>
        <n v="11045"/>
        <n v="11046"/>
        <n v="11047"/>
        <n v="11048"/>
        <n v="11049"/>
        <n v="11050"/>
        <n v="11051"/>
        <n v="11052"/>
        <n v="11053"/>
        <n v="11054"/>
        <n v="11055"/>
        <n v="11056"/>
        <n v="11057"/>
        <n v="11058"/>
        <n v="11059"/>
        <n v="11060"/>
        <n v="11061"/>
        <n v="11062"/>
        <n v="11063"/>
        <n v="11064"/>
        <n v="11065"/>
        <n v="11066"/>
        <n v="11067"/>
        <n v="11068"/>
        <n v="11069"/>
        <n v="11070"/>
        <n v="11071"/>
        <n v="11072"/>
        <n v="11073"/>
        <n v="11074"/>
        <n v="11075"/>
        <n v="11076"/>
        <n v="11077"/>
      </sharedItems>
    </cacheField>
    <cacheField name="subtotal3" numFmtId="0">
      <sharedItems containsSemiMixedTypes="0" containsString="0" containsNumber="1" minValue="12.5" maxValue="16387.5"/>
    </cacheField>
    <cacheField name="subtotal4" numFmtId="0">
      <sharedItems containsSemiMixedTypes="0" containsString="0" containsNumber="1" minValue="12.5" maxValue="17250"/>
    </cacheField>
    <cacheField name="margen" numFmtId="0">
      <sharedItems containsSemiMixedTypes="0" containsString="0" containsNumber="1" minValue="-6142.7" maxValue="0"/>
    </cacheField>
    <cacheField name="orderDate" numFmtId="14">
      <sharedItems containsSemiMixedTypes="0" containsNonDate="0" containsDate="1" containsString="0" minDate="1996-07-04T00:00:00" maxDate="1998-05-07T00:00:00" count="480">
        <d v="1996-07-04T00:00:00"/>
        <d v="1996-07-05T00:00:00"/>
        <d v="1996-07-08T00:00:00"/>
        <d v="1996-07-09T00:00:00"/>
        <d v="1996-07-10T00:00:00"/>
        <d v="1996-07-11T00:00:00"/>
        <d v="1996-07-12T00:00:00"/>
        <d v="1996-07-15T00:00:00"/>
        <d v="1996-07-16T00:00:00"/>
        <d v="1996-07-17T00:00:00"/>
        <d v="1996-07-18T00:00:00"/>
        <d v="1996-07-19T00:00:00"/>
        <d v="1996-07-22T00:00:00"/>
        <d v="1996-07-23T00:00:00"/>
        <d v="1996-07-24T00:00:00"/>
        <d v="1996-07-25T00:00:00"/>
        <d v="1996-07-26T00:00:00"/>
        <d v="1996-07-29T00:00:00"/>
        <d v="1996-07-30T00:00:00"/>
        <d v="1996-07-31T00:00:00"/>
        <d v="1996-08-01T00:00:00"/>
        <d v="1996-08-02T00:00:00"/>
        <d v="1996-08-05T00:00:00"/>
        <d v="1996-08-06T00:00:00"/>
        <d v="1996-08-07T00:00:00"/>
        <d v="1996-08-08T00:00:00"/>
        <d v="1996-08-09T00:00:00"/>
        <d v="1996-08-12T00:00:00"/>
        <d v="1996-08-13T00:00:00"/>
        <d v="1996-08-14T00:00:00"/>
        <d v="1996-08-15T00:00:00"/>
        <d v="1996-08-16T00:00:00"/>
        <d v="1996-08-19T00:00:00"/>
        <d v="1996-08-20T00:00:00"/>
        <d v="1996-08-21T00:00:00"/>
        <d v="1996-08-22T00:00:00"/>
        <d v="1996-08-23T00:00:00"/>
        <d v="1996-08-26T00:00:00"/>
        <d v="1996-08-27T00:00:00"/>
        <d v="1996-08-28T00:00:00"/>
        <d v="1996-08-29T00:00:00"/>
        <d v="1996-08-30T00:00:00"/>
        <d v="1996-09-02T00:00:00"/>
        <d v="1996-09-03T00:00:00"/>
        <d v="1996-09-04T00:00:00"/>
        <d v="1996-09-05T00:00:00"/>
        <d v="1996-09-06T00:00:00"/>
        <d v="1996-09-09T00:00:00"/>
        <d v="1996-09-10T00:00:00"/>
        <d v="1996-09-11T00:00:00"/>
        <d v="1996-09-12T00:00:00"/>
        <d v="1996-09-13T00:00:00"/>
        <d v="1996-09-16T00:00:00"/>
        <d v="1996-09-17T00:00:00"/>
        <d v="1996-09-18T00:00:00"/>
        <d v="1996-09-19T00:00:00"/>
        <d v="1996-09-20T00:00:00"/>
        <d v="1996-09-23T00:00:00"/>
        <d v="1996-09-24T00:00:00"/>
        <d v="1996-09-25T00:00:00"/>
        <d v="1996-09-26T00:00:00"/>
        <d v="1996-09-27T00:00:00"/>
        <d v="1996-09-30T00:00:00"/>
        <d v="1996-10-01T00:00:00"/>
        <d v="1996-10-02T00:00:00"/>
        <d v="1996-10-03T00:00:00"/>
        <d v="1996-10-04T00:00:00"/>
        <d v="1996-10-07T00:00:00"/>
        <d v="1996-10-08T00:00:00"/>
        <d v="1996-10-09T00:00:00"/>
        <d v="1996-10-10T00:00:00"/>
        <d v="1996-10-11T00:00:00"/>
        <d v="1996-10-14T00:00:00"/>
        <d v="1996-10-15T00:00:00"/>
        <d v="1996-10-16T00:00:00"/>
        <d v="1996-10-17T00:00:00"/>
        <d v="1996-10-18T00:00:00"/>
        <d v="1996-10-21T00:00:00"/>
        <d v="1996-10-22T00:00:00"/>
        <d v="1996-10-23T00:00:00"/>
        <d v="1996-10-24T00:00:00"/>
        <d v="1996-10-25T00:00:00"/>
        <d v="1996-10-28T00:00:00"/>
        <d v="1996-10-29T00:00:00"/>
        <d v="1996-10-30T00:00:00"/>
        <d v="1996-10-31T00:00:00"/>
        <d v="1996-11-01T00:00:00"/>
        <d v="1996-11-04T00:00:00"/>
        <d v="1996-11-05T00:00:00"/>
        <d v="1996-11-06T00:00:00"/>
        <d v="1996-11-07T00:00:00"/>
        <d v="1996-11-08T00:00:00"/>
        <d v="1996-11-11T00:00:00"/>
        <d v="1996-11-12T00:00:00"/>
        <d v="1996-11-13T00:00:00"/>
        <d v="1996-11-14T00:00:00"/>
        <d v="1996-11-15T00:00:00"/>
        <d v="1996-11-18T00:00:00"/>
        <d v="1996-11-19T00:00:00"/>
        <d v="1996-11-20T00:00:00"/>
        <d v="1996-11-21T00:00:00"/>
        <d v="1996-11-22T00:00:00"/>
        <d v="1996-11-25T00:00:00"/>
        <d v="1996-11-26T00:00:00"/>
        <d v="1996-11-27T00:00:00"/>
        <d v="1996-11-28T00:00:00"/>
        <d v="1996-11-29T00:00:00"/>
        <d v="1996-12-02T00:00:00"/>
        <d v="1996-12-03T00:00:00"/>
        <d v="1996-12-04T00:00:00"/>
        <d v="1996-12-05T00:00:00"/>
        <d v="1996-12-06T00:00:00"/>
        <d v="1996-12-09T00:00:00"/>
        <d v="1996-12-10T00:00:00"/>
        <d v="1996-12-11T00:00:00"/>
        <d v="1996-12-12T00:00:00"/>
        <d v="1996-12-13T00:00:00"/>
        <d v="1996-12-16T00:00:00"/>
        <d v="1996-12-17T00:00:00"/>
        <d v="1996-12-18T00:00:00"/>
        <d v="1996-12-19T00:00:00"/>
        <d v="1996-12-20T00:00:00"/>
        <d v="1996-12-23T00:00:00"/>
        <d v="1996-12-24T00:00:00"/>
        <d v="1996-12-25T00:00:00"/>
        <d v="1996-12-26T00:00:00"/>
        <d v="1996-12-27T00:00:00"/>
        <d v="1996-12-30T00:00:00"/>
        <d v="1996-12-31T00:00:00"/>
        <d v="1997-01-01T00:00:00"/>
        <d v="1997-01-02T00:00:00"/>
        <d v="1997-01-03T00:00:00"/>
        <d v="1997-01-06T00:00:00"/>
        <d v="1997-01-07T00:00:00"/>
        <d v="1997-01-08T00:00:00"/>
        <d v="1997-01-09T00:00:00"/>
        <d v="1997-01-10T00:00:00"/>
        <d v="1997-01-13T00:00:00"/>
        <d v="1997-01-14T00:00:00"/>
        <d v="1997-01-15T00:00:00"/>
        <d v="1997-01-16T00:00:00"/>
        <d v="1997-01-17T00:00:00"/>
        <d v="1997-01-20T00:00:00"/>
        <d v="1997-01-21T00:00:00"/>
        <d v="1997-01-22T00:00:00"/>
        <d v="1997-01-23T00:00:00"/>
        <d v="1997-01-24T00:00:00"/>
        <d v="1997-01-27T00:00:00"/>
        <d v="1997-01-28T00:00:00"/>
        <d v="1997-01-29T00:00:00"/>
        <d v="1997-01-30T00:00:00"/>
        <d v="1997-01-31T00:00:00"/>
        <d v="1997-02-03T00:00:00"/>
        <d v="1997-02-04T00:00:00"/>
        <d v="1997-02-05T00:00:00"/>
        <d v="1997-02-06T00:00:00"/>
        <d v="1997-02-07T00:00:00"/>
        <d v="1997-02-10T00:00:00"/>
        <d v="1997-02-11T00:00:00"/>
        <d v="1997-02-12T00:00:00"/>
        <d v="1997-02-13T00:00:00"/>
        <d v="1997-02-14T00:00:00"/>
        <d v="1997-02-17T00:00:00"/>
        <d v="1997-02-18T00:00:00"/>
        <d v="1997-02-19T00:00:00"/>
        <d v="1997-02-20T00:00:00"/>
        <d v="1997-02-21T00:00:00"/>
        <d v="1997-02-24T00:00:00"/>
        <d v="1997-02-25T00:00:00"/>
        <d v="1997-02-26T00:00:00"/>
        <d v="1997-02-27T00:00:00"/>
        <d v="1997-02-28T00:00:00"/>
        <d v="1997-03-03T00:00:00"/>
        <d v="1997-03-04T00:00:00"/>
        <d v="1997-03-05T00:00:00"/>
        <d v="1997-03-06T00:00:00"/>
        <d v="1997-03-07T00:00:00"/>
        <d v="1997-03-10T00:00:00"/>
        <d v="1997-03-11T00:00:00"/>
        <d v="1997-03-12T00:00:00"/>
        <d v="1997-03-13T00:00:00"/>
        <d v="1997-03-14T00:00:00"/>
        <d v="1997-03-17T00:00:00"/>
        <d v="1997-03-18T00:00:00"/>
        <d v="1997-03-19T00:00:00"/>
        <d v="1997-03-20T00:00:00"/>
        <d v="1997-03-21T00:00:00"/>
        <d v="1997-03-24T00:00:00"/>
        <d v="1997-03-25T00:00:00"/>
        <d v="1997-03-26T00:00:00"/>
        <d v="1997-03-27T00:00:00"/>
        <d v="1997-03-28T00:00:00"/>
        <d v="1997-03-31T00:00:00"/>
        <d v="1997-04-01T00:00:00"/>
        <d v="1997-04-02T00:00:00"/>
        <d v="1997-04-03T00:00:00"/>
        <d v="1997-04-04T00:00:00"/>
        <d v="1997-04-07T00:00:00"/>
        <d v="1997-04-08T00:00:00"/>
        <d v="1997-04-09T00:00:00"/>
        <d v="1997-04-10T00:00:00"/>
        <d v="1997-04-11T00:00:00"/>
        <d v="1997-04-14T00:00:00"/>
        <d v="1997-04-15T00:00:00"/>
        <d v="1997-04-16T00:00:00"/>
        <d v="1997-04-17T00:00:00"/>
        <d v="1997-04-18T00:00:00"/>
        <d v="1997-04-21T00:00:00"/>
        <d v="1997-04-22T00:00:00"/>
        <d v="1997-04-23T00:00:00"/>
        <d v="1997-04-24T00:00:00"/>
        <d v="1997-04-25T00:00:00"/>
        <d v="1997-04-28T00:00:00"/>
        <d v="1997-04-29T00:00:00"/>
        <d v="1997-04-30T00:00:00"/>
        <d v="1997-05-01T00:00:00"/>
        <d v="1997-05-02T00:00:00"/>
        <d v="1997-05-05T00:00:00"/>
        <d v="1997-05-06T00:00:00"/>
        <d v="1997-05-07T00:00:00"/>
        <d v="1997-05-08T00:00:00"/>
        <d v="1997-05-09T00:00:00"/>
        <d v="1997-05-12T00:00:00"/>
        <d v="1997-05-13T00:00:00"/>
        <d v="1997-05-14T00:00:00"/>
        <d v="1997-05-15T00:00:00"/>
        <d v="1997-05-16T00:00:00"/>
        <d v="1997-05-19T00:00:00"/>
        <d v="1997-05-20T00:00:00"/>
        <d v="1997-05-21T00:00:00"/>
        <d v="1997-05-22T00:00:00"/>
        <d v="1997-05-23T00:00:00"/>
        <d v="1997-05-26T00:00:00"/>
        <d v="1997-05-27T00:00:00"/>
        <d v="1997-05-28T00:00:00"/>
        <d v="1997-05-29T00:00:00"/>
        <d v="1997-05-30T00:00:00"/>
        <d v="1997-06-02T00:00:00"/>
        <d v="1997-06-03T00:00:00"/>
        <d v="1997-06-04T00:00:00"/>
        <d v="1997-06-05T00:00:00"/>
        <d v="1997-06-06T00:00:00"/>
        <d v="1997-06-09T00:00:00"/>
        <d v="1997-06-10T00:00:00"/>
        <d v="1997-06-11T00:00:00"/>
        <d v="1997-06-12T00:00:00"/>
        <d v="1997-06-13T00:00:00"/>
        <d v="1997-06-16T00:00:00"/>
        <d v="1997-06-17T00:00:00"/>
        <d v="1997-06-18T00:00:00"/>
        <d v="1997-06-19T00:00:00"/>
        <d v="1997-06-20T00:00:00"/>
        <d v="1997-06-23T00:00:00"/>
        <d v="1997-06-24T00:00:00"/>
        <d v="1997-06-25T00:00:00"/>
        <d v="1997-06-26T00:00:00"/>
        <d v="1997-06-27T00:00:00"/>
        <d v="1997-06-30T00:00:00"/>
        <d v="1997-07-01T00:00:00"/>
        <d v="1997-07-02T00:00:00"/>
        <d v="1997-07-03T00:00:00"/>
        <d v="1997-07-04T00:00:00"/>
        <d v="1997-07-07T00:00:00"/>
        <d v="1997-07-08T00:00:00"/>
        <d v="1997-07-09T00:00:00"/>
        <d v="1997-07-10T00:00:00"/>
        <d v="1997-07-11T00:00:00"/>
        <d v="1997-07-14T00:00:00"/>
        <d v="1997-07-15T00:00:00"/>
        <d v="1997-07-16T00:00:00"/>
        <d v="1997-07-17T00:00:00"/>
        <d v="1997-07-18T00:00:00"/>
        <d v="1997-07-21T00:00:00"/>
        <d v="1997-07-22T00:00:00"/>
        <d v="1997-07-23T00:00:00"/>
        <d v="1997-07-24T00:00:00"/>
        <d v="1997-07-25T00:00:00"/>
        <d v="1997-07-28T00:00:00"/>
        <d v="1997-07-29T00:00:00"/>
        <d v="1997-07-30T00:00:00"/>
        <d v="1997-07-31T00:00:00"/>
        <d v="1997-08-01T00:00:00"/>
        <d v="1997-08-04T00:00:00"/>
        <d v="1997-08-05T00:00:00"/>
        <d v="1997-08-06T00:00:00"/>
        <d v="1997-08-07T00:00:00"/>
        <d v="1997-08-08T00:00:00"/>
        <d v="1997-08-11T00:00:00"/>
        <d v="1997-08-12T00:00:00"/>
        <d v="1997-08-13T00:00:00"/>
        <d v="1997-08-14T00:00:00"/>
        <d v="1997-08-15T00:00:00"/>
        <d v="1997-08-18T00:00:00"/>
        <d v="1997-08-19T00:00:00"/>
        <d v="1997-08-20T00:00:00"/>
        <d v="1997-08-21T00:00:00"/>
        <d v="1997-08-22T00:00:00"/>
        <d v="1997-08-25T00:00:00"/>
        <d v="1997-08-26T00:00:00"/>
        <d v="1997-08-27T00:00:00"/>
        <d v="1997-08-28T00:00:00"/>
        <d v="1997-08-29T00:00:00"/>
        <d v="1997-09-01T00:00:00"/>
        <d v="1997-09-02T00:00:00"/>
        <d v="1997-09-03T00:00:00"/>
        <d v="1997-09-04T00:00:00"/>
        <d v="1997-09-05T00:00:00"/>
        <d v="1997-09-08T00:00:00"/>
        <d v="1997-09-09T00:00:00"/>
        <d v="1997-09-10T00:00:00"/>
        <d v="1997-09-11T00:00:00"/>
        <d v="1997-09-12T00:00:00"/>
        <d v="1997-09-15T00:00:00"/>
        <d v="1997-09-16T00:00:00"/>
        <d v="1997-09-17T00:00:00"/>
        <d v="1997-09-18T00:00:00"/>
        <d v="1997-09-19T00:00:00"/>
        <d v="1997-09-22T00:00:00"/>
        <d v="1997-09-23T00:00:00"/>
        <d v="1997-09-24T00:00:00"/>
        <d v="1997-09-25T00:00:00"/>
        <d v="1997-09-26T00:00:00"/>
        <d v="1997-09-29T00:00:00"/>
        <d v="1997-09-30T00:00:00"/>
        <d v="1997-10-01T00:00:00"/>
        <d v="1997-10-02T00:00:00"/>
        <d v="1997-10-03T00:00:00"/>
        <d v="1997-10-06T00:00:00"/>
        <d v="1997-10-07T00:00:00"/>
        <d v="1997-10-08T00:00:00"/>
        <d v="1997-10-09T00:00:00"/>
        <d v="1997-10-10T00:00:00"/>
        <d v="1997-10-13T00:00:00"/>
        <d v="1997-10-14T00:00:00"/>
        <d v="1997-10-15T00:00:00"/>
        <d v="1997-10-16T00:00:00"/>
        <d v="1997-10-17T00:00:00"/>
        <d v="1997-10-20T00:00:00"/>
        <d v="1997-10-21T00:00:00"/>
        <d v="1997-10-22T00:00:00"/>
        <d v="1997-10-23T00:00:00"/>
        <d v="1997-10-24T00:00:00"/>
        <d v="1997-10-27T00:00:00"/>
        <d v="1997-10-28T00:00:00"/>
        <d v="1997-10-29T00:00:00"/>
        <d v="1997-10-30T00:00:00"/>
        <d v="1997-10-31T00:00:00"/>
        <d v="1997-11-03T00:00:00"/>
        <d v="1997-11-04T00:00:00"/>
        <d v="1997-11-05T00:00:00"/>
        <d v="1997-11-06T00:00:00"/>
        <d v="1997-11-07T00:00:00"/>
        <d v="1997-11-10T00:00:00"/>
        <d v="1997-11-11T00:00:00"/>
        <d v="1997-11-12T00:00:00"/>
        <d v="1997-11-13T00:00:00"/>
        <d v="1997-11-14T00:00:00"/>
        <d v="1997-11-17T00:00:00"/>
        <d v="1997-11-18T00:00:00"/>
        <d v="1997-11-19T00:00:00"/>
        <d v="1997-11-20T00:00:00"/>
        <d v="1997-11-21T00:00:00"/>
        <d v="1997-11-24T00:00:00"/>
        <d v="1997-11-25T00:00:00"/>
        <d v="1997-11-26T00:00:00"/>
        <d v="1997-11-27T00:00:00"/>
        <d v="1997-11-28T00:00:00"/>
        <d v="1997-12-01T00:00:00"/>
        <d v="1997-12-02T00:00:00"/>
        <d v="1997-12-03T00:00:00"/>
        <d v="1997-12-04T00:00:00"/>
        <d v="1997-12-05T00:00:00"/>
        <d v="1997-12-08T00:00:00"/>
        <d v="1997-12-09T00:00:00"/>
        <d v="1997-12-10T00:00:00"/>
        <d v="1997-12-11T00:00:00"/>
        <d v="1997-12-12T00:00:00"/>
        <d v="1997-12-15T00:00:00"/>
        <d v="1997-12-16T00:00:00"/>
        <d v="1997-12-17T00:00:00"/>
        <d v="1997-12-18T00:00:00"/>
        <d v="1997-12-19T00:00:00"/>
        <d v="1997-12-22T00:00:00"/>
        <d v="1997-12-23T00:00:00"/>
        <d v="1997-12-24T00:00:00"/>
        <d v="1997-12-25T00:00:00"/>
        <d v="1997-12-26T00:00:00"/>
        <d v="1997-12-29T00:00:00"/>
        <d v="1997-12-30T00:00:00"/>
        <d v="1997-12-31T00:00:00"/>
        <d v="1998-01-01T00:00:00"/>
        <d v="1998-01-02T00:00:00"/>
        <d v="1998-01-05T00:00:00"/>
        <d v="1998-01-06T00:00:00"/>
        <d v="1998-01-07T00:00:00"/>
        <d v="1998-01-08T00:00:00"/>
        <d v="1998-01-09T00:00:00"/>
        <d v="1998-01-12T00:00:00"/>
        <d v="1998-01-13T00:00:00"/>
        <d v="1998-01-14T00:00:00"/>
        <d v="1998-01-15T00:00:00"/>
        <d v="1998-01-16T00:00:00"/>
        <d v="1998-01-19T00:00:00"/>
        <d v="1998-01-20T00:00:00"/>
        <d v="1998-01-21T00:00:00"/>
        <d v="1998-01-22T00:00:00"/>
        <d v="1998-01-23T00:00:00"/>
        <d v="1998-01-26T00:00:00"/>
        <d v="1998-01-27T00:00:00"/>
        <d v="1998-01-28T00:00:00"/>
        <d v="1998-01-29T00:00:00"/>
        <d v="1998-01-30T00:00:00"/>
        <d v="1998-02-02T00:00:00"/>
        <d v="1998-02-03T00:00:00"/>
        <d v="1998-02-04T00:00:00"/>
        <d v="1998-02-05T00:00:00"/>
        <d v="1998-02-06T00:00:00"/>
        <d v="1998-02-09T00:00:00"/>
        <d v="1998-02-10T00:00:00"/>
        <d v="1998-02-11T00:00:00"/>
        <d v="1998-02-12T00:00:00"/>
        <d v="1998-02-13T00:00:00"/>
        <d v="1998-02-16T00:00:00"/>
        <d v="1998-02-17T00:00:00"/>
        <d v="1998-02-18T00:00:00"/>
        <d v="1998-02-19T00:00:00"/>
        <d v="1998-02-20T00:00:00"/>
        <d v="1998-02-23T00:00:00"/>
        <d v="1998-02-24T00:00:00"/>
        <d v="1998-02-25T00:00:00"/>
        <d v="1998-02-26T00:00:00"/>
        <d v="1998-02-27T00:00:00"/>
        <d v="1998-03-02T00:00:00"/>
        <d v="1998-03-03T00:00:00"/>
        <d v="1998-03-04T00:00:00"/>
        <d v="1998-03-05T00:00:00"/>
        <d v="1998-03-06T00:00:00"/>
        <d v="1998-03-09T00:00:00"/>
        <d v="1998-03-10T00:00:00"/>
        <d v="1998-03-11T00:00:00"/>
        <d v="1998-03-12T00:00:00"/>
        <d v="1998-03-13T00:00:00"/>
        <d v="1998-03-16T00:00:00"/>
        <d v="1998-03-17T00:00:00"/>
        <d v="1998-03-18T00:00:00"/>
        <d v="1998-03-19T00:00:00"/>
        <d v="1998-03-20T00:00:00"/>
        <d v="1998-03-23T00:00:00"/>
        <d v="1998-03-24T00:00:00"/>
        <d v="1998-03-25T00:00:00"/>
        <d v="1998-03-26T00:00:00"/>
        <d v="1998-03-27T00:00:00"/>
        <d v="1998-03-30T00:00:00"/>
        <d v="1998-03-31T00:00:00"/>
        <d v="1998-04-01T00:00:00"/>
        <d v="1998-04-02T00:00:00"/>
        <d v="1998-04-03T00:00:00"/>
        <d v="1998-04-06T00:00:00"/>
        <d v="1998-04-07T00:00:00"/>
        <d v="1998-04-08T00:00:00"/>
        <d v="1998-04-09T00:00:00"/>
        <d v="1998-04-10T00:00:00"/>
        <d v="1998-04-13T00:00:00"/>
        <d v="1998-04-14T00:00:00"/>
        <d v="1998-04-15T00:00:00"/>
        <d v="1998-04-16T00:00:00"/>
        <d v="1998-04-17T00:00:00"/>
        <d v="1998-04-20T00:00:00"/>
        <d v="1998-04-21T00:00:00"/>
        <d v="1998-04-22T00:00:00"/>
        <d v="1998-04-23T00:00:00"/>
        <d v="1998-04-24T00:00:00"/>
        <d v="1998-04-27T00:00:00"/>
        <d v="1998-04-28T00:00:00"/>
        <d v="1998-04-29T00:00:00"/>
        <d v="1998-04-30T00:00:00"/>
        <d v="1998-05-01T00:00:00"/>
        <d v="1998-05-04T00:00:00"/>
        <d v="1998-05-05T00:00:00"/>
        <d v="1998-05-06T00:00:00"/>
      </sharedItems>
      <fieldGroup par="7"/>
    </cacheField>
    <cacheField name="Meses (orderDate)" numFmtId="0" databaseField="0">
      <fieldGroup base="4">
        <rangePr groupBy="months" startDate="1996-07-04T00:00:00" endDate="1998-05-07T00:00:00"/>
        <groupItems count="14">
          <s v="&lt;04/07/96"/>
          <s v="ene"/>
          <s v="feb"/>
          <s v="mar"/>
          <s v="abr"/>
          <s v="may"/>
          <s v="jun"/>
          <s v="jul"/>
          <s v="ago"/>
          <s v="sep"/>
          <s v="oct"/>
          <s v="nov"/>
          <s v="dic"/>
          <s v="&gt;07/05/98"/>
        </groupItems>
      </fieldGroup>
    </cacheField>
    <cacheField name="Trimestres (orderDate)" numFmtId="0" databaseField="0">
      <fieldGroup base="4">
        <rangePr groupBy="quarters" startDate="1996-07-04T00:00:00" endDate="1998-05-07T00:00:00"/>
        <groupItems count="6">
          <s v="&lt;04/07/96"/>
          <s v="Trim.1"/>
          <s v="Trim.2"/>
          <s v="Trim.3"/>
          <s v="Trim.4"/>
          <s v="&gt;07/05/98"/>
        </groupItems>
      </fieldGroup>
    </cacheField>
    <cacheField name="Años (orderDate)" numFmtId="0" databaseField="0">
      <fieldGroup base="4">
        <rangePr groupBy="years" startDate="1996-07-04T00:00:00" endDate="1998-05-07T00:00:00"/>
        <groupItems count="5">
          <s v="&lt;04/07/96"/>
          <s v="1996"/>
          <s v="1997"/>
          <s v="1998"/>
          <s v="&gt;07/05/98"/>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0">
  <r>
    <n v="10248"/>
    <x v="0"/>
    <x v="0"/>
    <x v="0"/>
    <d v="1996-08-01T00:00:00"/>
    <d v="1996-07-16T00:00:00"/>
    <x v="0"/>
    <n v="32.380000000000003"/>
    <s v="Vins et alcools Chevalier"/>
    <s v="59 rue de l'Abbaye"/>
    <s v="Reims"/>
    <s v="NULL"/>
    <n v="51100"/>
    <x v="0"/>
    <n v="28"/>
    <n v="12"/>
    <n v="16"/>
  </r>
  <r>
    <n v="10249"/>
    <x v="1"/>
    <x v="1"/>
    <x v="1"/>
    <d v="1996-08-16T00:00:00"/>
    <d v="1996-07-10T00:00:00"/>
    <x v="1"/>
    <n v="11.61"/>
    <s v="Toms Spezialitäten"/>
    <s v="Luisenstr. 48"/>
    <s v="Münster"/>
    <s v="NULL"/>
    <n v="44087"/>
    <x v="1"/>
    <n v="42"/>
    <n v="5"/>
    <n v="37"/>
  </r>
  <r>
    <n v="10250"/>
    <x v="2"/>
    <x v="2"/>
    <x v="2"/>
    <d v="1996-08-05T00:00:00"/>
    <d v="1996-07-12T00:00:00"/>
    <x v="2"/>
    <n v="65.83"/>
    <s v="Hanari Carnes"/>
    <s v="Rua do Paço 67"/>
    <s v="Rio de Janeiro"/>
    <s v="RJ"/>
    <s v="05454-876"/>
    <x v="2"/>
    <n v="28"/>
    <n v="4"/>
    <n v="24"/>
  </r>
  <r>
    <n v="10251"/>
    <x v="3"/>
    <x v="3"/>
    <x v="2"/>
    <d v="1996-08-05T00:00:00"/>
    <d v="1996-07-15T00:00:00"/>
    <x v="1"/>
    <n v="41.34"/>
    <s v="Victuailles en stock"/>
    <s v="2  rue du Commerce"/>
    <s v="Lyon"/>
    <s v="NULL"/>
    <n v="69004"/>
    <x v="0"/>
    <n v="28"/>
    <n v="7"/>
    <n v="21"/>
  </r>
  <r>
    <n v="10252"/>
    <x v="4"/>
    <x v="2"/>
    <x v="3"/>
    <d v="1996-08-06T00:00:00"/>
    <d v="1996-07-11T00:00:00"/>
    <x v="2"/>
    <n v="51.3"/>
    <s v="Suprêmes délices"/>
    <s v="Boulevard Tirou 255"/>
    <s v="Charleroi"/>
    <s v="NULL"/>
    <s v="B-6000"/>
    <x v="3"/>
    <n v="28"/>
    <n v="2"/>
    <n v="26"/>
  </r>
  <r>
    <n v="10253"/>
    <x v="2"/>
    <x v="3"/>
    <x v="4"/>
    <d v="1996-07-24T00:00:00"/>
    <d v="1996-07-16T00:00:00"/>
    <x v="2"/>
    <n v="58.17"/>
    <s v="Hanari Carnes"/>
    <s v="Rua do Paço 67"/>
    <s v="Rio de Janeiro"/>
    <s v="RJ"/>
    <s v="05454-876"/>
    <x v="2"/>
    <n v="14"/>
    <n v="6"/>
    <n v="8"/>
  </r>
  <r>
    <n v="10254"/>
    <x v="5"/>
    <x v="0"/>
    <x v="5"/>
    <d v="1996-08-08T00:00:00"/>
    <d v="1996-07-23T00:00:00"/>
    <x v="2"/>
    <n v="22.98"/>
    <s v="Chop-suey Chinese"/>
    <s v="Hauptstr. 31"/>
    <s v="Bern"/>
    <s v="NULL"/>
    <n v="3012"/>
    <x v="4"/>
    <n v="28"/>
    <n v="12"/>
    <n v="16"/>
  </r>
  <r>
    <n v="10255"/>
    <x v="6"/>
    <x v="4"/>
    <x v="6"/>
    <d v="1996-08-09T00:00:00"/>
    <d v="1996-07-15T00:00:00"/>
    <x v="0"/>
    <n v="148.33000000000001"/>
    <s v="Richter Supermarkt"/>
    <s v="Starenweg 5"/>
    <s v="Genève"/>
    <s v="NULL"/>
    <n v="1204"/>
    <x v="4"/>
    <n v="28"/>
    <n v="3"/>
    <n v="25"/>
  </r>
  <r>
    <n v="10256"/>
    <x v="7"/>
    <x v="3"/>
    <x v="7"/>
    <d v="1996-08-12T00:00:00"/>
    <d v="1996-07-17T00:00:00"/>
    <x v="2"/>
    <n v="13.97"/>
    <s v="Wellington Importadora"/>
    <s v="Rua do Mercado 12"/>
    <s v="Resende"/>
    <s v="SP"/>
    <s v="08737-363"/>
    <x v="2"/>
    <n v="28"/>
    <n v="2"/>
    <n v="26"/>
  </r>
  <r>
    <n v="10257"/>
    <x v="8"/>
    <x v="2"/>
    <x v="8"/>
    <d v="1996-08-13T00:00:00"/>
    <d v="1996-07-22T00:00:00"/>
    <x v="0"/>
    <n v="81.91"/>
    <s v="HILARION-Abastos"/>
    <s v="Carrera 22 con Ave. Carlos Soublette #8-35"/>
    <s v="San Cristóbal"/>
    <s v="Táchira"/>
    <n v="5022"/>
    <x v="5"/>
    <n v="28"/>
    <n v="6"/>
    <n v="22"/>
  </r>
  <r>
    <n v="10258"/>
    <x v="9"/>
    <x v="5"/>
    <x v="9"/>
    <d v="1996-08-14T00:00:00"/>
    <d v="1996-07-23T00:00:00"/>
    <x v="1"/>
    <n v="140.51"/>
    <s v="Ernst Handel"/>
    <s v="Kirchgasse 6"/>
    <s v="Graz"/>
    <s v="NULL"/>
    <n v="8010"/>
    <x v="6"/>
    <n v="28"/>
    <n v="6"/>
    <n v="22"/>
  </r>
  <r>
    <n v="10259"/>
    <x v="10"/>
    <x v="2"/>
    <x v="10"/>
    <d v="1996-08-15T00:00:00"/>
    <d v="1996-07-25T00:00:00"/>
    <x v="0"/>
    <n v="3.25"/>
    <s v="Centro comercial Moctezuma"/>
    <s v="Sierras de Granada 9993"/>
    <s v="México D.F."/>
    <s v="NULL"/>
    <n v="5022"/>
    <x v="7"/>
    <n v="28"/>
    <n v="7"/>
    <n v="21"/>
  </r>
  <r>
    <n v="10260"/>
    <x v="11"/>
    <x v="2"/>
    <x v="11"/>
    <d v="1996-08-16T00:00:00"/>
    <d v="1996-07-29T00:00:00"/>
    <x v="1"/>
    <n v="55.09"/>
    <s v="Ottilies Käseladen"/>
    <s v="Mehrheimerstr. 369"/>
    <s v="Köln"/>
    <s v="NULL"/>
    <n v="50739"/>
    <x v="1"/>
    <n v="28"/>
    <n v="10"/>
    <n v="18"/>
  </r>
  <r>
    <n v="10261"/>
    <x v="12"/>
    <x v="2"/>
    <x v="11"/>
    <d v="1996-08-16T00:00:00"/>
    <d v="1996-07-30T00:00:00"/>
    <x v="2"/>
    <n v="3.05"/>
    <s v="Que Delícia"/>
    <s v="Rua da Panificadora 12"/>
    <s v="Rio de Janeiro"/>
    <s v="RJ"/>
    <s v="02389-673"/>
    <x v="2"/>
    <n v="28"/>
    <n v="11"/>
    <n v="17"/>
  </r>
  <r>
    <n v="10262"/>
    <x v="13"/>
    <x v="6"/>
    <x v="12"/>
    <d v="1996-08-19T00:00:00"/>
    <d v="1996-07-25T00:00:00"/>
    <x v="0"/>
    <n v="48.29"/>
    <s v="Rattlesnake Canyon Grocery"/>
    <s v="2817 Milton Dr."/>
    <s v="Albuquerque"/>
    <s v="NM"/>
    <n v="87110"/>
    <x v="8"/>
    <n v="28"/>
    <n v="3"/>
    <n v="25"/>
  </r>
  <r>
    <n v="10263"/>
    <x v="9"/>
    <x v="4"/>
    <x v="13"/>
    <d v="1996-08-20T00:00:00"/>
    <d v="1996-07-31T00:00:00"/>
    <x v="0"/>
    <n v="146.06"/>
    <s v="Ernst Handel"/>
    <s v="Kirchgasse 6"/>
    <s v="Graz"/>
    <s v="NULL"/>
    <n v="8010"/>
    <x v="6"/>
    <n v="28"/>
    <n v="8"/>
    <n v="20"/>
  </r>
  <r>
    <n v="10264"/>
    <x v="14"/>
    <x v="1"/>
    <x v="14"/>
    <d v="1996-08-21T00:00:00"/>
    <d v="1996-08-23T00:00:00"/>
    <x v="0"/>
    <n v="3.67"/>
    <s v="Folk och fä HB"/>
    <s v="Åkergatan 24"/>
    <s v="Bräcke"/>
    <s v="NULL"/>
    <s v="S-844 67"/>
    <x v="9"/>
    <n v="28"/>
    <n v="30"/>
    <n v="-2"/>
  </r>
  <r>
    <n v="10265"/>
    <x v="15"/>
    <x v="7"/>
    <x v="15"/>
    <d v="1996-08-22T00:00:00"/>
    <d v="1996-08-12T00:00:00"/>
    <x v="1"/>
    <n v="55.28"/>
    <s v="Blondel père et fils"/>
    <s v="24  place Kléber"/>
    <s v="Strasbourg"/>
    <s v="NULL"/>
    <n v="67000"/>
    <x v="0"/>
    <n v="28"/>
    <n v="18"/>
    <n v="10"/>
  </r>
  <r>
    <n v="10266"/>
    <x v="16"/>
    <x v="3"/>
    <x v="16"/>
    <d v="1996-09-06T00:00:00"/>
    <d v="1996-07-31T00:00:00"/>
    <x v="0"/>
    <n v="25.73"/>
    <s v="Wartian Herkku"/>
    <s v="Torikatu 38"/>
    <s v="Oulu"/>
    <s v="NULL"/>
    <n v="90110"/>
    <x v="10"/>
    <n v="42"/>
    <n v="5"/>
    <n v="37"/>
  </r>
  <r>
    <n v="10267"/>
    <x v="17"/>
    <x v="2"/>
    <x v="17"/>
    <d v="1996-08-26T00:00:00"/>
    <d v="1996-08-06T00:00:00"/>
    <x v="1"/>
    <n v="208.58"/>
    <s v="Frankenversand"/>
    <s v="Berliner Platz 43"/>
    <s v="München"/>
    <s v="NULL"/>
    <n v="80805"/>
    <x v="1"/>
    <n v="28"/>
    <n v="8"/>
    <n v="20"/>
  </r>
  <r>
    <n v="10268"/>
    <x v="18"/>
    <x v="6"/>
    <x v="18"/>
    <d v="1996-08-27T00:00:00"/>
    <d v="1996-08-02T00:00:00"/>
    <x v="0"/>
    <n v="66.290000000000006"/>
    <s v="GROSELLA-Restaurante"/>
    <s v="5ª Ave. Los Palos Grandes"/>
    <s v="Caracas"/>
    <s v="DF"/>
    <n v="1081"/>
    <x v="5"/>
    <n v="28"/>
    <n v="3"/>
    <n v="25"/>
  </r>
  <r>
    <n v="10269"/>
    <x v="19"/>
    <x v="0"/>
    <x v="19"/>
    <d v="1996-08-14T00:00:00"/>
    <d v="1996-08-09T00:00:00"/>
    <x v="1"/>
    <n v="4.5599999999999996"/>
    <s v="White Clover Markets"/>
    <s v="1029 - 12th Ave. S."/>
    <s v="Seattle"/>
    <s v="WA"/>
    <n v="98124"/>
    <x v="8"/>
    <n v="14"/>
    <n v="9"/>
    <n v="5"/>
  </r>
  <r>
    <n v="10270"/>
    <x v="16"/>
    <x v="5"/>
    <x v="20"/>
    <d v="1996-08-29T00:00:00"/>
    <d v="1996-08-02T00:00:00"/>
    <x v="1"/>
    <n v="136.54"/>
    <s v="Wartian Herkku"/>
    <s v="Torikatu 38"/>
    <s v="Oulu"/>
    <s v="NULL"/>
    <n v="90110"/>
    <x v="10"/>
    <n v="28"/>
    <n v="1"/>
    <n v="27"/>
  </r>
  <r>
    <n v="10271"/>
    <x v="20"/>
    <x v="1"/>
    <x v="20"/>
    <d v="1996-08-29T00:00:00"/>
    <d v="1996-08-30T00:00:00"/>
    <x v="2"/>
    <n v="4.54"/>
    <s v="Split Rail Beer &amp; Ale"/>
    <s v="P.O. Box 555"/>
    <s v="Lander"/>
    <s v="WY"/>
    <n v="82520"/>
    <x v="8"/>
    <n v="28"/>
    <n v="29"/>
    <n v="-1"/>
  </r>
  <r>
    <n v="10272"/>
    <x v="13"/>
    <x v="1"/>
    <x v="21"/>
    <d v="1996-08-30T00:00:00"/>
    <d v="1996-08-06T00:00:00"/>
    <x v="2"/>
    <n v="98.03"/>
    <s v="Rattlesnake Canyon Grocery"/>
    <s v="2817 Milton Dr."/>
    <s v="Albuquerque"/>
    <s v="NM"/>
    <n v="87110"/>
    <x v="8"/>
    <n v="28"/>
    <n v="4"/>
    <n v="24"/>
  </r>
  <r>
    <n v="10273"/>
    <x v="21"/>
    <x v="3"/>
    <x v="22"/>
    <d v="1996-09-02T00:00:00"/>
    <d v="1996-08-12T00:00:00"/>
    <x v="0"/>
    <n v="76.069999999999993"/>
    <s v="QUICK-Stop"/>
    <s v="Taucherstraße 10"/>
    <s v="Cunewalde"/>
    <s v="NULL"/>
    <n v="1307"/>
    <x v="1"/>
    <n v="28"/>
    <n v="7"/>
    <n v="21"/>
  </r>
  <r>
    <n v="10274"/>
    <x v="0"/>
    <x v="1"/>
    <x v="23"/>
    <d v="1996-09-03T00:00:00"/>
    <d v="1996-08-16T00:00:00"/>
    <x v="1"/>
    <n v="6.01"/>
    <s v="Vins et alcools Chevalier"/>
    <s v="59 rue de l'Abbaye"/>
    <s v="Reims"/>
    <s v="NULL"/>
    <n v="51100"/>
    <x v="0"/>
    <n v="28"/>
    <n v="10"/>
    <n v="18"/>
  </r>
  <r>
    <n v="10275"/>
    <x v="22"/>
    <x v="5"/>
    <x v="24"/>
    <d v="1996-09-04T00:00:00"/>
    <d v="1996-08-09T00:00:00"/>
    <x v="1"/>
    <n v="26.93"/>
    <s v="Magazzini Alimentari Riuniti"/>
    <s v="Via Ludovico il Moro 22"/>
    <s v="Bergamo"/>
    <s v="NULL"/>
    <n v="24100"/>
    <x v="11"/>
    <n v="28"/>
    <n v="2"/>
    <n v="26"/>
  </r>
  <r>
    <n v="10276"/>
    <x v="23"/>
    <x v="6"/>
    <x v="25"/>
    <d v="1996-08-22T00:00:00"/>
    <d v="1996-08-14T00:00:00"/>
    <x v="0"/>
    <n v="13.84"/>
    <s v="Tortuga Restaurante"/>
    <s v="Avda. Azteca 123"/>
    <s v="México D.F."/>
    <s v="NULL"/>
    <n v="5033"/>
    <x v="7"/>
    <n v="14"/>
    <n v="6"/>
    <n v="8"/>
  </r>
  <r>
    <n v="10277"/>
    <x v="24"/>
    <x v="7"/>
    <x v="26"/>
    <d v="1996-09-06T00:00:00"/>
    <d v="1996-08-13T00:00:00"/>
    <x v="0"/>
    <n v="125.77"/>
    <s v="Morgenstern Gesundkost"/>
    <s v="Heerstr. 22"/>
    <s v="Leipzig"/>
    <s v="NULL"/>
    <n v="4179"/>
    <x v="1"/>
    <n v="28"/>
    <n v="4"/>
    <n v="24"/>
  </r>
  <r>
    <n v="10278"/>
    <x v="25"/>
    <x v="6"/>
    <x v="27"/>
    <d v="1996-09-09T00:00:00"/>
    <d v="1996-08-16T00:00:00"/>
    <x v="2"/>
    <n v="92.69"/>
    <s v="Berglunds snabbköp"/>
    <s v="Berguvsvägen  8"/>
    <s v="Luleå"/>
    <s v="NULL"/>
    <s v="S-958 22"/>
    <x v="9"/>
    <n v="28"/>
    <n v="4"/>
    <n v="24"/>
  </r>
  <r>
    <n v="10279"/>
    <x v="26"/>
    <x v="6"/>
    <x v="28"/>
    <d v="1996-09-10T00:00:00"/>
    <d v="1996-08-16T00:00:00"/>
    <x v="2"/>
    <n v="25.83"/>
    <s v="Lehmanns Marktstand"/>
    <s v="Magazinweg 7"/>
    <s v="Frankfurt a.M."/>
    <s v="NULL"/>
    <n v="60528"/>
    <x v="1"/>
    <n v="28"/>
    <n v="3"/>
    <n v="25"/>
  </r>
  <r>
    <n v="10280"/>
    <x v="25"/>
    <x v="7"/>
    <x v="29"/>
    <d v="1996-09-11T00:00:00"/>
    <d v="1996-09-12T00:00:00"/>
    <x v="1"/>
    <n v="8.98"/>
    <s v="Berglunds snabbköp"/>
    <s v="Berguvsvägen  8"/>
    <s v="Luleå"/>
    <s v="NULL"/>
    <s v="S-958 22"/>
    <x v="9"/>
    <n v="28"/>
    <n v="29"/>
    <n v="-1"/>
  </r>
  <r>
    <n v="10281"/>
    <x v="27"/>
    <x v="2"/>
    <x v="29"/>
    <d v="1996-08-28T00:00:00"/>
    <d v="1996-08-21T00:00:00"/>
    <x v="1"/>
    <n v="2.94"/>
    <s v="Romero y tomillo"/>
    <s v="Gran Vía 1"/>
    <s v="Madrid"/>
    <s v="NULL"/>
    <n v="28001"/>
    <x v="12"/>
    <n v="14"/>
    <n v="7"/>
    <n v="7"/>
  </r>
  <r>
    <n v="10282"/>
    <x v="27"/>
    <x v="2"/>
    <x v="30"/>
    <d v="1996-09-12T00:00:00"/>
    <d v="1996-08-21T00:00:00"/>
    <x v="1"/>
    <n v="12.69"/>
    <s v="Romero y tomillo"/>
    <s v="Gran Vía 1"/>
    <s v="Madrid"/>
    <s v="NULL"/>
    <n v="28001"/>
    <x v="12"/>
    <n v="28"/>
    <n v="6"/>
    <n v="22"/>
  </r>
  <r>
    <n v="10283"/>
    <x v="28"/>
    <x v="3"/>
    <x v="31"/>
    <d v="1996-09-13T00:00:00"/>
    <d v="1996-08-23T00:00:00"/>
    <x v="0"/>
    <n v="84.81"/>
    <s v="LILA-Supermercado"/>
    <s v="Carrera 52 con Ave. Bolívar #65-98 Llano Largo"/>
    <s v="Barquisimeto"/>
    <s v="Lara"/>
    <n v="3508"/>
    <x v="5"/>
    <n v="28"/>
    <n v="7"/>
    <n v="21"/>
  </r>
  <r>
    <n v="10284"/>
    <x v="26"/>
    <x v="2"/>
    <x v="32"/>
    <d v="1996-09-16T00:00:00"/>
    <d v="1996-08-27T00:00:00"/>
    <x v="1"/>
    <n v="76.56"/>
    <s v="Lehmanns Marktstand"/>
    <s v="Magazinweg 7"/>
    <s v="Frankfurt a.M."/>
    <s v="NULL"/>
    <n v="60528"/>
    <x v="1"/>
    <n v="28"/>
    <n v="8"/>
    <n v="20"/>
  </r>
  <r>
    <n v="10285"/>
    <x v="21"/>
    <x v="5"/>
    <x v="33"/>
    <d v="1996-09-17T00:00:00"/>
    <d v="1996-08-26T00:00:00"/>
    <x v="2"/>
    <n v="76.83"/>
    <s v="QUICK-Stop"/>
    <s v="Taucherstraße 10"/>
    <s v="Cunewalde"/>
    <s v="NULL"/>
    <n v="1307"/>
    <x v="1"/>
    <n v="28"/>
    <n v="6"/>
    <n v="22"/>
  </r>
  <r>
    <n v="10286"/>
    <x v="21"/>
    <x v="6"/>
    <x v="34"/>
    <d v="1996-09-18T00:00:00"/>
    <d v="1996-08-30T00:00:00"/>
    <x v="0"/>
    <n v="229.24"/>
    <s v="QUICK-Stop"/>
    <s v="Taucherstraße 10"/>
    <s v="Cunewalde"/>
    <s v="NULL"/>
    <n v="1307"/>
    <x v="1"/>
    <n v="28"/>
    <n v="9"/>
    <n v="19"/>
  </r>
  <r>
    <n v="10287"/>
    <x v="29"/>
    <x v="6"/>
    <x v="35"/>
    <d v="1996-09-19T00:00:00"/>
    <d v="1996-08-28T00:00:00"/>
    <x v="0"/>
    <n v="12.76"/>
    <s v="Ricardo Adocicados"/>
    <s v="Av. Copacabana 267"/>
    <s v="Rio de Janeiro"/>
    <s v="RJ"/>
    <s v="02389-890"/>
    <x v="2"/>
    <n v="28"/>
    <n v="6"/>
    <n v="22"/>
  </r>
  <r>
    <n v="10288"/>
    <x v="30"/>
    <x v="2"/>
    <x v="36"/>
    <d v="1996-09-20T00:00:00"/>
    <d v="1996-09-03T00:00:00"/>
    <x v="1"/>
    <n v="7.45"/>
    <s v="Reggiani Caseifici"/>
    <s v="Strada Provinciale 124"/>
    <s v="Reggio Emilia"/>
    <s v="NULL"/>
    <n v="42100"/>
    <x v="11"/>
    <n v="28"/>
    <n v="11"/>
    <n v="17"/>
  </r>
  <r>
    <n v="10289"/>
    <x v="31"/>
    <x v="8"/>
    <x v="37"/>
    <d v="1996-09-23T00:00:00"/>
    <d v="1996-08-28T00:00:00"/>
    <x v="0"/>
    <n v="22.77"/>
    <s v="B's Beverages"/>
    <s v="Fauntleroy Circus"/>
    <s v="London"/>
    <s v="NULL"/>
    <s v="EC2 5NT"/>
    <x v="13"/>
    <n v="28"/>
    <n v="2"/>
    <n v="26"/>
  </r>
  <r>
    <n v="10290"/>
    <x v="32"/>
    <x v="6"/>
    <x v="38"/>
    <d v="1996-09-24T00:00:00"/>
    <d v="1996-09-03T00:00:00"/>
    <x v="1"/>
    <n v="79.7"/>
    <s v="Comércio Mineiro"/>
    <s v="Av. dos Lusíadas 23"/>
    <s v="Sao Paulo"/>
    <s v="SP"/>
    <s v="05432-043"/>
    <x v="2"/>
    <n v="28"/>
    <n v="7"/>
    <n v="21"/>
  </r>
  <r>
    <n v="10291"/>
    <x v="12"/>
    <x v="1"/>
    <x v="38"/>
    <d v="1996-09-24T00:00:00"/>
    <d v="1996-09-04T00:00:00"/>
    <x v="2"/>
    <n v="6.4"/>
    <s v="Que Delícia"/>
    <s v="Rua da Panificadora 12"/>
    <s v="Rio de Janeiro"/>
    <s v="RJ"/>
    <s v="02389-673"/>
    <x v="2"/>
    <n v="28"/>
    <n v="8"/>
    <n v="20"/>
  </r>
  <r>
    <n v="10292"/>
    <x v="33"/>
    <x v="5"/>
    <x v="39"/>
    <d v="1996-09-25T00:00:00"/>
    <d v="1996-09-02T00:00:00"/>
    <x v="2"/>
    <n v="1.35"/>
    <s v="Tradiçao Hipermercados"/>
    <s v="Av. Inês de Castro 414"/>
    <s v="Sao Paulo"/>
    <s v="SP"/>
    <s v="05634-030"/>
    <x v="2"/>
    <n v="28"/>
    <n v="5"/>
    <n v="23"/>
  </r>
  <r>
    <n v="10293"/>
    <x v="23"/>
    <x v="5"/>
    <x v="40"/>
    <d v="1996-09-26T00:00:00"/>
    <d v="1996-09-11T00:00:00"/>
    <x v="0"/>
    <n v="21.18"/>
    <s v="Tortuga Restaurante"/>
    <s v="Avda. Azteca 123"/>
    <s v="México D.F."/>
    <s v="NULL"/>
    <n v="5033"/>
    <x v="7"/>
    <n v="28"/>
    <n v="13"/>
    <n v="15"/>
  </r>
  <r>
    <n v="10294"/>
    <x v="13"/>
    <x v="2"/>
    <x v="41"/>
    <d v="1996-09-27T00:00:00"/>
    <d v="1996-09-05T00:00:00"/>
    <x v="2"/>
    <n v="147.26"/>
    <s v="Rattlesnake Canyon Grocery"/>
    <s v="2817 Milton Dr."/>
    <s v="Albuquerque"/>
    <s v="NM"/>
    <n v="87110"/>
    <x v="8"/>
    <n v="28"/>
    <n v="6"/>
    <n v="22"/>
  </r>
  <r>
    <n v="10295"/>
    <x v="0"/>
    <x v="7"/>
    <x v="42"/>
    <d v="1996-09-30T00:00:00"/>
    <d v="1996-09-10T00:00:00"/>
    <x v="2"/>
    <n v="1.1499999999999999"/>
    <s v="Vins et alcools Chevalier"/>
    <s v="59 rue de l'Abbaye"/>
    <s v="Reims"/>
    <s v="NULL"/>
    <n v="51100"/>
    <x v="0"/>
    <n v="28"/>
    <n v="8"/>
    <n v="20"/>
  </r>
  <r>
    <n v="10296"/>
    <x v="28"/>
    <x v="1"/>
    <x v="43"/>
    <d v="1996-10-01T00:00:00"/>
    <d v="1996-09-11T00:00:00"/>
    <x v="1"/>
    <n v="0.12"/>
    <s v="LILA-Supermercado"/>
    <s v="Carrera 52 con Ave. Bolívar #65-98 Llano Largo"/>
    <s v="Barquisimeto"/>
    <s v="Lara"/>
    <n v="3508"/>
    <x v="5"/>
    <n v="28"/>
    <n v="8"/>
    <n v="20"/>
  </r>
  <r>
    <n v="10297"/>
    <x v="15"/>
    <x v="0"/>
    <x v="44"/>
    <d v="1996-10-16T00:00:00"/>
    <d v="1996-09-10T00:00:00"/>
    <x v="2"/>
    <n v="5.74"/>
    <s v="Blondel père et fils"/>
    <s v="24  place Kléber"/>
    <s v="Strasbourg"/>
    <s v="NULL"/>
    <n v="67000"/>
    <x v="0"/>
    <n v="42"/>
    <n v="6"/>
    <n v="36"/>
  </r>
  <r>
    <n v="10298"/>
    <x v="34"/>
    <x v="1"/>
    <x v="45"/>
    <d v="1996-10-03T00:00:00"/>
    <d v="1996-09-11T00:00:00"/>
    <x v="2"/>
    <n v="168.22"/>
    <s v="Hungry Owl All-Night Grocers"/>
    <s v="8 Johnstown Road"/>
    <s v="Cork"/>
    <s v="Co. Cork"/>
    <s v="NULL"/>
    <x v="14"/>
    <n v="28"/>
    <n v="6"/>
    <n v="22"/>
  </r>
  <r>
    <n v="10299"/>
    <x v="29"/>
    <x v="2"/>
    <x v="46"/>
    <d v="1996-10-04T00:00:00"/>
    <d v="1996-09-13T00:00:00"/>
    <x v="2"/>
    <n v="29.76"/>
    <s v="Ricardo Adocicados"/>
    <s v="Av. Copacabana 267"/>
    <s v="Rio de Janeiro"/>
    <s v="RJ"/>
    <s v="02389-890"/>
    <x v="2"/>
    <n v="28"/>
    <n v="7"/>
    <n v="21"/>
  </r>
  <r>
    <n v="10300"/>
    <x v="22"/>
    <x v="7"/>
    <x v="47"/>
    <d v="1996-10-07T00:00:00"/>
    <d v="1996-09-18T00:00:00"/>
    <x v="2"/>
    <n v="17.68"/>
    <s v="Magazzini Alimentari Riuniti"/>
    <s v="Via Ludovico il Moro 22"/>
    <s v="Bergamo"/>
    <s v="NULL"/>
    <n v="24100"/>
    <x v="11"/>
    <n v="28"/>
    <n v="9"/>
    <n v="19"/>
  </r>
  <r>
    <n v="10301"/>
    <x v="35"/>
    <x v="6"/>
    <x v="47"/>
    <d v="1996-10-07T00:00:00"/>
    <d v="1996-09-17T00:00:00"/>
    <x v="2"/>
    <n v="45.08"/>
    <s v="Die Wandernde Kuh"/>
    <s v="Adenauerallee 900"/>
    <s v="Stuttgart"/>
    <s v="NULL"/>
    <n v="70563"/>
    <x v="1"/>
    <n v="28"/>
    <n v="8"/>
    <n v="20"/>
  </r>
  <r>
    <n v="10302"/>
    <x v="4"/>
    <x v="2"/>
    <x v="48"/>
    <d v="1996-10-08T00:00:00"/>
    <d v="1996-10-09T00:00:00"/>
    <x v="2"/>
    <n v="6.27"/>
    <s v="Suprêmes délices"/>
    <s v="Boulevard Tirou 255"/>
    <s v="Charleroi"/>
    <s v="NULL"/>
    <s v="B-6000"/>
    <x v="3"/>
    <n v="28"/>
    <n v="29"/>
    <n v="-1"/>
  </r>
  <r>
    <n v="10303"/>
    <x v="36"/>
    <x v="8"/>
    <x v="49"/>
    <d v="1996-10-09T00:00:00"/>
    <d v="1996-09-18T00:00:00"/>
    <x v="2"/>
    <n v="107.83"/>
    <s v="Godos Cocina Típica"/>
    <s v="C/ Romero 33"/>
    <s v="Sevilla"/>
    <s v="NULL"/>
    <n v="41101"/>
    <x v="12"/>
    <n v="28"/>
    <n v="7"/>
    <n v="21"/>
  </r>
  <r>
    <n v="10304"/>
    <x v="23"/>
    <x v="5"/>
    <x v="50"/>
    <d v="1996-10-10T00:00:00"/>
    <d v="1996-09-17T00:00:00"/>
    <x v="2"/>
    <n v="63.79"/>
    <s v="Tortuga Restaurante"/>
    <s v="Avda. Azteca 123"/>
    <s v="México D.F."/>
    <s v="NULL"/>
    <n v="5033"/>
    <x v="7"/>
    <n v="28"/>
    <n v="5"/>
    <n v="23"/>
  </r>
  <r>
    <n v="10305"/>
    <x v="37"/>
    <x v="6"/>
    <x v="51"/>
    <d v="1996-10-11T00:00:00"/>
    <d v="1996-10-09T00:00:00"/>
    <x v="0"/>
    <n v="257.62"/>
    <s v="Old World Delicatessen"/>
    <s v="2743 Bering St."/>
    <s v="Anchorage"/>
    <s v="AK"/>
    <n v="99508"/>
    <x v="8"/>
    <n v="28"/>
    <n v="26"/>
    <n v="2"/>
  </r>
  <r>
    <n v="10306"/>
    <x v="27"/>
    <x v="5"/>
    <x v="52"/>
    <d v="1996-10-14T00:00:00"/>
    <d v="1996-09-23T00:00:00"/>
    <x v="0"/>
    <n v="7.56"/>
    <s v="Romero y tomillo"/>
    <s v="Gran Vía 1"/>
    <s v="Madrid"/>
    <s v="NULL"/>
    <n v="28001"/>
    <x v="12"/>
    <n v="28"/>
    <n v="7"/>
    <n v="21"/>
  </r>
  <r>
    <n v="10307"/>
    <x v="38"/>
    <x v="7"/>
    <x v="53"/>
    <d v="1996-10-15T00:00:00"/>
    <d v="1996-09-25T00:00:00"/>
    <x v="2"/>
    <n v="0.56000000000000005"/>
    <s v="Lonesome Pine Restaurant"/>
    <s v="89 Chiaroscuro Rd."/>
    <s v="Portland"/>
    <s v="OR"/>
    <n v="97219"/>
    <x v="8"/>
    <n v="28"/>
    <n v="8"/>
    <n v="20"/>
  </r>
  <r>
    <n v="10308"/>
    <x v="39"/>
    <x v="8"/>
    <x v="54"/>
    <d v="1996-10-16T00:00:00"/>
    <d v="1996-09-24T00:00:00"/>
    <x v="0"/>
    <n v="1.61"/>
    <s v="Ana Trujillo Emparedados y helados"/>
    <s v="Avda. de la Constitución 2222"/>
    <s v="México D.F."/>
    <s v="NULL"/>
    <n v="5021"/>
    <x v="7"/>
    <n v="28"/>
    <n v="6"/>
    <n v="22"/>
  </r>
  <r>
    <n v="10309"/>
    <x v="34"/>
    <x v="3"/>
    <x v="55"/>
    <d v="1996-10-17T00:00:00"/>
    <d v="1996-10-23T00:00:00"/>
    <x v="1"/>
    <n v="47.3"/>
    <s v="Hungry Owl All-Night Grocers"/>
    <s v="8 Johnstown Road"/>
    <s v="Cork"/>
    <s v="Co. Cork"/>
    <s v="NULL"/>
    <x v="14"/>
    <n v="28"/>
    <n v="34"/>
    <n v="-6"/>
  </r>
  <r>
    <n v="10310"/>
    <x v="40"/>
    <x v="6"/>
    <x v="56"/>
    <d v="1996-10-18T00:00:00"/>
    <d v="1996-09-27T00:00:00"/>
    <x v="2"/>
    <n v="17.52"/>
    <s v="The Big Cheese"/>
    <s v="89 Jefferson Way Suite 2"/>
    <s v="Portland"/>
    <s v="OR"/>
    <n v="97201"/>
    <x v="8"/>
    <n v="28"/>
    <n v="7"/>
    <n v="21"/>
  </r>
  <r>
    <n v="10311"/>
    <x v="41"/>
    <x v="5"/>
    <x v="56"/>
    <d v="1996-10-04T00:00:00"/>
    <d v="1996-09-26T00:00:00"/>
    <x v="0"/>
    <n v="24.69"/>
    <s v="Du monde entier"/>
    <s v="67  rue des Cinquante Otages"/>
    <s v="Nantes"/>
    <s v="NULL"/>
    <n v="44000"/>
    <x v="0"/>
    <n v="14"/>
    <n v="6"/>
    <n v="8"/>
  </r>
  <r>
    <n v="10312"/>
    <x v="35"/>
    <x v="7"/>
    <x v="57"/>
    <d v="1996-10-21T00:00:00"/>
    <d v="1996-10-03T00:00:00"/>
    <x v="2"/>
    <n v="40.26"/>
    <s v="Die Wandernde Kuh"/>
    <s v="Adenauerallee 900"/>
    <s v="Stuttgart"/>
    <s v="NULL"/>
    <n v="70563"/>
    <x v="1"/>
    <n v="28"/>
    <n v="10"/>
    <n v="18"/>
  </r>
  <r>
    <n v="10313"/>
    <x v="21"/>
    <x v="7"/>
    <x v="58"/>
    <d v="1996-10-22T00:00:00"/>
    <d v="1996-10-04T00:00:00"/>
    <x v="2"/>
    <n v="1.96"/>
    <s v="QUICK-Stop"/>
    <s v="Taucherstraße 10"/>
    <s v="Cunewalde"/>
    <s v="NULL"/>
    <n v="1307"/>
    <x v="1"/>
    <n v="28"/>
    <n v="10"/>
    <n v="18"/>
  </r>
  <r>
    <n v="10314"/>
    <x v="13"/>
    <x v="5"/>
    <x v="59"/>
    <d v="1996-10-23T00:00:00"/>
    <d v="1996-10-04T00:00:00"/>
    <x v="2"/>
    <n v="74.16"/>
    <s v="Rattlesnake Canyon Grocery"/>
    <s v="2817 Milton Dr."/>
    <s v="Albuquerque"/>
    <s v="NM"/>
    <n v="87110"/>
    <x v="8"/>
    <n v="28"/>
    <n v="9"/>
    <n v="19"/>
  </r>
  <r>
    <n v="10315"/>
    <x v="42"/>
    <x v="2"/>
    <x v="60"/>
    <d v="1996-10-24T00:00:00"/>
    <d v="1996-10-03T00:00:00"/>
    <x v="2"/>
    <n v="41.76"/>
    <s v="Island Trading"/>
    <s v="Garden House Crowther Way"/>
    <s v="Cowes"/>
    <s v="Isle of Wight"/>
    <s v="PO31 7PJ"/>
    <x v="13"/>
    <n v="28"/>
    <n v="7"/>
    <n v="21"/>
  </r>
  <r>
    <n v="10316"/>
    <x v="13"/>
    <x v="5"/>
    <x v="61"/>
    <d v="1996-10-25T00:00:00"/>
    <d v="1996-10-08T00:00:00"/>
    <x v="0"/>
    <n v="150.15"/>
    <s v="Rattlesnake Canyon Grocery"/>
    <s v="2817 Milton Dr."/>
    <s v="Albuquerque"/>
    <s v="NM"/>
    <n v="87110"/>
    <x v="8"/>
    <n v="28"/>
    <n v="11"/>
    <n v="17"/>
  </r>
  <r>
    <n v="10317"/>
    <x v="38"/>
    <x v="1"/>
    <x v="62"/>
    <d v="1996-10-28T00:00:00"/>
    <d v="1996-10-10T00:00:00"/>
    <x v="1"/>
    <n v="12.69"/>
    <s v="Lonesome Pine Restaurant"/>
    <s v="89 Chiaroscuro Rd."/>
    <s v="Portland"/>
    <s v="OR"/>
    <n v="97219"/>
    <x v="8"/>
    <n v="28"/>
    <n v="10"/>
    <n v="18"/>
  </r>
  <r>
    <n v="10318"/>
    <x v="42"/>
    <x v="6"/>
    <x v="63"/>
    <d v="1996-10-29T00:00:00"/>
    <d v="1996-10-04T00:00:00"/>
    <x v="2"/>
    <n v="4.7300000000000004"/>
    <s v="Island Trading"/>
    <s v="Garden House Crowther Way"/>
    <s v="Cowes"/>
    <s v="Isle of Wight"/>
    <s v="PO31 7PJ"/>
    <x v="13"/>
    <n v="28"/>
    <n v="3"/>
    <n v="25"/>
  </r>
  <r>
    <n v="10319"/>
    <x v="23"/>
    <x v="8"/>
    <x v="64"/>
    <d v="1996-10-30T00:00:00"/>
    <d v="1996-10-11T00:00:00"/>
    <x v="0"/>
    <n v="64.5"/>
    <s v="Tortuga Restaurante"/>
    <s v="Avda. Azteca 123"/>
    <s v="México D.F."/>
    <s v="NULL"/>
    <n v="5033"/>
    <x v="7"/>
    <n v="28"/>
    <n v="9"/>
    <n v="19"/>
  </r>
  <r>
    <n v="10320"/>
    <x v="16"/>
    <x v="0"/>
    <x v="65"/>
    <d v="1996-10-17T00:00:00"/>
    <d v="1996-10-18T00:00:00"/>
    <x v="0"/>
    <n v="34.57"/>
    <s v="Wartian Herkku"/>
    <s v="Torikatu 38"/>
    <s v="Oulu"/>
    <s v="NULL"/>
    <n v="90110"/>
    <x v="10"/>
    <n v="14"/>
    <n v="15"/>
    <n v="-1"/>
  </r>
  <r>
    <n v="10321"/>
    <x v="42"/>
    <x v="3"/>
    <x v="65"/>
    <d v="1996-10-31T00:00:00"/>
    <d v="1996-10-11T00:00:00"/>
    <x v="2"/>
    <n v="3.43"/>
    <s v="Island Trading"/>
    <s v="Garden House Crowther Way"/>
    <s v="Cowes"/>
    <s v="Isle of Wight"/>
    <s v="PO31 7PJ"/>
    <x v="13"/>
    <n v="28"/>
    <n v="8"/>
    <n v="20"/>
  </r>
  <r>
    <n v="10322"/>
    <x v="43"/>
    <x v="8"/>
    <x v="66"/>
    <d v="1996-11-01T00:00:00"/>
    <d v="1996-10-23T00:00:00"/>
    <x v="0"/>
    <n v="0.4"/>
    <s v="Pericles Comidas clásicas"/>
    <s v="Calle Dr. Jorge Cash 321"/>
    <s v="México D.F."/>
    <s v="NULL"/>
    <n v="5033"/>
    <x v="7"/>
    <n v="28"/>
    <n v="19"/>
    <n v="9"/>
  </r>
  <r>
    <n v="10323"/>
    <x v="44"/>
    <x v="2"/>
    <x v="67"/>
    <d v="1996-11-04T00:00:00"/>
    <d v="1996-10-14T00:00:00"/>
    <x v="1"/>
    <n v="4.88"/>
    <s v="Königlich Essen"/>
    <s v="Maubelstr. 90"/>
    <s v="Brandenburg"/>
    <s v="NULL"/>
    <n v="14776"/>
    <x v="1"/>
    <n v="28"/>
    <n v="7"/>
    <n v="21"/>
  </r>
  <r>
    <n v="10324"/>
    <x v="45"/>
    <x v="4"/>
    <x v="68"/>
    <d v="1996-11-05T00:00:00"/>
    <d v="1996-10-10T00:00:00"/>
    <x v="1"/>
    <n v="214.27"/>
    <s v="Save-a-lot Markets"/>
    <s v="187 Suffolk Ln."/>
    <s v="Boise"/>
    <s v="ID"/>
    <n v="83720"/>
    <x v="8"/>
    <n v="28"/>
    <n v="2"/>
    <n v="26"/>
  </r>
  <r>
    <n v="10325"/>
    <x v="44"/>
    <x v="5"/>
    <x v="69"/>
    <d v="1996-10-23T00:00:00"/>
    <d v="1996-10-14T00:00:00"/>
    <x v="0"/>
    <n v="64.86"/>
    <s v="Königlich Essen"/>
    <s v="Maubelstr. 90"/>
    <s v="Brandenburg"/>
    <s v="NULL"/>
    <n v="14776"/>
    <x v="1"/>
    <n v="14"/>
    <n v="5"/>
    <n v="9"/>
  </r>
  <r>
    <n v="10326"/>
    <x v="46"/>
    <x v="2"/>
    <x v="70"/>
    <d v="1996-11-07T00:00:00"/>
    <d v="1996-10-14T00:00:00"/>
    <x v="2"/>
    <n v="77.92"/>
    <s v="Bólido Comidas preparadas"/>
    <s v="C/ Araquil 67"/>
    <s v="Madrid"/>
    <s v="NULL"/>
    <n v="28023"/>
    <x v="12"/>
    <n v="28"/>
    <n v="4"/>
    <n v="24"/>
  </r>
  <r>
    <n v="10327"/>
    <x v="14"/>
    <x v="7"/>
    <x v="71"/>
    <d v="1996-11-08T00:00:00"/>
    <d v="1996-10-14T00:00:00"/>
    <x v="1"/>
    <n v="63.36"/>
    <s v="Folk och fä HB"/>
    <s v="Åkergatan 24"/>
    <s v="Bräcke"/>
    <s v="NULL"/>
    <s v="S-844 67"/>
    <x v="9"/>
    <n v="28"/>
    <n v="3"/>
    <n v="25"/>
  </r>
  <r>
    <n v="10328"/>
    <x v="47"/>
    <x v="2"/>
    <x v="72"/>
    <d v="1996-11-11T00:00:00"/>
    <d v="1996-10-17T00:00:00"/>
    <x v="0"/>
    <n v="87.03"/>
    <s v="Furia Bacalhau e Frutos do Mar"/>
    <s v="Jardim das rosas n. 32"/>
    <s v="Lisboa"/>
    <s v="NULL"/>
    <n v="1675"/>
    <x v="15"/>
    <n v="28"/>
    <n v="3"/>
    <n v="25"/>
  </r>
  <r>
    <n v="10329"/>
    <x v="20"/>
    <x v="2"/>
    <x v="73"/>
    <d v="1996-11-26T00:00:00"/>
    <d v="1996-10-23T00:00:00"/>
    <x v="2"/>
    <n v="191.67"/>
    <s v="Split Rail Beer &amp; Ale"/>
    <s v="P.O. Box 555"/>
    <s v="Lander"/>
    <s v="WY"/>
    <n v="82520"/>
    <x v="8"/>
    <n v="42"/>
    <n v="8"/>
    <n v="34"/>
  </r>
  <r>
    <n v="10330"/>
    <x v="28"/>
    <x v="3"/>
    <x v="74"/>
    <d v="1996-11-13T00:00:00"/>
    <d v="1996-10-28T00:00:00"/>
    <x v="1"/>
    <n v="12.75"/>
    <s v="LILA-Supermercado"/>
    <s v="Carrera 52 con Ave. Bolívar #65-98 Llano Largo"/>
    <s v="Barquisimeto"/>
    <s v="Lara"/>
    <n v="3508"/>
    <x v="5"/>
    <n v="28"/>
    <n v="12"/>
    <n v="16"/>
  </r>
  <r>
    <n v="10331"/>
    <x v="48"/>
    <x v="4"/>
    <x v="74"/>
    <d v="1996-11-27T00:00:00"/>
    <d v="1996-10-21T00:00:00"/>
    <x v="1"/>
    <n v="10.19"/>
    <s v="Bon app'"/>
    <s v="12  rue des Bouchers"/>
    <s v="Marseille"/>
    <s v="NULL"/>
    <n v="13008"/>
    <x v="0"/>
    <n v="42"/>
    <n v="5"/>
    <n v="37"/>
  </r>
  <r>
    <n v="10332"/>
    <x v="49"/>
    <x v="3"/>
    <x v="75"/>
    <d v="1996-11-28T00:00:00"/>
    <d v="1996-10-21T00:00:00"/>
    <x v="2"/>
    <n v="52.84"/>
    <s v="Mère Paillarde"/>
    <s v="43 rue St. Laurent"/>
    <s v="Montréal"/>
    <s v="Québec"/>
    <s v="H1J 1C3"/>
    <x v="16"/>
    <n v="42"/>
    <n v="4"/>
    <n v="38"/>
  </r>
  <r>
    <n v="10333"/>
    <x v="16"/>
    <x v="0"/>
    <x v="76"/>
    <d v="1996-11-15T00:00:00"/>
    <d v="1996-10-25T00:00:00"/>
    <x v="0"/>
    <n v="0.59"/>
    <s v="Wartian Herkku"/>
    <s v="Torikatu 38"/>
    <s v="Oulu"/>
    <s v="NULL"/>
    <n v="90110"/>
    <x v="10"/>
    <n v="28"/>
    <n v="7"/>
    <n v="21"/>
  </r>
  <r>
    <n v="10334"/>
    <x v="3"/>
    <x v="6"/>
    <x v="77"/>
    <d v="1996-11-18T00:00:00"/>
    <d v="1996-10-28T00:00:00"/>
    <x v="2"/>
    <n v="8.56"/>
    <s v="Victuailles en stock"/>
    <s v="2  rue du Commerce"/>
    <s v="Lyon"/>
    <s v="NULL"/>
    <n v="69004"/>
    <x v="0"/>
    <n v="28"/>
    <n v="7"/>
    <n v="21"/>
  </r>
  <r>
    <n v="10335"/>
    <x v="34"/>
    <x v="8"/>
    <x v="78"/>
    <d v="1996-11-19T00:00:00"/>
    <d v="1996-10-24T00:00:00"/>
    <x v="2"/>
    <n v="42.11"/>
    <s v="Hungry Owl All-Night Grocers"/>
    <s v="8 Johnstown Road"/>
    <s v="Cork"/>
    <s v="Co. Cork"/>
    <s v="NULL"/>
    <x v="14"/>
    <n v="28"/>
    <n v="2"/>
    <n v="26"/>
  </r>
  <r>
    <n v="10336"/>
    <x v="50"/>
    <x v="8"/>
    <x v="79"/>
    <d v="1996-11-20T00:00:00"/>
    <d v="1996-10-25T00:00:00"/>
    <x v="2"/>
    <n v="15.51"/>
    <s v="Princesa Isabel Vinhos"/>
    <s v="Estrada da saúde n. 58"/>
    <s v="Lisboa"/>
    <s v="NULL"/>
    <n v="1756"/>
    <x v="15"/>
    <n v="28"/>
    <n v="2"/>
    <n v="26"/>
  </r>
  <r>
    <n v="10337"/>
    <x v="17"/>
    <x v="2"/>
    <x v="80"/>
    <d v="1996-11-21T00:00:00"/>
    <d v="1996-10-29T00:00:00"/>
    <x v="0"/>
    <n v="108.26"/>
    <s v="Frankenversand"/>
    <s v="Berliner Platz 43"/>
    <s v="München"/>
    <s v="NULL"/>
    <n v="80805"/>
    <x v="1"/>
    <n v="28"/>
    <n v="5"/>
    <n v="23"/>
  </r>
  <r>
    <n v="10338"/>
    <x v="37"/>
    <x v="2"/>
    <x v="81"/>
    <d v="1996-11-22T00:00:00"/>
    <d v="1996-10-29T00:00:00"/>
    <x v="0"/>
    <n v="84.21"/>
    <s v="Old World Delicatessen"/>
    <s v="2743 Bering St."/>
    <s v="Anchorage"/>
    <s v="AK"/>
    <n v="99508"/>
    <x v="8"/>
    <n v="28"/>
    <n v="4"/>
    <n v="24"/>
  </r>
  <r>
    <n v="10339"/>
    <x v="49"/>
    <x v="7"/>
    <x v="82"/>
    <d v="1996-11-25T00:00:00"/>
    <d v="1996-11-04T00:00:00"/>
    <x v="2"/>
    <n v="15.66"/>
    <s v="Mère Paillarde"/>
    <s v="43 rue St. Laurent"/>
    <s v="Montréal"/>
    <s v="Québec"/>
    <s v="H1J 1C3"/>
    <x v="16"/>
    <n v="28"/>
    <n v="7"/>
    <n v="21"/>
  </r>
  <r>
    <n v="10340"/>
    <x v="48"/>
    <x v="5"/>
    <x v="83"/>
    <d v="1996-11-26T00:00:00"/>
    <d v="1996-11-08T00:00:00"/>
    <x v="0"/>
    <n v="166.31"/>
    <s v="Bon app'"/>
    <s v="12  rue des Bouchers"/>
    <s v="Marseille"/>
    <s v="NULL"/>
    <n v="13008"/>
    <x v="0"/>
    <n v="28"/>
    <n v="10"/>
    <n v="18"/>
  </r>
  <r>
    <n v="10341"/>
    <x v="51"/>
    <x v="8"/>
    <x v="83"/>
    <d v="1996-11-26T00:00:00"/>
    <d v="1996-11-05T00:00:00"/>
    <x v="0"/>
    <n v="26.78"/>
    <s v="Simons bistro"/>
    <s v="Vinbæltet 34"/>
    <s v="Kobenhavn"/>
    <s v="NULL"/>
    <n v="1734"/>
    <x v="17"/>
    <n v="28"/>
    <n v="7"/>
    <n v="21"/>
  </r>
  <r>
    <n v="10342"/>
    <x v="17"/>
    <x v="2"/>
    <x v="84"/>
    <d v="1996-11-13T00:00:00"/>
    <d v="1996-11-04T00:00:00"/>
    <x v="2"/>
    <n v="54.83"/>
    <s v="Frankenversand"/>
    <s v="Berliner Platz 43"/>
    <s v="München"/>
    <s v="NULL"/>
    <n v="80805"/>
    <x v="1"/>
    <n v="14"/>
    <n v="5"/>
    <n v="9"/>
  </r>
  <r>
    <n v="10343"/>
    <x v="26"/>
    <x v="2"/>
    <x v="85"/>
    <d v="1996-11-28T00:00:00"/>
    <d v="1996-11-06T00:00:00"/>
    <x v="1"/>
    <n v="110.37"/>
    <s v="Lehmanns Marktstand"/>
    <s v="Magazinweg 7"/>
    <s v="Frankfurt a.M."/>
    <s v="NULL"/>
    <n v="60528"/>
    <x v="1"/>
    <n v="28"/>
    <n v="6"/>
    <n v="22"/>
  </r>
  <r>
    <n v="10344"/>
    <x v="19"/>
    <x v="2"/>
    <x v="86"/>
    <d v="1996-11-29T00:00:00"/>
    <d v="1996-11-05T00:00:00"/>
    <x v="2"/>
    <n v="23.29"/>
    <s v="White Clover Markets"/>
    <s v="1029 - 12th Ave. S."/>
    <s v="Seattle"/>
    <s v="WA"/>
    <n v="98124"/>
    <x v="8"/>
    <n v="28"/>
    <n v="4"/>
    <n v="24"/>
  </r>
  <r>
    <n v="10345"/>
    <x v="21"/>
    <x v="7"/>
    <x v="87"/>
    <d v="1996-12-02T00:00:00"/>
    <d v="1996-11-11T00:00:00"/>
    <x v="2"/>
    <n v="249.06"/>
    <s v="QUICK-Stop"/>
    <s v="Taucherstraße 10"/>
    <s v="Cunewalde"/>
    <s v="NULL"/>
    <n v="1307"/>
    <x v="1"/>
    <n v="28"/>
    <n v="7"/>
    <n v="21"/>
  </r>
  <r>
    <n v="10346"/>
    <x v="13"/>
    <x v="3"/>
    <x v="88"/>
    <d v="1996-12-17T00:00:00"/>
    <d v="1996-11-08T00:00:00"/>
    <x v="0"/>
    <n v="142.08000000000001"/>
    <s v="Rattlesnake Canyon Grocery"/>
    <s v="2817 Milton Dr."/>
    <s v="Albuquerque"/>
    <s v="NM"/>
    <n v="87110"/>
    <x v="8"/>
    <n v="42"/>
    <n v="3"/>
    <n v="39"/>
  </r>
  <r>
    <n v="10347"/>
    <x v="52"/>
    <x v="2"/>
    <x v="89"/>
    <d v="1996-12-04T00:00:00"/>
    <d v="1996-11-08T00:00:00"/>
    <x v="0"/>
    <n v="3.1"/>
    <s v="Familia Arquibaldo"/>
    <s v="Rua Orós 92"/>
    <s v="Sao Paulo"/>
    <s v="SP"/>
    <s v="05442-030"/>
    <x v="2"/>
    <n v="28"/>
    <n v="2"/>
    <n v="26"/>
  </r>
  <r>
    <n v="10348"/>
    <x v="35"/>
    <x v="2"/>
    <x v="90"/>
    <d v="1996-12-05T00:00:00"/>
    <d v="1996-11-15T00:00:00"/>
    <x v="2"/>
    <n v="0.78"/>
    <s v="Die Wandernde Kuh"/>
    <s v="Adenauerallee 900"/>
    <s v="Stuttgart"/>
    <s v="NULL"/>
    <n v="70563"/>
    <x v="1"/>
    <n v="28"/>
    <n v="8"/>
    <n v="20"/>
  </r>
  <r>
    <n v="10349"/>
    <x v="20"/>
    <x v="8"/>
    <x v="91"/>
    <d v="1996-12-06T00:00:00"/>
    <d v="1996-11-15T00:00:00"/>
    <x v="1"/>
    <n v="8.6300000000000008"/>
    <s v="Split Rail Beer &amp; Ale"/>
    <s v="P.O. Box 555"/>
    <s v="Lander"/>
    <s v="WY"/>
    <n v="82520"/>
    <x v="8"/>
    <n v="28"/>
    <n v="7"/>
    <n v="21"/>
  </r>
  <r>
    <n v="10350"/>
    <x v="53"/>
    <x v="1"/>
    <x v="92"/>
    <d v="1996-12-09T00:00:00"/>
    <d v="1996-12-03T00:00:00"/>
    <x v="2"/>
    <n v="64.19"/>
    <s v="La maison d'Asie"/>
    <s v="1 rue Alsace-Lorraine"/>
    <s v="Toulouse"/>
    <s v="NULL"/>
    <n v="31000"/>
    <x v="0"/>
    <n v="28"/>
    <n v="22"/>
    <n v="6"/>
  </r>
  <r>
    <n v="10351"/>
    <x v="9"/>
    <x v="5"/>
    <x v="92"/>
    <d v="1996-12-09T00:00:00"/>
    <d v="1996-11-20T00:00:00"/>
    <x v="1"/>
    <n v="162.33000000000001"/>
    <s v="Ernst Handel"/>
    <s v="Kirchgasse 6"/>
    <s v="Graz"/>
    <s v="NULL"/>
    <n v="8010"/>
    <x v="6"/>
    <n v="28"/>
    <n v="9"/>
    <n v="19"/>
  </r>
  <r>
    <n v="10352"/>
    <x v="47"/>
    <x v="3"/>
    <x v="93"/>
    <d v="1996-11-26T00:00:00"/>
    <d v="1996-11-18T00:00:00"/>
    <x v="0"/>
    <n v="1.3"/>
    <s v="Furia Bacalhau e Frutos do Mar"/>
    <s v="Jardim das rosas n. 32"/>
    <s v="Lisboa"/>
    <s v="NULL"/>
    <n v="1675"/>
    <x v="15"/>
    <n v="14"/>
    <n v="6"/>
    <n v="8"/>
  </r>
  <r>
    <n v="10353"/>
    <x v="54"/>
    <x v="8"/>
    <x v="94"/>
    <d v="1996-12-11T00:00:00"/>
    <d v="1996-11-25T00:00:00"/>
    <x v="0"/>
    <n v="360.63"/>
    <s v="Piccolo und mehr"/>
    <s v="Geislweg 14"/>
    <s v="Salzburg"/>
    <s v="NULL"/>
    <n v="5020"/>
    <x v="6"/>
    <n v="28"/>
    <n v="12"/>
    <n v="16"/>
  </r>
  <r>
    <n v="10354"/>
    <x v="43"/>
    <x v="6"/>
    <x v="95"/>
    <d v="1996-12-12T00:00:00"/>
    <d v="1996-11-20T00:00:00"/>
    <x v="0"/>
    <n v="53.8"/>
    <s v="Pericles Comidas clásicas"/>
    <s v="Calle Dr. Jorge Cash 321"/>
    <s v="México D.F."/>
    <s v="NULL"/>
    <n v="5033"/>
    <x v="7"/>
    <n v="28"/>
    <n v="6"/>
    <n v="22"/>
  </r>
  <r>
    <n v="10355"/>
    <x v="55"/>
    <x v="1"/>
    <x v="96"/>
    <d v="1996-12-13T00:00:00"/>
    <d v="1996-11-20T00:00:00"/>
    <x v="1"/>
    <n v="41.95"/>
    <s v="Around the Horn"/>
    <s v="Brook Farm Stratford St. Mary"/>
    <s v="Colchester"/>
    <s v="Essex"/>
    <s v="CO7 6JX"/>
    <x v="13"/>
    <n v="28"/>
    <n v="5"/>
    <n v="23"/>
  </r>
  <r>
    <n v="10356"/>
    <x v="35"/>
    <x v="1"/>
    <x v="97"/>
    <d v="1996-12-16T00:00:00"/>
    <d v="1996-11-27T00:00:00"/>
    <x v="2"/>
    <n v="36.71"/>
    <s v="Die Wandernde Kuh"/>
    <s v="Adenauerallee 900"/>
    <s v="Stuttgart"/>
    <s v="NULL"/>
    <n v="70563"/>
    <x v="1"/>
    <n v="28"/>
    <n v="9"/>
    <n v="19"/>
  </r>
  <r>
    <n v="10357"/>
    <x v="28"/>
    <x v="5"/>
    <x v="98"/>
    <d v="1996-12-17T00:00:00"/>
    <d v="1996-12-02T00:00:00"/>
    <x v="0"/>
    <n v="34.880000000000003"/>
    <s v="LILA-Supermercado"/>
    <s v="Carrera 52 con Ave. Bolívar #65-98 Llano Largo"/>
    <s v="Barquisimeto"/>
    <s v="Lara"/>
    <n v="3508"/>
    <x v="5"/>
    <n v="28"/>
    <n v="13"/>
    <n v="15"/>
  </r>
  <r>
    <n v="10358"/>
    <x v="53"/>
    <x v="0"/>
    <x v="99"/>
    <d v="1996-12-18T00:00:00"/>
    <d v="1996-11-27T00:00:00"/>
    <x v="1"/>
    <n v="19.64"/>
    <s v="La maison d'Asie"/>
    <s v="1 rue Alsace-Lorraine"/>
    <s v="Toulouse"/>
    <s v="NULL"/>
    <n v="31000"/>
    <x v="0"/>
    <n v="28"/>
    <n v="7"/>
    <n v="21"/>
  </r>
  <r>
    <n v="10359"/>
    <x v="56"/>
    <x v="0"/>
    <x v="100"/>
    <d v="1996-12-19T00:00:00"/>
    <d v="1996-11-26T00:00:00"/>
    <x v="0"/>
    <n v="288.43"/>
    <s v="Seven Seas Imports"/>
    <s v="90 Wadhurst Rd."/>
    <s v="London"/>
    <s v="NULL"/>
    <s v="OX15 4NB"/>
    <x v="13"/>
    <n v="28"/>
    <n v="5"/>
    <n v="23"/>
  </r>
  <r>
    <n v="10360"/>
    <x v="15"/>
    <x v="2"/>
    <x v="101"/>
    <d v="1996-12-20T00:00:00"/>
    <d v="1996-12-02T00:00:00"/>
    <x v="0"/>
    <n v="131.69999999999999"/>
    <s v="Blondel père et fils"/>
    <s v="24  place Kléber"/>
    <s v="Strasbourg"/>
    <s v="NULL"/>
    <n v="67000"/>
    <x v="0"/>
    <n v="28"/>
    <n v="10"/>
    <n v="18"/>
  </r>
  <r>
    <n v="10361"/>
    <x v="21"/>
    <x v="5"/>
    <x v="101"/>
    <d v="1996-12-20T00:00:00"/>
    <d v="1996-12-03T00:00:00"/>
    <x v="2"/>
    <n v="183.17"/>
    <s v="QUICK-Stop"/>
    <s v="Taucherstraße 10"/>
    <s v="Cunewalde"/>
    <s v="NULL"/>
    <n v="1307"/>
    <x v="1"/>
    <n v="28"/>
    <n v="11"/>
    <n v="17"/>
  </r>
  <r>
    <n v="10362"/>
    <x v="48"/>
    <x v="3"/>
    <x v="102"/>
    <d v="1996-12-23T00:00:00"/>
    <d v="1996-11-28T00:00:00"/>
    <x v="1"/>
    <n v="96.04"/>
    <s v="Bon app'"/>
    <s v="12  rue des Bouchers"/>
    <s v="Marseille"/>
    <s v="NULL"/>
    <n v="13008"/>
    <x v="0"/>
    <n v="28"/>
    <n v="3"/>
    <n v="25"/>
  </r>
  <r>
    <n v="10363"/>
    <x v="57"/>
    <x v="2"/>
    <x v="103"/>
    <d v="1996-12-24T00:00:00"/>
    <d v="1996-12-04T00:00:00"/>
    <x v="0"/>
    <n v="30.54"/>
    <s v="Drachenblut Delikatessen"/>
    <s v="Walserweg 21"/>
    <s v="Aachen"/>
    <s v="NULL"/>
    <n v="52066"/>
    <x v="1"/>
    <n v="28"/>
    <n v="8"/>
    <n v="20"/>
  </r>
  <r>
    <n v="10364"/>
    <x v="58"/>
    <x v="5"/>
    <x v="103"/>
    <d v="1997-01-07T00:00:00"/>
    <d v="1996-12-04T00:00:00"/>
    <x v="1"/>
    <n v="71.97"/>
    <s v="Eastern Connection"/>
    <s v="35 King George"/>
    <s v="London"/>
    <s v="NULL"/>
    <s v="WX3 6FW"/>
    <x v="13"/>
    <n v="42"/>
    <n v="8"/>
    <n v="34"/>
  </r>
  <r>
    <n v="10365"/>
    <x v="59"/>
    <x v="3"/>
    <x v="104"/>
    <d v="1996-12-25T00:00:00"/>
    <d v="1996-12-02T00:00:00"/>
    <x v="2"/>
    <n v="22"/>
    <s v="Antonio Moreno Taquería"/>
    <s v="Mataderos  2312"/>
    <s v="México D.F."/>
    <s v="NULL"/>
    <n v="5023"/>
    <x v="7"/>
    <n v="28"/>
    <n v="5"/>
    <n v="23"/>
  </r>
  <r>
    <n v="10366"/>
    <x v="60"/>
    <x v="6"/>
    <x v="105"/>
    <d v="1997-01-09T00:00:00"/>
    <d v="1996-12-30T00:00:00"/>
    <x v="2"/>
    <n v="10.14"/>
    <s v="Galería del gastronómo"/>
    <s v="Rambla de Cataluña 23"/>
    <s v="Barcelona"/>
    <s v="NULL"/>
    <n v="8022"/>
    <x v="12"/>
    <n v="42"/>
    <n v="32"/>
    <n v="10"/>
  </r>
  <r>
    <n v="10367"/>
    <x v="61"/>
    <x v="8"/>
    <x v="105"/>
    <d v="1996-12-26T00:00:00"/>
    <d v="1996-12-02T00:00:00"/>
    <x v="0"/>
    <n v="13.55"/>
    <s v="Vaffeljernet"/>
    <s v="Smagsloget 45"/>
    <s v="Århus"/>
    <s v="NULL"/>
    <n v="8200"/>
    <x v="17"/>
    <n v="28"/>
    <n v="4"/>
    <n v="24"/>
  </r>
  <r>
    <n v="10368"/>
    <x v="9"/>
    <x v="7"/>
    <x v="106"/>
    <d v="1996-12-27T00:00:00"/>
    <d v="1996-12-02T00:00:00"/>
    <x v="2"/>
    <n v="101.95"/>
    <s v="Ernst Handel"/>
    <s v="Kirchgasse 6"/>
    <s v="Graz"/>
    <s v="NULL"/>
    <n v="8010"/>
    <x v="6"/>
    <n v="28"/>
    <n v="3"/>
    <n v="25"/>
  </r>
  <r>
    <n v="10369"/>
    <x v="20"/>
    <x v="6"/>
    <x v="107"/>
    <d v="1996-12-30T00:00:00"/>
    <d v="1996-12-09T00:00:00"/>
    <x v="2"/>
    <n v="195.68"/>
    <s v="Split Rail Beer &amp; Ale"/>
    <s v="P.O. Box 555"/>
    <s v="Lander"/>
    <s v="WY"/>
    <n v="82520"/>
    <x v="8"/>
    <n v="28"/>
    <n v="7"/>
    <n v="21"/>
  </r>
  <r>
    <n v="10370"/>
    <x v="5"/>
    <x v="1"/>
    <x v="108"/>
    <d v="1996-12-31T00:00:00"/>
    <d v="1996-12-27T00:00:00"/>
    <x v="2"/>
    <n v="1.17"/>
    <s v="Chop-suey Chinese"/>
    <s v="Hauptstr. 31"/>
    <s v="Bern"/>
    <s v="NULL"/>
    <n v="3012"/>
    <x v="4"/>
    <n v="28"/>
    <n v="24"/>
    <n v="4"/>
  </r>
  <r>
    <n v="10371"/>
    <x v="53"/>
    <x v="5"/>
    <x v="108"/>
    <d v="1996-12-31T00:00:00"/>
    <d v="1996-12-24T00:00:00"/>
    <x v="1"/>
    <n v="0.45"/>
    <s v="La maison d'Asie"/>
    <s v="1 rue Alsace-Lorraine"/>
    <s v="Toulouse"/>
    <s v="NULL"/>
    <n v="31000"/>
    <x v="0"/>
    <n v="28"/>
    <n v="21"/>
    <n v="7"/>
  </r>
  <r>
    <n v="10372"/>
    <x v="62"/>
    <x v="0"/>
    <x v="109"/>
    <d v="1997-01-01T00:00:00"/>
    <d v="1996-12-09T00:00:00"/>
    <x v="2"/>
    <n v="890.78"/>
    <s v="Queen Cozinha"/>
    <s v="Alameda dos Canàrios 891"/>
    <s v="Sao Paulo"/>
    <s v="SP"/>
    <s v="05487-020"/>
    <x v="2"/>
    <n v="28"/>
    <n v="5"/>
    <n v="23"/>
  </r>
  <r>
    <n v="10373"/>
    <x v="34"/>
    <x v="2"/>
    <x v="110"/>
    <d v="1997-01-02T00:00:00"/>
    <d v="1996-12-11T00:00:00"/>
    <x v="0"/>
    <n v="124.12"/>
    <s v="Hungry Owl All-Night Grocers"/>
    <s v="8 Johnstown Road"/>
    <s v="Cork"/>
    <s v="Co. Cork"/>
    <s v="NULL"/>
    <x v="14"/>
    <n v="28"/>
    <n v="6"/>
    <n v="22"/>
  </r>
  <r>
    <n v="10374"/>
    <x v="63"/>
    <x v="5"/>
    <x v="110"/>
    <d v="1997-01-02T00:00:00"/>
    <d v="1996-12-09T00:00:00"/>
    <x v="0"/>
    <n v="3.94"/>
    <s v="Wolski Zajazd"/>
    <s v="ul. Filtrowa 68"/>
    <s v="Warszawa"/>
    <s v="NULL"/>
    <s v="01-012"/>
    <x v="18"/>
    <n v="28"/>
    <n v="4"/>
    <n v="24"/>
  </r>
  <r>
    <n v="10375"/>
    <x v="64"/>
    <x v="3"/>
    <x v="111"/>
    <d v="1997-01-03T00:00:00"/>
    <d v="1996-12-09T00:00:00"/>
    <x v="2"/>
    <n v="20.12"/>
    <s v="Hungry Coyote Import Store"/>
    <s v="City Center Plaza 516 Main St."/>
    <s v="Elgin"/>
    <s v="OR"/>
    <n v="97827"/>
    <x v="8"/>
    <n v="28"/>
    <n v="3"/>
    <n v="25"/>
  </r>
  <r>
    <n v="10376"/>
    <x v="49"/>
    <x v="5"/>
    <x v="112"/>
    <d v="1997-01-06T00:00:00"/>
    <d v="1996-12-13T00:00:00"/>
    <x v="2"/>
    <n v="20.39"/>
    <s v="Mère Paillarde"/>
    <s v="43 rue St. Laurent"/>
    <s v="Montréal"/>
    <s v="Québec"/>
    <s v="H1J 1C3"/>
    <x v="16"/>
    <n v="28"/>
    <n v="4"/>
    <n v="24"/>
  </r>
  <r>
    <n v="10377"/>
    <x v="56"/>
    <x v="5"/>
    <x v="112"/>
    <d v="1997-01-06T00:00:00"/>
    <d v="1996-12-13T00:00:00"/>
    <x v="0"/>
    <n v="22.21"/>
    <s v="Seven Seas Imports"/>
    <s v="90 Wadhurst Rd."/>
    <s v="London"/>
    <s v="NULL"/>
    <s v="OX15 4NB"/>
    <x v="13"/>
    <n v="28"/>
    <n v="4"/>
    <n v="24"/>
  </r>
  <r>
    <n v="10378"/>
    <x v="14"/>
    <x v="0"/>
    <x v="113"/>
    <d v="1997-01-07T00:00:00"/>
    <d v="1996-12-19T00:00:00"/>
    <x v="0"/>
    <n v="5.44"/>
    <s v="Folk och fä HB"/>
    <s v="Åkergatan 24"/>
    <s v="Bräcke"/>
    <s v="NULL"/>
    <s v="S-844 67"/>
    <x v="9"/>
    <n v="28"/>
    <n v="9"/>
    <n v="19"/>
  </r>
  <r>
    <n v="10379"/>
    <x v="12"/>
    <x v="7"/>
    <x v="114"/>
    <d v="1997-01-08T00:00:00"/>
    <d v="1996-12-13T00:00:00"/>
    <x v="1"/>
    <n v="45.03"/>
    <s v="Que Delícia"/>
    <s v="Rua da Panificadora 12"/>
    <s v="Rio de Janeiro"/>
    <s v="RJ"/>
    <s v="02389-673"/>
    <x v="2"/>
    <n v="28"/>
    <n v="2"/>
    <n v="26"/>
  </r>
  <r>
    <n v="10380"/>
    <x v="34"/>
    <x v="6"/>
    <x v="115"/>
    <d v="1997-01-09T00:00:00"/>
    <d v="1997-01-16T00:00:00"/>
    <x v="0"/>
    <n v="35.03"/>
    <s v="Hungry Owl All-Night Grocers"/>
    <s v="8 Johnstown Road"/>
    <s v="Cork"/>
    <s v="Co. Cork"/>
    <s v="NULL"/>
    <x v="14"/>
    <n v="28"/>
    <n v="35"/>
    <n v="-7"/>
  </r>
  <r>
    <n v="10381"/>
    <x v="28"/>
    <x v="3"/>
    <x v="115"/>
    <d v="1997-01-09T00:00:00"/>
    <d v="1996-12-13T00:00:00"/>
    <x v="0"/>
    <n v="7.99"/>
    <s v="LILA-Supermercado"/>
    <s v="Carrera 52 con Ave. Bolívar #65-98 Llano Largo"/>
    <s v="Barquisimeto"/>
    <s v="Lara"/>
    <n v="3508"/>
    <x v="5"/>
    <n v="28"/>
    <n v="1"/>
    <n v="27"/>
  </r>
  <r>
    <n v="10382"/>
    <x v="9"/>
    <x v="2"/>
    <x v="116"/>
    <d v="1997-01-10T00:00:00"/>
    <d v="1996-12-16T00:00:00"/>
    <x v="1"/>
    <n v="94.77"/>
    <s v="Ernst Handel"/>
    <s v="Kirchgasse 6"/>
    <s v="Graz"/>
    <s v="NULL"/>
    <n v="8010"/>
    <x v="6"/>
    <n v="28"/>
    <n v="3"/>
    <n v="25"/>
  </r>
  <r>
    <n v="10383"/>
    <x v="55"/>
    <x v="6"/>
    <x v="117"/>
    <d v="1997-01-13T00:00:00"/>
    <d v="1996-12-18T00:00:00"/>
    <x v="0"/>
    <n v="34.24"/>
    <s v="Around the Horn"/>
    <s v="Brook Farm Stratford St. Mary"/>
    <s v="Colchester"/>
    <s v="Essex"/>
    <s v="CO7 6JX"/>
    <x v="13"/>
    <n v="28"/>
    <n v="2"/>
    <n v="26"/>
  </r>
  <r>
    <n v="10384"/>
    <x v="25"/>
    <x v="3"/>
    <x v="117"/>
    <d v="1997-01-13T00:00:00"/>
    <d v="1996-12-20T00:00:00"/>
    <x v="0"/>
    <n v="168.64"/>
    <s v="Berglunds snabbköp"/>
    <s v="Berguvsvägen  8"/>
    <s v="Luleå"/>
    <s v="NULL"/>
    <s v="S-958 22"/>
    <x v="9"/>
    <n v="28"/>
    <n v="4"/>
    <n v="24"/>
  </r>
  <r>
    <n v="10385"/>
    <x v="20"/>
    <x v="5"/>
    <x v="118"/>
    <d v="1997-01-14T00:00:00"/>
    <d v="1996-12-23T00:00:00"/>
    <x v="2"/>
    <n v="30.96"/>
    <s v="Split Rail Beer &amp; Ale"/>
    <s v="P.O. Box 555"/>
    <s v="Lander"/>
    <s v="WY"/>
    <n v="82520"/>
    <x v="8"/>
    <n v="28"/>
    <n v="6"/>
    <n v="22"/>
  </r>
  <r>
    <n v="10386"/>
    <x v="52"/>
    <x v="4"/>
    <x v="119"/>
    <d v="1997-01-01T00:00:00"/>
    <d v="1996-12-25T00:00:00"/>
    <x v="0"/>
    <n v="13.99"/>
    <s v="Familia Arquibaldo"/>
    <s v="Rua Orós 92"/>
    <s v="Sao Paulo"/>
    <s v="SP"/>
    <s v="05442-030"/>
    <x v="2"/>
    <n v="14"/>
    <n v="7"/>
    <n v="7"/>
  </r>
  <r>
    <n v="10387"/>
    <x v="65"/>
    <x v="5"/>
    <x v="119"/>
    <d v="1997-01-15T00:00:00"/>
    <d v="1996-12-20T00:00:00"/>
    <x v="2"/>
    <n v="93.63"/>
    <s v="Santé Gourmet"/>
    <s v="Erling Skakkes gate 78"/>
    <s v="Stavern"/>
    <s v="NULL"/>
    <n v="4110"/>
    <x v="19"/>
    <n v="28"/>
    <n v="2"/>
    <n v="26"/>
  </r>
  <r>
    <n v="10388"/>
    <x v="56"/>
    <x v="7"/>
    <x v="120"/>
    <d v="1997-01-16T00:00:00"/>
    <d v="1996-12-20T00:00:00"/>
    <x v="1"/>
    <n v="34.86"/>
    <s v="Seven Seas Imports"/>
    <s v="90 Wadhurst Rd."/>
    <s v="London"/>
    <s v="NULL"/>
    <s v="OX15 4NB"/>
    <x v="13"/>
    <n v="28"/>
    <n v="1"/>
    <n v="27"/>
  </r>
  <r>
    <n v="10389"/>
    <x v="66"/>
    <x v="2"/>
    <x v="121"/>
    <d v="1997-01-17T00:00:00"/>
    <d v="1996-12-24T00:00:00"/>
    <x v="2"/>
    <n v="47.42"/>
    <s v="Bottom-Dollar Markets"/>
    <s v="23 Tsawassen Blvd."/>
    <s v="Tsawassen"/>
    <s v="BC"/>
    <s v="T2F 8M4"/>
    <x v="16"/>
    <n v="28"/>
    <n v="4"/>
    <n v="24"/>
  </r>
  <r>
    <n v="10390"/>
    <x v="9"/>
    <x v="1"/>
    <x v="122"/>
    <d v="1997-01-20T00:00:00"/>
    <d v="1996-12-26T00:00:00"/>
    <x v="1"/>
    <n v="126.38"/>
    <s v="Ernst Handel"/>
    <s v="Kirchgasse 6"/>
    <s v="Graz"/>
    <s v="NULL"/>
    <n v="8010"/>
    <x v="6"/>
    <n v="28"/>
    <n v="3"/>
    <n v="25"/>
  </r>
  <r>
    <n v="10391"/>
    <x v="57"/>
    <x v="3"/>
    <x v="122"/>
    <d v="1997-01-20T00:00:00"/>
    <d v="1996-12-31T00:00:00"/>
    <x v="0"/>
    <n v="5.45"/>
    <s v="Drachenblut Delikatessen"/>
    <s v="Walserweg 21"/>
    <s v="Aachen"/>
    <s v="NULL"/>
    <n v="52066"/>
    <x v="1"/>
    <n v="28"/>
    <n v="8"/>
    <n v="20"/>
  </r>
  <r>
    <n v="10392"/>
    <x v="54"/>
    <x v="7"/>
    <x v="123"/>
    <d v="1997-01-21T00:00:00"/>
    <d v="1997-01-01T00:00:00"/>
    <x v="0"/>
    <n v="122.46"/>
    <s v="Piccolo und mehr"/>
    <s v="Geislweg 14"/>
    <s v="Salzburg"/>
    <s v="NULL"/>
    <n v="5020"/>
    <x v="6"/>
    <n v="28"/>
    <n v="8"/>
    <n v="20"/>
  </r>
  <r>
    <n v="10393"/>
    <x v="45"/>
    <x v="5"/>
    <x v="124"/>
    <d v="1997-01-22T00:00:00"/>
    <d v="1997-01-03T00:00:00"/>
    <x v="0"/>
    <n v="126.56"/>
    <s v="Save-a-lot Markets"/>
    <s v="187 Suffolk Ln."/>
    <s v="Boise"/>
    <s v="ID"/>
    <n v="83720"/>
    <x v="8"/>
    <n v="28"/>
    <n v="9"/>
    <n v="19"/>
  </r>
  <r>
    <n v="10394"/>
    <x v="64"/>
    <x v="5"/>
    <x v="124"/>
    <d v="1997-01-22T00:00:00"/>
    <d v="1997-01-03T00:00:00"/>
    <x v="0"/>
    <n v="30.34"/>
    <s v="Hungry Coyote Import Store"/>
    <s v="City Center Plaza 516 Main St."/>
    <s v="Elgin"/>
    <s v="OR"/>
    <n v="97827"/>
    <x v="8"/>
    <n v="28"/>
    <n v="9"/>
    <n v="19"/>
  </r>
  <r>
    <n v="10395"/>
    <x v="8"/>
    <x v="1"/>
    <x v="125"/>
    <d v="1997-01-23T00:00:00"/>
    <d v="1997-01-03T00:00:00"/>
    <x v="1"/>
    <n v="184.41"/>
    <s v="HILARION-Abastos"/>
    <s v="Carrera 22 con Ave. Carlos Soublette #8-35"/>
    <s v="San Cristóbal"/>
    <s v="Táchira"/>
    <n v="5022"/>
    <x v="5"/>
    <n v="28"/>
    <n v="8"/>
    <n v="20"/>
  </r>
  <r>
    <n v="10396"/>
    <x v="17"/>
    <x v="5"/>
    <x v="126"/>
    <d v="1997-01-10T00:00:00"/>
    <d v="1997-01-06T00:00:00"/>
    <x v="0"/>
    <n v="135.35"/>
    <s v="Frankenversand"/>
    <s v="Berliner Platz 43"/>
    <s v="München"/>
    <s v="NULL"/>
    <n v="80805"/>
    <x v="1"/>
    <n v="14"/>
    <n v="10"/>
    <n v="4"/>
  </r>
  <r>
    <n v="10397"/>
    <x v="50"/>
    <x v="0"/>
    <x v="126"/>
    <d v="1997-01-24T00:00:00"/>
    <d v="1997-01-02T00:00:00"/>
    <x v="1"/>
    <n v="60.26"/>
    <s v="Princesa Isabel Vinhos"/>
    <s v="Estrada da saúde n. 58"/>
    <s v="Lisboa"/>
    <s v="NULL"/>
    <n v="1756"/>
    <x v="15"/>
    <n v="28"/>
    <n v="6"/>
    <n v="22"/>
  </r>
  <r>
    <n v="10398"/>
    <x v="45"/>
    <x v="7"/>
    <x v="127"/>
    <d v="1997-01-27T00:00:00"/>
    <d v="1997-01-09T00:00:00"/>
    <x v="0"/>
    <n v="89.16"/>
    <s v="Save-a-lot Markets"/>
    <s v="187 Suffolk Ln."/>
    <s v="Boise"/>
    <s v="ID"/>
    <n v="83720"/>
    <x v="8"/>
    <n v="28"/>
    <n v="10"/>
    <n v="18"/>
  </r>
  <r>
    <n v="10399"/>
    <x v="61"/>
    <x v="6"/>
    <x v="128"/>
    <d v="1997-01-14T00:00:00"/>
    <d v="1997-01-08T00:00:00"/>
    <x v="0"/>
    <n v="27.36"/>
    <s v="Vaffeljernet"/>
    <s v="Smagsloget 45"/>
    <s v="Århus"/>
    <s v="NULL"/>
    <n v="8200"/>
    <x v="17"/>
    <n v="14"/>
    <n v="8"/>
    <n v="6"/>
  </r>
  <r>
    <n v="10400"/>
    <x v="58"/>
    <x v="5"/>
    <x v="129"/>
    <d v="1997-01-29T00:00:00"/>
    <d v="1997-01-16T00:00:00"/>
    <x v="0"/>
    <n v="83.93"/>
    <s v="Eastern Connection"/>
    <s v="35 King George"/>
    <s v="London"/>
    <s v="NULL"/>
    <s v="WX3 6FW"/>
    <x v="13"/>
    <n v="28"/>
    <n v="15"/>
    <n v="13"/>
  </r>
  <r>
    <n v="10401"/>
    <x v="13"/>
    <x v="5"/>
    <x v="129"/>
    <d v="1997-01-29T00:00:00"/>
    <d v="1997-01-10T00:00:00"/>
    <x v="1"/>
    <n v="12.51"/>
    <s v="Rattlesnake Canyon Grocery"/>
    <s v="2817 Milton Dr."/>
    <s v="Albuquerque"/>
    <s v="NM"/>
    <n v="87110"/>
    <x v="8"/>
    <n v="28"/>
    <n v="9"/>
    <n v="19"/>
  </r>
  <r>
    <n v="10402"/>
    <x v="9"/>
    <x v="6"/>
    <x v="130"/>
    <d v="1997-02-13T00:00:00"/>
    <d v="1997-01-10T00:00:00"/>
    <x v="2"/>
    <n v="67.88"/>
    <s v="Ernst Handel"/>
    <s v="Kirchgasse 6"/>
    <s v="Graz"/>
    <s v="NULL"/>
    <n v="8010"/>
    <x v="6"/>
    <n v="42"/>
    <n v="8"/>
    <n v="34"/>
  </r>
  <r>
    <n v="10403"/>
    <x v="9"/>
    <x v="2"/>
    <x v="131"/>
    <d v="1997-01-31T00:00:00"/>
    <d v="1997-01-09T00:00:00"/>
    <x v="0"/>
    <n v="73.790000000000006"/>
    <s v="Ernst Handel"/>
    <s v="Kirchgasse 6"/>
    <s v="Graz"/>
    <s v="NULL"/>
    <n v="8010"/>
    <x v="6"/>
    <n v="28"/>
    <n v="6"/>
    <n v="22"/>
  </r>
  <r>
    <n v="10404"/>
    <x v="22"/>
    <x v="7"/>
    <x v="131"/>
    <d v="1997-01-31T00:00:00"/>
    <d v="1997-01-08T00:00:00"/>
    <x v="1"/>
    <n v="155.97"/>
    <s v="Magazzini Alimentari Riuniti"/>
    <s v="Via Ludovico il Moro 22"/>
    <s v="Bergamo"/>
    <s v="NULL"/>
    <n v="24100"/>
    <x v="11"/>
    <n v="28"/>
    <n v="5"/>
    <n v="23"/>
  </r>
  <r>
    <n v="10405"/>
    <x v="67"/>
    <x v="5"/>
    <x v="132"/>
    <d v="1997-02-03T00:00:00"/>
    <d v="1997-01-22T00:00:00"/>
    <x v="1"/>
    <n v="34.82"/>
    <s v="LINO-Delicateses"/>
    <s v="Ave. 5 de Mayo Porlamar"/>
    <s v="I. de Margarita"/>
    <s v="Nueva Esparta"/>
    <n v="4980"/>
    <x v="5"/>
    <n v="28"/>
    <n v="16"/>
    <n v="12"/>
  </r>
  <r>
    <n v="10406"/>
    <x v="62"/>
    <x v="8"/>
    <x v="133"/>
    <d v="1997-02-18T00:00:00"/>
    <d v="1997-01-13T00:00:00"/>
    <x v="1"/>
    <n v="108.04"/>
    <s v="Queen Cozinha"/>
    <s v="Alameda dos Canàrios 891"/>
    <s v="Sao Paulo"/>
    <s v="SP"/>
    <s v="05487-020"/>
    <x v="2"/>
    <n v="42"/>
    <n v="6"/>
    <n v="36"/>
  </r>
  <r>
    <n v="10407"/>
    <x v="11"/>
    <x v="7"/>
    <x v="133"/>
    <d v="1997-02-04T00:00:00"/>
    <d v="1997-01-30T00:00:00"/>
    <x v="2"/>
    <n v="91.48"/>
    <s v="Ottilies Käseladen"/>
    <s v="Mehrheimerstr. 369"/>
    <s v="Köln"/>
    <s v="NULL"/>
    <n v="50739"/>
    <x v="1"/>
    <n v="28"/>
    <n v="23"/>
    <n v="5"/>
  </r>
  <r>
    <n v="10408"/>
    <x v="68"/>
    <x v="6"/>
    <x v="134"/>
    <d v="1997-02-05T00:00:00"/>
    <d v="1997-01-14T00:00:00"/>
    <x v="1"/>
    <n v="11.26"/>
    <s v="Folies gourmandes"/>
    <s v="184  chaussée de Tournai"/>
    <s v="Lille"/>
    <s v="NULL"/>
    <n v="59000"/>
    <x v="0"/>
    <n v="28"/>
    <n v="6"/>
    <n v="22"/>
  </r>
  <r>
    <n v="10409"/>
    <x v="69"/>
    <x v="3"/>
    <x v="135"/>
    <d v="1997-02-06T00:00:00"/>
    <d v="1997-01-14T00:00:00"/>
    <x v="1"/>
    <n v="29.83"/>
    <s v="Océano Atlántico Ltda."/>
    <s v="Ing. Gustavo Moncada 8585 Piso 20-A"/>
    <s v="Buenos Aires"/>
    <s v="NULL"/>
    <n v="1010"/>
    <x v="20"/>
    <n v="28"/>
    <n v="5"/>
    <n v="23"/>
  </r>
  <r>
    <n v="10410"/>
    <x v="66"/>
    <x v="3"/>
    <x v="136"/>
    <d v="1997-02-07T00:00:00"/>
    <d v="1997-01-15T00:00:00"/>
    <x v="0"/>
    <n v="2.4"/>
    <s v="Bottom-Dollar Markets"/>
    <s v="23 Tsawassen Blvd."/>
    <s v="Tsawassen"/>
    <s v="BC"/>
    <s v="T2F 8M4"/>
    <x v="16"/>
    <n v="28"/>
    <n v="5"/>
    <n v="23"/>
  </r>
  <r>
    <n v="10411"/>
    <x v="66"/>
    <x v="4"/>
    <x v="136"/>
    <d v="1997-02-07T00:00:00"/>
    <d v="1997-01-21T00:00:00"/>
    <x v="0"/>
    <n v="23.65"/>
    <s v="Bottom-Dollar Markets"/>
    <s v="23 Tsawassen Blvd."/>
    <s v="Tsawassen"/>
    <s v="BC"/>
    <s v="T2F 8M4"/>
    <x v="16"/>
    <n v="28"/>
    <n v="11"/>
    <n v="17"/>
  </r>
  <r>
    <n v="10412"/>
    <x v="16"/>
    <x v="6"/>
    <x v="137"/>
    <d v="1997-02-10T00:00:00"/>
    <d v="1997-01-15T00:00:00"/>
    <x v="2"/>
    <n v="3.77"/>
    <s v="Wartian Herkku"/>
    <s v="Torikatu 38"/>
    <s v="Oulu"/>
    <s v="NULL"/>
    <n v="90110"/>
    <x v="10"/>
    <n v="28"/>
    <n v="2"/>
    <n v="26"/>
  </r>
  <r>
    <n v="10413"/>
    <x v="53"/>
    <x v="3"/>
    <x v="138"/>
    <d v="1997-02-11T00:00:00"/>
    <d v="1997-01-16T00:00:00"/>
    <x v="2"/>
    <n v="95.66"/>
    <s v="La maison d'Asie"/>
    <s v="1 rue Alsace-Lorraine"/>
    <s v="Toulouse"/>
    <s v="NULL"/>
    <n v="31000"/>
    <x v="0"/>
    <n v="28"/>
    <n v="2"/>
    <n v="26"/>
  </r>
  <r>
    <n v="10414"/>
    <x v="52"/>
    <x v="7"/>
    <x v="138"/>
    <d v="1997-02-11T00:00:00"/>
    <d v="1997-01-17T00:00:00"/>
    <x v="0"/>
    <n v="21.48"/>
    <s v="Familia Arquibaldo"/>
    <s v="Rua Orós 92"/>
    <s v="Sao Paulo"/>
    <s v="SP"/>
    <s v="05442-030"/>
    <x v="2"/>
    <n v="28"/>
    <n v="3"/>
    <n v="25"/>
  </r>
  <r>
    <n v="10415"/>
    <x v="64"/>
    <x v="3"/>
    <x v="139"/>
    <d v="1997-02-12T00:00:00"/>
    <d v="1997-01-24T00:00:00"/>
    <x v="1"/>
    <n v="0.2"/>
    <s v="Hungry Coyote Import Store"/>
    <s v="City Center Plaza 516 Main St."/>
    <s v="Elgin"/>
    <s v="OR"/>
    <n v="97827"/>
    <x v="8"/>
    <n v="28"/>
    <n v="9"/>
    <n v="19"/>
  </r>
  <r>
    <n v="10416"/>
    <x v="16"/>
    <x v="6"/>
    <x v="140"/>
    <d v="1997-02-13T00:00:00"/>
    <d v="1997-01-27T00:00:00"/>
    <x v="0"/>
    <n v="22.72"/>
    <s v="Wartian Herkku"/>
    <s v="Torikatu 38"/>
    <s v="Oulu"/>
    <s v="NULL"/>
    <n v="90110"/>
    <x v="10"/>
    <n v="28"/>
    <n v="11"/>
    <n v="17"/>
  </r>
  <r>
    <n v="10417"/>
    <x v="51"/>
    <x v="2"/>
    <x v="140"/>
    <d v="1997-02-13T00:00:00"/>
    <d v="1997-01-28T00:00:00"/>
    <x v="0"/>
    <n v="70.290000000000006"/>
    <s v="Simons bistro"/>
    <s v="Vinbæltet 34"/>
    <s v="Kobenhavn"/>
    <s v="NULL"/>
    <n v="1734"/>
    <x v="17"/>
    <n v="28"/>
    <n v="12"/>
    <n v="16"/>
  </r>
  <r>
    <n v="10418"/>
    <x v="21"/>
    <x v="2"/>
    <x v="141"/>
    <d v="1997-02-14T00:00:00"/>
    <d v="1997-01-24T00:00:00"/>
    <x v="1"/>
    <n v="17.55"/>
    <s v="QUICK-Stop"/>
    <s v="Taucherstraße 10"/>
    <s v="Cunewalde"/>
    <s v="NULL"/>
    <n v="1307"/>
    <x v="1"/>
    <n v="28"/>
    <n v="7"/>
    <n v="21"/>
  </r>
  <r>
    <n v="10419"/>
    <x v="6"/>
    <x v="2"/>
    <x v="142"/>
    <d v="1997-02-17T00:00:00"/>
    <d v="1997-01-30T00:00:00"/>
    <x v="2"/>
    <n v="137.35"/>
    <s v="Richter Supermarkt"/>
    <s v="Starenweg 5"/>
    <s v="Genève"/>
    <s v="NULL"/>
    <n v="1204"/>
    <x v="4"/>
    <n v="28"/>
    <n v="10"/>
    <n v="18"/>
  </r>
  <r>
    <n v="10420"/>
    <x v="7"/>
    <x v="3"/>
    <x v="143"/>
    <d v="1997-02-18T00:00:00"/>
    <d v="1997-01-27T00:00:00"/>
    <x v="1"/>
    <n v="44.12"/>
    <s v="Wellington Importadora"/>
    <s v="Rua do Mercado 12"/>
    <s v="Resende"/>
    <s v="SP"/>
    <s v="08737-363"/>
    <x v="2"/>
    <n v="28"/>
    <n v="6"/>
    <n v="22"/>
  </r>
  <r>
    <n v="10421"/>
    <x v="12"/>
    <x v="6"/>
    <x v="143"/>
    <d v="1997-03-04T00:00:00"/>
    <d v="1997-01-27T00:00:00"/>
    <x v="1"/>
    <n v="99.23"/>
    <s v="Que Delícia"/>
    <s v="Rua da Panificadora 12"/>
    <s v="Rio de Janeiro"/>
    <s v="RJ"/>
    <s v="02389-673"/>
    <x v="2"/>
    <n v="42"/>
    <n v="6"/>
    <n v="36"/>
  </r>
  <r>
    <n v="10422"/>
    <x v="70"/>
    <x v="7"/>
    <x v="144"/>
    <d v="1997-02-19T00:00:00"/>
    <d v="1997-01-31T00:00:00"/>
    <x v="1"/>
    <n v="3.02"/>
    <s v="Franchi S.p.A."/>
    <s v="Via Monte Bianco 34"/>
    <s v="Torino"/>
    <s v="NULL"/>
    <n v="10100"/>
    <x v="11"/>
    <n v="28"/>
    <n v="9"/>
    <n v="19"/>
  </r>
  <r>
    <n v="10423"/>
    <x v="71"/>
    <x v="1"/>
    <x v="145"/>
    <d v="1997-02-06T00:00:00"/>
    <d v="1997-02-24T00:00:00"/>
    <x v="0"/>
    <n v="24.5"/>
    <s v="Gourmet Lanchonetes"/>
    <s v="Av. Brasil 442"/>
    <s v="Campinas"/>
    <s v="SP"/>
    <s v="04876-786"/>
    <x v="2"/>
    <n v="14"/>
    <n v="32"/>
    <n v="-18"/>
  </r>
  <r>
    <n v="10424"/>
    <x v="49"/>
    <x v="8"/>
    <x v="145"/>
    <d v="1997-02-20T00:00:00"/>
    <d v="1997-01-27T00:00:00"/>
    <x v="2"/>
    <n v="370.61"/>
    <s v="Mère Paillarde"/>
    <s v="43 rue St. Laurent"/>
    <s v="Montréal"/>
    <s v="Québec"/>
    <s v="H1J 1C3"/>
    <x v="16"/>
    <n v="28"/>
    <n v="4"/>
    <n v="24"/>
  </r>
  <r>
    <n v="10425"/>
    <x v="53"/>
    <x v="1"/>
    <x v="146"/>
    <d v="1997-02-21T00:00:00"/>
    <d v="1997-02-14T00:00:00"/>
    <x v="2"/>
    <n v="7.93"/>
    <s v="La maison d'Asie"/>
    <s v="1 rue Alsace-Lorraine"/>
    <s v="Toulouse"/>
    <s v="NULL"/>
    <n v="31000"/>
    <x v="0"/>
    <n v="28"/>
    <n v="21"/>
    <n v="7"/>
  </r>
  <r>
    <n v="10426"/>
    <x v="60"/>
    <x v="2"/>
    <x v="147"/>
    <d v="1997-02-24T00:00:00"/>
    <d v="1997-02-06T00:00:00"/>
    <x v="1"/>
    <n v="18.690000000000001"/>
    <s v="Galería del gastronómo"/>
    <s v="Rambla de Cataluña 23"/>
    <s v="Barcelona"/>
    <s v="NULL"/>
    <n v="8022"/>
    <x v="12"/>
    <n v="28"/>
    <n v="10"/>
    <n v="18"/>
  </r>
  <r>
    <n v="10427"/>
    <x v="54"/>
    <x v="2"/>
    <x v="147"/>
    <d v="1997-02-24T00:00:00"/>
    <d v="1997-03-03T00:00:00"/>
    <x v="2"/>
    <n v="31.29"/>
    <s v="Piccolo und mehr"/>
    <s v="Geislweg 14"/>
    <s v="Salzburg"/>
    <s v="NULL"/>
    <n v="5020"/>
    <x v="6"/>
    <n v="28"/>
    <n v="35"/>
    <n v="-7"/>
  </r>
  <r>
    <n v="10428"/>
    <x v="30"/>
    <x v="8"/>
    <x v="148"/>
    <d v="1997-02-25T00:00:00"/>
    <d v="1997-02-04T00:00:00"/>
    <x v="1"/>
    <n v="11.09"/>
    <s v="Reggiani Caseifici"/>
    <s v="Strada Provinciale 124"/>
    <s v="Reggio Emilia"/>
    <s v="NULL"/>
    <n v="42100"/>
    <x v="11"/>
    <n v="28"/>
    <n v="7"/>
    <n v="21"/>
  </r>
  <r>
    <n v="10429"/>
    <x v="34"/>
    <x v="3"/>
    <x v="149"/>
    <d v="1997-03-12T00:00:00"/>
    <d v="1997-02-07T00:00:00"/>
    <x v="2"/>
    <n v="56.63"/>
    <s v="Hungry Owl All-Night Grocers"/>
    <s v="8 Johnstown Road"/>
    <s v="Cork"/>
    <s v="Co. Cork"/>
    <s v="NULL"/>
    <x v="14"/>
    <n v="42"/>
    <n v="9"/>
    <n v="33"/>
  </r>
  <r>
    <n v="10430"/>
    <x v="9"/>
    <x v="2"/>
    <x v="150"/>
    <d v="1997-02-13T00:00:00"/>
    <d v="1997-02-03T00:00:00"/>
    <x v="1"/>
    <n v="458.78"/>
    <s v="Ernst Handel"/>
    <s v="Kirchgasse 6"/>
    <s v="Graz"/>
    <s v="NULL"/>
    <n v="8010"/>
    <x v="6"/>
    <n v="14"/>
    <n v="4"/>
    <n v="10"/>
  </r>
  <r>
    <n v="10431"/>
    <x v="66"/>
    <x v="2"/>
    <x v="150"/>
    <d v="1997-02-13T00:00:00"/>
    <d v="1997-02-07T00:00:00"/>
    <x v="2"/>
    <n v="44.17"/>
    <s v="Bottom-Dollar Markets"/>
    <s v="23 Tsawassen Blvd."/>
    <s v="Tsawassen"/>
    <s v="BC"/>
    <s v="T2F 8M4"/>
    <x v="16"/>
    <n v="14"/>
    <n v="8"/>
    <n v="6"/>
  </r>
  <r>
    <n v="10432"/>
    <x v="20"/>
    <x v="3"/>
    <x v="151"/>
    <d v="1997-02-14T00:00:00"/>
    <d v="1997-02-07T00:00:00"/>
    <x v="2"/>
    <n v="4.34"/>
    <s v="Split Rail Beer &amp; Ale"/>
    <s v="P.O. Box 555"/>
    <s v="Lander"/>
    <s v="WY"/>
    <n v="82520"/>
    <x v="8"/>
    <n v="14"/>
    <n v="7"/>
    <n v="7"/>
  </r>
  <r>
    <n v="10433"/>
    <x v="50"/>
    <x v="3"/>
    <x v="152"/>
    <d v="1997-03-03T00:00:00"/>
    <d v="1997-03-04T00:00:00"/>
    <x v="0"/>
    <n v="73.83"/>
    <s v="Princesa Isabel Vinhos"/>
    <s v="Estrada da saúde n. 58"/>
    <s v="Lisboa"/>
    <s v="NULL"/>
    <n v="1756"/>
    <x v="15"/>
    <n v="28"/>
    <n v="29"/>
    <n v="-1"/>
  </r>
  <r>
    <n v="10434"/>
    <x v="14"/>
    <x v="3"/>
    <x v="152"/>
    <d v="1997-03-03T00:00:00"/>
    <d v="1997-02-13T00:00:00"/>
    <x v="2"/>
    <n v="17.920000000000002"/>
    <s v="Folk och fä HB"/>
    <s v="Åkergatan 24"/>
    <s v="Bräcke"/>
    <s v="NULL"/>
    <s v="S-844 67"/>
    <x v="9"/>
    <n v="28"/>
    <n v="10"/>
    <n v="18"/>
  </r>
  <r>
    <n v="10435"/>
    <x v="72"/>
    <x v="6"/>
    <x v="153"/>
    <d v="1997-03-18T00:00:00"/>
    <d v="1997-02-07T00:00:00"/>
    <x v="2"/>
    <n v="9.2100000000000009"/>
    <s v="Consolidated Holdings"/>
    <s v="Berkeley Gardens 12  Brewery"/>
    <s v="London"/>
    <s v="NULL"/>
    <s v="WX1 6LT"/>
    <x v="13"/>
    <n v="42"/>
    <n v="3"/>
    <n v="39"/>
  </r>
  <r>
    <n v="10436"/>
    <x v="15"/>
    <x v="3"/>
    <x v="154"/>
    <d v="1997-03-05T00:00:00"/>
    <d v="1997-02-11T00:00:00"/>
    <x v="2"/>
    <n v="156.66"/>
    <s v="Blondel père et fils"/>
    <s v="24  place Kléber"/>
    <s v="Strasbourg"/>
    <s v="NULL"/>
    <n v="67000"/>
    <x v="0"/>
    <n v="28"/>
    <n v="6"/>
    <n v="22"/>
  </r>
  <r>
    <n v="10437"/>
    <x v="16"/>
    <x v="6"/>
    <x v="154"/>
    <d v="1997-03-05T00:00:00"/>
    <d v="1997-02-12T00:00:00"/>
    <x v="1"/>
    <n v="19.97"/>
    <s v="Wartian Herkku"/>
    <s v="Torikatu 38"/>
    <s v="Oulu"/>
    <s v="NULL"/>
    <n v="90110"/>
    <x v="10"/>
    <n v="28"/>
    <n v="7"/>
    <n v="21"/>
  </r>
  <r>
    <n v="10438"/>
    <x v="1"/>
    <x v="3"/>
    <x v="155"/>
    <d v="1997-03-06T00:00:00"/>
    <d v="1997-02-14T00:00:00"/>
    <x v="2"/>
    <n v="8.24"/>
    <s v="Toms Spezialitäten"/>
    <s v="Luisenstr. 48"/>
    <s v="Münster"/>
    <s v="NULL"/>
    <n v="44087"/>
    <x v="1"/>
    <n v="28"/>
    <n v="8"/>
    <n v="20"/>
  </r>
  <r>
    <n v="10439"/>
    <x v="49"/>
    <x v="1"/>
    <x v="156"/>
    <d v="1997-03-07T00:00:00"/>
    <d v="1997-02-10T00:00:00"/>
    <x v="0"/>
    <n v="4.07"/>
    <s v="Mère Paillarde"/>
    <s v="43 rue St. Laurent"/>
    <s v="Montréal"/>
    <s v="Québec"/>
    <s v="H1J 1C3"/>
    <x v="16"/>
    <n v="28"/>
    <n v="3"/>
    <n v="25"/>
  </r>
  <r>
    <n v="10440"/>
    <x v="45"/>
    <x v="2"/>
    <x v="157"/>
    <d v="1997-03-10T00:00:00"/>
    <d v="1997-02-28T00:00:00"/>
    <x v="2"/>
    <n v="86.53"/>
    <s v="Save-a-lot Markets"/>
    <s v="187 Suffolk Ln."/>
    <s v="Boise"/>
    <s v="ID"/>
    <n v="83720"/>
    <x v="8"/>
    <n v="28"/>
    <n v="18"/>
    <n v="10"/>
  </r>
  <r>
    <n v="10441"/>
    <x v="37"/>
    <x v="3"/>
    <x v="157"/>
    <d v="1997-03-24T00:00:00"/>
    <d v="1997-03-14T00:00:00"/>
    <x v="2"/>
    <n v="73.02"/>
    <s v="Old World Delicatessen"/>
    <s v="2743 Bering St."/>
    <s v="Anchorage"/>
    <s v="AK"/>
    <n v="99508"/>
    <x v="8"/>
    <n v="42"/>
    <n v="32"/>
    <n v="10"/>
  </r>
  <r>
    <n v="10442"/>
    <x v="9"/>
    <x v="3"/>
    <x v="158"/>
    <d v="1997-03-11T00:00:00"/>
    <d v="1997-02-18T00:00:00"/>
    <x v="2"/>
    <n v="47.94"/>
    <s v="Ernst Handel"/>
    <s v="Kirchgasse 6"/>
    <s v="Graz"/>
    <s v="NULL"/>
    <n v="8010"/>
    <x v="6"/>
    <n v="28"/>
    <n v="7"/>
    <n v="21"/>
  </r>
  <r>
    <n v="10443"/>
    <x v="30"/>
    <x v="6"/>
    <x v="159"/>
    <d v="1997-03-12T00:00:00"/>
    <d v="1997-02-14T00:00:00"/>
    <x v="1"/>
    <n v="13.95"/>
    <s v="Reggiani Caseifici"/>
    <s v="Strada Provinciale 124"/>
    <s v="Reggio Emilia"/>
    <s v="NULL"/>
    <n v="42100"/>
    <x v="11"/>
    <n v="28"/>
    <n v="2"/>
    <n v="26"/>
  </r>
  <r>
    <n v="10444"/>
    <x v="25"/>
    <x v="3"/>
    <x v="159"/>
    <d v="1997-03-12T00:00:00"/>
    <d v="1997-02-21T00:00:00"/>
    <x v="0"/>
    <n v="3.5"/>
    <s v="Berglunds snabbköp"/>
    <s v="Berguvsvägen  8"/>
    <s v="Luleå"/>
    <s v="NULL"/>
    <s v="S-958 22"/>
    <x v="9"/>
    <n v="28"/>
    <n v="9"/>
    <n v="19"/>
  </r>
  <r>
    <n v="10445"/>
    <x v="25"/>
    <x v="3"/>
    <x v="160"/>
    <d v="1997-03-13T00:00:00"/>
    <d v="1997-02-20T00:00:00"/>
    <x v="1"/>
    <n v="9.3000000000000007"/>
    <s v="Berglunds snabbköp"/>
    <s v="Berguvsvägen  8"/>
    <s v="Luleå"/>
    <s v="NULL"/>
    <s v="S-958 22"/>
    <x v="9"/>
    <n v="28"/>
    <n v="7"/>
    <n v="21"/>
  </r>
  <r>
    <n v="10446"/>
    <x v="1"/>
    <x v="1"/>
    <x v="161"/>
    <d v="1997-03-14T00:00:00"/>
    <d v="1997-02-19T00:00:00"/>
    <x v="1"/>
    <n v="14.68"/>
    <s v="Toms Spezialitäten"/>
    <s v="Luisenstr. 48"/>
    <s v="Münster"/>
    <s v="NULL"/>
    <n v="44087"/>
    <x v="1"/>
    <n v="28"/>
    <n v="5"/>
    <n v="23"/>
  </r>
  <r>
    <n v="10447"/>
    <x v="29"/>
    <x v="2"/>
    <x v="161"/>
    <d v="1997-03-14T00:00:00"/>
    <d v="1997-03-07T00:00:00"/>
    <x v="2"/>
    <n v="68.66"/>
    <s v="Ricardo Adocicados"/>
    <s v="Av. Copacabana 267"/>
    <s v="Rio de Janeiro"/>
    <s v="RJ"/>
    <s v="02389-890"/>
    <x v="2"/>
    <n v="28"/>
    <n v="21"/>
    <n v="7"/>
  </r>
  <r>
    <n v="10448"/>
    <x v="73"/>
    <x v="2"/>
    <x v="162"/>
    <d v="1997-03-17T00:00:00"/>
    <d v="1997-02-24T00:00:00"/>
    <x v="2"/>
    <n v="38.82"/>
    <s v="Rancho grande"/>
    <s v="Av. del Libertador 900"/>
    <s v="Buenos Aires"/>
    <s v="NULL"/>
    <n v="1010"/>
    <x v="20"/>
    <n v="28"/>
    <n v="7"/>
    <n v="21"/>
  </r>
  <r>
    <n v="10449"/>
    <x v="15"/>
    <x v="3"/>
    <x v="163"/>
    <d v="1997-03-18T00:00:00"/>
    <d v="1997-02-27T00:00:00"/>
    <x v="2"/>
    <n v="53.3"/>
    <s v="Blondel père et fils"/>
    <s v="24  place Kléber"/>
    <s v="Strasbourg"/>
    <s v="NULL"/>
    <n v="67000"/>
    <x v="0"/>
    <n v="28"/>
    <n v="9"/>
    <n v="19"/>
  </r>
  <r>
    <n v="10450"/>
    <x v="3"/>
    <x v="6"/>
    <x v="164"/>
    <d v="1997-03-19T00:00:00"/>
    <d v="1997-03-11T00:00:00"/>
    <x v="2"/>
    <n v="7.23"/>
    <s v="Victuailles en stock"/>
    <s v="2  rue du Commerce"/>
    <s v="Lyon"/>
    <s v="NULL"/>
    <n v="69004"/>
    <x v="0"/>
    <n v="28"/>
    <n v="20"/>
    <n v="8"/>
  </r>
  <r>
    <n v="10451"/>
    <x v="21"/>
    <x v="2"/>
    <x v="164"/>
    <d v="1997-03-05T00:00:00"/>
    <d v="1997-03-12T00:00:00"/>
    <x v="0"/>
    <n v="189.09"/>
    <s v="QUICK-Stop"/>
    <s v="Taucherstraße 10"/>
    <s v="Cunewalde"/>
    <s v="NULL"/>
    <n v="1307"/>
    <x v="1"/>
    <n v="14"/>
    <n v="21"/>
    <n v="-7"/>
  </r>
  <r>
    <n v="10452"/>
    <x v="45"/>
    <x v="6"/>
    <x v="165"/>
    <d v="1997-03-20T00:00:00"/>
    <d v="1997-02-26T00:00:00"/>
    <x v="1"/>
    <n v="140.26"/>
    <s v="Save-a-lot Markets"/>
    <s v="187 Suffolk Ln."/>
    <s v="Boise"/>
    <s v="ID"/>
    <n v="83720"/>
    <x v="8"/>
    <n v="28"/>
    <n v="6"/>
    <n v="22"/>
  </r>
  <r>
    <n v="10453"/>
    <x v="55"/>
    <x v="5"/>
    <x v="166"/>
    <d v="1997-03-21T00:00:00"/>
    <d v="1997-02-26T00:00:00"/>
    <x v="2"/>
    <n v="25.36"/>
    <s v="Around the Horn"/>
    <s v="Brook Farm Stratford St. Mary"/>
    <s v="Colchester"/>
    <s v="Essex"/>
    <s v="CO7 6JX"/>
    <x v="13"/>
    <n v="28"/>
    <n v="5"/>
    <n v="23"/>
  </r>
  <r>
    <n v="10454"/>
    <x v="53"/>
    <x v="2"/>
    <x v="166"/>
    <d v="1997-03-21T00:00:00"/>
    <d v="1997-02-25T00:00:00"/>
    <x v="0"/>
    <n v="2.74"/>
    <s v="La maison d'Asie"/>
    <s v="1 rue Alsace-Lorraine"/>
    <s v="Toulouse"/>
    <s v="NULL"/>
    <n v="31000"/>
    <x v="0"/>
    <n v="28"/>
    <n v="4"/>
    <n v="24"/>
  </r>
  <r>
    <n v="10455"/>
    <x v="16"/>
    <x v="6"/>
    <x v="167"/>
    <d v="1997-04-07T00:00:00"/>
    <d v="1997-03-03T00:00:00"/>
    <x v="2"/>
    <n v="180.45"/>
    <s v="Wartian Herkku"/>
    <s v="Torikatu 38"/>
    <s v="Oulu"/>
    <s v="NULL"/>
    <n v="90110"/>
    <x v="10"/>
    <n v="42"/>
    <n v="7"/>
    <n v="35"/>
  </r>
  <r>
    <n v="10456"/>
    <x v="44"/>
    <x v="6"/>
    <x v="168"/>
    <d v="1997-04-08T00:00:00"/>
    <d v="1997-02-28T00:00:00"/>
    <x v="2"/>
    <n v="8.1199999999999992"/>
    <s v="Königlich Essen"/>
    <s v="Maubelstr. 90"/>
    <s v="Brandenburg"/>
    <s v="NULL"/>
    <n v="14776"/>
    <x v="1"/>
    <n v="42"/>
    <n v="3"/>
    <n v="39"/>
  </r>
  <r>
    <n v="10457"/>
    <x v="44"/>
    <x v="7"/>
    <x v="168"/>
    <d v="1997-03-25T00:00:00"/>
    <d v="1997-03-03T00:00:00"/>
    <x v="1"/>
    <n v="11.57"/>
    <s v="Königlich Essen"/>
    <s v="Maubelstr. 90"/>
    <s v="Brandenburg"/>
    <s v="NULL"/>
    <n v="14776"/>
    <x v="1"/>
    <n v="28"/>
    <n v="6"/>
    <n v="22"/>
  </r>
  <r>
    <n v="10458"/>
    <x v="4"/>
    <x v="8"/>
    <x v="169"/>
    <d v="1997-03-26T00:00:00"/>
    <d v="1997-03-04T00:00:00"/>
    <x v="0"/>
    <n v="147.06"/>
    <s v="Suprêmes délices"/>
    <s v="Boulevard Tirou 255"/>
    <s v="Charleroi"/>
    <s v="NULL"/>
    <s v="B-6000"/>
    <x v="3"/>
    <n v="28"/>
    <n v="6"/>
    <n v="22"/>
  </r>
  <r>
    <n v="10459"/>
    <x v="3"/>
    <x v="2"/>
    <x v="170"/>
    <d v="1997-03-27T00:00:00"/>
    <d v="1997-02-28T00:00:00"/>
    <x v="2"/>
    <n v="25.09"/>
    <s v="Victuailles en stock"/>
    <s v="2  rue du Commerce"/>
    <s v="Lyon"/>
    <s v="NULL"/>
    <n v="69004"/>
    <x v="0"/>
    <n v="28"/>
    <n v="1"/>
    <n v="27"/>
  </r>
  <r>
    <n v="10460"/>
    <x v="14"/>
    <x v="6"/>
    <x v="171"/>
    <d v="1997-03-28T00:00:00"/>
    <d v="1997-03-03T00:00:00"/>
    <x v="1"/>
    <n v="16.27"/>
    <s v="Folk och fä HB"/>
    <s v="Åkergatan 24"/>
    <s v="Bräcke"/>
    <s v="NULL"/>
    <s v="S-844 67"/>
    <x v="9"/>
    <n v="28"/>
    <n v="3"/>
    <n v="25"/>
  </r>
  <r>
    <n v="10461"/>
    <x v="28"/>
    <x v="5"/>
    <x v="171"/>
    <d v="1997-03-28T00:00:00"/>
    <d v="1997-03-05T00:00:00"/>
    <x v="0"/>
    <n v="148.61000000000001"/>
    <s v="LILA-Supermercado"/>
    <s v="Carrera 52 con Ave. Bolívar #65-98 Llano Largo"/>
    <s v="Barquisimeto"/>
    <s v="Lara"/>
    <n v="3508"/>
    <x v="5"/>
    <n v="28"/>
    <n v="5"/>
    <n v="23"/>
  </r>
  <r>
    <n v="10462"/>
    <x v="72"/>
    <x v="7"/>
    <x v="172"/>
    <d v="1997-03-31T00:00:00"/>
    <d v="1997-03-18T00:00:00"/>
    <x v="1"/>
    <n v="6.17"/>
    <s v="Consolidated Holdings"/>
    <s v="Berkeley Gardens 12  Brewery"/>
    <s v="London"/>
    <s v="NULL"/>
    <s v="WX1 6LT"/>
    <x v="13"/>
    <n v="28"/>
    <n v="15"/>
    <n v="13"/>
  </r>
  <r>
    <n v="10463"/>
    <x v="4"/>
    <x v="0"/>
    <x v="173"/>
    <d v="1997-04-01T00:00:00"/>
    <d v="1997-03-06T00:00:00"/>
    <x v="0"/>
    <n v="14.78"/>
    <s v="Suprêmes délices"/>
    <s v="Boulevard Tirou 255"/>
    <s v="Charleroi"/>
    <s v="NULL"/>
    <s v="B-6000"/>
    <x v="3"/>
    <n v="28"/>
    <n v="2"/>
    <n v="26"/>
  </r>
  <r>
    <n v="10464"/>
    <x v="47"/>
    <x v="2"/>
    <x v="173"/>
    <d v="1997-04-01T00:00:00"/>
    <d v="1997-03-14T00:00:00"/>
    <x v="2"/>
    <n v="89"/>
    <s v="Furia Bacalhau e Frutos do Mar"/>
    <s v="Jardim das rosas n. 32"/>
    <s v="Lisboa"/>
    <s v="NULL"/>
    <n v="1675"/>
    <x v="15"/>
    <n v="28"/>
    <n v="10"/>
    <n v="18"/>
  </r>
  <r>
    <n v="10465"/>
    <x v="61"/>
    <x v="5"/>
    <x v="174"/>
    <d v="1997-04-02T00:00:00"/>
    <d v="1997-03-14T00:00:00"/>
    <x v="0"/>
    <n v="145.04"/>
    <s v="Vaffeljernet"/>
    <s v="Smagsloget 45"/>
    <s v="Århus"/>
    <s v="NULL"/>
    <n v="8200"/>
    <x v="17"/>
    <n v="28"/>
    <n v="9"/>
    <n v="19"/>
  </r>
  <r>
    <n v="10466"/>
    <x v="32"/>
    <x v="2"/>
    <x v="175"/>
    <d v="1997-04-03T00:00:00"/>
    <d v="1997-03-13T00:00:00"/>
    <x v="1"/>
    <n v="11.93"/>
    <s v="Comércio Mineiro"/>
    <s v="Av. dos Lusíadas 23"/>
    <s v="Sao Paulo"/>
    <s v="SP"/>
    <s v="05432-043"/>
    <x v="2"/>
    <n v="28"/>
    <n v="7"/>
    <n v="21"/>
  </r>
  <r>
    <n v="10467"/>
    <x v="22"/>
    <x v="6"/>
    <x v="175"/>
    <d v="1997-04-03T00:00:00"/>
    <d v="1997-03-11T00:00:00"/>
    <x v="2"/>
    <n v="4.93"/>
    <s v="Magazzini Alimentari Riuniti"/>
    <s v="Via Ludovico il Moro 22"/>
    <s v="Bergamo"/>
    <s v="NULL"/>
    <n v="24100"/>
    <x v="11"/>
    <n v="28"/>
    <n v="5"/>
    <n v="23"/>
  </r>
  <r>
    <n v="10468"/>
    <x v="44"/>
    <x v="3"/>
    <x v="176"/>
    <d v="1997-04-04T00:00:00"/>
    <d v="1997-03-12T00:00:00"/>
    <x v="0"/>
    <n v="44.12"/>
    <s v="Königlich Essen"/>
    <s v="Maubelstr. 90"/>
    <s v="Brandenburg"/>
    <s v="NULL"/>
    <n v="14776"/>
    <x v="1"/>
    <n v="28"/>
    <n v="5"/>
    <n v="23"/>
  </r>
  <r>
    <n v="10469"/>
    <x v="19"/>
    <x v="5"/>
    <x v="177"/>
    <d v="1997-04-07T00:00:00"/>
    <d v="1997-03-14T00:00:00"/>
    <x v="1"/>
    <n v="60.18"/>
    <s v="White Clover Markets"/>
    <s v="1029 - 12th Ave. S."/>
    <s v="Seattle"/>
    <s v="WA"/>
    <n v="98124"/>
    <x v="8"/>
    <n v="28"/>
    <n v="4"/>
    <n v="24"/>
  </r>
  <r>
    <n v="10470"/>
    <x v="48"/>
    <x v="2"/>
    <x v="178"/>
    <d v="1997-04-08T00:00:00"/>
    <d v="1997-03-14T00:00:00"/>
    <x v="2"/>
    <n v="64.56"/>
    <s v="Bon app'"/>
    <s v="12  rue des Bouchers"/>
    <s v="Marseille"/>
    <s v="NULL"/>
    <n v="13008"/>
    <x v="0"/>
    <n v="28"/>
    <n v="3"/>
    <n v="25"/>
  </r>
  <r>
    <n v="10471"/>
    <x v="31"/>
    <x v="7"/>
    <x v="178"/>
    <d v="1997-04-08T00:00:00"/>
    <d v="1997-03-18T00:00:00"/>
    <x v="0"/>
    <n v="45.59"/>
    <s v="B's Beverages"/>
    <s v="Fauntleroy Circus"/>
    <s v="London"/>
    <s v="NULL"/>
    <s v="EC2 5NT"/>
    <x v="13"/>
    <n v="28"/>
    <n v="7"/>
    <n v="21"/>
  </r>
  <r>
    <n v="10472"/>
    <x v="56"/>
    <x v="6"/>
    <x v="179"/>
    <d v="1997-04-09T00:00:00"/>
    <d v="1997-03-19T00:00:00"/>
    <x v="1"/>
    <n v="4.2"/>
    <s v="Seven Seas Imports"/>
    <s v="90 Wadhurst Rd."/>
    <s v="London"/>
    <s v="NULL"/>
    <s v="OX15 4NB"/>
    <x v="13"/>
    <n v="28"/>
    <n v="7"/>
    <n v="21"/>
  </r>
  <r>
    <n v="10473"/>
    <x v="42"/>
    <x v="5"/>
    <x v="180"/>
    <d v="1997-03-27T00:00:00"/>
    <d v="1997-03-21T00:00:00"/>
    <x v="0"/>
    <n v="16.37"/>
    <s v="Island Trading"/>
    <s v="Garden House Crowther Way"/>
    <s v="Cowes"/>
    <s v="Isle of Wight"/>
    <s v="PO31 7PJ"/>
    <x v="13"/>
    <n v="14"/>
    <n v="8"/>
    <n v="6"/>
  </r>
  <r>
    <n v="10474"/>
    <x v="43"/>
    <x v="0"/>
    <x v="180"/>
    <d v="1997-04-10T00:00:00"/>
    <d v="1997-03-21T00:00:00"/>
    <x v="2"/>
    <n v="83.49"/>
    <s v="Pericles Comidas clásicas"/>
    <s v="Calle Dr. Jorge Cash 321"/>
    <s v="México D.F."/>
    <s v="NULL"/>
    <n v="5033"/>
    <x v="7"/>
    <n v="28"/>
    <n v="8"/>
    <n v="20"/>
  </r>
  <r>
    <n v="10475"/>
    <x v="4"/>
    <x v="4"/>
    <x v="181"/>
    <d v="1997-04-11T00:00:00"/>
    <d v="1997-04-04T00:00:00"/>
    <x v="1"/>
    <n v="68.52"/>
    <s v="Suprêmes délices"/>
    <s v="Boulevard Tirou 255"/>
    <s v="Charleroi"/>
    <s v="NULL"/>
    <s v="B-6000"/>
    <x v="3"/>
    <n v="28"/>
    <n v="21"/>
    <n v="7"/>
  </r>
  <r>
    <n v="10476"/>
    <x v="8"/>
    <x v="6"/>
    <x v="182"/>
    <d v="1997-04-14T00:00:00"/>
    <d v="1997-03-24T00:00:00"/>
    <x v="0"/>
    <n v="4.41"/>
    <s v="HILARION-Abastos"/>
    <s v="Carrera 22 con Ave. Carlos Soublette #8-35"/>
    <s v="San Cristóbal"/>
    <s v="Táchira"/>
    <n v="5022"/>
    <x v="5"/>
    <n v="28"/>
    <n v="7"/>
    <n v="21"/>
  </r>
  <r>
    <n v="10477"/>
    <x v="50"/>
    <x v="0"/>
    <x v="182"/>
    <d v="1997-04-14T00:00:00"/>
    <d v="1997-03-25T00:00:00"/>
    <x v="2"/>
    <n v="13.02"/>
    <s v="Princesa Isabel Vinhos"/>
    <s v="Estrada da saúde n. 58"/>
    <s v="Lisboa"/>
    <s v="NULL"/>
    <n v="1756"/>
    <x v="15"/>
    <n v="28"/>
    <n v="8"/>
    <n v="20"/>
  </r>
  <r>
    <n v="10478"/>
    <x v="3"/>
    <x v="7"/>
    <x v="183"/>
    <d v="1997-04-01T00:00:00"/>
    <d v="1997-03-26T00:00:00"/>
    <x v="0"/>
    <n v="4.8099999999999996"/>
    <s v="Victuailles en stock"/>
    <s v="2  rue du Commerce"/>
    <s v="Lyon"/>
    <s v="NULL"/>
    <n v="69004"/>
    <x v="0"/>
    <n v="14"/>
    <n v="8"/>
    <n v="6"/>
  </r>
  <r>
    <n v="10479"/>
    <x v="13"/>
    <x v="3"/>
    <x v="184"/>
    <d v="1997-04-16T00:00:00"/>
    <d v="1997-03-21T00:00:00"/>
    <x v="0"/>
    <n v="708.95"/>
    <s v="Rattlesnake Canyon Grocery"/>
    <s v="2817 Milton Dr."/>
    <s v="Albuquerque"/>
    <s v="NM"/>
    <n v="87110"/>
    <x v="8"/>
    <n v="28"/>
    <n v="2"/>
    <n v="26"/>
  </r>
  <r>
    <n v="10480"/>
    <x v="68"/>
    <x v="1"/>
    <x v="185"/>
    <d v="1997-04-17T00:00:00"/>
    <d v="1997-03-24T00:00:00"/>
    <x v="2"/>
    <n v="1.35"/>
    <s v="Folies gourmandes"/>
    <s v="184  chaussée de Tournai"/>
    <s v="Lille"/>
    <s v="NULL"/>
    <n v="59000"/>
    <x v="0"/>
    <n v="28"/>
    <n v="4"/>
    <n v="24"/>
  </r>
  <r>
    <n v="10481"/>
    <x v="29"/>
    <x v="6"/>
    <x v="185"/>
    <d v="1997-04-17T00:00:00"/>
    <d v="1997-03-25T00:00:00"/>
    <x v="2"/>
    <n v="64.33"/>
    <s v="Ricardo Adocicados"/>
    <s v="Av. Copacabana 267"/>
    <s v="Rio de Janeiro"/>
    <s v="RJ"/>
    <s v="02389-890"/>
    <x v="2"/>
    <n v="28"/>
    <n v="5"/>
    <n v="23"/>
  </r>
  <r>
    <n v="10482"/>
    <x v="74"/>
    <x v="5"/>
    <x v="186"/>
    <d v="1997-04-18T00:00:00"/>
    <d v="1997-04-10T00:00:00"/>
    <x v="0"/>
    <n v="7.48"/>
    <s v="Lazy K Kountry Store"/>
    <s v="12 Orchestra Terrace"/>
    <s v="Walla Walla"/>
    <s v="WA"/>
    <n v="99362"/>
    <x v="8"/>
    <n v="28"/>
    <n v="20"/>
    <n v="8"/>
  </r>
  <r>
    <n v="10483"/>
    <x v="19"/>
    <x v="8"/>
    <x v="187"/>
    <d v="1997-04-21T00:00:00"/>
    <d v="1997-04-25T00:00:00"/>
    <x v="2"/>
    <n v="15.28"/>
    <s v="White Clover Markets"/>
    <s v="1029 - 12th Ave. S."/>
    <s v="Seattle"/>
    <s v="WA"/>
    <n v="98124"/>
    <x v="8"/>
    <n v="28"/>
    <n v="32"/>
    <n v="-4"/>
  </r>
  <r>
    <n v="10484"/>
    <x v="31"/>
    <x v="3"/>
    <x v="187"/>
    <d v="1997-04-21T00:00:00"/>
    <d v="1997-04-01T00:00:00"/>
    <x v="0"/>
    <n v="6.88"/>
    <s v="B's Beverages"/>
    <s v="Fauntleroy Circus"/>
    <s v="London"/>
    <s v="NULL"/>
    <s v="EC2 5NT"/>
    <x v="13"/>
    <n v="28"/>
    <n v="8"/>
    <n v="20"/>
  </r>
  <r>
    <n v="10485"/>
    <x v="67"/>
    <x v="2"/>
    <x v="188"/>
    <d v="1997-04-08T00:00:00"/>
    <d v="1997-03-31T00:00:00"/>
    <x v="2"/>
    <n v="64.45"/>
    <s v="LINO-Delicateses"/>
    <s v="Ave. 5 de Mayo Porlamar"/>
    <s v="I. de Margarita"/>
    <s v="Nueva Esparta"/>
    <n v="4980"/>
    <x v="5"/>
    <n v="14"/>
    <n v="6"/>
    <n v="8"/>
  </r>
  <r>
    <n v="10486"/>
    <x v="8"/>
    <x v="5"/>
    <x v="189"/>
    <d v="1997-04-23T00:00:00"/>
    <d v="1997-04-02T00:00:00"/>
    <x v="2"/>
    <n v="30.53"/>
    <s v="HILARION-Abastos"/>
    <s v="Carrera 22 con Ave. Carlos Soublette #8-35"/>
    <s v="San Cristóbal"/>
    <s v="Táchira"/>
    <n v="5022"/>
    <x v="5"/>
    <n v="28"/>
    <n v="7"/>
    <n v="21"/>
  </r>
  <r>
    <n v="10487"/>
    <x v="62"/>
    <x v="7"/>
    <x v="189"/>
    <d v="1997-04-23T00:00:00"/>
    <d v="1997-03-28T00:00:00"/>
    <x v="2"/>
    <n v="71.069999999999993"/>
    <s v="Queen Cozinha"/>
    <s v="Alameda dos Canàrios 891"/>
    <s v="Sao Paulo"/>
    <s v="SP"/>
    <s v="05487-020"/>
    <x v="2"/>
    <n v="28"/>
    <n v="2"/>
    <n v="26"/>
  </r>
  <r>
    <n v="10488"/>
    <x v="17"/>
    <x v="6"/>
    <x v="190"/>
    <d v="1997-04-24T00:00:00"/>
    <d v="1997-04-02T00:00:00"/>
    <x v="2"/>
    <n v="4.93"/>
    <s v="Frankenversand"/>
    <s v="Berliner Platz 43"/>
    <s v="München"/>
    <s v="NULL"/>
    <n v="80805"/>
    <x v="1"/>
    <n v="28"/>
    <n v="6"/>
    <n v="22"/>
  </r>
  <r>
    <n v="10489"/>
    <x v="54"/>
    <x v="1"/>
    <x v="191"/>
    <d v="1997-04-25T00:00:00"/>
    <d v="1997-04-09T00:00:00"/>
    <x v="2"/>
    <n v="5.29"/>
    <s v="Piccolo und mehr"/>
    <s v="Geislweg 14"/>
    <s v="Salzburg"/>
    <s v="NULL"/>
    <n v="5020"/>
    <x v="6"/>
    <n v="28"/>
    <n v="12"/>
    <n v="16"/>
  </r>
  <r>
    <n v="10490"/>
    <x v="8"/>
    <x v="8"/>
    <x v="192"/>
    <d v="1997-04-28T00:00:00"/>
    <d v="1997-04-03T00:00:00"/>
    <x v="2"/>
    <n v="210.19"/>
    <s v="HILARION-Abastos"/>
    <s v="Carrera 22 con Ave. Carlos Soublette #8-35"/>
    <s v="San Cristóbal"/>
    <s v="Táchira"/>
    <n v="5022"/>
    <x v="5"/>
    <n v="28"/>
    <n v="3"/>
    <n v="25"/>
  </r>
  <r>
    <n v="10491"/>
    <x v="47"/>
    <x v="6"/>
    <x v="192"/>
    <d v="1997-04-28T00:00:00"/>
    <d v="1997-04-08T00:00:00"/>
    <x v="0"/>
    <n v="16.96"/>
    <s v="Furia Bacalhau e Frutos do Mar"/>
    <s v="Jardim das rosas n. 32"/>
    <s v="Lisboa"/>
    <s v="NULL"/>
    <n v="1675"/>
    <x v="15"/>
    <n v="28"/>
    <n v="8"/>
    <n v="20"/>
  </r>
  <r>
    <n v="10492"/>
    <x v="66"/>
    <x v="3"/>
    <x v="193"/>
    <d v="1997-04-29T00:00:00"/>
    <d v="1997-04-11T00:00:00"/>
    <x v="1"/>
    <n v="62.89"/>
    <s v="Bottom-Dollar Markets"/>
    <s v="23 Tsawassen Blvd."/>
    <s v="Tsawassen"/>
    <s v="BC"/>
    <s v="T2F 8M4"/>
    <x v="16"/>
    <n v="28"/>
    <n v="10"/>
    <n v="18"/>
  </r>
  <r>
    <n v="10493"/>
    <x v="53"/>
    <x v="2"/>
    <x v="194"/>
    <d v="1997-04-30T00:00:00"/>
    <d v="1997-04-10T00:00:00"/>
    <x v="0"/>
    <n v="10.64"/>
    <s v="La maison d'Asie"/>
    <s v="1 rue Alsace-Lorraine"/>
    <s v="Toulouse"/>
    <s v="NULL"/>
    <n v="31000"/>
    <x v="0"/>
    <n v="28"/>
    <n v="8"/>
    <n v="20"/>
  </r>
  <r>
    <n v="10494"/>
    <x v="32"/>
    <x v="2"/>
    <x v="194"/>
    <d v="1997-04-30T00:00:00"/>
    <d v="1997-04-09T00:00:00"/>
    <x v="2"/>
    <n v="65.989999999999995"/>
    <s v="Comércio Mineiro"/>
    <s v="Av. dos Lusíadas 23"/>
    <s v="Sao Paulo"/>
    <s v="SP"/>
    <s v="05432-043"/>
    <x v="2"/>
    <n v="28"/>
    <n v="7"/>
    <n v="21"/>
  </r>
  <r>
    <n v="10495"/>
    <x v="75"/>
    <x v="3"/>
    <x v="195"/>
    <d v="1997-05-01T00:00:00"/>
    <d v="1997-04-11T00:00:00"/>
    <x v="0"/>
    <n v="4.6500000000000004"/>
    <s v="Laughing Bacchus Wine Cellars"/>
    <s v="2319 Elm St."/>
    <s v="Vancouver"/>
    <s v="BC"/>
    <s v="V3F 2K1"/>
    <x v="16"/>
    <n v="28"/>
    <n v="8"/>
    <n v="20"/>
  </r>
  <r>
    <n v="10496"/>
    <x v="33"/>
    <x v="8"/>
    <x v="196"/>
    <d v="1997-05-02T00:00:00"/>
    <d v="1997-04-07T00:00:00"/>
    <x v="2"/>
    <n v="46.77"/>
    <s v="Tradiçao Hipermercados"/>
    <s v="Av. Inês de Castro 414"/>
    <s v="Sao Paulo"/>
    <s v="SP"/>
    <s v="05634-030"/>
    <x v="2"/>
    <n v="28"/>
    <n v="3"/>
    <n v="25"/>
  </r>
  <r>
    <n v="10497"/>
    <x v="26"/>
    <x v="8"/>
    <x v="196"/>
    <d v="1997-05-02T00:00:00"/>
    <d v="1997-04-07T00:00:00"/>
    <x v="1"/>
    <n v="36.21"/>
    <s v="Lehmanns Marktstand"/>
    <s v="Magazinweg 7"/>
    <s v="Frankfurt a.M."/>
    <s v="NULL"/>
    <n v="60528"/>
    <x v="1"/>
    <n v="28"/>
    <n v="3"/>
    <n v="25"/>
  </r>
  <r>
    <n v="10498"/>
    <x v="8"/>
    <x v="6"/>
    <x v="197"/>
    <d v="1997-05-05T00:00:00"/>
    <d v="1997-04-11T00:00:00"/>
    <x v="2"/>
    <n v="29.75"/>
    <s v="HILARION-Abastos"/>
    <s v="Carrera 22 con Ave. Carlos Soublette #8-35"/>
    <s v="San Cristóbal"/>
    <s v="Táchira"/>
    <n v="5022"/>
    <x v="5"/>
    <n v="28"/>
    <n v="4"/>
    <n v="24"/>
  </r>
  <r>
    <n v="10499"/>
    <x v="28"/>
    <x v="2"/>
    <x v="198"/>
    <d v="1997-05-06T00:00:00"/>
    <d v="1997-04-16T00:00:00"/>
    <x v="2"/>
    <n v="102.02"/>
    <s v="LILA-Supermercado"/>
    <s v="Carrera 52 con Ave. Bolívar #65-98 Llano Largo"/>
    <s v="Barquisimeto"/>
    <s v="Lara"/>
    <n v="3508"/>
    <x v="5"/>
    <n v="28"/>
    <n v="8"/>
    <n v="20"/>
  </r>
  <r>
    <n v="10500"/>
    <x v="53"/>
    <x v="1"/>
    <x v="199"/>
    <d v="1997-05-07T00:00:00"/>
    <d v="1997-04-17T00:00:00"/>
    <x v="1"/>
    <n v="42.68"/>
    <s v="La maison d'Asie"/>
    <s v="1 rue Alsace-Lorraine"/>
    <s v="Toulouse"/>
    <s v="NULL"/>
    <n v="31000"/>
    <x v="0"/>
    <n v="28"/>
    <n v="8"/>
    <n v="20"/>
  </r>
  <r>
    <n v="10501"/>
    <x v="76"/>
    <x v="4"/>
    <x v="199"/>
    <d v="1997-05-07T00:00:00"/>
    <d v="1997-04-16T00:00:00"/>
    <x v="0"/>
    <n v="8.85"/>
    <s v="Blauer See Delikatessen"/>
    <s v="Forsterstr. 57"/>
    <s v="Mannheim"/>
    <s v="NULL"/>
    <n v="68306"/>
    <x v="1"/>
    <n v="28"/>
    <n v="7"/>
    <n v="21"/>
  </r>
  <r>
    <n v="10502"/>
    <x v="43"/>
    <x v="7"/>
    <x v="200"/>
    <d v="1997-05-08T00:00:00"/>
    <d v="1997-04-29T00:00:00"/>
    <x v="1"/>
    <n v="69.319999999999993"/>
    <s v="Pericles Comidas clásicas"/>
    <s v="Calle Dr. Jorge Cash 321"/>
    <s v="México D.F."/>
    <s v="NULL"/>
    <n v="5033"/>
    <x v="7"/>
    <n v="28"/>
    <n v="19"/>
    <n v="9"/>
  </r>
  <r>
    <n v="10503"/>
    <x v="34"/>
    <x v="1"/>
    <x v="201"/>
    <d v="1997-05-09T00:00:00"/>
    <d v="1997-04-16T00:00:00"/>
    <x v="2"/>
    <n v="16.739999999999998"/>
    <s v="Hungry Owl All-Night Grocers"/>
    <s v="8 Johnstown Road"/>
    <s v="Cork"/>
    <s v="Co. Cork"/>
    <s v="NULL"/>
    <x v="14"/>
    <n v="28"/>
    <n v="5"/>
    <n v="23"/>
  </r>
  <r>
    <n v="10504"/>
    <x v="19"/>
    <x v="2"/>
    <x v="201"/>
    <d v="1997-05-09T00:00:00"/>
    <d v="1997-04-18T00:00:00"/>
    <x v="0"/>
    <n v="59.13"/>
    <s v="White Clover Markets"/>
    <s v="1029 - 12th Ave. S."/>
    <s v="Seattle"/>
    <s v="WA"/>
    <n v="98124"/>
    <x v="8"/>
    <n v="28"/>
    <n v="7"/>
    <n v="21"/>
  </r>
  <r>
    <n v="10505"/>
    <x v="49"/>
    <x v="3"/>
    <x v="202"/>
    <d v="1997-05-12T00:00:00"/>
    <d v="1997-04-21T00:00:00"/>
    <x v="0"/>
    <n v="7.13"/>
    <s v="Mère Paillarde"/>
    <s v="43 rue St. Laurent"/>
    <s v="Montréal"/>
    <s v="Québec"/>
    <s v="H1J 1C3"/>
    <x v="16"/>
    <n v="28"/>
    <n v="7"/>
    <n v="21"/>
  </r>
  <r>
    <n v="10506"/>
    <x v="44"/>
    <x v="4"/>
    <x v="203"/>
    <d v="1997-05-13T00:00:00"/>
    <d v="1997-05-02T00:00:00"/>
    <x v="2"/>
    <n v="21.19"/>
    <s v="Königlich Essen"/>
    <s v="Maubelstr. 90"/>
    <s v="Brandenburg"/>
    <s v="NULL"/>
    <n v="14776"/>
    <x v="1"/>
    <n v="28"/>
    <n v="17"/>
    <n v="11"/>
  </r>
  <r>
    <n v="10507"/>
    <x v="59"/>
    <x v="8"/>
    <x v="203"/>
    <d v="1997-05-13T00:00:00"/>
    <d v="1997-04-22T00:00:00"/>
    <x v="1"/>
    <n v="47.45"/>
    <s v="Antonio Moreno Taquería"/>
    <s v="Mataderos  2312"/>
    <s v="México D.F."/>
    <s v="NULL"/>
    <n v="5023"/>
    <x v="7"/>
    <n v="28"/>
    <n v="7"/>
    <n v="21"/>
  </r>
  <r>
    <n v="10508"/>
    <x v="11"/>
    <x v="5"/>
    <x v="204"/>
    <d v="1997-05-14T00:00:00"/>
    <d v="1997-05-13T00:00:00"/>
    <x v="2"/>
    <n v="4.99"/>
    <s v="Ottilies Käseladen"/>
    <s v="Mehrheimerstr. 369"/>
    <s v="Köln"/>
    <s v="NULL"/>
    <n v="50739"/>
    <x v="1"/>
    <n v="28"/>
    <n v="27"/>
    <n v="1"/>
  </r>
  <r>
    <n v="10509"/>
    <x v="76"/>
    <x v="2"/>
    <x v="205"/>
    <d v="1997-05-15T00:00:00"/>
    <d v="1997-04-29T00:00:00"/>
    <x v="1"/>
    <n v="0.15"/>
    <s v="Blauer See Delikatessen"/>
    <s v="Forsterstr. 57"/>
    <s v="Mannheim"/>
    <s v="NULL"/>
    <n v="68306"/>
    <x v="1"/>
    <n v="28"/>
    <n v="12"/>
    <n v="16"/>
  </r>
  <r>
    <n v="10510"/>
    <x v="45"/>
    <x v="1"/>
    <x v="206"/>
    <d v="1997-05-16T00:00:00"/>
    <d v="1997-04-28T00:00:00"/>
    <x v="0"/>
    <n v="367.63"/>
    <s v="Save-a-lot Markets"/>
    <s v="187 Suffolk Ln."/>
    <s v="Boise"/>
    <s v="ID"/>
    <n v="83720"/>
    <x v="8"/>
    <n v="28"/>
    <n v="10"/>
    <n v="18"/>
  </r>
  <r>
    <n v="10511"/>
    <x v="48"/>
    <x v="2"/>
    <x v="206"/>
    <d v="1997-05-16T00:00:00"/>
    <d v="1997-04-21T00:00:00"/>
    <x v="0"/>
    <n v="350.64"/>
    <s v="Bon app'"/>
    <s v="12  rue des Bouchers"/>
    <s v="Marseille"/>
    <s v="NULL"/>
    <n v="13008"/>
    <x v="0"/>
    <n v="28"/>
    <n v="3"/>
    <n v="25"/>
  </r>
  <r>
    <n v="10512"/>
    <x v="52"/>
    <x v="8"/>
    <x v="207"/>
    <d v="1997-05-19T00:00:00"/>
    <d v="1997-04-24T00:00:00"/>
    <x v="2"/>
    <n v="3.53"/>
    <s v="Familia Arquibaldo"/>
    <s v="Rua Orós 92"/>
    <s v="Sao Paulo"/>
    <s v="SP"/>
    <s v="05442-030"/>
    <x v="2"/>
    <n v="28"/>
    <n v="3"/>
    <n v="25"/>
  </r>
  <r>
    <n v="10513"/>
    <x v="35"/>
    <x v="8"/>
    <x v="208"/>
    <d v="1997-06-03T00:00:00"/>
    <d v="1997-04-28T00:00:00"/>
    <x v="1"/>
    <n v="105.65"/>
    <s v="Die Wandernde Kuh"/>
    <s v="Adenauerallee 900"/>
    <s v="Stuttgart"/>
    <s v="NULL"/>
    <n v="70563"/>
    <x v="1"/>
    <n v="42"/>
    <n v="6"/>
    <n v="36"/>
  </r>
  <r>
    <n v="10514"/>
    <x v="9"/>
    <x v="3"/>
    <x v="208"/>
    <d v="1997-05-20T00:00:00"/>
    <d v="1997-05-16T00:00:00"/>
    <x v="2"/>
    <n v="789.95"/>
    <s v="Ernst Handel"/>
    <s v="Kirchgasse 6"/>
    <s v="Graz"/>
    <s v="NULL"/>
    <n v="8010"/>
    <x v="6"/>
    <n v="28"/>
    <n v="24"/>
    <n v="4"/>
  </r>
  <r>
    <n v="10515"/>
    <x v="21"/>
    <x v="7"/>
    <x v="209"/>
    <d v="1997-05-07T00:00:00"/>
    <d v="1997-05-23T00:00:00"/>
    <x v="1"/>
    <n v="204.47"/>
    <s v="QUICK-Stop"/>
    <s v="Taucherstraße 10"/>
    <s v="Cunewalde"/>
    <s v="NULL"/>
    <n v="1307"/>
    <x v="1"/>
    <n v="14"/>
    <n v="30"/>
    <n v="-16"/>
  </r>
  <r>
    <n v="10516"/>
    <x v="34"/>
    <x v="7"/>
    <x v="210"/>
    <d v="1997-05-22T00:00:00"/>
    <d v="1997-05-01T00:00:00"/>
    <x v="0"/>
    <n v="62.78"/>
    <s v="Hungry Owl All-Night Grocers"/>
    <s v="8 Johnstown Road"/>
    <s v="Cork"/>
    <s v="Co. Cork"/>
    <s v="NULL"/>
    <x v="14"/>
    <n v="28"/>
    <n v="7"/>
    <n v="21"/>
  </r>
  <r>
    <n v="10517"/>
    <x v="77"/>
    <x v="3"/>
    <x v="210"/>
    <d v="1997-05-22T00:00:00"/>
    <d v="1997-04-29T00:00:00"/>
    <x v="0"/>
    <n v="32.07"/>
    <s v="North/South"/>
    <s v="South House 300 Queensbridge"/>
    <s v="London"/>
    <s v="NULL"/>
    <s v="SW7 1RZ"/>
    <x v="13"/>
    <n v="28"/>
    <n v="5"/>
    <n v="23"/>
  </r>
  <r>
    <n v="10518"/>
    <x v="23"/>
    <x v="2"/>
    <x v="211"/>
    <d v="1997-05-09T00:00:00"/>
    <d v="1997-05-05T00:00:00"/>
    <x v="2"/>
    <n v="218.15"/>
    <s v="Tortuga Restaurante"/>
    <s v="Avda. Azteca 123"/>
    <s v="México D.F."/>
    <s v="NULL"/>
    <n v="5033"/>
    <x v="7"/>
    <n v="14"/>
    <n v="10"/>
    <n v="4"/>
  </r>
  <r>
    <n v="10519"/>
    <x v="5"/>
    <x v="1"/>
    <x v="212"/>
    <d v="1997-05-26T00:00:00"/>
    <d v="1997-05-01T00:00:00"/>
    <x v="0"/>
    <n v="91.76"/>
    <s v="Chop-suey Chinese"/>
    <s v="Hauptstr. 31"/>
    <s v="Bern"/>
    <s v="NULL"/>
    <n v="3012"/>
    <x v="4"/>
    <n v="28"/>
    <n v="3"/>
    <n v="25"/>
  </r>
  <r>
    <n v="10520"/>
    <x v="65"/>
    <x v="8"/>
    <x v="213"/>
    <d v="1997-05-27T00:00:00"/>
    <d v="1997-05-01T00:00:00"/>
    <x v="1"/>
    <n v="13.37"/>
    <s v="Santé Gourmet"/>
    <s v="Erling Skakkes gate 78"/>
    <s v="Stavern"/>
    <s v="NULL"/>
    <n v="4110"/>
    <x v="19"/>
    <n v="28"/>
    <n v="2"/>
    <n v="26"/>
  </r>
  <r>
    <n v="10521"/>
    <x v="78"/>
    <x v="6"/>
    <x v="213"/>
    <d v="1997-05-27T00:00:00"/>
    <d v="1997-05-02T00:00:00"/>
    <x v="2"/>
    <n v="17.22"/>
    <s v="Cactus Comidas para llevar"/>
    <s v="Cerrito 333"/>
    <s v="Buenos Aires"/>
    <s v="NULL"/>
    <n v="1010"/>
    <x v="20"/>
    <n v="28"/>
    <n v="3"/>
    <n v="25"/>
  </r>
  <r>
    <n v="10522"/>
    <x v="26"/>
    <x v="2"/>
    <x v="214"/>
    <d v="1997-05-28T00:00:00"/>
    <d v="1997-05-06T00:00:00"/>
    <x v="1"/>
    <n v="45.33"/>
    <s v="Lehmanns Marktstand"/>
    <s v="Magazinweg 7"/>
    <s v="Frankfurt a.M."/>
    <s v="NULL"/>
    <n v="60528"/>
    <x v="1"/>
    <n v="28"/>
    <n v="6"/>
    <n v="22"/>
  </r>
  <r>
    <n v="10523"/>
    <x v="56"/>
    <x v="8"/>
    <x v="215"/>
    <d v="1997-05-29T00:00:00"/>
    <d v="1997-05-30T00:00:00"/>
    <x v="2"/>
    <n v="77.63"/>
    <s v="Seven Seas Imports"/>
    <s v="90 Wadhurst Rd."/>
    <s v="London"/>
    <s v="NULL"/>
    <s v="OX15 4NB"/>
    <x v="13"/>
    <n v="28"/>
    <n v="29"/>
    <n v="-1"/>
  </r>
  <r>
    <n v="10524"/>
    <x v="25"/>
    <x v="5"/>
    <x v="215"/>
    <d v="1997-05-29T00:00:00"/>
    <d v="1997-05-07T00:00:00"/>
    <x v="2"/>
    <n v="244.79"/>
    <s v="Berglunds snabbköp"/>
    <s v="Berguvsvägen  8"/>
    <s v="Luleå"/>
    <s v="NULL"/>
    <s v="S-958 22"/>
    <x v="9"/>
    <n v="28"/>
    <n v="6"/>
    <n v="22"/>
  </r>
  <r>
    <n v="10525"/>
    <x v="48"/>
    <x v="5"/>
    <x v="216"/>
    <d v="1997-05-30T00:00:00"/>
    <d v="1997-05-23T00:00:00"/>
    <x v="2"/>
    <n v="11.06"/>
    <s v="Bon app'"/>
    <s v="12  rue des Bouchers"/>
    <s v="Marseille"/>
    <s v="NULL"/>
    <n v="13008"/>
    <x v="0"/>
    <n v="28"/>
    <n v="21"/>
    <n v="7"/>
  </r>
  <r>
    <n v="10526"/>
    <x v="16"/>
    <x v="2"/>
    <x v="217"/>
    <d v="1997-06-02T00:00:00"/>
    <d v="1997-05-15T00:00:00"/>
    <x v="2"/>
    <n v="58.59"/>
    <s v="Wartian Herkku"/>
    <s v="Torikatu 38"/>
    <s v="Oulu"/>
    <s v="NULL"/>
    <n v="90110"/>
    <x v="10"/>
    <n v="28"/>
    <n v="10"/>
    <n v="18"/>
  </r>
  <r>
    <n v="10527"/>
    <x v="21"/>
    <x v="8"/>
    <x v="217"/>
    <d v="1997-06-02T00:00:00"/>
    <d v="1997-05-07T00:00:00"/>
    <x v="1"/>
    <n v="41.9"/>
    <s v="QUICK-Stop"/>
    <s v="Taucherstraße 10"/>
    <s v="Cunewalde"/>
    <s v="NULL"/>
    <n v="1307"/>
    <x v="1"/>
    <n v="28"/>
    <n v="2"/>
    <n v="26"/>
  </r>
  <r>
    <n v="10528"/>
    <x v="79"/>
    <x v="1"/>
    <x v="218"/>
    <d v="1997-05-20T00:00:00"/>
    <d v="1997-05-09T00:00:00"/>
    <x v="2"/>
    <n v="3.35"/>
    <s v="Great Lakes Food Market"/>
    <s v="2732 Baker Blvd."/>
    <s v="Eugene"/>
    <s v="OR"/>
    <n v="97403"/>
    <x v="8"/>
    <n v="14"/>
    <n v="3"/>
    <n v="11"/>
  </r>
  <r>
    <n v="10529"/>
    <x v="80"/>
    <x v="0"/>
    <x v="219"/>
    <d v="1997-06-04T00:00:00"/>
    <d v="1997-05-09T00:00:00"/>
    <x v="2"/>
    <n v="66.69"/>
    <s v="Maison Dewey"/>
    <s v="Rue Joseph-Bens 532"/>
    <s v="Bruxelles"/>
    <s v="NULL"/>
    <s v="B-1180"/>
    <x v="3"/>
    <n v="28"/>
    <n v="2"/>
    <n v="26"/>
  </r>
  <r>
    <n v="10530"/>
    <x v="54"/>
    <x v="3"/>
    <x v="220"/>
    <d v="1997-06-05T00:00:00"/>
    <d v="1997-05-12T00:00:00"/>
    <x v="2"/>
    <n v="339.22"/>
    <s v="Piccolo und mehr"/>
    <s v="Geislweg 14"/>
    <s v="Salzburg"/>
    <s v="NULL"/>
    <n v="5020"/>
    <x v="6"/>
    <n v="28"/>
    <n v="4"/>
    <n v="24"/>
  </r>
  <r>
    <n v="10531"/>
    <x v="69"/>
    <x v="8"/>
    <x v="220"/>
    <d v="1997-06-05T00:00:00"/>
    <d v="1997-05-19T00:00:00"/>
    <x v="1"/>
    <n v="8.1199999999999992"/>
    <s v="Océano Atlántico Ltda."/>
    <s v="Ing. Gustavo Moncada 8585 Piso 20-A"/>
    <s v="Buenos Aires"/>
    <s v="NULL"/>
    <n v="1010"/>
    <x v="20"/>
    <n v="28"/>
    <n v="11"/>
    <n v="17"/>
  </r>
  <r>
    <n v="10532"/>
    <x v="58"/>
    <x v="8"/>
    <x v="221"/>
    <d v="1997-06-06T00:00:00"/>
    <d v="1997-05-12T00:00:00"/>
    <x v="0"/>
    <n v="74.459999999999994"/>
    <s v="Eastern Connection"/>
    <s v="35 King George"/>
    <s v="London"/>
    <s v="NULL"/>
    <s v="WX3 6FW"/>
    <x v="13"/>
    <n v="28"/>
    <n v="3"/>
    <n v="25"/>
  </r>
  <r>
    <n v="10533"/>
    <x v="14"/>
    <x v="6"/>
    <x v="222"/>
    <d v="1997-06-09T00:00:00"/>
    <d v="1997-05-22T00:00:00"/>
    <x v="1"/>
    <n v="188.04"/>
    <s v="Folk och fä HB"/>
    <s v="Åkergatan 24"/>
    <s v="Bräcke"/>
    <s v="NULL"/>
    <s v="S-844 67"/>
    <x v="9"/>
    <n v="28"/>
    <n v="10"/>
    <n v="18"/>
  </r>
  <r>
    <n v="10534"/>
    <x v="26"/>
    <x v="6"/>
    <x v="222"/>
    <d v="1997-06-09T00:00:00"/>
    <d v="1997-05-14T00:00:00"/>
    <x v="2"/>
    <n v="27.94"/>
    <s v="Lehmanns Marktstand"/>
    <s v="Magazinweg 7"/>
    <s v="Frankfurt a.M."/>
    <s v="NULL"/>
    <n v="60528"/>
    <x v="1"/>
    <n v="28"/>
    <n v="2"/>
    <n v="26"/>
  </r>
  <r>
    <n v="10535"/>
    <x v="59"/>
    <x v="2"/>
    <x v="223"/>
    <d v="1997-06-10T00:00:00"/>
    <d v="1997-05-21T00:00:00"/>
    <x v="1"/>
    <n v="15.64"/>
    <s v="Antonio Moreno Taquería"/>
    <s v="Mataderos  2312"/>
    <s v="México D.F."/>
    <s v="NULL"/>
    <n v="5023"/>
    <x v="7"/>
    <n v="28"/>
    <n v="8"/>
    <n v="20"/>
  </r>
  <r>
    <n v="10536"/>
    <x v="26"/>
    <x v="3"/>
    <x v="224"/>
    <d v="1997-06-11T00:00:00"/>
    <d v="1997-06-06T00:00:00"/>
    <x v="2"/>
    <n v="58.88"/>
    <s v="Lehmanns Marktstand"/>
    <s v="Magazinweg 7"/>
    <s v="Frankfurt a.M."/>
    <s v="NULL"/>
    <n v="60528"/>
    <x v="1"/>
    <n v="28"/>
    <n v="23"/>
    <n v="5"/>
  </r>
  <r>
    <n v="10537"/>
    <x v="6"/>
    <x v="5"/>
    <x v="224"/>
    <d v="1997-05-28T00:00:00"/>
    <d v="1997-05-19T00:00:00"/>
    <x v="1"/>
    <n v="78.849999999999994"/>
    <s v="Richter Supermarkt"/>
    <s v="Starenweg 5"/>
    <s v="Genève"/>
    <s v="NULL"/>
    <n v="1204"/>
    <x v="4"/>
    <n v="14"/>
    <n v="5"/>
    <n v="9"/>
  </r>
  <r>
    <n v="10538"/>
    <x v="31"/>
    <x v="4"/>
    <x v="225"/>
    <d v="1997-06-12T00:00:00"/>
    <d v="1997-05-16T00:00:00"/>
    <x v="0"/>
    <n v="4.87"/>
    <s v="B's Beverages"/>
    <s v="Fauntleroy Circus"/>
    <s v="London"/>
    <s v="NULL"/>
    <s v="EC2 5NT"/>
    <x v="13"/>
    <n v="28"/>
    <n v="1"/>
    <n v="27"/>
  </r>
  <r>
    <n v="10539"/>
    <x v="31"/>
    <x v="1"/>
    <x v="226"/>
    <d v="1997-06-13T00:00:00"/>
    <d v="1997-05-23T00:00:00"/>
    <x v="0"/>
    <n v="12.36"/>
    <s v="B's Beverages"/>
    <s v="Fauntleroy Circus"/>
    <s v="London"/>
    <s v="NULL"/>
    <s v="EC2 5NT"/>
    <x v="13"/>
    <n v="28"/>
    <n v="7"/>
    <n v="21"/>
  </r>
  <r>
    <n v="10540"/>
    <x v="21"/>
    <x v="3"/>
    <x v="227"/>
    <d v="1997-06-16T00:00:00"/>
    <d v="1997-06-13T00:00:00"/>
    <x v="0"/>
    <n v="1007.64"/>
    <s v="QUICK-Stop"/>
    <s v="Taucherstraße 10"/>
    <s v="Cunewalde"/>
    <s v="NULL"/>
    <n v="1307"/>
    <x v="1"/>
    <n v="28"/>
    <n v="25"/>
    <n v="3"/>
  </r>
  <r>
    <n v="10541"/>
    <x v="2"/>
    <x v="7"/>
    <x v="227"/>
    <d v="1997-06-16T00:00:00"/>
    <d v="1997-05-29T00:00:00"/>
    <x v="1"/>
    <n v="68.650000000000006"/>
    <s v="Hanari Carnes"/>
    <s v="Rua do Paço 67"/>
    <s v="Rio de Janeiro"/>
    <s v="RJ"/>
    <s v="05454-876"/>
    <x v="2"/>
    <n v="28"/>
    <n v="10"/>
    <n v="18"/>
  </r>
  <r>
    <n v="10542"/>
    <x v="44"/>
    <x v="5"/>
    <x v="228"/>
    <d v="1997-06-17T00:00:00"/>
    <d v="1997-05-26T00:00:00"/>
    <x v="0"/>
    <n v="10.95"/>
    <s v="Königlich Essen"/>
    <s v="Maubelstr. 90"/>
    <s v="Brandenburg"/>
    <s v="NULL"/>
    <n v="14776"/>
    <x v="1"/>
    <n v="28"/>
    <n v="6"/>
    <n v="22"/>
  </r>
  <r>
    <n v="10543"/>
    <x v="28"/>
    <x v="6"/>
    <x v="229"/>
    <d v="1997-06-18T00:00:00"/>
    <d v="1997-05-23T00:00:00"/>
    <x v="2"/>
    <n v="48.17"/>
    <s v="LILA-Supermercado"/>
    <s v="Carrera 52 con Ave. Bolívar #65-98 Llano Largo"/>
    <s v="Barquisimeto"/>
    <s v="Lara"/>
    <n v="3508"/>
    <x v="5"/>
    <n v="28"/>
    <n v="2"/>
    <n v="26"/>
  </r>
  <r>
    <n v="10544"/>
    <x v="38"/>
    <x v="2"/>
    <x v="229"/>
    <d v="1997-06-18T00:00:00"/>
    <d v="1997-05-30T00:00:00"/>
    <x v="1"/>
    <n v="24.91"/>
    <s v="Lonesome Pine Restaurant"/>
    <s v="89 Chiaroscuro Rd."/>
    <s v="Portland"/>
    <s v="OR"/>
    <n v="97219"/>
    <x v="8"/>
    <n v="28"/>
    <n v="9"/>
    <n v="19"/>
  </r>
  <r>
    <n v="10545"/>
    <x v="74"/>
    <x v="6"/>
    <x v="230"/>
    <d v="1997-06-19T00:00:00"/>
    <d v="1997-06-26T00:00:00"/>
    <x v="2"/>
    <n v="11.92"/>
    <s v="Lazy K Kountry Store"/>
    <s v="12 Orchestra Terrace"/>
    <s v="Walla Walla"/>
    <s v="WA"/>
    <n v="99362"/>
    <x v="8"/>
    <n v="28"/>
    <n v="35"/>
    <n v="-7"/>
  </r>
  <r>
    <n v="10546"/>
    <x v="3"/>
    <x v="5"/>
    <x v="231"/>
    <d v="1997-06-20T00:00:00"/>
    <d v="1997-05-27T00:00:00"/>
    <x v="0"/>
    <n v="194.72"/>
    <s v="Victuailles en stock"/>
    <s v="2  rue du Commerce"/>
    <s v="Lyon"/>
    <s v="NULL"/>
    <n v="69004"/>
    <x v="0"/>
    <n v="28"/>
    <n v="4"/>
    <n v="24"/>
  </r>
  <r>
    <n v="10547"/>
    <x v="56"/>
    <x v="3"/>
    <x v="231"/>
    <d v="1997-06-20T00:00:00"/>
    <d v="1997-06-02T00:00:00"/>
    <x v="2"/>
    <n v="178.43"/>
    <s v="Seven Seas Imports"/>
    <s v="90 Wadhurst Rd."/>
    <s v="London"/>
    <s v="NULL"/>
    <s v="OX15 4NB"/>
    <x v="13"/>
    <n v="28"/>
    <n v="10"/>
    <n v="18"/>
  </r>
  <r>
    <n v="10548"/>
    <x v="1"/>
    <x v="3"/>
    <x v="232"/>
    <d v="1997-06-23T00:00:00"/>
    <d v="1997-06-02T00:00:00"/>
    <x v="2"/>
    <n v="1.43"/>
    <s v="Toms Spezialitäten"/>
    <s v="Luisenstr. 48"/>
    <s v="Münster"/>
    <s v="NULL"/>
    <n v="44087"/>
    <x v="1"/>
    <n v="28"/>
    <n v="7"/>
    <n v="21"/>
  </r>
  <r>
    <n v="10549"/>
    <x v="21"/>
    <x v="0"/>
    <x v="233"/>
    <d v="1997-06-10T00:00:00"/>
    <d v="1997-05-30T00:00:00"/>
    <x v="1"/>
    <n v="171.24"/>
    <s v="QUICK-Stop"/>
    <s v="Taucherstraße 10"/>
    <s v="Cunewalde"/>
    <s v="NULL"/>
    <n v="1307"/>
    <x v="1"/>
    <n v="14"/>
    <n v="3"/>
    <n v="11"/>
  </r>
  <r>
    <n v="10550"/>
    <x v="36"/>
    <x v="8"/>
    <x v="234"/>
    <d v="1997-06-25T00:00:00"/>
    <d v="1997-06-06T00:00:00"/>
    <x v="0"/>
    <n v="4.32"/>
    <s v="Godos Cocina Típica"/>
    <s v="C/ Romero 33"/>
    <s v="Sevilla"/>
    <s v="NULL"/>
    <n v="41101"/>
    <x v="12"/>
    <n v="28"/>
    <n v="9"/>
    <n v="19"/>
  </r>
  <r>
    <n v="10551"/>
    <x v="47"/>
    <x v="2"/>
    <x v="234"/>
    <d v="1997-07-09T00:00:00"/>
    <d v="1997-06-06T00:00:00"/>
    <x v="0"/>
    <n v="72.95"/>
    <s v="Furia Bacalhau e Frutos do Mar"/>
    <s v="Jardim das rosas n. 32"/>
    <s v="Lisboa"/>
    <s v="NULL"/>
    <n v="1675"/>
    <x v="15"/>
    <n v="42"/>
    <n v="9"/>
    <n v="33"/>
  </r>
  <r>
    <n v="10552"/>
    <x v="8"/>
    <x v="7"/>
    <x v="235"/>
    <d v="1997-06-26T00:00:00"/>
    <d v="1997-06-05T00:00:00"/>
    <x v="1"/>
    <n v="83.22"/>
    <s v="HILARION-Abastos"/>
    <s v="Carrera 22 con Ave. Carlos Soublette #8-35"/>
    <s v="San Cristóbal"/>
    <s v="Táchira"/>
    <n v="5022"/>
    <x v="5"/>
    <n v="28"/>
    <n v="7"/>
    <n v="21"/>
  </r>
  <r>
    <n v="10553"/>
    <x v="16"/>
    <x v="7"/>
    <x v="236"/>
    <d v="1997-06-27T00:00:00"/>
    <d v="1997-06-03T00:00:00"/>
    <x v="2"/>
    <n v="149.49"/>
    <s v="Wartian Herkku"/>
    <s v="Torikatu 38"/>
    <s v="Oulu"/>
    <s v="NULL"/>
    <n v="90110"/>
    <x v="10"/>
    <n v="28"/>
    <n v="4"/>
    <n v="24"/>
  </r>
  <r>
    <n v="10554"/>
    <x v="11"/>
    <x v="2"/>
    <x v="236"/>
    <d v="1997-06-27T00:00:00"/>
    <d v="1997-06-05T00:00:00"/>
    <x v="0"/>
    <n v="120.97"/>
    <s v="Ottilies Käseladen"/>
    <s v="Mehrheimerstr. 369"/>
    <s v="Köln"/>
    <s v="NULL"/>
    <n v="50739"/>
    <x v="1"/>
    <n v="28"/>
    <n v="6"/>
    <n v="22"/>
  </r>
  <r>
    <n v="10555"/>
    <x v="45"/>
    <x v="1"/>
    <x v="237"/>
    <d v="1997-06-30T00:00:00"/>
    <d v="1997-06-04T00:00:00"/>
    <x v="0"/>
    <n v="252.49"/>
    <s v="Save-a-lot Markets"/>
    <s v="187 Suffolk Ln."/>
    <s v="Boise"/>
    <s v="ID"/>
    <n v="83720"/>
    <x v="8"/>
    <n v="28"/>
    <n v="2"/>
    <n v="26"/>
  </r>
  <r>
    <n v="10556"/>
    <x v="51"/>
    <x v="7"/>
    <x v="238"/>
    <d v="1997-07-15T00:00:00"/>
    <d v="1997-06-13T00:00:00"/>
    <x v="1"/>
    <n v="9.8000000000000007"/>
    <s v="Simons bistro"/>
    <s v="Vinbæltet 34"/>
    <s v="Kobenhavn"/>
    <s v="NULL"/>
    <n v="1734"/>
    <x v="17"/>
    <n v="42"/>
    <n v="10"/>
    <n v="32"/>
  </r>
  <r>
    <n v="10557"/>
    <x v="26"/>
    <x v="4"/>
    <x v="238"/>
    <d v="1997-06-17T00:00:00"/>
    <d v="1997-06-06T00:00:00"/>
    <x v="2"/>
    <n v="96.72"/>
    <s v="Lehmanns Marktstand"/>
    <s v="Magazinweg 7"/>
    <s v="Frankfurt a.M."/>
    <s v="NULL"/>
    <n v="60528"/>
    <x v="1"/>
    <n v="14"/>
    <n v="3"/>
    <n v="11"/>
  </r>
  <r>
    <n v="10558"/>
    <x v="55"/>
    <x v="5"/>
    <x v="239"/>
    <d v="1997-07-02T00:00:00"/>
    <d v="1997-06-10T00:00:00"/>
    <x v="2"/>
    <n v="72.97"/>
    <s v="Around the Horn"/>
    <s v="Brook Farm Stratford St. Mary"/>
    <s v="Colchester"/>
    <s v="Essex"/>
    <s v="CO7 6JX"/>
    <x v="13"/>
    <n v="28"/>
    <n v="6"/>
    <n v="22"/>
  </r>
  <r>
    <n v="10559"/>
    <x v="15"/>
    <x v="1"/>
    <x v="240"/>
    <d v="1997-07-03T00:00:00"/>
    <d v="1997-06-13T00:00:00"/>
    <x v="1"/>
    <n v="8.0500000000000007"/>
    <s v="Blondel père et fils"/>
    <s v="24  place Kléber"/>
    <s v="Strasbourg"/>
    <s v="NULL"/>
    <n v="67000"/>
    <x v="0"/>
    <n v="28"/>
    <n v="8"/>
    <n v="20"/>
  </r>
  <r>
    <n v="10560"/>
    <x v="17"/>
    <x v="6"/>
    <x v="241"/>
    <d v="1997-07-04T00:00:00"/>
    <d v="1997-06-09T00:00:00"/>
    <x v="1"/>
    <n v="36.65"/>
    <s v="Frankenversand"/>
    <s v="Berliner Platz 43"/>
    <s v="München"/>
    <s v="NULL"/>
    <n v="80805"/>
    <x v="1"/>
    <n v="28"/>
    <n v="3"/>
    <n v="25"/>
  </r>
  <r>
    <n v="10561"/>
    <x v="14"/>
    <x v="7"/>
    <x v="241"/>
    <d v="1997-07-04T00:00:00"/>
    <d v="1997-06-09T00:00:00"/>
    <x v="2"/>
    <n v="242.21"/>
    <s v="Folk och fä HB"/>
    <s v="Åkergatan 24"/>
    <s v="Bräcke"/>
    <s v="NULL"/>
    <s v="S-844 67"/>
    <x v="9"/>
    <n v="28"/>
    <n v="3"/>
    <n v="25"/>
  </r>
  <r>
    <n v="10562"/>
    <x v="30"/>
    <x v="5"/>
    <x v="242"/>
    <d v="1997-07-07T00:00:00"/>
    <d v="1997-06-12T00:00:00"/>
    <x v="1"/>
    <n v="22.95"/>
    <s v="Reggiani Caseifici"/>
    <s v="Strada Provinciale 124"/>
    <s v="Reggio Emilia"/>
    <s v="NULL"/>
    <n v="42100"/>
    <x v="11"/>
    <n v="28"/>
    <n v="3"/>
    <n v="25"/>
  </r>
  <r>
    <n v="10563"/>
    <x v="29"/>
    <x v="7"/>
    <x v="243"/>
    <d v="1997-07-22T00:00:00"/>
    <d v="1997-06-24T00:00:00"/>
    <x v="2"/>
    <n v="60.43"/>
    <s v="Ricardo Adocicados"/>
    <s v="Av. Copacabana 267"/>
    <s v="Rio de Janeiro"/>
    <s v="RJ"/>
    <s v="02389-890"/>
    <x v="2"/>
    <n v="42"/>
    <n v="14"/>
    <n v="28"/>
  </r>
  <r>
    <n v="10564"/>
    <x v="13"/>
    <x v="2"/>
    <x v="243"/>
    <d v="1997-07-08T00:00:00"/>
    <d v="1997-06-16T00:00:00"/>
    <x v="0"/>
    <n v="13.75"/>
    <s v="Rattlesnake Canyon Grocery"/>
    <s v="2817 Milton Dr."/>
    <s v="Albuquerque"/>
    <s v="NM"/>
    <n v="87110"/>
    <x v="8"/>
    <n v="28"/>
    <n v="6"/>
    <n v="22"/>
  </r>
  <r>
    <n v="10565"/>
    <x v="49"/>
    <x v="6"/>
    <x v="244"/>
    <d v="1997-07-09T00:00:00"/>
    <d v="1997-06-18T00:00:00"/>
    <x v="2"/>
    <n v="7.15"/>
    <s v="Mère Paillarde"/>
    <s v="43 rue St. Laurent"/>
    <s v="Montréal"/>
    <s v="Québec"/>
    <s v="H1J 1C3"/>
    <x v="16"/>
    <n v="28"/>
    <n v="7"/>
    <n v="21"/>
  </r>
  <r>
    <n v="10566"/>
    <x v="15"/>
    <x v="4"/>
    <x v="245"/>
    <d v="1997-07-10T00:00:00"/>
    <d v="1997-06-18T00:00:00"/>
    <x v="1"/>
    <n v="88.4"/>
    <s v="Blondel père et fils"/>
    <s v="24  place Kléber"/>
    <s v="Strasbourg"/>
    <s v="NULL"/>
    <n v="67000"/>
    <x v="0"/>
    <n v="28"/>
    <n v="6"/>
    <n v="22"/>
  </r>
  <r>
    <n v="10567"/>
    <x v="34"/>
    <x v="5"/>
    <x v="245"/>
    <d v="1997-07-10T00:00:00"/>
    <d v="1997-06-17T00:00:00"/>
    <x v="1"/>
    <n v="33.97"/>
    <s v="Hungry Owl All-Night Grocers"/>
    <s v="8 Johnstown Road"/>
    <s v="Cork"/>
    <s v="Co. Cork"/>
    <s v="NULL"/>
    <x v="14"/>
    <n v="28"/>
    <n v="5"/>
    <n v="23"/>
  </r>
  <r>
    <n v="10568"/>
    <x v="60"/>
    <x v="3"/>
    <x v="246"/>
    <d v="1997-07-11T00:00:00"/>
    <d v="1997-07-09T00:00:00"/>
    <x v="0"/>
    <n v="6.54"/>
    <s v="Galería del gastronómo"/>
    <s v="Rambla de Cataluña 23"/>
    <s v="Barcelona"/>
    <s v="NULL"/>
    <n v="8022"/>
    <x v="12"/>
    <n v="28"/>
    <n v="26"/>
    <n v="2"/>
  </r>
  <r>
    <n v="10569"/>
    <x v="13"/>
    <x v="0"/>
    <x v="247"/>
    <d v="1997-07-14T00:00:00"/>
    <d v="1997-07-11T00:00:00"/>
    <x v="1"/>
    <n v="58.98"/>
    <s v="Rattlesnake Canyon Grocery"/>
    <s v="2817 Milton Dr."/>
    <s v="Albuquerque"/>
    <s v="NM"/>
    <n v="87110"/>
    <x v="8"/>
    <n v="28"/>
    <n v="25"/>
    <n v="3"/>
  </r>
  <r>
    <n v="10570"/>
    <x v="49"/>
    <x v="3"/>
    <x v="248"/>
    <d v="1997-07-15T00:00:00"/>
    <d v="1997-06-19T00:00:00"/>
    <x v="0"/>
    <n v="188.99"/>
    <s v="Mère Paillarde"/>
    <s v="43 rue St. Laurent"/>
    <s v="Montréal"/>
    <s v="Québec"/>
    <s v="H1J 1C3"/>
    <x v="16"/>
    <n v="28"/>
    <n v="2"/>
    <n v="26"/>
  </r>
  <r>
    <n v="10571"/>
    <x v="9"/>
    <x v="6"/>
    <x v="248"/>
    <d v="1997-07-29T00:00:00"/>
    <d v="1997-07-04T00:00:00"/>
    <x v="0"/>
    <n v="26.06"/>
    <s v="Ernst Handel"/>
    <s v="Kirchgasse 6"/>
    <s v="Graz"/>
    <s v="NULL"/>
    <n v="8010"/>
    <x v="6"/>
    <n v="42"/>
    <n v="17"/>
    <n v="25"/>
  </r>
  <r>
    <n v="10572"/>
    <x v="25"/>
    <x v="3"/>
    <x v="249"/>
    <d v="1997-07-16T00:00:00"/>
    <d v="1997-06-25T00:00:00"/>
    <x v="2"/>
    <n v="116.43"/>
    <s v="Berglunds snabbköp"/>
    <s v="Berguvsvägen  8"/>
    <s v="Luleå"/>
    <s v="NULL"/>
    <s v="S-958 22"/>
    <x v="9"/>
    <n v="28"/>
    <n v="7"/>
    <n v="21"/>
  </r>
  <r>
    <n v="10573"/>
    <x v="59"/>
    <x v="8"/>
    <x v="250"/>
    <d v="1997-07-17T00:00:00"/>
    <d v="1997-06-20T00:00:00"/>
    <x v="0"/>
    <n v="84.84"/>
    <s v="Antonio Moreno Taquería"/>
    <s v="Mataderos  2312"/>
    <s v="México D.F."/>
    <s v="NULL"/>
    <n v="5023"/>
    <x v="7"/>
    <n v="28"/>
    <n v="1"/>
    <n v="27"/>
  </r>
  <r>
    <n v="10574"/>
    <x v="81"/>
    <x v="2"/>
    <x v="250"/>
    <d v="1997-07-17T00:00:00"/>
    <d v="1997-06-30T00:00:00"/>
    <x v="2"/>
    <n v="37.6"/>
    <s v="Trail's Head Gourmet Provisioners"/>
    <s v="722 DaVinci Blvd."/>
    <s v="Kirkland"/>
    <s v="WA"/>
    <n v="98034"/>
    <x v="8"/>
    <n v="28"/>
    <n v="11"/>
    <n v="17"/>
  </r>
  <r>
    <n v="10575"/>
    <x v="24"/>
    <x v="0"/>
    <x v="251"/>
    <d v="1997-07-04T00:00:00"/>
    <d v="1997-06-30T00:00:00"/>
    <x v="1"/>
    <n v="127.34"/>
    <s v="Morgenstern Gesundkost"/>
    <s v="Heerstr. 22"/>
    <s v="Leipzig"/>
    <s v="NULL"/>
    <n v="4179"/>
    <x v="1"/>
    <n v="14"/>
    <n v="10"/>
    <n v="4"/>
  </r>
  <r>
    <n v="10576"/>
    <x v="23"/>
    <x v="3"/>
    <x v="252"/>
    <d v="1997-07-07T00:00:00"/>
    <d v="1997-06-30T00:00:00"/>
    <x v="0"/>
    <n v="18.559999999999999"/>
    <s v="Tortuga Restaurante"/>
    <s v="Avda. Azteca 123"/>
    <s v="México D.F."/>
    <s v="NULL"/>
    <n v="5033"/>
    <x v="7"/>
    <n v="14"/>
    <n v="7"/>
    <n v="7"/>
  </r>
  <r>
    <n v="10577"/>
    <x v="81"/>
    <x v="4"/>
    <x v="252"/>
    <d v="1997-08-04T00:00:00"/>
    <d v="1997-06-30T00:00:00"/>
    <x v="2"/>
    <n v="25.41"/>
    <s v="Trail's Head Gourmet Provisioners"/>
    <s v="722 DaVinci Blvd."/>
    <s v="Kirkland"/>
    <s v="WA"/>
    <n v="98034"/>
    <x v="8"/>
    <n v="42"/>
    <n v="7"/>
    <n v="35"/>
  </r>
  <r>
    <n v="10578"/>
    <x v="31"/>
    <x v="2"/>
    <x v="253"/>
    <d v="1997-07-22T00:00:00"/>
    <d v="1997-07-25T00:00:00"/>
    <x v="0"/>
    <n v="29.6"/>
    <s v="B's Beverages"/>
    <s v="Fauntleroy Circus"/>
    <s v="London"/>
    <s v="NULL"/>
    <s v="EC2 5NT"/>
    <x v="13"/>
    <n v="28"/>
    <n v="31"/>
    <n v="-3"/>
  </r>
  <r>
    <n v="10579"/>
    <x v="82"/>
    <x v="5"/>
    <x v="254"/>
    <d v="1997-07-23T00:00:00"/>
    <d v="1997-07-04T00:00:00"/>
    <x v="2"/>
    <n v="13.73"/>
    <s v="Let's Stop N Shop"/>
    <s v="87 Polk St. Suite 5"/>
    <s v="San Francisco"/>
    <s v="CA"/>
    <n v="94117"/>
    <x v="8"/>
    <n v="28"/>
    <n v="9"/>
    <n v="19"/>
  </r>
  <r>
    <n v="10580"/>
    <x v="11"/>
    <x v="2"/>
    <x v="255"/>
    <d v="1997-07-24T00:00:00"/>
    <d v="1997-07-01T00:00:00"/>
    <x v="0"/>
    <n v="75.89"/>
    <s v="Ottilies Käseladen"/>
    <s v="Mehrheimerstr. 369"/>
    <s v="Köln"/>
    <s v="NULL"/>
    <n v="50739"/>
    <x v="1"/>
    <n v="28"/>
    <n v="5"/>
    <n v="23"/>
  </r>
  <r>
    <n v="10581"/>
    <x v="52"/>
    <x v="3"/>
    <x v="255"/>
    <d v="1997-07-24T00:00:00"/>
    <d v="1997-07-02T00:00:00"/>
    <x v="1"/>
    <n v="3.01"/>
    <s v="Familia Arquibaldo"/>
    <s v="Rua Orós 92"/>
    <s v="Sao Paulo"/>
    <s v="SP"/>
    <s v="05442-030"/>
    <x v="2"/>
    <n v="28"/>
    <n v="6"/>
    <n v="22"/>
  </r>
  <r>
    <n v="10582"/>
    <x v="76"/>
    <x v="3"/>
    <x v="256"/>
    <d v="1997-07-25T00:00:00"/>
    <d v="1997-07-14T00:00:00"/>
    <x v="2"/>
    <n v="27.71"/>
    <s v="Blauer See Delikatessen"/>
    <s v="Forsterstr. 57"/>
    <s v="Mannheim"/>
    <s v="NULL"/>
    <n v="68306"/>
    <x v="1"/>
    <n v="28"/>
    <n v="17"/>
    <n v="11"/>
  </r>
  <r>
    <n v="10583"/>
    <x v="16"/>
    <x v="7"/>
    <x v="257"/>
    <d v="1997-07-28T00:00:00"/>
    <d v="1997-07-04T00:00:00"/>
    <x v="2"/>
    <n v="7.28"/>
    <s v="Wartian Herkku"/>
    <s v="Torikatu 38"/>
    <s v="Oulu"/>
    <s v="NULL"/>
    <n v="90110"/>
    <x v="10"/>
    <n v="28"/>
    <n v="4"/>
    <n v="24"/>
  </r>
  <r>
    <n v="10584"/>
    <x v="15"/>
    <x v="2"/>
    <x v="257"/>
    <d v="1997-07-28T00:00:00"/>
    <d v="1997-07-04T00:00:00"/>
    <x v="1"/>
    <n v="59.14"/>
    <s v="Blondel père et fils"/>
    <s v="24  place Kléber"/>
    <s v="Strasbourg"/>
    <s v="NULL"/>
    <n v="67000"/>
    <x v="0"/>
    <n v="28"/>
    <n v="4"/>
    <n v="24"/>
  </r>
  <r>
    <n v="10585"/>
    <x v="7"/>
    <x v="8"/>
    <x v="258"/>
    <d v="1997-07-29T00:00:00"/>
    <d v="1997-07-10T00:00:00"/>
    <x v="1"/>
    <n v="13.41"/>
    <s v="Wellington Importadora"/>
    <s v="Rua do Mercado 12"/>
    <s v="Resende"/>
    <s v="SP"/>
    <s v="08737-363"/>
    <x v="2"/>
    <n v="28"/>
    <n v="9"/>
    <n v="19"/>
  </r>
  <r>
    <n v="10586"/>
    <x v="30"/>
    <x v="4"/>
    <x v="259"/>
    <d v="1997-07-30T00:00:00"/>
    <d v="1997-07-09T00:00:00"/>
    <x v="1"/>
    <n v="0.48"/>
    <s v="Reggiani Caseifici"/>
    <s v="Strada Provinciale 124"/>
    <s v="Reggio Emilia"/>
    <s v="NULL"/>
    <n v="42100"/>
    <x v="11"/>
    <n v="28"/>
    <n v="7"/>
    <n v="21"/>
  </r>
  <r>
    <n v="10587"/>
    <x v="12"/>
    <x v="5"/>
    <x v="259"/>
    <d v="1997-07-30T00:00:00"/>
    <d v="1997-07-09T00:00:00"/>
    <x v="1"/>
    <n v="62.52"/>
    <s v="Que Delícia"/>
    <s v="Rua da Panificadora 12"/>
    <s v="Rio de Janeiro"/>
    <s v="RJ"/>
    <s v="02389-673"/>
    <x v="2"/>
    <n v="28"/>
    <n v="7"/>
    <n v="21"/>
  </r>
  <r>
    <n v="10588"/>
    <x v="21"/>
    <x v="7"/>
    <x v="260"/>
    <d v="1997-07-31T00:00:00"/>
    <d v="1997-07-10T00:00:00"/>
    <x v="0"/>
    <n v="194.67"/>
    <s v="QUICK-Stop"/>
    <s v="Taucherstraße 10"/>
    <s v="Cunewalde"/>
    <s v="NULL"/>
    <n v="1307"/>
    <x v="1"/>
    <n v="28"/>
    <n v="7"/>
    <n v="21"/>
  </r>
  <r>
    <n v="10589"/>
    <x v="79"/>
    <x v="6"/>
    <x v="261"/>
    <d v="1997-08-01T00:00:00"/>
    <d v="1997-07-14T00:00:00"/>
    <x v="2"/>
    <n v="4.42"/>
    <s v="Great Lakes Food Market"/>
    <s v="2732 Baker Blvd."/>
    <s v="Eugene"/>
    <s v="OR"/>
    <n v="97403"/>
    <x v="8"/>
    <n v="28"/>
    <n v="10"/>
    <n v="18"/>
  </r>
  <r>
    <n v="10590"/>
    <x v="49"/>
    <x v="2"/>
    <x v="262"/>
    <d v="1997-08-04T00:00:00"/>
    <d v="1997-07-14T00:00:00"/>
    <x v="0"/>
    <n v="44.77"/>
    <s v="Mère Paillarde"/>
    <s v="43 rue St. Laurent"/>
    <s v="Montréal"/>
    <s v="Québec"/>
    <s v="H1J 1C3"/>
    <x v="16"/>
    <n v="28"/>
    <n v="7"/>
    <n v="21"/>
  </r>
  <r>
    <n v="10591"/>
    <x v="61"/>
    <x v="5"/>
    <x v="262"/>
    <d v="1997-07-21T00:00:00"/>
    <d v="1997-07-16T00:00:00"/>
    <x v="1"/>
    <n v="55.92"/>
    <s v="Vaffeljernet"/>
    <s v="Smagsloget 45"/>
    <s v="Århus"/>
    <s v="NULL"/>
    <n v="8200"/>
    <x v="17"/>
    <n v="14"/>
    <n v="9"/>
    <n v="5"/>
  </r>
  <r>
    <n v="10592"/>
    <x v="26"/>
    <x v="3"/>
    <x v="263"/>
    <d v="1997-08-05T00:00:00"/>
    <d v="1997-07-16T00:00:00"/>
    <x v="1"/>
    <n v="32.1"/>
    <s v="Lehmanns Marktstand"/>
    <s v="Magazinweg 7"/>
    <s v="Frankfurt a.M."/>
    <s v="NULL"/>
    <n v="60528"/>
    <x v="1"/>
    <n v="28"/>
    <n v="8"/>
    <n v="20"/>
  </r>
  <r>
    <n v="10593"/>
    <x v="26"/>
    <x v="8"/>
    <x v="264"/>
    <d v="1997-08-06T00:00:00"/>
    <d v="1997-08-13T00:00:00"/>
    <x v="2"/>
    <n v="174.2"/>
    <s v="Lehmanns Marktstand"/>
    <s v="Magazinweg 7"/>
    <s v="Frankfurt a.M."/>
    <s v="NULL"/>
    <n v="60528"/>
    <x v="1"/>
    <n v="28"/>
    <n v="35"/>
    <n v="-7"/>
  </r>
  <r>
    <n v="10594"/>
    <x v="37"/>
    <x v="3"/>
    <x v="264"/>
    <d v="1997-08-06T00:00:00"/>
    <d v="1997-07-16T00:00:00"/>
    <x v="2"/>
    <n v="5.24"/>
    <s v="Old World Delicatessen"/>
    <s v="2743 Bering St."/>
    <s v="Anchorage"/>
    <s v="AK"/>
    <n v="99508"/>
    <x v="8"/>
    <n v="28"/>
    <n v="7"/>
    <n v="21"/>
  </r>
  <r>
    <n v="10595"/>
    <x v="9"/>
    <x v="7"/>
    <x v="265"/>
    <d v="1997-08-07T00:00:00"/>
    <d v="1997-07-14T00:00:00"/>
    <x v="1"/>
    <n v="96.78"/>
    <s v="Ernst Handel"/>
    <s v="Kirchgasse 6"/>
    <s v="Graz"/>
    <s v="NULL"/>
    <n v="8010"/>
    <x v="6"/>
    <n v="28"/>
    <n v="4"/>
    <n v="24"/>
  </r>
  <r>
    <n v="10596"/>
    <x v="19"/>
    <x v="6"/>
    <x v="266"/>
    <d v="1997-08-08T00:00:00"/>
    <d v="1997-08-12T00:00:00"/>
    <x v="1"/>
    <n v="16.34"/>
    <s v="White Clover Markets"/>
    <s v="1029 - 12th Ave. S."/>
    <s v="Seattle"/>
    <s v="WA"/>
    <n v="98124"/>
    <x v="8"/>
    <n v="28"/>
    <n v="32"/>
    <n v="-4"/>
  </r>
  <r>
    <n v="10597"/>
    <x v="54"/>
    <x v="8"/>
    <x v="266"/>
    <d v="1997-08-08T00:00:00"/>
    <d v="1997-07-18T00:00:00"/>
    <x v="0"/>
    <n v="35.119999999999997"/>
    <s v="Piccolo und mehr"/>
    <s v="Geislweg 14"/>
    <s v="Salzburg"/>
    <s v="NULL"/>
    <n v="5020"/>
    <x v="6"/>
    <n v="28"/>
    <n v="7"/>
    <n v="21"/>
  </r>
  <r>
    <n v="10598"/>
    <x v="13"/>
    <x v="5"/>
    <x v="267"/>
    <d v="1997-08-11T00:00:00"/>
    <d v="1997-07-18T00:00:00"/>
    <x v="0"/>
    <n v="44.42"/>
    <s v="Rattlesnake Canyon Grocery"/>
    <s v="2817 Milton Dr."/>
    <s v="Albuquerque"/>
    <s v="NM"/>
    <n v="87110"/>
    <x v="8"/>
    <n v="28"/>
    <n v="4"/>
    <n v="24"/>
  </r>
  <r>
    <n v="10599"/>
    <x v="31"/>
    <x v="1"/>
    <x v="268"/>
    <d v="1997-08-26T00:00:00"/>
    <d v="1997-07-21T00:00:00"/>
    <x v="0"/>
    <n v="29.98"/>
    <s v="B's Beverages"/>
    <s v="Fauntleroy Circus"/>
    <s v="London"/>
    <s v="NULL"/>
    <s v="EC2 5NT"/>
    <x v="13"/>
    <n v="42"/>
    <n v="6"/>
    <n v="36"/>
  </r>
  <r>
    <n v="10600"/>
    <x v="64"/>
    <x v="2"/>
    <x v="269"/>
    <d v="1997-08-13T00:00:00"/>
    <d v="1997-07-21T00:00:00"/>
    <x v="1"/>
    <n v="45.13"/>
    <s v="Hungry Coyote Import Store"/>
    <s v="City Center Plaza 516 Main St."/>
    <s v="Elgin"/>
    <s v="OR"/>
    <n v="97827"/>
    <x v="8"/>
    <n v="28"/>
    <n v="5"/>
    <n v="23"/>
  </r>
  <r>
    <n v="10601"/>
    <x v="8"/>
    <x v="8"/>
    <x v="269"/>
    <d v="1997-08-27T00:00:00"/>
    <d v="1997-07-22T00:00:00"/>
    <x v="1"/>
    <n v="58.3"/>
    <s v="HILARION-Abastos"/>
    <s v="Carrera 22 con Ave. Carlos Soublette #8-35"/>
    <s v="San Cristóbal"/>
    <s v="Táchira"/>
    <n v="5022"/>
    <x v="5"/>
    <n v="42"/>
    <n v="6"/>
    <n v="36"/>
  </r>
  <r>
    <n v="10602"/>
    <x v="61"/>
    <x v="6"/>
    <x v="270"/>
    <d v="1997-08-14T00:00:00"/>
    <d v="1997-07-22T00:00:00"/>
    <x v="2"/>
    <n v="2.92"/>
    <s v="Vaffeljernet"/>
    <s v="Smagsloget 45"/>
    <s v="Århus"/>
    <s v="NULL"/>
    <n v="8200"/>
    <x v="17"/>
    <n v="28"/>
    <n v="5"/>
    <n v="23"/>
  </r>
  <r>
    <n v="10603"/>
    <x v="45"/>
    <x v="6"/>
    <x v="271"/>
    <d v="1997-08-15T00:00:00"/>
    <d v="1997-08-08T00:00:00"/>
    <x v="2"/>
    <n v="48.77"/>
    <s v="Save-a-lot Markets"/>
    <s v="187 Suffolk Ln."/>
    <s v="Boise"/>
    <s v="ID"/>
    <n v="83720"/>
    <x v="8"/>
    <n v="28"/>
    <n v="21"/>
    <n v="7"/>
  </r>
  <r>
    <n v="10604"/>
    <x v="47"/>
    <x v="5"/>
    <x v="271"/>
    <d v="1997-08-15T00:00:00"/>
    <d v="1997-07-29T00:00:00"/>
    <x v="1"/>
    <n v="7.46"/>
    <s v="Furia Bacalhau e Frutos do Mar"/>
    <s v="Jardim das rosas n. 32"/>
    <s v="Lisboa"/>
    <s v="NULL"/>
    <n v="1675"/>
    <x v="15"/>
    <n v="28"/>
    <n v="11"/>
    <n v="17"/>
  </r>
  <r>
    <n v="10605"/>
    <x v="49"/>
    <x v="5"/>
    <x v="272"/>
    <d v="1997-08-18T00:00:00"/>
    <d v="1997-07-29T00:00:00"/>
    <x v="2"/>
    <n v="379.13"/>
    <s v="Mère Paillarde"/>
    <s v="43 rue St. Laurent"/>
    <s v="Montréal"/>
    <s v="Québec"/>
    <s v="H1J 1C3"/>
    <x v="16"/>
    <n v="28"/>
    <n v="8"/>
    <n v="20"/>
  </r>
  <r>
    <n v="10606"/>
    <x v="33"/>
    <x v="2"/>
    <x v="273"/>
    <d v="1997-08-19T00:00:00"/>
    <d v="1997-07-31T00:00:00"/>
    <x v="0"/>
    <n v="79.400000000000006"/>
    <s v="Tradiçao Hipermercados"/>
    <s v="Av. Inês de Castro 414"/>
    <s v="Sao Paulo"/>
    <s v="SP"/>
    <s v="05634-030"/>
    <x v="2"/>
    <n v="28"/>
    <n v="9"/>
    <n v="19"/>
  </r>
  <r>
    <n v="10607"/>
    <x v="45"/>
    <x v="0"/>
    <x v="273"/>
    <d v="1997-08-19T00:00:00"/>
    <d v="1997-07-25T00:00:00"/>
    <x v="1"/>
    <n v="200.24"/>
    <s v="Save-a-lot Markets"/>
    <s v="187 Suffolk Ln."/>
    <s v="Boise"/>
    <s v="ID"/>
    <n v="83720"/>
    <x v="8"/>
    <n v="28"/>
    <n v="3"/>
    <n v="25"/>
  </r>
  <r>
    <n v="10608"/>
    <x v="1"/>
    <x v="2"/>
    <x v="274"/>
    <d v="1997-08-20T00:00:00"/>
    <d v="1997-08-01T00:00:00"/>
    <x v="2"/>
    <n v="27.79"/>
    <s v="Toms Spezialitäten"/>
    <s v="Luisenstr. 48"/>
    <s v="Münster"/>
    <s v="NULL"/>
    <n v="44087"/>
    <x v="1"/>
    <n v="28"/>
    <n v="9"/>
    <n v="19"/>
  </r>
  <r>
    <n v="10609"/>
    <x v="41"/>
    <x v="8"/>
    <x v="275"/>
    <d v="1997-08-21T00:00:00"/>
    <d v="1997-07-30T00:00:00"/>
    <x v="2"/>
    <n v="1.85"/>
    <s v="Du monde entier"/>
    <s v="67  rue des Cinquante Otages"/>
    <s v="Nantes"/>
    <s v="NULL"/>
    <n v="44000"/>
    <x v="0"/>
    <n v="28"/>
    <n v="6"/>
    <n v="22"/>
  </r>
  <r>
    <n v="10610"/>
    <x v="53"/>
    <x v="6"/>
    <x v="276"/>
    <d v="1997-08-22T00:00:00"/>
    <d v="1997-08-06T00:00:00"/>
    <x v="1"/>
    <n v="26.78"/>
    <s v="La maison d'Asie"/>
    <s v="1 rue Alsace-Lorraine"/>
    <s v="Toulouse"/>
    <s v="NULL"/>
    <n v="31000"/>
    <x v="0"/>
    <n v="28"/>
    <n v="12"/>
    <n v="16"/>
  </r>
  <r>
    <n v="10611"/>
    <x v="63"/>
    <x v="1"/>
    <x v="276"/>
    <d v="1997-08-22T00:00:00"/>
    <d v="1997-08-01T00:00:00"/>
    <x v="2"/>
    <n v="80.650000000000006"/>
    <s v="Wolski Zajazd"/>
    <s v="ul. Filtrowa 68"/>
    <s v="Warszawa"/>
    <s v="NULL"/>
    <s v="01-012"/>
    <x v="18"/>
    <n v="28"/>
    <n v="7"/>
    <n v="21"/>
  </r>
  <r>
    <n v="10612"/>
    <x v="45"/>
    <x v="5"/>
    <x v="277"/>
    <d v="1997-08-25T00:00:00"/>
    <d v="1997-08-01T00:00:00"/>
    <x v="2"/>
    <n v="544.08000000000004"/>
    <s v="Save-a-lot Markets"/>
    <s v="187 Suffolk Ln."/>
    <s v="Boise"/>
    <s v="ID"/>
    <n v="83720"/>
    <x v="8"/>
    <n v="28"/>
    <n v="4"/>
    <n v="24"/>
  </r>
  <r>
    <n v="10613"/>
    <x v="8"/>
    <x v="2"/>
    <x v="278"/>
    <d v="1997-08-26T00:00:00"/>
    <d v="1997-08-01T00:00:00"/>
    <x v="2"/>
    <n v="8.11"/>
    <s v="HILARION-Abastos"/>
    <s v="Carrera 22 con Ave. Carlos Soublette #8-35"/>
    <s v="San Cristóbal"/>
    <s v="Táchira"/>
    <n v="5022"/>
    <x v="5"/>
    <n v="28"/>
    <n v="3"/>
    <n v="25"/>
  </r>
  <r>
    <n v="10614"/>
    <x v="76"/>
    <x v="6"/>
    <x v="278"/>
    <d v="1997-08-26T00:00:00"/>
    <d v="1997-08-01T00:00:00"/>
    <x v="0"/>
    <n v="1.93"/>
    <s v="Blauer See Delikatessen"/>
    <s v="Forsterstr. 57"/>
    <s v="Mannheim"/>
    <s v="NULL"/>
    <n v="68306"/>
    <x v="1"/>
    <n v="28"/>
    <n v="3"/>
    <n v="25"/>
  </r>
  <r>
    <n v="10615"/>
    <x v="83"/>
    <x v="7"/>
    <x v="279"/>
    <d v="1997-08-27T00:00:00"/>
    <d v="1997-08-06T00:00:00"/>
    <x v="0"/>
    <n v="0.75"/>
    <s v="Wilman Kala"/>
    <s v="Keskuskatu 45"/>
    <s v="Helsinki"/>
    <s v="NULL"/>
    <n v="21240"/>
    <x v="10"/>
    <n v="28"/>
    <n v="7"/>
    <n v="21"/>
  </r>
  <r>
    <n v="10616"/>
    <x v="79"/>
    <x v="5"/>
    <x v="280"/>
    <d v="1997-08-28T00:00:00"/>
    <d v="1997-08-05T00:00:00"/>
    <x v="2"/>
    <n v="116.53"/>
    <s v="Great Lakes Food Market"/>
    <s v="2732 Baker Blvd."/>
    <s v="Eugene"/>
    <s v="OR"/>
    <n v="97403"/>
    <x v="8"/>
    <n v="28"/>
    <n v="5"/>
    <n v="23"/>
  </r>
  <r>
    <n v="10617"/>
    <x v="79"/>
    <x v="2"/>
    <x v="280"/>
    <d v="1997-08-28T00:00:00"/>
    <d v="1997-08-04T00:00:00"/>
    <x v="2"/>
    <n v="18.53"/>
    <s v="Great Lakes Food Market"/>
    <s v="2732 Baker Blvd."/>
    <s v="Eugene"/>
    <s v="OR"/>
    <n v="97403"/>
    <x v="8"/>
    <n v="28"/>
    <n v="4"/>
    <n v="24"/>
  </r>
  <r>
    <n v="10618"/>
    <x v="49"/>
    <x v="5"/>
    <x v="281"/>
    <d v="1997-09-12T00:00:00"/>
    <d v="1997-08-08T00:00:00"/>
    <x v="1"/>
    <n v="154.68"/>
    <s v="Mère Paillarde"/>
    <s v="43 rue St. Laurent"/>
    <s v="Montréal"/>
    <s v="Québec"/>
    <s v="H1J 1C3"/>
    <x v="16"/>
    <n v="42"/>
    <n v="7"/>
    <n v="35"/>
  </r>
  <r>
    <n v="10619"/>
    <x v="49"/>
    <x v="3"/>
    <x v="282"/>
    <d v="1997-09-01T00:00:00"/>
    <d v="1997-08-07T00:00:00"/>
    <x v="0"/>
    <n v="91.05"/>
    <s v="Mère Paillarde"/>
    <s v="43 rue St. Laurent"/>
    <s v="Montréal"/>
    <s v="Québec"/>
    <s v="H1J 1C3"/>
    <x v="16"/>
    <n v="28"/>
    <n v="3"/>
    <n v="25"/>
  </r>
  <r>
    <n v="10620"/>
    <x v="75"/>
    <x v="7"/>
    <x v="283"/>
    <d v="1997-09-02T00:00:00"/>
    <d v="1997-08-14T00:00:00"/>
    <x v="0"/>
    <n v="0.94"/>
    <s v="Laughing Bacchus Wine Cellars"/>
    <s v="2319 Elm St."/>
    <s v="Vancouver"/>
    <s v="BC"/>
    <s v="V3F 2K1"/>
    <x v="16"/>
    <n v="28"/>
    <n v="9"/>
    <n v="19"/>
  </r>
  <r>
    <n v="10621"/>
    <x v="42"/>
    <x v="2"/>
    <x v="283"/>
    <d v="1997-09-02T00:00:00"/>
    <d v="1997-08-11T00:00:00"/>
    <x v="2"/>
    <n v="23.73"/>
    <s v="Island Trading"/>
    <s v="Garden House Crowther Way"/>
    <s v="Cowes"/>
    <s v="Isle of Wight"/>
    <s v="PO31 7PJ"/>
    <x v="13"/>
    <n v="28"/>
    <n v="6"/>
    <n v="22"/>
  </r>
  <r>
    <n v="10622"/>
    <x v="29"/>
    <x v="2"/>
    <x v="284"/>
    <d v="1997-09-03T00:00:00"/>
    <d v="1997-08-11T00:00:00"/>
    <x v="0"/>
    <n v="50.97"/>
    <s v="Ricardo Adocicados"/>
    <s v="Av. Copacabana 267"/>
    <s v="Rio de Janeiro"/>
    <s v="RJ"/>
    <s v="02389-890"/>
    <x v="2"/>
    <n v="28"/>
    <n v="5"/>
    <n v="23"/>
  </r>
  <r>
    <n v="10623"/>
    <x v="17"/>
    <x v="6"/>
    <x v="285"/>
    <d v="1997-09-04T00:00:00"/>
    <d v="1997-08-12T00:00:00"/>
    <x v="2"/>
    <n v="97.18"/>
    <s v="Frankenversand"/>
    <s v="Berliner Platz 43"/>
    <s v="München"/>
    <s v="NULL"/>
    <n v="80805"/>
    <x v="1"/>
    <n v="28"/>
    <n v="5"/>
    <n v="23"/>
  </r>
  <r>
    <n v="10624"/>
    <x v="84"/>
    <x v="2"/>
    <x v="285"/>
    <d v="1997-09-04T00:00:00"/>
    <d v="1997-08-19T00:00:00"/>
    <x v="2"/>
    <n v="94.8"/>
    <s v="The Cracker Box"/>
    <s v="55 Grizzly Peak Rd."/>
    <s v="Butte"/>
    <s v="MT"/>
    <n v="59801"/>
    <x v="8"/>
    <n v="28"/>
    <n v="12"/>
    <n v="16"/>
  </r>
  <r>
    <n v="10625"/>
    <x v="39"/>
    <x v="3"/>
    <x v="286"/>
    <d v="1997-09-05T00:00:00"/>
    <d v="1997-08-14T00:00:00"/>
    <x v="1"/>
    <n v="43.9"/>
    <s v="Ana Trujillo Emparedados y helados"/>
    <s v="Avda. de la Constitución 2222"/>
    <s v="México D.F."/>
    <s v="NULL"/>
    <n v="5021"/>
    <x v="7"/>
    <n v="28"/>
    <n v="6"/>
    <n v="22"/>
  </r>
  <r>
    <n v="10626"/>
    <x v="25"/>
    <x v="5"/>
    <x v="287"/>
    <d v="1997-09-08T00:00:00"/>
    <d v="1997-08-20T00:00:00"/>
    <x v="2"/>
    <n v="138.69"/>
    <s v="Berglunds snabbköp"/>
    <s v="Berguvsvägen  8"/>
    <s v="Luleå"/>
    <s v="NULL"/>
    <s v="S-958 22"/>
    <x v="9"/>
    <n v="28"/>
    <n v="9"/>
    <n v="19"/>
  </r>
  <r>
    <n v="10627"/>
    <x v="45"/>
    <x v="6"/>
    <x v="287"/>
    <d v="1997-09-22T00:00:00"/>
    <d v="1997-08-21T00:00:00"/>
    <x v="0"/>
    <n v="107.46"/>
    <s v="Save-a-lot Markets"/>
    <s v="187 Suffolk Ln."/>
    <s v="Boise"/>
    <s v="ID"/>
    <n v="83720"/>
    <x v="8"/>
    <n v="42"/>
    <n v="10"/>
    <n v="32"/>
  </r>
  <r>
    <n v="10628"/>
    <x v="15"/>
    <x v="2"/>
    <x v="288"/>
    <d v="1997-09-09T00:00:00"/>
    <d v="1997-08-20T00:00:00"/>
    <x v="0"/>
    <n v="30.36"/>
    <s v="Blondel père et fils"/>
    <s v="24  place Kléber"/>
    <s v="Strasbourg"/>
    <s v="NULL"/>
    <n v="67000"/>
    <x v="0"/>
    <n v="28"/>
    <n v="8"/>
    <n v="20"/>
  </r>
  <r>
    <n v="10629"/>
    <x v="36"/>
    <x v="2"/>
    <x v="288"/>
    <d v="1997-09-09T00:00:00"/>
    <d v="1997-08-20T00:00:00"/>
    <x v="0"/>
    <n v="85.46"/>
    <s v="Godos Cocina Típica"/>
    <s v="C/ Romero 33"/>
    <s v="Sevilla"/>
    <s v="NULL"/>
    <n v="41101"/>
    <x v="12"/>
    <n v="28"/>
    <n v="8"/>
    <n v="20"/>
  </r>
  <r>
    <n v="10630"/>
    <x v="44"/>
    <x v="5"/>
    <x v="289"/>
    <d v="1997-09-10T00:00:00"/>
    <d v="1997-08-19T00:00:00"/>
    <x v="2"/>
    <n v="32.35"/>
    <s v="Königlich Essen"/>
    <s v="Maubelstr. 90"/>
    <s v="Brandenburg"/>
    <s v="NULL"/>
    <n v="14776"/>
    <x v="1"/>
    <n v="28"/>
    <n v="6"/>
    <n v="22"/>
  </r>
  <r>
    <n v="10631"/>
    <x v="53"/>
    <x v="6"/>
    <x v="290"/>
    <d v="1997-09-11T00:00:00"/>
    <d v="1997-08-15T00:00:00"/>
    <x v="1"/>
    <n v="0.87"/>
    <s v="La maison d'Asie"/>
    <s v="1 rue Alsace-Lorraine"/>
    <s v="Toulouse"/>
    <s v="NULL"/>
    <n v="31000"/>
    <x v="0"/>
    <n v="28"/>
    <n v="1"/>
    <n v="27"/>
  </r>
  <r>
    <n v="10632"/>
    <x v="35"/>
    <x v="6"/>
    <x v="290"/>
    <d v="1997-09-11T00:00:00"/>
    <d v="1997-08-19T00:00:00"/>
    <x v="1"/>
    <n v="41.38"/>
    <s v="Die Wandernde Kuh"/>
    <s v="Adenauerallee 900"/>
    <s v="Stuttgart"/>
    <s v="NULL"/>
    <n v="70563"/>
    <x v="1"/>
    <n v="28"/>
    <n v="5"/>
    <n v="23"/>
  </r>
  <r>
    <n v="10633"/>
    <x v="9"/>
    <x v="8"/>
    <x v="291"/>
    <d v="1997-09-12T00:00:00"/>
    <d v="1997-08-18T00:00:00"/>
    <x v="0"/>
    <n v="477.9"/>
    <s v="Ernst Handel"/>
    <s v="Kirchgasse 6"/>
    <s v="Graz"/>
    <s v="NULL"/>
    <n v="8010"/>
    <x v="6"/>
    <n v="28"/>
    <n v="3"/>
    <n v="25"/>
  </r>
  <r>
    <n v="10634"/>
    <x v="68"/>
    <x v="2"/>
    <x v="291"/>
    <d v="1997-09-12T00:00:00"/>
    <d v="1997-08-21T00:00:00"/>
    <x v="0"/>
    <n v="487.38"/>
    <s v="Folies gourmandes"/>
    <s v="184  chaussée de Tournai"/>
    <s v="Lille"/>
    <s v="NULL"/>
    <n v="59000"/>
    <x v="0"/>
    <n v="28"/>
    <n v="6"/>
    <n v="22"/>
  </r>
  <r>
    <n v="10635"/>
    <x v="22"/>
    <x v="6"/>
    <x v="292"/>
    <d v="1997-09-15T00:00:00"/>
    <d v="1997-08-21T00:00:00"/>
    <x v="0"/>
    <n v="47.46"/>
    <s v="Magazzini Alimentari Riuniti"/>
    <s v="Via Ludovico il Moro 22"/>
    <s v="Bergamo"/>
    <s v="NULL"/>
    <n v="24100"/>
    <x v="11"/>
    <n v="28"/>
    <n v="3"/>
    <n v="25"/>
  </r>
  <r>
    <n v="10636"/>
    <x v="16"/>
    <x v="2"/>
    <x v="293"/>
    <d v="1997-09-16T00:00:00"/>
    <d v="1997-08-26T00:00:00"/>
    <x v="1"/>
    <n v="1.1499999999999999"/>
    <s v="Wartian Herkku"/>
    <s v="Torikatu 38"/>
    <s v="Oulu"/>
    <s v="NULL"/>
    <n v="90110"/>
    <x v="10"/>
    <n v="28"/>
    <n v="7"/>
    <n v="21"/>
  </r>
  <r>
    <n v="10637"/>
    <x v="62"/>
    <x v="1"/>
    <x v="293"/>
    <d v="1997-09-16T00:00:00"/>
    <d v="1997-08-26T00:00:00"/>
    <x v="1"/>
    <n v="201.29"/>
    <s v="Queen Cozinha"/>
    <s v="Alameda dos Canàrios 891"/>
    <s v="Sao Paulo"/>
    <s v="SP"/>
    <s v="05487-020"/>
    <x v="2"/>
    <n v="28"/>
    <n v="7"/>
    <n v="21"/>
  </r>
  <r>
    <n v="10638"/>
    <x v="67"/>
    <x v="3"/>
    <x v="294"/>
    <d v="1997-09-17T00:00:00"/>
    <d v="1997-09-01T00:00:00"/>
    <x v="1"/>
    <n v="158.44"/>
    <s v="LINO-Delicateses"/>
    <s v="Ave. 5 de Mayo Porlamar"/>
    <s v="I. de Margarita"/>
    <s v="Nueva Esparta"/>
    <n v="4980"/>
    <x v="5"/>
    <n v="28"/>
    <n v="12"/>
    <n v="16"/>
  </r>
  <r>
    <n v="10639"/>
    <x v="65"/>
    <x v="8"/>
    <x v="294"/>
    <d v="1997-09-17T00:00:00"/>
    <d v="1997-08-27T00:00:00"/>
    <x v="0"/>
    <n v="38.64"/>
    <s v="Santé Gourmet"/>
    <s v="Erling Skakkes gate 78"/>
    <s v="Stavern"/>
    <s v="NULL"/>
    <n v="4110"/>
    <x v="19"/>
    <n v="28"/>
    <n v="7"/>
    <n v="21"/>
  </r>
  <r>
    <n v="10640"/>
    <x v="35"/>
    <x v="2"/>
    <x v="295"/>
    <d v="1997-09-18T00:00:00"/>
    <d v="1997-08-28T00:00:00"/>
    <x v="1"/>
    <n v="23.55"/>
    <s v="Die Wandernde Kuh"/>
    <s v="Adenauerallee 900"/>
    <s v="Stuttgart"/>
    <s v="NULL"/>
    <n v="70563"/>
    <x v="1"/>
    <n v="28"/>
    <n v="7"/>
    <n v="21"/>
  </r>
  <r>
    <n v="10641"/>
    <x v="8"/>
    <x v="2"/>
    <x v="296"/>
    <d v="1997-09-19T00:00:00"/>
    <d v="1997-08-26T00:00:00"/>
    <x v="2"/>
    <n v="179.61"/>
    <s v="HILARION-Abastos"/>
    <s v="Carrera 22 con Ave. Carlos Soublette #8-35"/>
    <s v="San Cristóbal"/>
    <s v="Táchira"/>
    <n v="5022"/>
    <x v="5"/>
    <n v="28"/>
    <n v="4"/>
    <n v="24"/>
  </r>
  <r>
    <n v="10642"/>
    <x v="51"/>
    <x v="8"/>
    <x v="296"/>
    <d v="1997-09-19T00:00:00"/>
    <d v="1997-09-05T00:00:00"/>
    <x v="0"/>
    <n v="41.89"/>
    <s v="Simons bistro"/>
    <s v="Vinbæltet 34"/>
    <s v="Kobenhavn"/>
    <s v="NULL"/>
    <n v="1734"/>
    <x v="17"/>
    <n v="28"/>
    <n v="14"/>
    <n v="14"/>
  </r>
  <r>
    <n v="10643"/>
    <x v="85"/>
    <x v="1"/>
    <x v="297"/>
    <d v="1997-09-22T00:00:00"/>
    <d v="1997-09-02T00:00:00"/>
    <x v="1"/>
    <n v="29.46"/>
    <s v="Alfreds Futterkiste"/>
    <s v="Obere Str. 57"/>
    <s v="Berlin"/>
    <s v="NULL"/>
    <n v="12209"/>
    <x v="1"/>
    <n v="28"/>
    <n v="8"/>
    <n v="20"/>
  </r>
  <r>
    <n v="10644"/>
    <x v="7"/>
    <x v="3"/>
    <x v="297"/>
    <d v="1997-09-22T00:00:00"/>
    <d v="1997-09-01T00:00:00"/>
    <x v="2"/>
    <n v="0.14000000000000001"/>
    <s v="Wellington Importadora"/>
    <s v="Rua do Mercado 12"/>
    <s v="Resende"/>
    <s v="SP"/>
    <s v="08737-363"/>
    <x v="2"/>
    <n v="28"/>
    <n v="7"/>
    <n v="21"/>
  </r>
  <r>
    <n v="10645"/>
    <x v="2"/>
    <x v="2"/>
    <x v="298"/>
    <d v="1997-09-23T00:00:00"/>
    <d v="1997-09-02T00:00:00"/>
    <x v="1"/>
    <n v="12.41"/>
    <s v="Hanari Carnes"/>
    <s v="Rua do Paço 67"/>
    <s v="Rio de Janeiro"/>
    <s v="RJ"/>
    <s v="05454-876"/>
    <x v="2"/>
    <n v="28"/>
    <n v="7"/>
    <n v="21"/>
  </r>
  <r>
    <n v="10646"/>
    <x v="34"/>
    <x v="4"/>
    <x v="299"/>
    <d v="1997-10-08T00:00:00"/>
    <d v="1997-09-03T00:00:00"/>
    <x v="0"/>
    <n v="142.33000000000001"/>
    <s v="Hungry Owl All-Night Grocers"/>
    <s v="8 Johnstown Road"/>
    <s v="Cork"/>
    <s v="Co. Cork"/>
    <s v="NULL"/>
    <x v="14"/>
    <n v="42"/>
    <n v="7"/>
    <n v="35"/>
  </r>
  <r>
    <n v="10647"/>
    <x v="12"/>
    <x v="2"/>
    <x v="299"/>
    <d v="1997-09-10T00:00:00"/>
    <d v="1997-09-03T00:00:00"/>
    <x v="2"/>
    <n v="45.54"/>
    <s v="Que Delícia"/>
    <s v="Rua da Panificadora 12"/>
    <s v="Rio de Janeiro"/>
    <s v="RJ"/>
    <s v="02389-673"/>
    <x v="2"/>
    <n v="14"/>
    <n v="7"/>
    <n v="7"/>
  </r>
  <r>
    <n v="10648"/>
    <x v="29"/>
    <x v="0"/>
    <x v="300"/>
    <d v="1997-10-09T00:00:00"/>
    <d v="1997-09-09T00:00:00"/>
    <x v="2"/>
    <n v="14.25"/>
    <s v="Ricardo Adocicados"/>
    <s v="Av. Copacabana 267"/>
    <s v="Rio de Janeiro"/>
    <s v="RJ"/>
    <s v="02389-890"/>
    <x v="2"/>
    <n v="42"/>
    <n v="12"/>
    <n v="30"/>
  </r>
  <r>
    <n v="10649"/>
    <x v="80"/>
    <x v="0"/>
    <x v="300"/>
    <d v="1997-09-25T00:00:00"/>
    <d v="1997-08-29T00:00:00"/>
    <x v="0"/>
    <n v="6.2"/>
    <s v="Maison Dewey"/>
    <s v="Rue Joseph-Bens 532"/>
    <s v="Bruxelles"/>
    <s v="NULL"/>
    <s v="B-1180"/>
    <x v="3"/>
    <n v="28"/>
    <n v="1"/>
    <n v="27"/>
  </r>
  <r>
    <n v="10650"/>
    <x v="52"/>
    <x v="0"/>
    <x v="301"/>
    <d v="1997-09-26T00:00:00"/>
    <d v="1997-09-03T00:00:00"/>
    <x v="0"/>
    <n v="176.81"/>
    <s v="Familia Arquibaldo"/>
    <s v="Rua Orós 92"/>
    <s v="Sao Paulo"/>
    <s v="SP"/>
    <s v="05442-030"/>
    <x v="2"/>
    <n v="28"/>
    <n v="5"/>
    <n v="23"/>
  </r>
  <r>
    <n v="10651"/>
    <x v="35"/>
    <x v="6"/>
    <x v="302"/>
    <d v="1997-09-29T00:00:00"/>
    <d v="1997-09-11T00:00:00"/>
    <x v="2"/>
    <n v="20.6"/>
    <s v="Die Wandernde Kuh"/>
    <s v="Adenauerallee 900"/>
    <s v="Stuttgart"/>
    <s v="NULL"/>
    <n v="70563"/>
    <x v="1"/>
    <n v="28"/>
    <n v="10"/>
    <n v="18"/>
  </r>
  <r>
    <n v="10652"/>
    <x v="71"/>
    <x v="2"/>
    <x v="302"/>
    <d v="1997-09-29T00:00:00"/>
    <d v="1997-09-08T00:00:00"/>
    <x v="2"/>
    <n v="7.14"/>
    <s v="Gourmet Lanchonetes"/>
    <s v="Av. Brasil 442"/>
    <s v="Campinas"/>
    <s v="SP"/>
    <s v="04876-786"/>
    <x v="2"/>
    <n v="28"/>
    <n v="7"/>
    <n v="21"/>
  </r>
  <r>
    <n v="10653"/>
    <x v="17"/>
    <x v="5"/>
    <x v="303"/>
    <d v="1997-09-30T00:00:00"/>
    <d v="1997-09-19T00:00:00"/>
    <x v="1"/>
    <n v="93.25"/>
    <s v="Frankenversand"/>
    <s v="Berliner Platz 43"/>
    <s v="München"/>
    <s v="NULL"/>
    <n v="80805"/>
    <x v="1"/>
    <n v="28"/>
    <n v="17"/>
    <n v="11"/>
  </r>
  <r>
    <n v="10654"/>
    <x v="25"/>
    <x v="0"/>
    <x v="303"/>
    <d v="1997-09-30T00:00:00"/>
    <d v="1997-09-11T00:00:00"/>
    <x v="1"/>
    <n v="55.26"/>
    <s v="Berglunds snabbköp"/>
    <s v="Berguvsvägen  8"/>
    <s v="Luleå"/>
    <s v="NULL"/>
    <s v="S-958 22"/>
    <x v="9"/>
    <n v="28"/>
    <n v="9"/>
    <n v="19"/>
  </r>
  <r>
    <n v="10655"/>
    <x v="30"/>
    <x v="5"/>
    <x v="304"/>
    <d v="1997-10-01T00:00:00"/>
    <d v="1997-09-11T00:00:00"/>
    <x v="2"/>
    <n v="4.41"/>
    <s v="Reggiani Caseifici"/>
    <s v="Strada Provinciale 124"/>
    <s v="Reggio Emilia"/>
    <s v="NULL"/>
    <n v="42100"/>
    <x v="11"/>
    <n v="28"/>
    <n v="8"/>
    <n v="20"/>
  </r>
  <r>
    <n v="10656"/>
    <x v="79"/>
    <x v="1"/>
    <x v="305"/>
    <d v="1997-10-02T00:00:00"/>
    <d v="1997-09-10T00:00:00"/>
    <x v="1"/>
    <n v="57.15"/>
    <s v="Great Lakes Food Market"/>
    <s v="2732 Baker Blvd."/>
    <s v="Eugene"/>
    <s v="OR"/>
    <n v="97403"/>
    <x v="8"/>
    <n v="28"/>
    <n v="6"/>
    <n v="22"/>
  </r>
  <r>
    <n v="10657"/>
    <x v="45"/>
    <x v="7"/>
    <x v="305"/>
    <d v="1997-10-02T00:00:00"/>
    <d v="1997-09-15T00:00:00"/>
    <x v="2"/>
    <n v="352.69"/>
    <s v="Save-a-lot Markets"/>
    <s v="187 Suffolk Ln."/>
    <s v="Boise"/>
    <s v="ID"/>
    <n v="83720"/>
    <x v="8"/>
    <n v="28"/>
    <n v="11"/>
    <n v="17"/>
  </r>
  <r>
    <n v="10658"/>
    <x v="21"/>
    <x v="2"/>
    <x v="306"/>
    <d v="1997-10-03T00:00:00"/>
    <d v="1997-09-08T00:00:00"/>
    <x v="1"/>
    <n v="364.15"/>
    <s v="QUICK-Stop"/>
    <s v="Taucherstraße 10"/>
    <s v="Cunewalde"/>
    <s v="NULL"/>
    <n v="1307"/>
    <x v="1"/>
    <n v="28"/>
    <n v="3"/>
    <n v="25"/>
  </r>
  <r>
    <n v="10659"/>
    <x v="62"/>
    <x v="8"/>
    <x v="306"/>
    <d v="1997-10-03T00:00:00"/>
    <d v="1997-09-10T00:00:00"/>
    <x v="2"/>
    <n v="105.81"/>
    <s v="Queen Cozinha"/>
    <s v="Alameda dos Canàrios 891"/>
    <s v="Sao Paulo"/>
    <s v="SP"/>
    <s v="05487-020"/>
    <x v="2"/>
    <n v="28"/>
    <n v="5"/>
    <n v="23"/>
  </r>
  <r>
    <n v="10660"/>
    <x v="64"/>
    <x v="6"/>
    <x v="307"/>
    <d v="1997-10-06T00:00:00"/>
    <d v="1997-10-15T00:00:00"/>
    <x v="1"/>
    <n v="111.29"/>
    <s v="Hungry Coyote Import Store"/>
    <s v="City Center Plaza 516 Main St."/>
    <s v="Elgin"/>
    <s v="OR"/>
    <n v="97827"/>
    <x v="8"/>
    <n v="28"/>
    <n v="37"/>
    <n v="-9"/>
  </r>
  <r>
    <n v="10661"/>
    <x v="34"/>
    <x v="8"/>
    <x v="308"/>
    <d v="1997-10-07T00:00:00"/>
    <d v="1997-09-15T00:00:00"/>
    <x v="0"/>
    <n v="17.55"/>
    <s v="Hungry Owl All-Night Grocers"/>
    <s v="8 Johnstown Road"/>
    <s v="Cork"/>
    <s v="Co. Cork"/>
    <s v="NULL"/>
    <x v="14"/>
    <n v="28"/>
    <n v="6"/>
    <n v="22"/>
  </r>
  <r>
    <n v="10662"/>
    <x v="38"/>
    <x v="3"/>
    <x v="308"/>
    <d v="1997-10-07T00:00:00"/>
    <d v="1997-09-18T00:00:00"/>
    <x v="2"/>
    <n v="1.28"/>
    <s v="Lonesome Pine Restaurant"/>
    <s v="89 Chiaroscuro Rd."/>
    <s v="Portland"/>
    <s v="OR"/>
    <n v="97219"/>
    <x v="8"/>
    <n v="28"/>
    <n v="9"/>
    <n v="19"/>
  </r>
  <r>
    <n v="10663"/>
    <x v="48"/>
    <x v="7"/>
    <x v="309"/>
    <d v="1997-09-24T00:00:00"/>
    <d v="1997-10-03T00:00:00"/>
    <x v="2"/>
    <n v="113.15"/>
    <s v="Bon app'"/>
    <s v="12  rue des Bouchers"/>
    <s v="Marseille"/>
    <s v="NULL"/>
    <n v="13008"/>
    <x v="0"/>
    <n v="14"/>
    <n v="23"/>
    <n v="-9"/>
  </r>
  <r>
    <n v="10664"/>
    <x v="47"/>
    <x v="5"/>
    <x v="309"/>
    <d v="1997-10-08T00:00:00"/>
    <d v="1997-09-19T00:00:00"/>
    <x v="0"/>
    <n v="1.27"/>
    <s v="Furia Bacalhau e Frutos do Mar"/>
    <s v="Jardim das rosas n. 32"/>
    <s v="Lisboa"/>
    <s v="NULL"/>
    <n v="1675"/>
    <x v="15"/>
    <n v="28"/>
    <n v="9"/>
    <n v="19"/>
  </r>
  <r>
    <n v="10665"/>
    <x v="38"/>
    <x v="5"/>
    <x v="310"/>
    <d v="1997-10-09T00:00:00"/>
    <d v="1997-09-17T00:00:00"/>
    <x v="2"/>
    <n v="26.31"/>
    <s v="Lonesome Pine Restaurant"/>
    <s v="89 Chiaroscuro Rd."/>
    <s v="Portland"/>
    <s v="OR"/>
    <n v="97219"/>
    <x v="8"/>
    <n v="28"/>
    <n v="6"/>
    <n v="22"/>
  </r>
  <r>
    <n v="10666"/>
    <x v="6"/>
    <x v="8"/>
    <x v="311"/>
    <d v="1997-10-10T00:00:00"/>
    <d v="1997-09-22T00:00:00"/>
    <x v="2"/>
    <n v="232.42"/>
    <s v="Richter Supermarkt"/>
    <s v="Starenweg 5"/>
    <s v="Genève"/>
    <s v="NULL"/>
    <n v="1204"/>
    <x v="4"/>
    <n v="28"/>
    <n v="10"/>
    <n v="18"/>
  </r>
  <r>
    <n v="10667"/>
    <x v="9"/>
    <x v="8"/>
    <x v="311"/>
    <d v="1997-10-10T00:00:00"/>
    <d v="1997-09-19T00:00:00"/>
    <x v="1"/>
    <n v="78.09"/>
    <s v="Ernst Handel"/>
    <s v="Kirchgasse 6"/>
    <s v="Graz"/>
    <s v="NULL"/>
    <n v="8010"/>
    <x v="6"/>
    <n v="28"/>
    <n v="7"/>
    <n v="21"/>
  </r>
  <r>
    <n v="10668"/>
    <x v="35"/>
    <x v="5"/>
    <x v="312"/>
    <d v="1997-10-13T00:00:00"/>
    <d v="1997-09-23T00:00:00"/>
    <x v="2"/>
    <n v="47.22"/>
    <s v="Die Wandernde Kuh"/>
    <s v="Adenauerallee 900"/>
    <s v="Stuttgart"/>
    <s v="NULL"/>
    <n v="70563"/>
    <x v="1"/>
    <n v="28"/>
    <n v="8"/>
    <n v="20"/>
  </r>
  <r>
    <n v="10669"/>
    <x v="51"/>
    <x v="7"/>
    <x v="312"/>
    <d v="1997-10-13T00:00:00"/>
    <d v="1997-09-22T00:00:00"/>
    <x v="1"/>
    <n v="24.39"/>
    <s v="Simons bistro"/>
    <s v="Vinbæltet 34"/>
    <s v="Kobenhavn"/>
    <s v="NULL"/>
    <n v="1734"/>
    <x v="17"/>
    <n v="28"/>
    <n v="7"/>
    <n v="21"/>
  </r>
  <r>
    <n v="10670"/>
    <x v="17"/>
    <x v="2"/>
    <x v="313"/>
    <d v="1997-10-14T00:00:00"/>
    <d v="1997-09-18T00:00:00"/>
    <x v="1"/>
    <n v="203.48"/>
    <s v="Frankenversand"/>
    <s v="Berliner Platz 43"/>
    <s v="München"/>
    <s v="NULL"/>
    <n v="80805"/>
    <x v="1"/>
    <n v="28"/>
    <n v="2"/>
    <n v="26"/>
  </r>
  <r>
    <n v="10671"/>
    <x v="86"/>
    <x v="5"/>
    <x v="314"/>
    <d v="1997-10-15T00:00:00"/>
    <d v="1997-09-24T00:00:00"/>
    <x v="1"/>
    <n v="30.34"/>
    <s v="France restauration"/>
    <s v="54  rue Royale"/>
    <s v="Nantes"/>
    <s v="NULL"/>
    <n v="44000"/>
    <x v="0"/>
    <n v="28"/>
    <n v="7"/>
    <n v="21"/>
  </r>
  <r>
    <n v="10672"/>
    <x v="25"/>
    <x v="4"/>
    <x v="314"/>
    <d v="1997-10-01T00:00:00"/>
    <d v="1997-09-26T00:00:00"/>
    <x v="2"/>
    <n v="95.75"/>
    <s v="Berglunds snabbköp"/>
    <s v="Berguvsvägen  8"/>
    <s v="Luleå"/>
    <s v="NULL"/>
    <s v="S-958 22"/>
    <x v="9"/>
    <n v="14"/>
    <n v="9"/>
    <n v="5"/>
  </r>
  <r>
    <n v="10673"/>
    <x v="83"/>
    <x v="7"/>
    <x v="315"/>
    <d v="1997-10-16T00:00:00"/>
    <d v="1997-09-19T00:00:00"/>
    <x v="1"/>
    <n v="22.76"/>
    <s v="Wilman Kala"/>
    <s v="Keskuskatu 45"/>
    <s v="Helsinki"/>
    <s v="NULL"/>
    <n v="21240"/>
    <x v="10"/>
    <n v="28"/>
    <n v="1"/>
    <n v="27"/>
  </r>
  <r>
    <n v="10674"/>
    <x v="42"/>
    <x v="2"/>
    <x v="315"/>
    <d v="1997-10-16T00:00:00"/>
    <d v="1997-09-30T00:00:00"/>
    <x v="2"/>
    <n v="0.9"/>
    <s v="Island Trading"/>
    <s v="Garden House Crowther Way"/>
    <s v="Cowes"/>
    <s v="Isle of Wight"/>
    <s v="PO31 7PJ"/>
    <x v="13"/>
    <n v="28"/>
    <n v="12"/>
    <n v="16"/>
  </r>
  <r>
    <n v="10675"/>
    <x v="17"/>
    <x v="0"/>
    <x v="316"/>
    <d v="1997-10-17T00:00:00"/>
    <d v="1997-09-23T00:00:00"/>
    <x v="2"/>
    <n v="31.85"/>
    <s v="Frankenversand"/>
    <s v="Berliner Platz 43"/>
    <s v="München"/>
    <s v="NULL"/>
    <n v="80805"/>
    <x v="1"/>
    <n v="28"/>
    <n v="4"/>
    <n v="24"/>
  </r>
  <r>
    <n v="10676"/>
    <x v="23"/>
    <x v="7"/>
    <x v="317"/>
    <d v="1997-10-20T00:00:00"/>
    <d v="1997-09-29T00:00:00"/>
    <x v="2"/>
    <n v="2.0099999999999998"/>
    <s v="Tortuga Restaurante"/>
    <s v="Avda. Azteca 123"/>
    <s v="México D.F."/>
    <s v="NULL"/>
    <n v="5033"/>
    <x v="7"/>
    <n v="28"/>
    <n v="7"/>
    <n v="21"/>
  </r>
  <r>
    <n v="10677"/>
    <x v="59"/>
    <x v="5"/>
    <x v="317"/>
    <d v="1997-10-20T00:00:00"/>
    <d v="1997-09-26T00:00:00"/>
    <x v="0"/>
    <n v="4.03"/>
    <s v="Antonio Moreno Taquería"/>
    <s v="Mataderos  2312"/>
    <s v="México D.F."/>
    <s v="NULL"/>
    <n v="5023"/>
    <x v="7"/>
    <n v="28"/>
    <n v="4"/>
    <n v="24"/>
  </r>
  <r>
    <n v="10678"/>
    <x v="45"/>
    <x v="8"/>
    <x v="318"/>
    <d v="1997-10-21T00:00:00"/>
    <d v="1997-10-16T00:00:00"/>
    <x v="0"/>
    <n v="388.98"/>
    <s v="Save-a-lot Markets"/>
    <s v="187 Suffolk Ln."/>
    <s v="Boise"/>
    <s v="ID"/>
    <n v="83720"/>
    <x v="8"/>
    <n v="28"/>
    <n v="23"/>
    <n v="5"/>
  </r>
  <r>
    <n v="10679"/>
    <x v="15"/>
    <x v="6"/>
    <x v="318"/>
    <d v="1997-10-21T00:00:00"/>
    <d v="1997-09-30T00:00:00"/>
    <x v="0"/>
    <n v="27.94"/>
    <s v="Blondel père et fils"/>
    <s v="24  place Kléber"/>
    <s v="Strasbourg"/>
    <s v="NULL"/>
    <n v="67000"/>
    <x v="0"/>
    <n v="28"/>
    <n v="7"/>
    <n v="21"/>
  </r>
  <r>
    <n v="10680"/>
    <x v="37"/>
    <x v="5"/>
    <x v="319"/>
    <d v="1997-10-22T00:00:00"/>
    <d v="1997-09-26T00:00:00"/>
    <x v="1"/>
    <n v="26.61"/>
    <s v="Old World Delicatessen"/>
    <s v="2743 Bering St."/>
    <s v="Anchorage"/>
    <s v="AK"/>
    <n v="99508"/>
    <x v="8"/>
    <n v="28"/>
    <n v="2"/>
    <n v="26"/>
  </r>
  <r>
    <n v="10681"/>
    <x v="79"/>
    <x v="3"/>
    <x v="320"/>
    <d v="1997-10-23T00:00:00"/>
    <d v="1997-09-30T00:00:00"/>
    <x v="0"/>
    <n v="76.13"/>
    <s v="Great Lakes Food Market"/>
    <s v="2732 Baker Blvd."/>
    <s v="Eugene"/>
    <s v="OR"/>
    <n v="97403"/>
    <x v="8"/>
    <n v="28"/>
    <n v="5"/>
    <n v="23"/>
  </r>
  <r>
    <n v="10682"/>
    <x v="59"/>
    <x v="3"/>
    <x v="320"/>
    <d v="1997-10-23T00:00:00"/>
    <d v="1997-10-01T00:00:00"/>
    <x v="2"/>
    <n v="36.130000000000003"/>
    <s v="Antonio Moreno Taquería"/>
    <s v="Mataderos  2312"/>
    <s v="México D.F."/>
    <s v="NULL"/>
    <n v="5023"/>
    <x v="7"/>
    <n v="28"/>
    <n v="6"/>
    <n v="22"/>
  </r>
  <r>
    <n v="10683"/>
    <x v="41"/>
    <x v="7"/>
    <x v="321"/>
    <d v="1997-10-24T00:00:00"/>
    <d v="1997-10-01T00:00:00"/>
    <x v="1"/>
    <n v="4.4000000000000004"/>
    <s v="Du monde entier"/>
    <s v="67  rue des Cinquante Otages"/>
    <s v="Nantes"/>
    <s v="NULL"/>
    <n v="44000"/>
    <x v="0"/>
    <n v="28"/>
    <n v="5"/>
    <n v="23"/>
  </r>
  <r>
    <n v="10684"/>
    <x v="11"/>
    <x v="3"/>
    <x v="321"/>
    <d v="1997-10-24T00:00:00"/>
    <d v="1997-09-30T00:00:00"/>
    <x v="1"/>
    <n v="145.63"/>
    <s v="Ottilies Käseladen"/>
    <s v="Mehrheimerstr. 369"/>
    <s v="Köln"/>
    <s v="NULL"/>
    <n v="50739"/>
    <x v="1"/>
    <n v="28"/>
    <n v="4"/>
    <n v="24"/>
  </r>
  <r>
    <n v="10685"/>
    <x v="71"/>
    <x v="2"/>
    <x v="322"/>
    <d v="1997-10-13T00:00:00"/>
    <d v="1997-10-03T00:00:00"/>
    <x v="2"/>
    <n v="33.75"/>
    <s v="Gourmet Lanchonetes"/>
    <s v="Av. Brasil 442"/>
    <s v="Campinas"/>
    <s v="SP"/>
    <s v="04876-786"/>
    <x v="2"/>
    <n v="14"/>
    <n v="4"/>
    <n v="10"/>
  </r>
  <r>
    <n v="10686"/>
    <x v="54"/>
    <x v="7"/>
    <x v="323"/>
    <d v="1997-10-28T00:00:00"/>
    <d v="1997-10-08T00:00:00"/>
    <x v="1"/>
    <n v="96.5"/>
    <s v="Piccolo und mehr"/>
    <s v="Geislweg 14"/>
    <s v="Salzburg"/>
    <s v="NULL"/>
    <n v="5020"/>
    <x v="6"/>
    <n v="28"/>
    <n v="8"/>
    <n v="20"/>
  </r>
  <r>
    <n v="10687"/>
    <x v="34"/>
    <x v="4"/>
    <x v="323"/>
    <d v="1997-10-28T00:00:00"/>
    <d v="1997-10-30T00:00:00"/>
    <x v="2"/>
    <n v="296.43"/>
    <s v="Hungry Owl All-Night Grocers"/>
    <s v="8 Johnstown Road"/>
    <s v="Cork"/>
    <s v="Co. Cork"/>
    <s v="NULL"/>
    <x v="14"/>
    <n v="28"/>
    <n v="30"/>
    <n v="-2"/>
  </r>
  <r>
    <n v="10688"/>
    <x v="61"/>
    <x v="2"/>
    <x v="324"/>
    <d v="1997-10-15T00:00:00"/>
    <d v="1997-10-07T00:00:00"/>
    <x v="2"/>
    <n v="299.08999999999997"/>
    <s v="Vaffeljernet"/>
    <s v="Smagsloget 45"/>
    <s v="Århus"/>
    <s v="NULL"/>
    <n v="8200"/>
    <x v="17"/>
    <n v="14"/>
    <n v="6"/>
    <n v="8"/>
  </r>
  <r>
    <n v="10689"/>
    <x v="25"/>
    <x v="5"/>
    <x v="324"/>
    <d v="1997-10-29T00:00:00"/>
    <d v="1997-10-07T00:00:00"/>
    <x v="2"/>
    <n v="13.42"/>
    <s v="Berglunds snabbköp"/>
    <s v="Berguvsvägen  8"/>
    <s v="Luleå"/>
    <s v="NULL"/>
    <s v="S-958 22"/>
    <x v="9"/>
    <n v="28"/>
    <n v="6"/>
    <n v="22"/>
  </r>
  <r>
    <n v="10690"/>
    <x v="2"/>
    <x v="5"/>
    <x v="325"/>
    <d v="1997-10-30T00:00:00"/>
    <d v="1997-10-03T00:00:00"/>
    <x v="1"/>
    <n v="15.8"/>
    <s v="Hanari Carnes"/>
    <s v="Rua do Paço 67"/>
    <s v="Rio de Janeiro"/>
    <s v="RJ"/>
    <s v="05454-876"/>
    <x v="2"/>
    <n v="28"/>
    <n v="1"/>
    <n v="27"/>
  </r>
  <r>
    <n v="10691"/>
    <x v="21"/>
    <x v="7"/>
    <x v="326"/>
    <d v="1997-11-14T00:00:00"/>
    <d v="1997-10-22T00:00:00"/>
    <x v="2"/>
    <n v="810.05"/>
    <s v="QUICK-Stop"/>
    <s v="Taucherstraße 10"/>
    <s v="Cunewalde"/>
    <s v="NULL"/>
    <n v="1307"/>
    <x v="1"/>
    <n v="42"/>
    <n v="19"/>
    <n v="23"/>
  </r>
  <r>
    <n v="10692"/>
    <x v="85"/>
    <x v="2"/>
    <x v="326"/>
    <d v="1997-10-31T00:00:00"/>
    <d v="1997-10-13T00:00:00"/>
    <x v="2"/>
    <n v="61.02"/>
    <s v="Alfred's Futterkiste"/>
    <s v="Obere Str. 57"/>
    <s v="Berlin"/>
    <s v="NULL"/>
    <n v="12209"/>
    <x v="1"/>
    <n v="28"/>
    <n v="10"/>
    <n v="18"/>
  </r>
  <r>
    <n v="10693"/>
    <x v="19"/>
    <x v="3"/>
    <x v="327"/>
    <d v="1997-10-20T00:00:00"/>
    <d v="1997-10-10T00:00:00"/>
    <x v="0"/>
    <n v="139.34"/>
    <s v="White Clover Markets"/>
    <s v="1029 - 12th Ave. S."/>
    <s v="Seattle"/>
    <s v="WA"/>
    <n v="98124"/>
    <x v="8"/>
    <n v="14"/>
    <n v="4"/>
    <n v="10"/>
  </r>
  <r>
    <n v="10694"/>
    <x v="21"/>
    <x v="6"/>
    <x v="327"/>
    <d v="1997-11-03T00:00:00"/>
    <d v="1997-10-09T00:00:00"/>
    <x v="0"/>
    <n v="398.36"/>
    <s v="QUICK-Stop"/>
    <s v="Taucherstraße 10"/>
    <s v="Cunewalde"/>
    <s v="NULL"/>
    <n v="1307"/>
    <x v="1"/>
    <n v="28"/>
    <n v="3"/>
    <n v="25"/>
  </r>
  <r>
    <n v="10695"/>
    <x v="83"/>
    <x v="8"/>
    <x v="328"/>
    <d v="1997-11-18T00:00:00"/>
    <d v="1997-10-14T00:00:00"/>
    <x v="1"/>
    <n v="16.72"/>
    <s v="Wilman Kala"/>
    <s v="Keskuskatu 45"/>
    <s v="Helsinki"/>
    <s v="NULL"/>
    <n v="21240"/>
    <x v="10"/>
    <n v="42"/>
    <n v="7"/>
    <n v="35"/>
  </r>
  <r>
    <n v="10696"/>
    <x v="19"/>
    <x v="6"/>
    <x v="329"/>
    <d v="1997-11-19T00:00:00"/>
    <d v="1997-10-14T00:00:00"/>
    <x v="0"/>
    <n v="102.55"/>
    <s v="White Clover Markets"/>
    <s v="1029 - 12th Ave. S."/>
    <s v="Seattle"/>
    <s v="WA"/>
    <n v="98124"/>
    <x v="8"/>
    <n v="42"/>
    <n v="6"/>
    <n v="36"/>
  </r>
  <r>
    <n v="10697"/>
    <x v="67"/>
    <x v="3"/>
    <x v="329"/>
    <d v="1997-11-05T00:00:00"/>
    <d v="1997-10-14T00:00:00"/>
    <x v="1"/>
    <n v="45.52"/>
    <s v="LINO-Delicateses"/>
    <s v="Ave. 5 de Mayo Porlamar"/>
    <s v="I. de Margarita"/>
    <s v="Nueva Esparta"/>
    <n v="4980"/>
    <x v="5"/>
    <n v="28"/>
    <n v="6"/>
    <n v="22"/>
  </r>
  <r>
    <n v="10698"/>
    <x v="9"/>
    <x v="2"/>
    <x v="330"/>
    <d v="1997-11-06T00:00:00"/>
    <d v="1997-10-17T00:00:00"/>
    <x v="1"/>
    <n v="272.47000000000003"/>
    <s v="Ernst Handel"/>
    <s v="Kirchgasse 6"/>
    <s v="Graz"/>
    <s v="NULL"/>
    <n v="8010"/>
    <x v="6"/>
    <n v="28"/>
    <n v="8"/>
    <n v="20"/>
  </r>
  <r>
    <n v="10699"/>
    <x v="24"/>
    <x v="3"/>
    <x v="330"/>
    <d v="1997-11-06T00:00:00"/>
    <d v="1997-10-13T00:00:00"/>
    <x v="0"/>
    <n v="0.57999999999999996"/>
    <s v="Morgenstern Gesundkost"/>
    <s v="Heerstr. 22"/>
    <s v="Leipzig"/>
    <s v="NULL"/>
    <n v="4179"/>
    <x v="1"/>
    <n v="28"/>
    <n v="4"/>
    <n v="24"/>
  </r>
  <r>
    <n v="10700"/>
    <x v="45"/>
    <x v="3"/>
    <x v="331"/>
    <d v="1997-11-07T00:00:00"/>
    <d v="1997-10-16T00:00:00"/>
    <x v="1"/>
    <n v="65.099999999999994"/>
    <s v="Save-a-lot Markets"/>
    <s v="187 Suffolk Ln."/>
    <s v="Boise"/>
    <s v="ID"/>
    <n v="83720"/>
    <x v="8"/>
    <n v="28"/>
    <n v="6"/>
    <n v="22"/>
  </r>
  <r>
    <n v="10701"/>
    <x v="34"/>
    <x v="1"/>
    <x v="332"/>
    <d v="1997-10-27T00:00:00"/>
    <d v="1997-10-15T00:00:00"/>
    <x v="0"/>
    <n v="220.31"/>
    <s v="Hungry Owl All-Night Grocers"/>
    <s v="8 Johnstown Road"/>
    <s v="Cork"/>
    <s v="Co. Cork"/>
    <s v="NULL"/>
    <x v="14"/>
    <n v="14"/>
    <n v="2"/>
    <n v="12"/>
  </r>
  <r>
    <n v="10702"/>
    <x v="85"/>
    <x v="2"/>
    <x v="332"/>
    <d v="1997-11-24T00:00:00"/>
    <d v="1997-10-21T00:00:00"/>
    <x v="1"/>
    <n v="23.94"/>
    <s v="Alfred's Futterkiste"/>
    <s v="Obere Str. 57"/>
    <s v="Berlin"/>
    <s v="NULL"/>
    <n v="12209"/>
    <x v="1"/>
    <n v="42"/>
    <n v="8"/>
    <n v="34"/>
  </r>
  <r>
    <n v="10703"/>
    <x v="14"/>
    <x v="1"/>
    <x v="333"/>
    <d v="1997-11-11T00:00:00"/>
    <d v="1997-10-20T00:00:00"/>
    <x v="2"/>
    <n v="152.30000000000001"/>
    <s v="Folk och fä HB"/>
    <s v="Åkergatan 24"/>
    <s v="Bräcke"/>
    <s v="NULL"/>
    <s v="S-844 67"/>
    <x v="9"/>
    <n v="28"/>
    <n v="6"/>
    <n v="22"/>
  </r>
  <r>
    <n v="10704"/>
    <x v="62"/>
    <x v="1"/>
    <x v="333"/>
    <d v="1997-11-11T00:00:00"/>
    <d v="1997-11-07T00:00:00"/>
    <x v="1"/>
    <n v="4.78"/>
    <s v="Queen Cozinha"/>
    <s v="Alameda dos Canàrios 891"/>
    <s v="Sao Paulo"/>
    <s v="SP"/>
    <s v="05487-020"/>
    <x v="2"/>
    <n v="28"/>
    <n v="24"/>
    <n v="4"/>
  </r>
  <r>
    <n v="10705"/>
    <x v="8"/>
    <x v="4"/>
    <x v="334"/>
    <d v="1997-11-12T00:00:00"/>
    <d v="1997-11-18T00:00:00"/>
    <x v="2"/>
    <n v="3.52"/>
    <s v="HILARION-Abastos"/>
    <s v="Carrera 22 con Ave. Carlos Soublette #8-35"/>
    <s v="San Cristóbal"/>
    <s v="Táchira"/>
    <n v="5022"/>
    <x v="5"/>
    <n v="28"/>
    <n v="34"/>
    <n v="-6"/>
  </r>
  <r>
    <n v="10706"/>
    <x v="37"/>
    <x v="6"/>
    <x v="335"/>
    <d v="1997-11-13T00:00:00"/>
    <d v="1997-10-21T00:00:00"/>
    <x v="0"/>
    <n v="135.63"/>
    <s v="Old World Delicatessen"/>
    <s v="2743 Bering St."/>
    <s v="Anchorage"/>
    <s v="AK"/>
    <n v="99508"/>
    <x v="8"/>
    <n v="28"/>
    <n v="5"/>
    <n v="23"/>
  </r>
  <r>
    <n v="10707"/>
    <x v="55"/>
    <x v="2"/>
    <x v="335"/>
    <d v="1997-10-30T00:00:00"/>
    <d v="1997-10-23T00:00:00"/>
    <x v="0"/>
    <n v="21.74"/>
    <s v="Around the Horn"/>
    <s v="Brook Farm Stratford St. Mary"/>
    <s v="Colchester"/>
    <s v="Essex"/>
    <s v="CO7 6JX"/>
    <x v="13"/>
    <n v="14"/>
    <n v="7"/>
    <n v="7"/>
  </r>
  <r>
    <n v="10708"/>
    <x v="40"/>
    <x v="1"/>
    <x v="336"/>
    <d v="1997-11-28T00:00:00"/>
    <d v="1997-11-05T00:00:00"/>
    <x v="2"/>
    <n v="2.96"/>
    <s v="The Big Cheese"/>
    <s v="89 Jefferson Way Suite 2"/>
    <s v="Portland"/>
    <s v="OR"/>
    <n v="97201"/>
    <x v="8"/>
    <n v="42"/>
    <n v="19"/>
    <n v="23"/>
  </r>
  <r>
    <n v="10709"/>
    <x v="71"/>
    <x v="5"/>
    <x v="336"/>
    <d v="1997-11-14T00:00:00"/>
    <d v="1997-11-20T00:00:00"/>
    <x v="0"/>
    <n v="210.8"/>
    <s v="Gourmet Lanchonetes"/>
    <s v="Av. Brasil 442"/>
    <s v="Campinas"/>
    <s v="SP"/>
    <s v="04876-786"/>
    <x v="2"/>
    <n v="28"/>
    <n v="34"/>
    <n v="-6"/>
  </r>
  <r>
    <n v="10710"/>
    <x v="70"/>
    <x v="5"/>
    <x v="337"/>
    <d v="1997-11-17T00:00:00"/>
    <d v="1997-10-23T00:00:00"/>
    <x v="1"/>
    <n v="4.9800000000000004"/>
    <s v="Franchi S.p.A."/>
    <s v="Via Monte Bianco 34"/>
    <s v="Torino"/>
    <s v="NULL"/>
    <n v="10100"/>
    <x v="11"/>
    <n v="28"/>
    <n v="3"/>
    <n v="25"/>
  </r>
  <r>
    <n v="10711"/>
    <x v="45"/>
    <x v="0"/>
    <x v="338"/>
    <d v="1997-12-02T00:00:00"/>
    <d v="1997-10-29T00:00:00"/>
    <x v="2"/>
    <n v="52.41"/>
    <s v="Save-a-lot Markets"/>
    <s v="187 Suffolk Ln."/>
    <s v="Boise"/>
    <s v="ID"/>
    <n v="83720"/>
    <x v="8"/>
    <n v="42"/>
    <n v="8"/>
    <n v="34"/>
  </r>
  <r>
    <n v="10712"/>
    <x v="34"/>
    <x v="3"/>
    <x v="338"/>
    <d v="1997-11-18T00:00:00"/>
    <d v="1997-10-31T00:00:00"/>
    <x v="1"/>
    <n v="89.93"/>
    <s v="Hungry Owl All-Night Grocers"/>
    <s v="8 Johnstown Road"/>
    <s v="Cork"/>
    <s v="Co. Cork"/>
    <s v="NULL"/>
    <x v="14"/>
    <n v="28"/>
    <n v="10"/>
    <n v="18"/>
  </r>
  <r>
    <n v="10713"/>
    <x v="45"/>
    <x v="5"/>
    <x v="339"/>
    <d v="1997-11-19T00:00:00"/>
    <d v="1997-10-24T00:00:00"/>
    <x v="1"/>
    <n v="167.05"/>
    <s v="Save-a-lot Markets"/>
    <s v="187 Suffolk Ln."/>
    <s v="Boise"/>
    <s v="ID"/>
    <n v="83720"/>
    <x v="8"/>
    <n v="28"/>
    <n v="2"/>
    <n v="26"/>
  </r>
  <r>
    <n v="10714"/>
    <x v="45"/>
    <x v="0"/>
    <x v="339"/>
    <d v="1997-11-19T00:00:00"/>
    <d v="1997-10-27T00:00:00"/>
    <x v="0"/>
    <n v="24.49"/>
    <s v="Save-a-lot Markets"/>
    <s v="187 Suffolk Ln."/>
    <s v="Boise"/>
    <s v="ID"/>
    <n v="83720"/>
    <x v="8"/>
    <n v="28"/>
    <n v="5"/>
    <n v="23"/>
  </r>
  <r>
    <n v="10715"/>
    <x v="48"/>
    <x v="3"/>
    <x v="340"/>
    <d v="1997-11-06T00:00:00"/>
    <d v="1997-10-29T00:00:00"/>
    <x v="1"/>
    <n v="63.2"/>
    <s v="Bon app'"/>
    <s v="12  rue des Bouchers"/>
    <s v="Marseille"/>
    <s v="NULL"/>
    <n v="13008"/>
    <x v="0"/>
    <n v="14"/>
    <n v="6"/>
    <n v="8"/>
  </r>
  <r>
    <n v="10716"/>
    <x v="73"/>
    <x v="2"/>
    <x v="341"/>
    <d v="1997-11-21T00:00:00"/>
    <d v="1997-10-27T00:00:00"/>
    <x v="2"/>
    <n v="22.57"/>
    <s v="Rancho grande"/>
    <s v="Av. del Libertador 900"/>
    <s v="Buenos Aires"/>
    <s v="NULL"/>
    <n v="1010"/>
    <x v="20"/>
    <n v="28"/>
    <n v="3"/>
    <n v="25"/>
  </r>
  <r>
    <n v="10717"/>
    <x v="17"/>
    <x v="5"/>
    <x v="341"/>
    <d v="1997-11-21T00:00:00"/>
    <d v="1997-10-29T00:00:00"/>
    <x v="2"/>
    <n v="59.25"/>
    <s v="Frankenversand"/>
    <s v="Berliner Platz 43"/>
    <s v="München"/>
    <s v="NULL"/>
    <n v="80805"/>
    <x v="1"/>
    <n v="28"/>
    <n v="5"/>
    <n v="23"/>
  </r>
  <r>
    <n v="10718"/>
    <x v="44"/>
    <x v="5"/>
    <x v="342"/>
    <d v="1997-11-24T00:00:00"/>
    <d v="1997-10-29T00:00:00"/>
    <x v="0"/>
    <n v="170.88"/>
    <s v="Königlich Essen"/>
    <s v="Maubelstr. 90"/>
    <s v="Brandenburg"/>
    <s v="NULL"/>
    <n v="14776"/>
    <x v="1"/>
    <n v="28"/>
    <n v="2"/>
    <n v="26"/>
  </r>
  <r>
    <n v="10719"/>
    <x v="82"/>
    <x v="6"/>
    <x v="342"/>
    <d v="1997-11-24T00:00:00"/>
    <d v="1997-11-05T00:00:00"/>
    <x v="2"/>
    <n v="51.44"/>
    <s v="Let's Stop N Shop"/>
    <s v="87 Polk St. Suite 5"/>
    <s v="San Francisco"/>
    <s v="CA"/>
    <n v="94117"/>
    <x v="8"/>
    <n v="28"/>
    <n v="9"/>
    <n v="19"/>
  </r>
  <r>
    <n v="10720"/>
    <x v="12"/>
    <x v="6"/>
    <x v="343"/>
    <d v="1997-11-11T00:00:00"/>
    <d v="1997-11-05T00:00:00"/>
    <x v="2"/>
    <n v="9.5299999999999994"/>
    <s v="Que Delícia"/>
    <s v="Rua da Panificadora 12"/>
    <s v="Rio de Janeiro"/>
    <s v="RJ"/>
    <s v="02389-673"/>
    <x v="2"/>
    <n v="14"/>
    <n v="8"/>
    <n v="6"/>
  </r>
  <r>
    <n v="10721"/>
    <x v="21"/>
    <x v="0"/>
    <x v="344"/>
    <d v="1997-11-26T00:00:00"/>
    <d v="1997-10-31T00:00:00"/>
    <x v="0"/>
    <n v="48.92"/>
    <s v="QUICK-Stop"/>
    <s v="Taucherstraße 10"/>
    <s v="Cunewalde"/>
    <s v="NULL"/>
    <n v="1307"/>
    <x v="1"/>
    <n v="28"/>
    <n v="2"/>
    <n v="26"/>
  </r>
  <r>
    <n v="10722"/>
    <x v="45"/>
    <x v="6"/>
    <x v="344"/>
    <d v="1997-12-10T00:00:00"/>
    <d v="1997-11-04T00:00:00"/>
    <x v="1"/>
    <n v="74.58"/>
    <s v="Save-a-lot Markets"/>
    <s v="187 Suffolk Ln."/>
    <s v="Boise"/>
    <s v="ID"/>
    <n v="83720"/>
    <x v="8"/>
    <n v="42"/>
    <n v="6"/>
    <n v="36"/>
  </r>
  <r>
    <n v="10723"/>
    <x v="19"/>
    <x v="3"/>
    <x v="345"/>
    <d v="1997-11-27T00:00:00"/>
    <d v="1997-11-25T00:00:00"/>
    <x v="1"/>
    <n v="21.72"/>
    <s v="White Clover Markets"/>
    <s v="1029 - 12th Ave. S."/>
    <s v="Seattle"/>
    <s v="WA"/>
    <n v="98124"/>
    <x v="8"/>
    <n v="28"/>
    <n v="26"/>
    <n v="2"/>
  </r>
  <r>
    <n v="10724"/>
    <x v="49"/>
    <x v="6"/>
    <x v="345"/>
    <d v="1997-12-11T00:00:00"/>
    <d v="1997-11-05T00:00:00"/>
    <x v="2"/>
    <n v="57.75"/>
    <s v="Mère Paillarde"/>
    <s v="43 rue St. Laurent"/>
    <s v="Montréal"/>
    <s v="Québec"/>
    <s v="H1J 1C3"/>
    <x v="16"/>
    <n v="42"/>
    <n v="6"/>
    <n v="36"/>
  </r>
  <r>
    <n v="10725"/>
    <x v="52"/>
    <x v="2"/>
    <x v="346"/>
    <d v="1997-11-28T00:00:00"/>
    <d v="1997-11-05T00:00:00"/>
    <x v="0"/>
    <n v="10.83"/>
    <s v="Familia Arquibaldo"/>
    <s v="Rua Orós 92"/>
    <s v="Sao Paulo"/>
    <s v="SP"/>
    <s v="05442-030"/>
    <x v="2"/>
    <n v="28"/>
    <n v="5"/>
    <n v="23"/>
  </r>
  <r>
    <n v="10726"/>
    <x v="58"/>
    <x v="2"/>
    <x v="347"/>
    <d v="1997-11-17T00:00:00"/>
    <d v="1997-12-05T00:00:00"/>
    <x v="1"/>
    <n v="16.559999999999999"/>
    <s v="Eastern Connection"/>
    <s v="35 King George"/>
    <s v="London"/>
    <s v="NULL"/>
    <s v="WX3 6FW"/>
    <x v="13"/>
    <n v="14"/>
    <n v="32"/>
    <n v="-18"/>
  </r>
  <r>
    <n v="10727"/>
    <x v="30"/>
    <x v="7"/>
    <x v="347"/>
    <d v="1997-12-01T00:00:00"/>
    <d v="1997-12-05T00:00:00"/>
    <x v="1"/>
    <n v="89.9"/>
    <s v="Reggiani Caseifici"/>
    <s v="Strada Provinciale 124"/>
    <s v="Reggio Emilia"/>
    <s v="NULL"/>
    <n v="42100"/>
    <x v="11"/>
    <n v="28"/>
    <n v="32"/>
    <n v="-4"/>
  </r>
  <r>
    <n v="10728"/>
    <x v="62"/>
    <x v="2"/>
    <x v="348"/>
    <d v="1997-12-02T00:00:00"/>
    <d v="1997-11-11T00:00:00"/>
    <x v="2"/>
    <n v="58.33"/>
    <s v="Queen Cozinha"/>
    <s v="Alameda dos Canàrios 891"/>
    <s v="Sao Paulo"/>
    <s v="SP"/>
    <s v="05487-020"/>
    <x v="2"/>
    <n v="28"/>
    <n v="7"/>
    <n v="21"/>
  </r>
  <r>
    <n v="10729"/>
    <x v="67"/>
    <x v="6"/>
    <x v="348"/>
    <d v="1997-12-16T00:00:00"/>
    <d v="1997-11-14T00:00:00"/>
    <x v="0"/>
    <n v="141.06"/>
    <s v="LINO-Delicateses"/>
    <s v="Ave. 5 de Mayo Porlamar"/>
    <s v="I. de Margarita"/>
    <s v="Nueva Esparta"/>
    <n v="4980"/>
    <x v="5"/>
    <n v="42"/>
    <n v="10"/>
    <n v="32"/>
  </r>
  <r>
    <n v="10730"/>
    <x v="48"/>
    <x v="0"/>
    <x v="349"/>
    <d v="1997-12-03T00:00:00"/>
    <d v="1997-11-14T00:00:00"/>
    <x v="1"/>
    <n v="20.12"/>
    <s v="Bon app'"/>
    <s v="12  rue des Bouchers"/>
    <s v="Marseille"/>
    <s v="NULL"/>
    <n v="13008"/>
    <x v="0"/>
    <n v="28"/>
    <n v="9"/>
    <n v="19"/>
  </r>
  <r>
    <n v="10731"/>
    <x v="5"/>
    <x v="8"/>
    <x v="350"/>
    <d v="1997-12-04T00:00:00"/>
    <d v="1997-11-14T00:00:00"/>
    <x v="1"/>
    <n v="96.65"/>
    <s v="Chop-suey Chinese"/>
    <s v="Hauptstr. 31"/>
    <s v="Bern"/>
    <s v="NULL"/>
    <n v="3012"/>
    <x v="4"/>
    <n v="28"/>
    <n v="8"/>
    <n v="20"/>
  </r>
  <r>
    <n v="10732"/>
    <x v="48"/>
    <x v="3"/>
    <x v="350"/>
    <d v="1997-12-04T00:00:00"/>
    <d v="1997-11-07T00:00:00"/>
    <x v="1"/>
    <n v="16.97"/>
    <s v="Bon app'"/>
    <s v="12  rue des Bouchers"/>
    <s v="Marseille"/>
    <s v="NULL"/>
    <n v="13008"/>
    <x v="0"/>
    <n v="28"/>
    <n v="1"/>
    <n v="27"/>
  </r>
  <r>
    <n v="10733"/>
    <x v="25"/>
    <x v="5"/>
    <x v="351"/>
    <d v="1997-12-05T00:00:00"/>
    <d v="1997-11-10T00:00:00"/>
    <x v="0"/>
    <n v="110.11"/>
    <s v="Berglunds snabbköp"/>
    <s v="Berguvsvägen  8"/>
    <s v="Luleå"/>
    <s v="NULL"/>
    <s v="S-958 22"/>
    <x v="9"/>
    <n v="28"/>
    <n v="3"/>
    <n v="25"/>
  </r>
  <r>
    <n v="10734"/>
    <x v="71"/>
    <x v="7"/>
    <x v="351"/>
    <d v="1997-12-05T00:00:00"/>
    <d v="1997-11-12T00:00:00"/>
    <x v="0"/>
    <n v="1.63"/>
    <s v="Gourmet Lanchonetes"/>
    <s v="Av. Brasil 442"/>
    <s v="Campinas"/>
    <s v="SP"/>
    <s v="04876-786"/>
    <x v="2"/>
    <n v="28"/>
    <n v="5"/>
    <n v="23"/>
  </r>
  <r>
    <n v="10735"/>
    <x v="82"/>
    <x v="1"/>
    <x v="352"/>
    <d v="1997-12-08T00:00:00"/>
    <d v="1997-11-21T00:00:00"/>
    <x v="2"/>
    <n v="45.97"/>
    <s v="Let's Stop N Shop"/>
    <s v="87 Polk St. Suite 5"/>
    <s v="San Francisco"/>
    <s v="CA"/>
    <n v="94117"/>
    <x v="8"/>
    <n v="28"/>
    <n v="11"/>
    <n v="17"/>
  </r>
  <r>
    <n v="10736"/>
    <x v="34"/>
    <x v="4"/>
    <x v="353"/>
    <d v="1997-12-09T00:00:00"/>
    <d v="1997-11-21T00:00:00"/>
    <x v="2"/>
    <n v="44.1"/>
    <s v="Hungry Owl All-Night Grocers"/>
    <s v="8 Johnstown Road"/>
    <s v="Cork"/>
    <s v="Co. Cork"/>
    <s v="NULL"/>
    <x v="14"/>
    <n v="28"/>
    <n v="10"/>
    <n v="18"/>
  </r>
  <r>
    <n v="10737"/>
    <x v="0"/>
    <x v="7"/>
    <x v="353"/>
    <d v="1997-12-09T00:00:00"/>
    <d v="1997-11-18T00:00:00"/>
    <x v="2"/>
    <n v="7.79"/>
    <s v="Vins et alcools Chevalier"/>
    <s v="59 rue de l'Abbaye"/>
    <s v="Reims"/>
    <s v="NULL"/>
    <n v="51100"/>
    <x v="0"/>
    <n v="28"/>
    <n v="7"/>
    <n v="21"/>
  </r>
  <r>
    <n v="10738"/>
    <x v="87"/>
    <x v="7"/>
    <x v="354"/>
    <d v="1997-12-10T00:00:00"/>
    <d v="1997-11-18T00:00:00"/>
    <x v="1"/>
    <n v="2.91"/>
    <s v="Spécialités du monde"/>
    <s v="25  rue Lauriston"/>
    <s v="Paris"/>
    <s v="NULL"/>
    <n v="75016"/>
    <x v="0"/>
    <n v="28"/>
    <n v="6"/>
    <n v="22"/>
  </r>
  <r>
    <n v="10739"/>
    <x v="0"/>
    <x v="3"/>
    <x v="354"/>
    <d v="1997-12-10T00:00:00"/>
    <d v="1997-11-17T00:00:00"/>
    <x v="0"/>
    <n v="11.08"/>
    <s v="Vins et alcools Chevalier"/>
    <s v="59 rue de l'Abbaye"/>
    <s v="Reims"/>
    <s v="NULL"/>
    <n v="51100"/>
    <x v="0"/>
    <n v="28"/>
    <n v="5"/>
    <n v="23"/>
  </r>
  <r>
    <n v="10740"/>
    <x v="19"/>
    <x v="2"/>
    <x v="355"/>
    <d v="1997-12-11T00:00:00"/>
    <d v="1997-11-25T00:00:00"/>
    <x v="2"/>
    <n v="81.88"/>
    <s v="White Clover Markets"/>
    <s v="1029 - 12th Ave. S."/>
    <s v="Seattle"/>
    <s v="WA"/>
    <n v="98124"/>
    <x v="8"/>
    <n v="28"/>
    <n v="12"/>
    <n v="16"/>
  </r>
  <r>
    <n v="10741"/>
    <x v="55"/>
    <x v="2"/>
    <x v="356"/>
    <d v="1997-11-28T00:00:00"/>
    <d v="1997-11-18T00:00:00"/>
    <x v="0"/>
    <n v="10.96"/>
    <s v="Around the Horn"/>
    <s v="Brook Farm Stratford St. Mary"/>
    <s v="Colchester"/>
    <s v="Essex"/>
    <s v="CO7 6JX"/>
    <x v="13"/>
    <n v="14"/>
    <n v="4"/>
    <n v="10"/>
  </r>
  <r>
    <n v="10742"/>
    <x v="66"/>
    <x v="3"/>
    <x v="356"/>
    <d v="1997-12-12T00:00:00"/>
    <d v="1997-11-18T00:00:00"/>
    <x v="0"/>
    <n v="243.73"/>
    <s v="Bottom-Dollar Markets"/>
    <s v="23 Tsawassen Blvd."/>
    <s v="Tsawassen"/>
    <s v="BC"/>
    <s v="T2F 8M4"/>
    <x v="16"/>
    <n v="28"/>
    <n v="4"/>
    <n v="24"/>
  </r>
  <r>
    <n v="10743"/>
    <x v="55"/>
    <x v="5"/>
    <x v="357"/>
    <d v="1997-12-15T00:00:00"/>
    <d v="1997-11-21T00:00:00"/>
    <x v="2"/>
    <n v="23.72"/>
    <s v="Around the Horn"/>
    <s v="Brook Farm Stratford St. Mary"/>
    <s v="Colchester"/>
    <s v="Essex"/>
    <s v="CO7 6JX"/>
    <x v="13"/>
    <n v="28"/>
    <n v="4"/>
    <n v="24"/>
  </r>
  <r>
    <n v="10744"/>
    <x v="61"/>
    <x v="1"/>
    <x v="357"/>
    <d v="1997-12-15T00:00:00"/>
    <d v="1997-11-24T00:00:00"/>
    <x v="1"/>
    <n v="69.19"/>
    <s v="Vaffeljernet"/>
    <s v="Smagsloget 45"/>
    <s v="Århus"/>
    <s v="NULL"/>
    <n v="8200"/>
    <x v="17"/>
    <n v="28"/>
    <n v="7"/>
    <n v="21"/>
  </r>
  <r>
    <n v="10745"/>
    <x v="21"/>
    <x v="4"/>
    <x v="358"/>
    <d v="1997-12-16T00:00:00"/>
    <d v="1997-11-27T00:00:00"/>
    <x v="1"/>
    <n v="3.52"/>
    <s v="QUICK-Stop"/>
    <s v="Taucherstraße 10"/>
    <s v="Cunewalde"/>
    <s v="NULL"/>
    <n v="1307"/>
    <x v="1"/>
    <n v="28"/>
    <n v="9"/>
    <n v="19"/>
  </r>
  <r>
    <n v="10746"/>
    <x v="5"/>
    <x v="5"/>
    <x v="359"/>
    <d v="1997-12-17T00:00:00"/>
    <d v="1997-11-21T00:00:00"/>
    <x v="0"/>
    <n v="31.43"/>
    <s v="Chop-suey Chinese"/>
    <s v="Hauptstr. 31"/>
    <s v="Bern"/>
    <s v="NULL"/>
    <n v="3012"/>
    <x v="4"/>
    <n v="28"/>
    <n v="2"/>
    <n v="26"/>
  </r>
  <r>
    <n v="10747"/>
    <x v="54"/>
    <x v="1"/>
    <x v="359"/>
    <d v="1997-12-17T00:00:00"/>
    <d v="1997-11-26T00:00:00"/>
    <x v="1"/>
    <n v="117.33"/>
    <s v="Piccolo und mehr"/>
    <s v="Geislweg 14"/>
    <s v="Salzburg"/>
    <s v="NULL"/>
    <n v="5020"/>
    <x v="6"/>
    <n v="28"/>
    <n v="7"/>
    <n v="21"/>
  </r>
  <r>
    <n v="10748"/>
    <x v="45"/>
    <x v="3"/>
    <x v="360"/>
    <d v="1997-12-18T00:00:00"/>
    <d v="1997-11-28T00:00:00"/>
    <x v="1"/>
    <n v="232.55"/>
    <s v="Save-a-lot Markets"/>
    <s v="187 Suffolk Ln."/>
    <s v="Boise"/>
    <s v="ID"/>
    <n v="83720"/>
    <x v="8"/>
    <n v="28"/>
    <n v="8"/>
    <n v="20"/>
  </r>
  <r>
    <n v="10749"/>
    <x v="42"/>
    <x v="2"/>
    <x v="360"/>
    <d v="1997-12-18T00:00:00"/>
    <d v="1997-12-19T00:00:00"/>
    <x v="2"/>
    <n v="61.53"/>
    <s v="Island Trading"/>
    <s v="Garden House Crowther Way"/>
    <s v="Cowes"/>
    <s v="Isle of Wight"/>
    <s v="PO31 7PJ"/>
    <x v="13"/>
    <n v="28"/>
    <n v="29"/>
    <n v="-1"/>
  </r>
  <r>
    <n v="10750"/>
    <x v="16"/>
    <x v="4"/>
    <x v="361"/>
    <d v="1997-12-19T00:00:00"/>
    <d v="1997-11-24T00:00:00"/>
    <x v="1"/>
    <n v="79.3"/>
    <s v="Wartian Herkku"/>
    <s v="Torikatu 38"/>
    <s v="Oulu"/>
    <s v="NULL"/>
    <n v="90110"/>
    <x v="10"/>
    <n v="28"/>
    <n v="3"/>
    <n v="25"/>
  </r>
  <r>
    <n v="10751"/>
    <x v="6"/>
    <x v="3"/>
    <x v="362"/>
    <d v="1997-12-22T00:00:00"/>
    <d v="1997-12-03T00:00:00"/>
    <x v="0"/>
    <n v="130.79"/>
    <s v="Richter Supermarkt"/>
    <s v="Starenweg 5"/>
    <s v="Genève"/>
    <s v="NULL"/>
    <n v="1204"/>
    <x v="4"/>
    <n v="28"/>
    <n v="9"/>
    <n v="19"/>
  </r>
  <r>
    <n v="10752"/>
    <x v="77"/>
    <x v="7"/>
    <x v="362"/>
    <d v="1997-12-22T00:00:00"/>
    <d v="1997-11-28T00:00:00"/>
    <x v="0"/>
    <n v="1.39"/>
    <s v="North/South"/>
    <s v="South House 300 Queensbridge"/>
    <s v="London"/>
    <s v="NULL"/>
    <s v="SW7 1RZ"/>
    <x v="13"/>
    <n v="28"/>
    <n v="4"/>
    <n v="24"/>
  </r>
  <r>
    <n v="10753"/>
    <x v="70"/>
    <x v="3"/>
    <x v="363"/>
    <d v="1997-12-23T00:00:00"/>
    <d v="1997-11-27T00:00:00"/>
    <x v="1"/>
    <n v="7.7"/>
    <s v="Franchi S.p.A."/>
    <s v="Via Monte Bianco 34"/>
    <s v="Torino"/>
    <s v="NULL"/>
    <n v="10100"/>
    <x v="11"/>
    <n v="28"/>
    <n v="2"/>
    <n v="26"/>
  </r>
  <r>
    <n v="10754"/>
    <x v="22"/>
    <x v="1"/>
    <x v="363"/>
    <d v="1997-12-23T00:00:00"/>
    <d v="1997-11-27T00:00:00"/>
    <x v="0"/>
    <n v="2.38"/>
    <s v="Magazzini Alimentari Riuniti"/>
    <s v="Via Ludovico il Moro 22"/>
    <s v="Bergamo"/>
    <s v="NULL"/>
    <n v="24100"/>
    <x v="11"/>
    <n v="28"/>
    <n v="2"/>
    <n v="26"/>
  </r>
  <r>
    <n v="10755"/>
    <x v="48"/>
    <x v="2"/>
    <x v="364"/>
    <d v="1997-12-24T00:00:00"/>
    <d v="1997-11-28T00:00:00"/>
    <x v="2"/>
    <n v="16.71"/>
    <s v="Bon app'"/>
    <s v="12  rue des Bouchers"/>
    <s v="Marseille"/>
    <s v="NULL"/>
    <n v="13008"/>
    <x v="0"/>
    <n v="28"/>
    <n v="2"/>
    <n v="26"/>
  </r>
  <r>
    <n v="10756"/>
    <x v="20"/>
    <x v="6"/>
    <x v="365"/>
    <d v="1997-12-25T00:00:00"/>
    <d v="1997-12-02T00:00:00"/>
    <x v="2"/>
    <n v="73.209999999999994"/>
    <s v="Split Rail Beer &amp; Ale"/>
    <s v="P.O. Box 555"/>
    <s v="Lander"/>
    <s v="WY"/>
    <n v="82520"/>
    <x v="8"/>
    <n v="28"/>
    <n v="5"/>
    <n v="23"/>
  </r>
  <r>
    <n v="10757"/>
    <x v="45"/>
    <x v="1"/>
    <x v="365"/>
    <d v="1997-12-25T00:00:00"/>
    <d v="1997-12-15T00:00:00"/>
    <x v="1"/>
    <n v="8.19"/>
    <s v="Save-a-lot Markets"/>
    <s v="187 Suffolk Ln."/>
    <s v="Boise"/>
    <s v="ID"/>
    <n v="83720"/>
    <x v="8"/>
    <n v="28"/>
    <n v="18"/>
    <n v="10"/>
  </r>
  <r>
    <n v="10758"/>
    <x v="6"/>
    <x v="3"/>
    <x v="366"/>
    <d v="1997-12-26T00:00:00"/>
    <d v="1997-12-04T00:00:00"/>
    <x v="0"/>
    <n v="138.16999999999999"/>
    <s v="Richter Supermarkt"/>
    <s v="Starenweg 5"/>
    <s v="Genève"/>
    <s v="NULL"/>
    <n v="1204"/>
    <x v="4"/>
    <n v="28"/>
    <n v="6"/>
    <n v="22"/>
  </r>
  <r>
    <n v="10759"/>
    <x v="39"/>
    <x v="3"/>
    <x v="366"/>
    <d v="1997-12-26T00:00:00"/>
    <d v="1997-12-12T00:00:00"/>
    <x v="0"/>
    <n v="11.99"/>
    <s v="Ana Trujillo Emparedados y helados"/>
    <s v="Avda. de la Constitución 2222"/>
    <s v="México D.F."/>
    <s v="NULL"/>
    <n v="5021"/>
    <x v="7"/>
    <n v="28"/>
    <n v="14"/>
    <n v="14"/>
  </r>
  <r>
    <n v="10760"/>
    <x v="80"/>
    <x v="2"/>
    <x v="367"/>
    <d v="1997-12-29T00:00:00"/>
    <d v="1997-12-10T00:00:00"/>
    <x v="1"/>
    <n v="155.63999999999999"/>
    <s v="Maison Dewey"/>
    <s v="Rue Joseph-Bens 532"/>
    <s v="Bruxelles"/>
    <s v="NULL"/>
    <s v="B-1180"/>
    <x v="3"/>
    <n v="28"/>
    <n v="9"/>
    <n v="19"/>
  </r>
  <r>
    <n v="10761"/>
    <x v="13"/>
    <x v="0"/>
    <x v="368"/>
    <d v="1997-12-30T00:00:00"/>
    <d v="1997-12-08T00:00:00"/>
    <x v="2"/>
    <n v="18.66"/>
    <s v="Rattlesnake Canyon Grocery"/>
    <s v="2817 Milton Dr."/>
    <s v="Albuquerque"/>
    <s v="NM"/>
    <n v="87110"/>
    <x v="8"/>
    <n v="28"/>
    <n v="6"/>
    <n v="22"/>
  </r>
  <r>
    <n v="10762"/>
    <x v="14"/>
    <x v="3"/>
    <x v="368"/>
    <d v="1997-12-30T00:00:00"/>
    <d v="1997-12-09T00:00:00"/>
    <x v="1"/>
    <n v="328.74"/>
    <s v="Folk och fä HB"/>
    <s v="Åkergatan 24"/>
    <s v="Bräcke"/>
    <s v="NULL"/>
    <s v="S-844 67"/>
    <x v="9"/>
    <n v="28"/>
    <n v="7"/>
    <n v="21"/>
  </r>
  <r>
    <n v="10763"/>
    <x v="68"/>
    <x v="3"/>
    <x v="369"/>
    <d v="1997-12-31T00:00:00"/>
    <d v="1997-12-08T00:00:00"/>
    <x v="0"/>
    <n v="37.35"/>
    <s v="Folies gourmandes"/>
    <s v="184  chaussée de Tournai"/>
    <s v="Lille"/>
    <s v="NULL"/>
    <n v="59000"/>
    <x v="0"/>
    <n v="28"/>
    <n v="5"/>
    <n v="23"/>
  </r>
  <r>
    <n v="10764"/>
    <x v="9"/>
    <x v="1"/>
    <x v="369"/>
    <d v="1997-12-31T00:00:00"/>
    <d v="1997-12-08T00:00:00"/>
    <x v="0"/>
    <n v="145.44999999999999"/>
    <s v="Ernst Handel"/>
    <s v="Kirchgasse 6"/>
    <s v="Graz"/>
    <s v="NULL"/>
    <n v="8010"/>
    <x v="6"/>
    <n v="28"/>
    <n v="5"/>
    <n v="23"/>
  </r>
  <r>
    <n v="10765"/>
    <x v="21"/>
    <x v="3"/>
    <x v="370"/>
    <d v="1998-01-01T00:00:00"/>
    <d v="1997-12-09T00:00:00"/>
    <x v="0"/>
    <n v="42.74"/>
    <s v="QUICK-Stop"/>
    <s v="Taucherstraße 10"/>
    <s v="Cunewalde"/>
    <s v="NULL"/>
    <n v="1307"/>
    <x v="1"/>
    <n v="28"/>
    <n v="5"/>
    <n v="23"/>
  </r>
  <r>
    <n v="10766"/>
    <x v="11"/>
    <x v="2"/>
    <x v="371"/>
    <d v="1998-01-02T00:00:00"/>
    <d v="1997-12-09T00:00:00"/>
    <x v="1"/>
    <n v="157.55000000000001"/>
    <s v="Ottilies Käseladen"/>
    <s v="Mehrheimerstr. 369"/>
    <s v="Köln"/>
    <s v="NULL"/>
    <n v="50739"/>
    <x v="1"/>
    <n v="28"/>
    <n v="4"/>
    <n v="24"/>
  </r>
  <r>
    <n v="10767"/>
    <x v="4"/>
    <x v="2"/>
    <x v="371"/>
    <d v="1998-01-02T00:00:00"/>
    <d v="1997-12-15T00:00:00"/>
    <x v="0"/>
    <n v="1.59"/>
    <s v="Suprêmes délices"/>
    <s v="Boulevard Tirou 255"/>
    <s v="Charleroi"/>
    <s v="NULL"/>
    <s v="B-6000"/>
    <x v="3"/>
    <n v="28"/>
    <n v="10"/>
    <n v="18"/>
  </r>
  <r>
    <n v="10768"/>
    <x v="55"/>
    <x v="3"/>
    <x v="372"/>
    <d v="1998-01-05T00:00:00"/>
    <d v="1997-12-15T00:00:00"/>
    <x v="2"/>
    <n v="146.32"/>
    <s v="Around the Horn"/>
    <s v="Brook Farm Stratford St. Mary"/>
    <s v="Colchester"/>
    <s v="Essex"/>
    <s v="CO7 6JX"/>
    <x v="13"/>
    <n v="28"/>
    <n v="7"/>
    <n v="21"/>
  </r>
  <r>
    <n v="10769"/>
    <x v="61"/>
    <x v="3"/>
    <x v="372"/>
    <d v="1998-01-05T00:00:00"/>
    <d v="1997-12-12T00:00:00"/>
    <x v="1"/>
    <n v="65.06"/>
    <s v="Vaffeljernet"/>
    <s v="Smagsloget 45"/>
    <s v="Århus"/>
    <s v="NULL"/>
    <n v="8200"/>
    <x v="17"/>
    <n v="28"/>
    <n v="4"/>
    <n v="24"/>
  </r>
  <r>
    <n v="10770"/>
    <x v="2"/>
    <x v="6"/>
    <x v="373"/>
    <d v="1998-01-06T00:00:00"/>
    <d v="1997-12-17T00:00:00"/>
    <x v="0"/>
    <n v="5.32"/>
    <s v="Hanari Carnes"/>
    <s v="Rua do Paço 67"/>
    <s v="Rio de Janeiro"/>
    <s v="RJ"/>
    <s v="05454-876"/>
    <x v="2"/>
    <n v="28"/>
    <n v="8"/>
    <n v="20"/>
  </r>
  <r>
    <n v="10771"/>
    <x v="9"/>
    <x v="4"/>
    <x v="374"/>
    <d v="1998-01-07T00:00:00"/>
    <d v="1998-01-02T00:00:00"/>
    <x v="2"/>
    <n v="11.19"/>
    <s v="Ernst Handel"/>
    <s v="Kirchgasse 6"/>
    <s v="Graz"/>
    <s v="NULL"/>
    <n v="8010"/>
    <x v="6"/>
    <n v="28"/>
    <n v="23"/>
    <n v="5"/>
  </r>
  <r>
    <n v="10772"/>
    <x v="26"/>
    <x v="3"/>
    <x v="374"/>
    <d v="1998-01-07T00:00:00"/>
    <d v="1997-12-19T00:00:00"/>
    <x v="2"/>
    <n v="91.28"/>
    <s v="Lehmanns Marktstand"/>
    <s v="Magazinweg 7"/>
    <s v="Frankfurt a.M."/>
    <s v="NULL"/>
    <n v="60528"/>
    <x v="1"/>
    <n v="28"/>
    <n v="9"/>
    <n v="19"/>
  </r>
  <r>
    <n v="10773"/>
    <x v="9"/>
    <x v="5"/>
    <x v="375"/>
    <d v="1998-01-08T00:00:00"/>
    <d v="1997-12-16T00:00:00"/>
    <x v="0"/>
    <n v="96.43"/>
    <s v="Ernst Handel"/>
    <s v="Kirchgasse 6"/>
    <s v="Graz"/>
    <s v="NULL"/>
    <n v="8010"/>
    <x v="6"/>
    <n v="28"/>
    <n v="5"/>
    <n v="23"/>
  </r>
  <r>
    <n v="10774"/>
    <x v="14"/>
    <x v="2"/>
    <x v="375"/>
    <d v="1997-12-25T00:00:00"/>
    <d v="1997-12-12T00:00:00"/>
    <x v="1"/>
    <n v="48.2"/>
    <s v="Folk och fä HB"/>
    <s v="Åkergatan 24"/>
    <s v="Bräcke"/>
    <s v="NULL"/>
    <s v="S-844 67"/>
    <x v="9"/>
    <n v="14"/>
    <n v="1"/>
    <n v="13"/>
  </r>
  <r>
    <n v="10775"/>
    <x v="84"/>
    <x v="8"/>
    <x v="376"/>
    <d v="1998-01-09T00:00:00"/>
    <d v="1997-12-26T00:00:00"/>
    <x v="1"/>
    <n v="20.25"/>
    <s v="The Cracker Box"/>
    <s v="55 Grizzly Peak Rd."/>
    <s v="Butte"/>
    <s v="MT"/>
    <n v="59801"/>
    <x v="8"/>
    <n v="28"/>
    <n v="14"/>
    <n v="14"/>
  </r>
  <r>
    <n v="10776"/>
    <x v="9"/>
    <x v="5"/>
    <x v="377"/>
    <d v="1998-01-12T00:00:00"/>
    <d v="1997-12-18T00:00:00"/>
    <x v="0"/>
    <n v="351.53"/>
    <s v="Ernst Handel"/>
    <s v="Kirchgasse 6"/>
    <s v="Graz"/>
    <s v="NULL"/>
    <n v="8010"/>
    <x v="6"/>
    <n v="28"/>
    <n v="3"/>
    <n v="25"/>
  </r>
  <r>
    <n v="10777"/>
    <x v="71"/>
    <x v="8"/>
    <x v="377"/>
    <d v="1997-12-29T00:00:00"/>
    <d v="1998-01-21T00:00:00"/>
    <x v="2"/>
    <n v="3.01"/>
    <s v="Gourmet Lanchonetes"/>
    <s v="Av. Brasil 442"/>
    <s v="Campinas"/>
    <s v="SP"/>
    <s v="04876-786"/>
    <x v="2"/>
    <n v="14"/>
    <n v="37"/>
    <n v="-23"/>
  </r>
  <r>
    <n v="10778"/>
    <x v="25"/>
    <x v="3"/>
    <x v="378"/>
    <d v="1998-01-13T00:00:00"/>
    <d v="1997-12-24T00:00:00"/>
    <x v="1"/>
    <n v="6.79"/>
    <s v="Berglunds snabbköp"/>
    <s v="Berguvsvägen  8"/>
    <s v="Luleå"/>
    <s v="NULL"/>
    <s v="S-958 22"/>
    <x v="9"/>
    <n v="28"/>
    <n v="8"/>
    <n v="20"/>
  </r>
  <r>
    <n v="10779"/>
    <x v="24"/>
    <x v="3"/>
    <x v="378"/>
    <d v="1998-01-13T00:00:00"/>
    <d v="1998-01-14T00:00:00"/>
    <x v="2"/>
    <n v="58.13"/>
    <s v="Morgenstern Gesundkost"/>
    <s v="Heerstr. 22"/>
    <s v="Leipzig"/>
    <s v="NULL"/>
    <n v="4179"/>
    <x v="1"/>
    <n v="28"/>
    <n v="29"/>
    <n v="-1"/>
  </r>
  <r>
    <n v="10780"/>
    <x v="28"/>
    <x v="7"/>
    <x v="378"/>
    <d v="1997-12-30T00:00:00"/>
    <d v="1997-12-25T00:00:00"/>
    <x v="1"/>
    <n v="42.13"/>
    <s v="LILA-Supermercado"/>
    <s v="Carrera 52 con Ave. Bolívar #65-98 Llano Largo"/>
    <s v="Barquisimeto"/>
    <s v="Lara"/>
    <n v="3508"/>
    <x v="5"/>
    <n v="14"/>
    <n v="9"/>
    <n v="5"/>
  </r>
  <r>
    <n v="10781"/>
    <x v="16"/>
    <x v="7"/>
    <x v="379"/>
    <d v="1998-01-14T00:00:00"/>
    <d v="1997-12-19T00:00:00"/>
    <x v="0"/>
    <n v="73.16"/>
    <s v="Wartian Herkku"/>
    <s v="Torikatu 38"/>
    <s v="Oulu"/>
    <s v="NULL"/>
    <n v="90110"/>
    <x v="10"/>
    <n v="28"/>
    <n v="2"/>
    <n v="26"/>
  </r>
  <r>
    <n v="10782"/>
    <x v="78"/>
    <x v="4"/>
    <x v="379"/>
    <d v="1998-01-14T00:00:00"/>
    <d v="1997-12-22T00:00:00"/>
    <x v="0"/>
    <n v="1.1000000000000001"/>
    <s v="Cactus Comidas para llevar"/>
    <s v="Cerrito 333"/>
    <s v="Buenos Aires"/>
    <s v="NULL"/>
    <n v="1010"/>
    <x v="20"/>
    <n v="28"/>
    <n v="5"/>
    <n v="23"/>
  </r>
  <r>
    <n v="10783"/>
    <x v="2"/>
    <x v="2"/>
    <x v="380"/>
    <d v="1998-01-15T00:00:00"/>
    <d v="1997-12-19T00:00:00"/>
    <x v="2"/>
    <n v="124.98"/>
    <s v="Hanari Carnes"/>
    <s v="Rua do Paço 67"/>
    <s v="Rio de Janeiro"/>
    <s v="RJ"/>
    <s v="05454-876"/>
    <x v="2"/>
    <n v="28"/>
    <n v="1"/>
    <n v="27"/>
  </r>
  <r>
    <n v="10784"/>
    <x v="22"/>
    <x v="2"/>
    <x v="380"/>
    <d v="1998-01-15T00:00:00"/>
    <d v="1997-12-22T00:00:00"/>
    <x v="0"/>
    <n v="70.09"/>
    <s v="Magazzini Alimentari Riuniti"/>
    <s v="Via Ludovico il Moro 22"/>
    <s v="Bergamo"/>
    <s v="NULL"/>
    <n v="24100"/>
    <x v="11"/>
    <n v="28"/>
    <n v="4"/>
    <n v="24"/>
  </r>
  <r>
    <n v="10785"/>
    <x v="18"/>
    <x v="5"/>
    <x v="380"/>
    <d v="1998-01-15T00:00:00"/>
    <d v="1997-12-24T00:00:00"/>
    <x v="0"/>
    <n v="1.51"/>
    <s v="GROSELLA-Restaurante"/>
    <s v="5ª Ave. Los Palos Grandes"/>
    <s v="Caracas"/>
    <s v="DF"/>
    <n v="1081"/>
    <x v="5"/>
    <n v="28"/>
    <n v="6"/>
    <n v="22"/>
  </r>
  <r>
    <n v="10786"/>
    <x v="62"/>
    <x v="6"/>
    <x v="381"/>
    <d v="1998-01-16T00:00:00"/>
    <d v="1997-12-23T00:00:00"/>
    <x v="1"/>
    <n v="110.87"/>
    <s v="Queen Cozinha"/>
    <s v="Alameda dos Canàrios 891"/>
    <s v="Sao Paulo"/>
    <s v="SP"/>
    <s v="05487-020"/>
    <x v="2"/>
    <n v="28"/>
    <n v="4"/>
    <n v="24"/>
  </r>
  <r>
    <n v="10787"/>
    <x v="53"/>
    <x v="7"/>
    <x v="381"/>
    <d v="1998-01-02T00:00:00"/>
    <d v="1997-12-26T00:00:00"/>
    <x v="1"/>
    <n v="249.93"/>
    <s v="La maison d'Asie"/>
    <s v="1 rue Alsace-Lorraine"/>
    <s v="Toulouse"/>
    <s v="NULL"/>
    <n v="31000"/>
    <x v="0"/>
    <n v="14"/>
    <n v="7"/>
    <n v="7"/>
  </r>
  <r>
    <n v="10788"/>
    <x v="21"/>
    <x v="5"/>
    <x v="382"/>
    <d v="1998-01-19T00:00:00"/>
    <d v="1998-01-19T00:00:00"/>
    <x v="2"/>
    <n v="42.7"/>
    <s v="QUICK-Stop"/>
    <s v="Taucherstraße 10"/>
    <s v="Cunewalde"/>
    <s v="NULL"/>
    <n v="1307"/>
    <x v="1"/>
    <n v="28"/>
    <n v="28"/>
    <n v="0"/>
  </r>
  <r>
    <n v="10789"/>
    <x v="68"/>
    <x v="5"/>
    <x v="382"/>
    <d v="1998-01-19T00:00:00"/>
    <d v="1997-12-31T00:00:00"/>
    <x v="2"/>
    <n v="100.6"/>
    <s v="Folies gourmandes"/>
    <s v="184  chaussée de Tournai"/>
    <s v="Lille"/>
    <s v="NULL"/>
    <n v="59000"/>
    <x v="0"/>
    <n v="28"/>
    <n v="9"/>
    <n v="19"/>
  </r>
  <r>
    <n v="10790"/>
    <x v="71"/>
    <x v="1"/>
    <x v="382"/>
    <d v="1998-01-19T00:00:00"/>
    <d v="1997-12-26T00:00:00"/>
    <x v="1"/>
    <n v="28.23"/>
    <s v="Gourmet Lanchonetes"/>
    <s v="Av. Brasil 442"/>
    <s v="Campinas"/>
    <s v="SP"/>
    <s v="04876-786"/>
    <x v="2"/>
    <n v="28"/>
    <n v="4"/>
    <n v="24"/>
  </r>
  <r>
    <n v="10791"/>
    <x v="17"/>
    <x v="1"/>
    <x v="383"/>
    <d v="1998-01-20T00:00:00"/>
    <d v="1998-01-01T00:00:00"/>
    <x v="2"/>
    <n v="16.850000000000001"/>
    <s v="Frankenversand"/>
    <s v="Berliner Platz 43"/>
    <s v="München"/>
    <s v="NULL"/>
    <n v="80805"/>
    <x v="1"/>
    <n v="28"/>
    <n v="9"/>
    <n v="19"/>
  </r>
  <r>
    <n v="10792"/>
    <x v="63"/>
    <x v="5"/>
    <x v="383"/>
    <d v="1998-01-20T00:00:00"/>
    <d v="1997-12-31T00:00:00"/>
    <x v="0"/>
    <n v="23.79"/>
    <s v="Wolski Zajazd"/>
    <s v="ul. Filtrowa 68"/>
    <s v="Warszawa"/>
    <s v="NULL"/>
    <s v="01-012"/>
    <x v="18"/>
    <n v="28"/>
    <n v="8"/>
    <n v="20"/>
  </r>
  <r>
    <n v="10793"/>
    <x v="55"/>
    <x v="3"/>
    <x v="384"/>
    <d v="1998-01-21T00:00:00"/>
    <d v="1998-01-08T00:00:00"/>
    <x v="0"/>
    <n v="4.5199999999999996"/>
    <s v="Around the Horn"/>
    <s v="Brook Farm Stratford St. Mary"/>
    <s v="Colchester"/>
    <s v="Essex"/>
    <s v="CO7 6JX"/>
    <x v="13"/>
    <n v="28"/>
    <n v="15"/>
    <n v="13"/>
  </r>
  <r>
    <n v="10794"/>
    <x v="12"/>
    <x v="1"/>
    <x v="384"/>
    <d v="1998-01-21T00:00:00"/>
    <d v="1998-01-02T00:00:00"/>
    <x v="1"/>
    <n v="21.49"/>
    <s v="Que Delícia"/>
    <s v="Rua da Panificadora 12"/>
    <s v="Rio de Janeiro"/>
    <s v="RJ"/>
    <s v="02389-673"/>
    <x v="2"/>
    <n v="28"/>
    <n v="9"/>
    <n v="19"/>
  </r>
  <r>
    <n v="10795"/>
    <x v="9"/>
    <x v="6"/>
    <x v="384"/>
    <d v="1998-01-21T00:00:00"/>
    <d v="1998-01-20T00:00:00"/>
    <x v="2"/>
    <n v="126.66"/>
    <s v="Ernst Handel"/>
    <s v="Kirchgasse 6"/>
    <s v="Graz"/>
    <s v="NULL"/>
    <n v="8010"/>
    <x v="6"/>
    <n v="28"/>
    <n v="27"/>
    <n v="1"/>
  </r>
  <r>
    <n v="10796"/>
    <x v="8"/>
    <x v="3"/>
    <x v="385"/>
    <d v="1998-01-22T00:00:00"/>
    <d v="1998-01-14T00:00:00"/>
    <x v="1"/>
    <n v="26.52"/>
    <s v="HILARION-Abastos"/>
    <s v="Carrera 22 con Ave. Carlos Soublette #8-35"/>
    <s v="San Cristóbal"/>
    <s v="Táchira"/>
    <n v="5022"/>
    <x v="5"/>
    <n v="28"/>
    <n v="20"/>
    <n v="8"/>
  </r>
  <r>
    <n v="10797"/>
    <x v="57"/>
    <x v="8"/>
    <x v="385"/>
    <d v="1998-01-22T00:00:00"/>
    <d v="1998-01-05T00:00:00"/>
    <x v="2"/>
    <n v="33.35"/>
    <s v="Drachenblut Delikatessen"/>
    <s v="Walserweg 21"/>
    <s v="Aachen"/>
    <s v="NULL"/>
    <n v="52066"/>
    <x v="1"/>
    <n v="28"/>
    <n v="11"/>
    <n v="17"/>
  </r>
  <r>
    <n v="10798"/>
    <x v="42"/>
    <x v="7"/>
    <x v="386"/>
    <d v="1998-01-23T00:00:00"/>
    <d v="1998-01-05T00:00:00"/>
    <x v="1"/>
    <n v="2.33"/>
    <s v="Island Trading"/>
    <s v="Garden House Crowther Way"/>
    <s v="Cowes"/>
    <s v="Isle of Wight"/>
    <s v="PO31 7PJ"/>
    <x v="13"/>
    <n v="28"/>
    <n v="10"/>
    <n v="18"/>
  </r>
  <r>
    <n v="10799"/>
    <x v="44"/>
    <x v="4"/>
    <x v="386"/>
    <d v="1998-02-06T00:00:00"/>
    <d v="1998-01-05T00:00:00"/>
    <x v="0"/>
    <n v="30.76"/>
    <s v="Königlich Essen"/>
    <s v="Maubelstr. 90"/>
    <s v="Brandenburg"/>
    <s v="NULL"/>
    <n v="14776"/>
    <x v="1"/>
    <n v="42"/>
    <n v="10"/>
    <n v="32"/>
  </r>
  <r>
    <n v="10800"/>
    <x v="56"/>
    <x v="5"/>
    <x v="386"/>
    <d v="1998-01-23T00:00:00"/>
    <d v="1998-01-05T00:00:00"/>
    <x v="0"/>
    <n v="137.44"/>
    <s v="Seven Seas Imports"/>
    <s v="90 Wadhurst Rd."/>
    <s v="London"/>
    <s v="NULL"/>
    <s v="OX15 4NB"/>
    <x v="13"/>
    <n v="28"/>
    <n v="10"/>
    <n v="18"/>
  </r>
  <r>
    <n v="10801"/>
    <x v="46"/>
    <x v="2"/>
    <x v="387"/>
    <d v="1998-01-26T00:00:00"/>
    <d v="1997-12-31T00:00:00"/>
    <x v="2"/>
    <n v="97.09"/>
    <s v="Bólido Comidas preparadas"/>
    <s v="C/ Araquil 67"/>
    <s v="Madrid"/>
    <s v="NULL"/>
    <n v="28023"/>
    <x v="12"/>
    <n v="28"/>
    <n v="2"/>
    <n v="26"/>
  </r>
  <r>
    <n v="10802"/>
    <x v="51"/>
    <x v="2"/>
    <x v="387"/>
    <d v="1998-01-26T00:00:00"/>
    <d v="1998-01-02T00:00:00"/>
    <x v="2"/>
    <n v="257.26"/>
    <s v="Simons bistro"/>
    <s v="Vinbæltet 34"/>
    <s v="Kobenhavn"/>
    <s v="NULL"/>
    <n v="1734"/>
    <x v="17"/>
    <n v="28"/>
    <n v="4"/>
    <n v="24"/>
  </r>
  <r>
    <n v="10803"/>
    <x v="7"/>
    <x v="2"/>
    <x v="388"/>
    <d v="1998-01-27T00:00:00"/>
    <d v="1998-01-06T00:00:00"/>
    <x v="1"/>
    <n v="55.23"/>
    <s v="Wellington Importadora"/>
    <s v="Rua do Mercado 12"/>
    <s v="Resende"/>
    <s v="SP"/>
    <s v="08737-363"/>
    <x v="2"/>
    <n v="28"/>
    <n v="7"/>
    <n v="21"/>
  </r>
  <r>
    <n v="10804"/>
    <x v="56"/>
    <x v="1"/>
    <x v="388"/>
    <d v="1998-01-27T00:00:00"/>
    <d v="1998-01-07T00:00:00"/>
    <x v="2"/>
    <n v="27.33"/>
    <s v="Seven Seas Imports"/>
    <s v="90 Wadhurst Rd."/>
    <s v="London"/>
    <s v="NULL"/>
    <s v="OX15 4NB"/>
    <x v="13"/>
    <n v="28"/>
    <n v="8"/>
    <n v="20"/>
  </r>
  <r>
    <n v="10805"/>
    <x v="40"/>
    <x v="7"/>
    <x v="388"/>
    <d v="1998-01-27T00:00:00"/>
    <d v="1998-01-09T00:00:00"/>
    <x v="0"/>
    <n v="237.34"/>
    <s v="The Big Cheese"/>
    <s v="89 Jefferson Way Suite 2"/>
    <s v="Portland"/>
    <s v="OR"/>
    <n v="97201"/>
    <x v="8"/>
    <n v="28"/>
    <n v="10"/>
    <n v="18"/>
  </r>
  <r>
    <n v="10806"/>
    <x v="3"/>
    <x v="3"/>
    <x v="389"/>
    <d v="1998-01-28T00:00:00"/>
    <d v="1998-01-05T00:00:00"/>
    <x v="2"/>
    <n v="22.11"/>
    <s v="Victuailles en stock"/>
    <s v="2  rue du Commerce"/>
    <s v="Lyon"/>
    <s v="NULL"/>
    <n v="69004"/>
    <x v="0"/>
    <n v="28"/>
    <n v="5"/>
    <n v="23"/>
  </r>
  <r>
    <n v="10807"/>
    <x v="70"/>
    <x v="2"/>
    <x v="389"/>
    <d v="1998-01-28T00:00:00"/>
    <d v="1998-01-30T00:00:00"/>
    <x v="1"/>
    <n v="1.36"/>
    <s v="Franchi S.p.A."/>
    <s v="Via Monte Bianco 34"/>
    <s v="Torino"/>
    <s v="NULL"/>
    <n v="10100"/>
    <x v="11"/>
    <n v="28"/>
    <n v="30"/>
    <n v="-2"/>
  </r>
  <r>
    <n v="10808"/>
    <x v="37"/>
    <x v="7"/>
    <x v="390"/>
    <d v="1998-01-29T00:00:00"/>
    <d v="1998-01-09T00:00:00"/>
    <x v="0"/>
    <n v="45.53"/>
    <s v="Old World Delicatessen"/>
    <s v="2743 Bering St."/>
    <s v="Anchorage"/>
    <s v="AK"/>
    <n v="99508"/>
    <x v="8"/>
    <n v="28"/>
    <n v="8"/>
    <n v="20"/>
  </r>
  <r>
    <n v="10809"/>
    <x v="7"/>
    <x v="8"/>
    <x v="390"/>
    <d v="1998-01-29T00:00:00"/>
    <d v="1998-01-07T00:00:00"/>
    <x v="1"/>
    <n v="4.87"/>
    <s v="Wellington Importadora"/>
    <s v="Rua do Mercado 12"/>
    <s v="Resende"/>
    <s v="SP"/>
    <s v="08737-363"/>
    <x v="2"/>
    <n v="28"/>
    <n v="6"/>
    <n v="22"/>
  </r>
  <r>
    <n v="10810"/>
    <x v="75"/>
    <x v="7"/>
    <x v="390"/>
    <d v="1998-01-29T00:00:00"/>
    <d v="1998-01-07T00:00:00"/>
    <x v="0"/>
    <n v="4.33"/>
    <s v="Laughing Bacchus Wine Cellars"/>
    <s v="2319 Elm St."/>
    <s v="Vancouver"/>
    <s v="BC"/>
    <s v="V3F 2K1"/>
    <x v="16"/>
    <n v="28"/>
    <n v="6"/>
    <n v="22"/>
  </r>
  <r>
    <n v="10811"/>
    <x v="67"/>
    <x v="6"/>
    <x v="391"/>
    <d v="1998-01-30T00:00:00"/>
    <d v="1998-01-08T00:00:00"/>
    <x v="1"/>
    <n v="31.22"/>
    <s v="LINO-Delicateses"/>
    <s v="Ave. 5 de Mayo Porlamar"/>
    <s v="I. de Margarita"/>
    <s v="Nueva Esparta"/>
    <n v="4980"/>
    <x v="5"/>
    <n v="28"/>
    <n v="6"/>
    <n v="22"/>
  </r>
  <r>
    <n v="10812"/>
    <x v="30"/>
    <x v="0"/>
    <x v="391"/>
    <d v="1998-01-30T00:00:00"/>
    <d v="1998-01-12T00:00:00"/>
    <x v="1"/>
    <n v="59.78"/>
    <s v="Reggiani Caseifici"/>
    <s v="Strada Provinciale 124"/>
    <s v="Reggio Emilia"/>
    <s v="NULL"/>
    <n v="42100"/>
    <x v="11"/>
    <n v="28"/>
    <n v="10"/>
    <n v="18"/>
  </r>
  <r>
    <n v="10813"/>
    <x v="29"/>
    <x v="5"/>
    <x v="392"/>
    <d v="1998-02-02T00:00:00"/>
    <d v="1998-01-09T00:00:00"/>
    <x v="1"/>
    <n v="47.38"/>
    <s v="Ricardo Adocicados"/>
    <s v="Av. Copacabana 267"/>
    <s v="Rio de Janeiro"/>
    <s v="RJ"/>
    <s v="02389-890"/>
    <x v="2"/>
    <n v="28"/>
    <n v="4"/>
    <n v="24"/>
  </r>
  <r>
    <n v="10814"/>
    <x v="3"/>
    <x v="3"/>
    <x v="392"/>
    <d v="1998-02-02T00:00:00"/>
    <d v="1998-01-14T00:00:00"/>
    <x v="0"/>
    <n v="130.94"/>
    <s v="Victuailles en stock"/>
    <s v="2  rue du Commerce"/>
    <s v="Lyon"/>
    <s v="NULL"/>
    <n v="69004"/>
    <x v="0"/>
    <n v="28"/>
    <n v="9"/>
    <n v="19"/>
  </r>
  <r>
    <n v="10815"/>
    <x v="45"/>
    <x v="7"/>
    <x v="392"/>
    <d v="1998-02-02T00:00:00"/>
    <d v="1998-01-14T00:00:00"/>
    <x v="0"/>
    <n v="14.62"/>
    <s v="Save-a-lot Markets"/>
    <s v="187 Suffolk Ln."/>
    <s v="Boise"/>
    <s v="ID"/>
    <n v="83720"/>
    <x v="8"/>
    <n v="28"/>
    <n v="9"/>
    <n v="19"/>
  </r>
  <r>
    <n v="10816"/>
    <x v="79"/>
    <x v="2"/>
    <x v="393"/>
    <d v="1998-02-03T00:00:00"/>
    <d v="1998-02-04T00:00:00"/>
    <x v="2"/>
    <n v="719.78"/>
    <s v="Great Lakes Food Market"/>
    <s v="2732 Baker Blvd."/>
    <s v="Eugene"/>
    <s v="OR"/>
    <n v="97403"/>
    <x v="8"/>
    <n v="28"/>
    <n v="29"/>
    <n v="-1"/>
  </r>
  <r>
    <n v="10817"/>
    <x v="44"/>
    <x v="3"/>
    <x v="393"/>
    <d v="1998-01-20T00:00:00"/>
    <d v="1998-01-13T00:00:00"/>
    <x v="2"/>
    <n v="306.07"/>
    <s v="Königlich Essen"/>
    <s v="Maubelstr. 90"/>
    <s v="Brandenburg"/>
    <s v="NULL"/>
    <n v="14776"/>
    <x v="1"/>
    <n v="14"/>
    <n v="7"/>
    <n v="7"/>
  </r>
  <r>
    <n v="10818"/>
    <x v="22"/>
    <x v="8"/>
    <x v="394"/>
    <d v="1998-02-04T00:00:00"/>
    <d v="1998-01-12T00:00:00"/>
    <x v="0"/>
    <n v="65.48"/>
    <s v="Magazzini Alimentari Riuniti"/>
    <s v="Via Ludovico il Moro 22"/>
    <s v="Bergamo"/>
    <s v="NULL"/>
    <n v="24100"/>
    <x v="11"/>
    <n v="28"/>
    <n v="5"/>
    <n v="23"/>
  </r>
  <r>
    <n v="10819"/>
    <x v="78"/>
    <x v="7"/>
    <x v="394"/>
    <d v="1998-02-04T00:00:00"/>
    <d v="1998-01-16T00:00:00"/>
    <x v="0"/>
    <n v="19.760000000000002"/>
    <s v="Cactus Comidas para llevar"/>
    <s v="Cerrito 333"/>
    <s v="Buenos Aires"/>
    <s v="NULL"/>
    <n v="1010"/>
    <x v="20"/>
    <n v="28"/>
    <n v="9"/>
    <n v="19"/>
  </r>
  <r>
    <n v="10820"/>
    <x v="13"/>
    <x v="3"/>
    <x v="394"/>
    <d v="1998-02-04T00:00:00"/>
    <d v="1998-01-13T00:00:00"/>
    <x v="2"/>
    <n v="37.520000000000003"/>
    <s v="Rattlesnake Canyon Grocery"/>
    <s v="2817 Milton Dr."/>
    <s v="Albuquerque"/>
    <s v="NM"/>
    <n v="87110"/>
    <x v="8"/>
    <n v="28"/>
    <n v="6"/>
    <n v="22"/>
  </r>
  <r>
    <n v="10821"/>
    <x v="20"/>
    <x v="5"/>
    <x v="395"/>
    <d v="1998-02-05T00:00:00"/>
    <d v="1998-01-15T00:00:00"/>
    <x v="1"/>
    <n v="36.68"/>
    <s v="Split Rail Beer &amp; Ale"/>
    <s v="P.O. Box 555"/>
    <s v="Lander"/>
    <s v="WY"/>
    <n v="82520"/>
    <x v="8"/>
    <n v="28"/>
    <n v="7"/>
    <n v="21"/>
  </r>
  <r>
    <n v="10822"/>
    <x v="81"/>
    <x v="1"/>
    <x v="395"/>
    <d v="1998-02-05T00:00:00"/>
    <d v="1998-01-16T00:00:00"/>
    <x v="0"/>
    <n v="7"/>
    <s v="Trail's Head Gourmet Provisioners"/>
    <s v="722 DaVinci Blvd."/>
    <s v="Kirkland"/>
    <s v="WA"/>
    <n v="98034"/>
    <x v="8"/>
    <n v="28"/>
    <n v="8"/>
    <n v="20"/>
  </r>
  <r>
    <n v="10823"/>
    <x v="28"/>
    <x v="0"/>
    <x v="396"/>
    <d v="1998-02-06T00:00:00"/>
    <d v="1998-01-13T00:00:00"/>
    <x v="2"/>
    <n v="163.97"/>
    <s v="LILA-Supermercado"/>
    <s v="Carrera 52 con Ave. Bolívar #65-98 Llano Largo"/>
    <s v="Barquisimeto"/>
    <s v="Lara"/>
    <n v="3508"/>
    <x v="5"/>
    <n v="28"/>
    <n v="4"/>
    <n v="24"/>
  </r>
  <r>
    <n v="10824"/>
    <x v="14"/>
    <x v="6"/>
    <x v="396"/>
    <d v="1998-02-06T00:00:00"/>
    <d v="1998-01-30T00:00:00"/>
    <x v="1"/>
    <n v="1.23"/>
    <s v="Folk och fä HB"/>
    <s v="Åkergatan 24"/>
    <s v="Bräcke"/>
    <s v="NULL"/>
    <s v="S-844 67"/>
    <x v="9"/>
    <n v="28"/>
    <n v="21"/>
    <n v="7"/>
  </r>
  <r>
    <n v="10825"/>
    <x v="57"/>
    <x v="5"/>
    <x v="396"/>
    <d v="1998-02-06T00:00:00"/>
    <d v="1998-01-14T00:00:00"/>
    <x v="1"/>
    <n v="79.25"/>
    <s v="Drachenblut Delikatessen"/>
    <s v="Walserweg 21"/>
    <s v="Aachen"/>
    <s v="NULL"/>
    <n v="52066"/>
    <x v="1"/>
    <n v="28"/>
    <n v="5"/>
    <n v="23"/>
  </r>
  <r>
    <n v="10826"/>
    <x v="15"/>
    <x v="1"/>
    <x v="397"/>
    <d v="1998-02-09T00:00:00"/>
    <d v="1998-02-06T00:00:00"/>
    <x v="1"/>
    <n v="7.09"/>
    <s v="Blondel père et fils"/>
    <s v="24  place Kléber"/>
    <s v="Strasbourg"/>
    <s v="NULL"/>
    <n v="67000"/>
    <x v="0"/>
    <n v="28"/>
    <n v="25"/>
    <n v="3"/>
  </r>
  <r>
    <n v="10827"/>
    <x v="48"/>
    <x v="5"/>
    <x v="397"/>
    <d v="1998-01-26T00:00:00"/>
    <d v="1998-02-06T00:00:00"/>
    <x v="2"/>
    <n v="63.54"/>
    <s v="Bon app'"/>
    <s v="12  rue des Bouchers"/>
    <s v="Marseille"/>
    <s v="NULL"/>
    <n v="13008"/>
    <x v="0"/>
    <n v="14"/>
    <n v="25"/>
    <n v="-11"/>
  </r>
  <r>
    <n v="10828"/>
    <x v="73"/>
    <x v="4"/>
    <x v="398"/>
    <d v="1998-01-27T00:00:00"/>
    <d v="1998-02-04T00:00:00"/>
    <x v="1"/>
    <n v="90.85"/>
    <s v="Rancho grande"/>
    <s v="Av. del Libertador 900"/>
    <s v="Buenos Aires"/>
    <s v="NULL"/>
    <n v="1010"/>
    <x v="20"/>
    <n v="14"/>
    <n v="22"/>
    <n v="-8"/>
  </r>
  <r>
    <n v="10829"/>
    <x v="42"/>
    <x v="4"/>
    <x v="398"/>
    <d v="1998-02-10T00:00:00"/>
    <d v="1998-01-23T00:00:00"/>
    <x v="1"/>
    <n v="154.72"/>
    <s v="Island Trading"/>
    <s v="Garden House Crowther Way"/>
    <s v="Cowes"/>
    <s v="Isle of Wight"/>
    <s v="PO31 7PJ"/>
    <x v="13"/>
    <n v="28"/>
    <n v="10"/>
    <n v="18"/>
  </r>
  <r>
    <n v="10830"/>
    <x v="33"/>
    <x v="2"/>
    <x v="398"/>
    <d v="1998-02-24T00:00:00"/>
    <d v="1998-01-21T00:00:00"/>
    <x v="2"/>
    <n v="81.83"/>
    <s v="Tradiçao Hipermercados"/>
    <s v="Av. Inês de Castro 414"/>
    <s v="Sao Paulo"/>
    <s v="SP"/>
    <s v="05634-030"/>
    <x v="2"/>
    <n v="42"/>
    <n v="8"/>
    <n v="34"/>
  </r>
  <r>
    <n v="10831"/>
    <x v="65"/>
    <x v="3"/>
    <x v="399"/>
    <d v="1998-02-11T00:00:00"/>
    <d v="1998-01-23T00:00:00"/>
    <x v="2"/>
    <n v="72.19"/>
    <s v="Santé Gourmet"/>
    <s v="Erling Skakkes gate 78"/>
    <s v="Stavern"/>
    <s v="NULL"/>
    <n v="4110"/>
    <x v="19"/>
    <n v="28"/>
    <n v="9"/>
    <n v="19"/>
  </r>
  <r>
    <n v="10832"/>
    <x v="53"/>
    <x v="7"/>
    <x v="399"/>
    <d v="1998-02-11T00:00:00"/>
    <d v="1998-01-19T00:00:00"/>
    <x v="2"/>
    <n v="43.26"/>
    <s v="La maison d'Asie"/>
    <s v="1 rue Alsace-Lorraine"/>
    <s v="Toulouse"/>
    <s v="NULL"/>
    <n v="31000"/>
    <x v="0"/>
    <n v="28"/>
    <n v="5"/>
    <n v="23"/>
  </r>
  <r>
    <n v="10833"/>
    <x v="11"/>
    <x v="1"/>
    <x v="400"/>
    <d v="1998-02-12T00:00:00"/>
    <d v="1998-01-23T00:00:00"/>
    <x v="2"/>
    <n v="71.489999999999995"/>
    <s v="Ottilies Käseladen"/>
    <s v="Mehrheimerstr. 369"/>
    <s v="Köln"/>
    <s v="NULL"/>
    <n v="50739"/>
    <x v="1"/>
    <n v="28"/>
    <n v="8"/>
    <n v="20"/>
  </r>
  <r>
    <n v="10834"/>
    <x v="33"/>
    <x v="5"/>
    <x v="400"/>
    <d v="1998-02-12T00:00:00"/>
    <d v="1998-01-19T00:00:00"/>
    <x v="0"/>
    <n v="29.78"/>
    <s v="Tradiçao Hipermercados"/>
    <s v="Av. Inês de Castro 414"/>
    <s v="Sao Paulo"/>
    <s v="SP"/>
    <s v="05634-030"/>
    <x v="2"/>
    <n v="28"/>
    <n v="4"/>
    <n v="24"/>
  </r>
  <r>
    <n v="10835"/>
    <x v="85"/>
    <x v="5"/>
    <x v="400"/>
    <d v="1998-02-12T00:00:00"/>
    <d v="1998-01-21T00:00:00"/>
    <x v="0"/>
    <n v="69.53"/>
    <s v="Alfred's Futterkiste"/>
    <s v="Obere Str. 57"/>
    <s v="Berlin"/>
    <s v="NULL"/>
    <n v="12209"/>
    <x v="1"/>
    <n v="28"/>
    <n v="6"/>
    <n v="22"/>
  </r>
  <r>
    <n v="10836"/>
    <x v="9"/>
    <x v="8"/>
    <x v="401"/>
    <d v="1998-02-13T00:00:00"/>
    <d v="1998-01-21T00:00:00"/>
    <x v="1"/>
    <n v="411.88"/>
    <s v="Ernst Handel"/>
    <s v="Kirchgasse 6"/>
    <s v="Graz"/>
    <s v="NULL"/>
    <n v="8010"/>
    <x v="6"/>
    <n v="28"/>
    <n v="5"/>
    <n v="23"/>
  </r>
  <r>
    <n v="10837"/>
    <x v="25"/>
    <x v="4"/>
    <x v="401"/>
    <d v="1998-02-13T00:00:00"/>
    <d v="1998-01-23T00:00:00"/>
    <x v="0"/>
    <n v="13.32"/>
    <s v="Berglunds snabbköp"/>
    <s v="Berguvsvägen  8"/>
    <s v="Luleå"/>
    <s v="NULL"/>
    <s v="S-958 22"/>
    <x v="9"/>
    <n v="28"/>
    <n v="7"/>
    <n v="21"/>
  </r>
  <r>
    <n v="10838"/>
    <x v="67"/>
    <x v="3"/>
    <x v="402"/>
    <d v="1998-02-16T00:00:00"/>
    <d v="1998-01-23T00:00:00"/>
    <x v="0"/>
    <n v="59.28"/>
    <s v="LINO-Delicateses"/>
    <s v="Ave. 5 de Mayo Porlamar"/>
    <s v="I. de Margarita"/>
    <s v="Nueva Esparta"/>
    <n v="4980"/>
    <x v="5"/>
    <n v="28"/>
    <n v="4"/>
    <n v="24"/>
  </r>
  <r>
    <n v="10839"/>
    <x v="33"/>
    <x v="3"/>
    <x v="402"/>
    <d v="1998-02-16T00:00:00"/>
    <d v="1998-01-22T00:00:00"/>
    <x v="0"/>
    <n v="35.43"/>
    <s v="Tradiçao Hipermercados"/>
    <s v="Av. Inês de Castro 414"/>
    <s v="Sao Paulo"/>
    <s v="SP"/>
    <s v="05634-030"/>
    <x v="2"/>
    <n v="28"/>
    <n v="3"/>
    <n v="25"/>
  </r>
  <r>
    <n v="10840"/>
    <x v="67"/>
    <x v="2"/>
    <x v="402"/>
    <d v="1998-03-02T00:00:00"/>
    <d v="1998-02-16T00:00:00"/>
    <x v="2"/>
    <n v="2.71"/>
    <s v="LINO-Delicateses"/>
    <s v="Ave. 5 de Mayo Porlamar"/>
    <s v="I. de Margarita"/>
    <s v="Nueva Esparta"/>
    <n v="4980"/>
    <x v="5"/>
    <n v="42"/>
    <n v="28"/>
    <n v="14"/>
  </r>
  <r>
    <n v="10841"/>
    <x v="4"/>
    <x v="0"/>
    <x v="403"/>
    <d v="1998-02-17T00:00:00"/>
    <d v="1998-01-29T00:00:00"/>
    <x v="2"/>
    <n v="424.3"/>
    <s v="Suprêmes délices"/>
    <s v="Boulevard Tirou 255"/>
    <s v="Charleroi"/>
    <s v="NULL"/>
    <s v="B-6000"/>
    <x v="3"/>
    <n v="28"/>
    <n v="9"/>
    <n v="19"/>
  </r>
  <r>
    <n v="10842"/>
    <x v="23"/>
    <x v="5"/>
    <x v="403"/>
    <d v="1998-02-17T00:00:00"/>
    <d v="1998-01-29T00:00:00"/>
    <x v="0"/>
    <n v="54.42"/>
    <s v="Tortuga Restaurante"/>
    <s v="Avda. Azteca 123"/>
    <s v="México D.F."/>
    <s v="NULL"/>
    <n v="5033"/>
    <x v="7"/>
    <n v="28"/>
    <n v="9"/>
    <n v="19"/>
  </r>
  <r>
    <n v="10843"/>
    <x v="3"/>
    <x v="2"/>
    <x v="404"/>
    <d v="1998-02-18T00:00:00"/>
    <d v="1998-01-26T00:00:00"/>
    <x v="2"/>
    <n v="9.26"/>
    <s v="Victuailles en stock"/>
    <s v="2  rue du Commerce"/>
    <s v="Lyon"/>
    <s v="NULL"/>
    <n v="69004"/>
    <x v="0"/>
    <n v="28"/>
    <n v="5"/>
    <n v="23"/>
  </r>
  <r>
    <n v="10844"/>
    <x v="54"/>
    <x v="6"/>
    <x v="404"/>
    <d v="1998-02-18T00:00:00"/>
    <d v="1998-01-26T00:00:00"/>
    <x v="2"/>
    <n v="25.22"/>
    <s v="Piccolo und mehr"/>
    <s v="Geislweg 14"/>
    <s v="Salzburg"/>
    <s v="NULL"/>
    <n v="5020"/>
    <x v="6"/>
    <n v="28"/>
    <n v="5"/>
    <n v="23"/>
  </r>
  <r>
    <n v="10845"/>
    <x v="21"/>
    <x v="6"/>
    <x v="404"/>
    <d v="1998-02-04T00:00:00"/>
    <d v="1998-01-30T00:00:00"/>
    <x v="1"/>
    <n v="212.98"/>
    <s v="QUICK-Stop"/>
    <s v="Taucherstraße 10"/>
    <s v="Cunewalde"/>
    <s v="NULL"/>
    <n v="1307"/>
    <x v="1"/>
    <n v="14"/>
    <n v="9"/>
    <n v="5"/>
  </r>
  <r>
    <n v="10846"/>
    <x v="4"/>
    <x v="7"/>
    <x v="405"/>
    <d v="1998-03-05T00:00:00"/>
    <d v="1998-01-23T00:00:00"/>
    <x v="0"/>
    <n v="56.46"/>
    <s v="Suprêmes délices"/>
    <s v="Boulevard Tirou 255"/>
    <s v="Charleroi"/>
    <s v="NULL"/>
    <s v="B-6000"/>
    <x v="3"/>
    <n v="42"/>
    <n v="1"/>
    <n v="41"/>
  </r>
  <r>
    <n v="10847"/>
    <x v="45"/>
    <x v="2"/>
    <x v="405"/>
    <d v="1998-02-05T00:00:00"/>
    <d v="1998-02-10T00:00:00"/>
    <x v="0"/>
    <n v="487.57"/>
    <s v="Save-a-lot Markets"/>
    <s v="187 Suffolk Ln."/>
    <s v="Boise"/>
    <s v="ID"/>
    <n v="83720"/>
    <x v="8"/>
    <n v="14"/>
    <n v="19"/>
    <n v="-5"/>
  </r>
  <r>
    <n v="10848"/>
    <x v="72"/>
    <x v="8"/>
    <x v="406"/>
    <d v="1998-02-20T00:00:00"/>
    <d v="1998-01-29T00:00:00"/>
    <x v="2"/>
    <n v="38.24"/>
    <s v="Consolidated Holdings"/>
    <s v="Berkeley Gardens 12  Brewery"/>
    <s v="London"/>
    <s v="NULL"/>
    <s v="WX1 6LT"/>
    <x v="13"/>
    <n v="28"/>
    <n v="6"/>
    <n v="22"/>
  </r>
  <r>
    <n v="10849"/>
    <x v="44"/>
    <x v="4"/>
    <x v="406"/>
    <d v="1998-02-20T00:00:00"/>
    <d v="1998-01-30T00:00:00"/>
    <x v="2"/>
    <n v="0.56000000000000005"/>
    <s v="Königlich Essen"/>
    <s v="Maubelstr. 90"/>
    <s v="Brandenburg"/>
    <s v="NULL"/>
    <n v="14776"/>
    <x v="1"/>
    <n v="28"/>
    <n v="7"/>
    <n v="21"/>
  </r>
  <r>
    <n v="10850"/>
    <x v="3"/>
    <x v="5"/>
    <x v="406"/>
    <d v="1998-03-06T00:00:00"/>
    <d v="1998-01-30T00:00:00"/>
    <x v="1"/>
    <n v="49.19"/>
    <s v="Victuailles en stock"/>
    <s v="2  rue du Commerce"/>
    <s v="Lyon"/>
    <s v="NULL"/>
    <n v="69004"/>
    <x v="0"/>
    <n v="42"/>
    <n v="7"/>
    <n v="35"/>
  </r>
  <r>
    <n v="10851"/>
    <x v="29"/>
    <x v="0"/>
    <x v="407"/>
    <d v="1998-02-23T00:00:00"/>
    <d v="1998-02-02T00:00:00"/>
    <x v="1"/>
    <n v="160.55000000000001"/>
    <s v="Ricardo Adocicados"/>
    <s v="Av. Copacabana 267"/>
    <s v="Rio de Janeiro"/>
    <s v="RJ"/>
    <s v="02389-890"/>
    <x v="2"/>
    <n v="28"/>
    <n v="7"/>
    <n v="21"/>
  </r>
  <r>
    <n v="10852"/>
    <x v="13"/>
    <x v="6"/>
    <x v="407"/>
    <d v="1998-02-09T00:00:00"/>
    <d v="1998-01-30T00:00:00"/>
    <x v="1"/>
    <n v="174.05"/>
    <s v="Rattlesnake Canyon Grocery"/>
    <s v="2817 Milton Dr."/>
    <s v="Albuquerque"/>
    <s v="NM"/>
    <n v="87110"/>
    <x v="8"/>
    <n v="14"/>
    <n v="4"/>
    <n v="10"/>
  </r>
  <r>
    <n v="10853"/>
    <x v="76"/>
    <x v="4"/>
    <x v="408"/>
    <d v="1998-02-24T00:00:00"/>
    <d v="1998-02-03T00:00:00"/>
    <x v="2"/>
    <n v="53.83"/>
    <s v="Blauer See Delikatessen"/>
    <s v="Forsterstr. 57"/>
    <s v="Mannheim"/>
    <s v="NULL"/>
    <n v="68306"/>
    <x v="1"/>
    <n v="28"/>
    <n v="7"/>
    <n v="21"/>
  </r>
  <r>
    <n v="10854"/>
    <x v="9"/>
    <x v="3"/>
    <x v="408"/>
    <d v="1998-02-24T00:00:00"/>
    <d v="1998-02-05T00:00:00"/>
    <x v="2"/>
    <n v="100.22"/>
    <s v="Ernst Handel"/>
    <s v="Kirchgasse 6"/>
    <s v="Graz"/>
    <s v="NULL"/>
    <n v="8010"/>
    <x v="6"/>
    <n v="28"/>
    <n v="9"/>
    <n v="19"/>
  </r>
  <r>
    <n v="10855"/>
    <x v="37"/>
    <x v="3"/>
    <x v="408"/>
    <d v="1998-02-24T00:00:00"/>
    <d v="1998-02-04T00:00:00"/>
    <x v="1"/>
    <n v="170.97"/>
    <s v="Old World Delicatessen"/>
    <s v="2743 Bering St."/>
    <s v="Anchorage"/>
    <s v="AK"/>
    <n v="99508"/>
    <x v="8"/>
    <n v="28"/>
    <n v="8"/>
    <n v="20"/>
  </r>
  <r>
    <n v="10856"/>
    <x v="59"/>
    <x v="3"/>
    <x v="409"/>
    <d v="1998-02-25T00:00:00"/>
    <d v="1998-02-10T00:00:00"/>
    <x v="2"/>
    <n v="58.43"/>
    <s v="Antonio Moreno Taquería"/>
    <s v="Mataderos  2312"/>
    <s v="México D.F."/>
    <s v="NULL"/>
    <n v="5023"/>
    <x v="7"/>
    <n v="28"/>
    <n v="13"/>
    <n v="15"/>
  </r>
  <r>
    <n v="10857"/>
    <x v="25"/>
    <x v="6"/>
    <x v="409"/>
    <d v="1998-02-25T00:00:00"/>
    <d v="1998-02-06T00:00:00"/>
    <x v="2"/>
    <n v="188.85"/>
    <s v="Berglunds snabbköp"/>
    <s v="Berguvsvägen  8"/>
    <s v="Luleå"/>
    <s v="NULL"/>
    <s v="S-958 22"/>
    <x v="9"/>
    <n v="28"/>
    <n v="9"/>
    <n v="19"/>
  </r>
  <r>
    <n v="10858"/>
    <x v="88"/>
    <x v="7"/>
    <x v="410"/>
    <d v="1998-02-26T00:00:00"/>
    <d v="1998-02-03T00:00:00"/>
    <x v="1"/>
    <n v="52.51"/>
    <s v="La corne d'abondance"/>
    <s v="67  avenue de l'Europe"/>
    <s v="Versailles"/>
    <s v="NULL"/>
    <n v="78000"/>
    <x v="0"/>
    <n v="28"/>
    <n v="5"/>
    <n v="23"/>
  </r>
  <r>
    <n v="10859"/>
    <x v="17"/>
    <x v="5"/>
    <x v="410"/>
    <d v="1998-02-26T00:00:00"/>
    <d v="1998-02-02T00:00:00"/>
    <x v="2"/>
    <n v="76.099999999999994"/>
    <s v="Frankenversand"/>
    <s v="Berliner Platz 43"/>
    <s v="München"/>
    <s v="NULL"/>
    <n v="80805"/>
    <x v="1"/>
    <n v="28"/>
    <n v="4"/>
    <n v="24"/>
  </r>
  <r>
    <n v="10860"/>
    <x v="86"/>
    <x v="3"/>
    <x v="410"/>
    <d v="1998-02-26T00:00:00"/>
    <d v="1998-02-04T00:00:00"/>
    <x v="0"/>
    <n v="19.260000000000002"/>
    <s v="France restauration"/>
    <s v="54  rue Royale"/>
    <s v="Nantes"/>
    <s v="NULL"/>
    <n v="44000"/>
    <x v="0"/>
    <n v="28"/>
    <n v="6"/>
    <n v="22"/>
  </r>
  <r>
    <n v="10861"/>
    <x v="19"/>
    <x v="2"/>
    <x v="411"/>
    <d v="1998-02-27T00:00:00"/>
    <d v="1998-02-17T00:00:00"/>
    <x v="2"/>
    <n v="14.93"/>
    <s v="White Clover Markets"/>
    <s v="1029 - 12th Ave. S."/>
    <s v="Seattle"/>
    <s v="WA"/>
    <n v="98124"/>
    <x v="8"/>
    <n v="28"/>
    <n v="18"/>
    <n v="10"/>
  </r>
  <r>
    <n v="10862"/>
    <x v="26"/>
    <x v="6"/>
    <x v="411"/>
    <d v="1998-03-13T00:00:00"/>
    <d v="1998-02-02T00:00:00"/>
    <x v="2"/>
    <n v="53.23"/>
    <s v="Lehmanns Marktstand"/>
    <s v="Magazinweg 7"/>
    <s v="Frankfurt a.M."/>
    <s v="NULL"/>
    <n v="60528"/>
    <x v="1"/>
    <n v="42"/>
    <n v="3"/>
    <n v="39"/>
  </r>
  <r>
    <n v="10863"/>
    <x v="8"/>
    <x v="2"/>
    <x v="412"/>
    <d v="1998-03-02T00:00:00"/>
    <d v="1998-02-17T00:00:00"/>
    <x v="2"/>
    <n v="30.26"/>
    <s v="HILARION-Abastos"/>
    <s v="Carrera 22 con Ave. Carlos Soublette #8-35"/>
    <s v="San Cristóbal"/>
    <s v="Táchira"/>
    <n v="5022"/>
    <x v="5"/>
    <n v="28"/>
    <n v="15"/>
    <n v="13"/>
  </r>
  <r>
    <n v="10864"/>
    <x v="55"/>
    <x v="2"/>
    <x v="412"/>
    <d v="1998-03-02T00:00:00"/>
    <d v="1998-02-09T00:00:00"/>
    <x v="2"/>
    <n v="3.04"/>
    <s v="Around the Horn"/>
    <s v="Brook Farm Stratford St. Mary"/>
    <s v="Colchester"/>
    <s v="Essex"/>
    <s v="CO7 6JX"/>
    <x v="13"/>
    <n v="28"/>
    <n v="7"/>
    <n v="21"/>
  </r>
  <r>
    <n v="10865"/>
    <x v="21"/>
    <x v="7"/>
    <x v="412"/>
    <d v="1998-02-16T00:00:00"/>
    <d v="1998-02-12T00:00:00"/>
    <x v="1"/>
    <n v="348.14"/>
    <s v="QUICK-Stop"/>
    <s v="Taucherstraße 10"/>
    <s v="Cunewalde"/>
    <s v="NULL"/>
    <n v="1307"/>
    <x v="1"/>
    <n v="14"/>
    <n v="10"/>
    <n v="4"/>
  </r>
  <r>
    <n v="10866"/>
    <x v="25"/>
    <x v="0"/>
    <x v="413"/>
    <d v="1998-03-03T00:00:00"/>
    <d v="1998-02-12T00:00:00"/>
    <x v="1"/>
    <n v="109.11"/>
    <s v="Berglunds snabbköp"/>
    <s v="Berguvsvägen  8"/>
    <s v="Luleå"/>
    <s v="NULL"/>
    <s v="S-958 22"/>
    <x v="9"/>
    <n v="28"/>
    <n v="9"/>
    <n v="19"/>
  </r>
  <r>
    <n v="10867"/>
    <x v="38"/>
    <x v="1"/>
    <x v="413"/>
    <d v="1998-03-17T00:00:00"/>
    <d v="1998-02-11T00:00:00"/>
    <x v="1"/>
    <n v="1.93"/>
    <s v="Lonesome Pine Restaurant"/>
    <s v="89 Chiaroscuro Rd."/>
    <s v="Portland"/>
    <s v="OR"/>
    <n v="97219"/>
    <x v="8"/>
    <n v="42"/>
    <n v="8"/>
    <n v="34"/>
  </r>
  <r>
    <n v="10868"/>
    <x v="62"/>
    <x v="8"/>
    <x v="414"/>
    <d v="1998-03-04T00:00:00"/>
    <d v="1998-02-23T00:00:00"/>
    <x v="2"/>
    <n v="191.27"/>
    <s v="Queen Cozinha"/>
    <s v="Alameda dos Canàrios 891"/>
    <s v="Sao Paulo"/>
    <s v="SP"/>
    <s v="05487-020"/>
    <x v="2"/>
    <n v="28"/>
    <n v="19"/>
    <n v="9"/>
  </r>
  <r>
    <n v="10869"/>
    <x v="56"/>
    <x v="0"/>
    <x v="414"/>
    <d v="1998-03-04T00:00:00"/>
    <d v="1998-02-09T00:00:00"/>
    <x v="1"/>
    <n v="143.28"/>
    <s v="Seven Seas Imports"/>
    <s v="90 Wadhurst Rd."/>
    <s v="London"/>
    <s v="NULL"/>
    <s v="OX15 4NB"/>
    <x v="13"/>
    <n v="28"/>
    <n v="5"/>
    <n v="23"/>
  </r>
  <r>
    <n v="10870"/>
    <x v="63"/>
    <x v="0"/>
    <x v="414"/>
    <d v="1998-03-04T00:00:00"/>
    <d v="1998-02-13T00:00:00"/>
    <x v="0"/>
    <n v="12.04"/>
    <s v="Wolski Zajazd"/>
    <s v="ul. Filtrowa 68"/>
    <s v="Warszawa"/>
    <s v="NULL"/>
    <s v="01-012"/>
    <x v="18"/>
    <n v="28"/>
    <n v="9"/>
    <n v="19"/>
  </r>
  <r>
    <n v="10871"/>
    <x v="48"/>
    <x v="4"/>
    <x v="415"/>
    <d v="1998-03-05T00:00:00"/>
    <d v="1998-02-10T00:00:00"/>
    <x v="2"/>
    <n v="112.27"/>
    <s v="Bon app'"/>
    <s v="12  rue des Bouchers"/>
    <s v="Marseille"/>
    <s v="NULL"/>
    <n v="13008"/>
    <x v="0"/>
    <n v="28"/>
    <n v="5"/>
    <n v="23"/>
  </r>
  <r>
    <n v="10872"/>
    <x v="36"/>
    <x v="0"/>
    <x v="415"/>
    <d v="1998-03-05T00:00:00"/>
    <d v="1998-02-09T00:00:00"/>
    <x v="2"/>
    <n v="175.32"/>
    <s v="Godos Cocina Típica"/>
    <s v="C/ Romero 33"/>
    <s v="Sevilla"/>
    <s v="NULL"/>
    <n v="41101"/>
    <x v="12"/>
    <n v="28"/>
    <n v="4"/>
    <n v="24"/>
  </r>
  <r>
    <n v="10873"/>
    <x v="83"/>
    <x v="2"/>
    <x v="416"/>
    <d v="1998-03-06T00:00:00"/>
    <d v="1998-02-09T00:00:00"/>
    <x v="1"/>
    <n v="0.82"/>
    <s v="Wilman Kala"/>
    <s v="Keskuskatu 45"/>
    <s v="Helsinki"/>
    <s v="NULL"/>
    <n v="21240"/>
    <x v="10"/>
    <n v="28"/>
    <n v="3"/>
    <n v="25"/>
  </r>
  <r>
    <n v="10874"/>
    <x v="36"/>
    <x v="0"/>
    <x v="416"/>
    <d v="1998-03-06T00:00:00"/>
    <d v="1998-02-11T00:00:00"/>
    <x v="2"/>
    <n v="19.579999999999998"/>
    <s v="Godos Cocina Típica"/>
    <s v="C/ Romero 33"/>
    <s v="Sevilla"/>
    <s v="NULL"/>
    <n v="41101"/>
    <x v="12"/>
    <n v="28"/>
    <n v="5"/>
    <n v="23"/>
  </r>
  <r>
    <n v="10875"/>
    <x v="25"/>
    <x v="2"/>
    <x v="416"/>
    <d v="1998-03-06T00:00:00"/>
    <d v="1998-03-03T00:00:00"/>
    <x v="2"/>
    <n v="32.369999999999997"/>
    <s v="Berglunds snabbköp"/>
    <s v="Berguvsvägen  8"/>
    <s v="Luleå"/>
    <s v="NULL"/>
    <s v="S-958 22"/>
    <x v="9"/>
    <n v="28"/>
    <n v="25"/>
    <n v="3"/>
  </r>
  <r>
    <n v="10876"/>
    <x v="48"/>
    <x v="8"/>
    <x v="417"/>
    <d v="1998-03-09T00:00:00"/>
    <d v="1998-02-12T00:00:00"/>
    <x v="0"/>
    <n v="60.42"/>
    <s v="Bon app'"/>
    <s v="12  rue des Bouchers"/>
    <s v="Marseille"/>
    <s v="NULL"/>
    <n v="13008"/>
    <x v="0"/>
    <n v="28"/>
    <n v="3"/>
    <n v="25"/>
  </r>
  <r>
    <n v="10877"/>
    <x v="29"/>
    <x v="5"/>
    <x v="417"/>
    <d v="1998-03-09T00:00:00"/>
    <d v="1998-02-19T00:00:00"/>
    <x v="1"/>
    <n v="38.06"/>
    <s v="Ricardo Adocicados"/>
    <s v="Av. Copacabana 267"/>
    <s v="Rio de Janeiro"/>
    <s v="RJ"/>
    <s v="02389-890"/>
    <x v="2"/>
    <n v="28"/>
    <n v="10"/>
    <n v="18"/>
  </r>
  <r>
    <n v="10878"/>
    <x v="21"/>
    <x v="2"/>
    <x v="418"/>
    <d v="1998-03-10T00:00:00"/>
    <d v="1998-02-12T00:00:00"/>
    <x v="1"/>
    <n v="46.69"/>
    <s v="QUICK-Stop"/>
    <s v="Taucherstraße 10"/>
    <s v="Cunewalde"/>
    <s v="NULL"/>
    <n v="1307"/>
    <x v="1"/>
    <n v="28"/>
    <n v="2"/>
    <n v="26"/>
  </r>
  <r>
    <n v="10879"/>
    <x v="83"/>
    <x v="3"/>
    <x v="418"/>
    <d v="1998-03-10T00:00:00"/>
    <d v="1998-02-12T00:00:00"/>
    <x v="0"/>
    <n v="8.5"/>
    <s v="Wilman Kala"/>
    <s v="Keskuskatu 45"/>
    <s v="Helsinki"/>
    <s v="NULL"/>
    <n v="21240"/>
    <x v="10"/>
    <n v="28"/>
    <n v="2"/>
    <n v="26"/>
  </r>
  <r>
    <n v="10880"/>
    <x v="14"/>
    <x v="8"/>
    <x v="418"/>
    <d v="1998-03-24T00:00:00"/>
    <d v="1998-02-18T00:00:00"/>
    <x v="1"/>
    <n v="88.01"/>
    <s v="Folk och fä HB"/>
    <s v="Åkergatan 24"/>
    <s v="Bräcke"/>
    <s v="NULL"/>
    <s v="S-844 67"/>
    <x v="9"/>
    <n v="42"/>
    <n v="8"/>
    <n v="34"/>
  </r>
  <r>
    <n v="10881"/>
    <x v="78"/>
    <x v="2"/>
    <x v="419"/>
    <d v="1998-03-11T00:00:00"/>
    <d v="1998-02-18T00:00:00"/>
    <x v="1"/>
    <n v="2.84"/>
    <s v="Cactus Comidas para llevar"/>
    <s v="Cerrito 333"/>
    <s v="Buenos Aires"/>
    <s v="NULL"/>
    <n v="1010"/>
    <x v="20"/>
    <n v="28"/>
    <n v="7"/>
    <n v="21"/>
  </r>
  <r>
    <n v="10882"/>
    <x v="45"/>
    <x v="2"/>
    <x v="419"/>
    <d v="1998-03-11T00:00:00"/>
    <d v="1998-02-20T00:00:00"/>
    <x v="0"/>
    <n v="23.1"/>
    <s v="Save-a-lot Markets"/>
    <s v="187 Suffolk Ln."/>
    <s v="Boise"/>
    <s v="ID"/>
    <n v="83720"/>
    <x v="8"/>
    <n v="28"/>
    <n v="9"/>
    <n v="19"/>
  </r>
  <r>
    <n v="10883"/>
    <x v="38"/>
    <x v="6"/>
    <x v="420"/>
    <d v="1998-03-12T00:00:00"/>
    <d v="1998-02-20T00:00:00"/>
    <x v="0"/>
    <n v="0.53"/>
    <s v="Lonesome Pine Restaurant"/>
    <s v="89 Chiaroscuro Rd."/>
    <s v="Portland"/>
    <s v="OR"/>
    <n v="97219"/>
    <x v="8"/>
    <n v="28"/>
    <n v="8"/>
    <n v="20"/>
  </r>
  <r>
    <n v="10884"/>
    <x v="82"/>
    <x v="2"/>
    <x v="420"/>
    <d v="1998-03-12T00:00:00"/>
    <d v="1998-02-13T00:00:00"/>
    <x v="2"/>
    <n v="90.97"/>
    <s v="Let's Stop N Shop"/>
    <s v="87 Polk St. Suite 5"/>
    <s v="San Francisco"/>
    <s v="CA"/>
    <n v="94117"/>
    <x v="8"/>
    <n v="28"/>
    <n v="1"/>
    <n v="27"/>
  </r>
  <r>
    <n v="10885"/>
    <x v="4"/>
    <x v="1"/>
    <x v="420"/>
    <d v="1998-03-12T00:00:00"/>
    <d v="1998-02-18T00:00:00"/>
    <x v="0"/>
    <n v="5.64"/>
    <s v="Suprêmes délices"/>
    <s v="Boulevard Tirou 255"/>
    <s v="Charleroi"/>
    <s v="NULL"/>
    <s v="B-6000"/>
    <x v="3"/>
    <n v="28"/>
    <n v="6"/>
    <n v="22"/>
  </r>
  <r>
    <n v="10886"/>
    <x v="2"/>
    <x v="5"/>
    <x v="421"/>
    <d v="1998-03-13T00:00:00"/>
    <d v="1998-03-02T00:00:00"/>
    <x v="1"/>
    <n v="4.99"/>
    <s v="Hanari Carnes"/>
    <s v="Rua do Paço 67"/>
    <s v="Rio de Janeiro"/>
    <s v="RJ"/>
    <s v="05454-876"/>
    <x v="2"/>
    <n v="28"/>
    <n v="17"/>
    <n v="11"/>
  </r>
  <r>
    <n v="10887"/>
    <x v="60"/>
    <x v="6"/>
    <x v="421"/>
    <d v="1998-03-13T00:00:00"/>
    <d v="1998-02-16T00:00:00"/>
    <x v="0"/>
    <n v="1.25"/>
    <s v="Galería del gastronómo"/>
    <s v="Rambla de Cataluña 23"/>
    <s v="Barcelona"/>
    <s v="NULL"/>
    <n v="8022"/>
    <x v="12"/>
    <n v="28"/>
    <n v="3"/>
    <n v="25"/>
  </r>
  <r>
    <n v="10888"/>
    <x v="36"/>
    <x v="5"/>
    <x v="422"/>
    <d v="1998-03-16T00:00:00"/>
    <d v="1998-02-23T00:00:00"/>
    <x v="2"/>
    <n v="51.87"/>
    <s v="Godos Cocina Típica"/>
    <s v="C/ Romero 33"/>
    <s v="Sevilla"/>
    <s v="NULL"/>
    <n v="41101"/>
    <x v="12"/>
    <n v="28"/>
    <n v="7"/>
    <n v="21"/>
  </r>
  <r>
    <n v="10889"/>
    <x v="13"/>
    <x v="4"/>
    <x v="422"/>
    <d v="1998-03-16T00:00:00"/>
    <d v="1998-02-23T00:00:00"/>
    <x v="0"/>
    <n v="280.61"/>
    <s v="Rattlesnake Canyon Grocery"/>
    <s v="2817 Milton Dr."/>
    <s v="Albuquerque"/>
    <s v="NM"/>
    <n v="87110"/>
    <x v="8"/>
    <n v="28"/>
    <n v="7"/>
    <n v="21"/>
  </r>
  <r>
    <n v="10890"/>
    <x v="41"/>
    <x v="8"/>
    <x v="422"/>
    <d v="1998-03-16T00:00:00"/>
    <d v="1998-02-18T00:00:00"/>
    <x v="1"/>
    <n v="32.76"/>
    <s v="Du monde entier"/>
    <s v="67  rue des Cinquante Otages"/>
    <s v="Nantes"/>
    <s v="NULL"/>
    <n v="44000"/>
    <x v="0"/>
    <n v="28"/>
    <n v="2"/>
    <n v="26"/>
  </r>
  <r>
    <n v="10891"/>
    <x v="26"/>
    <x v="8"/>
    <x v="423"/>
    <d v="1998-03-17T00:00:00"/>
    <d v="1998-02-19T00:00:00"/>
    <x v="2"/>
    <n v="20.37"/>
    <s v="Lehmanns Marktstand"/>
    <s v="Magazinweg 7"/>
    <s v="Frankfurt a.M."/>
    <s v="NULL"/>
    <n v="60528"/>
    <x v="1"/>
    <n v="28"/>
    <n v="2"/>
    <n v="26"/>
  </r>
  <r>
    <n v="10892"/>
    <x v="80"/>
    <x v="2"/>
    <x v="423"/>
    <d v="1998-03-17T00:00:00"/>
    <d v="1998-02-19T00:00:00"/>
    <x v="2"/>
    <n v="120.27"/>
    <s v="Maison Dewey"/>
    <s v="Rue Joseph-Bens 532"/>
    <s v="Bruxelles"/>
    <s v="NULL"/>
    <s v="B-1180"/>
    <x v="3"/>
    <n v="28"/>
    <n v="2"/>
    <n v="26"/>
  </r>
  <r>
    <n v="10893"/>
    <x v="44"/>
    <x v="4"/>
    <x v="424"/>
    <d v="1998-03-18T00:00:00"/>
    <d v="1998-02-20T00:00:00"/>
    <x v="2"/>
    <n v="77.78"/>
    <s v="Königlich Essen"/>
    <s v="Maubelstr. 90"/>
    <s v="Brandenburg"/>
    <s v="NULL"/>
    <n v="14776"/>
    <x v="1"/>
    <n v="28"/>
    <n v="2"/>
    <n v="26"/>
  </r>
  <r>
    <n v="10894"/>
    <x v="45"/>
    <x v="5"/>
    <x v="424"/>
    <d v="1998-03-18T00:00:00"/>
    <d v="1998-02-20T00:00:00"/>
    <x v="1"/>
    <n v="116.13"/>
    <s v="Save-a-lot Markets"/>
    <s v="187 Suffolk Ln."/>
    <s v="Boise"/>
    <s v="ID"/>
    <n v="83720"/>
    <x v="8"/>
    <n v="28"/>
    <n v="2"/>
    <n v="26"/>
  </r>
  <r>
    <n v="10895"/>
    <x v="9"/>
    <x v="3"/>
    <x v="424"/>
    <d v="1998-03-18T00:00:00"/>
    <d v="1998-02-23T00:00:00"/>
    <x v="1"/>
    <n v="162.75"/>
    <s v="Ernst Handel"/>
    <s v="Kirchgasse 6"/>
    <s v="Graz"/>
    <s v="NULL"/>
    <n v="8010"/>
    <x v="6"/>
    <n v="28"/>
    <n v="5"/>
    <n v="23"/>
  </r>
  <r>
    <n v="10896"/>
    <x v="80"/>
    <x v="8"/>
    <x v="425"/>
    <d v="1998-03-19T00:00:00"/>
    <d v="1998-02-27T00:00:00"/>
    <x v="0"/>
    <n v="32.450000000000003"/>
    <s v="Maison Dewey"/>
    <s v="Rue Joseph-Bens 532"/>
    <s v="Bruxelles"/>
    <s v="NULL"/>
    <s v="B-1180"/>
    <x v="3"/>
    <n v="28"/>
    <n v="8"/>
    <n v="20"/>
  </r>
  <r>
    <n v="10897"/>
    <x v="34"/>
    <x v="3"/>
    <x v="425"/>
    <d v="1998-03-19T00:00:00"/>
    <d v="1998-02-25T00:00:00"/>
    <x v="2"/>
    <n v="603.54"/>
    <s v="Hungry Owl All-Night Grocers"/>
    <s v="8 Johnstown Road"/>
    <s v="Cork"/>
    <s v="Co. Cork"/>
    <s v="NULL"/>
    <x v="14"/>
    <n v="28"/>
    <n v="6"/>
    <n v="22"/>
  </r>
  <r>
    <n v="10898"/>
    <x v="69"/>
    <x v="2"/>
    <x v="426"/>
    <d v="1998-03-20T00:00:00"/>
    <d v="1998-03-06T00:00:00"/>
    <x v="2"/>
    <n v="1.27"/>
    <s v="Océano Atlántico Ltda."/>
    <s v="Ing. Gustavo Moncada 8585 Piso 20-A"/>
    <s v="Buenos Aires"/>
    <s v="NULL"/>
    <n v="1010"/>
    <x v="20"/>
    <n v="28"/>
    <n v="14"/>
    <n v="14"/>
  </r>
  <r>
    <n v="10899"/>
    <x v="28"/>
    <x v="0"/>
    <x v="426"/>
    <d v="1998-03-20T00:00:00"/>
    <d v="1998-02-26T00:00:00"/>
    <x v="0"/>
    <n v="1.21"/>
    <s v="LILA-Supermercado"/>
    <s v="Carrera 52 con Ave. Bolívar #65-98 Llano Largo"/>
    <s v="Barquisimeto"/>
    <s v="Lara"/>
    <n v="3508"/>
    <x v="5"/>
    <n v="28"/>
    <n v="6"/>
    <n v="22"/>
  </r>
  <r>
    <n v="10900"/>
    <x v="7"/>
    <x v="5"/>
    <x v="426"/>
    <d v="1998-03-20T00:00:00"/>
    <d v="1998-03-04T00:00:00"/>
    <x v="2"/>
    <n v="1.66"/>
    <s v="Wellington Importadora"/>
    <s v="Rua do Mercado 12"/>
    <s v="Resende"/>
    <s v="SP"/>
    <s v="08737-363"/>
    <x v="2"/>
    <n v="28"/>
    <n v="12"/>
    <n v="16"/>
  </r>
  <r>
    <n v="10901"/>
    <x v="8"/>
    <x v="2"/>
    <x v="427"/>
    <d v="1998-03-23T00:00:00"/>
    <d v="1998-02-26T00:00:00"/>
    <x v="1"/>
    <n v="62.09"/>
    <s v="HILARION-Abastos"/>
    <s v="Carrera 22 con Ave. Carlos Soublette #8-35"/>
    <s v="San Cristóbal"/>
    <s v="Táchira"/>
    <n v="5022"/>
    <x v="5"/>
    <n v="28"/>
    <n v="3"/>
    <n v="25"/>
  </r>
  <r>
    <n v="10902"/>
    <x v="14"/>
    <x v="5"/>
    <x v="427"/>
    <d v="1998-03-23T00:00:00"/>
    <d v="1998-03-03T00:00:00"/>
    <x v="1"/>
    <n v="44.15"/>
    <s v="Folk och fä HB"/>
    <s v="Åkergatan 24"/>
    <s v="Bräcke"/>
    <s v="NULL"/>
    <s v="S-844 67"/>
    <x v="9"/>
    <n v="28"/>
    <n v="8"/>
    <n v="20"/>
  </r>
  <r>
    <n v="10903"/>
    <x v="2"/>
    <x v="3"/>
    <x v="428"/>
    <d v="1998-03-24T00:00:00"/>
    <d v="1998-03-04T00:00:00"/>
    <x v="0"/>
    <n v="36.71"/>
    <s v="Hanari Carnes"/>
    <s v="Rua do Paço 67"/>
    <s v="Rio de Janeiro"/>
    <s v="RJ"/>
    <s v="05454-876"/>
    <x v="2"/>
    <n v="28"/>
    <n v="8"/>
    <n v="20"/>
  </r>
  <r>
    <n v="10904"/>
    <x v="19"/>
    <x v="3"/>
    <x v="428"/>
    <d v="1998-03-24T00:00:00"/>
    <d v="1998-02-27T00:00:00"/>
    <x v="0"/>
    <n v="162.94999999999999"/>
    <s v="White Clover Markets"/>
    <s v="1029 - 12th Ave. S."/>
    <s v="Seattle"/>
    <s v="WA"/>
    <n v="98124"/>
    <x v="8"/>
    <n v="28"/>
    <n v="3"/>
    <n v="25"/>
  </r>
  <r>
    <n v="10905"/>
    <x v="7"/>
    <x v="4"/>
    <x v="428"/>
    <d v="1998-03-24T00:00:00"/>
    <d v="1998-03-06T00:00:00"/>
    <x v="2"/>
    <n v="13.72"/>
    <s v="Wellington Importadora"/>
    <s v="Rua do Mercado 12"/>
    <s v="Resende"/>
    <s v="SP"/>
    <s v="08737-363"/>
    <x v="2"/>
    <n v="28"/>
    <n v="10"/>
    <n v="18"/>
  </r>
  <r>
    <n v="10906"/>
    <x v="63"/>
    <x v="2"/>
    <x v="429"/>
    <d v="1998-03-11T00:00:00"/>
    <d v="1998-03-03T00:00:00"/>
    <x v="0"/>
    <n v="26.29"/>
    <s v="Wolski Zajazd"/>
    <s v="ul. Filtrowa 68"/>
    <s v="Warszawa"/>
    <s v="NULL"/>
    <s v="01-012"/>
    <x v="18"/>
    <n v="14"/>
    <n v="6"/>
    <n v="8"/>
  </r>
  <r>
    <n v="10907"/>
    <x v="87"/>
    <x v="1"/>
    <x v="429"/>
    <d v="1998-03-25T00:00:00"/>
    <d v="1998-02-27T00:00:00"/>
    <x v="0"/>
    <n v="9.19"/>
    <s v="Spécialités du monde"/>
    <s v="25  rue Lauriston"/>
    <s v="Paris"/>
    <s v="NULL"/>
    <n v="75016"/>
    <x v="0"/>
    <n v="28"/>
    <n v="2"/>
    <n v="26"/>
  </r>
  <r>
    <n v="10908"/>
    <x v="30"/>
    <x v="2"/>
    <x v="430"/>
    <d v="1998-03-26T00:00:00"/>
    <d v="1998-03-06T00:00:00"/>
    <x v="2"/>
    <n v="32.96"/>
    <s v="Reggiani Caseifici"/>
    <s v="Strada Provinciale 124"/>
    <s v="Reggio Emilia"/>
    <s v="NULL"/>
    <n v="42100"/>
    <x v="11"/>
    <n v="28"/>
    <n v="8"/>
    <n v="20"/>
  </r>
  <r>
    <n v="10909"/>
    <x v="65"/>
    <x v="5"/>
    <x v="430"/>
    <d v="1998-03-26T00:00:00"/>
    <d v="1998-03-10T00:00:00"/>
    <x v="2"/>
    <n v="53.05"/>
    <s v="Santé Gourmet"/>
    <s v="Erling Skakkes gate 78"/>
    <s v="Stavern"/>
    <s v="NULL"/>
    <n v="4110"/>
    <x v="19"/>
    <n v="28"/>
    <n v="12"/>
    <n v="16"/>
  </r>
  <r>
    <n v="10910"/>
    <x v="83"/>
    <x v="5"/>
    <x v="430"/>
    <d v="1998-03-26T00:00:00"/>
    <d v="1998-03-04T00:00:00"/>
    <x v="0"/>
    <n v="38.11"/>
    <s v="Wilman Kala"/>
    <s v="Keskuskatu 45"/>
    <s v="Helsinki"/>
    <s v="NULL"/>
    <n v="21240"/>
    <x v="10"/>
    <n v="28"/>
    <n v="6"/>
    <n v="22"/>
  </r>
  <r>
    <n v="10911"/>
    <x v="36"/>
    <x v="3"/>
    <x v="430"/>
    <d v="1998-03-26T00:00:00"/>
    <d v="1998-03-05T00:00:00"/>
    <x v="1"/>
    <n v="38.19"/>
    <s v="Godos Cocina Típica"/>
    <s v="C/ Romero 33"/>
    <s v="Sevilla"/>
    <s v="NULL"/>
    <n v="41101"/>
    <x v="12"/>
    <n v="28"/>
    <n v="7"/>
    <n v="21"/>
  </r>
  <r>
    <n v="10912"/>
    <x v="34"/>
    <x v="7"/>
    <x v="430"/>
    <d v="1998-03-26T00:00:00"/>
    <d v="1998-03-18T00:00:00"/>
    <x v="2"/>
    <n v="580.91"/>
    <s v="Hungry Owl All-Night Grocers"/>
    <s v="8 Johnstown Road"/>
    <s v="Cork"/>
    <s v="Co. Cork"/>
    <s v="NULL"/>
    <x v="14"/>
    <n v="28"/>
    <n v="20"/>
    <n v="8"/>
  </r>
  <r>
    <n v="10913"/>
    <x v="62"/>
    <x v="2"/>
    <x v="430"/>
    <d v="1998-03-26T00:00:00"/>
    <d v="1998-03-04T00:00:00"/>
    <x v="1"/>
    <n v="33.049999999999997"/>
    <s v="Queen Cozinha"/>
    <s v="Alameda dos Canàrios 891"/>
    <s v="Sao Paulo"/>
    <s v="SP"/>
    <s v="05487-020"/>
    <x v="2"/>
    <n v="28"/>
    <n v="6"/>
    <n v="22"/>
  </r>
  <r>
    <n v="10914"/>
    <x v="62"/>
    <x v="1"/>
    <x v="431"/>
    <d v="1998-03-27T00:00:00"/>
    <d v="1998-03-02T00:00:00"/>
    <x v="1"/>
    <n v="21.19"/>
    <s v="Queen Cozinha"/>
    <s v="Alameda dos Canàrios 891"/>
    <s v="Sao Paulo"/>
    <s v="SP"/>
    <s v="05487-020"/>
    <x v="2"/>
    <n v="28"/>
    <n v="3"/>
    <n v="25"/>
  </r>
  <r>
    <n v="10915"/>
    <x v="23"/>
    <x v="7"/>
    <x v="431"/>
    <d v="1998-03-27T00:00:00"/>
    <d v="1998-03-02T00:00:00"/>
    <x v="2"/>
    <n v="3.51"/>
    <s v="Tortuga Restaurante"/>
    <s v="Avda. Azteca 123"/>
    <s v="México D.F."/>
    <s v="NULL"/>
    <n v="5033"/>
    <x v="7"/>
    <n v="28"/>
    <n v="3"/>
    <n v="25"/>
  </r>
  <r>
    <n v="10916"/>
    <x v="73"/>
    <x v="5"/>
    <x v="431"/>
    <d v="1998-03-27T00:00:00"/>
    <d v="1998-03-09T00:00:00"/>
    <x v="2"/>
    <n v="63.77"/>
    <s v="Rancho grande"/>
    <s v="Av. del Libertador 900"/>
    <s v="Buenos Aires"/>
    <s v="NULL"/>
    <n v="1010"/>
    <x v="20"/>
    <n v="28"/>
    <n v="10"/>
    <n v="18"/>
  </r>
  <r>
    <n v="10917"/>
    <x v="27"/>
    <x v="2"/>
    <x v="432"/>
    <d v="1998-03-30T00:00:00"/>
    <d v="1998-03-11T00:00:00"/>
    <x v="2"/>
    <n v="8.2899999999999991"/>
    <s v="Romero y tomillo"/>
    <s v="Gran Vía 1"/>
    <s v="Madrid"/>
    <s v="NULL"/>
    <n v="28001"/>
    <x v="12"/>
    <n v="28"/>
    <n v="9"/>
    <n v="19"/>
  </r>
  <r>
    <n v="10918"/>
    <x v="66"/>
    <x v="3"/>
    <x v="432"/>
    <d v="1998-03-30T00:00:00"/>
    <d v="1998-03-11T00:00:00"/>
    <x v="0"/>
    <n v="48.83"/>
    <s v="Bottom-Dollar Markets"/>
    <s v="23 Tsawassen Blvd."/>
    <s v="Tsawassen"/>
    <s v="BC"/>
    <s v="T2F 8M4"/>
    <x v="16"/>
    <n v="28"/>
    <n v="9"/>
    <n v="19"/>
  </r>
  <r>
    <n v="10919"/>
    <x v="67"/>
    <x v="7"/>
    <x v="432"/>
    <d v="1998-03-30T00:00:00"/>
    <d v="1998-03-04T00:00:00"/>
    <x v="2"/>
    <n v="19.8"/>
    <s v="LINO-Delicateses"/>
    <s v="Ave. 5 de Mayo Porlamar"/>
    <s v="I. de Margarita"/>
    <s v="Nueva Esparta"/>
    <n v="4980"/>
    <x v="5"/>
    <n v="28"/>
    <n v="2"/>
    <n v="26"/>
  </r>
  <r>
    <n v="10920"/>
    <x v="55"/>
    <x v="2"/>
    <x v="433"/>
    <d v="1998-03-31T00:00:00"/>
    <d v="1998-03-09T00:00:00"/>
    <x v="2"/>
    <n v="29.61"/>
    <s v="Around the Horn"/>
    <s v="Brook Farm Stratford St. Mary"/>
    <s v="Colchester"/>
    <s v="Essex"/>
    <s v="CO7 6JX"/>
    <x v="13"/>
    <n v="28"/>
    <n v="6"/>
    <n v="22"/>
  </r>
  <r>
    <n v="10921"/>
    <x v="61"/>
    <x v="5"/>
    <x v="433"/>
    <d v="1998-04-14T00:00:00"/>
    <d v="1998-03-09T00:00:00"/>
    <x v="1"/>
    <n v="176.48"/>
    <s v="Vaffeljernet"/>
    <s v="Smagsloget 45"/>
    <s v="Århus"/>
    <s v="NULL"/>
    <n v="8200"/>
    <x v="17"/>
    <n v="42"/>
    <n v="6"/>
    <n v="36"/>
  </r>
  <r>
    <n v="10922"/>
    <x v="2"/>
    <x v="0"/>
    <x v="433"/>
    <d v="1998-03-31T00:00:00"/>
    <d v="1998-03-05T00:00:00"/>
    <x v="0"/>
    <n v="62.74"/>
    <s v="Hanari Carnes"/>
    <s v="Rua do Paço 67"/>
    <s v="Rio de Janeiro"/>
    <s v="RJ"/>
    <s v="05454-876"/>
    <x v="2"/>
    <n v="28"/>
    <n v="2"/>
    <n v="26"/>
  </r>
  <r>
    <n v="10923"/>
    <x v="53"/>
    <x v="8"/>
    <x v="433"/>
    <d v="1998-04-14T00:00:00"/>
    <d v="1998-03-13T00:00:00"/>
    <x v="0"/>
    <n v="68.260000000000005"/>
    <s v="La maison d'Asie"/>
    <s v="1 rue Alsace-Lorraine"/>
    <s v="Toulouse"/>
    <s v="NULL"/>
    <n v="31000"/>
    <x v="0"/>
    <n v="42"/>
    <n v="10"/>
    <n v="32"/>
  </r>
  <r>
    <n v="10924"/>
    <x v="25"/>
    <x v="3"/>
    <x v="434"/>
    <d v="1998-04-01T00:00:00"/>
    <d v="1998-04-08T00:00:00"/>
    <x v="2"/>
    <n v="151.52000000000001"/>
    <s v="Berglunds snabbköp"/>
    <s v="Berguvsvägen  8"/>
    <s v="Luleå"/>
    <s v="NULL"/>
    <s v="S-958 22"/>
    <x v="9"/>
    <n v="28"/>
    <n v="35"/>
    <n v="-7"/>
  </r>
  <r>
    <n v="10925"/>
    <x v="2"/>
    <x v="3"/>
    <x v="434"/>
    <d v="1998-04-01T00:00:00"/>
    <d v="1998-03-13T00:00:00"/>
    <x v="1"/>
    <n v="2.27"/>
    <s v="Hanari Carnes"/>
    <s v="Rua do Paço 67"/>
    <s v="Rio de Janeiro"/>
    <s v="RJ"/>
    <s v="05454-876"/>
    <x v="2"/>
    <n v="28"/>
    <n v="9"/>
    <n v="19"/>
  </r>
  <r>
    <n v="10926"/>
    <x v="39"/>
    <x v="2"/>
    <x v="434"/>
    <d v="1998-04-01T00:00:00"/>
    <d v="1998-03-11T00:00:00"/>
    <x v="0"/>
    <n v="39.92"/>
    <s v="Ana Trujillo Emparedados y helados"/>
    <s v="Avda. de la Constitución 2222"/>
    <s v="México D.F."/>
    <s v="NULL"/>
    <n v="5021"/>
    <x v="7"/>
    <n v="28"/>
    <n v="7"/>
    <n v="21"/>
  </r>
  <r>
    <n v="10927"/>
    <x v="88"/>
    <x v="2"/>
    <x v="435"/>
    <d v="1998-04-02T00:00:00"/>
    <d v="1998-04-08T00:00:00"/>
    <x v="1"/>
    <n v="19.79"/>
    <s v="La corne d'abondance"/>
    <s v="67  avenue de l'Europe"/>
    <s v="Versailles"/>
    <s v="NULL"/>
    <n v="78000"/>
    <x v="0"/>
    <n v="28"/>
    <n v="34"/>
    <n v="-6"/>
  </r>
  <r>
    <n v="10928"/>
    <x v="60"/>
    <x v="5"/>
    <x v="435"/>
    <d v="1998-04-02T00:00:00"/>
    <d v="1998-03-18T00:00:00"/>
    <x v="1"/>
    <n v="1.36"/>
    <s v="Galería del gastronómo"/>
    <s v="Rambla de Cataluña 23"/>
    <s v="Barcelona"/>
    <s v="NULL"/>
    <n v="8022"/>
    <x v="12"/>
    <n v="28"/>
    <n v="13"/>
    <n v="15"/>
  </r>
  <r>
    <n v="10929"/>
    <x v="17"/>
    <x v="1"/>
    <x v="435"/>
    <d v="1998-04-02T00:00:00"/>
    <d v="1998-03-12T00:00:00"/>
    <x v="1"/>
    <n v="33.93"/>
    <s v="Frankenversand"/>
    <s v="Berliner Platz 43"/>
    <s v="München"/>
    <s v="NULL"/>
    <n v="80805"/>
    <x v="1"/>
    <n v="28"/>
    <n v="7"/>
    <n v="21"/>
  </r>
  <r>
    <n v="10930"/>
    <x v="4"/>
    <x v="2"/>
    <x v="436"/>
    <d v="1998-04-17T00:00:00"/>
    <d v="1998-03-18T00:00:00"/>
    <x v="0"/>
    <n v="15.55"/>
    <s v="Suprêmes délices"/>
    <s v="Boulevard Tirou 255"/>
    <s v="Charleroi"/>
    <s v="NULL"/>
    <s v="B-6000"/>
    <x v="3"/>
    <n v="42"/>
    <n v="12"/>
    <n v="30"/>
  </r>
  <r>
    <n v="10931"/>
    <x v="6"/>
    <x v="2"/>
    <x v="436"/>
    <d v="1998-03-20T00:00:00"/>
    <d v="1998-03-19T00:00:00"/>
    <x v="2"/>
    <n v="13.6"/>
    <s v="Richter Supermarkt"/>
    <s v="Starenweg 5"/>
    <s v="Genève"/>
    <s v="NULL"/>
    <n v="1204"/>
    <x v="4"/>
    <n v="14"/>
    <n v="13"/>
    <n v="1"/>
  </r>
  <r>
    <n v="10932"/>
    <x v="48"/>
    <x v="6"/>
    <x v="436"/>
    <d v="1998-04-03T00:00:00"/>
    <d v="1998-03-24T00:00:00"/>
    <x v="1"/>
    <n v="134.63999999999999"/>
    <s v="Bon app'"/>
    <s v="12  rue des Bouchers"/>
    <s v="Marseille"/>
    <s v="NULL"/>
    <n v="13008"/>
    <x v="0"/>
    <n v="28"/>
    <n v="18"/>
    <n v="10"/>
  </r>
  <r>
    <n v="10933"/>
    <x v="42"/>
    <x v="1"/>
    <x v="436"/>
    <d v="1998-04-03T00:00:00"/>
    <d v="1998-03-16T00:00:00"/>
    <x v="0"/>
    <n v="54.15"/>
    <s v="Island Trading"/>
    <s v="Garden House Crowther Way"/>
    <s v="Cowes"/>
    <s v="Isle of Wight"/>
    <s v="PO31 7PJ"/>
    <x v="13"/>
    <n v="28"/>
    <n v="10"/>
    <n v="18"/>
  </r>
  <r>
    <n v="10934"/>
    <x v="26"/>
    <x v="3"/>
    <x v="437"/>
    <d v="1998-04-06T00:00:00"/>
    <d v="1998-03-12T00:00:00"/>
    <x v="0"/>
    <n v="32.01"/>
    <s v="Lehmanns Marktstand"/>
    <s v="Magazinweg 7"/>
    <s v="Frankfurt a.M."/>
    <s v="NULL"/>
    <n v="60528"/>
    <x v="1"/>
    <n v="28"/>
    <n v="3"/>
    <n v="25"/>
  </r>
  <r>
    <n v="10935"/>
    <x v="7"/>
    <x v="2"/>
    <x v="437"/>
    <d v="1998-04-06T00:00:00"/>
    <d v="1998-03-18T00:00:00"/>
    <x v="0"/>
    <n v="47.59"/>
    <s v="Wellington Importadora"/>
    <s v="Rua do Mercado 12"/>
    <s v="Resende"/>
    <s v="SP"/>
    <s v="08737-363"/>
    <x v="2"/>
    <n v="28"/>
    <n v="9"/>
    <n v="19"/>
  </r>
  <r>
    <n v="10936"/>
    <x v="79"/>
    <x v="3"/>
    <x v="437"/>
    <d v="1998-04-06T00:00:00"/>
    <d v="1998-03-18T00:00:00"/>
    <x v="2"/>
    <n v="33.68"/>
    <s v="Great Lakes Food Market"/>
    <s v="2732 Baker Blvd."/>
    <s v="Eugene"/>
    <s v="OR"/>
    <n v="97403"/>
    <x v="8"/>
    <n v="28"/>
    <n v="9"/>
    <n v="19"/>
  </r>
  <r>
    <n v="10937"/>
    <x v="78"/>
    <x v="8"/>
    <x v="438"/>
    <d v="1998-03-24T00:00:00"/>
    <d v="1998-03-13T00:00:00"/>
    <x v="0"/>
    <n v="31.51"/>
    <s v="Cactus Comidas para llevar"/>
    <s v="Cerrito 333"/>
    <s v="Buenos Aires"/>
    <s v="NULL"/>
    <n v="1010"/>
    <x v="20"/>
    <n v="14"/>
    <n v="3"/>
    <n v="11"/>
  </r>
  <r>
    <n v="10938"/>
    <x v="21"/>
    <x v="3"/>
    <x v="438"/>
    <d v="1998-04-07T00:00:00"/>
    <d v="1998-03-16T00:00:00"/>
    <x v="2"/>
    <n v="31.89"/>
    <s v="QUICK-Stop"/>
    <s v="Taucherstraße 10"/>
    <s v="Cunewalde"/>
    <s v="NULL"/>
    <n v="1307"/>
    <x v="1"/>
    <n v="28"/>
    <n v="6"/>
    <n v="22"/>
  </r>
  <r>
    <n v="10939"/>
    <x v="22"/>
    <x v="7"/>
    <x v="438"/>
    <d v="1998-04-07T00:00:00"/>
    <d v="1998-03-13T00:00:00"/>
    <x v="2"/>
    <n v="76.33"/>
    <s v="Magazzini Alimentari Riuniti"/>
    <s v="Via Ludovico il Moro 22"/>
    <s v="Bergamo"/>
    <s v="NULL"/>
    <n v="24100"/>
    <x v="11"/>
    <n v="28"/>
    <n v="3"/>
    <n v="25"/>
  </r>
  <r>
    <n v="10940"/>
    <x v="48"/>
    <x v="6"/>
    <x v="439"/>
    <d v="1998-04-08T00:00:00"/>
    <d v="1998-03-23T00:00:00"/>
    <x v="0"/>
    <n v="19.77"/>
    <s v="Bon app'"/>
    <s v="12  rue des Bouchers"/>
    <s v="Marseille"/>
    <s v="NULL"/>
    <n v="13008"/>
    <x v="0"/>
    <n v="28"/>
    <n v="12"/>
    <n v="16"/>
  </r>
  <r>
    <n v="10941"/>
    <x v="45"/>
    <x v="8"/>
    <x v="439"/>
    <d v="1998-04-08T00:00:00"/>
    <d v="1998-03-20T00:00:00"/>
    <x v="2"/>
    <n v="400.81"/>
    <s v="Save-a-lot Markets"/>
    <s v="187 Suffolk Ln."/>
    <s v="Boise"/>
    <s v="ID"/>
    <n v="83720"/>
    <x v="8"/>
    <n v="28"/>
    <n v="9"/>
    <n v="19"/>
  </r>
  <r>
    <n v="10942"/>
    <x v="30"/>
    <x v="4"/>
    <x v="439"/>
    <d v="1998-04-08T00:00:00"/>
    <d v="1998-03-18T00:00:00"/>
    <x v="0"/>
    <n v="17.95"/>
    <s v="Reggiani Caseifici"/>
    <s v="Strada Provinciale 124"/>
    <s v="Reggio Emilia"/>
    <s v="NULL"/>
    <n v="42100"/>
    <x v="11"/>
    <n v="28"/>
    <n v="7"/>
    <n v="21"/>
  </r>
  <r>
    <n v="10943"/>
    <x v="31"/>
    <x v="2"/>
    <x v="439"/>
    <d v="1998-04-08T00:00:00"/>
    <d v="1998-03-19T00:00:00"/>
    <x v="2"/>
    <n v="2.17"/>
    <s v="B's Beverages"/>
    <s v="Fauntleroy Circus"/>
    <s v="London"/>
    <s v="NULL"/>
    <s v="EC2 5NT"/>
    <x v="13"/>
    <n v="28"/>
    <n v="8"/>
    <n v="20"/>
  </r>
  <r>
    <n v="10944"/>
    <x v="66"/>
    <x v="1"/>
    <x v="440"/>
    <d v="1998-03-26T00:00:00"/>
    <d v="1998-03-13T00:00:00"/>
    <x v="0"/>
    <n v="52.92"/>
    <s v="Bottom-Dollar Markets"/>
    <s v="23 Tsawassen Blvd."/>
    <s v="Tsawassen"/>
    <s v="BC"/>
    <s v="T2F 8M4"/>
    <x v="16"/>
    <n v="14"/>
    <n v="1"/>
    <n v="13"/>
  </r>
  <r>
    <n v="10945"/>
    <x v="24"/>
    <x v="2"/>
    <x v="440"/>
    <d v="1998-04-09T00:00:00"/>
    <d v="1998-03-18T00:00:00"/>
    <x v="1"/>
    <n v="10.220000000000001"/>
    <s v="Morgenstern Gesundkost"/>
    <s v="Heerstr. 22"/>
    <s v="Leipzig"/>
    <s v="NULL"/>
    <n v="4179"/>
    <x v="1"/>
    <n v="28"/>
    <n v="6"/>
    <n v="22"/>
  </r>
  <r>
    <n v="10946"/>
    <x v="61"/>
    <x v="5"/>
    <x v="440"/>
    <d v="1998-04-09T00:00:00"/>
    <d v="1998-03-19T00:00:00"/>
    <x v="2"/>
    <n v="27.2"/>
    <s v="Vaffeljernet"/>
    <s v="Smagsloget 45"/>
    <s v="Århus"/>
    <s v="NULL"/>
    <n v="8200"/>
    <x v="17"/>
    <n v="28"/>
    <n v="7"/>
    <n v="21"/>
  </r>
  <r>
    <n v="10947"/>
    <x v="31"/>
    <x v="3"/>
    <x v="441"/>
    <d v="1998-04-10T00:00:00"/>
    <d v="1998-03-16T00:00:00"/>
    <x v="2"/>
    <n v="3.26"/>
    <s v="B's Beverages"/>
    <s v="Fauntleroy Circus"/>
    <s v="London"/>
    <s v="NULL"/>
    <s v="EC2 5NT"/>
    <x v="13"/>
    <n v="28"/>
    <n v="3"/>
    <n v="25"/>
  </r>
  <r>
    <n v="10948"/>
    <x v="36"/>
    <x v="3"/>
    <x v="441"/>
    <d v="1998-04-10T00:00:00"/>
    <d v="1998-03-19T00:00:00"/>
    <x v="0"/>
    <n v="23.39"/>
    <s v="Godos Cocina Típica"/>
    <s v="C/ Romero 33"/>
    <s v="Sevilla"/>
    <s v="NULL"/>
    <n v="41101"/>
    <x v="12"/>
    <n v="28"/>
    <n v="6"/>
    <n v="22"/>
  </r>
  <r>
    <n v="10949"/>
    <x v="66"/>
    <x v="7"/>
    <x v="441"/>
    <d v="1998-04-10T00:00:00"/>
    <d v="1998-03-17T00:00:00"/>
    <x v="0"/>
    <n v="74.44"/>
    <s v="Bottom-Dollar Markets"/>
    <s v="23 Tsawassen Blvd."/>
    <s v="Tsawassen"/>
    <s v="BC"/>
    <s v="T2F 8M4"/>
    <x v="16"/>
    <n v="28"/>
    <n v="4"/>
    <n v="24"/>
  </r>
  <r>
    <n v="10950"/>
    <x v="22"/>
    <x v="5"/>
    <x v="442"/>
    <d v="1998-04-13T00:00:00"/>
    <d v="1998-03-23T00:00:00"/>
    <x v="2"/>
    <n v="2.5"/>
    <s v="Magazzini Alimentari Riuniti"/>
    <s v="Via Ludovico il Moro 22"/>
    <s v="Bergamo"/>
    <s v="NULL"/>
    <n v="24100"/>
    <x v="11"/>
    <n v="28"/>
    <n v="7"/>
    <n v="21"/>
  </r>
  <r>
    <n v="10951"/>
    <x v="6"/>
    <x v="4"/>
    <x v="442"/>
    <d v="1998-04-27T00:00:00"/>
    <d v="1998-04-07T00:00:00"/>
    <x v="2"/>
    <n v="30.85"/>
    <s v="Richter Supermarkt"/>
    <s v="Starenweg 5"/>
    <s v="Genève"/>
    <s v="NULL"/>
    <n v="1204"/>
    <x v="4"/>
    <n v="42"/>
    <n v="22"/>
    <n v="20"/>
  </r>
  <r>
    <n v="10952"/>
    <x v="85"/>
    <x v="5"/>
    <x v="442"/>
    <d v="1998-04-27T00:00:00"/>
    <d v="1998-03-24T00:00:00"/>
    <x v="1"/>
    <n v="40.42"/>
    <s v="Alfred's Futterkiste"/>
    <s v="Obere Str. 57"/>
    <s v="Berlin"/>
    <s v="NULL"/>
    <n v="12209"/>
    <x v="1"/>
    <n v="42"/>
    <n v="8"/>
    <n v="34"/>
  </r>
  <r>
    <n v="10953"/>
    <x v="55"/>
    <x v="4"/>
    <x v="442"/>
    <d v="1998-03-30T00:00:00"/>
    <d v="1998-03-25T00:00:00"/>
    <x v="2"/>
    <n v="23.72"/>
    <s v="Around the Horn"/>
    <s v="Brook Farm Stratford St. Mary"/>
    <s v="Colchester"/>
    <s v="Essex"/>
    <s v="CO7 6JX"/>
    <x v="13"/>
    <n v="14"/>
    <n v="9"/>
    <n v="5"/>
  </r>
  <r>
    <n v="10954"/>
    <x v="67"/>
    <x v="0"/>
    <x v="443"/>
    <d v="1998-04-28T00:00:00"/>
    <d v="1998-03-20T00:00:00"/>
    <x v="1"/>
    <n v="27.91"/>
    <s v="LINO-Delicateses"/>
    <s v="Ave. 5 de Mayo Porlamar"/>
    <s v="I. de Margarita"/>
    <s v="Nueva Esparta"/>
    <n v="4980"/>
    <x v="5"/>
    <n v="42"/>
    <n v="3"/>
    <n v="39"/>
  </r>
  <r>
    <n v="10955"/>
    <x v="14"/>
    <x v="6"/>
    <x v="443"/>
    <d v="1998-04-14T00:00:00"/>
    <d v="1998-03-20T00:00:00"/>
    <x v="2"/>
    <n v="3.26"/>
    <s v="Folk och fä HB"/>
    <s v="Åkergatan 24"/>
    <s v="Bräcke"/>
    <s v="NULL"/>
    <s v="S-844 67"/>
    <x v="9"/>
    <n v="28"/>
    <n v="3"/>
    <n v="25"/>
  </r>
  <r>
    <n v="10956"/>
    <x v="76"/>
    <x v="1"/>
    <x v="443"/>
    <d v="1998-04-28T00:00:00"/>
    <d v="1998-03-20T00:00:00"/>
    <x v="2"/>
    <n v="44.65"/>
    <s v="Blauer See Delikatessen"/>
    <s v="Forsterstr. 57"/>
    <s v="Mannheim"/>
    <s v="NULL"/>
    <n v="68306"/>
    <x v="1"/>
    <n v="42"/>
    <n v="3"/>
    <n v="39"/>
  </r>
  <r>
    <n v="10957"/>
    <x v="8"/>
    <x v="6"/>
    <x v="444"/>
    <d v="1998-04-15T00:00:00"/>
    <d v="1998-03-27T00:00:00"/>
    <x v="0"/>
    <n v="105.36"/>
    <s v="HILARION-Abastos"/>
    <s v="Carrera 22 con Ave. Carlos Soublette #8-35"/>
    <s v="San Cristóbal"/>
    <s v="Táchira"/>
    <n v="5022"/>
    <x v="5"/>
    <n v="28"/>
    <n v="9"/>
    <n v="19"/>
  </r>
  <r>
    <n v="10958"/>
    <x v="69"/>
    <x v="8"/>
    <x v="444"/>
    <d v="1998-04-15T00:00:00"/>
    <d v="1998-03-27T00:00:00"/>
    <x v="2"/>
    <n v="49.56"/>
    <s v="Océano Atlántico Ltda."/>
    <s v="Ing. Gustavo Moncada 8585 Piso 20-A"/>
    <s v="Buenos Aires"/>
    <s v="NULL"/>
    <n v="1010"/>
    <x v="20"/>
    <n v="28"/>
    <n v="9"/>
    <n v="19"/>
  </r>
  <r>
    <n v="10959"/>
    <x v="71"/>
    <x v="1"/>
    <x v="444"/>
    <d v="1998-04-29T00:00:00"/>
    <d v="1998-03-23T00:00:00"/>
    <x v="2"/>
    <n v="4.9800000000000004"/>
    <s v="Gourmet Lanchonetes"/>
    <s v="Av. Brasil 442"/>
    <s v="Campinas"/>
    <s v="SP"/>
    <s v="04876-786"/>
    <x v="2"/>
    <n v="42"/>
    <n v="5"/>
    <n v="37"/>
  </r>
  <r>
    <n v="10960"/>
    <x v="8"/>
    <x v="3"/>
    <x v="445"/>
    <d v="1998-04-02T00:00:00"/>
    <d v="1998-04-08T00:00:00"/>
    <x v="1"/>
    <n v="2.08"/>
    <s v="HILARION-Abastos"/>
    <s v="Carrera 22 con Ave. Carlos Soublette #8-35"/>
    <s v="San Cristóbal"/>
    <s v="Táchira"/>
    <n v="5022"/>
    <x v="5"/>
    <n v="14"/>
    <n v="20"/>
    <n v="-6"/>
  </r>
  <r>
    <n v="10961"/>
    <x v="62"/>
    <x v="6"/>
    <x v="445"/>
    <d v="1998-04-16T00:00:00"/>
    <d v="1998-03-30T00:00:00"/>
    <x v="1"/>
    <n v="104.47"/>
    <s v="Queen Cozinha"/>
    <s v="Alameda dos Canàrios 891"/>
    <s v="Sao Paulo"/>
    <s v="SP"/>
    <s v="05487-020"/>
    <x v="2"/>
    <n v="28"/>
    <n v="11"/>
    <n v="17"/>
  </r>
  <r>
    <n v="10962"/>
    <x v="21"/>
    <x v="6"/>
    <x v="445"/>
    <d v="1998-04-16T00:00:00"/>
    <d v="1998-03-23T00:00:00"/>
    <x v="2"/>
    <n v="275.79000000000002"/>
    <s v="QUICK-Stop"/>
    <s v="Taucherstraße 10"/>
    <s v="Cunewalde"/>
    <s v="NULL"/>
    <n v="1307"/>
    <x v="1"/>
    <n v="28"/>
    <n v="4"/>
    <n v="24"/>
  </r>
  <r>
    <n v="10963"/>
    <x v="47"/>
    <x v="4"/>
    <x v="445"/>
    <d v="1998-04-16T00:00:00"/>
    <d v="1998-03-26T00:00:00"/>
    <x v="0"/>
    <n v="2.7"/>
    <s v="Furia Bacalhau e Frutos do Mar"/>
    <s v="Jardim das rosas n. 32"/>
    <s v="Lisboa"/>
    <s v="NULL"/>
    <n v="1675"/>
    <x v="15"/>
    <n v="28"/>
    <n v="7"/>
    <n v="21"/>
  </r>
  <r>
    <n v="10964"/>
    <x v="87"/>
    <x v="3"/>
    <x v="446"/>
    <d v="1998-04-17T00:00:00"/>
    <d v="1998-03-24T00:00:00"/>
    <x v="2"/>
    <n v="87.38"/>
    <s v="Spécialités du monde"/>
    <s v="25  rue Lauriston"/>
    <s v="Paris"/>
    <s v="NULL"/>
    <n v="75016"/>
    <x v="0"/>
    <n v="28"/>
    <n v="4"/>
    <n v="24"/>
  </r>
  <r>
    <n v="10965"/>
    <x v="37"/>
    <x v="1"/>
    <x v="446"/>
    <d v="1998-04-17T00:00:00"/>
    <d v="1998-03-30T00:00:00"/>
    <x v="0"/>
    <n v="144.38"/>
    <s v="Old World Delicatessen"/>
    <s v="2743 Bering St."/>
    <s v="Anchorage"/>
    <s v="AK"/>
    <n v="99508"/>
    <x v="8"/>
    <n v="28"/>
    <n v="10"/>
    <n v="18"/>
  </r>
  <r>
    <n v="10966"/>
    <x v="5"/>
    <x v="2"/>
    <x v="446"/>
    <d v="1998-04-17T00:00:00"/>
    <d v="1998-04-08T00:00:00"/>
    <x v="1"/>
    <n v="27.19"/>
    <s v="Chop-suey Chinese"/>
    <s v="Hauptstr. 31"/>
    <s v="Bern"/>
    <s v="NULL"/>
    <n v="3012"/>
    <x v="4"/>
    <n v="28"/>
    <n v="19"/>
    <n v="9"/>
  </r>
  <r>
    <n v="10967"/>
    <x v="1"/>
    <x v="7"/>
    <x v="447"/>
    <d v="1998-04-20T00:00:00"/>
    <d v="1998-04-02T00:00:00"/>
    <x v="2"/>
    <n v="62.22"/>
    <s v="Toms Spezialitäten"/>
    <s v="Luisenstr. 48"/>
    <s v="Münster"/>
    <s v="NULL"/>
    <n v="44087"/>
    <x v="1"/>
    <n v="28"/>
    <n v="10"/>
    <n v="18"/>
  </r>
  <r>
    <n v="10968"/>
    <x v="9"/>
    <x v="5"/>
    <x v="447"/>
    <d v="1998-04-20T00:00:00"/>
    <d v="1998-04-01T00:00:00"/>
    <x v="0"/>
    <n v="74.599999999999994"/>
    <s v="Ernst Handel"/>
    <s v="Kirchgasse 6"/>
    <s v="Graz"/>
    <s v="NULL"/>
    <n v="8010"/>
    <x v="6"/>
    <n v="28"/>
    <n v="9"/>
    <n v="19"/>
  </r>
  <r>
    <n v="10969"/>
    <x v="32"/>
    <x v="5"/>
    <x v="447"/>
    <d v="1998-04-20T00:00:00"/>
    <d v="1998-03-30T00:00:00"/>
    <x v="2"/>
    <n v="0.21"/>
    <s v="Comércio Mineiro"/>
    <s v="Av. dos Lusíadas 23"/>
    <s v="Sao Paulo"/>
    <s v="SP"/>
    <s v="05432-043"/>
    <x v="2"/>
    <n v="28"/>
    <n v="7"/>
    <n v="21"/>
  </r>
  <r>
    <n v="10970"/>
    <x v="46"/>
    <x v="4"/>
    <x v="448"/>
    <d v="1998-04-07T00:00:00"/>
    <d v="1998-04-24T00:00:00"/>
    <x v="1"/>
    <n v="16.16"/>
    <s v="Bólido Comidas preparadas"/>
    <s v="C/ Araquil 67"/>
    <s v="Madrid"/>
    <s v="NULL"/>
    <n v="28023"/>
    <x v="12"/>
    <n v="14"/>
    <n v="31"/>
    <n v="-17"/>
  </r>
  <r>
    <n v="10971"/>
    <x v="86"/>
    <x v="7"/>
    <x v="448"/>
    <d v="1998-04-21T00:00:00"/>
    <d v="1998-04-02T00:00:00"/>
    <x v="2"/>
    <n v="121.82"/>
    <s v="France restauration"/>
    <s v="54  rue Royale"/>
    <s v="Nantes"/>
    <s v="NULL"/>
    <n v="44000"/>
    <x v="0"/>
    <n v="28"/>
    <n v="9"/>
    <n v="19"/>
  </r>
  <r>
    <n v="10972"/>
    <x v="88"/>
    <x v="2"/>
    <x v="448"/>
    <d v="1998-04-21T00:00:00"/>
    <d v="1998-03-26T00:00:00"/>
    <x v="2"/>
    <n v="0.02"/>
    <s v="La corne d'abondance"/>
    <s v="67  avenue de l'Europe"/>
    <s v="Versailles"/>
    <s v="NULL"/>
    <n v="78000"/>
    <x v="0"/>
    <n v="28"/>
    <n v="2"/>
    <n v="26"/>
  </r>
  <r>
    <n v="10973"/>
    <x v="88"/>
    <x v="1"/>
    <x v="448"/>
    <d v="1998-04-21T00:00:00"/>
    <d v="1998-03-27T00:00:00"/>
    <x v="2"/>
    <n v="15.17"/>
    <s v="La corne d'abondance"/>
    <s v="67  avenue de l'Europe"/>
    <s v="Versailles"/>
    <s v="NULL"/>
    <n v="78000"/>
    <x v="0"/>
    <n v="28"/>
    <n v="3"/>
    <n v="25"/>
  </r>
  <r>
    <n v="10974"/>
    <x v="20"/>
    <x v="3"/>
    <x v="449"/>
    <d v="1998-04-08T00:00:00"/>
    <d v="1998-04-03T00:00:00"/>
    <x v="0"/>
    <n v="12.96"/>
    <s v="Split Rail Beer &amp; Ale"/>
    <s v="P.O. Box 555"/>
    <s v="Lander"/>
    <s v="WY"/>
    <n v="82520"/>
    <x v="8"/>
    <n v="14"/>
    <n v="9"/>
    <n v="5"/>
  </r>
  <r>
    <n v="10975"/>
    <x v="66"/>
    <x v="5"/>
    <x v="449"/>
    <d v="1998-04-22T00:00:00"/>
    <d v="1998-03-27T00:00:00"/>
    <x v="0"/>
    <n v="32.270000000000003"/>
    <s v="Bottom-Dollar Markets"/>
    <s v="23 Tsawassen Blvd."/>
    <s v="Tsawassen"/>
    <s v="BC"/>
    <s v="T2F 8M4"/>
    <x v="16"/>
    <n v="28"/>
    <n v="2"/>
    <n v="26"/>
  </r>
  <r>
    <n v="10976"/>
    <x v="8"/>
    <x v="5"/>
    <x v="449"/>
    <d v="1998-05-06T00:00:00"/>
    <d v="1998-04-03T00:00:00"/>
    <x v="1"/>
    <n v="37.97"/>
    <s v="HILARION-Abastos"/>
    <s v="Carrera 22 con Ave. Carlos Soublette #8-35"/>
    <s v="San Cristóbal"/>
    <s v="Táchira"/>
    <n v="5022"/>
    <x v="5"/>
    <n v="42"/>
    <n v="9"/>
    <n v="33"/>
  </r>
  <r>
    <n v="10977"/>
    <x v="14"/>
    <x v="6"/>
    <x v="450"/>
    <d v="1998-04-23T00:00:00"/>
    <d v="1998-04-10T00:00:00"/>
    <x v="0"/>
    <n v="208.5"/>
    <s v="Folk och fä HB"/>
    <s v="Åkergatan 24"/>
    <s v="Bräcke"/>
    <s v="NULL"/>
    <s v="S-844 67"/>
    <x v="9"/>
    <n v="28"/>
    <n v="15"/>
    <n v="13"/>
  </r>
  <r>
    <n v="10978"/>
    <x v="80"/>
    <x v="4"/>
    <x v="450"/>
    <d v="1998-04-23T00:00:00"/>
    <d v="1998-04-23T00:00:00"/>
    <x v="2"/>
    <n v="32.82"/>
    <s v="Maison Dewey"/>
    <s v="Rue Joseph-Bens 532"/>
    <s v="Bruxelles"/>
    <s v="NULL"/>
    <s v="B-1180"/>
    <x v="3"/>
    <n v="28"/>
    <n v="28"/>
    <n v="0"/>
  </r>
  <r>
    <n v="10979"/>
    <x v="9"/>
    <x v="6"/>
    <x v="450"/>
    <d v="1998-04-23T00:00:00"/>
    <d v="1998-03-31T00:00:00"/>
    <x v="2"/>
    <n v="353.07"/>
    <s v="Ernst Handel"/>
    <s v="Kirchgasse 6"/>
    <s v="Graz"/>
    <s v="NULL"/>
    <n v="8010"/>
    <x v="6"/>
    <n v="28"/>
    <n v="5"/>
    <n v="23"/>
  </r>
  <r>
    <n v="10980"/>
    <x v="14"/>
    <x v="2"/>
    <x v="451"/>
    <d v="1998-05-08T00:00:00"/>
    <d v="1998-04-17T00:00:00"/>
    <x v="1"/>
    <n v="1.26"/>
    <s v="Folk och fä HB"/>
    <s v="Åkergatan 24"/>
    <s v="Bräcke"/>
    <s v="NULL"/>
    <s v="S-844 67"/>
    <x v="9"/>
    <n v="42"/>
    <n v="21"/>
    <n v="21"/>
  </r>
  <r>
    <n v="10981"/>
    <x v="2"/>
    <x v="5"/>
    <x v="451"/>
    <d v="1998-04-24T00:00:00"/>
    <d v="1998-04-02T00:00:00"/>
    <x v="2"/>
    <n v="193.37"/>
    <s v="Hanari Carnes"/>
    <s v="Rua do Paço 67"/>
    <s v="Rio de Janeiro"/>
    <s v="RJ"/>
    <s v="05454-876"/>
    <x v="2"/>
    <n v="28"/>
    <n v="6"/>
    <n v="22"/>
  </r>
  <r>
    <n v="10982"/>
    <x v="66"/>
    <x v="7"/>
    <x v="451"/>
    <d v="1998-04-24T00:00:00"/>
    <d v="1998-04-08T00:00:00"/>
    <x v="1"/>
    <n v="14.01"/>
    <s v="Bottom-Dollar Markets"/>
    <s v="23 Tsawassen Blvd."/>
    <s v="Tsawassen"/>
    <s v="BC"/>
    <s v="T2F 8M4"/>
    <x v="16"/>
    <n v="28"/>
    <n v="12"/>
    <n v="16"/>
  </r>
  <r>
    <n v="10983"/>
    <x v="45"/>
    <x v="7"/>
    <x v="451"/>
    <d v="1998-04-24T00:00:00"/>
    <d v="1998-04-06T00:00:00"/>
    <x v="2"/>
    <n v="657.54"/>
    <s v="Save-a-lot Markets"/>
    <s v="187 Suffolk Ln."/>
    <s v="Boise"/>
    <s v="ID"/>
    <n v="83720"/>
    <x v="8"/>
    <n v="28"/>
    <n v="10"/>
    <n v="18"/>
  </r>
  <r>
    <n v="10984"/>
    <x v="45"/>
    <x v="5"/>
    <x v="452"/>
    <d v="1998-04-27T00:00:00"/>
    <d v="1998-04-03T00:00:00"/>
    <x v="0"/>
    <n v="211.22"/>
    <s v="Save-a-lot Markets"/>
    <s v="187 Suffolk Ln."/>
    <s v="Boise"/>
    <s v="ID"/>
    <n v="83720"/>
    <x v="8"/>
    <n v="28"/>
    <n v="4"/>
    <n v="24"/>
  </r>
  <r>
    <n v="10985"/>
    <x v="34"/>
    <x v="7"/>
    <x v="452"/>
    <d v="1998-04-27T00:00:00"/>
    <d v="1998-04-02T00:00:00"/>
    <x v="1"/>
    <n v="91.51"/>
    <s v="Hungry Owl All-Night Grocers"/>
    <s v="8 Johnstown Road"/>
    <s v="Cork"/>
    <s v="Co. Cork"/>
    <s v="NULL"/>
    <x v="14"/>
    <n v="28"/>
    <n v="3"/>
    <n v="25"/>
  </r>
  <r>
    <n v="10986"/>
    <x v="69"/>
    <x v="6"/>
    <x v="452"/>
    <d v="1998-04-27T00:00:00"/>
    <d v="1998-04-21T00:00:00"/>
    <x v="2"/>
    <n v="217.86"/>
    <s v="Océano Atlántico Ltda."/>
    <s v="Ing. Gustavo Moncada 8585 Piso 20-A"/>
    <s v="Buenos Aires"/>
    <s v="NULL"/>
    <n v="1010"/>
    <x v="20"/>
    <n v="28"/>
    <n v="22"/>
    <n v="6"/>
  </r>
  <r>
    <n v="10987"/>
    <x v="58"/>
    <x v="6"/>
    <x v="453"/>
    <d v="1998-04-28T00:00:00"/>
    <d v="1998-04-06T00:00:00"/>
    <x v="1"/>
    <n v="185.48"/>
    <s v="Eastern Connection"/>
    <s v="35 King George"/>
    <s v="London"/>
    <s v="NULL"/>
    <s v="WX3 6FW"/>
    <x v="13"/>
    <n v="28"/>
    <n v="6"/>
    <n v="22"/>
  </r>
  <r>
    <n v="10988"/>
    <x v="13"/>
    <x v="3"/>
    <x v="453"/>
    <d v="1998-04-28T00:00:00"/>
    <d v="1998-04-10T00:00:00"/>
    <x v="2"/>
    <n v="61.14"/>
    <s v="Rattlesnake Canyon Grocery"/>
    <s v="2817 Milton Dr."/>
    <s v="Albuquerque"/>
    <s v="NM"/>
    <n v="87110"/>
    <x v="8"/>
    <n v="28"/>
    <n v="10"/>
    <n v="18"/>
  </r>
  <r>
    <n v="10989"/>
    <x v="12"/>
    <x v="7"/>
    <x v="453"/>
    <d v="1998-04-28T00:00:00"/>
    <d v="1998-04-02T00:00:00"/>
    <x v="1"/>
    <n v="34.76"/>
    <s v="Que Delícia"/>
    <s v="Rua da Panificadora 12"/>
    <s v="Rio de Janeiro"/>
    <s v="RJ"/>
    <s v="02389-673"/>
    <x v="2"/>
    <n v="28"/>
    <n v="2"/>
    <n v="26"/>
  </r>
  <r>
    <n v="10990"/>
    <x v="9"/>
    <x v="7"/>
    <x v="454"/>
    <d v="1998-05-13T00:00:00"/>
    <d v="1998-04-07T00:00:00"/>
    <x v="0"/>
    <n v="117.61"/>
    <s v="Ernst Handel"/>
    <s v="Kirchgasse 6"/>
    <s v="Graz"/>
    <s v="NULL"/>
    <n v="8010"/>
    <x v="6"/>
    <n v="42"/>
    <n v="6"/>
    <n v="36"/>
  </r>
  <r>
    <n v="10991"/>
    <x v="21"/>
    <x v="5"/>
    <x v="454"/>
    <d v="1998-04-29T00:00:00"/>
    <d v="1998-04-07T00:00:00"/>
    <x v="1"/>
    <n v="38.51"/>
    <s v="QUICK-Stop"/>
    <s v="Taucherstraße 10"/>
    <s v="Cunewalde"/>
    <s v="NULL"/>
    <n v="1307"/>
    <x v="1"/>
    <n v="28"/>
    <n v="6"/>
    <n v="22"/>
  </r>
  <r>
    <n v="10992"/>
    <x v="40"/>
    <x v="5"/>
    <x v="454"/>
    <d v="1998-04-29T00:00:00"/>
    <d v="1998-04-03T00:00:00"/>
    <x v="0"/>
    <n v="4.2699999999999996"/>
    <s v="The Big Cheese"/>
    <s v="89 Jefferson Way Suite 2"/>
    <s v="Portland"/>
    <s v="OR"/>
    <n v="97201"/>
    <x v="8"/>
    <n v="28"/>
    <n v="2"/>
    <n v="26"/>
  </r>
  <r>
    <n v="10993"/>
    <x v="14"/>
    <x v="8"/>
    <x v="454"/>
    <d v="1998-04-29T00:00:00"/>
    <d v="1998-04-10T00:00:00"/>
    <x v="0"/>
    <n v="8.81"/>
    <s v="Folk och fä HB"/>
    <s v="Åkergatan 24"/>
    <s v="Bräcke"/>
    <s v="NULL"/>
    <s v="S-844 67"/>
    <x v="9"/>
    <n v="28"/>
    <n v="9"/>
    <n v="19"/>
  </r>
  <r>
    <n v="10994"/>
    <x v="61"/>
    <x v="7"/>
    <x v="455"/>
    <d v="1998-04-16T00:00:00"/>
    <d v="1998-04-09T00:00:00"/>
    <x v="0"/>
    <n v="65.53"/>
    <s v="Vaffeljernet"/>
    <s v="Smagsloget 45"/>
    <s v="Århus"/>
    <s v="NULL"/>
    <n v="8200"/>
    <x v="17"/>
    <n v="14"/>
    <n v="7"/>
    <n v="7"/>
  </r>
  <r>
    <n v="10995"/>
    <x v="43"/>
    <x v="5"/>
    <x v="455"/>
    <d v="1998-04-30T00:00:00"/>
    <d v="1998-04-06T00:00:00"/>
    <x v="0"/>
    <n v="46"/>
    <s v="Pericles Comidas clásicas"/>
    <s v="Calle Dr. Jorge Cash 321"/>
    <s v="México D.F."/>
    <s v="NULL"/>
    <n v="5033"/>
    <x v="7"/>
    <n v="28"/>
    <n v="4"/>
    <n v="24"/>
  </r>
  <r>
    <n v="10996"/>
    <x v="21"/>
    <x v="2"/>
    <x v="455"/>
    <d v="1998-04-30T00:00:00"/>
    <d v="1998-04-10T00:00:00"/>
    <x v="2"/>
    <n v="1.1200000000000001"/>
    <s v="QUICK-Stop"/>
    <s v="Taucherstraße 10"/>
    <s v="Cunewalde"/>
    <s v="NULL"/>
    <n v="1307"/>
    <x v="1"/>
    <n v="28"/>
    <n v="8"/>
    <n v="20"/>
  </r>
  <r>
    <n v="10997"/>
    <x v="28"/>
    <x v="6"/>
    <x v="456"/>
    <d v="1998-05-15T00:00:00"/>
    <d v="1998-04-13T00:00:00"/>
    <x v="2"/>
    <n v="73.91"/>
    <s v="LILA-Supermercado"/>
    <s v="Carrera 52 con Ave. Bolívar #65-98 Llano Largo"/>
    <s v="Barquisimeto"/>
    <s v="Lara"/>
    <n v="3508"/>
    <x v="5"/>
    <n v="42"/>
    <n v="10"/>
    <n v="32"/>
  </r>
  <r>
    <n v="10998"/>
    <x v="63"/>
    <x v="6"/>
    <x v="456"/>
    <d v="1998-04-17T00:00:00"/>
    <d v="1998-04-17T00:00:00"/>
    <x v="2"/>
    <n v="20.309999999999999"/>
    <s v="Wolski Zajazd"/>
    <s v="ul. Filtrowa 68"/>
    <s v="Warszawa"/>
    <s v="NULL"/>
    <s v="01-012"/>
    <x v="18"/>
    <n v="14"/>
    <n v="14"/>
    <n v="0"/>
  </r>
  <r>
    <n v="10999"/>
    <x v="11"/>
    <x v="1"/>
    <x v="456"/>
    <d v="1998-05-01T00:00:00"/>
    <d v="1998-04-10T00:00:00"/>
    <x v="2"/>
    <n v="96.35"/>
    <s v="Ottilies Käseladen"/>
    <s v="Mehrheimerstr. 369"/>
    <s v="Köln"/>
    <s v="NULL"/>
    <n v="50739"/>
    <x v="1"/>
    <n v="28"/>
    <n v="7"/>
    <n v="21"/>
  </r>
  <r>
    <n v="11000"/>
    <x v="13"/>
    <x v="7"/>
    <x v="457"/>
    <d v="1998-05-04T00:00:00"/>
    <d v="1998-04-14T00:00:00"/>
    <x v="0"/>
    <n v="55.12"/>
    <s v="Rattlesnake Canyon Grocery"/>
    <s v="2817 Milton Dr."/>
    <s v="Albuquerque"/>
    <s v="NM"/>
    <n v="87110"/>
    <x v="8"/>
    <n v="28"/>
    <n v="8"/>
    <n v="20"/>
  </r>
  <r>
    <n v="11001"/>
    <x v="14"/>
    <x v="7"/>
    <x v="457"/>
    <d v="1998-05-04T00:00:00"/>
    <d v="1998-04-14T00:00:00"/>
    <x v="2"/>
    <n v="197.3"/>
    <s v="Folk och fä HB"/>
    <s v="Åkergatan 24"/>
    <s v="Bräcke"/>
    <s v="NULL"/>
    <s v="S-844 67"/>
    <x v="9"/>
    <n v="28"/>
    <n v="8"/>
    <n v="20"/>
  </r>
  <r>
    <n v="11002"/>
    <x v="45"/>
    <x v="2"/>
    <x v="457"/>
    <d v="1998-05-04T00:00:00"/>
    <d v="1998-04-16T00:00:00"/>
    <x v="1"/>
    <n v="141.16"/>
    <s v="Save-a-lot Markets"/>
    <s v="187 Suffolk Ln."/>
    <s v="Boise"/>
    <s v="ID"/>
    <n v="83720"/>
    <x v="8"/>
    <n v="28"/>
    <n v="10"/>
    <n v="18"/>
  </r>
  <r>
    <n v="11003"/>
    <x v="84"/>
    <x v="3"/>
    <x v="457"/>
    <d v="1998-05-04T00:00:00"/>
    <d v="1998-04-08T00:00:00"/>
    <x v="0"/>
    <n v="14.91"/>
    <s v="The Cracker Box"/>
    <s v="55 Grizzly Peak Rd."/>
    <s v="Butte"/>
    <s v="MT"/>
    <n v="59801"/>
    <x v="8"/>
    <n v="28"/>
    <n v="2"/>
    <n v="26"/>
  </r>
  <r>
    <n v="11004"/>
    <x v="80"/>
    <x v="3"/>
    <x v="458"/>
    <d v="1998-05-05T00:00:00"/>
    <d v="1998-04-20T00:00:00"/>
    <x v="1"/>
    <n v="44.84"/>
    <s v="Maison Dewey"/>
    <s v="Rue Joseph-Bens 532"/>
    <s v="Bruxelles"/>
    <s v="NULL"/>
    <s v="B-1180"/>
    <x v="3"/>
    <n v="28"/>
    <n v="13"/>
    <n v="15"/>
  </r>
  <r>
    <n v="11005"/>
    <x v="83"/>
    <x v="7"/>
    <x v="458"/>
    <d v="1998-05-05T00:00:00"/>
    <d v="1998-04-10T00:00:00"/>
    <x v="1"/>
    <n v="0.75"/>
    <s v="Wilman Kala"/>
    <s v="Keskuskatu 45"/>
    <s v="Helsinki"/>
    <s v="NULL"/>
    <n v="21240"/>
    <x v="10"/>
    <n v="28"/>
    <n v="3"/>
    <n v="25"/>
  </r>
  <r>
    <n v="11006"/>
    <x v="79"/>
    <x v="3"/>
    <x v="458"/>
    <d v="1998-05-05T00:00:00"/>
    <d v="1998-04-15T00:00:00"/>
    <x v="2"/>
    <n v="25.19"/>
    <s v="Great Lakes Food Market"/>
    <s v="2732 Baker Blvd."/>
    <s v="Eugene"/>
    <s v="OR"/>
    <n v="97403"/>
    <x v="8"/>
    <n v="28"/>
    <n v="8"/>
    <n v="20"/>
  </r>
  <r>
    <n v="11007"/>
    <x v="50"/>
    <x v="6"/>
    <x v="459"/>
    <d v="1998-05-06T00:00:00"/>
    <d v="1998-04-13T00:00:00"/>
    <x v="2"/>
    <n v="202.24"/>
    <s v="Princesa Isabel Vinhos"/>
    <s v="Estrada da saúde n. 58"/>
    <s v="Lisboa"/>
    <s v="NULL"/>
    <n v="1756"/>
    <x v="15"/>
    <n v="28"/>
    <n v="5"/>
    <n v="23"/>
  </r>
  <r>
    <n v="11008"/>
    <x v="9"/>
    <x v="8"/>
    <x v="459"/>
    <d v="1998-05-06T00:00:00"/>
    <s v="NULL"/>
    <x v="0"/>
    <n v="79.459999999999994"/>
    <s v="Ernst Handel"/>
    <s v="Kirchgasse 6"/>
    <s v="Graz"/>
    <s v="NULL"/>
    <n v="8010"/>
    <x v="6"/>
    <n v="28"/>
    <e v="#VALUE!"/>
    <e v="#VALUE!"/>
  </r>
  <r>
    <n v="11009"/>
    <x v="36"/>
    <x v="7"/>
    <x v="459"/>
    <d v="1998-05-06T00:00:00"/>
    <d v="1998-04-10T00:00:00"/>
    <x v="1"/>
    <n v="59.11"/>
    <s v="Godos Cocina Típica"/>
    <s v="C/ Romero 33"/>
    <s v="Sevilla"/>
    <s v="NULL"/>
    <n v="41101"/>
    <x v="12"/>
    <n v="28"/>
    <n v="2"/>
    <n v="26"/>
  </r>
  <r>
    <n v="11010"/>
    <x v="30"/>
    <x v="7"/>
    <x v="460"/>
    <d v="1998-05-07T00:00:00"/>
    <d v="1998-04-21T00:00:00"/>
    <x v="2"/>
    <n v="28.71"/>
    <s v="Reggiani Caseifici"/>
    <s v="Strada Provinciale 124"/>
    <s v="Reggio Emilia"/>
    <s v="NULL"/>
    <n v="42100"/>
    <x v="11"/>
    <n v="28"/>
    <n v="12"/>
    <n v="16"/>
  </r>
  <r>
    <n v="11011"/>
    <x v="85"/>
    <x v="3"/>
    <x v="460"/>
    <d v="1998-05-07T00:00:00"/>
    <d v="1998-04-13T00:00:00"/>
    <x v="1"/>
    <n v="1.21"/>
    <s v="Alfred's Futterkiste"/>
    <s v="Obere Str. 57"/>
    <s v="Berlin"/>
    <s v="NULL"/>
    <n v="12209"/>
    <x v="1"/>
    <n v="28"/>
    <n v="4"/>
    <n v="24"/>
  </r>
  <r>
    <n v="11012"/>
    <x v="17"/>
    <x v="5"/>
    <x v="460"/>
    <d v="1998-04-23T00:00:00"/>
    <d v="1998-04-17T00:00:00"/>
    <x v="0"/>
    <n v="242.95"/>
    <s v="Frankenversand"/>
    <s v="Berliner Platz 43"/>
    <s v="München"/>
    <s v="NULL"/>
    <n v="80805"/>
    <x v="1"/>
    <n v="14"/>
    <n v="8"/>
    <n v="6"/>
  </r>
  <r>
    <n v="11013"/>
    <x v="27"/>
    <x v="7"/>
    <x v="460"/>
    <d v="1998-05-07T00:00:00"/>
    <d v="1998-04-10T00:00:00"/>
    <x v="1"/>
    <n v="32.99"/>
    <s v="Romero y tomillo"/>
    <s v="Gran Vía 1"/>
    <s v="Madrid"/>
    <s v="NULL"/>
    <n v="28001"/>
    <x v="12"/>
    <n v="28"/>
    <n v="1"/>
    <n v="27"/>
  </r>
  <r>
    <n v="11014"/>
    <x v="67"/>
    <x v="7"/>
    <x v="461"/>
    <d v="1998-05-08T00:00:00"/>
    <d v="1998-04-15T00:00:00"/>
    <x v="0"/>
    <n v="23.6"/>
    <s v="LINO-Delicateses"/>
    <s v="Ave. 5 de Mayo Porlamar"/>
    <s v="I. de Margarita"/>
    <s v="Nueva Esparta"/>
    <n v="4980"/>
    <x v="5"/>
    <n v="28"/>
    <n v="5"/>
    <n v="23"/>
  </r>
  <r>
    <n v="11015"/>
    <x v="65"/>
    <x v="7"/>
    <x v="461"/>
    <d v="1998-04-24T00:00:00"/>
    <d v="1998-04-20T00:00:00"/>
    <x v="2"/>
    <n v="4.62"/>
    <s v="Santé Gourmet"/>
    <s v="Erling Skakkes gate 78"/>
    <s v="Stavern"/>
    <s v="NULL"/>
    <n v="4110"/>
    <x v="19"/>
    <n v="14"/>
    <n v="10"/>
    <n v="4"/>
  </r>
  <r>
    <n v="11016"/>
    <x v="55"/>
    <x v="4"/>
    <x v="461"/>
    <d v="1998-05-08T00:00:00"/>
    <d v="1998-04-13T00:00:00"/>
    <x v="2"/>
    <n v="33.799999999999997"/>
    <s v="Around the Horn"/>
    <s v="Brook Farm Stratford St. Mary"/>
    <s v="Colchester"/>
    <s v="Essex"/>
    <s v="CO7 6JX"/>
    <x v="13"/>
    <n v="28"/>
    <n v="3"/>
    <n v="25"/>
  </r>
  <r>
    <n v="11017"/>
    <x v="9"/>
    <x v="4"/>
    <x v="462"/>
    <d v="1998-05-11T00:00:00"/>
    <d v="1998-04-20T00:00:00"/>
    <x v="2"/>
    <n v="754.26"/>
    <s v="Ernst Handel"/>
    <s v="Kirchgasse 6"/>
    <s v="Graz"/>
    <s v="NULL"/>
    <n v="8010"/>
    <x v="6"/>
    <n v="28"/>
    <n v="7"/>
    <n v="21"/>
  </r>
  <r>
    <n v="11018"/>
    <x v="38"/>
    <x v="2"/>
    <x v="462"/>
    <d v="1998-05-11T00:00:00"/>
    <d v="1998-04-16T00:00:00"/>
    <x v="2"/>
    <n v="11.65"/>
    <s v="Lonesome Pine Restaurant"/>
    <s v="89 Chiaroscuro Rd."/>
    <s v="Portland"/>
    <s v="OR"/>
    <n v="97219"/>
    <x v="8"/>
    <n v="28"/>
    <n v="3"/>
    <n v="25"/>
  </r>
  <r>
    <n v="11019"/>
    <x v="73"/>
    <x v="1"/>
    <x v="462"/>
    <d v="1998-05-11T00:00:00"/>
    <s v="NULL"/>
    <x v="0"/>
    <n v="3.17"/>
    <s v="Rancho grande"/>
    <s v="Av. del Libertador 900"/>
    <s v="Buenos Aires"/>
    <s v="NULL"/>
    <n v="1010"/>
    <x v="20"/>
    <n v="28"/>
    <e v="#VALUE!"/>
    <e v="#VALUE!"/>
  </r>
  <r>
    <n v="11020"/>
    <x v="11"/>
    <x v="7"/>
    <x v="463"/>
    <d v="1998-05-12T00:00:00"/>
    <d v="1998-04-16T00:00:00"/>
    <x v="2"/>
    <n v="43.3"/>
    <s v="Ottilies Käseladen"/>
    <s v="Mehrheimerstr. 369"/>
    <s v="Köln"/>
    <s v="NULL"/>
    <n v="50739"/>
    <x v="1"/>
    <n v="28"/>
    <n v="2"/>
    <n v="26"/>
  </r>
  <r>
    <n v="11021"/>
    <x v="21"/>
    <x v="3"/>
    <x v="463"/>
    <d v="1998-05-12T00:00:00"/>
    <d v="1998-04-21T00:00:00"/>
    <x v="1"/>
    <n v="297.18"/>
    <s v="QUICK-Stop"/>
    <s v="Taucherstraße 10"/>
    <s v="Cunewalde"/>
    <s v="NULL"/>
    <n v="1307"/>
    <x v="1"/>
    <n v="28"/>
    <n v="7"/>
    <n v="21"/>
  </r>
  <r>
    <n v="11022"/>
    <x v="2"/>
    <x v="4"/>
    <x v="463"/>
    <d v="1998-05-12T00:00:00"/>
    <d v="1998-05-04T00:00:00"/>
    <x v="2"/>
    <n v="6.27"/>
    <s v="Hanari Carnes"/>
    <s v="Rua do Paço 67"/>
    <s v="Rio de Janeiro"/>
    <s v="RJ"/>
    <s v="05454-876"/>
    <x v="2"/>
    <n v="28"/>
    <n v="20"/>
    <n v="8"/>
  </r>
  <r>
    <n v="11023"/>
    <x v="31"/>
    <x v="5"/>
    <x v="463"/>
    <d v="1998-04-28T00:00:00"/>
    <d v="1998-04-24T00:00:00"/>
    <x v="2"/>
    <n v="123.83"/>
    <s v="B's Beverages"/>
    <s v="Fauntleroy Circus"/>
    <s v="London"/>
    <s v="NULL"/>
    <s v="EC2 5NT"/>
    <x v="13"/>
    <n v="14"/>
    <n v="10"/>
    <n v="4"/>
  </r>
  <r>
    <n v="11024"/>
    <x v="58"/>
    <x v="2"/>
    <x v="464"/>
    <d v="1998-05-13T00:00:00"/>
    <d v="1998-04-20T00:00:00"/>
    <x v="1"/>
    <n v="74.36"/>
    <s v="Eastern Connection"/>
    <s v="35 King George"/>
    <s v="London"/>
    <s v="NULL"/>
    <s v="WX3 6FW"/>
    <x v="13"/>
    <n v="28"/>
    <n v="5"/>
    <n v="23"/>
  </r>
  <r>
    <n v="11025"/>
    <x v="16"/>
    <x v="1"/>
    <x v="464"/>
    <d v="1998-05-13T00:00:00"/>
    <d v="1998-04-24T00:00:00"/>
    <x v="0"/>
    <n v="29.17"/>
    <s v="Wartian Herkku"/>
    <s v="Torikatu 38"/>
    <s v="Oulu"/>
    <s v="NULL"/>
    <n v="90110"/>
    <x v="10"/>
    <n v="28"/>
    <n v="9"/>
    <n v="19"/>
  </r>
  <r>
    <n v="11026"/>
    <x v="70"/>
    <x v="2"/>
    <x v="464"/>
    <d v="1998-05-13T00:00:00"/>
    <d v="1998-04-28T00:00:00"/>
    <x v="1"/>
    <n v="47.09"/>
    <s v="Franchi S.p.A."/>
    <s v="Via Monte Bianco 34"/>
    <s v="Torino"/>
    <s v="NULL"/>
    <n v="10100"/>
    <x v="11"/>
    <n v="28"/>
    <n v="13"/>
    <n v="15"/>
  </r>
  <r>
    <n v="11027"/>
    <x v="66"/>
    <x v="5"/>
    <x v="465"/>
    <d v="1998-05-14T00:00:00"/>
    <d v="1998-04-20T00:00:00"/>
    <x v="1"/>
    <n v="52.52"/>
    <s v="Bottom-Dollar Markets"/>
    <s v="23 Tsawassen Blvd."/>
    <s v="Tsawassen"/>
    <s v="BC"/>
    <s v="T2F 8M4"/>
    <x v="16"/>
    <n v="28"/>
    <n v="4"/>
    <n v="24"/>
  </r>
  <r>
    <n v="11028"/>
    <x v="44"/>
    <x v="7"/>
    <x v="465"/>
    <d v="1998-05-14T00:00:00"/>
    <d v="1998-04-22T00:00:00"/>
    <x v="1"/>
    <n v="29.59"/>
    <s v="Königlich Essen"/>
    <s v="Maubelstr. 90"/>
    <s v="Brandenburg"/>
    <s v="NULL"/>
    <n v="14776"/>
    <x v="1"/>
    <n v="28"/>
    <n v="6"/>
    <n v="22"/>
  </r>
  <r>
    <n v="11029"/>
    <x v="5"/>
    <x v="2"/>
    <x v="465"/>
    <d v="1998-05-14T00:00:00"/>
    <d v="1998-04-27T00:00:00"/>
    <x v="1"/>
    <n v="47.84"/>
    <s v="Chop-suey Chinese"/>
    <s v="Hauptstr. 31"/>
    <s v="Bern"/>
    <s v="NULL"/>
    <n v="3012"/>
    <x v="4"/>
    <n v="28"/>
    <n v="11"/>
    <n v="17"/>
  </r>
  <r>
    <n v="11030"/>
    <x v="45"/>
    <x v="8"/>
    <x v="466"/>
    <d v="1998-05-15T00:00:00"/>
    <d v="1998-04-27T00:00:00"/>
    <x v="2"/>
    <n v="830.75"/>
    <s v="Save-a-lot Markets"/>
    <s v="187 Suffolk Ln."/>
    <s v="Boise"/>
    <s v="ID"/>
    <n v="83720"/>
    <x v="8"/>
    <n v="28"/>
    <n v="10"/>
    <n v="18"/>
  </r>
  <r>
    <n v="11031"/>
    <x v="45"/>
    <x v="1"/>
    <x v="466"/>
    <d v="1998-05-15T00:00:00"/>
    <d v="1998-04-24T00:00:00"/>
    <x v="2"/>
    <n v="227.22"/>
    <s v="Save-a-lot Markets"/>
    <s v="187 Suffolk Ln."/>
    <s v="Boise"/>
    <s v="ID"/>
    <n v="83720"/>
    <x v="8"/>
    <n v="28"/>
    <n v="7"/>
    <n v="21"/>
  </r>
  <r>
    <n v="11032"/>
    <x v="19"/>
    <x v="7"/>
    <x v="466"/>
    <d v="1998-05-15T00:00:00"/>
    <d v="1998-04-23T00:00:00"/>
    <x v="0"/>
    <n v="606.19000000000005"/>
    <s v="White Clover Markets"/>
    <s v="1029 - 12th Ave. S."/>
    <s v="Seattle"/>
    <s v="WA"/>
    <n v="98124"/>
    <x v="8"/>
    <n v="28"/>
    <n v="6"/>
    <n v="22"/>
  </r>
  <r>
    <n v="11033"/>
    <x v="6"/>
    <x v="8"/>
    <x v="466"/>
    <d v="1998-05-15T00:00:00"/>
    <d v="1998-04-23T00:00:00"/>
    <x v="0"/>
    <n v="84.74"/>
    <s v="Richter Supermarkt"/>
    <s v="Starenweg 5"/>
    <s v="Genève"/>
    <s v="NULL"/>
    <n v="1204"/>
    <x v="4"/>
    <n v="28"/>
    <n v="6"/>
    <n v="22"/>
  </r>
  <r>
    <n v="11034"/>
    <x v="37"/>
    <x v="6"/>
    <x v="467"/>
    <d v="1998-06-01T00:00:00"/>
    <d v="1998-04-27T00:00:00"/>
    <x v="1"/>
    <n v="40.32"/>
    <s v="Old World Delicatessen"/>
    <s v="2743 Bering St."/>
    <s v="Anchorage"/>
    <s v="AK"/>
    <n v="99508"/>
    <x v="8"/>
    <n v="42"/>
    <n v="7"/>
    <n v="35"/>
  </r>
  <r>
    <n v="11035"/>
    <x v="4"/>
    <x v="7"/>
    <x v="467"/>
    <d v="1998-05-18T00:00:00"/>
    <d v="1998-04-24T00:00:00"/>
    <x v="2"/>
    <n v="0.17"/>
    <s v="Suprêmes délices"/>
    <s v="Boulevard Tirou 255"/>
    <s v="Charleroi"/>
    <s v="NULL"/>
    <s v="B-6000"/>
    <x v="3"/>
    <n v="28"/>
    <n v="4"/>
    <n v="24"/>
  </r>
  <r>
    <n v="11036"/>
    <x v="57"/>
    <x v="6"/>
    <x v="467"/>
    <d v="1998-05-18T00:00:00"/>
    <d v="1998-04-22T00:00:00"/>
    <x v="0"/>
    <n v="149.47"/>
    <s v="Drachenblut Delikatessen"/>
    <s v="Walserweg 21"/>
    <s v="Aachen"/>
    <s v="NULL"/>
    <n v="52066"/>
    <x v="1"/>
    <n v="28"/>
    <n v="2"/>
    <n v="26"/>
  </r>
  <r>
    <n v="11037"/>
    <x v="36"/>
    <x v="8"/>
    <x v="468"/>
    <d v="1998-05-19T00:00:00"/>
    <d v="1998-04-27T00:00:00"/>
    <x v="1"/>
    <n v="3.2"/>
    <s v="Godos Cocina Típica"/>
    <s v="C/ Romero 33"/>
    <s v="Sevilla"/>
    <s v="NULL"/>
    <n v="41101"/>
    <x v="12"/>
    <n v="28"/>
    <n v="6"/>
    <n v="22"/>
  </r>
  <r>
    <n v="11038"/>
    <x v="4"/>
    <x v="5"/>
    <x v="468"/>
    <d v="1998-05-19T00:00:00"/>
    <d v="1998-04-30T00:00:00"/>
    <x v="2"/>
    <n v="29.59"/>
    <s v="Suprêmes délices"/>
    <s v="Boulevard Tirou 255"/>
    <s v="Charleroi"/>
    <s v="NULL"/>
    <s v="B-6000"/>
    <x v="3"/>
    <n v="28"/>
    <n v="9"/>
    <n v="19"/>
  </r>
  <r>
    <n v="11039"/>
    <x v="67"/>
    <x v="5"/>
    <x v="468"/>
    <d v="1998-05-19T00:00:00"/>
    <s v="NULL"/>
    <x v="2"/>
    <n v="65"/>
    <s v="LINO-Delicateses"/>
    <s v="Ave. 5 de Mayo Porlamar"/>
    <s v="I. de Margarita"/>
    <s v="Nueva Esparta"/>
    <n v="4980"/>
    <x v="5"/>
    <n v="28"/>
    <e v="#VALUE!"/>
    <e v="#VALUE!"/>
  </r>
  <r>
    <n v="11040"/>
    <x v="79"/>
    <x v="2"/>
    <x v="469"/>
    <d v="1998-05-20T00:00:00"/>
    <s v="NULL"/>
    <x v="0"/>
    <n v="18.84"/>
    <s v="Great Lakes Food Market"/>
    <s v="2732 Baker Blvd."/>
    <s v="Eugene"/>
    <s v="OR"/>
    <n v="97403"/>
    <x v="8"/>
    <n v="28"/>
    <e v="#VALUE!"/>
    <e v="#VALUE!"/>
  </r>
  <r>
    <n v="11041"/>
    <x v="5"/>
    <x v="3"/>
    <x v="469"/>
    <d v="1998-05-20T00:00:00"/>
    <d v="1998-04-28T00:00:00"/>
    <x v="2"/>
    <n v="48.22"/>
    <s v="Chop-suey Chinese"/>
    <s v="Hauptstr. 31"/>
    <s v="Bern"/>
    <s v="NULL"/>
    <n v="3012"/>
    <x v="4"/>
    <n v="28"/>
    <n v="6"/>
    <n v="22"/>
  </r>
  <r>
    <n v="11042"/>
    <x v="32"/>
    <x v="7"/>
    <x v="469"/>
    <d v="1998-05-06T00:00:00"/>
    <d v="1998-05-01T00:00:00"/>
    <x v="1"/>
    <n v="29.99"/>
    <s v="Comércio Mineiro"/>
    <s v="Av. dos Lusíadas 23"/>
    <s v="Sao Paulo"/>
    <s v="SP"/>
    <s v="05432-043"/>
    <x v="2"/>
    <n v="14"/>
    <n v="9"/>
    <n v="5"/>
  </r>
  <r>
    <n v="11043"/>
    <x v="87"/>
    <x v="0"/>
    <x v="469"/>
    <d v="1998-05-20T00:00:00"/>
    <d v="1998-04-29T00:00:00"/>
    <x v="2"/>
    <n v="8.8000000000000007"/>
    <s v="Spécialités du monde"/>
    <s v="25  rue Lauriston"/>
    <s v="Paris"/>
    <s v="NULL"/>
    <n v="75016"/>
    <x v="0"/>
    <n v="28"/>
    <n v="7"/>
    <n v="21"/>
  </r>
  <r>
    <n v="11044"/>
    <x v="63"/>
    <x v="2"/>
    <x v="470"/>
    <d v="1998-05-21T00:00:00"/>
    <d v="1998-05-01T00:00:00"/>
    <x v="1"/>
    <n v="8.7200000000000006"/>
    <s v="Wolski Zajazd"/>
    <s v="ul. Filtrowa 68"/>
    <s v="Warszawa"/>
    <s v="NULL"/>
    <s v="01-012"/>
    <x v="18"/>
    <n v="28"/>
    <n v="8"/>
    <n v="20"/>
  </r>
  <r>
    <n v="11045"/>
    <x v="66"/>
    <x v="1"/>
    <x v="470"/>
    <d v="1998-05-21T00:00:00"/>
    <s v="NULL"/>
    <x v="2"/>
    <n v="70.58"/>
    <s v="Bottom-Dollar Markets"/>
    <s v="23 Tsawassen Blvd."/>
    <s v="Tsawassen"/>
    <s v="BC"/>
    <s v="T2F 8M4"/>
    <x v="16"/>
    <n v="28"/>
    <e v="#VALUE!"/>
    <e v="#VALUE!"/>
  </r>
  <r>
    <n v="11046"/>
    <x v="35"/>
    <x v="6"/>
    <x v="470"/>
    <d v="1998-05-21T00:00:00"/>
    <d v="1998-04-24T00:00:00"/>
    <x v="2"/>
    <n v="71.64"/>
    <s v="Die Wandernde Kuh"/>
    <s v="Adenauerallee 900"/>
    <s v="Stuttgart"/>
    <s v="NULL"/>
    <n v="70563"/>
    <x v="1"/>
    <n v="28"/>
    <n v="1"/>
    <n v="27"/>
  </r>
  <r>
    <n v="11047"/>
    <x v="58"/>
    <x v="8"/>
    <x v="471"/>
    <d v="1998-05-22T00:00:00"/>
    <d v="1998-05-01T00:00:00"/>
    <x v="0"/>
    <n v="46.62"/>
    <s v="Eastern Connection"/>
    <s v="35 King George"/>
    <s v="London"/>
    <s v="NULL"/>
    <s v="WX3 6FW"/>
    <x v="13"/>
    <n v="28"/>
    <n v="7"/>
    <n v="21"/>
  </r>
  <r>
    <n v="11048"/>
    <x v="66"/>
    <x v="8"/>
    <x v="471"/>
    <d v="1998-05-22T00:00:00"/>
    <d v="1998-04-30T00:00:00"/>
    <x v="0"/>
    <n v="24.12"/>
    <s v="Bottom-Dollar Markets"/>
    <s v="23 Tsawassen Blvd."/>
    <s v="Tsawassen"/>
    <s v="BC"/>
    <s v="T2F 8M4"/>
    <x v="16"/>
    <n v="28"/>
    <n v="6"/>
    <n v="22"/>
  </r>
  <r>
    <n v="11049"/>
    <x v="71"/>
    <x v="3"/>
    <x v="471"/>
    <d v="1998-05-22T00:00:00"/>
    <d v="1998-05-04T00:00:00"/>
    <x v="1"/>
    <n v="8.34"/>
    <s v="Gourmet Lanchonetes"/>
    <s v="Av. Brasil 442"/>
    <s v="Campinas"/>
    <s v="SP"/>
    <s v="04876-786"/>
    <x v="2"/>
    <n v="28"/>
    <n v="10"/>
    <n v="18"/>
  </r>
  <r>
    <n v="11050"/>
    <x v="14"/>
    <x v="6"/>
    <x v="472"/>
    <d v="1998-05-25T00:00:00"/>
    <d v="1998-05-05T00:00:00"/>
    <x v="2"/>
    <n v="59.41"/>
    <s v="Folk och fä HB"/>
    <s v="Åkergatan 24"/>
    <s v="Bräcke"/>
    <s v="NULL"/>
    <s v="S-844 67"/>
    <x v="9"/>
    <n v="28"/>
    <n v="8"/>
    <n v="20"/>
  </r>
  <r>
    <n v="11051"/>
    <x v="53"/>
    <x v="8"/>
    <x v="472"/>
    <d v="1998-05-25T00:00:00"/>
    <s v="NULL"/>
    <x v="0"/>
    <n v="2.79"/>
    <s v="La maison d'Asie"/>
    <s v="1 rue Alsace-Lorraine"/>
    <s v="Toulouse"/>
    <s v="NULL"/>
    <n v="31000"/>
    <x v="0"/>
    <n v="28"/>
    <e v="#VALUE!"/>
    <e v="#VALUE!"/>
  </r>
  <r>
    <n v="11052"/>
    <x v="2"/>
    <x v="3"/>
    <x v="472"/>
    <d v="1998-05-25T00:00:00"/>
    <d v="1998-05-01T00:00:00"/>
    <x v="1"/>
    <n v="67.260000000000005"/>
    <s v="Hanari Carnes"/>
    <s v="Rua do Paço 67"/>
    <s v="Rio de Janeiro"/>
    <s v="RJ"/>
    <s v="05454-876"/>
    <x v="2"/>
    <n v="28"/>
    <n v="4"/>
    <n v="24"/>
  </r>
  <r>
    <n v="11053"/>
    <x v="54"/>
    <x v="7"/>
    <x v="472"/>
    <d v="1998-05-25T00:00:00"/>
    <d v="1998-04-29T00:00:00"/>
    <x v="2"/>
    <n v="53.05"/>
    <s v="Piccolo und mehr"/>
    <s v="Geislweg 14"/>
    <s v="Salzburg"/>
    <s v="NULL"/>
    <n v="5020"/>
    <x v="6"/>
    <n v="28"/>
    <n v="2"/>
    <n v="26"/>
  </r>
  <r>
    <n v="11054"/>
    <x v="78"/>
    <x v="6"/>
    <x v="473"/>
    <d v="1998-05-26T00:00:00"/>
    <s v="NULL"/>
    <x v="1"/>
    <n v="0.33"/>
    <s v="Cactus Comidas para llevar"/>
    <s v="Cerrito 333"/>
    <s v="Buenos Aires"/>
    <s v="NULL"/>
    <n v="1010"/>
    <x v="20"/>
    <n v="28"/>
    <e v="#VALUE!"/>
    <e v="#VALUE!"/>
  </r>
  <r>
    <n v="11055"/>
    <x v="8"/>
    <x v="8"/>
    <x v="473"/>
    <d v="1998-05-26T00:00:00"/>
    <d v="1998-05-05T00:00:00"/>
    <x v="2"/>
    <n v="120.92"/>
    <s v="HILARION-Abastos"/>
    <s v="Carrera 22 con Ave. Carlos Soublette #8-35"/>
    <s v="San Cristóbal"/>
    <s v="Táchira"/>
    <n v="5022"/>
    <x v="5"/>
    <n v="28"/>
    <n v="7"/>
    <n v="21"/>
  </r>
  <r>
    <n v="11056"/>
    <x v="58"/>
    <x v="6"/>
    <x v="473"/>
    <d v="1998-05-12T00:00:00"/>
    <d v="1998-05-01T00:00:00"/>
    <x v="2"/>
    <n v="278.95999999999998"/>
    <s v="Eastern Connection"/>
    <s v="35 King George"/>
    <s v="London"/>
    <s v="NULL"/>
    <s v="WX3 6FW"/>
    <x v="13"/>
    <n v="14"/>
    <n v="3"/>
    <n v="11"/>
  </r>
  <r>
    <n v="11057"/>
    <x v="77"/>
    <x v="3"/>
    <x v="474"/>
    <d v="1998-05-27T00:00:00"/>
    <d v="1998-05-01T00:00:00"/>
    <x v="0"/>
    <n v="4.13"/>
    <s v="North/South"/>
    <s v="South House 300 Queensbridge"/>
    <s v="London"/>
    <s v="NULL"/>
    <s v="SW7 1RZ"/>
    <x v="13"/>
    <n v="28"/>
    <n v="2"/>
    <n v="26"/>
  </r>
  <r>
    <n v="11058"/>
    <x v="76"/>
    <x v="4"/>
    <x v="474"/>
    <d v="1998-05-27T00:00:00"/>
    <s v="NULL"/>
    <x v="0"/>
    <n v="31.14"/>
    <s v="Blauer See Delikatessen"/>
    <s v="Forsterstr. 57"/>
    <s v="Mannheim"/>
    <s v="NULL"/>
    <n v="68306"/>
    <x v="1"/>
    <n v="28"/>
    <e v="#VALUE!"/>
    <e v="#VALUE!"/>
  </r>
  <r>
    <n v="11059"/>
    <x v="29"/>
    <x v="7"/>
    <x v="474"/>
    <d v="1998-06-10T00:00:00"/>
    <s v="NULL"/>
    <x v="2"/>
    <n v="85.8"/>
    <s v="Ricardo Adocicados"/>
    <s v="Av. Copacabana 267"/>
    <s v="Rio de Janeiro"/>
    <s v="RJ"/>
    <s v="02389-890"/>
    <x v="2"/>
    <n v="42"/>
    <e v="#VALUE!"/>
    <e v="#VALUE!"/>
  </r>
  <r>
    <n v="11060"/>
    <x v="70"/>
    <x v="7"/>
    <x v="475"/>
    <d v="1998-05-28T00:00:00"/>
    <d v="1998-05-04T00:00:00"/>
    <x v="2"/>
    <n v="10.98"/>
    <s v="Franchi S.p.A."/>
    <s v="Via Monte Bianco 34"/>
    <s v="Torino"/>
    <s v="NULL"/>
    <n v="10100"/>
    <x v="11"/>
    <n v="28"/>
    <n v="4"/>
    <n v="24"/>
  </r>
  <r>
    <n v="11061"/>
    <x v="79"/>
    <x v="2"/>
    <x v="475"/>
    <d v="1998-06-11T00:00:00"/>
    <s v="NULL"/>
    <x v="0"/>
    <n v="14.01"/>
    <s v="Great Lakes Food Market"/>
    <s v="2732 Baker Blvd."/>
    <s v="Eugene"/>
    <s v="OR"/>
    <n v="97403"/>
    <x v="8"/>
    <n v="42"/>
    <e v="#VALUE!"/>
    <e v="#VALUE!"/>
  </r>
  <r>
    <n v="11062"/>
    <x v="30"/>
    <x v="2"/>
    <x v="475"/>
    <d v="1998-05-28T00:00:00"/>
    <s v="NULL"/>
    <x v="2"/>
    <n v="29.93"/>
    <s v="Reggiani Caseifici"/>
    <s v="Strada Provinciale 124"/>
    <s v="Reggio Emilia"/>
    <s v="NULL"/>
    <n v="42100"/>
    <x v="11"/>
    <n v="28"/>
    <e v="#VALUE!"/>
    <e v="#VALUE!"/>
  </r>
  <r>
    <n v="11063"/>
    <x v="34"/>
    <x v="3"/>
    <x v="475"/>
    <d v="1998-05-28T00:00:00"/>
    <d v="1998-05-06T00:00:00"/>
    <x v="2"/>
    <n v="81.73"/>
    <s v="Hungry Owl All-Night Grocers"/>
    <s v="8 Johnstown Road"/>
    <s v="Cork"/>
    <s v="Co. Cork"/>
    <s v="NULL"/>
    <x v="14"/>
    <n v="28"/>
    <n v="6"/>
    <n v="22"/>
  </r>
  <r>
    <n v="11064"/>
    <x v="45"/>
    <x v="5"/>
    <x v="476"/>
    <d v="1998-05-29T00:00:00"/>
    <d v="1998-05-04T00:00:00"/>
    <x v="1"/>
    <n v="30.09"/>
    <s v="Save-a-lot Markets"/>
    <s v="187 Suffolk Ln."/>
    <s v="Boise"/>
    <s v="ID"/>
    <n v="83720"/>
    <x v="8"/>
    <n v="28"/>
    <n v="3"/>
    <n v="25"/>
  </r>
  <r>
    <n v="11065"/>
    <x v="28"/>
    <x v="6"/>
    <x v="476"/>
    <d v="1998-05-29T00:00:00"/>
    <s v="NULL"/>
    <x v="1"/>
    <n v="12.91"/>
    <s v="LILA-Supermercado"/>
    <s v="Carrera 52 con Ave. Bolívar #65-98 Llano Largo"/>
    <s v="Barquisimeto"/>
    <s v="Lara"/>
    <n v="3508"/>
    <x v="5"/>
    <n v="28"/>
    <e v="#VALUE!"/>
    <e v="#VALUE!"/>
  </r>
  <r>
    <n v="11066"/>
    <x v="19"/>
    <x v="8"/>
    <x v="476"/>
    <d v="1998-05-29T00:00:00"/>
    <d v="1998-05-04T00:00:00"/>
    <x v="2"/>
    <n v="44.72"/>
    <s v="White Clover Markets"/>
    <s v="1029 - 12th Ave. S."/>
    <s v="Seattle"/>
    <s v="WA"/>
    <n v="98124"/>
    <x v="8"/>
    <n v="28"/>
    <n v="3"/>
    <n v="25"/>
  </r>
  <r>
    <n v="11067"/>
    <x v="57"/>
    <x v="5"/>
    <x v="477"/>
    <d v="1998-05-18T00:00:00"/>
    <d v="1998-05-06T00:00:00"/>
    <x v="2"/>
    <n v="7.98"/>
    <s v="Drachenblut Delikatessen"/>
    <s v="Walserweg 21"/>
    <s v="Aachen"/>
    <s v="NULL"/>
    <n v="52066"/>
    <x v="1"/>
    <n v="14"/>
    <n v="2"/>
    <n v="12"/>
  </r>
  <r>
    <n v="11068"/>
    <x v="62"/>
    <x v="6"/>
    <x v="477"/>
    <d v="1998-06-01T00:00:00"/>
    <s v="NULL"/>
    <x v="2"/>
    <n v="81.75"/>
    <s v="Queen Cozinha"/>
    <s v="Alameda dos Canàrios 891"/>
    <s v="Sao Paulo"/>
    <s v="SP"/>
    <s v="05487-020"/>
    <x v="2"/>
    <n v="28"/>
    <e v="#VALUE!"/>
    <e v="#VALUE!"/>
  </r>
  <r>
    <n v="11069"/>
    <x v="23"/>
    <x v="5"/>
    <x v="477"/>
    <d v="1998-06-01T00:00:00"/>
    <d v="1998-05-06T00:00:00"/>
    <x v="2"/>
    <n v="15.67"/>
    <s v="Tortuga Restaurante"/>
    <s v="Avda. Azteca 123"/>
    <s v="México D.F."/>
    <s v="NULL"/>
    <n v="5033"/>
    <x v="7"/>
    <n v="28"/>
    <n v="2"/>
    <n v="26"/>
  </r>
  <r>
    <n v="11070"/>
    <x v="26"/>
    <x v="7"/>
    <x v="478"/>
    <d v="1998-06-02T00:00:00"/>
    <s v="NULL"/>
    <x v="1"/>
    <n v="136"/>
    <s v="Lehmanns Marktstand"/>
    <s v="Magazinweg 7"/>
    <s v="Frankfurt a.M."/>
    <s v="NULL"/>
    <n v="60528"/>
    <x v="1"/>
    <n v="28"/>
    <e v="#VALUE!"/>
    <e v="#VALUE!"/>
  </r>
  <r>
    <n v="11071"/>
    <x v="28"/>
    <x v="5"/>
    <x v="478"/>
    <d v="1998-06-02T00:00:00"/>
    <s v="NULL"/>
    <x v="1"/>
    <n v="0.93"/>
    <s v="LILA-Supermercado"/>
    <s v="Carrera 52 con Ave. Bolívar #65-98 Llano Largo"/>
    <s v="Barquisimeto"/>
    <s v="Lara"/>
    <n v="3508"/>
    <x v="5"/>
    <n v="28"/>
    <e v="#VALUE!"/>
    <e v="#VALUE!"/>
  </r>
  <r>
    <n v="11072"/>
    <x v="9"/>
    <x v="2"/>
    <x v="478"/>
    <d v="1998-06-02T00:00:00"/>
    <s v="NULL"/>
    <x v="2"/>
    <n v="258.64"/>
    <s v="Ernst Handel"/>
    <s v="Kirchgasse 6"/>
    <s v="Graz"/>
    <s v="NULL"/>
    <n v="8010"/>
    <x v="6"/>
    <n v="28"/>
    <e v="#VALUE!"/>
    <e v="#VALUE!"/>
  </r>
  <r>
    <n v="11073"/>
    <x v="43"/>
    <x v="7"/>
    <x v="478"/>
    <d v="1998-06-02T00:00:00"/>
    <s v="NULL"/>
    <x v="2"/>
    <n v="24.95"/>
    <s v="Pericles Comidas clásicas"/>
    <s v="Calle Dr. Jorge Cash 321"/>
    <s v="México D.F."/>
    <s v="NULL"/>
    <n v="5033"/>
    <x v="7"/>
    <n v="28"/>
    <e v="#VALUE!"/>
    <e v="#VALUE!"/>
  </r>
  <r>
    <n v="11074"/>
    <x v="51"/>
    <x v="8"/>
    <x v="479"/>
    <d v="1998-06-03T00:00:00"/>
    <s v="NULL"/>
    <x v="2"/>
    <n v="18.440000000000001"/>
    <s v="Simons bistro"/>
    <s v="Vinbæltet 34"/>
    <s v="Kobenhavn"/>
    <s v="NULL"/>
    <n v="1734"/>
    <x v="17"/>
    <n v="28"/>
    <e v="#VALUE!"/>
    <e v="#VALUE!"/>
  </r>
  <r>
    <n v="11075"/>
    <x v="6"/>
    <x v="6"/>
    <x v="479"/>
    <d v="1998-06-03T00:00:00"/>
    <s v="NULL"/>
    <x v="2"/>
    <n v="6.19"/>
    <s v="Richter Supermarkt"/>
    <s v="Starenweg 5"/>
    <s v="Genève"/>
    <s v="NULL"/>
    <n v="1204"/>
    <x v="4"/>
    <n v="28"/>
    <e v="#VALUE!"/>
    <e v="#VALUE!"/>
  </r>
  <r>
    <n v="11076"/>
    <x v="48"/>
    <x v="2"/>
    <x v="479"/>
    <d v="1998-06-03T00:00:00"/>
    <s v="NULL"/>
    <x v="2"/>
    <n v="38.28"/>
    <s v="Bon app'"/>
    <s v="12  rue des Bouchers"/>
    <s v="Marseille"/>
    <s v="NULL"/>
    <n v="13008"/>
    <x v="0"/>
    <n v="28"/>
    <e v="#VALUE!"/>
    <e v="#VALUE!"/>
  </r>
  <r>
    <n v="11077"/>
    <x v="13"/>
    <x v="5"/>
    <x v="479"/>
    <d v="1998-06-03T00:00:00"/>
    <s v="NULL"/>
    <x v="2"/>
    <n v="8.5299999999999994"/>
    <s v="Rattlesnake Canyon Grocery"/>
    <s v="2817 Milton Dr."/>
    <s v="Albuquerque"/>
    <s v="NM"/>
    <n v="87110"/>
    <x v="8"/>
    <n v="28"/>
    <e v="#VALUE!"/>
    <e v="#VALUE!"/>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0">
  <r>
    <x v="0"/>
    <n v="440"/>
    <n v="566"/>
    <n v="-126"/>
    <x v="0"/>
  </r>
  <r>
    <x v="1"/>
    <n v="1863.4"/>
    <n v="2329.25"/>
    <n v="-465.85"/>
    <x v="1"/>
  </r>
  <r>
    <x v="2"/>
    <n v="1552.6000000000001"/>
    <n v="2267.25"/>
    <n v="-714.64999999999986"/>
    <x v="2"/>
  </r>
  <r>
    <x v="3"/>
    <n v="654.05999999999995"/>
    <n v="839.5"/>
    <n v="-185.44"/>
    <x v="2"/>
  </r>
  <r>
    <x v="4"/>
    <n v="3597.9"/>
    <n v="4662.5"/>
    <n v="-1064.5999999999999"/>
    <x v="3"/>
  </r>
  <r>
    <x v="5"/>
    <n v="1444.8000000000002"/>
    <n v="1806"/>
    <n v="-361.19999999999993"/>
    <x v="4"/>
  </r>
  <r>
    <x v="6"/>
    <n v="556.61999999999989"/>
    <n v="781.5"/>
    <n v="-224.88000000000002"/>
    <x v="5"/>
  </r>
  <r>
    <x v="7"/>
    <n v="2490.5"/>
    <n v="3115.75"/>
    <n v="-625.25"/>
    <x v="6"/>
  </r>
  <r>
    <x v="8"/>
    <n v="517.79999999999995"/>
    <n v="648"/>
    <n v="-130.19999999999993"/>
    <x v="7"/>
  </r>
  <r>
    <x v="9"/>
    <n v="1119.9000000000001"/>
    <n v="1400.5"/>
    <n v="-280.60000000000002"/>
    <x v="8"/>
  </r>
  <r>
    <x v="10"/>
    <n v="1614.88"/>
    <n v="2529.75"/>
    <n v="-914.87"/>
    <x v="9"/>
  </r>
  <r>
    <x v="11"/>
    <n v="100.8"/>
    <n v="126"/>
    <n v="-25.2"/>
    <x v="10"/>
  </r>
  <r>
    <x v="12"/>
    <n v="1504.65"/>
    <n v="2183.9"/>
    <n v="-679.25"/>
    <x v="11"/>
  </r>
  <r>
    <x v="13"/>
    <n v="448"/>
    <n v="560"/>
    <n v="-112"/>
    <x v="11"/>
  </r>
  <r>
    <x v="14"/>
    <n v="584"/>
    <n v="782.2"/>
    <n v="-198.20000000000005"/>
    <x v="12"/>
  </r>
  <r>
    <x v="15"/>
    <n v="1873.8"/>
    <n v="3086.4"/>
    <n v="-1212.6000000000001"/>
    <x v="13"/>
  </r>
  <r>
    <x v="16"/>
    <n v="695.625"/>
    <n v="906.25"/>
    <n v="-210.625"/>
    <x v="14"/>
  </r>
  <r>
    <x v="17"/>
    <n v="1176"/>
    <n v="1470"/>
    <n v="-294"/>
    <x v="15"/>
  </r>
  <r>
    <x v="18"/>
    <n v="346.55999999999995"/>
    <n v="456"/>
    <n v="-109.44000000000005"/>
    <x v="16"/>
  </r>
  <r>
    <x v="19"/>
    <n v="3536.6"/>
    <n v="5040"/>
    <n v="-1503.4"/>
    <x v="17"/>
  </r>
  <r>
    <x v="20"/>
    <n v="1101.2"/>
    <n v="1377.1000000000001"/>
    <n v="-275.90000000000009"/>
    <x v="18"/>
  </r>
  <r>
    <x v="21"/>
    <n v="642.20000000000005"/>
    <n v="846"/>
    <n v="-203.79999999999995"/>
    <x v="19"/>
  </r>
  <r>
    <x v="22"/>
    <n v="1376"/>
    <n v="1720"/>
    <n v="-344.00000000000011"/>
    <x v="20"/>
  </r>
  <r>
    <x v="23"/>
    <n v="48"/>
    <n v="60"/>
    <n v="-12"/>
    <x v="20"/>
  </r>
  <r>
    <x v="24"/>
    <n v="1456"/>
    <n v="1821.1999999999998"/>
    <n v="-365.19999999999993"/>
    <x v="21"/>
  </r>
  <r>
    <x v="25"/>
    <n v="2037.2800000000002"/>
    <n v="2679.5"/>
    <n v="-642.22"/>
    <x v="22"/>
  </r>
  <r>
    <x v="26"/>
    <n v="538.6"/>
    <n v="673.59999999999991"/>
    <n v="-134.99999999999997"/>
    <x v="23"/>
  </r>
  <r>
    <x v="27"/>
    <n v="291.84000000000003"/>
    <n v="384"/>
    <n v="-92.159999999999982"/>
    <x v="24"/>
  </r>
  <r>
    <x v="28"/>
    <n v="420"/>
    <n v="525"/>
    <n v="-105"/>
    <x v="25"/>
  </r>
  <r>
    <x v="29"/>
    <n v="1200.8"/>
    <n v="1503.6"/>
    <n v="-302.79999999999995"/>
    <x v="26"/>
  </r>
  <r>
    <x v="30"/>
    <n v="1488.8"/>
    <n v="1862.4"/>
    <n v="-373.59999999999997"/>
    <x v="27"/>
  </r>
  <r>
    <x v="31"/>
    <n v="351"/>
    <n v="585"/>
    <n v="-234"/>
    <x v="28"/>
  </r>
  <r>
    <x v="32"/>
    <n v="613.20000000000005"/>
    <n v="766.5"/>
    <n v="-153.30000000000001"/>
    <x v="29"/>
  </r>
  <r>
    <x v="33"/>
    <n v="86.5"/>
    <n v="108.2"/>
    <n v="-21.699999999999996"/>
    <x v="29"/>
  </r>
  <r>
    <x v="34"/>
    <n v="155.39999999999998"/>
    <n v="194.34"/>
    <n v="-38.940000000000012"/>
    <x v="30"/>
  </r>
  <r>
    <x v="35"/>
    <n v="1414.8000000000002"/>
    <n v="1770"/>
    <n v="-355.2"/>
    <x v="31"/>
  </r>
  <r>
    <x v="36"/>
    <n v="1170.375"/>
    <n v="1816.95"/>
    <n v="-646.57500000000005"/>
    <x v="32"/>
  </r>
  <r>
    <x v="37"/>
    <n v="1743.36"/>
    <n v="2726.8"/>
    <n v="-983.44"/>
    <x v="33"/>
  </r>
  <r>
    <x v="38"/>
    <n v="3016"/>
    <n v="3772"/>
    <n v="-756"/>
    <x v="34"/>
  </r>
  <r>
    <x v="39"/>
    <n v="819"/>
    <n v="1158"/>
    <n v="-339"/>
    <x v="35"/>
  </r>
  <r>
    <x v="40"/>
    <n v="80.099999999999994"/>
    <n v="112"/>
    <n v="-31.9"/>
    <x v="36"/>
  </r>
  <r>
    <x v="41"/>
    <n v="479.4"/>
    <n v="599.25"/>
    <n v="-119.85"/>
    <x v="37"/>
  </r>
  <r>
    <x v="42"/>
    <n v="2169"/>
    <n v="2713.8500000000004"/>
    <n v="-544.85000000000014"/>
    <x v="38"/>
  </r>
  <r>
    <x v="43"/>
    <n v="497.52000000000004"/>
    <n v="692.8"/>
    <n v="-195.27999999999994"/>
    <x v="38"/>
  </r>
  <r>
    <x v="44"/>
    <n v="1296"/>
    <n v="1620"/>
    <n v="-324"/>
    <x v="39"/>
  </r>
  <r>
    <x v="45"/>
    <n v="848.7"/>
    <n v="1061"/>
    <n v="-212.3"/>
    <x v="40"/>
  </r>
  <r>
    <x v="46"/>
    <n v="1887.6000000000001"/>
    <n v="2359.5"/>
    <n v="-471.90000000000009"/>
    <x v="41"/>
  </r>
  <r>
    <x v="47"/>
    <n v="121.6"/>
    <n v="152"/>
    <n v="-30.400000000000006"/>
    <x v="42"/>
  </r>
  <r>
    <x v="48"/>
    <n v="1050.5999999999999"/>
    <n v="1315.5"/>
    <n v="-264.89999999999998"/>
    <x v="43"/>
  </r>
  <r>
    <x v="49"/>
    <n v="1420"/>
    <n v="1776"/>
    <n v="-356"/>
    <x v="44"/>
  </r>
  <r>
    <x v="50"/>
    <n v="2645"/>
    <n v="3909.5"/>
    <n v="-1264.5"/>
    <x v="45"/>
  </r>
  <r>
    <x v="51"/>
    <n v="349.5"/>
    <n v="438"/>
    <n v="-88.5"/>
    <x v="46"/>
  </r>
  <r>
    <x v="52"/>
    <n v="608"/>
    <n v="760"/>
    <n v="-152"/>
    <x v="47"/>
  </r>
  <r>
    <x v="53"/>
    <n v="755"/>
    <n v="944"/>
    <n v="-189"/>
    <x v="47"/>
  </r>
  <r>
    <x v="54"/>
    <n v="2708.7999999999997"/>
    <n v="3388.8"/>
    <n v="-680"/>
    <x v="48"/>
  </r>
  <r>
    <x v="55"/>
    <n v="1117.8000000000002"/>
    <n v="1555"/>
    <n v="-437.19999999999993"/>
    <x v="49"/>
  </r>
  <r>
    <x v="56"/>
    <n v="954.4"/>
    <n v="1193"/>
    <n v="-238.6"/>
    <x v="50"/>
  </r>
  <r>
    <x v="57"/>
    <n v="3741.3"/>
    <n v="5197.25"/>
    <n v="-1455.95"/>
    <x v="51"/>
  </r>
  <r>
    <x v="58"/>
    <n v="498.5"/>
    <n v="624.15"/>
    <n v="-125.64999999999998"/>
    <x v="52"/>
  </r>
  <r>
    <x v="59"/>
    <n v="424"/>
    <n v="530.5"/>
    <n v="-106.5"/>
    <x v="53"/>
  </r>
  <r>
    <x v="60"/>
    <n v="88.8"/>
    <n v="111"/>
    <n v="-22.2"/>
    <x v="54"/>
  </r>
  <r>
    <x v="61"/>
    <n v="1762"/>
    <n v="2202.5"/>
    <n v="-440.5"/>
    <x v="55"/>
  </r>
  <r>
    <x v="62"/>
    <n v="336"/>
    <n v="421"/>
    <n v="-85"/>
    <x v="56"/>
  </r>
  <r>
    <x v="63"/>
    <n v="268.79999999999995"/>
    <n v="336"/>
    <n v="-67.200000000000017"/>
    <x v="56"/>
  </r>
  <r>
    <x v="64"/>
    <n v="1614.8"/>
    <n v="2019.9"/>
    <n v="-405.10000000000008"/>
    <x v="57"/>
  </r>
  <r>
    <x v="65"/>
    <n v="182.39999999999998"/>
    <n v="228"/>
    <n v="-45.600000000000023"/>
    <x v="58"/>
  </r>
  <r>
    <x v="66"/>
    <n v="2094.3000000000002"/>
    <n v="2910"/>
    <n v="-815.7"/>
    <x v="59"/>
  </r>
  <r>
    <x v="67"/>
    <n v="516.79999999999995"/>
    <n v="646"/>
    <n v="-129.20000000000002"/>
    <x v="60"/>
  </r>
  <r>
    <x v="68"/>
    <n v="2835"/>
    <n v="3547.5"/>
    <n v="-712.5"/>
    <x v="61"/>
  </r>
  <r>
    <x v="69"/>
    <n v="288"/>
    <n v="360"/>
    <n v="-72"/>
    <x v="62"/>
  </r>
  <r>
    <x v="70"/>
    <n v="240.4"/>
    <n v="301"/>
    <n v="-60.599999999999994"/>
    <x v="63"/>
  </r>
  <r>
    <x v="71"/>
    <n v="1191.1999999999998"/>
    <n v="1490.4"/>
    <n v="-299.20000000000005"/>
    <x v="64"/>
  </r>
  <r>
    <x v="72"/>
    <n v="516"/>
    <n v="645"/>
    <n v="-129"/>
    <x v="65"/>
  </r>
  <r>
    <x v="73"/>
    <n v="144"/>
    <n v="180"/>
    <n v="-36"/>
    <x v="65"/>
  </r>
  <r>
    <x v="74"/>
    <n v="112"/>
    <n v="140"/>
    <n v="-28"/>
    <x v="66"/>
  </r>
  <r>
    <x v="75"/>
    <n v="164.4"/>
    <n v="205.5"/>
    <n v="-41.1"/>
    <x v="67"/>
  </r>
  <r>
    <x v="76"/>
    <n v="5275.7150000000001"/>
    <n v="7698.45"/>
    <n v="-2422.7349999999997"/>
    <x v="68"/>
  </r>
  <r>
    <x v="77"/>
    <n v="1497"/>
    <n v="1873.25"/>
    <n v="-376.25"/>
    <x v="69"/>
  </r>
  <r>
    <x v="78"/>
    <n v="982"/>
    <n v="1227.5"/>
    <n v="-245.49999999999997"/>
    <x v="70"/>
  </r>
  <r>
    <x v="79"/>
    <n v="1810"/>
    <n v="2828.65"/>
    <n v="-1018.65"/>
    <x v="71"/>
  </r>
  <r>
    <x v="80"/>
    <n v="1168"/>
    <n v="1462"/>
    <n v="-294"/>
    <x v="72"/>
  </r>
  <r>
    <x v="81"/>
    <n v="4578.43"/>
    <n v="6025.12"/>
    <n v="-1446.6900000000003"/>
    <x v="73"/>
  </r>
  <r>
    <x v="82"/>
    <n v="1649"/>
    <n v="2431.5"/>
    <n v="-782.49999999999989"/>
    <x v="74"/>
  </r>
  <r>
    <x v="83"/>
    <n v="88.5"/>
    <n v="111.75"/>
    <n v="-23.25"/>
    <x v="74"/>
  </r>
  <r>
    <x v="84"/>
    <n v="1786.8799999999999"/>
    <n v="2792"/>
    <n v="-1005.12"/>
    <x v="75"/>
  </r>
  <r>
    <x v="85"/>
    <n v="877.2"/>
    <n v="1192.5"/>
    <n v="-315.29999999999995"/>
    <x v="76"/>
  </r>
  <r>
    <x v="86"/>
    <n v="144.80000000000001"/>
    <n v="181"/>
    <n v="-36.200000000000003"/>
    <x v="77"/>
  </r>
  <r>
    <x v="87"/>
    <n v="2036.1599999999999"/>
    <n v="3181.5"/>
    <n v="-1145.3400000000001"/>
    <x v="78"/>
  </r>
  <r>
    <x v="88"/>
    <n v="285.12"/>
    <n v="396"/>
    <n v="-110.88"/>
    <x v="79"/>
  </r>
  <r>
    <x v="89"/>
    <n v="2467"/>
    <n v="3087.52"/>
    <n v="-620.52"/>
    <x v="80"/>
  </r>
  <r>
    <x v="90"/>
    <n v="934.5"/>
    <n v="1168.3499999999999"/>
    <n v="-233.85000000000002"/>
    <x v="81"/>
  </r>
  <r>
    <x v="91"/>
    <n v="3354"/>
    <n v="4330.3999999999996"/>
    <n v="-976.39999999999964"/>
    <x v="82"/>
  </r>
  <r>
    <x v="92"/>
    <n v="2436.1800000000003"/>
    <n v="3205.8"/>
    <n v="-769.61999999999989"/>
    <x v="83"/>
  </r>
  <r>
    <x v="93"/>
    <n v="352.6"/>
    <n v="515"/>
    <n v="-162.39999999999998"/>
    <x v="83"/>
  </r>
  <r>
    <x v="94"/>
    <n v="1840.6399999999999"/>
    <n v="2876"/>
    <n v="-1035.3600000000001"/>
    <x v="84"/>
  </r>
  <r>
    <x v="95"/>
    <n v="1584"/>
    <n v="1982.5"/>
    <n v="-398.5"/>
    <x v="85"/>
  </r>
  <r>
    <x v="96"/>
    <n v="2296"/>
    <n v="3570"/>
    <n v="-1274"/>
    <x v="86"/>
  </r>
  <r>
    <x v="97"/>
    <n v="2924.8"/>
    <n v="3662"/>
    <n v="-737.2"/>
    <x v="87"/>
  </r>
  <r>
    <x v="98"/>
    <n v="1618.88"/>
    <n v="2164"/>
    <n v="-545.12"/>
    <x v="88"/>
  </r>
  <r>
    <x v="99"/>
    <n v="814.42"/>
    <n v="1160.0999999999999"/>
    <n v="-345.68"/>
    <x v="89"/>
  </r>
  <r>
    <x v="100"/>
    <n v="363.6"/>
    <n v="495"/>
    <n v="-131.4"/>
    <x v="90"/>
  </r>
  <r>
    <x v="101"/>
    <n v="141.60000000000002"/>
    <n v="178.8"/>
    <n v="-37.199999999999989"/>
    <x v="91"/>
  </r>
  <r>
    <x v="102"/>
    <n v="642.05999999999995"/>
    <n v="891.75"/>
    <n v="-249.69000000000005"/>
    <x v="92"/>
  </r>
  <r>
    <x v="103"/>
    <n v="5398.7250000000004"/>
    <n v="7103.5999999999995"/>
    <n v="-1704.875"/>
    <x v="92"/>
  </r>
  <r>
    <x v="104"/>
    <n v="136.30000000000001"/>
    <n v="194"/>
    <n v="-57.7"/>
    <x v="93"/>
  </r>
  <r>
    <x v="105"/>
    <n v="8593.2800000000007"/>
    <n v="13427"/>
    <n v="-4833.72"/>
    <x v="94"/>
  </r>
  <r>
    <x v="106"/>
    <n v="568.79999999999995"/>
    <n v="711.16000000000008"/>
    <n v="-142.36000000000001"/>
    <x v="95"/>
  </r>
  <r>
    <x v="107"/>
    <n v="480"/>
    <n v="600"/>
    <n v="-120"/>
    <x v="96"/>
  </r>
  <r>
    <x v="108"/>
    <n v="1106.4000000000001"/>
    <n v="1383"/>
    <n v="-276.60000000000002"/>
    <x v="97"/>
  </r>
  <r>
    <x v="109"/>
    <n v="1167.68"/>
    <n v="1701.68"/>
    <n v="-534"/>
    <x v="98"/>
  </r>
  <r>
    <x v="110"/>
    <n v="429.40000000000003"/>
    <n v="565"/>
    <n v="-135.59999999999997"/>
    <x v="99"/>
  </r>
  <r>
    <x v="111"/>
    <n v="3471.68"/>
    <n v="4572.2"/>
    <n v="-1100.52"/>
    <x v="100"/>
  </r>
  <r>
    <x v="112"/>
    <n v="7390.2"/>
    <n v="9244.2500000000018"/>
    <n v="-1854.0500000000006"/>
    <x v="101"/>
  </r>
  <r>
    <x v="113"/>
    <n v="2046.2400000000002"/>
    <n v="2842"/>
    <n v="-795.75999999999988"/>
    <x v="101"/>
  </r>
  <r>
    <x v="114"/>
    <n v="1549.6"/>
    <n v="1938.8"/>
    <n v="-389.2"/>
    <x v="102"/>
  </r>
  <r>
    <x v="115"/>
    <n v="447.2"/>
    <n v="559"/>
    <n v="-111.79999999999998"/>
    <x v="103"/>
  </r>
  <r>
    <x v="116"/>
    <n v="950"/>
    <n v="1187.5"/>
    <n v="-237.5"/>
    <x v="103"/>
  </r>
  <r>
    <x v="117"/>
    <n v="403.20000000000005"/>
    <n v="504"/>
    <n v="-100.79999999999995"/>
    <x v="104"/>
  </r>
  <r>
    <x v="118"/>
    <n v="136"/>
    <n v="170.25"/>
    <n v="-34.25"/>
    <x v="105"/>
  </r>
  <r>
    <x v="119"/>
    <n v="834.19999999999993"/>
    <n v="1044.8499999999999"/>
    <n v="-210.64999999999998"/>
    <x v="105"/>
  </r>
  <r>
    <x v="120"/>
    <n v="1689.78"/>
    <n v="2294.0500000000002"/>
    <n v="-604.2700000000001"/>
    <x v="106"/>
  </r>
  <r>
    <x v="121"/>
    <n v="2390.4"/>
    <n v="3159.8"/>
    <n v="-769.4000000000002"/>
    <x v="107"/>
  </r>
  <r>
    <x v="122"/>
    <n v="1117.5999999999999"/>
    <n v="1467.5"/>
    <n v="-349.9"/>
    <x v="108"/>
  </r>
  <r>
    <x v="123"/>
    <n v="72.959999999999994"/>
    <n v="114"/>
    <n v="-41.040000000000006"/>
    <x v="108"/>
  </r>
  <r>
    <x v="124"/>
    <n v="9210.9000000000015"/>
    <n v="15353.6"/>
    <n v="-6142.7"/>
    <x v="109"/>
  </r>
  <r>
    <x v="125"/>
    <n v="1366.4"/>
    <n v="2135"/>
    <n v="-768.6"/>
    <x v="110"/>
  </r>
  <r>
    <x v="126"/>
    <n v="459"/>
    <n v="573.75"/>
    <n v="-114.75"/>
    <x v="110"/>
  </r>
  <r>
    <x v="127"/>
    <n v="338"/>
    <n v="423.25"/>
    <n v="-85.25"/>
    <x v="111"/>
  </r>
  <r>
    <x v="128"/>
    <n v="399"/>
    <n v="525"/>
    <n v="-126"/>
    <x v="112"/>
  </r>
  <r>
    <x v="129"/>
    <n v="863.59999999999991"/>
    <n v="1272"/>
    <n v="-408.40000000000003"/>
    <x v="112"/>
  </r>
  <r>
    <x v="130"/>
    <n v="103.19999999999999"/>
    <n v="129"/>
    <n v="-25.800000000000011"/>
    <x v="113"/>
  </r>
  <r>
    <x v="131"/>
    <n v="863.28"/>
    <n v="1200.5999999999999"/>
    <n v="-337.32"/>
    <x v="114"/>
  </r>
  <r>
    <x v="132"/>
    <n v="1313.8200000000002"/>
    <n v="1776.02"/>
    <n v="-462.2"/>
    <x v="115"/>
  </r>
  <r>
    <x v="133"/>
    <n v="112"/>
    <n v="140"/>
    <n v="-28"/>
    <x v="115"/>
  </r>
  <r>
    <x v="134"/>
    <n v="2900"/>
    <n v="3628.76"/>
    <n v="-728.76000000000022"/>
    <x v="116"/>
  </r>
  <r>
    <x v="135"/>
    <n v="899"/>
    <n v="1123.75"/>
    <n v="-224.75"/>
    <x v="117"/>
  </r>
  <r>
    <x v="136"/>
    <n v="2222.3999999999996"/>
    <n v="2778"/>
    <n v="-555.60000000000014"/>
    <x v="117"/>
  </r>
  <r>
    <x v="137"/>
    <n v="691.2"/>
    <n v="1080"/>
    <n v="-388.8"/>
    <x v="118"/>
  </r>
  <r>
    <x v="138"/>
    <n v="166"/>
    <n v="207.5"/>
    <n v="-41.5"/>
    <x v="119"/>
  </r>
  <r>
    <x v="139"/>
    <n v="1058.4000000000001"/>
    <n v="1323.6"/>
    <n v="-265.20000000000005"/>
    <x v="119"/>
  </r>
  <r>
    <x v="140"/>
    <n v="1228.8"/>
    <n v="1594.5"/>
    <n v="-365.7"/>
    <x v="120"/>
  </r>
  <r>
    <x v="141"/>
    <n v="1832.8"/>
    <n v="2292"/>
    <n v="-459.2"/>
    <x v="121"/>
  </r>
  <r>
    <x v="142"/>
    <n v="2090.88"/>
    <n v="2845.2"/>
    <n v="-754.31999999999994"/>
    <x v="122"/>
  </r>
  <r>
    <x v="143"/>
    <n v="86.399999999999991"/>
    <n v="108"/>
    <n v="-21.600000000000009"/>
    <x v="122"/>
  </r>
  <r>
    <x v="144"/>
    <n v="1440"/>
    <n v="1800"/>
    <n v="-360"/>
    <x v="123"/>
  </r>
  <r>
    <x v="145"/>
    <n v="2556.9499999999998"/>
    <n v="4135.6000000000004"/>
    <n v="-1578.6499999999999"/>
    <x v="124"/>
  </r>
  <r>
    <x v="146"/>
    <n v="442"/>
    <n v="553"/>
    <n v="-111"/>
    <x v="124"/>
  </r>
  <r>
    <x v="147"/>
    <n v="2122.92"/>
    <n v="2920"/>
    <n v="-797.08"/>
    <x v="125"/>
  </r>
  <r>
    <x v="148"/>
    <n v="1903.8000000000002"/>
    <n v="2380.8000000000002"/>
    <n v="-476.99999999999989"/>
    <x v="126"/>
  </r>
  <r>
    <x v="149"/>
    <n v="716.71999999999991"/>
    <n v="1054"/>
    <n v="-337.28000000000009"/>
    <x v="126"/>
  </r>
  <r>
    <x v="150"/>
    <n v="2505.6"/>
    <n v="3420"/>
    <n v="-914.40000000000009"/>
    <x v="127"/>
  </r>
  <r>
    <x v="151"/>
    <n v="1765.6"/>
    <n v="2207"/>
    <n v="-441.4"/>
    <x v="128"/>
  </r>
  <r>
    <x v="152"/>
    <n v="3063"/>
    <n v="3829.59"/>
    <n v="-766.59000000000015"/>
    <x v="129"/>
  </r>
  <r>
    <x v="153"/>
    <n v="3868.6"/>
    <n v="4837.0200000000004"/>
    <n v="-968.42000000000007"/>
    <x v="129"/>
  </r>
  <r>
    <x v="154"/>
    <n v="2713.5"/>
    <n v="3393.5"/>
    <n v="-680"/>
    <x v="130"/>
  </r>
  <r>
    <x v="155"/>
    <n v="855.01499999999999"/>
    <n v="1258.95"/>
    <n v="-403.93499999999995"/>
    <x v="131"/>
  </r>
  <r>
    <x v="156"/>
    <n v="1591.25"/>
    <n v="2096.9"/>
    <n v="-505.65"/>
    <x v="131"/>
  </r>
  <r>
    <x v="157"/>
    <n v="400"/>
    <n v="500"/>
    <n v="-100"/>
    <x v="132"/>
  </r>
  <r>
    <x v="158"/>
    <n v="1830.7800000000002"/>
    <n v="2527"/>
    <n v="-696.22"/>
    <x v="133"/>
  </r>
  <r>
    <x v="159"/>
    <n v="1194"/>
    <n v="1492.5"/>
    <n v="-298.5"/>
    <x v="133"/>
  </r>
  <r>
    <x v="160"/>
    <n v="1622.4"/>
    <n v="2030.2"/>
    <n v="-407.8"/>
    <x v="134"/>
  </r>
  <r>
    <x v="161"/>
    <n v="319.20000000000005"/>
    <n v="399"/>
    <n v="-79.799999999999983"/>
    <x v="135"/>
  </r>
  <r>
    <x v="162"/>
    <n v="802"/>
    <n v="1002.5"/>
    <n v="-200.5"/>
    <x v="136"/>
  </r>
  <r>
    <x v="163"/>
    <n v="966.8"/>
    <n v="1514.25"/>
    <n v="-547.45000000000005"/>
    <x v="136"/>
  </r>
  <r>
    <x v="164"/>
    <n v="334.8"/>
    <n v="465"/>
    <n v="-130.19999999999999"/>
    <x v="137"/>
  </r>
  <r>
    <x v="165"/>
    <n v="2123.1999999999998"/>
    <n v="2656"/>
    <n v="-532.79999999999995"/>
    <x v="138"/>
  </r>
  <r>
    <x v="166"/>
    <n v="224.83"/>
    <n v="290.60000000000002"/>
    <n v="-65.769999999999982"/>
    <x v="138"/>
  </r>
  <r>
    <x v="167"/>
    <n v="102.4"/>
    <n v="128"/>
    <n v="-25.6"/>
    <x v="139"/>
  </r>
  <r>
    <x v="168"/>
    <n v="720"/>
    <n v="902"/>
    <n v="-182"/>
    <x v="140"/>
  </r>
  <r>
    <x v="169"/>
    <n v="11188.4"/>
    <n v="14104"/>
    <n v="-2915.6"/>
    <x v="140"/>
  </r>
  <r>
    <x v="170"/>
    <n v="1814.8"/>
    <n v="2268.5"/>
    <n v="-453.7"/>
    <x v="141"/>
  </r>
  <r>
    <x v="171"/>
    <n v="2097.6000000000004"/>
    <n v="2760"/>
    <n v="-662.39999999999986"/>
    <x v="142"/>
  </r>
  <r>
    <x v="172"/>
    <n v="1707.8400000000001"/>
    <n v="2372"/>
    <n v="-664.16000000000008"/>
    <x v="143"/>
  </r>
  <r>
    <x v="173"/>
    <n v="1194.2700000000002"/>
    <n v="1595.6999999999998"/>
    <n v="-401.42999999999995"/>
    <x v="143"/>
  </r>
  <r>
    <x v="174"/>
    <n v="49.8"/>
    <n v="62.46"/>
    <n v="-12.660000000000004"/>
    <x v="144"/>
  </r>
  <r>
    <x v="175"/>
    <n v="1020"/>
    <n v="1275"/>
    <n v="-255"/>
    <x v="145"/>
  </r>
  <r>
    <x v="176"/>
    <n v="9194.5600000000013"/>
    <n v="14366.5"/>
    <n v="-5171.9399999999996"/>
    <x v="145"/>
  </r>
  <r>
    <x v="177"/>
    <n v="360"/>
    <n v="600"/>
    <n v="-240"/>
    <x v="146"/>
  </r>
  <r>
    <x v="178"/>
    <n v="338.20000000000005"/>
    <n v="422.75"/>
    <n v="-84.549999999999983"/>
    <x v="147"/>
  </r>
  <r>
    <x v="179"/>
    <n v="651"/>
    <n v="813.75"/>
    <n v="-162.75"/>
    <x v="147"/>
  </r>
  <r>
    <x v="180"/>
    <n v="192"/>
    <n v="240"/>
    <n v="-48"/>
    <x v="148"/>
  </r>
  <r>
    <x v="181"/>
    <n v="1441.375"/>
    <n v="2186.5"/>
    <n v="-745.125"/>
    <x v="149"/>
  </r>
  <r>
    <x v="182"/>
    <n v="4899.2"/>
    <n v="7245"/>
    <n v="-2345.8000000000002"/>
    <x v="150"/>
  </r>
  <r>
    <x v="183"/>
    <n v="1892.25"/>
    <n v="3155"/>
    <n v="-1262.75"/>
    <x v="150"/>
  </r>
  <r>
    <x v="184"/>
    <n v="485"/>
    <n v="610.29999999999995"/>
    <n v="-125.30000000000001"/>
    <x v="151"/>
  </r>
  <r>
    <x v="185"/>
    <n v="851.19999999999993"/>
    <n v="1064"/>
    <n v="-212.80000000000007"/>
    <x v="152"/>
  </r>
  <r>
    <x v="186"/>
    <n v="321.12"/>
    <n v="450"/>
    <n v="-128.88"/>
    <x v="152"/>
  </r>
  <r>
    <x v="187"/>
    <n v="631.6"/>
    <n v="790"/>
    <n v="-158.39999999999998"/>
    <x v="153"/>
  </r>
  <r>
    <x v="188"/>
    <n v="1994.5200000000002"/>
    <n v="2763.5"/>
    <n v="-768.97999999999979"/>
    <x v="154"/>
  </r>
  <r>
    <x v="189"/>
    <n v="393"/>
    <n v="491.99999999999994"/>
    <n v="-98.999999999999943"/>
    <x v="154"/>
  </r>
  <r>
    <x v="190"/>
    <n v="453.99999999999994"/>
    <n v="710.5"/>
    <n v="-256.5"/>
    <x v="155"/>
  </r>
  <r>
    <x v="191"/>
    <n v="1078"/>
    <n v="1348.7"/>
    <n v="-270.69999999999993"/>
    <x v="156"/>
  </r>
  <r>
    <x v="192"/>
    <n v="4924.1350000000002"/>
    <n v="7246.01"/>
    <n v="-2321.875"/>
    <x v="157"/>
  </r>
  <r>
    <x v="193"/>
    <n v="1755"/>
    <n v="2195"/>
    <n v="-440"/>
    <x v="157"/>
  </r>
  <r>
    <x v="194"/>
    <n v="1792"/>
    <n v="2246"/>
    <n v="-454"/>
    <x v="158"/>
  </r>
  <r>
    <x v="195"/>
    <n v="517.43999999999994"/>
    <n v="673.2"/>
    <n v="-155.76000000000008"/>
    <x v="159"/>
  </r>
  <r>
    <x v="196"/>
    <n v="1031.7"/>
    <n v="1291.95"/>
    <n v="-260.25"/>
    <x v="159"/>
  </r>
  <r>
    <x v="197"/>
    <n v="174.9"/>
    <n v="219.75"/>
    <n v="-44.849999999999994"/>
    <x v="160"/>
  </r>
  <r>
    <x v="198"/>
    <n v="246.23999999999998"/>
    <n v="342.9"/>
    <n v="-96.660000000000011"/>
    <x v="161"/>
  </r>
  <r>
    <x v="199"/>
    <n v="914.4"/>
    <n v="1147.75"/>
    <n v="-233.35"/>
    <x v="161"/>
  </r>
  <r>
    <x v="200"/>
    <n v="443.4"/>
    <n v="555.38"/>
    <n v="-111.98000000000002"/>
    <x v="162"/>
  </r>
  <r>
    <x v="201"/>
    <n v="1838.2"/>
    <n v="2299.5"/>
    <n v="-461.3"/>
    <x v="163"/>
  </r>
  <r>
    <x v="202"/>
    <n v="425.12"/>
    <n v="664.7"/>
    <n v="-239.57999999999998"/>
    <x v="164"/>
  </r>
  <r>
    <x v="203"/>
    <n v="3849.66"/>
    <n v="5348.15"/>
    <n v="-1498.49"/>
    <x v="164"/>
  </r>
  <r>
    <x v="204"/>
    <n v="2018.5"/>
    <n v="2629"/>
    <n v="-610.5"/>
    <x v="165"/>
  </r>
  <r>
    <x v="205"/>
    <n v="407.7"/>
    <n v="566.25"/>
    <n v="-158.55000000000001"/>
    <x v="166"/>
  </r>
  <r>
    <x v="206"/>
    <n v="331.2"/>
    <n v="519"/>
    <n v="-187.8"/>
    <x v="166"/>
  </r>
  <r>
    <x v="207"/>
    <n v="2684"/>
    <n v="3357.5"/>
    <n v="-673.49999999999977"/>
    <x v="167"/>
  </r>
  <r>
    <x v="208"/>
    <n v="557.6"/>
    <n v="820"/>
    <n v="-262.39999999999998"/>
    <x v="168"/>
  </r>
  <r>
    <x v="209"/>
    <n v="1584"/>
    <n v="1980"/>
    <n v="-396"/>
    <x v="168"/>
  </r>
  <r>
    <x v="210"/>
    <n v="3891"/>
    <n v="4869.8999999999996"/>
    <n v="-978.9"/>
    <x v="169"/>
  </r>
  <r>
    <x v="211"/>
    <n v="1659.2"/>
    <n v="2112"/>
    <n v="-452.79999999999995"/>
    <x v="170"/>
  </r>
  <r>
    <x v="212"/>
    <n v="176.1"/>
    <n v="293.5"/>
    <n v="-117.4"/>
    <x v="171"/>
  </r>
  <r>
    <x v="213"/>
    <n v="1538.7"/>
    <n v="2564.92"/>
    <n v="-1026.22"/>
    <x v="171"/>
  </r>
  <r>
    <x v="214"/>
    <n v="156.00000000000003"/>
    <n v="195"/>
    <n v="-38.999999999999986"/>
    <x v="172"/>
  </r>
  <r>
    <x v="215"/>
    <n v="713.3"/>
    <n v="893.2"/>
    <n v="-179.9"/>
    <x v="173"/>
  </r>
  <r>
    <x v="216"/>
    <n v="1609.28"/>
    <n v="2310"/>
    <n v="-700.72"/>
    <x v="173"/>
  </r>
  <r>
    <x v="217"/>
    <n v="2518"/>
    <n v="3399.9700000000003"/>
    <n v="-881.97000000000025"/>
    <x v="174"/>
  </r>
  <r>
    <x v="218"/>
    <n v="216"/>
    <n v="270"/>
    <n v="-54"/>
    <x v="175"/>
  </r>
  <r>
    <x v="219"/>
    <n v="235.2"/>
    <n v="294"/>
    <n v="-58.800000000000026"/>
    <x v="175"/>
  </r>
  <r>
    <x v="220"/>
    <n v="717.6"/>
    <n v="897.12"/>
    <n v="-179.52"/>
    <x v="176"/>
  </r>
  <r>
    <x v="221"/>
    <n v="956.67499999999995"/>
    <n v="1409.65"/>
    <n v="-452.97500000000008"/>
    <x v="177"/>
  </r>
  <r>
    <x v="222"/>
    <n v="1820.8"/>
    <n v="2276"/>
    <n v="-455.2"/>
    <x v="178"/>
  </r>
  <r>
    <x v="223"/>
    <n v="1328"/>
    <n v="1660"/>
    <n v="-332"/>
    <x v="178"/>
  </r>
  <r>
    <x v="224"/>
    <n v="1036.8"/>
    <n v="1314"/>
    <n v="-277.20000000000005"/>
    <x v="179"/>
  </r>
  <r>
    <x v="225"/>
    <n v="230.39999999999998"/>
    <n v="288"/>
    <n v="-57.600000000000023"/>
    <x v="180"/>
  </r>
  <r>
    <x v="226"/>
    <n v="1249.0999999999999"/>
    <n v="1563.7000000000003"/>
    <n v="-314.60000000000014"/>
    <x v="180"/>
  </r>
  <r>
    <x v="227"/>
    <n v="1505.18"/>
    <n v="2213.5"/>
    <n v="-708.31999999999994"/>
    <x v="181"/>
  </r>
  <r>
    <x v="228"/>
    <n v="180.48"/>
    <n v="228"/>
    <n v="-47.52"/>
    <x v="182"/>
  </r>
  <r>
    <x v="229"/>
    <n v="558"/>
    <n v="840"/>
    <n v="-282"/>
    <x v="182"/>
  </r>
  <r>
    <x v="230"/>
    <n v="471.2"/>
    <n v="620"/>
    <n v="-148.80000000000001"/>
    <x v="183"/>
  </r>
  <r>
    <x v="231"/>
    <n v="10495.6"/>
    <n v="13120.9"/>
    <n v="-2625.2999999999997"/>
    <x v="184"/>
  </r>
  <r>
    <x v="232"/>
    <n v="756"/>
    <n v="945"/>
    <n v="-189"/>
    <x v="185"/>
  </r>
  <r>
    <x v="233"/>
    <n v="1472"/>
    <n v="1840"/>
    <n v="-368"/>
    <x v="185"/>
  </r>
  <r>
    <x v="234"/>
    <n v="147"/>
    <n v="184"/>
    <n v="-37"/>
    <x v="186"/>
  </r>
  <r>
    <x v="235"/>
    <n v="668.8"/>
    <n v="880"/>
    <n v="-211.20000000000005"/>
    <x v="187"/>
  </r>
  <r>
    <x v="236"/>
    <n v="386.2"/>
    <n v="483"/>
    <n v="-96.800000000000011"/>
    <x v="187"/>
  </r>
  <r>
    <x v="237"/>
    <n v="1584"/>
    <n v="2200"/>
    <n v="-616"/>
    <x v="188"/>
  </r>
  <r>
    <x v="238"/>
    <n v="1272"/>
    <n v="1590"/>
    <n v="-318"/>
    <x v="189"/>
  </r>
  <r>
    <x v="239"/>
    <n v="889.7"/>
    <n v="1161.7"/>
    <n v="-272"/>
    <x v="189"/>
  </r>
  <r>
    <x v="240"/>
    <n v="1512"/>
    <n v="1950"/>
    <n v="-438"/>
    <x v="190"/>
  </r>
  <r>
    <x v="241"/>
    <n v="439.20000000000005"/>
    <n v="629.09999999999991"/>
    <n v="-189.89999999999995"/>
    <x v="191"/>
  </r>
  <r>
    <x v="242"/>
    <n v="3163.2"/>
    <n v="3954"/>
    <n v="-790.8"/>
    <x v="192"/>
  </r>
  <r>
    <x v="243"/>
    <n v="259.505"/>
    <n v="382.75"/>
    <n v="-123.245"/>
    <x v="192"/>
  </r>
  <r>
    <x v="244"/>
    <n v="851.2"/>
    <n v="1120"/>
    <n v="-268.8"/>
    <x v="193"/>
  </r>
  <r>
    <x v="245"/>
    <n v="608.40000000000009"/>
    <n v="845.75"/>
    <n v="-237.35"/>
    <x v="194"/>
  </r>
  <r>
    <x v="246"/>
    <n v="912"/>
    <n v="1140"/>
    <n v="-228"/>
    <x v="194"/>
  </r>
  <r>
    <x v="247"/>
    <n v="278"/>
    <n v="348"/>
    <n v="-70"/>
    <x v="195"/>
  </r>
  <r>
    <x v="248"/>
    <n v="190"/>
    <n v="250"/>
    <n v="-60"/>
    <x v="196"/>
  </r>
  <r>
    <x v="249"/>
    <n v="1380.6"/>
    <n v="1727"/>
    <n v="-346.39999999999992"/>
    <x v="196"/>
  </r>
  <r>
    <x v="250"/>
    <n v="575"/>
    <n v="575"/>
    <n v="0"/>
    <x v="197"/>
  </r>
  <r>
    <x v="251"/>
    <n v="1412"/>
    <n v="1412"/>
    <n v="0"/>
    <x v="198"/>
  </r>
  <r>
    <x v="252"/>
    <n v="523.26"/>
    <n v="550.79999999999995"/>
    <n v="-27.54000000000002"/>
    <x v="199"/>
  </r>
  <r>
    <x v="253"/>
    <n v="149"/>
    <n v="149"/>
    <n v="0"/>
    <x v="199"/>
  </r>
  <r>
    <x v="254"/>
    <n v="816.3"/>
    <n v="816.3"/>
    <n v="0"/>
    <x v="200"/>
  </r>
  <r>
    <x v="255"/>
    <n v="2048.5"/>
    <n v="2048.5"/>
    <n v="0"/>
    <x v="201"/>
  </r>
  <r>
    <x v="256"/>
    <n v="1388.5"/>
    <n v="1388.5"/>
    <n v="0"/>
    <x v="201"/>
  </r>
  <r>
    <x v="257"/>
    <n v="147.89999999999998"/>
    <n v="147.89999999999998"/>
    <n v="0"/>
    <x v="202"/>
  </r>
  <r>
    <x v="258"/>
    <n v="415.8"/>
    <n v="462"/>
    <n v="-46.199999999999989"/>
    <x v="203"/>
  </r>
  <r>
    <x v="259"/>
    <n v="749.0625"/>
    <n v="881.25"/>
    <n v="-132.1875"/>
    <x v="203"/>
  </r>
  <r>
    <x v="260"/>
    <n v="240"/>
    <n v="240"/>
    <n v="0"/>
    <x v="204"/>
  </r>
  <r>
    <x v="261"/>
    <n v="136.80000000000001"/>
    <n v="136.80000000000001"/>
    <n v="0"/>
    <x v="205"/>
  </r>
  <r>
    <x v="262"/>
    <n v="4707.5400000000009"/>
    <n v="4735.4400000000005"/>
    <n v="-27.900000000000006"/>
    <x v="206"/>
  </r>
  <r>
    <x v="263"/>
    <n v="2550"/>
    <n v="3000"/>
    <n v="-450"/>
    <x v="206"/>
  </r>
  <r>
    <x v="264"/>
    <n v="525.29999999999995"/>
    <n v="618"/>
    <n v="-92.699999999999989"/>
    <x v="207"/>
  </r>
  <r>
    <x v="265"/>
    <n v="1942"/>
    <n v="2427.5"/>
    <n v="-485.5"/>
    <x v="208"/>
  </r>
  <r>
    <x v="266"/>
    <n v="8623.4500000000007"/>
    <n v="8623.4500000000007"/>
    <n v="0"/>
    <x v="208"/>
  </r>
  <r>
    <x v="267"/>
    <n v="9921.2999999999993"/>
    <n v="10588.5"/>
    <n v="-667.2"/>
    <x v="209"/>
  </r>
  <r>
    <x v="268"/>
    <n v="2381.0500000000002"/>
    <n v="2614.5"/>
    <n v="-233.45000000000005"/>
    <x v="210"/>
  </r>
  <r>
    <x v="269"/>
    <n v="352"/>
    <n v="352"/>
    <n v="0"/>
    <x v="210"/>
  </r>
  <r>
    <x v="270"/>
    <n v="4150.05"/>
    <n v="4150.05"/>
    <n v="0"/>
    <x v="211"/>
  </r>
  <r>
    <x v="271"/>
    <n v="2314.1999999999998"/>
    <n v="2356"/>
    <n v="-41.800000000000011"/>
    <x v="212"/>
  </r>
  <r>
    <x v="272"/>
    <n v="200"/>
    <n v="200"/>
    <n v="0"/>
    <x v="213"/>
  </r>
  <r>
    <x v="273"/>
    <n v="225.5"/>
    <n v="225.5"/>
    <n v="0"/>
    <x v="213"/>
  </r>
  <r>
    <x v="274"/>
    <n v="2318.2399999999998"/>
    <n v="2657.8"/>
    <n v="-339.56"/>
    <x v="214"/>
  </r>
  <r>
    <x v="275"/>
    <n v="2444.31"/>
    <n v="2715.9"/>
    <n v="-271.59000000000003"/>
    <x v="215"/>
  </r>
  <r>
    <x v="276"/>
    <n v="3192.65"/>
    <n v="3192.65"/>
    <n v="0"/>
    <x v="215"/>
  </r>
  <r>
    <x v="277"/>
    <n v="818.4"/>
    <n v="846"/>
    <n v="-27.599999999999994"/>
    <x v="216"/>
  </r>
  <r>
    <x v="278"/>
    <n v="1151.4000000000001"/>
    <n v="1344"/>
    <n v="-192.6"/>
    <x v="217"/>
  </r>
  <r>
    <x v="279"/>
    <n v="1503"/>
    <n v="1670"/>
    <n v="-167"/>
    <x v="217"/>
  </r>
  <r>
    <x v="280"/>
    <n v="392.2"/>
    <n v="396.2"/>
    <n v="-4"/>
    <x v="218"/>
  </r>
  <r>
    <x v="281"/>
    <n v="946"/>
    <n v="946"/>
    <n v="0"/>
    <x v="219"/>
  </r>
  <r>
    <x v="282"/>
    <n v="4180"/>
    <n v="4180"/>
    <n v="0"/>
    <x v="220"/>
  </r>
  <r>
    <x v="283"/>
    <n v="110"/>
    <n v="110"/>
    <n v="0"/>
    <x v="220"/>
  </r>
  <r>
    <x v="284"/>
    <n v="796.35"/>
    <n v="796.35"/>
    <n v="0"/>
    <x v="221"/>
  </r>
  <r>
    <x v="285"/>
    <n v="2222.1999999999998"/>
    <n v="2295.1999999999998"/>
    <n v="-73"/>
    <x v="222"/>
  </r>
  <r>
    <x v="286"/>
    <n v="465.7"/>
    <n v="517.4"/>
    <n v="-51.70000000000001"/>
    <x v="222"/>
  </r>
  <r>
    <x v="287"/>
    <n v="1940.85"/>
    <n v="2156.5"/>
    <n v="-215.65"/>
    <x v="223"/>
  </r>
  <r>
    <x v="288"/>
    <n v="1645"/>
    <n v="2085"/>
    <n v="-440"/>
    <x v="224"/>
  </r>
  <r>
    <x v="289"/>
    <n v="1823.8"/>
    <n v="1823.8"/>
    <n v="0"/>
    <x v="224"/>
  </r>
  <r>
    <x v="290"/>
    <n v="139.80000000000001"/>
    <n v="139.80000000000001"/>
    <n v="0"/>
    <x v="225"/>
  </r>
  <r>
    <x v="291"/>
    <n v="355.5"/>
    <n v="355.5"/>
    <n v="0"/>
    <x v="226"/>
  </r>
  <r>
    <x v="292"/>
    <n v="10191.700000000001"/>
    <n v="10191.700000000001"/>
    <n v="0"/>
    <x v="227"/>
  </r>
  <r>
    <x v="293"/>
    <n v="1946.52"/>
    <n v="2162.8000000000002"/>
    <n v="-216.27999999999994"/>
    <x v="227"/>
  </r>
  <r>
    <x v="294"/>
    <n v="469.11"/>
    <n v="493.8"/>
    <n v="-24.689999999999998"/>
    <x v="228"/>
  </r>
  <r>
    <x v="295"/>
    <n v="1504.5"/>
    <n v="1770"/>
    <n v="-265.5"/>
    <x v="229"/>
  </r>
  <r>
    <x v="296"/>
    <n v="417.2"/>
    <n v="417.2"/>
    <n v="0"/>
    <x v="229"/>
  </r>
  <r>
    <x v="297"/>
    <n v="210"/>
    <n v="210"/>
    <n v="0"/>
    <x v="230"/>
  </r>
  <r>
    <x v="298"/>
    <n v="2812"/>
    <n v="2812"/>
    <n v="0"/>
    <x v="231"/>
  </r>
  <r>
    <x v="299"/>
    <n v="1792.8"/>
    <n v="1908"/>
    <n v="-115.20000000000005"/>
    <x v="231"/>
  </r>
  <r>
    <x v="300"/>
    <n v="240.1"/>
    <n v="275.10000000000002"/>
    <n v="-35"/>
    <x v="232"/>
  </r>
  <r>
    <x v="301"/>
    <n v="3554.2750000000001"/>
    <n v="4181.5"/>
    <n v="-627.22499999999991"/>
    <x v="233"/>
  </r>
  <r>
    <x v="302"/>
    <n v="683.3"/>
    <n v="749"/>
    <n v="-65.699999999999989"/>
    <x v="234"/>
  </r>
  <r>
    <x v="303"/>
    <n v="1677.3"/>
    <n v="1836"/>
    <n v="-158.70000000000005"/>
    <x v="234"/>
  </r>
  <r>
    <x v="304"/>
    <n v="880.5"/>
    <n v="880.5"/>
    <n v="0"/>
    <x v="235"/>
  </r>
  <r>
    <x v="305"/>
    <n v="1546.3"/>
    <n v="1546.3"/>
    <n v="0"/>
    <x v="236"/>
  </r>
  <r>
    <x v="306"/>
    <n v="1728.5250000000001"/>
    <n v="1819.5"/>
    <n v="-90.974999999999966"/>
    <x v="236"/>
  </r>
  <r>
    <x v="307"/>
    <n v="2944.4"/>
    <n v="3680.5"/>
    <n v="-736.09999999999991"/>
    <x v="237"/>
  </r>
  <r>
    <x v="308"/>
    <n v="835.19999999999993"/>
    <n v="835.19999999999993"/>
    <n v="0"/>
    <x v="238"/>
  </r>
  <r>
    <x v="309"/>
    <n v="1152.5"/>
    <n v="1152.5"/>
    <n v="0"/>
    <x v="238"/>
  </r>
  <r>
    <x v="310"/>
    <n v="2142.9"/>
    <n v="2142.9"/>
    <n v="0"/>
    <x v="239"/>
  </r>
  <r>
    <x v="311"/>
    <n v="520.41"/>
    <n v="547.79999999999995"/>
    <n v="-27.390000000000029"/>
    <x v="240"/>
  </r>
  <r>
    <x v="312"/>
    <n v="1072.425"/>
    <n v="1257.3"/>
    <n v="-184.875"/>
    <x v="241"/>
  </r>
  <r>
    <x v="313"/>
    <n v="2844.5"/>
    <n v="2844.5"/>
    <n v="0"/>
    <x v="241"/>
  </r>
  <r>
    <x v="314"/>
    <n v="488.7"/>
    <n v="543"/>
    <n v="-54.300000000000011"/>
    <x v="242"/>
  </r>
  <r>
    <x v="315"/>
    <n v="965"/>
    <n v="965"/>
    <n v="0"/>
    <x v="243"/>
  </r>
  <r>
    <x v="316"/>
    <n v="1234.05"/>
    <n v="1299"/>
    <n v="-64.950000000000045"/>
    <x v="243"/>
  </r>
  <r>
    <x v="317"/>
    <n v="639.9"/>
    <n v="711"/>
    <n v="-71.100000000000023"/>
    <x v="244"/>
  </r>
  <r>
    <x v="318"/>
    <n v="1761"/>
    <n v="2040"/>
    <n v="-279"/>
    <x v="245"/>
  </r>
  <r>
    <x v="319"/>
    <n v="2519"/>
    <n v="3109"/>
    <n v="-590"/>
    <x v="245"/>
  </r>
  <r>
    <x v="320"/>
    <n v="155"/>
    <n v="155"/>
    <n v="0"/>
    <x v="246"/>
  </r>
  <r>
    <x v="321"/>
    <n v="890"/>
    <n v="977.5"/>
    <n v="-87.5"/>
    <x v="247"/>
  </r>
  <r>
    <x v="322"/>
    <n v="2465.25"/>
    <n v="2595"/>
    <n v="-129.75"/>
    <x v="248"/>
  </r>
  <r>
    <x v="323"/>
    <n v="550.58749999999998"/>
    <n v="647.75"/>
    <n v="-97.162500000000023"/>
    <x v="248"/>
  </r>
  <r>
    <x v="324"/>
    <n v="1501.0849999999998"/>
    <n v="1565.6499999999999"/>
    <n v="-64.564999999999998"/>
    <x v="249"/>
  </r>
  <r>
    <x v="325"/>
    <n v="2082"/>
    <n v="2082"/>
    <n v="0"/>
    <x v="250"/>
  </r>
  <r>
    <x v="326"/>
    <n v="764.3"/>
    <n v="764.3"/>
    <n v="0"/>
    <x v="250"/>
  </r>
  <r>
    <x v="327"/>
    <n v="2147.4"/>
    <n v="2147.4"/>
    <n v="0"/>
    <x v="251"/>
  </r>
  <r>
    <x v="328"/>
    <n v="838.45"/>
    <n v="838.45"/>
    <n v="0"/>
    <x v="252"/>
  </r>
  <r>
    <x v="329"/>
    <n v="569"/>
    <n v="569"/>
    <n v="0"/>
    <x v="252"/>
  </r>
  <r>
    <x v="330"/>
    <n v="477"/>
    <n v="477"/>
    <n v="0"/>
    <x v="253"/>
  </r>
  <r>
    <x v="331"/>
    <n v="317.75"/>
    <n v="317.75"/>
    <n v="0"/>
    <x v="254"/>
  </r>
  <r>
    <x v="332"/>
    <n v="1013.7449999999999"/>
    <n v="1067.0999999999999"/>
    <n v="-53.355000000000047"/>
    <x v="255"/>
  </r>
  <r>
    <x v="333"/>
    <n v="310"/>
    <n v="387.5"/>
    <n v="-77.5"/>
    <x v="255"/>
  </r>
  <r>
    <x v="334"/>
    <n v="330"/>
    <n v="330"/>
    <n v="0"/>
    <x v="256"/>
  </r>
  <r>
    <x v="335"/>
    <n v="2237.5"/>
    <n v="2413.9"/>
    <n v="-176.39999999999998"/>
    <x v="257"/>
  </r>
  <r>
    <x v="336"/>
    <n v="593.75"/>
    <n v="625"/>
    <n v="-31.25"/>
    <x v="257"/>
  </r>
  <r>
    <x v="337"/>
    <n v="142.5"/>
    <n v="142.5"/>
    <n v="0"/>
    <x v="258"/>
  </r>
  <r>
    <x v="338"/>
    <n v="23.8"/>
    <n v="28"/>
    <n v="-4.1999999999999993"/>
    <x v="259"/>
  </r>
  <r>
    <x v="339"/>
    <n v="807.38"/>
    <n v="807.38"/>
    <n v="0"/>
    <x v="259"/>
  </r>
  <r>
    <x v="340"/>
    <n v="3120"/>
    <n v="3900"/>
    <n v="-780"/>
    <x v="260"/>
  </r>
  <r>
    <x v="341"/>
    <n v="72"/>
    <n v="72"/>
    <n v="0"/>
    <x v="261"/>
  </r>
  <r>
    <x v="342"/>
    <n v="1101"/>
    <n v="1140"/>
    <n v="-39"/>
    <x v="262"/>
  </r>
  <r>
    <x v="343"/>
    <n v="812.5"/>
    <n v="812.5"/>
    <n v="0"/>
    <x v="262"/>
  </r>
  <r>
    <x v="344"/>
    <n v="516.46749999999997"/>
    <n v="543.65"/>
    <n v="-27.182500000000005"/>
    <x v="263"/>
  </r>
  <r>
    <x v="345"/>
    <n v="1994.3999999999999"/>
    <n v="2493"/>
    <n v="-498.6"/>
    <x v="264"/>
  </r>
  <r>
    <x v="346"/>
    <n v="565.5"/>
    <n v="565.5"/>
    <n v="0"/>
    <x v="264"/>
  </r>
  <r>
    <x v="347"/>
    <n v="4725"/>
    <n v="6300"/>
    <n v="-1575"/>
    <x v="265"/>
  </r>
  <r>
    <x v="348"/>
    <n v="1180.8799999999999"/>
    <n v="1476.1"/>
    <n v="-295.22000000000003"/>
    <x v="266"/>
  </r>
  <r>
    <x v="349"/>
    <n v="718.08"/>
    <n v="800.1"/>
    <n v="-82.02000000000001"/>
    <x v="266"/>
  </r>
  <r>
    <x v="350"/>
    <n v="2388.5"/>
    <n v="2388.5"/>
    <n v="0"/>
    <x v="267"/>
  </r>
  <r>
    <x v="351"/>
    <n v="493"/>
    <n v="493"/>
    <n v="0"/>
    <x v="268"/>
  </r>
  <r>
    <x v="352"/>
    <n v="479.8"/>
    <n v="479.8"/>
    <n v="0"/>
    <x v="269"/>
  </r>
  <r>
    <x v="353"/>
    <n v="2285"/>
    <n v="2285"/>
    <n v="0"/>
    <x v="269"/>
  </r>
  <r>
    <x v="354"/>
    <n v="48.75"/>
    <n v="65"/>
    <n v="-16.25"/>
    <x v="270"/>
  </r>
  <r>
    <x v="355"/>
    <n v="1483"/>
    <n v="1508"/>
    <n v="-25"/>
    <x v="271"/>
  </r>
  <r>
    <x v="356"/>
    <n v="230.85"/>
    <n v="256.5"/>
    <n v="-25.650000000000006"/>
    <x v="271"/>
  </r>
  <r>
    <x v="357"/>
    <n v="4109.7"/>
    <n v="4326"/>
    <n v="-216.3"/>
    <x v="272"/>
  </r>
  <r>
    <x v="358"/>
    <n v="1130.4000000000001"/>
    <n v="1413"/>
    <n v="-282.60000000000002"/>
    <x v="273"/>
  </r>
  <r>
    <x v="359"/>
    <n v="6475.4000000000005"/>
    <n v="6475.4000000000005"/>
    <n v="0"/>
    <x v="273"/>
  </r>
  <r>
    <x v="360"/>
    <n v="1064"/>
    <n v="1064"/>
    <n v="0"/>
    <x v="274"/>
  </r>
  <r>
    <x v="361"/>
    <n v="424"/>
    <n v="424"/>
    <n v="0"/>
    <x v="275"/>
  </r>
  <r>
    <x v="362"/>
    <n v="299.25"/>
    <n v="399"/>
    <n v="-99.75"/>
    <x v="276"/>
  </r>
  <r>
    <x v="363"/>
    <n v="808"/>
    <n v="808"/>
    <n v="0"/>
    <x v="276"/>
  </r>
  <r>
    <x v="364"/>
    <n v="6375"/>
    <n v="6375"/>
    <n v="0"/>
    <x v="277"/>
  </r>
  <r>
    <x v="365"/>
    <n v="353.2"/>
    <n v="358"/>
    <n v="-4.7999999999999972"/>
    <x v="278"/>
  </r>
  <r>
    <x v="366"/>
    <n v="464"/>
    <n v="464"/>
    <n v="0"/>
    <x v="278"/>
  </r>
  <r>
    <x v="367"/>
    <n v="120"/>
    <n v="120"/>
    <n v="0"/>
    <x v="279"/>
  </r>
  <r>
    <x v="368"/>
    <n v="4807"/>
    <n v="5032"/>
    <n v="-225"/>
    <x v="280"/>
  </r>
  <r>
    <x v="369"/>
    <n v="1402.5"/>
    <n v="1650"/>
    <n v="-247.5"/>
    <x v="280"/>
  </r>
  <r>
    <x v="370"/>
    <n v="2697.5"/>
    <n v="2697.5"/>
    <n v="0"/>
    <x v="281"/>
  </r>
  <r>
    <x v="371"/>
    <n v="1260"/>
    <n v="1260"/>
    <n v="0"/>
    <x v="282"/>
  </r>
  <r>
    <x v="372"/>
    <n v="57.5"/>
    <n v="57.5"/>
    <n v="0"/>
    <x v="283"/>
  </r>
  <r>
    <x v="373"/>
    <n v="758.5"/>
    <n v="758.5"/>
    <n v="0"/>
    <x v="283"/>
  </r>
  <r>
    <x v="374"/>
    <n v="560"/>
    <n v="605"/>
    <n v="-45"/>
    <x v="284"/>
  </r>
  <r>
    <x v="375"/>
    <n v="1336.95"/>
    <n v="1429.75"/>
    <n v="-92.8"/>
    <x v="285"/>
  </r>
  <r>
    <x v="376"/>
    <n v="1393.24"/>
    <n v="1393.24"/>
    <n v="0"/>
    <x v="285"/>
  </r>
  <r>
    <x v="377"/>
    <n v="479.75"/>
    <n v="479.75"/>
    <n v="0"/>
    <x v="286"/>
  </r>
  <r>
    <x v="378"/>
    <n v="1503.6"/>
    <n v="1503.6"/>
    <n v="0"/>
    <x v="287"/>
  </r>
  <r>
    <x v="379"/>
    <n v="1185.75"/>
    <n v="1264.5"/>
    <n v="-78.75"/>
    <x v="287"/>
  </r>
  <r>
    <x v="380"/>
    <n v="450"/>
    <n v="450"/>
    <n v="0"/>
    <x v="288"/>
  </r>
  <r>
    <x v="381"/>
    <n v="2775.05"/>
    <n v="2775.05"/>
    <n v="0"/>
    <x v="288"/>
  </r>
  <r>
    <x v="382"/>
    <n v="903.6"/>
    <n v="918"/>
    <n v="-14.399999999999977"/>
    <x v="289"/>
  </r>
  <r>
    <x v="383"/>
    <n v="55.8"/>
    <n v="62"/>
    <n v="-6.2000000000000028"/>
    <x v="290"/>
  </r>
  <r>
    <x v="384"/>
    <n v="589"/>
    <n v="620"/>
    <n v="-31"/>
    <x v="290"/>
  </r>
  <r>
    <x v="385"/>
    <n v="5510.5925000000007"/>
    <n v="6483.05"/>
    <n v="-972.45749999999998"/>
    <x v="291"/>
  </r>
  <r>
    <x v="386"/>
    <n v="4985.5"/>
    <n v="4985.5"/>
    <n v="0"/>
    <x v="291"/>
  </r>
  <r>
    <x v="387"/>
    <n v="1326.2249999999999"/>
    <n v="1380.25"/>
    <n v="-54.024999999999977"/>
    <x v="292"/>
  </r>
  <r>
    <x v="388"/>
    <n v="629.5"/>
    <n v="629.5"/>
    <n v="0"/>
    <x v="293"/>
  </r>
  <r>
    <x v="389"/>
    <n v="2761.9375"/>
    <n v="2896.25"/>
    <n v="-134.3125"/>
    <x v="293"/>
  </r>
  <r>
    <x v="390"/>
    <n v="2720.05"/>
    <n v="2720.05"/>
    <n v="0"/>
    <x v="294"/>
  </r>
  <r>
    <x v="391"/>
    <n v="500"/>
    <n v="500"/>
    <n v="0"/>
    <x v="294"/>
  </r>
  <r>
    <x v="392"/>
    <n v="708.75"/>
    <n v="945"/>
    <n v="-236.25"/>
    <x v="295"/>
  </r>
  <r>
    <x v="393"/>
    <n v="2054"/>
    <n v="2054"/>
    <n v="0"/>
    <x v="296"/>
  </r>
  <r>
    <x v="394"/>
    <n v="696"/>
    <n v="870"/>
    <n v="-174"/>
    <x v="296"/>
  </r>
  <r>
    <x v="395"/>
    <n v="814.5"/>
    <n v="1086"/>
    <n v="-271.5"/>
    <x v="297"/>
  </r>
  <r>
    <x v="396"/>
    <n v="1371.8"/>
    <n v="1422"/>
    <n v="-50.199999999999989"/>
    <x v="297"/>
  </r>
  <r>
    <x v="397"/>
    <n v="1535"/>
    <n v="1535"/>
    <n v="0"/>
    <x v="298"/>
  </r>
  <r>
    <x v="398"/>
    <n v="1446"/>
    <n v="1928"/>
    <n v="-482"/>
    <x v="299"/>
  </r>
  <r>
    <x v="399"/>
    <n v="636"/>
    <n v="636"/>
    <n v="0"/>
    <x v="299"/>
  </r>
  <r>
    <x v="400"/>
    <n v="372.375"/>
    <n v="382.5"/>
    <n v="-10.125"/>
    <x v="300"/>
  </r>
  <r>
    <x v="401"/>
    <n v="1434"/>
    <n v="1434"/>
    <n v="0"/>
    <x v="300"/>
  </r>
  <r>
    <x v="402"/>
    <n v="1779.1999999999998"/>
    <n v="1820.1999999999998"/>
    <n v="-41"/>
    <x v="301"/>
  </r>
  <r>
    <x v="403"/>
    <n v="397.8"/>
    <n v="530.4"/>
    <n v="-132.6"/>
    <x v="302"/>
  </r>
  <r>
    <x v="404"/>
    <n v="318.83499999999998"/>
    <n v="331.78"/>
    <n v="-12.945"/>
    <x v="302"/>
  </r>
  <r>
    <x v="405"/>
    <n v="1083.1500000000001"/>
    <n v="1203.5"/>
    <n v="-120.35000000000002"/>
    <x v="303"/>
  </r>
  <r>
    <x v="406"/>
    <n v="601.83000000000004"/>
    <n v="668.7"/>
    <n v="-66.87"/>
    <x v="303"/>
  </r>
  <r>
    <x v="407"/>
    <n v="154.4"/>
    <n v="193"/>
    <n v="-38.599999999999994"/>
    <x v="304"/>
  </r>
  <r>
    <x v="408"/>
    <n v="604.21499999999992"/>
    <n v="671.35"/>
    <n v="-67.135000000000048"/>
    <x v="305"/>
  </r>
  <r>
    <x v="409"/>
    <n v="4371.6000000000004"/>
    <n v="4371.6000000000004"/>
    <n v="0"/>
    <x v="305"/>
  </r>
  <r>
    <x v="410"/>
    <n v="4464.6000000000004"/>
    <n v="4668"/>
    <n v="-203.40000000000009"/>
    <x v="306"/>
  </r>
  <r>
    <x v="411"/>
    <n v="1227.02"/>
    <n v="1291.5999999999999"/>
    <n v="-64.579999999999984"/>
    <x v="306"/>
  </r>
  <r>
    <x v="412"/>
    <n v="1701"/>
    <n v="1701"/>
    <n v="0"/>
    <x v="307"/>
  </r>
  <r>
    <x v="413"/>
    <n v="562.6"/>
    <n v="703.25"/>
    <n v="-140.65000000000003"/>
    <x v="308"/>
  </r>
  <r>
    <x v="414"/>
    <n v="125"/>
    <n v="125"/>
    <n v="0"/>
    <x v="308"/>
  </r>
  <r>
    <x v="415"/>
    <n v="1930.4"/>
    <n v="2032"/>
    <n v="-101.60000000000002"/>
    <x v="309"/>
  </r>
  <r>
    <x v="416"/>
    <n v="1288.3875"/>
    <n v="1515.75"/>
    <n v="-227.36250000000001"/>
    <x v="309"/>
  </r>
  <r>
    <x v="417"/>
    <n v="1295"/>
    <n v="1295"/>
    <n v="0"/>
    <x v="310"/>
  </r>
  <r>
    <x v="418"/>
    <n v="4666.9400000000005"/>
    <n v="4666.9400000000005"/>
    <n v="0"/>
    <x v="311"/>
  </r>
  <r>
    <x v="419"/>
    <n v="1536.8"/>
    <n v="1921"/>
    <n v="-384.2"/>
    <x v="311"/>
  </r>
  <r>
    <x v="420"/>
    <n v="625.27499999999998"/>
    <n v="694.75"/>
    <n v="-69.474999999999994"/>
    <x v="312"/>
  </r>
  <r>
    <x v="421"/>
    <n v="570"/>
    <n v="570"/>
    <n v="0"/>
    <x v="312"/>
  </r>
  <r>
    <x v="422"/>
    <n v="2301.75"/>
    <n v="2301.75"/>
    <n v="0"/>
    <x v="313"/>
  </r>
  <r>
    <x v="423"/>
    <n v="920.1"/>
    <n v="920.1"/>
    <n v="0"/>
    <x v="314"/>
  </r>
  <r>
    <x v="424"/>
    <n v="3815.25"/>
    <n v="4210.5"/>
    <n v="-395.25"/>
    <x v="314"/>
  </r>
  <r>
    <x v="425"/>
    <n v="412.35"/>
    <n v="412.35"/>
    <n v="0"/>
    <x v="315"/>
  </r>
  <r>
    <x v="426"/>
    <n v="45"/>
    <n v="45"/>
    <n v="0"/>
    <x v="315"/>
  </r>
  <r>
    <x v="427"/>
    <n v="1423"/>
    <n v="1423"/>
    <n v="0"/>
    <x v="316"/>
  </r>
  <r>
    <x v="428"/>
    <n v="534.85"/>
    <n v="534.85"/>
    <n v="0"/>
    <x v="317"/>
  </r>
  <r>
    <x v="429"/>
    <n v="813.36500000000001"/>
    <n v="956.9"/>
    <n v="-143.53499999999997"/>
    <x v="317"/>
  </r>
  <r>
    <x v="430"/>
    <n v="5256.5"/>
    <n v="5256.5"/>
    <n v="0"/>
    <x v="318"/>
  </r>
  <r>
    <x v="431"/>
    <n v="660"/>
    <n v="660"/>
    <n v="0"/>
    <x v="318"/>
  </r>
  <r>
    <x v="432"/>
    <n v="1261.875"/>
    <n v="1682.5"/>
    <n v="-420.625"/>
    <x v="319"/>
  </r>
  <r>
    <x v="433"/>
    <n v="1287.4000000000001"/>
    <n v="1327"/>
    <n v="-39.599999999999994"/>
    <x v="320"/>
  </r>
  <r>
    <x v="434"/>
    <n v="375.5"/>
    <n v="375.5"/>
    <n v="0"/>
    <x v="320"/>
  </r>
  <r>
    <x v="435"/>
    <n v="63"/>
    <n v="63"/>
    <n v="0"/>
    <x v="321"/>
  </r>
  <r>
    <x v="436"/>
    <n v="1768"/>
    <n v="1768"/>
    <n v="0"/>
    <x v="321"/>
  </r>
  <r>
    <x v="437"/>
    <n v="801.1"/>
    <n v="801.1"/>
    <n v="0"/>
    <x v="322"/>
  </r>
  <r>
    <x v="438"/>
    <n v="1404.45"/>
    <n v="1638.45"/>
    <n v="-234"/>
    <x v="323"/>
  </r>
  <r>
    <x v="439"/>
    <n v="4960.8999999999996"/>
    <n v="6201.9"/>
    <n v="-1241"/>
    <x v="323"/>
  </r>
  <r>
    <x v="440"/>
    <n v="3160.6"/>
    <n v="3490"/>
    <n v="-329.39999999999992"/>
    <x v="324"/>
  </r>
  <r>
    <x v="441"/>
    <n v="472.5"/>
    <n v="630"/>
    <n v="-157.5"/>
    <x v="324"/>
  </r>
  <r>
    <x v="442"/>
    <n v="862.5"/>
    <n v="1150"/>
    <n v="-287.5"/>
    <x v="325"/>
  </r>
  <r>
    <x v="443"/>
    <n v="10164.799999999999"/>
    <n v="10164.799999999999"/>
    <n v="0"/>
    <x v="326"/>
  </r>
  <r>
    <x v="444"/>
    <n v="878"/>
    <n v="878"/>
    <n v="0"/>
    <x v="326"/>
  </r>
  <r>
    <x v="445"/>
    <n v="2071.1999999999998"/>
    <n v="2334"/>
    <n v="-262.8"/>
    <x v="327"/>
  </r>
  <r>
    <x v="446"/>
    <n v="4825"/>
    <n v="4825"/>
    <n v="0"/>
    <x v="327"/>
  </r>
  <r>
    <x v="447"/>
    <n v="642"/>
    <n v="642"/>
    <n v="0"/>
    <x v="328"/>
  </r>
  <r>
    <x v="448"/>
    <n v="996"/>
    <n v="996"/>
    <n v="0"/>
    <x v="329"/>
  </r>
  <r>
    <x v="449"/>
    <n v="805.42499999999995"/>
    <n v="1073.9000000000001"/>
    <n v="-268.47500000000002"/>
    <x v="329"/>
  </r>
  <r>
    <x v="450"/>
    <n v="3436.4435000000003"/>
    <n v="3600.73"/>
    <n v="-164.28649999999982"/>
    <x v="330"/>
  </r>
  <r>
    <x v="451"/>
    <n v="114"/>
    <n v="114"/>
    <n v="0"/>
    <x v="330"/>
  </r>
  <r>
    <x v="452"/>
    <n v="1638.4"/>
    <n v="2048"/>
    <n v="-409.6"/>
    <x v="331"/>
  </r>
  <r>
    <x v="453"/>
    <n v="2864.5"/>
    <n v="3370"/>
    <n v="-505.5"/>
    <x v="332"/>
  </r>
  <r>
    <x v="454"/>
    <n v="330"/>
    <n v="330"/>
    <n v="0"/>
    <x v="332"/>
  </r>
  <r>
    <x v="455"/>
    <n v="2545"/>
    <n v="2545"/>
    <n v="0"/>
    <x v="333"/>
  </r>
  <r>
    <x v="456"/>
    <n v="595.5"/>
    <n v="595.5"/>
    <n v="0"/>
    <x v="333"/>
  </r>
  <r>
    <x v="457"/>
    <n v="378"/>
    <n v="378"/>
    <n v="0"/>
    <x v="334"/>
  </r>
  <r>
    <x v="458"/>
    <n v="1893"/>
    <n v="1893"/>
    <n v="0"/>
    <x v="335"/>
  </r>
  <r>
    <x v="459"/>
    <n v="1641"/>
    <n v="1704"/>
    <n v="-63"/>
    <x v="335"/>
  </r>
  <r>
    <x v="460"/>
    <n v="180.4"/>
    <n v="180.4"/>
    <n v="0"/>
    <x v="336"/>
  </r>
  <r>
    <x v="461"/>
    <n v="3424"/>
    <n v="3424"/>
    <n v="0"/>
    <x v="336"/>
  </r>
  <r>
    <x v="462"/>
    <n v="93.5"/>
    <n v="93.5"/>
    <n v="0"/>
    <x v="337"/>
  </r>
  <r>
    <x v="463"/>
    <n v="4451.7"/>
    <n v="4451.7"/>
    <n v="0"/>
    <x v="338"/>
  </r>
  <r>
    <x v="464"/>
    <n v="1233.48"/>
    <n v="1238.4000000000001"/>
    <n v="-4.9200000000000017"/>
    <x v="338"/>
  </r>
  <r>
    <x v="465"/>
    <n v="2827.9"/>
    <n v="2827.9"/>
    <n v="0"/>
    <x v="339"/>
  </r>
  <r>
    <x v="466"/>
    <n v="2205.75"/>
    <n v="2941"/>
    <n v="-735.25"/>
    <x v="339"/>
  </r>
  <r>
    <x v="467"/>
    <n v="1296"/>
    <n v="1296"/>
    <n v="0"/>
    <x v="340"/>
  </r>
  <r>
    <x v="468"/>
    <n v="706"/>
    <n v="706"/>
    <n v="0"/>
    <x v="341"/>
  </r>
  <r>
    <x v="469"/>
    <n v="1270.75"/>
    <n v="1331.75"/>
    <n v="-61"/>
    <x v="341"/>
  </r>
  <r>
    <x v="470"/>
    <n v="3463"/>
    <n v="3463"/>
    <n v="0"/>
    <x v="342"/>
  </r>
  <r>
    <x v="471"/>
    <n v="844.25250000000005"/>
    <n v="1125.67"/>
    <n v="-281.41750000000002"/>
    <x v="342"/>
  </r>
  <r>
    <x v="472"/>
    <n v="550"/>
    <n v="550"/>
    <n v="0"/>
    <x v="343"/>
  </r>
  <r>
    <x v="473"/>
    <n v="923.875"/>
    <n v="972.5"/>
    <n v="-48.625"/>
    <x v="344"/>
  </r>
  <r>
    <x v="474"/>
    <n v="1570"/>
    <n v="1570"/>
    <n v="0"/>
    <x v="344"/>
  </r>
  <r>
    <x v="475"/>
    <n v="468.45"/>
    <n v="468.45"/>
    <n v="0"/>
    <x v="345"/>
  </r>
  <r>
    <x v="476"/>
    <n v="638.5"/>
    <n v="638.5"/>
    <n v="0"/>
    <x v="345"/>
  </r>
  <r>
    <x v="477"/>
    <n v="287.8"/>
    <n v="287.8"/>
    <n v="0"/>
    <x v="346"/>
  </r>
  <r>
    <x v="478"/>
    <n v="655"/>
    <n v="655"/>
    <n v="0"/>
    <x v="347"/>
  </r>
  <r>
    <x v="479"/>
    <n v="1624.5"/>
    <n v="1710"/>
    <n v="-85.5"/>
    <x v="347"/>
  </r>
  <r>
    <x v="480"/>
    <n v="1296.75"/>
    <n v="1296.75"/>
    <n v="0"/>
    <x v="348"/>
  </r>
  <r>
    <x v="481"/>
    <n v="1850"/>
    <n v="1850"/>
    <n v="0"/>
    <x v="348"/>
  </r>
  <r>
    <x v="482"/>
    <n v="484.26250000000005"/>
    <n v="509.75"/>
    <n v="-25.487500000000011"/>
    <x v="349"/>
  </r>
  <r>
    <x v="483"/>
    <n v="1890.5"/>
    <n v="1990"/>
    <n v="-99.5"/>
    <x v="350"/>
  </r>
  <r>
    <x v="484"/>
    <n v="360"/>
    <n v="360"/>
    <n v="0"/>
    <x v="350"/>
  </r>
  <r>
    <x v="485"/>
    <n v="1459"/>
    <n v="1459"/>
    <n v="0"/>
    <x v="351"/>
  </r>
  <r>
    <x v="486"/>
    <n v="1498.35"/>
    <n v="1498.35"/>
    <n v="0"/>
    <x v="351"/>
  </r>
  <r>
    <x v="487"/>
    <n v="536.4"/>
    <n v="596"/>
    <n v="-59.6"/>
    <x v="352"/>
  </r>
  <r>
    <x v="488"/>
    <n v="997"/>
    <n v="997"/>
    <n v="0"/>
    <x v="353"/>
  </r>
  <r>
    <x v="489"/>
    <n v="139.80000000000001"/>
    <n v="139.80000000000001"/>
    <n v="0"/>
    <x v="353"/>
  </r>
  <r>
    <x v="490"/>
    <n v="52.349999999999994"/>
    <n v="52.349999999999994"/>
    <n v="0"/>
    <x v="354"/>
  </r>
  <r>
    <x v="491"/>
    <n v="240"/>
    <n v="240"/>
    <n v="0"/>
    <x v="354"/>
  </r>
  <r>
    <x v="492"/>
    <n v="1416"/>
    <n v="1770"/>
    <n v="-354"/>
    <x v="355"/>
  </r>
  <r>
    <x v="493"/>
    <n v="228"/>
    <n v="285"/>
    <n v="-57"/>
    <x v="356"/>
  </r>
  <r>
    <x v="494"/>
    <n v="3118"/>
    <n v="3118"/>
    <n v="0"/>
    <x v="356"/>
  </r>
  <r>
    <x v="495"/>
    <n v="319.2"/>
    <n v="336"/>
    <n v="-16.800000000000011"/>
    <x v="357"/>
  </r>
  <r>
    <x v="496"/>
    <n v="735.99999999999989"/>
    <n v="919.99999999999989"/>
    <n v="-184"/>
    <x v="357"/>
  </r>
  <r>
    <x v="497"/>
    <n v="4529.8"/>
    <n v="4529.8"/>
    <n v="0"/>
    <x v="358"/>
  </r>
  <r>
    <x v="498"/>
    <n v="2311.6999999999998"/>
    <n v="2311.6999999999998"/>
    <n v="0"/>
    <x v="359"/>
  </r>
  <r>
    <x v="499"/>
    <n v="1912.85"/>
    <n v="1912.85"/>
    <n v="0"/>
    <x v="359"/>
  </r>
  <r>
    <x v="500"/>
    <n v="2196"/>
    <n v="2196"/>
    <n v="0"/>
    <x v="360"/>
  </r>
  <r>
    <x v="501"/>
    <n v="1080"/>
    <n v="1080"/>
    <n v="0"/>
    <x v="360"/>
  </r>
  <r>
    <x v="502"/>
    <n v="1590.5625"/>
    <n v="1871.25"/>
    <n v="-280.6875"/>
    <x v="361"/>
  </r>
  <r>
    <x v="503"/>
    <n v="1631.4839999999999"/>
    <n v="1701.46"/>
    <n v="-69.975999999999999"/>
    <x v="362"/>
  </r>
  <r>
    <x v="504"/>
    <n v="252"/>
    <n v="252"/>
    <n v="0"/>
    <x v="362"/>
  </r>
  <r>
    <x v="505"/>
    <n v="88"/>
    <n v="88"/>
    <n v="0"/>
    <x v="363"/>
  </r>
  <r>
    <x v="506"/>
    <n v="55.199999999999996"/>
    <n v="55.199999999999996"/>
    <n v="0"/>
    <x v="363"/>
  </r>
  <r>
    <x v="507"/>
    <n v="1948.5"/>
    <n v="2598"/>
    <n v="-649.5"/>
    <x v="364"/>
  </r>
  <r>
    <x v="508"/>
    <n v="1990"/>
    <n v="2487.5"/>
    <n v="-497.5"/>
    <x v="365"/>
  </r>
  <r>
    <x v="509"/>
    <n v="3082"/>
    <n v="3082"/>
    <n v="0"/>
    <x v="365"/>
  </r>
  <r>
    <x v="510"/>
    <n v="1644.6"/>
    <n v="1644.6"/>
    <n v="0"/>
    <x v="366"/>
  </r>
  <r>
    <x v="511"/>
    <n v="320"/>
    <n v="320"/>
    <n v="0"/>
    <x v="366"/>
  </r>
  <r>
    <x v="512"/>
    <n v="2917"/>
    <n v="3304"/>
    <n v="-387"/>
    <x v="367"/>
  </r>
  <r>
    <x v="513"/>
    <n v="507"/>
    <n v="629.5"/>
    <n v="-122.5"/>
    <x v="368"/>
  </r>
  <r>
    <x v="514"/>
    <n v="4337"/>
    <n v="4337"/>
    <n v="0"/>
    <x v="368"/>
  </r>
  <r>
    <x v="515"/>
    <n v="616"/>
    <n v="616"/>
    <n v="0"/>
    <x v="369"/>
  </r>
  <r>
    <x v="516"/>
    <n v="2286"/>
    <n v="2540"/>
    <n v="-254"/>
    <x v="369"/>
  </r>
  <r>
    <x v="517"/>
    <n v="1515.6"/>
    <n v="1684"/>
    <n v="-168.40000000000009"/>
    <x v="370"/>
  </r>
  <r>
    <x v="518"/>
    <n v="2310"/>
    <n v="2310"/>
    <n v="0"/>
    <x v="371"/>
  </r>
  <r>
    <x v="519"/>
    <n v="28"/>
    <n v="28"/>
    <n v="0"/>
    <x v="371"/>
  </r>
  <r>
    <x v="520"/>
    <n v="1477"/>
    <n v="1477"/>
    <n v="0"/>
    <x v="372"/>
  </r>
  <r>
    <x v="521"/>
    <n v="1684.2750000000001"/>
    <n v="1704"/>
    <n v="-19.725000000000023"/>
    <x v="372"/>
  </r>
  <r>
    <x v="522"/>
    <n v="236.25"/>
    <n v="315"/>
    <n v="-78.75"/>
    <x v="373"/>
  </r>
  <r>
    <x v="523"/>
    <n v="344"/>
    <n v="344"/>
    <n v="0"/>
    <x v="374"/>
  </r>
  <r>
    <x v="524"/>
    <n v="3603.2200000000003"/>
    <n v="3603.2200000000003"/>
    <n v="0"/>
    <x v="374"/>
  </r>
  <r>
    <x v="525"/>
    <n v="2030.4"/>
    <n v="2216.25"/>
    <n v="-185.85"/>
    <x v="375"/>
  </r>
  <r>
    <x v="526"/>
    <n v="868.75"/>
    <n v="875"/>
    <n v="-6.25"/>
    <x v="375"/>
  </r>
  <r>
    <x v="527"/>
    <n v="228"/>
    <n v="228"/>
    <n v="0"/>
    <x v="376"/>
  </r>
  <r>
    <x v="528"/>
    <n v="6635.2749999999996"/>
    <n v="6984.5"/>
    <n v="-349.22500000000002"/>
    <x v="377"/>
  </r>
  <r>
    <x v="529"/>
    <n v="224"/>
    <n v="280"/>
    <n v="-56"/>
    <x v="377"/>
  </r>
  <r>
    <x v="530"/>
    <n v="96.5"/>
    <n v="96.5"/>
    <n v="0"/>
    <x v="378"/>
  </r>
  <r>
    <x v="531"/>
    <n v="1335"/>
    <n v="1335"/>
    <n v="0"/>
    <x v="378"/>
  </r>
  <r>
    <x v="532"/>
    <n v="720"/>
    <n v="720"/>
    <n v="0"/>
    <x v="378"/>
  </r>
  <r>
    <x v="533"/>
    <n v="975.88"/>
    <n v="1132.3499999999999"/>
    <n v="-156.47"/>
    <x v="379"/>
  </r>
  <r>
    <x v="534"/>
    <n v="12.5"/>
    <n v="12.5"/>
    <n v="0"/>
    <x v="379"/>
  </r>
  <r>
    <x v="535"/>
    <n v="1442.5"/>
    <n v="1442.5"/>
    <n v="0"/>
    <x v="380"/>
  </r>
  <r>
    <x v="536"/>
    <n v="1488"/>
    <n v="1650"/>
    <n v="-162.00000000000003"/>
    <x v="380"/>
  </r>
  <r>
    <x v="537"/>
    <n v="387.5"/>
    <n v="387.5"/>
    <n v="0"/>
    <x v="380"/>
  </r>
  <r>
    <x v="538"/>
    <n v="1531.08"/>
    <n v="1913.85"/>
    <n v="-382.77000000000004"/>
    <x v="381"/>
  </r>
  <r>
    <x v="539"/>
    <n v="2622.76"/>
    <n v="2760.8"/>
    <n v="-138.03999999999996"/>
    <x v="381"/>
  </r>
  <r>
    <x v="540"/>
    <n v="731.5"/>
    <n v="770"/>
    <n v="-38.5"/>
    <x v="382"/>
  </r>
  <r>
    <x v="541"/>
    <n v="3687"/>
    <n v="3687"/>
    <n v="0"/>
    <x v="382"/>
  </r>
  <r>
    <x v="542"/>
    <n v="722.5"/>
    <n v="850"/>
    <n v="-127.5"/>
    <x v="382"/>
  </r>
  <r>
    <x v="543"/>
    <n v="1829.7570000000001"/>
    <n v="1926.0600000000002"/>
    <n v="-96.303000000000026"/>
    <x v="383"/>
  </r>
  <r>
    <x v="544"/>
    <n v="399.85"/>
    <n v="399.85"/>
    <n v="0"/>
    <x v="383"/>
  </r>
  <r>
    <x v="545"/>
    <n v="191.1"/>
    <n v="191.1"/>
    <n v="0"/>
    <x v="384"/>
  </r>
  <r>
    <x v="546"/>
    <n v="314.76"/>
    <n v="393.45"/>
    <n v="-78.69"/>
    <x v="384"/>
  </r>
  <r>
    <x v="547"/>
    <n v="2158"/>
    <n v="2499.25"/>
    <n v="-341.25"/>
    <x v="384"/>
  </r>
  <r>
    <x v="548"/>
    <n v="2341.364"/>
    <n v="2878.08"/>
    <n v="-536.71600000000001"/>
    <x v="385"/>
  </r>
  <r>
    <x v="549"/>
    <n v="420"/>
    <n v="420"/>
    <n v="0"/>
    <x v="385"/>
  </r>
  <r>
    <x v="550"/>
    <n v="446.6"/>
    <n v="446.6"/>
    <n v="0"/>
    <x v="386"/>
  </r>
  <r>
    <x v="551"/>
    <n v="1553.5"/>
    <n v="1585"/>
    <n v="-31.5"/>
    <x v="386"/>
  </r>
  <r>
    <x v="552"/>
    <n v="1468.9349999999999"/>
    <n v="1632.15"/>
    <n v="-163.215"/>
    <x v="386"/>
  </r>
  <r>
    <x v="553"/>
    <n v="3026.8500000000004"/>
    <n v="4035.8"/>
    <n v="-1008.95"/>
    <x v="387"/>
  </r>
  <r>
    <x v="554"/>
    <n v="2942.8125"/>
    <n v="3923.75"/>
    <n v="-980.9375"/>
    <x v="387"/>
  </r>
  <r>
    <x v="555"/>
    <n v="1193.01"/>
    <n v="1255.8"/>
    <n v="-62.789999999999992"/>
    <x v="388"/>
  </r>
  <r>
    <x v="556"/>
    <n v="2278.4"/>
    <n v="2290.4"/>
    <n v="-12"/>
    <x v="388"/>
  </r>
  <r>
    <x v="557"/>
    <n v="2775"/>
    <n v="2775"/>
    <n v="0"/>
    <x v="388"/>
  </r>
  <r>
    <x v="558"/>
    <n v="439.6"/>
    <n v="572.1"/>
    <n v="-132.5"/>
    <x v="389"/>
  </r>
  <r>
    <x v="559"/>
    <n v="18.399999999999999"/>
    <n v="18.399999999999999"/>
    <n v="0"/>
    <x v="389"/>
  </r>
  <r>
    <x v="560"/>
    <n v="1411"/>
    <n v="1660"/>
    <n v="-249"/>
    <x v="390"/>
  </r>
  <r>
    <x v="561"/>
    <n v="140"/>
    <n v="140"/>
    <n v="0"/>
    <x v="390"/>
  </r>
  <r>
    <x v="562"/>
    <n v="187"/>
    <n v="187"/>
    <n v="0"/>
    <x v="390"/>
  </r>
  <r>
    <x v="563"/>
    <n v="852"/>
    <n v="852"/>
    <n v="0"/>
    <x v="391"/>
  </r>
  <r>
    <x v="564"/>
    <n v="1692.8"/>
    <n v="1852"/>
    <n v="-159.20000000000005"/>
    <x v="391"/>
  </r>
  <r>
    <x v="565"/>
    <n v="602.4"/>
    <n v="648"/>
    <n v="-45.599999999999994"/>
    <x v="392"/>
  </r>
  <r>
    <x v="566"/>
    <n v="1788.45"/>
    <n v="2070"/>
    <n v="-281.55"/>
    <x v="392"/>
  </r>
  <r>
    <x v="567"/>
    <n v="40"/>
    <n v="40"/>
    <n v="0"/>
    <x v="392"/>
  </r>
  <r>
    <x v="568"/>
    <n v="8446.4500000000007"/>
    <n v="8891"/>
    <n v="-444.54999999999995"/>
    <x v="393"/>
  </r>
  <r>
    <x v="569"/>
    <n v="10952.844999999999"/>
    <n v="11490.7"/>
    <n v="-537.8549999999999"/>
    <x v="393"/>
  </r>
  <r>
    <x v="570"/>
    <n v="833"/>
    <n v="833"/>
    <n v="0"/>
    <x v="394"/>
  </r>
  <r>
    <x v="571"/>
    <n v="477"/>
    <n v="477"/>
    <n v="0"/>
    <x v="394"/>
  </r>
  <r>
    <x v="572"/>
    <n v="1140"/>
    <n v="1140"/>
    <n v="0"/>
    <x v="394"/>
  </r>
  <r>
    <x v="573"/>
    <n v="678"/>
    <n v="678"/>
    <n v="0"/>
    <x v="395"/>
  </r>
  <r>
    <x v="574"/>
    <n v="237.89999999999998"/>
    <n v="237.89999999999998"/>
    <n v="0"/>
    <x v="395"/>
  </r>
  <r>
    <x v="575"/>
    <n v="2826"/>
    <n v="3107.5"/>
    <n v="-281.5"/>
    <x v="396"/>
  </r>
  <r>
    <x v="576"/>
    <n v="250.8"/>
    <n v="250.8"/>
    <n v="0"/>
    <x v="396"/>
  </r>
  <r>
    <x v="577"/>
    <n v="1030.76"/>
    <n v="1030.76"/>
    <n v="0"/>
    <x v="396"/>
  </r>
  <r>
    <x v="578"/>
    <n v="730"/>
    <n v="730"/>
    <n v="0"/>
    <x v="397"/>
  </r>
  <r>
    <x v="579"/>
    <n v="843"/>
    <n v="843"/>
    <n v="0"/>
    <x v="397"/>
  </r>
  <r>
    <x v="580"/>
    <n v="932"/>
    <n v="932"/>
    <n v="0"/>
    <x v="398"/>
  </r>
  <r>
    <x v="581"/>
    <n v="1764"/>
    <n v="1764"/>
    <n v="0"/>
    <x v="398"/>
  </r>
  <r>
    <x v="582"/>
    <n v="1974"/>
    <n v="1974"/>
    <n v="0"/>
    <x v="398"/>
  </r>
  <r>
    <x v="583"/>
    <n v="2684.4"/>
    <n v="2684.4"/>
    <n v="0"/>
    <x v="399"/>
  </r>
  <r>
    <x v="584"/>
    <n v="475.11"/>
    <n v="568.95000000000005"/>
    <n v="-93.84"/>
    <x v="399"/>
  </r>
  <r>
    <x v="585"/>
    <n v="906.93000000000006"/>
    <n v="1007.7"/>
    <n v="-100.76999999999998"/>
    <x v="400"/>
  </r>
  <r>
    <x v="586"/>
    <n v="1432.7139999999999"/>
    <n v="1508.12"/>
    <n v="-75.405999999999949"/>
    <x v="400"/>
  </r>
  <r>
    <x v="587"/>
    <n v="845.8"/>
    <n v="851"/>
    <n v="-5.1999999999999993"/>
    <x v="400"/>
  </r>
  <r>
    <x v="588"/>
    <n v="4705.5"/>
    <n v="4705.5"/>
    <n v="0"/>
    <x v="401"/>
  </r>
  <r>
    <x v="589"/>
    <n v="1064.5"/>
    <n v="1254"/>
    <n v="-189.5"/>
    <x v="401"/>
  </r>
  <r>
    <x v="590"/>
    <n v="1938.375"/>
    <n v="2584.5"/>
    <n v="-646.125"/>
    <x v="402"/>
  </r>
  <r>
    <x v="591"/>
    <n v="827.55"/>
    <n v="919.5"/>
    <n v="-91.949999999999989"/>
    <x v="402"/>
  </r>
  <r>
    <x v="592"/>
    <n v="211.2"/>
    <n v="264"/>
    <n v="-52.8"/>
    <x v="402"/>
  </r>
  <r>
    <x v="593"/>
    <n v="4581"/>
    <n v="4581"/>
    <n v="0"/>
    <x v="403"/>
  </r>
  <r>
    <x v="594"/>
    <n v="975"/>
    <n v="975"/>
    <n v="0"/>
    <x v="403"/>
  </r>
  <r>
    <x v="595"/>
    <n v="159"/>
    <n v="212"/>
    <n v="-53"/>
    <x v="404"/>
  </r>
  <r>
    <x v="596"/>
    <n v="735"/>
    <n v="735"/>
    <n v="0"/>
    <x v="404"/>
  </r>
  <r>
    <x v="597"/>
    <n v="3812.7"/>
    <n v="4059"/>
    <n v="-246.29999999999995"/>
    <x v="404"/>
  </r>
  <r>
    <x v="598"/>
    <n v="1112"/>
    <n v="1112"/>
    <n v="0"/>
    <x v="405"/>
  </r>
  <r>
    <x v="599"/>
    <n v="4931.92"/>
    <n v="6164.9"/>
    <n v="-1232.98"/>
    <x v="405"/>
  </r>
  <r>
    <x v="600"/>
    <n v="931.5"/>
    <n v="931.5"/>
    <n v="0"/>
    <x v="406"/>
  </r>
  <r>
    <x v="601"/>
    <n v="967.81899999999996"/>
    <n v="1052.1399999999999"/>
    <n v="-84.321000000000026"/>
    <x v="406"/>
  </r>
  <r>
    <x v="602"/>
    <n v="629"/>
    <n v="740"/>
    <n v="-111"/>
    <x v="406"/>
  </r>
  <r>
    <x v="603"/>
    <n v="2603"/>
    <n v="2740"/>
    <n v="-137"/>
    <x v="407"/>
  </r>
  <r>
    <x v="604"/>
    <n v="2984"/>
    <n v="2984"/>
    <n v="0"/>
    <x v="407"/>
  </r>
  <r>
    <x v="605"/>
    <n v="625"/>
    <n v="625"/>
    <n v="0"/>
    <x v="408"/>
  </r>
  <r>
    <x v="606"/>
    <n v="2966.5"/>
    <n v="3490"/>
    <n v="-523.5"/>
    <x v="408"/>
  </r>
  <r>
    <x v="607"/>
    <n v="2227.8874999999998"/>
    <n v="2275.25"/>
    <n v="-47.362500000000011"/>
    <x v="408"/>
  </r>
  <r>
    <x v="608"/>
    <n v="660"/>
    <n v="660"/>
    <n v="0"/>
    <x v="409"/>
  </r>
  <r>
    <x v="609"/>
    <n v="2048.2125000000001"/>
    <n v="2630.95"/>
    <n v="-582.73750000000007"/>
    <x v="409"/>
  </r>
  <r>
    <x v="610"/>
    <n v="649"/>
    <n v="649"/>
    <n v="0"/>
    <x v="410"/>
  </r>
  <r>
    <x v="611"/>
    <n v="1078.6875"/>
    <n v="1438.25"/>
    <n v="-359.5625"/>
    <x v="410"/>
  </r>
  <r>
    <x v="612"/>
    <n v="519"/>
    <n v="519"/>
    <n v="0"/>
    <x v="410"/>
  </r>
  <r>
    <x v="613"/>
    <n v="3523.4"/>
    <n v="3523.4"/>
    <n v="0"/>
    <x v="411"/>
  </r>
  <r>
    <x v="614"/>
    <n v="581"/>
    <n v="581"/>
    <n v="0"/>
    <x v="411"/>
  </r>
  <r>
    <x v="615"/>
    <n v="441.15"/>
    <n v="519"/>
    <n v="-77.849999999999994"/>
    <x v="412"/>
  </r>
  <r>
    <x v="616"/>
    <n v="282"/>
    <n v="282"/>
    <n v="0"/>
    <x v="412"/>
  </r>
  <r>
    <x v="617"/>
    <n v="16387.5"/>
    <n v="17250"/>
    <n v="-862.5"/>
    <x v="412"/>
  </r>
  <r>
    <x v="618"/>
    <n v="1096.1999999999998"/>
    <n v="1461.6"/>
    <n v="-365.4"/>
    <x v="413"/>
  </r>
  <r>
    <x v="619"/>
    <n v="98.399999999999991"/>
    <n v="98.399999999999991"/>
    <n v="0"/>
    <x v="413"/>
  </r>
  <r>
    <x v="620"/>
    <n v="1920.6"/>
    <n v="2004.6"/>
    <n v="-84"/>
    <x v="414"/>
  </r>
  <r>
    <x v="621"/>
    <n v="1630"/>
    <n v="1630"/>
    <n v="0"/>
    <x v="414"/>
  </r>
  <r>
    <x v="622"/>
    <n v="160"/>
    <n v="160"/>
    <n v="0"/>
    <x v="414"/>
  </r>
  <r>
    <x v="623"/>
    <n v="1979.23"/>
    <n v="2083.4"/>
    <n v="-104.17000000000004"/>
    <x v="415"/>
  </r>
  <r>
    <x v="624"/>
    <n v="2058.46"/>
    <n v="2166.8000000000002"/>
    <n v="-108.33999999999997"/>
    <x v="415"/>
  </r>
  <r>
    <x v="625"/>
    <n v="336.8"/>
    <n v="336.8"/>
    <n v="0"/>
    <x v="416"/>
  </r>
  <r>
    <x v="626"/>
    <n v="310"/>
    <n v="310"/>
    <n v="0"/>
    <x v="416"/>
  </r>
  <r>
    <x v="627"/>
    <n v="709.55"/>
    <n v="729.5"/>
    <n v="-19.949999999999989"/>
    <x v="416"/>
  </r>
  <r>
    <x v="628"/>
    <n v="917"/>
    <n v="917"/>
    <n v="0"/>
    <x v="417"/>
  </r>
  <r>
    <x v="629"/>
    <n v="1955.125"/>
    <n v="2086"/>
    <n v="-130.875"/>
    <x v="417"/>
  </r>
  <r>
    <x v="630"/>
    <n v="1539"/>
    <n v="1620"/>
    <n v="-81"/>
    <x v="418"/>
  </r>
  <r>
    <x v="631"/>
    <n v="611.29999999999995"/>
    <n v="611.29999999999995"/>
    <n v="0"/>
    <x v="418"/>
  </r>
  <r>
    <x v="632"/>
    <n v="1500"/>
    <n v="1875"/>
    <n v="-375"/>
    <x v="418"/>
  </r>
  <r>
    <x v="633"/>
    <n v="150"/>
    <n v="150"/>
    <n v="0"/>
    <x v="419"/>
  </r>
  <r>
    <x v="634"/>
    <n v="892.64"/>
    <n v="988.4"/>
    <n v="-95.759999999999991"/>
    <x v="419"/>
  </r>
  <r>
    <x v="635"/>
    <n v="36"/>
    <n v="36"/>
    <n v="0"/>
    <x v="420"/>
  </r>
  <r>
    <x v="636"/>
    <n v="1378.07"/>
    <n v="1450.6"/>
    <n v="-72.529999999999973"/>
    <x v="420"/>
  </r>
  <r>
    <x v="637"/>
    <n v="1209"/>
    <n v="1209"/>
    <n v="0"/>
    <x v="420"/>
  </r>
  <r>
    <x v="638"/>
    <n v="3127.5"/>
    <n v="3127.5"/>
    <n v="0"/>
    <x v="421"/>
  </r>
  <r>
    <x v="639"/>
    <n v="70"/>
    <n v="70"/>
    <n v="0"/>
    <x v="421"/>
  </r>
  <r>
    <x v="640"/>
    <n v="605"/>
    <n v="605"/>
    <n v="0"/>
    <x v="422"/>
  </r>
  <r>
    <x v="641"/>
    <n v="11380"/>
    <n v="11380"/>
    <n v="0"/>
    <x v="422"/>
  </r>
  <r>
    <x v="642"/>
    <n v="860.1"/>
    <n v="860.1"/>
    <n v="0"/>
    <x v="422"/>
  </r>
  <r>
    <x v="643"/>
    <n v="368.9325"/>
    <n v="388.35"/>
    <n v="-19.417500000000018"/>
    <x v="423"/>
  </r>
  <r>
    <x v="644"/>
    <n v="2090"/>
    <n v="2200"/>
    <n v="-110"/>
    <x v="423"/>
  </r>
  <r>
    <x v="645"/>
    <n v="5502.11"/>
    <n v="5502.11"/>
    <n v="0"/>
    <x v="424"/>
  </r>
  <r>
    <x v="646"/>
    <n v="2753.1"/>
    <n v="2898"/>
    <n v="-144.9"/>
    <x v="424"/>
  </r>
  <r>
    <x v="647"/>
    <n v="6379.4"/>
    <n v="6379.4"/>
    <n v="0"/>
    <x v="424"/>
  </r>
  <r>
    <x v="648"/>
    <n v="750.5"/>
    <n v="750.5"/>
    <n v="0"/>
    <x v="425"/>
  </r>
  <r>
    <x v="649"/>
    <n v="10835.240000000002"/>
    <n v="10835.240000000002"/>
    <n v="0"/>
    <x v="425"/>
  </r>
  <r>
    <x v="650"/>
    <n v="30"/>
    <n v="30"/>
    <n v="0"/>
    <x v="426"/>
  </r>
  <r>
    <x v="651"/>
    <n v="122.4"/>
    <n v="144"/>
    <n v="-21.599999999999994"/>
    <x v="426"/>
  </r>
  <r>
    <x v="652"/>
    <n v="33.75"/>
    <n v="45"/>
    <n v="-11.25"/>
    <x v="426"/>
  </r>
  <r>
    <x v="653"/>
    <n v="934.5"/>
    <n v="934.5"/>
    <n v="0"/>
    <x v="427"/>
  </r>
  <r>
    <x v="654"/>
    <n v="863.43"/>
    <n v="1015.8"/>
    <n v="-152.37"/>
    <x v="427"/>
  </r>
  <r>
    <x v="655"/>
    <n v="932.05"/>
    <n v="932.05"/>
    <n v="0"/>
    <x v="428"/>
  </r>
  <r>
    <x v="656"/>
    <n v="1924.25"/>
    <n v="1924.25"/>
    <n v="0"/>
    <x v="428"/>
  </r>
  <r>
    <x v="657"/>
    <n v="342"/>
    <n v="360"/>
    <n v="-18"/>
    <x v="428"/>
  </r>
  <r>
    <x v="658"/>
    <n v="427.5"/>
    <n v="427.5"/>
    <n v="0"/>
    <x v="429"/>
  </r>
  <r>
    <x v="659"/>
    <n v="108.5"/>
    <n v="108.5"/>
    <n v="0"/>
    <x v="429"/>
  </r>
  <r>
    <x v="660"/>
    <n v="663.1"/>
    <n v="698"/>
    <n v="-34.900000000000006"/>
    <x v="430"/>
  </r>
  <r>
    <x v="661"/>
    <n v="670"/>
    <n v="670"/>
    <n v="0"/>
    <x v="430"/>
  </r>
  <r>
    <x v="662"/>
    <n v="452.9"/>
    <n v="452.9"/>
    <n v="0"/>
    <x v="430"/>
  </r>
  <r>
    <x v="663"/>
    <n v="858"/>
    <n v="858"/>
    <n v="0"/>
    <x v="430"/>
  </r>
  <r>
    <x v="664"/>
    <n v="6200.55"/>
    <n v="8267.4000000000015"/>
    <n v="-2066.8500000000004"/>
    <x v="430"/>
  </r>
  <r>
    <x v="665"/>
    <n v="768.75"/>
    <n v="958.75"/>
    <n v="-190"/>
    <x v="430"/>
  </r>
  <r>
    <x v="666"/>
    <n v="537.5"/>
    <n v="537.5"/>
    <n v="0"/>
    <x v="431"/>
  </r>
  <r>
    <x v="667"/>
    <n v="539.5"/>
    <n v="539.5"/>
    <n v="0"/>
    <x v="431"/>
  </r>
  <r>
    <x v="668"/>
    <n v="686.7"/>
    <n v="686.7"/>
    <n v="0"/>
    <x v="431"/>
  </r>
  <r>
    <x v="669"/>
    <n v="365.89"/>
    <n v="365.89"/>
    <n v="0"/>
    <x v="432"/>
  </r>
  <r>
    <x v="670"/>
    <n v="1447.5"/>
    <n v="1930"/>
    <n v="-482.5"/>
    <x v="432"/>
  </r>
  <r>
    <x v="671"/>
    <n v="1122.8"/>
    <n v="1122.8"/>
    <n v="0"/>
    <x v="432"/>
  </r>
  <r>
    <x v="672"/>
    <n v="390"/>
    <n v="390"/>
    <n v="0"/>
    <x v="433"/>
  </r>
  <r>
    <x v="673"/>
    <n v="1936"/>
    <n v="1936"/>
    <n v="0"/>
    <x v="433"/>
  </r>
  <r>
    <x v="674"/>
    <n v="742.5"/>
    <n v="742.5"/>
    <n v="0"/>
    <x v="433"/>
  </r>
  <r>
    <x v="675"/>
    <n v="748.8"/>
    <n v="936"/>
    <n v="-187.2"/>
    <x v="433"/>
  </r>
  <r>
    <x v="676"/>
    <n v="1835.7"/>
    <n v="2034.5"/>
    <n v="-198.79999999999995"/>
    <x v="434"/>
  </r>
  <r>
    <x v="677"/>
    <n v="475.15"/>
    <n v="559"/>
    <n v="-83.85"/>
    <x v="434"/>
  </r>
  <r>
    <x v="678"/>
    <n v="514.4"/>
    <n v="514.4"/>
    <n v="0"/>
    <x v="434"/>
  </r>
  <r>
    <x v="679"/>
    <n v="800"/>
    <n v="800"/>
    <n v="0"/>
    <x v="435"/>
  </r>
  <r>
    <x v="680"/>
    <n v="137.5"/>
    <n v="137.5"/>
    <n v="0"/>
    <x v="435"/>
  </r>
  <r>
    <x v="681"/>
    <n v="1174.75"/>
    <n v="1174.75"/>
    <n v="0"/>
    <x v="435"/>
  </r>
  <r>
    <x v="682"/>
    <n v="2255.5"/>
    <n v="2455"/>
    <n v="-199.5"/>
    <x v="436"/>
  </r>
  <r>
    <x v="683"/>
    <n v="799.2"/>
    <n v="837"/>
    <n v="-37.800000000000011"/>
    <x v="436"/>
  </r>
  <r>
    <x v="684"/>
    <n v="1788.6299999999999"/>
    <n v="1925.4999999999998"/>
    <n v="-136.87"/>
    <x v="436"/>
  </r>
  <r>
    <x v="685"/>
    <n v="920.6"/>
    <n v="920.6"/>
    <n v="0"/>
    <x v="436"/>
  </r>
  <r>
    <x v="686"/>
    <n v="500"/>
    <n v="500"/>
    <n v="0"/>
    <x v="437"/>
  </r>
  <r>
    <x v="687"/>
    <n v="619.5"/>
    <n v="700"/>
    <n v="-80.5"/>
    <x v="437"/>
  </r>
  <r>
    <x v="688"/>
    <n v="456"/>
    <n v="570"/>
    <n v="-114"/>
    <x v="437"/>
  </r>
  <r>
    <x v="689"/>
    <n v="644.79999999999995"/>
    <n v="644.79999999999995"/>
    <n v="0"/>
    <x v="438"/>
  </r>
  <r>
    <x v="690"/>
    <n v="2731.875"/>
    <n v="3642.5"/>
    <n v="-910.625"/>
    <x v="438"/>
  </r>
  <r>
    <x v="691"/>
    <n v="637.5"/>
    <n v="750"/>
    <n v="-112.5"/>
    <x v="438"/>
  </r>
  <r>
    <x v="692"/>
    <n v="360"/>
    <n v="360"/>
    <n v="0"/>
    <x v="439"/>
  </r>
  <r>
    <x v="693"/>
    <n v="4011.75"/>
    <n v="4769"/>
    <n v="-757.25"/>
    <x v="439"/>
  </r>
  <r>
    <x v="694"/>
    <n v="560"/>
    <n v="560"/>
    <n v="0"/>
    <x v="439"/>
  </r>
  <r>
    <x v="695"/>
    <n v="711"/>
    <n v="711"/>
    <n v="0"/>
    <x v="439"/>
  </r>
  <r>
    <x v="696"/>
    <n v="1025.325"/>
    <n v="1139.0999999999999"/>
    <n v="-113.77499999999998"/>
    <x v="440"/>
  </r>
  <r>
    <x v="697"/>
    <n v="245"/>
    <n v="245"/>
    <n v="0"/>
    <x v="440"/>
  </r>
  <r>
    <x v="698"/>
    <n v="1407.5"/>
    <n v="1407.5"/>
    <n v="0"/>
    <x v="440"/>
  </r>
  <r>
    <x v="699"/>
    <n v="220"/>
    <n v="220"/>
    <n v="0"/>
    <x v="441"/>
  </r>
  <r>
    <x v="700"/>
    <n v="2362.25"/>
    <n v="2362.25"/>
    <n v="0"/>
    <x v="441"/>
  </r>
  <r>
    <x v="701"/>
    <n v="4422"/>
    <n v="4422"/>
    <n v="0"/>
    <x v="441"/>
  </r>
  <r>
    <x v="702"/>
    <n v="110"/>
    <n v="110"/>
    <n v="0"/>
    <x v="442"/>
  </r>
  <r>
    <x v="703"/>
    <n v="458.755"/>
    <n v="482.9"/>
    <n v="-24.145000000000003"/>
    <x v="442"/>
  </r>
  <r>
    <x v="704"/>
    <n v="471.2"/>
    <n v="491.2"/>
    <n v="-20"/>
    <x v="442"/>
  </r>
  <r>
    <x v="705"/>
    <n v="4441.25"/>
    <n v="4675"/>
    <n v="-233.75"/>
    <x v="442"/>
  </r>
  <r>
    <x v="706"/>
    <n v="1659.5349999999999"/>
    <n v="1902.1"/>
    <n v="-242.565"/>
    <x v="443"/>
  </r>
  <r>
    <x v="707"/>
    <n v="74.400000000000006"/>
    <n v="93"/>
    <n v="-18.599999999999994"/>
    <x v="443"/>
  </r>
  <r>
    <x v="708"/>
    <n v="677"/>
    <n v="677"/>
    <n v="0"/>
    <x v="443"/>
  </r>
  <r>
    <x v="709"/>
    <n v="1762.7"/>
    <n v="1762.7"/>
    <n v="0"/>
    <x v="444"/>
  </r>
  <r>
    <x v="710"/>
    <n v="781"/>
    <n v="781"/>
    <n v="0"/>
    <x v="444"/>
  </r>
  <r>
    <x v="711"/>
    <n v="131.75"/>
    <n v="155"/>
    <n v="-23.25"/>
    <x v="444"/>
  </r>
  <r>
    <x v="712"/>
    <n v="265.35000000000002"/>
    <n v="276.60000000000002"/>
    <n v="-11.25"/>
    <x v="445"/>
  </r>
  <r>
    <x v="713"/>
    <n v="1119.9000000000001"/>
    <n v="1122"/>
    <n v="-2.1000000000000014"/>
    <x v="445"/>
  </r>
  <r>
    <x v="714"/>
    <n v="3584"/>
    <n v="3584"/>
    <n v="0"/>
    <x v="445"/>
  </r>
  <r>
    <x v="715"/>
    <n v="57.8"/>
    <n v="68"/>
    <n v="-10.200000000000003"/>
    <x v="445"/>
  </r>
  <r>
    <x v="716"/>
    <n v="2052.5"/>
    <n v="2052.5"/>
    <n v="0"/>
    <x v="446"/>
  </r>
  <r>
    <x v="717"/>
    <n v="848"/>
    <n v="848"/>
    <n v="0"/>
    <x v="446"/>
  </r>
  <r>
    <x v="718"/>
    <n v="1098.46"/>
    <n v="1255.5999999999999"/>
    <n v="-157.13999999999999"/>
    <x v="446"/>
  </r>
  <r>
    <x v="719"/>
    <n v="910.4"/>
    <n v="910.4"/>
    <n v="0"/>
    <x v="447"/>
  </r>
  <r>
    <x v="720"/>
    <n v="1408"/>
    <n v="1408"/>
    <n v="0"/>
    <x v="447"/>
  </r>
  <r>
    <x v="721"/>
    <n v="108"/>
    <n v="108"/>
    <n v="0"/>
    <x v="447"/>
  </r>
  <r>
    <x v="722"/>
    <n v="224"/>
    <n v="280"/>
    <n v="-56"/>
    <x v="448"/>
  </r>
  <r>
    <x v="723"/>
    <n v="1733.0600000000002"/>
    <n v="1733.0600000000002"/>
    <n v="0"/>
    <x v="448"/>
  </r>
  <r>
    <x v="724"/>
    <n v="251.5"/>
    <n v="251.5"/>
    <n v="0"/>
    <x v="448"/>
  </r>
  <r>
    <x v="725"/>
    <n v="291.55"/>
    <n v="291.55"/>
    <n v="0"/>
    <x v="448"/>
  </r>
  <r>
    <x v="726"/>
    <n v="439"/>
    <n v="439"/>
    <n v="0"/>
    <x v="449"/>
  </r>
  <r>
    <x v="727"/>
    <n v="717.5"/>
    <n v="717.5"/>
    <n v="0"/>
    <x v="449"/>
  </r>
  <r>
    <x v="728"/>
    <n v="912"/>
    <n v="912"/>
    <n v="0"/>
    <x v="449"/>
  </r>
  <r>
    <x v="729"/>
    <n v="2233"/>
    <n v="2233"/>
    <n v="0"/>
    <x v="450"/>
  </r>
  <r>
    <x v="730"/>
    <n v="1303.1949999999999"/>
    <n v="1500.7"/>
    <n v="-197.505"/>
    <x v="450"/>
  </r>
  <r>
    <x v="731"/>
    <n v="4813.5"/>
    <n v="4813.5"/>
    <n v="0"/>
    <x v="450"/>
  </r>
  <r>
    <x v="732"/>
    <n v="248"/>
    <n v="310"/>
    <n v="-62"/>
    <x v="451"/>
  </r>
  <r>
    <x v="733"/>
    <n v="15810"/>
    <n v="15810"/>
    <n v="0"/>
    <x v="451"/>
  </r>
  <r>
    <x v="734"/>
    <n v="1014"/>
    <n v="1014"/>
    <n v="0"/>
    <x v="451"/>
  </r>
  <r>
    <x v="735"/>
    <n v="720.9"/>
    <n v="796.5"/>
    <n v="-75.600000000000023"/>
    <x v="451"/>
  </r>
  <r>
    <x v="736"/>
    <n v="1809.75"/>
    <n v="1809.75"/>
    <n v="0"/>
    <x v="452"/>
  </r>
  <r>
    <x v="737"/>
    <n v="2023.3799999999999"/>
    <n v="2248.1999999999998"/>
    <n v="-224.82000000000005"/>
    <x v="452"/>
  </r>
  <r>
    <x v="738"/>
    <n v="2220"/>
    <n v="2220"/>
    <n v="0"/>
    <x v="452"/>
  </r>
  <r>
    <x v="739"/>
    <n v="2772"/>
    <n v="2772"/>
    <n v="0"/>
    <x v="453"/>
  </r>
  <r>
    <x v="740"/>
    <n v="3574.8"/>
    <n v="3772"/>
    <n v="-197.20000000000005"/>
    <x v="453"/>
  </r>
  <r>
    <x v="741"/>
    <n v="1353.6"/>
    <n v="1353.6"/>
    <n v="0"/>
    <x v="453"/>
  </r>
  <r>
    <x v="742"/>
    <n v="4288.8500000000004"/>
    <n v="4931"/>
    <n v="-642.15000000000009"/>
    <x v="454"/>
  </r>
  <r>
    <x v="743"/>
    <n v="2296"/>
    <n v="2870"/>
    <n v="-574"/>
    <x v="454"/>
  </r>
  <r>
    <x v="744"/>
    <n v="69.599999999999994"/>
    <n v="69.599999999999994"/>
    <n v="0"/>
    <x v="454"/>
  </r>
  <r>
    <x v="745"/>
    <n v="4895.4375"/>
    <n v="6527.25"/>
    <n v="-1631.8125"/>
    <x v="454"/>
  </r>
  <r>
    <x v="746"/>
    <n v="940.5"/>
    <n v="990"/>
    <n v="-49.5"/>
    <x v="455"/>
  </r>
  <r>
    <x v="747"/>
    <n v="1196"/>
    <n v="1196"/>
    <n v="0"/>
    <x v="455"/>
  </r>
  <r>
    <x v="748"/>
    <n v="560"/>
    <n v="560"/>
    <n v="0"/>
    <x v="455"/>
  </r>
  <r>
    <x v="749"/>
    <n v="1885"/>
    <n v="1980"/>
    <n v="-95"/>
    <x v="456"/>
  </r>
  <r>
    <x v="750"/>
    <n v="686"/>
    <n v="686"/>
    <n v="0"/>
    <x v="456"/>
  </r>
  <r>
    <x v="751"/>
    <n v="1197.95"/>
    <n v="1261"/>
    <n v="-63.049999999999983"/>
    <x v="456"/>
  </r>
  <r>
    <x v="752"/>
    <n v="903.75"/>
    <n v="1075"/>
    <n v="-171.25"/>
    <x v="457"/>
  </r>
  <r>
    <x v="753"/>
    <n v="2769"/>
    <n v="2769"/>
    <n v="0"/>
    <x v="457"/>
  </r>
  <r>
    <x v="754"/>
    <n v="1811.1"/>
    <n v="1902"/>
    <n v="-90.899999999999977"/>
    <x v="457"/>
  </r>
  <r>
    <x v="755"/>
    <n v="326"/>
    <n v="326"/>
    <n v="0"/>
    <x v="457"/>
  </r>
  <r>
    <x v="756"/>
    <n v="295.38"/>
    <n v="295.38"/>
    <n v="0"/>
    <x v="458"/>
  </r>
  <r>
    <x v="757"/>
    <n v="586"/>
    <n v="586"/>
    <n v="0"/>
    <x v="458"/>
  </r>
  <r>
    <x v="758"/>
    <n v="329.685"/>
    <n v="391.58000000000004"/>
    <n v="-61.89500000000001"/>
    <x v="458"/>
  </r>
  <r>
    <x v="759"/>
    <n v="2633.9"/>
    <n v="2633.9"/>
    <n v="0"/>
    <x v="459"/>
  </r>
  <r>
    <x v="760"/>
    <n v="4680.8999999999996"/>
    <n v="4903.5"/>
    <n v="-222.59999999999991"/>
    <x v="459"/>
  </r>
  <r>
    <x v="761"/>
    <n v="616.5"/>
    <n v="702"/>
    <n v="-85.5"/>
    <x v="459"/>
  </r>
  <r>
    <x v="762"/>
    <n v="645"/>
    <n v="645"/>
    <n v="0"/>
    <x v="460"/>
  </r>
  <r>
    <x v="763"/>
    <n v="933.5"/>
    <n v="960"/>
    <n v="-26.5"/>
    <x v="460"/>
  </r>
  <r>
    <x v="764"/>
    <n v="2825.3"/>
    <n v="2974"/>
    <n v="-148.70000000000005"/>
    <x v="460"/>
  </r>
  <r>
    <x v="765"/>
    <n v="361"/>
    <n v="361"/>
    <n v="0"/>
    <x v="460"/>
  </r>
  <r>
    <x v="766"/>
    <n v="243.17999999999998"/>
    <n v="270.2"/>
    <n v="-27.02000000000001"/>
    <x v="461"/>
  </r>
  <r>
    <x v="767"/>
    <n v="622.35"/>
    <n v="622.35"/>
    <n v="0"/>
    <x v="461"/>
  </r>
  <r>
    <x v="768"/>
    <n v="491.5"/>
    <n v="491.5"/>
    <n v="0"/>
    <x v="461"/>
  </r>
  <r>
    <x v="769"/>
    <n v="6750"/>
    <n v="6750"/>
    <n v="0"/>
    <x v="462"/>
  </r>
  <r>
    <x v="770"/>
    <n v="1575"/>
    <n v="1575"/>
    <n v="0"/>
    <x v="462"/>
  </r>
  <r>
    <x v="771"/>
    <n v="76"/>
    <n v="76"/>
    <n v="0"/>
    <x v="462"/>
  </r>
  <r>
    <x v="772"/>
    <n v="632.4"/>
    <n v="744"/>
    <n v="-111.60000000000002"/>
    <x v="463"/>
  </r>
  <r>
    <x v="773"/>
    <n v="6306.24"/>
    <n v="6941.49"/>
    <n v="-635.25"/>
    <x v="463"/>
  </r>
  <r>
    <x v="774"/>
    <n v="1402"/>
    <n v="1402"/>
    <n v="0"/>
    <x v="463"/>
  </r>
  <r>
    <x v="775"/>
    <n v="1500"/>
    <n v="1500"/>
    <n v="0"/>
    <x v="463"/>
  </r>
  <r>
    <x v="776"/>
    <n v="1966.81"/>
    <n v="1966.81"/>
    <n v="0"/>
    <x v="464"/>
  </r>
  <r>
    <x v="777"/>
    <n v="270"/>
    <n v="300"/>
    <n v="-30"/>
    <x v="464"/>
  </r>
  <r>
    <x v="778"/>
    <n v="1030"/>
    <n v="1030"/>
    <n v="0"/>
    <x v="464"/>
  </r>
  <r>
    <x v="779"/>
    <n v="877.72499999999991"/>
    <n v="1170.3"/>
    <n v="-292.57500000000005"/>
    <x v="465"/>
  </r>
  <r>
    <x v="780"/>
    <n v="2160"/>
    <n v="2160"/>
    <n v="0"/>
    <x v="465"/>
  </r>
  <r>
    <x v="781"/>
    <n v="1286.8"/>
    <n v="1286.8"/>
    <n v="0"/>
    <x v="465"/>
  </r>
  <r>
    <x v="782"/>
    <n v="12615.05"/>
    <n v="16321.900000000001"/>
    <n v="-3706.8500000000004"/>
    <x v="466"/>
  </r>
  <r>
    <x v="783"/>
    <n v="2393.5"/>
    <n v="2393.5"/>
    <n v="0"/>
    <x v="466"/>
  </r>
  <r>
    <x v="784"/>
    <n v="8902.5"/>
    <n v="8902.5"/>
    <n v="0"/>
    <x v="466"/>
  </r>
  <r>
    <x v="785"/>
    <n v="3232.8"/>
    <n v="3592"/>
    <n v="-359.19999999999982"/>
    <x v="466"/>
  </r>
  <r>
    <x v="786"/>
    <n v="539.4"/>
    <n v="554.4"/>
    <n v="-15"/>
    <x v="467"/>
  </r>
  <r>
    <x v="787"/>
    <n v="1754.5"/>
    <n v="1754.5"/>
    <n v="0"/>
    <x v="467"/>
  </r>
  <r>
    <x v="788"/>
    <n v="1692"/>
    <n v="1692"/>
    <n v="0"/>
    <x v="467"/>
  </r>
  <r>
    <x v="789"/>
    <n v="60"/>
    <n v="60"/>
    <n v="0"/>
    <x v="468"/>
  </r>
  <r>
    <x v="790"/>
    <n v="732.6"/>
    <n v="751"/>
    <n v="-18.400000000000006"/>
    <x v="468"/>
  </r>
  <r>
    <x v="791"/>
    <n v="3090"/>
    <n v="3090"/>
    <n v="0"/>
    <x v="468"/>
  </r>
  <r>
    <x v="792"/>
    <n v="200"/>
    <n v="200"/>
    <n v="0"/>
    <x v="469"/>
  </r>
  <r>
    <x v="793"/>
    <n v="1773"/>
    <n v="1887"/>
    <n v="-114"/>
    <x v="469"/>
  </r>
  <r>
    <x v="794"/>
    <n v="405.75"/>
    <n v="405.75"/>
    <n v="0"/>
    <x v="469"/>
  </r>
  <r>
    <x v="795"/>
    <n v="210"/>
    <n v="210"/>
    <n v="0"/>
    <x v="469"/>
  </r>
  <r>
    <x v="796"/>
    <n v="591.59999999999991"/>
    <n v="591.59999999999991"/>
    <n v="0"/>
    <x v="470"/>
  </r>
  <r>
    <x v="797"/>
    <n v="1309.5"/>
    <n v="1309.5"/>
    <n v="0"/>
    <x v="470"/>
  </r>
  <r>
    <x v="798"/>
    <n v="1485.8"/>
    <n v="1564"/>
    <n v="-78.199999999999989"/>
    <x v="470"/>
  </r>
  <r>
    <x v="799"/>
    <n v="817.875"/>
    <n v="1090.5"/>
    <n v="-272.625"/>
    <x v="471"/>
  </r>
  <r>
    <x v="800"/>
    <n v="525"/>
    <n v="525"/>
    <n v="0"/>
    <x v="471"/>
  </r>
  <r>
    <x v="801"/>
    <n v="273.60000000000002"/>
    <n v="342"/>
    <n v="-68.400000000000006"/>
    <x v="471"/>
  </r>
  <r>
    <x v="802"/>
    <n v="810"/>
    <n v="900"/>
    <n v="-90"/>
    <x v="472"/>
  </r>
  <r>
    <x v="803"/>
    <n v="36"/>
    <n v="45"/>
    <n v="-9"/>
    <x v="472"/>
  </r>
  <r>
    <x v="804"/>
    <n v="1332"/>
    <n v="1665"/>
    <n v="-333"/>
    <x v="472"/>
  </r>
  <r>
    <x v="805"/>
    <n v="3055"/>
    <n v="3658.75"/>
    <n v="-603.75"/>
    <x v="472"/>
  </r>
  <r>
    <x v="806"/>
    <n v="305"/>
    <n v="305"/>
    <n v="0"/>
    <x v="473"/>
  </r>
  <r>
    <x v="807"/>
    <n v="1727.5"/>
    <n v="1727.5"/>
    <n v="0"/>
    <x v="473"/>
  </r>
  <r>
    <x v="808"/>
    <n v="3740"/>
    <n v="3740"/>
    <n v="0"/>
    <x v="473"/>
  </r>
  <r>
    <x v="809"/>
    <n v="45"/>
    <n v="45"/>
    <n v="0"/>
    <x v="474"/>
  </r>
  <r>
    <x v="810"/>
    <n v="858"/>
    <n v="858"/>
    <n v="0"/>
    <x v="474"/>
  </r>
  <r>
    <x v="811"/>
    <n v="1838"/>
    <n v="1838"/>
    <n v="0"/>
    <x v="474"/>
  </r>
  <r>
    <x v="812"/>
    <n v="266"/>
    <n v="266"/>
    <n v="0"/>
    <x v="475"/>
  </r>
  <r>
    <x v="813"/>
    <n v="510"/>
    <n v="510"/>
    <n v="0"/>
    <x v="475"/>
  </r>
  <r>
    <x v="814"/>
    <n v="406.4"/>
    <n v="508"/>
    <n v="-101.60000000000002"/>
    <x v="475"/>
  </r>
  <r>
    <x v="815"/>
    <n v="1342.95"/>
    <n v="1445.5"/>
    <n v="-102.55000000000001"/>
    <x v="475"/>
  </r>
  <r>
    <x v="816"/>
    <n v="4330.3999999999996"/>
    <n v="4722.3"/>
    <n v="-391.9000000000002"/>
    <x v="476"/>
  </r>
  <r>
    <x v="817"/>
    <n v="189.42000000000002"/>
    <n v="252.56"/>
    <n v="-63.14"/>
    <x v="476"/>
  </r>
  <r>
    <x v="818"/>
    <n v="928.75"/>
    <n v="928.75"/>
    <n v="0"/>
    <x v="476"/>
  </r>
  <r>
    <x v="819"/>
    <n v="86.850000000000009"/>
    <n v="86.850000000000009"/>
    <n v="0"/>
    <x v="477"/>
  </r>
  <r>
    <x v="820"/>
    <n v="2027.08"/>
    <n v="2384.8000000000002"/>
    <n v="-357.72000000000008"/>
    <x v="477"/>
  </r>
  <r>
    <x v="821"/>
    <n v="360"/>
    <n v="360"/>
    <n v="0"/>
    <x v="477"/>
  </r>
  <r>
    <x v="822"/>
    <n v="1629.9749999999999"/>
    <n v="1873.5"/>
    <n v="-243.52499999999998"/>
    <x v="478"/>
  </r>
  <r>
    <x v="823"/>
    <n v="484.5"/>
    <n v="510"/>
    <n v="-25.5"/>
    <x v="478"/>
  </r>
  <r>
    <x v="824"/>
    <n v="5218"/>
    <n v="5218"/>
    <n v="0"/>
    <x v="478"/>
  </r>
  <r>
    <x v="825"/>
    <n v="300"/>
    <n v="300"/>
    <n v="0"/>
    <x v="478"/>
  </r>
  <r>
    <x v="826"/>
    <n v="232.08499999999998"/>
    <n v="244.29999999999998"/>
    <n v="-12.215000000000003"/>
    <x v="479"/>
  </r>
  <r>
    <x v="827"/>
    <n v="498.1"/>
    <n v="586"/>
    <n v="-87.9"/>
    <x v="479"/>
  </r>
  <r>
    <x v="828"/>
    <n v="792.75"/>
    <n v="1057"/>
    <n v="-264.25"/>
    <x v="479"/>
  </r>
  <r>
    <x v="829"/>
    <n v="1255.7205000000001"/>
    <n v="1374.6"/>
    <n v="-118.87949999999998"/>
    <x v="4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F0F34E4-B4C2-EB47-BF5A-856516F57AA0}" name="TablaDinámica15" cacheId="52" applyNumberFormats="0" applyBorderFormats="0" applyFontFormats="0" applyPatternFormats="0" applyAlignmentFormats="0" applyWidthHeightFormats="1" dataCaption="Valores" errorCaption="0" showError="1" updatedVersion="8" minRefreshableVersion="5" useAutoFormatting="1" itemPrintTitles="1" createdVersion="8" indent="0" outline="1" outlineData="1" multipleFieldFilters="0">
  <location ref="R1:U8" firstHeaderRow="0" firstDataRow="1" firstDataCol="1"/>
  <pivotFields count="22">
    <pivotField showAll="0"/>
    <pivotField showAll="0"/>
    <pivotField showAll="0"/>
    <pivotField numFmtId="14" showAll="0">
      <items count="4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t="default"/>
      </items>
    </pivotField>
    <pivotField numFmtId="14" showAll="0"/>
    <pivotField showAll="0"/>
    <pivotField showAll="0"/>
    <pivotField numFmtId="8" showAll="0"/>
    <pivotField showAll="0"/>
    <pivotField showAll="0"/>
    <pivotField showAll="0"/>
    <pivotField showAll="0"/>
    <pivotField showAll="0"/>
    <pivotField showAll="0">
      <items count="22">
        <item h="1" x="20"/>
        <item h="1" x="6"/>
        <item x="3"/>
        <item x="2"/>
        <item x="16"/>
        <item h="1" x="17"/>
        <item h="1" x="10"/>
        <item h="1" x="0"/>
        <item h="1" x="1"/>
        <item h="1" x="14"/>
        <item h="1" x="11"/>
        <item h="1" x="7"/>
        <item h="1" x="19"/>
        <item h="1" x="18"/>
        <item h="1" x="15"/>
        <item h="1" x="12"/>
        <item h="1" x="9"/>
        <item h="1" x="4"/>
        <item h="1" x="13"/>
        <item h="1" x="8"/>
        <item h="1" x="5"/>
        <item t="default"/>
      </items>
    </pivotField>
    <pivotField dataField="1" showAll="0"/>
    <pivotField dataField="1" showAll="0"/>
    <pivotField dataField="1" showAll="0"/>
    <pivotField dragToRow="0" dragToCol="0" dragToPage="0" showAll="0" defaultSubtota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Row" showAll="0" defaultSubtotal="0">
      <items count="5">
        <item sd="0" x="0"/>
        <item x="1"/>
        <item x="2"/>
        <item x="3"/>
        <item sd="0" x="4"/>
      </items>
    </pivotField>
    <pivotField dragToRow="0" dragToCol="0" dragToPage="0" showAll="0"/>
  </pivotFields>
  <rowFields count="2">
    <field x="20"/>
    <field x="18"/>
  </rowFields>
  <rowItems count="7">
    <i>
      <x v="3"/>
    </i>
    <i r="1">
      <x v="1"/>
    </i>
    <i r="1">
      <x v="2"/>
    </i>
    <i r="1">
      <x v="3"/>
    </i>
    <i r="1">
      <x v="4"/>
    </i>
    <i r="1">
      <x v="5"/>
    </i>
    <i t="grand">
      <x/>
    </i>
  </rowItems>
  <colFields count="1">
    <field x="-2"/>
  </colFields>
  <colItems count="3">
    <i>
      <x/>
    </i>
    <i i="1">
      <x v="1"/>
    </i>
    <i i="2">
      <x v="2"/>
    </i>
  </colItems>
  <dataFields count="3">
    <dataField name="Promedio de diasEspera" fld="14" subtotal="average" baseField="0" baseItem="0" numFmtId="165"/>
    <dataField name="Promedio de diasEnvio" fld="15" subtotal="average" baseField="0" baseItem="0"/>
    <dataField name="Promedio de diasAdelento" fld="16" subtotal="average" baseField="0" baseItem="0"/>
  </dataFields>
  <formats count="2">
    <format dxfId="63">
      <pivotArea outline="0" collapsedLevelsAreSubtotals="1" fieldPosition="0"/>
    </format>
    <format dxfId="60">
      <pivotArea dataOnly="0" labelOnly="1" outline="0" axis="axisValues" fieldPosition="0"/>
    </format>
  </formats>
  <pivotTableStyleInfo name="PivotStyleLight16" showRowHeaders="1" showColHeaders="1" showRowStripes="0" showColStripes="0" showLastColumn="1"/>
  <filters count="1">
    <filter fld="3" type="dateBetween" evalOrder="-1" id="56" name="orderDate">
      <autoFilter ref="A1">
        <filterColumn colId="0">
          <customFilters and="1">
            <customFilter operator="greaterThanOrEqual" val="35796"/>
            <customFilter operator="lessThanOrEqual" val="3616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8FFA0AD-F4E4-A74B-A4A5-5EDEC98B6501}" name="TablaDinámica13" cacheId="52" applyNumberFormats="0" applyBorderFormats="0" applyFontFormats="0" applyPatternFormats="0" applyAlignmentFormats="0" applyWidthHeightFormats="1" dataCaption="Valores" updatedVersion="8" minRefreshableVersion="5" useAutoFormatting="1" itemPrintTitles="1" createdVersion="8" indent="0" outline="1" outlineData="1" multipleFieldFilters="0">
  <location ref="O1:P11" firstHeaderRow="1" firstDataRow="1" firstDataCol="1"/>
  <pivotFields count="22">
    <pivotField showAll="0"/>
    <pivotField axis="axisRow" dataField="1" showAll="0">
      <items count="90">
        <item x="85"/>
        <item x="39"/>
        <item x="59"/>
        <item x="55"/>
        <item x="25"/>
        <item x="76"/>
        <item x="15"/>
        <item x="46"/>
        <item x="48"/>
        <item x="66"/>
        <item x="31"/>
        <item x="78"/>
        <item x="10"/>
        <item x="5"/>
        <item x="32"/>
        <item x="72"/>
        <item x="57"/>
        <item x="41"/>
        <item x="58"/>
        <item x="9"/>
        <item x="52"/>
        <item x="68"/>
        <item x="14"/>
        <item x="17"/>
        <item x="86"/>
        <item x="70"/>
        <item x="47"/>
        <item x="60"/>
        <item x="36"/>
        <item x="71"/>
        <item x="79"/>
        <item x="18"/>
        <item x="2"/>
        <item x="8"/>
        <item x="64"/>
        <item x="34"/>
        <item x="42"/>
        <item x="44"/>
        <item x="88"/>
        <item x="53"/>
        <item x="75"/>
        <item x="74"/>
        <item x="26"/>
        <item x="82"/>
        <item x="28"/>
        <item x="67"/>
        <item x="38"/>
        <item x="22"/>
        <item x="80"/>
        <item x="49"/>
        <item x="24"/>
        <item x="77"/>
        <item x="69"/>
        <item x="37"/>
        <item x="11"/>
        <item x="43"/>
        <item x="54"/>
        <item x="50"/>
        <item x="12"/>
        <item x="62"/>
        <item x="21"/>
        <item x="73"/>
        <item x="13"/>
        <item x="30"/>
        <item x="29"/>
        <item x="6"/>
        <item x="27"/>
        <item x="65"/>
        <item x="45"/>
        <item x="56"/>
        <item x="51"/>
        <item x="87"/>
        <item x="20"/>
        <item x="4"/>
        <item x="40"/>
        <item x="84"/>
        <item x="1"/>
        <item x="23"/>
        <item x="33"/>
        <item x="81"/>
        <item x="61"/>
        <item x="3"/>
        <item x="0"/>
        <item x="35"/>
        <item x="16"/>
        <item x="7"/>
        <item x="19"/>
        <item x="83"/>
        <item x="63"/>
        <item t="default"/>
      </items>
    </pivotField>
    <pivotField axis="axisRow" showAll="0">
      <items count="10">
        <item sd="0" x="5"/>
        <item sd="0" x="7"/>
        <item sd="0" x="3"/>
        <item sd="0" x="2"/>
        <item sd="0" x="0"/>
        <item sd="0" x="1"/>
        <item sd="0" x="8"/>
        <item sd="0" x="6"/>
        <item sd="0" x="4"/>
        <item t="default" sd="0"/>
      </items>
    </pivotField>
    <pivotField numFmtId="14" showAll="0">
      <items count="4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t="default"/>
      </items>
    </pivotField>
    <pivotField numFmtId="14" showAll="0"/>
    <pivotField showAll="0"/>
    <pivotField showAll="0"/>
    <pivotField numFmtId="8" showAll="0"/>
    <pivotField showAll="0"/>
    <pivotField showAll="0"/>
    <pivotField showAll="0"/>
    <pivotField showAll="0"/>
    <pivotField showAll="0"/>
    <pivotField showAll="0">
      <items count="22">
        <item h="1" x="20"/>
        <item h="1" x="6"/>
        <item x="3"/>
        <item x="2"/>
        <item x="16"/>
        <item h="1" x="17"/>
        <item h="1" x="10"/>
        <item h="1" x="0"/>
        <item h="1" x="1"/>
        <item h="1" x="14"/>
        <item h="1" x="11"/>
        <item h="1" x="7"/>
        <item h="1" x="19"/>
        <item h="1" x="18"/>
        <item h="1" x="15"/>
        <item h="1" x="12"/>
        <item h="1" x="9"/>
        <item h="1" x="4"/>
        <item h="1" x="13"/>
        <item h="1" x="8"/>
        <item h="1" x="5"/>
        <item t="default"/>
      </items>
    </pivotField>
    <pivotField showAll="0"/>
    <pivotField showAll="0"/>
    <pivotField showAll="0"/>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 dragToRow="0" dragToCol="0" dragToPage="0" showAll="0"/>
  </pivotFields>
  <rowFields count="2">
    <field x="2"/>
    <field x="1"/>
  </rowFields>
  <rowItems count="10">
    <i>
      <x/>
    </i>
    <i>
      <x v="1"/>
    </i>
    <i>
      <x v="2"/>
    </i>
    <i>
      <x v="3"/>
    </i>
    <i>
      <x v="4"/>
    </i>
    <i>
      <x v="5"/>
    </i>
    <i>
      <x v="6"/>
    </i>
    <i>
      <x v="7"/>
    </i>
    <i>
      <x v="8"/>
    </i>
    <i t="grand">
      <x/>
    </i>
  </rowItems>
  <colItems count="1">
    <i/>
  </colItems>
  <dataFields count="1">
    <dataField name="Cuenta de customerID" fld="1" subtotal="count" showDataAs="index" baseField="0" baseItem="0"/>
  </dataFields>
  <pivotTableStyleInfo name="PivotStyleLight16" showRowHeaders="1" showColHeaders="1" showRowStripes="0" showColStripes="0" showLastColumn="1"/>
  <filters count="1">
    <filter fld="3" type="dateBetween" evalOrder="-1" id="56" name="orderDate">
      <autoFilter ref="A1">
        <filterColumn colId="0">
          <customFilters and="1">
            <customFilter operator="greaterThanOrEqual" val="35796"/>
            <customFilter operator="lessThanOrEqual" val="3616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40AD642-69E5-7C42-8FF8-60D7D9E02751}" name="TablaDinámica12" cacheId="52" applyNumberFormats="0" applyBorderFormats="0" applyFontFormats="0" applyPatternFormats="0" applyAlignmentFormats="0" applyWidthHeightFormats="1" dataCaption="Valores" updatedVersion="8" minRefreshableVersion="5" useAutoFormatting="1" itemPrintTitles="1" createdVersion="8" indent="0" outline="1" outlineData="1" multipleFieldFilters="0">
  <location ref="L1:M11" firstHeaderRow="1" firstDataRow="1" firstDataCol="1"/>
  <pivotFields count="22">
    <pivotField dataField="1" showAll="0"/>
    <pivotField showAll="0"/>
    <pivotField axis="axisRow" showAll="0">
      <items count="10">
        <item x="5"/>
        <item x="7"/>
        <item x="3"/>
        <item x="2"/>
        <item x="0"/>
        <item x="1"/>
        <item x="8"/>
        <item x="6"/>
        <item x="4"/>
        <item t="default"/>
      </items>
    </pivotField>
    <pivotField numFmtId="14" showAll="0">
      <items count="4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t="default"/>
      </items>
    </pivotField>
    <pivotField numFmtId="14" showAll="0"/>
    <pivotField showAll="0"/>
    <pivotField showAll="0"/>
    <pivotField numFmtId="8" showAll="0"/>
    <pivotField showAll="0"/>
    <pivotField showAll="0"/>
    <pivotField showAll="0"/>
    <pivotField showAll="0"/>
    <pivotField showAll="0"/>
    <pivotField showAll="0">
      <items count="22">
        <item h="1" x="20"/>
        <item h="1" x="6"/>
        <item x="3"/>
        <item x="2"/>
        <item x="16"/>
        <item h="1" x="17"/>
        <item h="1" x="10"/>
        <item h="1" x="0"/>
        <item h="1" x="1"/>
        <item h="1" x="14"/>
        <item h="1" x="11"/>
        <item h="1" x="7"/>
        <item h="1" x="19"/>
        <item h="1" x="18"/>
        <item h="1" x="15"/>
        <item h="1" x="12"/>
        <item h="1" x="9"/>
        <item h="1" x="4"/>
        <item h="1" x="13"/>
        <item h="1" x="8"/>
        <item h="1" x="5"/>
        <item t="default"/>
      </items>
    </pivotField>
    <pivotField showAll="0"/>
    <pivotField showAll="0"/>
    <pivotField showAll="0"/>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 dragToRow="0" dragToCol="0" dragToPage="0" showAll="0"/>
  </pivotFields>
  <rowFields count="1">
    <field x="2"/>
  </rowFields>
  <rowItems count="10">
    <i>
      <x/>
    </i>
    <i>
      <x v="1"/>
    </i>
    <i>
      <x v="2"/>
    </i>
    <i>
      <x v="3"/>
    </i>
    <i>
      <x v="4"/>
    </i>
    <i>
      <x v="5"/>
    </i>
    <i>
      <x v="6"/>
    </i>
    <i>
      <x v="7"/>
    </i>
    <i>
      <x v="8"/>
    </i>
    <i t="grand">
      <x/>
    </i>
  </rowItems>
  <colItems count="1">
    <i/>
  </colItems>
  <dataFields count="1">
    <dataField name="Cuenta de orderID" fld="0" subtotal="count" baseField="0" baseItem="0"/>
  </dataFields>
  <pivotTableStyleInfo name="PivotStyleLight16" showRowHeaders="1" showColHeaders="1" showRowStripes="0" showColStripes="0" showLastColumn="1"/>
  <filters count="1">
    <filter fld="3" type="dateBetween" evalOrder="-1" id="56" name="orderDate">
      <autoFilter ref="A1">
        <filterColumn colId="0">
          <customFilters and="1">
            <customFilter operator="greaterThanOrEqual" val="35796"/>
            <customFilter operator="lessThanOrEqual" val="3616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10A3849-1124-CE43-BDD0-542FC8702C77}" name="TablaDinámica11" cacheId="52" applyNumberFormats="0" applyBorderFormats="0" applyFontFormats="0" applyPatternFormats="0" applyAlignmentFormats="0" applyWidthHeightFormats="1" dataCaption="Valores" updatedVersion="8" minRefreshableVersion="5" useAutoFormatting="1" itemPrintTitles="1" createdVersion="8" indent="0" outline="1" outlineData="1" multipleFieldFilters="0">
  <location ref="I1:J5" firstHeaderRow="1" firstDataRow="1" firstDataCol="1"/>
  <pivotFields count="22">
    <pivotField dataField="1" showAll="0"/>
    <pivotField showAll="0"/>
    <pivotField showAll="0"/>
    <pivotField numFmtId="14" showAll="0">
      <items count="4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t="default"/>
      </items>
    </pivotField>
    <pivotField numFmtId="14" showAll="0"/>
    <pivotField showAll="0"/>
    <pivotField axis="axisRow" showAll="0">
      <items count="4">
        <item x="1"/>
        <item x="2"/>
        <item x="0"/>
        <item t="default"/>
      </items>
    </pivotField>
    <pivotField numFmtId="8" showAll="0"/>
    <pivotField showAll="0"/>
    <pivotField showAll="0"/>
    <pivotField showAll="0"/>
    <pivotField showAll="0"/>
    <pivotField showAll="0"/>
    <pivotField showAll="0">
      <items count="22">
        <item h="1" x="20"/>
        <item h="1" x="6"/>
        <item x="3"/>
        <item x="2"/>
        <item x="16"/>
        <item h="1" x="17"/>
        <item h="1" x="10"/>
        <item h="1" x="0"/>
        <item h="1" x="1"/>
        <item h="1" x="14"/>
        <item h="1" x="11"/>
        <item h="1" x="7"/>
        <item h="1" x="19"/>
        <item h="1" x="18"/>
        <item h="1" x="15"/>
        <item h="1" x="12"/>
        <item h="1" x="9"/>
        <item h="1" x="4"/>
        <item h="1" x="13"/>
        <item h="1" x="8"/>
        <item h="1" x="5"/>
        <item t="default"/>
      </items>
    </pivotField>
    <pivotField showAll="0"/>
    <pivotField showAll="0"/>
    <pivotField showAll="0"/>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 dragToRow="0" dragToCol="0" dragToPage="0" showAll="0"/>
  </pivotFields>
  <rowFields count="1">
    <field x="6"/>
  </rowFields>
  <rowItems count="4">
    <i>
      <x/>
    </i>
    <i>
      <x v="1"/>
    </i>
    <i>
      <x v="2"/>
    </i>
    <i t="grand">
      <x/>
    </i>
  </rowItems>
  <colItems count="1">
    <i/>
  </colItems>
  <dataFields count="1">
    <dataField name="Cuenta de orderID" fld="0" subtotal="count" baseField="0" baseItem="0"/>
  </dataFields>
  <pivotTableStyleInfo name="PivotStyleLight16" showRowHeaders="1" showColHeaders="1" showRowStripes="0" showColStripes="0" showLastColumn="1"/>
  <filters count="1">
    <filter fld="3" type="dateBetween" evalOrder="-1" id="56" name="orderDate">
      <autoFilter ref="A1">
        <filterColumn colId="0">
          <customFilters and="1">
            <customFilter operator="greaterThanOrEqual" val="35796"/>
            <customFilter operator="lessThanOrEqual" val="3616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4AB07A7-3A2A-9F48-836A-5866E066A31E}" name="TablaDinámica10" cacheId="52" applyNumberFormats="0" applyBorderFormats="0" applyFontFormats="0" applyPatternFormats="0" applyAlignmentFormats="0" applyWidthHeightFormats="1" dataCaption="Valores" updatedVersion="8" minRefreshableVersion="5" useAutoFormatting="1" itemPrintTitles="1" createdVersion="8" indent="0" outline="1" outlineData="1" multipleFieldFilters="0">
  <location ref="F1:G12" firstHeaderRow="1" firstDataRow="1" firstDataCol="1"/>
  <pivotFields count="22">
    <pivotField dataField="1" showAll="0"/>
    <pivotField axis="axisRow" showAll="0" measureFilter="1" sortType="descending">
      <items count="90">
        <item x="85"/>
        <item x="39"/>
        <item x="59"/>
        <item x="55"/>
        <item x="25"/>
        <item x="76"/>
        <item x="15"/>
        <item x="46"/>
        <item x="48"/>
        <item x="66"/>
        <item x="31"/>
        <item x="78"/>
        <item x="10"/>
        <item x="5"/>
        <item x="32"/>
        <item x="72"/>
        <item x="57"/>
        <item x="41"/>
        <item x="58"/>
        <item x="9"/>
        <item x="52"/>
        <item x="68"/>
        <item x="14"/>
        <item x="17"/>
        <item x="86"/>
        <item x="70"/>
        <item x="47"/>
        <item x="60"/>
        <item x="36"/>
        <item x="71"/>
        <item x="79"/>
        <item x="18"/>
        <item x="2"/>
        <item x="8"/>
        <item x="64"/>
        <item x="34"/>
        <item x="42"/>
        <item x="44"/>
        <item x="88"/>
        <item x="53"/>
        <item x="75"/>
        <item x="74"/>
        <item x="26"/>
        <item x="82"/>
        <item x="28"/>
        <item x="67"/>
        <item x="38"/>
        <item x="22"/>
        <item x="80"/>
        <item x="49"/>
        <item x="24"/>
        <item x="77"/>
        <item x="69"/>
        <item x="37"/>
        <item x="11"/>
        <item x="43"/>
        <item x="54"/>
        <item x="50"/>
        <item x="12"/>
        <item x="62"/>
        <item x="21"/>
        <item x="73"/>
        <item x="13"/>
        <item x="30"/>
        <item x="29"/>
        <item x="6"/>
        <item x="27"/>
        <item x="65"/>
        <item x="45"/>
        <item x="56"/>
        <item x="51"/>
        <item x="87"/>
        <item x="20"/>
        <item x="4"/>
        <item x="40"/>
        <item x="84"/>
        <item x="1"/>
        <item x="23"/>
        <item x="33"/>
        <item x="81"/>
        <item x="61"/>
        <item x="3"/>
        <item x="0"/>
        <item x="35"/>
        <item x="16"/>
        <item x="7"/>
        <item x="19"/>
        <item x="83"/>
        <item x="63"/>
        <item t="default"/>
      </items>
      <autoSortScope>
        <pivotArea dataOnly="0" outline="0" fieldPosition="0">
          <references count="1">
            <reference field="4294967294" count="1" selected="0">
              <x v="0"/>
            </reference>
          </references>
        </pivotArea>
      </autoSortScope>
    </pivotField>
    <pivotField showAll="0"/>
    <pivotField numFmtId="14" showAll="0">
      <items count="4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t="default"/>
      </items>
    </pivotField>
    <pivotField numFmtId="14" showAll="0"/>
    <pivotField showAll="0"/>
    <pivotField showAll="0"/>
    <pivotField numFmtId="8" showAll="0"/>
    <pivotField showAll="0"/>
    <pivotField showAll="0"/>
    <pivotField showAll="0"/>
    <pivotField showAll="0"/>
    <pivotField showAll="0"/>
    <pivotField showAll="0">
      <items count="22">
        <item h="1" x="20"/>
        <item h="1" x="6"/>
        <item x="3"/>
        <item x="2"/>
        <item x="16"/>
        <item h="1" x="17"/>
        <item h="1" x="10"/>
        <item h="1" x="0"/>
        <item h="1" x="1"/>
        <item h="1" x="14"/>
        <item h="1" x="11"/>
        <item h="1" x="7"/>
        <item h="1" x="19"/>
        <item h="1" x="18"/>
        <item h="1" x="15"/>
        <item h="1" x="12"/>
        <item h="1" x="9"/>
        <item h="1" x="4"/>
        <item h="1" x="13"/>
        <item h="1" x="8"/>
        <item h="1" x="5"/>
        <item t="default"/>
      </items>
    </pivotField>
    <pivotField showAll="0"/>
    <pivotField showAll="0"/>
    <pivotField showAll="0"/>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 dragToRow="0" dragToCol="0" dragToPage="0" showAll="0"/>
  </pivotFields>
  <rowFields count="1">
    <field x="1"/>
  </rowFields>
  <rowItems count="11">
    <i>
      <x v="73"/>
    </i>
    <i>
      <x v="59"/>
    </i>
    <i>
      <x v="64"/>
    </i>
    <i>
      <x v="48"/>
    </i>
    <i>
      <x v="85"/>
    </i>
    <i>
      <x v="78"/>
    </i>
    <i>
      <x v="29"/>
    </i>
    <i>
      <x v="14"/>
    </i>
    <i>
      <x v="40"/>
    </i>
    <i>
      <x v="58"/>
    </i>
    <i t="grand">
      <x/>
    </i>
  </rowItems>
  <colItems count="1">
    <i/>
  </colItems>
  <dataFields count="1">
    <dataField name="Cuenta de orderID" fld="0" subtotal="count" baseField="0" baseItem="0"/>
  </dataFields>
  <pivotTableStyleInfo name="PivotStyleLight16" showRowHeaders="1" showColHeaders="1" showRowStripes="0" showColStripes="0" showLastColumn="1"/>
  <filters count="2">
    <filter fld="3" type="dateBetween" evalOrder="-1" id="57" name="orderDate">
      <autoFilter ref="A1">
        <filterColumn colId="0">
          <customFilters and="1">
            <customFilter operator="greaterThanOrEqual" val="35796"/>
            <customFilter operator="lessThanOrEqual" val="36160"/>
          </customFilters>
        </filterColumn>
      </autoFilter>
      <extLst>
        <ext xmlns:x15="http://schemas.microsoft.com/office/spreadsheetml/2010/11/main" uri="{0605FD5F-26C8-4aeb-8148-2DB25E43C511}">
          <x15:pivotFilter useWholeDay="1"/>
        </ext>
      </extLst>
    </filter>
    <filter fld="1" type="count" evalOrder="-1" id="1"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88CC78F-4C9A-BC45-BAD2-9CF5DA7EDC9E}" name="TablaDinámica9" cacheId="52" applyNumberFormats="0" applyBorderFormats="0" applyFontFormats="0" applyPatternFormats="0" applyAlignmentFormats="0" applyWidthHeightFormats="1" dataCaption="Valores" updatedVersion="8" minRefreshableVersion="5" useAutoFormatting="1" itemPrintTitles="1" createdVersion="8" indent="0" outline="1" outlineData="1" multipleFieldFilters="0" chartFormat="1">
  <location ref="C1:D12" firstHeaderRow="1" firstDataRow="1" firstDataCol="1"/>
  <pivotFields count="22">
    <pivotField dataField="1" showAll="0"/>
    <pivotField axis="axisRow" showAll="0" measureFilter="1" sortType="descending">
      <items count="90">
        <item x="85"/>
        <item x="39"/>
        <item x="59"/>
        <item x="55"/>
        <item x="25"/>
        <item x="76"/>
        <item x="15"/>
        <item x="46"/>
        <item x="48"/>
        <item x="66"/>
        <item x="31"/>
        <item x="78"/>
        <item x="10"/>
        <item x="5"/>
        <item x="32"/>
        <item x="72"/>
        <item x="57"/>
        <item x="41"/>
        <item x="58"/>
        <item x="9"/>
        <item x="52"/>
        <item x="68"/>
        <item x="14"/>
        <item x="17"/>
        <item x="86"/>
        <item x="70"/>
        <item x="47"/>
        <item x="60"/>
        <item x="36"/>
        <item x="71"/>
        <item x="79"/>
        <item x="18"/>
        <item x="2"/>
        <item x="8"/>
        <item x="64"/>
        <item x="34"/>
        <item x="42"/>
        <item x="44"/>
        <item x="88"/>
        <item x="53"/>
        <item x="75"/>
        <item x="74"/>
        <item x="26"/>
        <item x="82"/>
        <item x="28"/>
        <item x="67"/>
        <item x="38"/>
        <item x="22"/>
        <item x="80"/>
        <item x="49"/>
        <item x="24"/>
        <item x="77"/>
        <item x="69"/>
        <item x="37"/>
        <item x="11"/>
        <item x="43"/>
        <item x="54"/>
        <item x="50"/>
        <item x="12"/>
        <item x="62"/>
        <item x="21"/>
        <item x="73"/>
        <item x="13"/>
        <item x="30"/>
        <item x="29"/>
        <item x="6"/>
        <item x="27"/>
        <item x="65"/>
        <item x="45"/>
        <item x="56"/>
        <item x="51"/>
        <item x="87"/>
        <item x="20"/>
        <item x="4"/>
        <item x="40"/>
        <item x="84"/>
        <item x="1"/>
        <item x="23"/>
        <item x="33"/>
        <item x="81"/>
        <item x="61"/>
        <item x="3"/>
        <item x="0"/>
        <item x="35"/>
        <item x="16"/>
        <item x="7"/>
        <item x="19"/>
        <item x="83"/>
        <item x="63"/>
        <item t="default"/>
      </items>
      <autoSortScope>
        <pivotArea dataOnly="0" outline="0" fieldPosition="0">
          <references count="1">
            <reference field="4294967294" count="1" selected="0">
              <x v="0"/>
            </reference>
          </references>
        </pivotArea>
      </autoSortScope>
    </pivotField>
    <pivotField showAll="0"/>
    <pivotField numFmtId="14" showAll="0">
      <items count="4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t="default"/>
      </items>
    </pivotField>
    <pivotField numFmtId="14" showAll="0"/>
    <pivotField showAll="0"/>
    <pivotField showAll="0"/>
    <pivotField numFmtId="8" showAll="0"/>
    <pivotField showAll="0"/>
    <pivotField showAll="0"/>
    <pivotField showAll="0"/>
    <pivotField showAll="0"/>
    <pivotField showAll="0"/>
    <pivotField showAll="0">
      <items count="22">
        <item h="1" x="20"/>
        <item h="1" x="6"/>
        <item x="3"/>
        <item x="2"/>
        <item x="16"/>
        <item h="1" x="17"/>
        <item h="1" x="10"/>
        <item h="1" x="0"/>
        <item h="1" x="1"/>
        <item h="1" x="14"/>
        <item h="1" x="11"/>
        <item h="1" x="7"/>
        <item h="1" x="19"/>
        <item h="1" x="18"/>
        <item h="1" x="15"/>
        <item h="1" x="12"/>
        <item h="1" x="9"/>
        <item h="1" x="4"/>
        <item h="1" x="13"/>
        <item h="1" x="8"/>
        <item h="1" x="5"/>
        <item t="default"/>
      </items>
    </pivotField>
    <pivotField showAll="0"/>
    <pivotField showAll="0"/>
    <pivotField showAll="0"/>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 dragToRow="0" dragToCol="0" dragToPage="0" showAll="0"/>
  </pivotFields>
  <rowFields count="1">
    <field x="1"/>
  </rowFields>
  <rowItems count="11">
    <i>
      <x v="9"/>
    </i>
    <i>
      <x v="32"/>
    </i>
    <i>
      <x v="73"/>
    </i>
    <i>
      <x v="59"/>
    </i>
    <i>
      <x v="85"/>
    </i>
    <i>
      <x v="64"/>
    </i>
    <i>
      <x v="48"/>
    </i>
    <i>
      <x v="78"/>
    </i>
    <i>
      <x v="29"/>
    </i>
    <i>
      <x v="14"/>
    </i>
    <i t="grand">
      <x/>
    </i>
  </rowItems>
  <colItems count="1">
    <i/>
  </colItems>
  <dataFields count="1">
    <dataField name="Cuenta de orderI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3" type="dateBetween" evalOrder="-1" id="59" name="orderDate">
      <autoFilter ref="A1">
        <filterColumn colId="0">
          <customFilters and="1">
            <customFilter operator="greaterThanOrEqual" val="35796"/>
            <customFilter operator="lessThanOrEqual" val="36160"/>
          </customFilters>
        </filterColumn>
      </autoFilter>
      <extLst>
        <ext xmlns:x15="http://schemas.microsoft.com/office/spreadsheetml/2010/11/main" uri="{0605FD5F-26C8-4aeb-8148-2DB25E43C511}">
          <x15:pivotFilter useWholeDay="1"/>
        </ext>
      </extLst>
    </filter>
    <filter fld="1"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2C15197-C037-7443-91F6-49B66730D63B}" name="TablaDinámica8" cacheId="52" applyNumberFormats="0" applyBorderFormats="0" applyFontFormats="0" applyPatternFormats="0" applyAlignmentFormats="0" applyWidthHeightFormats="1" dataCaption="Valores" updatedVersion="8" minRefreshableVersion="5" useAutoFormatting="1" itemPrintTitles="1" createdVersion="8" indent="0" outline="1" outlineData="1" multipleFieldFilters="0">
  <location ref="A1:A2" firstHeaderRow="1" firstDataRow="1" firstDataCol="0"/>
  <pivotFields count="22">
    <pivotField dataField="1" showAll="0"/>
    <pivotField showAll="0"/>
    <pivotField showAll="0"/>
    <pivotField numFmtId="14" showAll="0">
      <items count="4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t="default"/>
      </items>
    </pivotField>
    <pivotField numFmtId="14" showAll="0"/>
    <pivotField showAll="0"/>
    <pivotField showAll="0"/>
    <pivotField numFmtId="8" showAll="0"/>
    <pivotField showAll="0"/>
    <pivotField showAll="0"/>
    <pivotField showAll="0"/>
    <pivotField showAll="0"/>
    <pivotField showAll="0"/>
    <pivotField showAll="0">
      <items count="22">
        <item h="1" x="20"/>
        <item h="1" x="6"/>
        <item x="3"/>
        <item x="2"/>
        <item x="16"/>
        <item h="1" x="17"/>
        <item h="1" x="10"/>
        <item h="1" x="0"/>
        <item h="1" x="1"/>
        <item h="1" x="14"/>
        <item h="1" x="11"/>
        <item h="1" x="7"/>
        <item h="1" x="19"/>
        <item h="1" x="18"/>
        <item h="1" x="15"/>
        <item h="1" x="12"/>
        <item h="1" x="9"/>
        <item h="1" x="4"/>
        <item h="1" x="13"/>
        <item h="1" x="8"/>
        <item h="1" x="5"/>
        <item t="default"/>
      </items>
    </pivotField>
    <pivotField showAll="0"/>
    <pivotField showAll="0"/>
    <pivotField showAll="0"/>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 dragToRow="0" dragToCol="0" dragToPage="0" showAll="0"/>
  </pivotFields>
  <rowItems count="1">
    <i/>
  </rowItems>
  <colItems count="1">
    <i/>
  </colItems>
  <dataFields count="1">
    <dataField name="Cuenta de orderID" fld="0" subtotal="count" baseField="0" baseItem="0"/>
  </dataFields>
  <pivotTableStyleInfo name="PivotStyleLight16" showRowHeaders="1" showColHeaders="1" showRowStripes="0" showColStripes="0" showLastColumn="1"/>
  <filters count="1">
    <filter fld="3" type="dateBetween" evalOrder="-1" id="56" name="orderDate">
      <autoFilter ref="A1">
        <filterColumn colId="0">
          <customFilters and="1">
            <customFilter operator="greaterThanOrEqual" val="35796"/>
            <customFilter operator="lessThanOrEqual" val="3616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9AD4B87-36C8-5C46-90D8-0E41485E8B85}" name="TablaDinámica16" cacheId="5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2">
  <location ref="A1:D28" firstHeaderRow="0" firstDataRow="1" firstDataCol="1"/>
  <pivotFields count="8">
    <pivotField axis="axisRow" showAll="0">
      <items count="8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t="default"/>
      </items>
    </pivotField>
    <pivotField dataField="1" showAll="0"/>
    <pivotField dataField="1" showAll="0"/>
    <pivotField dataField="1" showAll="0"/>
    <pivotField numFmtId="14" showAll="0">
      <items count="4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6">
        <item sd="0" x="0"/>
        <item x="1"/>
        <item x="2"/>
        <item x="3"/>
        <item sd="0" x="4"/>
        <item t="default"/>
      </items>
    </pivotField>
  </pivotFields>
  <rowFields count="3">
    <field x="7"/>
    <field x="5"/>
    <field x="0"/>
  </rowFields>
  <rowItems count="27">
    <i>
      <x v="1"/>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t="grand">
      <x/>
    </i>
  </rowItems>
  <colFields count="1">
    <field x="-2"/>
  </colFields>
  <colItems count="3">
    <i>
      <x/>
    </i>
    <i i="1">
      <x v="1"/>
    </i>
    <i i="2">
      <x v="2"/>
    </i>
  </colItems>
  <dataFields count="3">
    <dataField name="Suma de subtotal3" fld="1" baseField="0" baseItem="0"/>
    <dataField name="Suma de subtotal4" fld="2" baseField="0" baseItem="0"/>
    <dataField name="Suma de margen" fld="3" baseField="0" baseItem="0"/>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shipCountry" xr10:uid="{825A4F6C-1895-5E4A-820A-94715BAA1C4A}" sourceName="shipCountry">
  <pivotTables>
    <pivotTable tabId="19" name="TablaDinámica9"/>
    <pivotTable tabId="19" name="TablaDinámica10"/>
    <pivotTable tabId="19" name="TablaDinámica11"/>
    <pivotTable tabId="19" name="TablaDinámica12"/>
    <pivotTable tabId="19" name="TablaDinámica13"/>
    <pivotTable tabId="19" name="TablaDinámica15"/>
    <pivotTable tabId="19" name="TablaDinámica8"/>
  </pivotTables>
  <data>
    <tabular pivotCacheId="55500400">
      <items count="21">
        <i x="20"/>
        <i x="6"/>
        <i x="3" s="1"/>
        <i x="2" s="1"/>
        <i x="16" s="1"/>
        <i x="17"/>
        <i x="10"/>
        <i x="0"/>
        <i x="1"/>
        <i x="14"/>
        <i x="11"/>
        <i x="7"/>
        <i x="19"/>
        <i x="18"/>
        <i x="15"/>
        <i x="12"/>
        <i x="9"/>
        <i x="4"/>
        <i x="13"/>
        <i x="8"/>
        <i x="5"/>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hipCountry" xr10:uid="{BA5B8BE9-D116-6940-8681-39A063AC228E}" cache="SegmentaciónDeDatos_shipCountry" caption="shipCountry"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4EF6A66-C9A5-C649-96DB-C6AF24256653}" name="OrderCosts" displayName="OrderCosts" ref="A1:E831" totalsRowShown="0">
  <autoFilter ref="A1:E831" xr:uid="{D4EF6A66-C9A5-C649-96DB-C6AF24256653}"/>
  <tableColumns count="5">
    <tableColumn id="1" xr3:uid="{09144B92-7836-C441-B9AD-715913F7C5C4}" name="orderID"/>
    <tableColumn id="2" xr3:uid="{2D1EDABC-1188-F146-849F-CF7EFA0833FA}" name="subtotal3"/>
    <tableColumn id="3" xr3:uid="{2BE6E064-E9E9-3146-918D-BF8A109B9AED}" name="subtotal4"/>
    <tableColumn id="4" xr3:uid="{2E646E14-7444-BB40-AB46-85F0C50A9F9F}" name="margen"/>
    <tableColumn id="5" xr3:uid="{587F0F82-5ED9-0D44-A639-0AA01DD554EB}" name="orderDate" dataDxfId="4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DE4148-1626-E34C-AC6F-5AD35B8352E0}" name="Orders" displayName="Orders" ref="A1:Q831" totalsRowShown="0">
  <autoFilter ref="A1:Q831" xr:uid="{01DE4148-1626-E34C-AC6F-5AD35B8352E0}"/>
  <tableColumns count="17">
    <tableColumn id="1" xr3:uid="{AC606588-EB87-2447-9923-A6F19DC06A20}" name="orderID"/>
    <tableColumn id="2" xr3:uid="{DBDA4EB2-3668-B442-ADDF-6BFBF39FDA5F}" name="customerID"/>
    <tableColumn id="3" xr3:uid="{91732B2D-A0B9-3940-A365-96716A622166}" name="employeeID"/>
    <tableColumn id="4" xr3:uid="{253D8D88-F5D0-B843-A6C0-3A1CA4E32BBB}" name="orderDate" dataDxfId="81"/>
    <tableColumn id="5" xr3:uid="{F06AB0D2-586E-B147-A15C-8AB3FE525FEA}" name="requiredDate" dataDxfId="80"/>
    <tableColumn id="6" xr3:uid="{3F6DBB83-A543-E947-889C-63F99B539F22}" name="shippedDate"/>
    <tableColumn id="7" xr3:uid="{22F6953C-2BE1-6040-A690-BF807CA337F4}" name="shipVia"/>
    <tableColumn id="8" xr3:uid="{F6A54CE5-6596-624D-9610-DFC740D4A37A}" name=" freight " dataDxfId="79"/>
    <tableColumn id="9" xr3:uid="{6BEA80D4-9C5B-2C4D-AB94-74D0C7CF0DDA}" name="shipName"/>
    <tableColumn id="10" xr3:uid="{888D6FAD-C0F2-DF49-944D-4B759FE0CD8B}" name="shipAddress"/>
    <tableColumn id="11" xr3:uid="{94949D8D-3F30-AF46-B312-C44259C78825}" name="shipCity"/>
    <tableColumn id="12" xr3:uid="{0E383982-33DA-944A-97BD-945A8223C510}" name="shipRegion"/>
    <tableColumn id="13" xr3:uid="{E6615C95-7811-AA4B-81C0-79E8654FA00C}" name="shipPostalCode"/>
    <tableColumn id="14" xr3:uid="{51B25212-8835-8549-9F45-C9208940156A}" name="shipCountry"/>
    <tableColumn id="15" xr3:uid="{C2C05F39-204D-4148-9F64-A06BB7AAFEA1}" name="diasEspera" dataDxfId="70">
      <calculatedColumnFormula>Orders[[#This Row],[requiredDate]]-Orders[[#This Row],[orderDate]]</calculatedColumnFormula>
    </tableColumn>
    <tableColumn id="16" xr3:uid="{6E008E42-0BFB-5442-86CC-47AF6D831814}" name="diasEnvio" dataDxfId="69">
      <calculatedColumnFormula>Orders[[#This Row],[shippedDate]]-Orders[[#This Row],[orderDate]]</calculatedColumnFormula>
    </tableColumn>
    <tableColumn id="17" xr3:uid="{199F365A-934E-A443-98C9-5457314DC68A}" name="diasAdelento" dataDxfId="68">
      <calculatedColumnFormula>Orders[[#This Row],[requiredDate]]-Orders[[#This Row],[shippedDate]]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9A8104-47A0-3549-A6EA-688E2F69E2D4}" name="OrderDetails" displayName="OrderDetails" ref="A1:E2156" totalsRowShown="0">
  <autoFilter ref="A1:E2156" xr:uid="{4B9A8104-47A0-3549-A6EA-688E2F69E2D4}"/>
  <tableColumns count="5">
    <tableColumn id="1" xr3:uid="{5503C426-1310-5F48-99E0-924ED9BDF465}" name="orderID"/>
    <tableColumn id="2" xr3:uid="{D574601C-0783-DF4E-922A-8E5B15E0BFF6}" name="productID"/>
    <tableColumn id="3" xr3:uid="{A870784C-B265-A34C-91F9-8B296B9FAF46}" name=" unitPrice " dataDxfId="78"/>
    <tableColumn id="4" xr3:uid="{9D6178BA-4142-6A4A-A09F-27295B4FD8EF}" name=" quantity " dataDxfId="77"/>
    <tableColumn id="5" xr3:uid="{04389240-CF3B-664E-92B7-49E1D32B23C5}" name="discount" dataDxfId="7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3CAEE7B-B596-A849-B27D-829AA049AD57}" name="Products" displayName="Products" ref="A1:J78" totalsRowShown="0">
  <autoFilter ref="A1:J78" xr:uid="{B3CAEE7B-B596-A849-B27D-829AA049AD57}"/>
  <tableColumns count="10">
    <tableColumn id="1" xr3:uid="{539699D0-3162-6C48-95D6-CEB58C2F2DBB}" name="productID"/>
    <tableColumn id="2" xr3:uid="{9605F830-0EBA-1F42-8F2C-2EF709CCC57D}" name="productName"/>
    <tableColumn id="3" xr3:uid="{8525126F-1EA8-BC4F-B7FD-F894DD7D30EF}" name="supplierID"/>
    <tableColumn id="4" xr3:uid="{2DF1A90A-CACD-A648-888B-DC7CD0D35111}" name="categoryID"/>
    <tableColumn id="5" xr3:uid="{014E278A-F30B-F24C-8DF3-D763C708A073}" name="quantityPerUnit"/>
    <tableColumn id="6" xr3:uid="{90281F2B-6A6A-2945-A9CB-124E1E479512}" name=" unitPrice " dataDxfId="75"/>
    <tableColumn id="7" xr3:uid="{5280AEE9-AEC3-5247-98EC-424F729A6660}" name="unitsInStock"/>
    <tableColumn id="8" xr3:uid="{31026C30-4E09-524C-9E28-B31ED11EF0EB}" name="unitsOnOrder"/>
    <tableColumn id="9" xr3:uid="{B6E2E17F-8ADD-FF43-B25E-64D18717D003}" name="reorderLevel"/>
    <tableColumn id="10" xr3:uid="{5D7380AC-3701-0441-8F1F-956EC667582B}" name="discontinue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8EA171D-C9E4-AE4D-8C88-2A24AB206F9E}" name="Customers" displayName="Customers" ref="A1:K92" totalsRowShown="0">
  <autoFilter ref="A1:K92" xr:uid="{B8EA171D-C9E4-AE4D-8C88-2A24AB206F9E}"/>
  <tableColumns count="11">
    <tableColumn id="1" xr3:uid="{2AFEBCDA-EF5C-1046-97ED-A13C10B20C19}" name="customerID"/>
    <tableColumn id="2" xr3:uid="{6BF36C69-6265-5B49-A1D0-01393E1B6B07}" name="companyName"/>
    <tableColumn id="3" xr3:uid="{96AD9265-8F79-4A45-8407-9168B1DFBB0F}" name="contactName"/>
    <tableColumn id="4" xr3:uid="{D9DA7AEB-D97D-1047-AF63-368DB43C7F5C}" name="contactTitle"/>
    <tableColumn id="5" xr3:uid="{986F630D-102C-B04C-8741-AF805F0A1FE0}" name="address"/>
    <tableColumn id="6" xr3:uid="{20AD1CFF-6316-CA46-987C-D5CC8D81C203}" name="city"/>
    <tableColumn id="7" xr3:uid="{EDC1ED0F-B869-8A41-AD37-34A483710641}" name="region"/>
    <tableColumn id="8" xr3:uid="{13E7361D-EC6E-584C-A3BF-48E5841F124D}" name="postalCode"/>
    <tableColumn id="9" xr3:uid="{60C5DDE9-E93B-F946-8640-984CFCC09647}" name="country"/>
    <tableColumn id="10" xr3:uid="{AE5806A0-8B62-194D-81F2-A848F1DCFEEF}" name="phone"/>
    <tableColumn id="11" xr3:uid="{36EC5AEF-D072-644E-B9BA-E8B40A7BB860}" name="fax"/>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81A1B7A-6C2A-3B47-90CF-FBC3DC477C8E}" name="Employee" displayName="Employee" ref="A1:AA10" totalsRowShown="0">
  <autoFilter ref="A1:AA10" xr:uid="{181A1B7A-6C2A-3B47-90CF-FBC3DC477C8E}"/>
  <tableColumns count="27">
    <tableColumn id="1" xr3:uid="{02A4BD53-4E9D-3F43-952A-F6A6CBB6EC5B}" name="employeeID"/>
    <tableColumn id="2" xr3:uid="{9AEEAC0B-7BAD-A244-9284-98AE188BCF7C}" name="lastName"/>
    <tableColumn id="3" xr3:uid="{55BA252E-1779-C74A-90C5-001742048CFA}" name="firstName"/>
    <tableColumn id="4" xr3:uid="{A66B32EF-8514-004F-9210-919E03CD7473}" name="title"/>
    <tableColumn id="5" xr3:uid="{73111BAD-E380-BE44-9994-1779C086767B}" name="titleOfCourtesy"/>
    <tableColumn id="6" xr3:uid="{8B2E0906-E2A2-9844-98AB-FD12DF579C56}" name="birthDate" dataDxfId="74"/>
    <tableColumn id="7" xr3:uid="{3F7BBA44-BCF3-484C-A815-F225AF8518DE}" name="hireDate" dataDxfId="73"/>
    <tableColumn id="8" xr3:uid="{27FAA954-06FA-2D45-8B99-9C690A42EC6C}" name="address"/>
    <tableColumn id="9" xr3:uid="{6A053701-A453-694F-B637-AEE830EC93B2}" name="city"/>
    <tableColumn id="10" xr3:uid="{140F076A-9F1C-1746-BFCB-4D30522309E6}" name="region"/>
    <tableColumn id="11" xr3:uid="{90D1FA18-98EB-484A-AF2E-B98B711D21F6}" name="postalCode"/>
    <tableColumn id="12" xr3:uid="{59B551B5-C182-7B4B-8470-ED5283C9E6EB}" name="country"/>
    <tableColumn id="13" xr3:uid="{56871C9D-F327-5C4E-B683-ADECF1EF6C43}" name="homePhone"/>
    <tableColumn id="14" xr3:uid="{AE437C50-AA18-8646-BEDC-01F18D9215A0}" name="extension"/>
    <tableColumn id="15" xr3:uid="{F69F52FF-9EF0-A646-A413-342A4886DA64}" name="notes"/>
    <tableColumn id="16" xr3:uid="{A96C9EF9-1D04-0D4A-8B5B-CCEB2FC72948}" name="reportsTo"/>
    <tableColumn id="17" xr3:uid="{87484999-EEEE-B741-B079-0F3CF4685F84}" name="photoPath"/>
    <tableColumn id="18" xr3:uid="{F3720EDC-597A-0947-ABE6-FC4945D4BE8F}" name="education"/>
    <tableColumn id="19" xr3:uid="{4B73AAB4-C878-D942-A7CB-2ABE77C2DC87}" name="educationDegree"/>
    <tableColumn id="20" xr3:uid="{D12057DD-FEC8-E744-A618-B0CE7EB25B31}" name="educationMode"/>
    <tableColumn id="21" xr3:uid="{BB87356F-EDFA-3F46-9ACE-E32DEE0F097D}" name="specialization"/>
    <tableColumn id="22" xr3:uid="{741E398E-F8B2-0B4B-963C-438083CAEAFE}" name="educationType"/>
    <tableColumn id="23" xr3:uid="{2AAF4216-73FF-0A4B-AE8F-FC986A6EBBB5}" name="educationExtra"/>
    <tableColumn id="24" xr3:uid="{8716ED65-2CFD-2C41-8608-3F5AE82DABFC}" name="french"/>
    <tableColumn id="25" xr3:uid="{053EA7BB-D37D-0E42-BA2C-B4310FE6F247}" name="german"/>
    <tableColumn id="26" xr3:uid="{CE79536E-53FA-2343-A902-1DE6A87ABF8C}" name="international"/>
    <tableColumn id="27" xr3:uid="{F24C7439-5835-B344-B616-7999AE521853}" name="languageDomai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BA04F54-43FC-FF49-A7DD-7A89A6D74383}" name="Shippers" displayName="Shippers" ref="A1:C4" totalsRowShown="0">
  <autoFilter ref="A1:C4" xr:uid="{8BA04F54-43FC-FF49-A7DD-7A89A6D74383}"/>
  <tableColumns count="3">
    <tableColumn id="1" xr3:uid="{FA48A6D0-37EC-F343-84E6-4FDA7F68B4B8}" name="shipperID"/>
    <tableColumn id="2" xr3:uid="{355FA750-DF2F-AF42-8B39-F37B631078B6}" name="companyName"/>
    <tableColumn id="3" xr3:uid="{C4ACB168-A578-EA4A-881B-0D42D8CFE184}" name="phone"/>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323FD17-DBDE-8C4F-80DB-2CFFA97AE04E}" name="Suppliers" displayName="Suppliers" ref="A1:K30" totalsRowShown="0">
  <autoFilter ref="A1:K30" xr:uid="{F323FD17-DBDE-8C4F-80DB-2CFFA97AE04E}"/>
  <tableColumns count="11">
    <tableColumn id="1" xr3:uid="{0EAC8A43-6EB4-F74E-9261-9AADF1B62BC6}" name="supplierID"/>
    <tableColumn id="2" xr3:uid="{5DB5BC99-0144-5446-A1CC-85FA24818E9F}" name="companyName"/>
    <tableColumn id="3" xr3:uid="{77AE45A1-B864-7D45-9D47-C6A110D67316}" name="contactName"/>
    <tableColumn id="4" xr3:uid="{8C63DCD7-CAED-5347-B91F-AA1EEF57C7B0}" name="contactTitle"/>
    <tableColumn id="5" xr3:uid="{AFFF9C46-F3B7-7D46-B663-36AD08879C5B}" name="address"/>
    <tableColumn id="6" xr3:uid="{2C63F34A-78CE-B84E-AEBD-F107B8F9F545}" name="city"/>
    <tableColumn id="7" xr3:uid="{8DE20F92-C607-7049-B59C-C066C53F4D2B}" name="region"/>
    <tableColumn id="8" xr3:uid="{BC72BB46-CC9F-3741-912E-41711F6CA697}" name="postalCode"/>
    <tableColumn id="9" xr3:uid="{BCB9B7A3-898A-154E-801E-7B226DBF28A5}" name="country"/>
    <tableColumn id="10" xr3:uid="{4734B212-2B47-974E-AF01-5244B03946C0}" name="phone"/>
    <tableColumn id="11" xr3:uid="{B1805CC4-08B9-564E-8F79-031000BFB447}" name="fax"/>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7190DB6-209D-1949-B887-CE01A038A2EA}" name="Cetegory" displayName="Cetegory" ref="A1:C9" totalsRowShown="0">
  <autoFilter ref="A1:C9" xr:uid="{07190DB6-209D-1949-B887-CE01A038A2EA}"/>
  <tableColumns count="3">
    <tableColumn id="1" xr3:uid="{96E112A1-2A82-934D-8D61-7012BF446307}" name="categoryID"/>
    <tableColumn id="2" xr3:uid="{7A293848-D381-7A47-B5F3-AADFADB52C3D}" name="categoryName"/>
    <tableColumn id="3" xr3:uid="{A306D78D-0E1D-B348-B751-7E3C69CB301D}" name="descriptio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Date" xr10:uid="{04919862-14DF-204E-AF7D-B6B7215B5745}" sourceName="orderDate">
  <pivotTables>
    <pivotTable tabId="19" name="TablaDinámica9"/>
    <pivotTable tabId="19" name="TablaDinámica10"/>
    <pivotTable tabId="19" name="TablaDinámica11"/>
    <pivotTable tabId="19" name="TablaDinámica12"/>
    <pivotTable tabId="19" name="TablaDinámica13"/>
    <pivotTable tabId="19" name="TablaDinámica15"/>
    <pivotTable tabId="19" name="TablaDinámica8"/>
  </pivotTables>
  <state minimalRefreshVersion="6" lastRefreshVersion="6" pivotCacheId="55500400" filterType="dateBetween">
    <selection startDate="1998-01-01T00:00:00" endDate="1998-12-31T00:00:00"/>
    <bounds startDate="1996-01-01T00:00:00" endDate="1999-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Date" xr10:uid="{74A8E85C-E769-5340-9C3F-A0742D90C2D4}" cache="NativeTimeline_orderDate" caption="orderDate" level="0" selectionLevel="0" scrollPosition="1996-01-01T00:00:00"/>
</timeline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microsoft.com/office/2011/relationships/timeline" Target="../timelines/timeline1.xml"/><Relationship Id="rId4" Type="http://schemas.openxmlformats.org/officeDocument/2006/relationships/pivotTable" Target="../pivotTables/pivotTable4.xml"/><Relationship Id="rId9" Type="http://schemas.microsoft.com/office/2007/relationships/slicer" Target="../slicers/slicer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AD248-91A9-264B-99CF-2ED62CED1D79}">
  <sheetPr codeName="Hoja1"/>
  <dimension ref="A1"/>
  <sheetViews>
    <sheetView zoomScale="178" workbookViewId="0">
      <selection activeCell="J4" sqref="J4"/>
    </sheetView>
  </sheetViews>
  <sheetFormatPr baseColWidth="10" defaultRowHeight="16" x14ac:dyDescent="0.2"/>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6CF3C-6E0E-EC47-B446-7A607E55D451}">
  <sheetPr codeName="Hoja2"/>
  <dimension ref="A1:G92"/>
  <sheetViews>
    <sheetView zoomScale="180" workbookViewId="0">
      <selection activeCell="F8" sqref="F8"/>
    </sheetView>
  </sheetViews>
  <sheetFormatPr baseColWidth="10" defaultRowHeight="16" x14ac:dyDescent="0.2"/>
  <cols>
    <col min="2" max="2" width="9.33203125" hidden="1" customWidth="1"/>
    <col min="3" max="3" width="15.1640625" bestFit="1" customWidth="1"/>
    <col min="4" max="4" width="10" bestFit="1" customWidth="1"/>
    <col min="5" max="5" width="8.83203125" bestFit="1" customWidth="1"/>
    <col min="6" max="6" width="40" bestFit="1" customWidth="1"/>
    <col min="7" max="7" width="9.5" bestFit="1" customWidth="1"/>
  </cols>
  <sheetData>
    <row r="1" spans="1:7" x14ac:dyDescent="0.2">
      <c r="A1" s="5" t="s">
        <v>1162</v>
      </c>
      <c r="B1" s="5" t="s">
        <v>1163</v>
      </c>
      <c r="C1" s="5" t="s">
        <v>1164</v>
      </c>
      <c r="D1" s="5" t="s">
        <v>1165</v>
      </c>
      <c r="E1" s="5" t="s">
        <v>1166</v>
      </c>
      <c r="F1" s="5" t="s">
        <v>1167</v>
      </c>
      <c r="G1" s="5" t="s">
        <v>1168</v>
      </c>
    </row>
    <row r="2" spans="1:7" x14ac:dyDescent="0.2">
      <c r="A2" s="39" t="s">
        <v>1169</v>
      </c>
      <c r="B2" t="s">
        <v>1170</v>
      </c>
      <c r="C2" t="s">
        <v>0</v>
      </c>
      <c r="D2" t="s">
        <v>230</v>
      </c>
      <c r="E2">
        <v>0</v>
      </c>
      <c r="F2" t="s">
        <v>1171</v>
      </c>
      <c r="G2">
        <v>1</v>
      </c>
    </row>
    <row r="3" spans="1:7" x14ac:dyDescent="0.2">
      <c r="A3" s="40"/>
      <c r="B3" t="s">
        <v>1172</v>
      </c>
      <c r="C3" t="s">
        <v>1</v>
      </c>
      <c r="D3" t="s">
        <v>230</v>
      </c>
      <c r="E3">
        <v>0</v>
      </c>
      <c r="F3" t="s">
        <v>1173</v>
      </c>
      <c r="G3">
        <v>1</v>
      </c>
    </row>
    <row r="4" spans="1:7" x14ac:dyDescent="0.2">
      <c r="A4" s="40"/>
      <c r="B4" t="s">
        <v>1174</v>
      </c>
      <c r="C4" t="s">
        <v>2</v>
      </c>
      <c r="D4" t="s">
        <v>230</v>
      </c>
      <c r="E4">
        <v>0</v>
      </c>
      <c r="F4" t="s">
        <v>1175</v>
      </c>
      <c r="G4">
        <v>1</v>
      </c>
    </row>
    <row r="5" spans="1:7" x14ac:dyDescent="0.2">
      <c r="A5" s="40"/>
      <c r="B5" t="s">
        <v>1176</v>
      </c>
      <c r="C5" t="s">
        <v>3</v>
      </c>
      <c r="D5" t="s">
        <v>1177</v>
      </c>
      <c r="E5">
        <v>0</v>
      </c>
      <c r="F5" t="s">
        <v>1178</v>
      </c>
      <c r="G5">
        <v>1</v>
      </c>
    </row>
    <row r="6" spans="1:7" x14ac:dyDescent="0.2">
      <c r="A6" s="40"/>
      <c r="B6" t="s">
        <v>1179</v>
      </c>
      <c r="C6" t="s">
        <v>4</v>
      </c>
      <c r="D6" t="s">
        <v>1177</v>
      </c>
      <c r="E6">
        <v>0</v>
      </c>
      <c r="F6" t="s">
        <v>1180</v>
      </c>
      <c r="G6">
        <v>1</v>
      </c>
    </row>
    <row r="7" spans="1:7" x14ac:dyDescent="0.2">
      <c r="A7" s="40"/>
      <c r="B7" t="s">
        <v>1181</v>
      </c>
      <c r="C7" t="s">
        <v>5</v>
      </c>
      <c r="D7" t="s">
        <v>1177</v>
      </c>
      <c r="E7">
        <v>21</v>
      </c>
      <c r="F7" t="s">
        <v>1182</v>
      </c>
      <c r="G7">
        <v>1</v>
      </c>
    </row>
    <row r="8" spans="1:7" x14ac:dyDescent="0.2">
      <c r="A8" s="40"/>
      <c r="B8" t="s">
        <v>1183</v>
      </c>
      <c r="C8" t="s">
        <v>6</v>
      </c>
      <c r="D8" t="s">
        <v>230</v>
      </c>
      <c r="E8">
        <v>0</v>
      </c>
      <c r="F8" t="s">
        <v>1184</v>
      </c>
      <c r="G8">
        <v>1</v>
      </c>
    </row>
    <row r="9" spans="1:7" x14ac:dyDescent="0.2">
      <c r="A9" s="40"/>
      <c r="B9" t="s">
        <v>1185</v>
      </c>
      <c r="C9" t="s">
        <v>7</v>
      </c>
      <c r="D9" t="s">
        <v>1186</v>
      </c>
      <c r="E9">
        <v>0</v>
      </c>
      <c r="F9" t="s">
        <v>1187</v>
      </c>
      <c r="G9">
        <v>1</v>
      </c>
    </row>
    <row r="10" spans="1:7" x14ac:dyDescent="0.2">
      <c r="A10" s="40"/>
      <c r="B10" t="s">
        <v>1188</v>
      </c>
      <c r="C10" s="7" t="s">
        <v>8</v>
      </c>
      <c r="D10" s="7" t="s">
        <v>1189</v>
      </c>
      <c r="E10" s="7">
        <v>0</v>
      </c>
      <c r="F10" s="7" t="s">
        <v>1190</v>
      </c>
      <c r="G10" s="7">
        <v>0</v>
      </c>
    </row>
    <row r="11" spans="1:7" x14ac:dyDescent="0.2">
      <c r="A11" s="40"/>
      <c r="B11" t="s">
        <v>1191</v>
      </c>
      <c r="C11" s="7" t="s">
        <v>9</v>
      </c>
      <c r="D11" s="7" t="s">
        <v>1189</v>
      </c>
      <c r="E11" s="7">
        <v>0</v>
      </c>
      <c r="F11" s="7" t="s">
        <v>1192</v>
      </c>
      <c r="G11" s="7">
        <v>0</v>
      </c>
    </row>
    <row r="12" spans="1:7" x14ac:dyDescent="0.2">
      <c r="A12" s="40"/>
      <c r="B12" t="s">
        <v>1193</v>
      </c>
      <c r="C12" t="s">
        <v>10</v>
      </c>
      <c r="D12" t="s">
        <v>1194</v>
      </c>
      <c r="E12">
        <v>0</v>
      </c>
      <c r="F12" t="s">
        <v>1195</v>
      </c>
      <c r="G12">
        <v>1</v>
      </c>
    </row>
    <row r="13" spans="1:7" x14ac:dyDescent="0.2">
      <c r="A13" s="40"/>
      <c r="B13" t="s">
        <v>1196</v>
      </c>
      <c r="C13" s="7" t="s">
        <v>11</v>
      </c>
      <c r="D13" s="7" t="s">
        <v>1194</v>
      </c>
      <c r="E13" s="7">
        <v>507</v>
      </c>
      <c r="F13" s="7" t="s">
        <v>1197</v>
      </c>
      <c r="G13" s="7">
        <v>0</v>
      </c>
    </row>
    <row r="14" spans="1:7" x14ac:dyDescent="0.2">
      <c r="A14" s="40"/>
      <c r="B14" t="s">
        <v>1198</v>
      </c>
      <c r="C14" s="7" t="s">
        <v>12</v>
      </c>
      <c r="D14" s="7" t="s">
        <v>1189</v>
      </c>
      <c r="E14" s="7">
        <v>19</v>
      </c>
      <c r="F14" s="7" t="s">
        <v>1199</v>
      </c>
      <c r="G14" s="7">
        <v>0</v>
      </c>
    </row>
    <row r="15" spans="1:7" x14ac:dyDescent="0.2">
      <c r="A15" s="41"/>
      <c r="B15" s="4" t="s">
        <v>1200</v>
      </c>
      <c r="C15" s="4" t="s">
        <v>13</v>
      </c>
      <c r="D15" s="4" t="s">
        <v>1194</v>
      </c>
      <c r="E15" s="4">
        <v>0</v>
      </c>
      <c r="F15" s="4" t="s">
        <v>1201</v>
      </c>
      <c r="G15" s="4">
        <v>1</v>
      </c>
    </row>
    <row r="16" spans="1:7" x14ac:dyDescent="0.2">
      <c r="A16" s="42" t="s">
        <v>1202</v>
      </c>
      <c r="B16" s="6" t="s">
        <v>1203</v>
      </c>
      <c r="C16" s="6" t="s">
        <v>0</v>
      </c>
      <c r="D16" s="6" t="s">
        <v>230</v>
      </c>
      <c r="E16" s="6">
        <v>0</v>
      </c>
      <c r="F16" s="6" t="s">
        <v>1171</v>
      </c>
      <c r="G16" s="6">
        <v>1</v>
      </c>
    </row>
    <row r="17" spans="1:7" x14ac:dyDescent="0.2">
      <c r="A17" s="43"/>
      <c r="B17" t="s">
        <v>1204</v>
      </c>
      <c r="C17" t="s">
        <v>417</v>
      </c>
      <c r="D17" t="s">
        <v>230</v>
      </c>
      <c r="E17">
        <v>0</v>
      </c>
      <c r="F17" t="s">
        <v>1205</v>
      </c>
      <c r="G17">
        <v>1</v>
      </c>
    </row>
    <row r="18" spans="1:7" x14ac:dyDescent="0.2">
      <c r="A18" s="43"/>
      <c r="B18" t="s">
        <v>1206</v>
      </c>
      <c r="C18" t="s">
        <v>418</v>
      </c>
      <c r="D18" t="s">
        <v>1186</v>
      </c>
      <c r="E18">
        <v>0</v>
      </c>
      <c r="F18" t="s">
        <v>1207</v>
      </c>
      <c r="G18">
        <v>1</v>
      </c>
    </row>
    <row r="19" spans="1:7" x14ac:dyDescent="0.2">
      <c r="A19" s="43"/>
      <c r="B19" t="s">
        <v>1208</v>
      </c>
      <c r="C19" t="s">
        <v>419</v>
      </c>
      <c r="D19" t="s">
        <v>1209</v>
      </c>
      <c r="E19">
        <v>0</v>
      </c>
      <c r="F19" t="s">
        <v>1210</v>
      </c>
      <c r="G19">
        <v>1</v>
      </c>
    </row>
    <row r="20" spans="1:7" x14ac:dyDescent="0.2">
      <c r="A20" s="44"/>
      <c r="B20" s="4" t="s">
        <v>1211</v>
      </c>
      <c r="C20" s="4" t="s">
        <v>420</v>
      </c>
      <c r="D20" s="4" t="s">
        <v>1212</v>
      </c>
      <c r="E20" s="4">
        <v>0</v>
      </c>
      <c r="F20" s="4" t="s">
        <v>1213</v>
      </c>
      <c r="G20" s="4">
        <v>1</v>
      </c>
    </row>
    <row r="21" spans="1:7" x14ac:dyDescent="0.2">
      <c r="A21" s="45" t="s">
        <v>1214</v>
      </c>
      <c r="B21" s="6" t="s">
        <v>1215</v>
      </c>
      <c r="C21" s="6" t="s">
        <v>1</v>
      </c>
      <c r="D21" s="6" t="s">
        <v>230</v>
      </c>
      <c r="E21" s="6">
        <v>0</v>
      </c>
      <c r="F21" s="6" t="s">
        <v>1173</v>
      </c>
      <c r="G21" s="6">
        <v>1</v>
      </c>
    </row>
    <row r="22" spans="1:7" x14ac:dyDescent="0.2">
      <c r="A22" s="46"/>
      <c r="B22" t="s">
        <v>1216</v>
      </c>
      <c r="C22" t="s">
        <v>421</v>
      </c>
      <c r="D22" t="s">
        <v>1189</v>
      </c>
      <c r="E22">
        <v>0</v>
      </c>
      <c r="F22" t="s">
        <v>1217</v>
      </c>
      <c r="G22">
        <v>0</v>
      </c>
    </row>
    <row r="23" spans="1:7" x14ac:dyDescent="0.2">
      <c r="A23" s="46"/>
      <c r="B23" t="s">
        <v>1218</v>
      </c>
      <c r="C23" t="s">
        <v>422</v>
      </c>
      <c r="D23" t="s">
        <v>1189</v>
      </c>
      <c r="E23">
        <v>0</v>
      </c>
      <c r="F23" t="s">
        <v>1219</v>
      </c>
      <c r="G23">
        <v>0</v>
      </c>
    </row>
    <row r="24" spans="1:7" x14ac:dyDescent="0.2">
      <c r="A24" s="46"/>
      <c r="B24" t="s">
        <v>1220</v>
      </c>
      <c r="C24" t="s">
        <v>423</v>
      </c>
      <c r="D24" t="s">
        <v>1194</v>
      </c>
      <c r="E24">
        <v>0</v>
      </c>
      <c r="F24" t="s">
        <v>1221</v>
      </c>
      <c r="G24">
        <v>1</v>
      </c>
    </row>
    <row r="25" spans="1:7" x14ac:dyDescent="0.2">
      <c r="A25" s="46"/>
      <c r="B25" t="s">
        <v>1222</v>
      </c>
      <c r="C25" s="7" t="s">
        <v>424</v>
      </c>
      <c r="D25" s="7" t="s">
        <v>1189</v>
      </c>
      <c r="E25" s="7">
        <v>0</v>
      </c>
      <c r="F25" s="7" t="s">
        <v>1223</v>
      </c>
      <c r="G25" s="7">
        <v>0</v>
      </c>
    </row>
    <row r="26" spans="1:7" x14ac:dyDescent="0.2">
      <c r="A26" s="46"/>
      <c r="B26" t="s">
        <v>1224</v>
      </c>
      <c r="C26" t="s">
        <v>425</v>
      </c>
      <c r="D26" t="s">
        <v>1194</v>
      </c>
      <c r="E26">
        <v>0</v>
      </c>
      <c r="F26" t="s">
        <v>1225</v>
      </c>
      <c r="G26">
        <v>1</v>
      </c>
    </row>
    <row r="27" spans="1:7" x14ac:dyDescent="0.2">
      <c r="A27" s="46"/>
      <c r="B27" t="s">
        <v>1226</v>
      </c>
      <c r="C27" s="7" t="s">
        <v>426</v>
      </c>
      <c r="D27" s="7" t="s">
        <v>1194</v>
      </c>
      <c r="E27" s="7">
        <v>60</v>
      </c>
      <c r="F27" s="7" t="s">
        <v>1227</v>
      </c>
      <c r="G27" s="7">
        <v>0</v>
      </c>
    </row>
    <row r="28" spans="1:7" x14ac:dyDescent="0.2">
      <c r="A28" s="46"/>
      <c r="B28" t="s">
        <v>1228</v>
      </c>
      <c r="C28" s="7" t="s">
        <v>427</v>
      </c>
      <c r="D28" s="7" t="s">
        <v>1189</v>
      </c>
      <c r="E28" s="7">
        <v>1</v>
      </c>
      <c r="F28" s="7" t="s">
        <v>1229</v>
      </c>
      <c r="G28" s="7">
        <v>0</v>
      </c>
    </row>
    <row r="29" spans="1:7" x14ac:dyDescent="0.2">
      <c r="A29" s="46"/>
      <c r="B29" t="s">
        <v>1230</v>
      </c>
      <c r="C29" t="s">
        <v>428</v>
      </c>
      <c r="D29" t="s">
        <v>1194</v>
      </c>
      <c r="E29">
        <v>0</v>
      </c>
      <c r="F29" t="s">
        <v>1231</v>
      </c>
      <c r="G29">
        <v>1</v>
      </c>
    </row>
    <row r="30" spans="1:7" x14ac:dyDescent="0.2">
      <c r="A30" s="46"/>
      <c r="B30" t="s">
        <v>1232</v>
      </c>
      <c r="C30" s="7" t="s">
        <v>429</v>
      </c>
      <c r="D30" s="7" t="s">
        <v>1189</v>
      </c>
      <c r="E30" s="7">
        <v>0</v>
      </c>
      <c r="F30" s="7" t="s">
        <v>1233</v>
      </c>
      <c r="G30" s="7">
        <v>0</v>
      </c>
    </row>
    <row r="31" spans="1:7" x14ac:dyDescent="0.2">
      <c r="A31" s="47"/>
      <c r="B31" s="4" t="s">
        <v>1234</v>
      </c>
      <c r="C31" s="8" t="s">
        <v>430</v>
      </c>
      <c r="D31" s="8" t="s">
        <v>1189</v>
      </c>
      <c r="E31" s="8">
        <v>22</v>
      </c>
      <c r="F31" s="8" t="s">
        <v>1235</v>
      </c>
      <c r="G31" s="8">
        <v>0</v>
      </c>
    </row>
    <row r="32" spans="1:7" x14ac:dyDescent="0.2">
      <c r="A32" s="48" t="s">
        <v>1236</v>
      </c>
      <c r="B32" s="6" t="s">
        <v>1237</v>
      </c>
      <c r="C32" s="6" t="s">
        <v>2</v>
      </c>
      <c r="D32" s="6" t="s">
        <v>230</v>
      </c>
      <c r="E32" s="6">
        <v>0</v>
      </c>
      <c r="F32" s="6" t="s">
        <v>1175</v>
      </c>
      <c r="G32" s="6">
        <v>1</v>
      </c>
    </row>
    <row r="33" spans="1:7" x14ac:dyDescent="0.2">
      <c r="A33" s="49"/>
      <c r="B33" t="s">
        <v>1238</v>
      </c>
      <c r="C33" s="7" t="s">
        <v>707</v>
      </c>
      <c r="D33" s="7" t="s">
        <v>1189</v>
      </c>
      <c r="E33" s="7">
        <v>0</v>
      </c>
      <c r="F33" s="7" t="s">
        <v>1239</v>
      </c>
      <c r="G33" s="7">
        <v>0</v>
      </c>
    </row>
    <row r="34" spans="1:7" x14ac:dyDescent="0.2">
      <c r="A34" s="49"/>
      <c r="B34" t="s">
        <v>1240</v>
      </c>
      <c r="C34" s="7" t="s">
        <v>708</v>
      </c>
      <c r="D34" s="7" t="s">
        <v>1189</v>
      </c>
      <c r="E34" s="7">
        <v>0</v>
      </c>
      <c r="F34" s="7" t="s">
        <v>1241</v>
      </c>
      <c r="G34" s="7">
        <v>0</v>
      </c>
    </row>
    <row r="35" spans="1:7" x14ac:dyDescent="0.2">
      <c r="A35" s="49"/>
      <c r="B35" t="s">
        <v>1242</v>
      </c>
      <c r="C35" t="s">
        <v>709</v>
      </c>
      <c r="D35" t="s">
        <v>1194</v>
      </c>
      <c r="E35">
        <v>0</v>
      </c>
      <c r="F35" t="s">
        <v>1243</v>
      </c>
      <c r="G35">
        <v>1</v>
      </c>
    </row>
    <row r="36" spans="1:7" x14ac:dyDescent="0.2">
      <c r="A36" s="49"/>
      <c r="B36" t="s">
        <v>1244</v>
      </c>
      <c r="C36" t="s">
        <v>710</v>
      </c>
      <c r="D36" t="s">
        <v>1194</v>
      </c>
      <c r="E36">
        <v>0</v>
      </c>
      <c r="F36" t="s">
        <v>1245</v>
      </c>
      <c r="G36">
        <v>1</v>
      </c>
    </row>
    <row r="37" spans="1:7" x14ac:dyDescent="0.2">
      <c r="A37" s="49"/>
      <c r="B37" t="s">
        <v>1246</v>
      </c>
      <c r="C37" t="s">
        <v>711</v>
      </c>
      <c r="D37" t="s">
        <v>1177</v>
      </c>
      <c r="E37">
        <v>0</v>
      </c>
      <c r="F37" t="s">
        <v>1247</v>
      </c>
      <c r="G37">
        <v>1</v>
      </c>
    </row>
    <row r="38" spans="1:7" x14ac:dyDescent="0.2">
      <c r="A38" s="49"/>
      <c r="B38" t="s">
        <v>1248</v>
      </c>
      <c r="C38" t="s">
        <v>712</v>
      </c>
      <c r="D38" t="s">
        <v>1177</v>
      </c>
      <c r="E38">
        <v>0</v>
      </c>
      <c r="F38" t="s">
        <v>1249</v>
      </c>
      <c r="G38">
        <v>1</v>
      </c>
    </row>
    <row r="39" spans="1:7" x14ac:dyDescent="0.2">
      <c r="A39" s="49"/>
      <c r="B39" t="s">
        <v>1250</v>
      </c>
      <c r="C39" s="7" t="s">
        <v>424</v>
      </c>
      <c r="D39" s="7" t="s">
        <v>1189</v>
      </c>
      <c r="E39" s="7">
        <v>0</v>
      </c>
      <c r="F39" s="7" t="s">
        <v>1251</v>
      </c>
      <c r="G39" s="7">
        <v>0</v>
      </c>
    </row>
    <row r="40" spans="1:7" x14ac:dyDescent="0.2">
      <c r="A40" s="49"/>
      <c r="B40" t="s">
        <v>1252</v>
      </c>
      <c r="C40" t="s">
        <v>425</v>
      </c>
      <c r="D40" t="s">
        <v>1194</v>
      </c>
      <c r="E40">
        <v>0</v>
      </c>
      <c r="F40" t="s">
        <v>1253</v>
      </c>
      <c r="G40">
        <v>1</v>
      </c>
    </row>
    <row r="41" spans="1:7" x14ac:dyDescent="0.2">
      <c r="A41" s="49"/>
      <c r="B41" t="s">
        <v>1254</v>
      </c>
      <c r="C41" s="7" t="s">
        <v>426</v>
      </c>
      <c r="D41" s="7" t="s">
        <v>1194</v>
      </c>
      <c r="E41" s="7">
        <v>3</v>
      </c>
      <c r="F41" s="7" t="s">
        <v>1255</v>
      </c>
      <c r="G41" s="7">
        <v>0</v>
      </c>
    </row>
    <row r="42" spans="1:7" x14ac:dyDescent="0.2">
      <c r="A42" s="49"/>
      <c r="B42" t="s">
        <v>1256</v>
      </c>
      <c r="C42" s="7" t="s">
        <v>427</v>
      </c>
      <c r="D42" s="7" t="s">
        <v>1189</v>
      </c>
      <c r="E42" s="7">
        <v>0</v>
      </c>
      <c r="F42" s="7" t="s">
        <v>1257</v>
      </c>
      <c r="G42" s="7">
        <v>0</v>
      </c>
    </row>
    <row r="43" spans="1:7" x14ac:dyDescent="0.2">
      <c r="A43" s="49"/>
      <c r="B43" t="s">
        <v>1258</v>
      </c>
      <c r="C43" t="s">
        <v>428</v>
      </c>
      <c r="D43" t="s">
        <v>1194</v>
      </c>
      <c r="E43">
        <v>0</v>
      </c>
      <c r="F43" t="s">
        <v>1259</v>
      </c>
      <c r="G43">
        <v>1</v>
      </c>
    </row>
    <row r="44" spans="1:7" x14ac:dyDescent="0.2">
      <c r="A44" s="49"/>
      <c r="B44" t="s">
        <v>1260</v>
      </c>
      <c r="C44" s="7" t="s">
        <v>713</v>
      </c>
      <c r="D44" s="7" t="s">
        <v>1189</v>
      </c>
      <c r="E44" s="7">
        <v>0</v>
      </c>
      <c r="F44" s="7" t="s">
        <v>1261</v>
      </c>
      <c r="G44" s="7">
        <v>0</v>
      </c>
    </row>
    <row r="45" spans="1:7" x14ac:dyDescent="0.2">
      <c r="A45" s="49"/>
      <c r="B45" t="s">
        <v>1262</v>
      </c>
      <c r="C45" s="7" t="s">
        <v>714</v>
      </c>
      <c r="D45" s="7" t="s">
        <v>1189</v>
      </c>
      <c r="E45" s="7">
        <v>0</v>
      </c>
      <c r="F45" s="7" t="s">
        <v>1263</v>
      </c>
      <c r="G45" s="7">
        <v>0</v>
      </c>
    </row>
    <row r="46" spans="1:7" x14ac:dyDescent="0.2">
      <c r="A46" s="49"/>
      <c r="B46" t="s">
        <v>1264</v>
      </c>
      <c r="C46" s="7" t="s">
        <v>715</v>
      </c>
      <c r="D46" s="7" t="s">
        <v>1189</v>
      </c>
      <c r="E46" s="7">
        <v>0</v>
      </c>
      <c r="F46" s="7" t="s">
        <v>1265</v>
      </c>
      <c r="G46" s="7">
        <v>0</v>
      </c>
    </row>
    <row r="47" spans="1:7" x14ac:dyDescent="0.2">
      <c r="A47" s="49"/>
      <c r="B47" t="s">
        <v>1266</v>
      </c>
      <c r="C47" t="s">
        <v>716</v>
      </c>
      <c r="D47" t="s">
        <v>230</v>
      </c>
      <c r="E47">
        <v>1</v>
      </c>
      <c r="F47" t="s">
        <v>1267</v>
      </c>
      <c r="G47">
        <v>1</v>
      </c>
    </row>
    <row r="48" spans="1:7" x14ac:dyDescent="0.2">
      <c r="A48" s="49"/>
      <c r="B48" t="s">
        <v>1268</v>
      </c>
      <c r="C48" s="7" t="s">
        <v>717</v>
      </c>
      <c r="D48" s="7" t="s">
        <v>1189</v>
      </c>
      <c r="E48" s="7">
        <v>0</v>
      </c>
      <c r="F48" s="7" t="s">
        <v>1269</v>
      </c>
      <c r="G48" s="7">
        <v>0</v>
      </c>
    </row>
    <row r="49" spans="1:7" x14ac:dyDescent="0.2">
      <c r="A49" s="49"/>
      <c r="B49" t="s">
        <v>1270</v>
      </c>
      <c r="C49" t="s">
        <v>718</v>
      </c>
      <c r="D49" t="s">
        <v>1194</v>
      </c>
      <c r="E49">
        <v>0</v>
      </c>
      <c r="F49" t="s">
        <v>1271</v>
      </c>
      <c r="G49">
        <v>1</v>
      </c>
    </row>
    <row r="50" spans="1:7" x14ac:dyDescent="0.2">
      <c r="A50" s="49"/>
      <c r="B50" t="s">
        <v>1272</v>
      </c>
      <c r="C50" s="7" t="s">
        <v>719</v>
      </c>
      <c r="D50" s="7" t="s">
        <v>1189</v>
      </c>
      <c r="E50" s="7">
        <v>0</v>
      </c>
      <c r="F50" s="7" t="s">
        <v>1273</v>
      </c>
      <c r="G50" s="7">
        <v>0</v>
      </c>
    </row>
    <row r="51" spans="1:7" x14ac:dyDescent="0.2">
      <c r="A51" s="49"/>
      <c r="B51" t="s">
        <v>1274</v>
      </c>
      <c r="C51" t="s">
        <v>720</v>
      </c>
      <c r="D51" t="s">
        <v>1194</v>
      </c>
      <c r="E51">
        <v>0</v>
      </c>
      <c r="F51" t="s">
        <v>1275</v>
      </c>
      <c r="G51">
        <v>1</v>
      </c>
    </row>
    <row r="52" spans="1:7" x14ac:dyDescent="0.2">
      <c r="A52" s="49"/>
      <c r="B52" t="s">
        <v>1276</v>
      </c>
      <c r="C52" t="s">
        <v>721</v>
      </c>
      <c r="D52" t="s">
        <v>1277</v>
      </c>
      <c r="E52">
        <v>0</v>
      </c>
      <c r="F52" t="s">
        <v>1278</v>
      </c>
      <c r="G52">
        <v>1</v>
      </c>
    </row>
    <row r="53" spans="1:7" x14ac:dyDescent="0.2">
      <c r="A53" s="49"/>
      <c r="B53" t="s">
        <v>1279</v>
      </c>
      <c r="C53" t="s">
        <v>722</v>
      </c>
      <c r="D53" t="s">
        <v>1194</v>
      </c>
      <c r="E53">
        <v>0</v>
      </c>
      <c r="F53" t="s">
        <v>1280</v>
      </c>
      <c r="G53">
        <v>1</v>
      </c>
    </row>
    <row r="54" spans="1:7" x14ac:dyDescent="0.2">
      <c r="A54" s="49"/>
      <c r="B54" t="s">
        <v>1281</v>
      </c>
      <c r="C54" t="s">
        <v>723</v>
      </c>
      <c r="D54" t="s">
        <v>1277</v>
      </c>
      <c r="E54">
        <v>0</v>
      </c>
      <c r="F54" t="s">
        <v>1282</v>
      </c>
      <c r="G54">
        <v>1</v>
      </c>
    </row>
    <row r="55" spans="1:7" x14ac:dyDescent="0.2">
      <c r="A55" s="49"/>
      <c r="B55" t="s">
        <v>1283</v>
      </c>
      <c r="C55" t="s">
        <v>724</v>
      </c>
      <c r="D55" t="s">
        <v>1277</v>
      </c>
      <c r="E55">
        <v>0</v>
      </c>
      <c r="F55" t="s">
        <v>1284</v>
      </c>
      <c r="G55">
        <v>1</v>
      </c>
    </row>
    <row r="56" spans="1:7" x14ac:dyDescent="0.2">
      <c r="A56" s="49"/>
      <c r="B56" t="s">
        <v>1285</v>
      </c>
      <c r="C56" t="s">
        <v>725</v>
      </c>
      <c r="D56" t="s">
        <v>1277</v>
      </c>
      <c r="E56">
        <v>0</v>
      </c>
      <c r="F56" t="s">
        <v>1286</v>
      </c>
      <c r="G56">
        <v>1</v>
      </c>
    </row>
    <row r="57" spans="1:7" x14ac:dyDescent="0.2">
      <c r="A57" s="49"/>
      <c r="B57" t="s">
        <v>1287</v>
      </c>
      <c r="C57" t="s">
        <v>726</v>
      </c>
      <c r="D57" t="s">
        <v>1277</v>
      </c>
      <c r="E57">
        <v>0</v>
      </c>
      <c r="F57" t="s">
        <v>1288</v>
      </c>
      <c r="G57">
        <v>1</v>
      </c>
    </row>
    <row r="58" spans="1:7" x14ac:dyDescent="0.2">
      <c r="A58" s="50"/>
      <c r="B58" s="4" t="s">
        <v>1289</v>
      </c>
      <c r="C58" s="4" t="s">
        <v>727</v>
      </c>
      <c r="D58" s="4" t="s">
        <v>1277</v>
      </c>
      <c r="E58" s="4">
        <v>0</v>
      </c>
      <c r="F58" s="4" t="s">
        <v>1290</v>
      </c>
      <c r="G58" s="4">
        <v>1</v>
      </c>
    </row>
    <row r="59" spans="1:7" x14ac:dyDescent="0.2">
      <c r="A59" s="51" t="s">
        <v>1291</v>
      </c>
      <c r="B59" s="6" t="s">
        <v>1292</v>
      </c>
      <c r="C59" s="6" t="s">
        <v>808</v>
      </c>
      <c r="D59" s="6" t="s">
        <v>230</v>
      </c>
      <c r="E59" s="6">
        <v>0</v>
      </c>
      <c r="F59" s="6" t="s">
        <v>1184</v>
      </c>
      <c r="G59" s="6">
        <v>1</v>
      </c>
    </row>
    <row r="60" spans="1:7" x14ac:dyDescent="0.2">
      <c r="A60" s="52"/>
      <c r="B60" t="s">
        <v>1293</v>
      </c>
      <c r="C60" s="7" t="s">
        <v>421</v>
      </c>
      <c r="D60" s="7" t="s">
        <v>1189</v>
      </c>
      <c r="E60" s="7">
        <v>0</v>
      </c>
      <c r="F60" s="7" t="s">
        <v>1294</v>
      </c>
      <c r="G60" s="7">
        <v>0</v>
      </c>
    </row>
    <row r="61" spans="1:7" x14ac:dyDescent="0.2">
      <c r="A61" s="53"/>
      <c r="B61" s="4" t="s">
        <v>1295</v>
      </c>
      <c r="C61" s="8" t="s">
        <v>429</v>
      </c>
      <c r="D61" s="8" t="s">
        <v>1189</v>
      </c>
      <c r="E61" s="8">
        <v>0</v>
      </c>
      <c r="F61" s="8" t="s">
        <v>1296</v>
      </c>
      <c r="G61" s="8">
        <v>0</v>
      </c>
    </row>
    <row r="62" spans="1:7" x14ac:dyDescent="0.2">
      <c r="A62" s="39" t="s">
        <v>1297</v>
      </c>
      <c r="B62" s="6" t="s">
        <v>1298</v>
      </c>
      <c r="C62" s="6" t="s">
        <v>417</v>
      </c>
      <c r="D62" s="6" t="s">
        <v>230</v>
      </c>
      <c r="E62" s="6">
        <v>0</v>
      </c>
      <c r="F62" s="6" t="s">
        <v>1205</v>
      </c>
      <c r="G62" s="6">
        <v>1</v>
      </c>
    </row>
    <row r="63" spans="1:7" x14ac:dyDescent="0.2">
      <c r="A63" s="40"/>
      <c r="B63" t="s">
        <v>1299</v>
      </c>
      <c r="C63" s="7" t="s">
        <v>815</v>
      </c>
      <c r="D63" s="7" t="s">
        <v>1189</v>
      </c>
      <c r="E63" s="7">
        <v>0</v>
      </c>
      <c r="F63" s="7" t="s">
        <v>1300</v>
      </c>
      <c r="G63" s="7">
        <v>0</v>
      </c>
    </row>
    <row r="64" spans="1:7" x14ac:dyDescent="0.2">
      <c r="A64" s="40"/>
      <c r="B64" t="s">
        <v>1301</v>
      </c>
      <c r="C64" t="s">
        <v>816</v>
      </c>
      <c r="D64" t="s">
        <v>230</v>
      </c>
      <c r="E64">
        <v>0</v>
      </c>
      <c r="F64" t="s">
        <v>1302</v>
      </c>
      <c r="G64">
        <v>1</v>
      </c>
    </row>
    <row r="65" spans="1:7" x14ac:dyDescent="0.2">
      <c r="A65" s="40"/>
      <c r="B65" t="s">
        <v>1303</v>
      </c>
      <c r="C65" t="s">
        <v>817</v>
      </c>
      <c r="D65" t="s">
        <v>230</v>
      </c>
      <c r="E65">
        <v>0</v>
      </c>
      <c r="F65" t="s">
        <v>1304</v>
      </c>
      <c r="G65">
        <v>1</v>
      </c>
    </row>
    <row r="66" spans="1:7" x14ac:dyDescent="0.2">
      <c r="A66" s="40"/>
      <c r="B66" t="s">
        <v>1305</v>
      </c>
      <c r="C66" s="7" t="s">
        <v>818</v>
      </c>
      <c r="D66" s="7" t="s">
        <v>1189</v>
      </c>
      <c r="E66" s="7">
        <v>0</v>
      </c>
      <c r="F66" s="7" t="s">
        <v>1306</v>
      </c>
      <c r="G66" s="7">
        <v>0</v>
      </c>
    </row>
    <row r="67" spans="1:7" x14ac:dyDescent="0.2">
      <c r="A67" s="40"/>
      <c r="B67" t="s">
        <v>1307</v>
      </c>
      <c r="C67" t="s">
        <v>418</v>
      </c>
      <c r="D67" t="s">
        <v>1186</v>
      </c>
      <c r="E67">
        <v>0</v>
      </c>
      <c r="F67" t="s">
        <v>1207</v>
      </c>
      <c r="G67">
        <v>1</v>
      </c>
    </row>
    <row r="68" spans="1:7" x14ac:dyDescent="0.2">
      <c r="A68" s="40"/>
      <c r="B68" t="s">
        <v>1308</v>
      </c>
      <c r="C68" t="s">
        <v>819</v>
      </c>
      <c r="D68" t="s">
        <v>1209</v>
      </c>
      <c r="E68">
        <v>0</v>
      </c>
      <c r="F68" t="s">
        <v>1309</v>
      </c>
      <c r="G68">
        <v>1</v>
      </c>
    </row>
    <row r="69" spans="1:7" x14ac:dyDescent="0.2">
      <c r="A69" s="40"/>
      <c r="B69" t="s">
        <v>1310</v>
      </c>
      <c r="C69" t="s">
        <v>820</v>
      </c>
      <c r="D69" t="s">
        <v>1209</v>
      </c>
      <c r="E69">
        <v>0</v>
      </c>
      <c r="F69" t="s">
        <v>1311</v>
      </c>
      <c r="G69">
        <v>1</v>
      </c>
    </row>
    <row r="70" spans="1:7" x14ac:dyDescent="0.2">
      <c r="A70" s="40"/>
      <c r="B70" t="s">
        <v>1312</v>
      </c>
      <c r="C70" t="s">
        <v>821</v>
      </c>
      <c r="D70" t="s">
        <v>1209</v>
      </c>
      <c r="E70">
        <v>0</v>
      </c>
      <c r="F70" t="s">
        <v>1313</v>
      </c>
      <c r="G70">
        <v>1</v>
      </c>
    </row>
    <row r="71" spans="1:7" x14ac:dyDescent="0.2">
      <c r="A71" s="41"/>
      <c r="B71" s="4" t="s">
        <v>1314</v>
      </c>
      <c r="C71" s="4" t="s">
        <v>822</v>
      </c>
      <c r="D71" s="4" t="s">
        <v>1277</v>
      </c>
      <c r="E71" s="4">
        <v>0</v>
      </c>
      <c r="F71" s="4" t="s">
        <v>1315</v>
      </c>
      <c r="G71" s="4">
        <v>1</v>
      </c>
    </row>
    <row r="72" spans="1:7" x14ac:dyDescent="0.2">
      <c r="A72" s="42" t="s">
        <v>1316</v>
      </c>
      <c r="B72" s="6" t="s">
        <v>1317</v>
      </c>
      <c r="C72" s="6" t="s">
        <v>816</v>
      </c>
      <c r="D72" s="6" t="s">
        <v>230</v>
      </c>
      <c r="E72" s="6">
        <v>0</v>
      </c>
      <c r="F72" s="6" t="s">
        <v>1302</v>
      </c>
      <c r="G72" s="6">
        <v>1</v>
      </c>
    </row>
    <row r="73" spans="1:7" x14ac:dyDescent="0.2">
      <c r="A73" s="43"/>
      <c r="B73" t="s">
        <v>1318</v>
      </c>
      <c r="C73" s="7" t="s">
        <v>421</v>
      </c>
      <c r="D73" s="7" t="s">
        <v>1189</v>
      </c>
      <c r="E73" s="7">
        <v>0</v>
      </c>
      <c r="F73" s="7" t="s">
        <v>1319</v>
      </c>
      <c r="G73" s="7">
        <v>0</v>
      </c>
    </row>
    <row r="74" spans="1:7" x14ac:dyDescent="0.2">
      <c r="A74" s="43"/>
      <c r="B74" t="s">
        <v>1320</v>
      </c>
      <c r="C74" s="7" t="s">
        <v>422</v>
      </c>
      <c r="D74" s="7" t="s">
        <v>1189</v>
      </c>
      <c r="E74" s="7">
        <v>0</v>
      </c>
      <c r="F74" s="7" t="s">
        <v>1321</v>
      </c>
      <c r="G74" s="7">
        <v>0</v>
      </c>
    </row>
    <row r="75" spans="1:7" x14ac:dyDescent="0.2">
      <c r="A75" s="43"/>
      <c r="B75" t="s">
        <v>1322</v>
      </c>
      <c r="C75" t="s">
        <v>423</v>
      </c>
      <c r="D75" t="s">
        <v>1194</v>
      </c>
      <c r="E75">
        <v>0</v>
      </c>
      <c r="F75" t="s">
        <v>1323</v>
      </c>
      <c r="G75">
        <v>1</v>
      </c>
    </row>
    <row r="76" spans="1:7" x14ac:dyDescent="0.2">
      <c r="A76" s="43"/>
      <c r="B76" t="s">
        <v>1324</v>
      </c>
      <c r="C76" s="7" t="s">
        <v>424</v>
      </c>
      <c r="D76" s="7" t="s">
        <v>1189</v>
      </c>
      <c r="E76" s="7">
        <v>0</v>
      </c>
      <c r="F76" s="7" t="s">
        <v>1325</v>
      </c>
      <c r="G76" s="7">
        <v>0</v>
      </c>
    </row>
    <row r="77" spans="1:7" x14ac:dyDescent="0.2">
      <c r="A77" s="43"/>
      <c r="B77" t="s">
        <v>1326</v>
      </c>
      <c r="C77" t="s">
        <v>425</v>
      </c>
      <c r="D77" t="s">
        <v>1194</v>
      </c>
      <c r="E77">
        <v>0</v>
      </c>
      <c r="F77" t="s">
        <v>1327</v>
      </c>
      <c r="G77">
        <v>1</v>
      </c>
    </row>
    <row r="78" spans="1:7" x14ac:dyDescent="0.2">
      <c r="A78" s="43"/>
      <c r="B78" t="s">
        <v>1328</v>
      </c>
      <c r="C78" s="7" t="s">
        <v>426</v>
      </c>
      <c r="D78" s="7" t="s">
        <v>1194</v>
      </c>
      <c r="E78" s="7">
        <v>20</v>
      </c>
      <c r="F78" s="7" t="s">
        <v>1329</v>
      </c>
      <c r="G78" s="7">
        <v>0</v>
      </c>
    </row>
    <row r="79" spans="1:7" x14ac:dyDescent="0.2">
      <c r="A79" s="43"/>
      <c r="B79" t="s">
        <v>1330</v>
      </c>
      <c r="C79" s="7" t="s">
        <v>427</v>
      </c>
      <c r="D79" s="7" t="s">
        <v>1189</v>
      </c>
      <c r="E79" s="7">
        <v>0</v>
      </c>
      <c r="F79" s="7" t="s">
        <v>1331</v>
      </c>
      <c r="G79" s="7">
        <v>0</v>
      </c>
    </row>
    <row r="80" spans="1:7" x14ac:dyDescent="0.2">
      <c r="A80" s="43"/>
      <c r="B80" t="s">
        <v>1332</v>
      </c>
      <c r="C80" t="s">
        <v>428</v>
      </c>
      <c r="D80" t="s">
        <v>1194</v>
      </c>
      <c r="E80">
        <v>0</v>
      </c>
      <c r="F80" t="s">
        <v>1333</v>
      </c>
      <c r="G80">
        <v>1</v>
      </c>
    </row>
    <row r="81" spans="1:7" x14ac:dyDescent="0.2">
      <c r="A81" s="43"/>
      <c r="B81" t="s">
        <v>1334</v>
      </c>
      <c r="C81" s="7" t="s">
        <v>429</v>
      </c>
      <c r="D81" s="7" t="s">
        <v>1189</v>
      </c>
      <c r="E81" s="7">
        <v>0</v>
      </c>
      <c r="F81" s="7" t="s">
        <v>1335</v>
      </c>
      <c r="G81" s="7">
        <v>0</v>
      </c>
    </row>
    <row r="82" spans="1:7" x14ac:dyDescent="0.2">
      <c r="A82" s="44"/>
      <c r="B82" s="4" t="s">
        <v>1336</v>
      </c>
      <c r="C82" s="8" t="s">
        <v>430</v>
      </c>
      <c r="D82" s="8" t="s">
        <v>1189</v>
      </c>
      <c r="E82" s="8">
        <v>16</v>
      </c>
      <c r="F82" s="8" t="s">
        <v>1337</v>
      </c>
      <c r="G82" s="8">
        <v>0</v>
      </c>
    </row>
    <row r="83" spans="1:7" x14ac:dyDescent="0.2">
      <c r="A83" s="45" t="s">
        <v>1338</v>
      </c>
      <c r="B83" s="6" t="s">
        <v>1339</v>
      </c>
      <c r="C83" s="6" t="s">
        <v>817</v>
      </c>
      <c r="D83" s="6" t="s">
        <v>230</v>
      </c>
      <c r="E83" s="6">
        <v>0</v>
      </c>
      <c r="F83" s="6" t="s">
        <v>1304</v>
      </c>
      <c r="G83" s="6">
        <v>1</v>
      </c>
    </row>
    <row r="84" spans="1:7" x14ac:dyDescent="0.2">
      <c r="A84" s="46"/>
      <c r="B84" t="s">
        <v>1340</v>
      </c>
      <c r="C84" t="s">
        <v>1144</v>
      </c>
      <c r="D84" t="s">
        <v>1194</v>
      </c>
      <c r="E84">
        <v>0</v>
      </c>
      <c r="F84" t="s">
        <v>1341</v>
      </c>
      <c r="G84">
        <v>1</v>
      </c>
    </row>
    <row r="85" spans="1:7" x14ac:dyDescent="0.2">
      <c r="A85" s="46"/>
      <c r="B85" t="s">
        <v>1342</v>
      </c>
      <c r="C85" s="7" t="s">
        <v>1145</v>
      </c>
      <c r="D85" s="7" t="s">
        <v>1189</v>
      </c>
      <c r="E85" s="7">
        <v>0</v>
      </c>
      <c r="F85" s="7" t="s">
        <v>1343</v>
      </c>
      <c r="G85" s="7">
        <v>0</v>
      </c>
    </row>
    <row r="86" spans="1:7" x14ac:dyDescent="0.2">
      <c r="A86" s="46"/>
      <c r="B86" t="s">
        <v>1344</v>
      </c>
      <c r="C86" t="s">
        <v>1345</v>
      </c>
      <c r="D86" t="s">
        <v>1277</v>
      </c>
      <c r="E86">
        <v>0</v>
      </c>
      <c r="F86" t="s">
        <v>1346</v>
      </c>
      <c r="G86">
        <v>1</v>
      </c>
    </row>
    <row r="87" spans="1:7" x14ac:dyDescent="0.2">
      <c r="A87" s="46"/>
      <c r="B87" t="s">
        <v>1347</v>
      </c>
      <c r="C87" t="s">
        <v>1348</v>
      </c>
      <c r="D87" t="s">
        <v>1277</v>
      </c>
      <c r="E87">
        <v>0</v>
      </c>
      <c r="F87" t="s">
        <v>1349</v>
      </c>
      <c r="G87">
        <v>1</v>
      </c>
    </row>
    <row r="88" spans="1:7" x14ac:dyDescent="0.2">
      <c r="A88" s="46"/>
      <c r="B88" t="s">
        <v>1350</v>
      </c>
      <c r="C88" t="s">
        <v>1351</v>
      </c>
      <c r="D88" t="s">
        <v>1277</v>
      </c>
      <c r="E88">
        <v>0</v>
      </c>
      <c r="F88" t="s">
        <v>1352</v>
      </c>
      <c r="G88">
        <v>1</v>
      </c>
    </row>
    <row r="89" spans="1:7" x14ac:dyDescent="0.2">
      <c r="A89" s="46"/>
      <c r="B89" t="s">
        <v>1353</v>
      </c>
      <c r="C89" t="s">
        <v>1354</v>
      </c>
      <c r="D89" t="s">
        <v>1277</v>
      </c>
      <c r="E89">
        <v>0</v>
      </c>
      <c r="F89" t="s">
        <v>1355</v>
      </c>
      <c r="G89">
        <v>1</v>
      </c>
    </row>
    <row r="90" spans="1:7" x14ac:dyDescent="0.2">
      <c r="A90" s="46"/>
      <c r="B90" t="s">
        <v>1356</v>
      </c>
      <c r="C90" t="s">
        <v>1357</v>
      </c>
      <c r="D90" t="s">
        <v>1277</v>
      </c>
      <c r="E90">
        <v>0</v>
      </c>
      <c r="F90" t="s">
        <v>1358</v>
      </c>
      <c r="G90">
        <v>1</v>
      </c>
    </row>
    <row r="91" spans="1:7" x14ac:dyDescent="0.2">
      <c r="A91" s="46"/>
      <c r="B91" t="s">
        <v>1359</v>
      </c>
      <c r="C91" t="s">
        <v>1360</v>
      </c>
      <c r="D91" t="s">
        <v>1277</v>
      </c>
      <c r="E91">
        <v>0</v>
      </c>
      <c r="F91" t="s">
        <v>1361</v>
      </c>
      <c r="G91">
        <v>1</v>
      </c>
    </row>
    <row r="92" spans="1:7" x14ac:dyDescent="0.2">
      <c r="A92" s="47"/>
      <c r="B92" s="4" t="s">
        <v>1362</v>
      </c>
      <c r="C92" s="4" t="s">
        <v>1363</v>
      </c>
      <c r="D92" s="4" t="s">
        <v>1277</v>
      </c>
      <c r="E92" s="4">
        <v>0</v>
      </c>
      <c r="F92" s="4" t="s">
        <v>1364</v>
      </c>
      <c r="G92" s="4">
        <v>1</v>
      </c>
    </row>
  </sheetData>
  <mergeCells count="8">
    <mergeCell ref="A83:A92"/>
    <mergeCell ref="A72:A82"/>
    <mergeCell ref="A62:A71"/>
    <mergeCell ref="A2:A15"/>
    <mergeCell ref="A16:A20"/>
    <mergeCell ref="A21:A31"/>
    <mergeCell ref="A32:A58"/>
    <mergeCell ref="A59:A6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CCD1A-8EEB-AC46-8411-455C6FA97FB8}">
  <sheetPr codeName="Hoja3"/>
  <dimension ref="A1:G59"/>
  <sheetViews>
    <sheetView zoomScale="148" workbookViewId="0">
      <selection activeCell="B42" sqref="B42"/>
    </sheetView>
  </sheetViews>
  <sheetFormatPr baseColWidth="10" defaultRowHeight="16" x14ac:dyDescent="0.2"/>
  <cols>
    <col min="1" max="1" width="24.1640625" customWidth="1"/>
    <col min="2" max="2" width="19.1640625" customWidth="1"/>
    <col min="3" max="3" width="10" bestFit="1" customWidth="1"/>
    <col min="4" max="4" width="15.33203125" customWidth="1"/>
    <col min="5" max="5" width="39.83203125" bestFit="1" customWidth="1"/>
    <col min="6" max="6" width="49.1640625" customWidth="1"/>
  </cols>
  <sheetData>
    <row r="1" spans="1:7" x14ac:dyDescent="0.2">
      <c r="A1" s="4" t="s">
        <v>1162</v>
      </c>
      <c r="B1" s="4" t="s">
        <v>1164</v>
      </c>
      <c r="C1" s="4" t="s">
        <v>1165</v>
      </c>
      <c r="D1" s="4" t="s">
        <v>1166</v>
      </c>
      <c r="E1" s="4" t="s">
        <v>1167</v>
      </c>
      <c r="F1" s="4" t="s">
        <v>1365</v>
      </c>
      <c r="G1" s="4" t="s">
        <v>1366</v>
      </c>
    </row>
    <row r="2" spans="1:7" x14ac:dyDescent="0.2">
      <c r="A2" s="39" t="s">
        <v>1169</v>
      </c>
      <c r="B2" s="6" t="s">
        <v>0</v>
      </c>
      <c r="C2" s="6" t="s">
        <v>230</v>
      </c>
      <c r="D2" s="6">
        <v>0</v>
      </c>
      <c r="E2" s="6" t="s">
        <v>1171</v>
      </c>
      <c r="F2" s="6" t="s">
        <v>1367</v>
      </c>
      <c r="G2" s="6" t="s">
        <v>1368</v>
      </c>
    </row>
    <row r="3" spans="1:7" x14ac:dyDescent="0.2">
      <c r="A3" s="40"/>
      <c r="B3" t="s">
        <v>1</v>
      </c>
      <c r="C3" t="s">
        <v>230</v>
      </c>
      <c r="D3">
        <v>0</v>
      </c>
      <c r="E3" t="s">
        <v>1173</v>
      </c>
      <c r="F3" t="s">
        <v>1369</v>
      </c>
      <c r="G3" t="s">
        <v>1370</v>
      </c>
    </row>
    <row r="4" spans="1:7" ht="45" customHeight="1" x14ac:dyDescent="0.2">
      <c r="A4" s="40"/>
      <c r="B4" t="s">
        <v>2</v>
      </c>
      <c r="C4" t="s">
        <v>230</v>
      </c>
      <c r="D4">
        <v>0</v>
      </c>
      <c r="E4" t="s">
        <v>1175</v>
      </c>
      <c r="F4" s="9" t="s">
        <v>1371</v>
      </c>
      <c r="G4" s="9" t="s">
        <v>1372</v>
      </c>
    </row>
    <row r="5" spans="1:7" x14ac:dyDescent="0.2">
      <c r="A5" s="40"/>
      <c r="B5" t="s">
        <v>3</v>
      </c>
      <c r="C5" t="s">
        <v>1177</v>
      </c>
      <c r="D5">
        <v>0</v>
      </c>
      <c r="E5" t="s">
        <v>1178</v>
      </c>
      <c r="F5" t="s">
        <v>1373</v>
      </c>
      <c r="G5" t="s">
        <v>1374</v>
      </c>
    </row>
    <row r="6" spans="1:7" x14ac:dyDescent="0.2">
      <c r="A6" s="40"/>
      <c r="B6" t="s">
        <v>4</v>
      </c>
      <c r="C6" t="s">
        <v>1177</v>
      </c>
      <c r="D6">
        <v>0</v>
      </c>
      <c r="E6" t="s">
        <v>1180</v>
      </c>
      <c r="F6" t="s">
        <v>1375</v>
      </c>
      <c r="G6" t="s">
        <v>1376</v>
      </c>
    </row>
    <row r="7" spans="1:7" ht="39" customHeight="1" x14ac:dyDescent="0.2">
      <c r="A7" s="40"/>
      <c r="B7" t="s">
        <v>5</v>
      </c>
      <c r="C7" t="s">
        <v>1177</v>
      </c>
      <c r="D7">
        <v>21</v>
      </c>
      <c r="E7" t="s">
        <v>1182</v>
      </c>
      <c r="F7" s="9" t="s">
        <v>1377</v>
      </c>
      <c r="G7" s="9" t="s">
        <v>1378</v>
      </c>
    </row>
    <row r="8" spans="1:7" x14ac:dyDescent="0.2">
      <c r="A8" s="40"/>
      <c r="B8" t="s">
        <v>6</v>
      </c>
      <c r="C8" t="s">
        <v>230</v>
      </c>
      <c r="D8">
        <v>0</v>
      </c>
      <c r="E8" t="s">
        <v>1184</v>
      </c>
      <c r="F8" t="s">
        <v>1379</v>
      </c>
      <c r="G8" t="s">
        <v>1380</v>
      </c>
    </row>
    <row r="9" spans="1:7" ht="136" x14ac:dyDescent="0.2">
      <c r="A9" s="40"/>
      <c r="B9" t="s">
        <v>1381</v>
      </c>
      <c r="C9" t="s">
        <v>1186</v>
      </c>
      <c r="D9">
        <v>0</v>
      </c>
      <c r="E9" t="s">
        <v>1187</v>
      </c>
      <c r="F9" s="9" t="s">
        <v>1382</v>
      </c>
      <c r="G9" s="9" t="s">
        <v>1383</v>
      </c>
    </row>
    <row r="10" spans="1:7" x14ac:dyDescent="0.2">
      <c r="A10" s="40"/>
      <c r="B10" t="s">
        <v>10</v>
      </c>
      <c r="C10" t="s">
        <v>1194</v>
      </c>
      <c r="D10">
        <v>0</v>
      </c>
      <c r="E10" t="s">
        <v>1195</v>
      </c>
      <c r="F10" t="s">
        <v>1384</v>
      </c>
      <c r="G10" t="s">
        <v>1385</v>
      </c>
    </row>
    <row r="11" spans="1:7" x14ac:dyDescent="0.2">
      <c r="A11" s="41"/>
      <c r="B11" s="4" t="s">
        <v>13</v>
      </c>
      <c r="C11" s="4" t="s">
        <v>1194</v>
      </c>
      <c r="D11" s="4">
        <v>0</v>
      </c>
      <c r="E11" s="4" t="s">
        <v>1201</v>
      </c>
      <c r="F11" s="4" t="s">
        <v>1386</v>
      </c>
      <c r="G11" s="4" t="s">
        <v>1387</v>
      </c>
    </row>
    <row r="12" spans="1:7" x14ac:dyDescent="0.2">
      <c r="A12" s="54" t="s">
        <v>1202</v>
      </c>
      <c r="B12" s="6" t="s">
        <v>0</v>
      </c>
      <c r="C12" s="6" t="s">
        <v>230</v>
      </c>
      <c r="D12" s="6">
        <v>0</v>
      </c>
      <c r="E12" s="6" t="s">
        <v>1171</v>
      </c>
      <c r="F12" s="6" t="s">
        <v>1388</v>
      </c>
      <c r="G12" s="6" t="s">
        <v>1389</v>
      </c>
    </row>
    <row r="13" spans="1:7" x14ac:dyDescent="0.2">
      <c r="A13" s="55"/>
      <c r="B13" t="s">
        <v>417</v>
      </c>
      <c r="C13" t="s">
        <v>230</v>
      </c>
      <c r="D13">
        <v>0</v>
      </c>
      <c r="E13" t="s">
        <v>1205</v>
      </c>
      <c r="F13" t="s">
        <v>1390</v>
      </c>
      <c r="G13" t="s">
        <v>1391</v>
      </c>
    </row>
    <row r="14" spans="1:7" ht="68" x14ac:dyDescent="0.2">
      <c r="A14" s="55"/>
      <c r="B14" t="s">
        <v>1392</v>
      </c>
      <c r="C14" t="s">
        <v>1186</v>
      </c>
      <c r="D14">
        <v>0</v>
      </c>
      <c r="E14" t="s">
        <v>1207</v>
      </c>
      <c r="F14" s="9" t="s">
        <v>1393</v>
      </c>
      <c r="G14" s="9" t="s">
        <v>1394</v>
      </c>
    </row>
    <row r="15" spans="1:7" x14ac:dyDescent="0.2">
      <c r="A15" s="55"/>
      <c r="B15" t="s">
        <v>1395</v>
      </c>
      <c r="C15" t="s">
        <v>1209</v>
      </c>
      <c r="D15">
        <v>0</v>
      </c>
      <c r="E15" t="s">
        <v>1210</v>
      </c>
      <c r="F15" t="s">
        <v>1396</v>
      </c>
      <c r="G15" t="s">
        <v>1397</v>
      </c>
    </row>
    <row r="16" spans="1:7" ht="34" x14ac:dyDescent="0.2">
      <c r="A16" s="56"/>
      <c r="B16" s="4" t="s">
        <v>420</v>
      </c>
      <c r="C16" s="4" t="s">
        <v>1212</v>
      </c>
      <c r="D16" s="4">
        <v>0</v>
      </c>
      <c r="E16" s="4" t="s">
        <v>1213</v>
      </c>
      <c r="F16" s="10" t="s">
        <v>1398</v>
      </c>
      <c r="G16" s="10" t="s">
        <v>1399</v>
      </c>
    </row>
    <row r="17" spans="1:7" x14ac:dyDescent="0.2">
      <c r="A17" s="54" t="s">
        <v>1214</v>
      </c>
      <c r="B17" s="6" t="s">
        <v>1</v>
      </c>
      <c r="C17" s="6" t="s">
        <v>230</v>
      </c>
      <c r="D17" s="6">
        <v>0</v>
      </c>
      <c r="E17" s="6" t="s">
        <v>1173</v>
      </c>
      <c r="F17" s="6" t="s">
        <v>1400</v>
      </c>
      <c r="G17" s="6" t="s">
        <v>1401</v>
      </c>
    </row>
    <row r="18" spans="1:7" ht="51" x14ac:dyDescent="0.2">
      <c r="A18" s="55"/>
      <c r="B18" t="s">
        <v>423</v>
      </c>
      <c r="C18" t="s">
        <v>1194</v>
      </c>
      <c r="D18">
        <v>0</v>
      </c>
      <c r="E18" t="s">
        <v>1221</v>
      </c>
      <c r="F18" s="9" t="s">
        <v>1402</v>
      </c>
      <c r="G18" s="9" t="s">
        <v>1403</v>
      </c>
    </row>
    <row r="19" spans="1:7" x14ac:dyDescent="0.2">
      <c r="A19" s="55"/>
      <c r="B19" t="s">
        <v>425</v>
      </c>
      <c r="C19" t="s">
        <v>1194</v>
      </c>
      <c r="D19">
        <v>0</v>
      </c>
      <c r="E19" t="s">
        <v>1225</v>
      </c>
      <c r="F19" t="s">
        <v>1404</v>
      </c>
      <c r="G19" t="s">
        <v>1405</v>
      </c>
    </row>
    <row r="20" spans="1:7" x14ac:dyDescent="0.2">
      <c r="A20" s="56"/>
      <c r="B20" s="4" t="s">
        <v>428</v>
      </c>
      <c r="C20" s="4" t="s">
        <v>1194</v>
      </c>
      <c r="D20" s="4">
        <v>0</v>
      </c>
      <c r="E20" s="4" t="s">
        <v>1231</v>
      </c>
      <c r="F20" s="4" t="s">
        <v>1406</v>
      </c>
      <c r="G20" s="4" t="s">
        <v>1407</v>
      </c>
    </row>
    <row r="21" spans="1:7" x14ac:dyDescent="0.2">
      <c r="A21" s="54" t="s">
        <v>1236</v>
      </c>
      <c r="B21" s="6" t="s">
        <v>2</v>
      </c>
      <c r="C21" s="6" t="s">
        <v>230</v>
      </c>
      <c r="D21" s="6">
        <v>0</v>
      </c>
      <c r="E21" s="6" t="s">
        <v>1175</v>
      </c>
      <c r="F21" s="6" t="s">
        <v>1408</v>
      </c>
      <c r="G21" s="6" t="s">
        <v>1409</v>
      </c>
    </row>
    <row r="22" spans="1:7" x14ac:dyDescent="0.2">
      <c r="A22" s="55"/>
      <c r="B22" t="s">
        <v>709</v>
      </c>
      <c r="C22" t="s">
        <v>1194</v>
      </c>
      <c r="D22">
        <v>0</v>
      </c>
      <c r="E22" t="s">
        <v>1243</v>
      </c>
      <c r="F22" t="s">
        <v>1410</v>
      </c>
      <c r="G22" t="s">
        <v>1411</v>
      </c>
    </row>
    <row r="23" spans="1:7" x14ac:dyDescent="0.2">
      <c r="A23" s="55"/>
      <c r="B23" t="s">
        <v>710</v>
      </c>
      <c r="C23" t="s">
        <v>1194</v>
      </c>
      <c r="D23">
        <v>0</v>
      </c>
      <c r="E23" t="s">
        <v>1245</v>
      </c>
      <c r="F23" t="s">
        <v>1412</v>
      </c>
      <c r="G23" t="s">
        <v>1413</v>
      </c>
    </row>
    <row r="24" spans="1:7" x14ac:dyDescent="0.2">
      <c r="A24" s="55"/>
      <c r="B24" t="s">
        <v>711</v>
      </c>
      <c r="C24" t="s">
        <v>1177</v>
      </c>
      <c r="D24">
        <v>0</v>
      </c>
      <c r="E24" t="s">
        <v>1247</v>
      </c>
      <c r="F24" t="s">
        <v>1414</v>
      </c>
      <c r="G24" t="s">
        <v>1413</v>
      </c>
    </row>
    <row r="25" spans="1:7" x14ac:dyDescent="0.2">
      <c r="A25" s="55"/>
      <c r="B25" t="s">
        <v>712</v>
      </c>
      <c r="C25" t="s">
        <v>1177</v>
      </c>
      <c r="D25">
        <v>0</v>
      </c>
      <c r="E25" t="s">
        <v>1249</v>
      </c>
      <c r="F25" t="s">
        <v>1415</v>
      </c>
      <c r="G25" t="s">
        <v>1416</v>
      </c>
    </row>
    <row r="26" spans="1:7" x14ac:dyDescent="0.2">
      <c r="A26" s="55"/>
      <c r="B26" t="s">
        <v>425</v>
      </c>
      <c r="C26" t="s">
        <v>1194</v>
      </c>
      <c r="D26">
        <v>0</v>
      </c>
      <c r="E26" t="s">
        <v>1253</v>
      </c>
      <c r="F26" t="s">
        <v>1417</v>
      </c>
      <c r="G26" t="s">
        <v>1418</v>
      </c>
    </row>
    <row r="27" spans="1:7" x14ac:dyDescent="0.2">
      <c r="A27" s="55"/>
      <c r="B27" t="s">
        <v>428</v>
      </c>
      <c r="C27" t="s">
        <v>1194</v>
      </c>
      <c r="D27">
        <v>0</v>
      </c>
      <c r="E27" t="s">
        <v>1259</v>
      </c>
      <c r="F27" t="s">
        <v>1419</v>
      </c>
      <c r="G27" t="s">
        <v>1420</v>
      </c>
    </row>
    <row r="28" spans="1:7" x14ac:dyDescent="0.2">
      <c r="A28" s="55"/>
      <c r="B28" t="s">
        <v>716</v>
      </c>
      <c r="C28" t="s">
        <v>230</v>
      </c>
      <c r="D28">
        <v>1</v>
      </c>
      <c r="E28" t="s">
        <v>1267</v>
      </c>
      <c r="F28" t="s">
        <v>1421</v>
      </c>
      <c r="G28" t="s">
        <v>1422</v>
      </c>
    </row>
    <row r="29" spans="1:7" x14ac:dyDescent="0.2">
      <c r="A29" s="55"/>
      <c r="B29" t="s">
        <v>718</v>
      </c>
      <c r="C29" t="s">
        <v>1194</v>
      </c>
      <c r="D29">
        <v>0</v>
      </c>
      <c r="E29" t="s">
        <v>1271</v>
      </c>
      <c r="F29" t="s">
        <v>1423</v>
      </c>
      <c r="G29" t="s">
        <v>1424</v>
      </c>
    </row>
    <row r="30" spans="1:7" x14ac:dyDescent="0.2">
      <c r="A30" s="55"/>
      <c r="B30" t="s">
        <v>720</v>
      </c>
      <c r="C30" t="s">
        <v>1194</v>
      </c>
      <c r="D30">
        <v>0</v>
      </c>
      <c r="E30" t="s">
        <v>1275</v>
      </c>
      <c r="F30" t="s">
        <v>1425</v>
      </c>
      <c r="G30" t="s">
        <v>1426</v>
      </c>
    </row>
    <row r="31" spans="1:7" x14ac:dyDescent="0.2">
      <c r="A31" s="55"/>
      <c r="B31" t="s">
        <v>721</v>
      </c>
      <c r="C31" t="s">
        <v>1277</v>
      </c>
      <c r="D31">
        <v>0</v>
      </c>
      <c r="E31" t="s">
        <v>1278</v>
      </c>
      <c r="F31" t="s">
        <v>1427</v>
      </c>
      <c r="G31" t="s">
        <v>1428</v>
      </c>
    </row>
    <row r="32" spans="1:7" x14ac:dyDescent="0.2">
      <c r="A32" s="55"/>
      <c r="B32" t="s">
        <v>722</v>
      </c>
      <c r="C32" t="s">
        <v>1194</v>
      </c>
      <c r="D32">
        <v>0</v>
      </c>
      <c r="E32" t="s">
        <v>1280</v>
      </c>
      <c r="F32" t="s">
        <v>1429</v>
      </c>
      <c r="G32" t="s">
        <v>1430</v>
      </c>
    </row>
    <row r="33" spans="1:7" x14ac:dyDescent="0.2">
      <c r="A33" s="55"/>
      <c r="B33" t="s">
        <v>723</v>
      </c>
      <c r="C33" t="s">
        <v>1277</v>
      </c>
      <c r="D33">
        <v>0</v>
      </c>
      <c r="E33" t="s">
        <v>1282</v>
      </c>
      <c r="F33" t="s">
        <v>1431</v>
      </c>
      <c r="G33" t="s">
        <v>1432</v>
      </c>
    </row>
    <row r="34" spans="1:7" x14ac:dyDescent="0.2">
      <c r="A34" s="55"/>
      <c r="B34" t="s">
        <v>724</v>
      </c>
      <c r="C34" t="s">
        <v>1277</v>
      </c>
      <c r="D34">
        <v>0</v>
      </c>
      <c r="E34" t="s">
        <v>1284</v>
      </c>
      <c r="F34" t="s">
        <v>1433</v>
      </c>
      <c r="G34" t="s">
        <v>1434</v>
      </c>
    </row>
    <row r="35" spans="1:7" x14ac:dyDescent="0.2">
      <c r="A35" s="55"/>
      <c r="B35" t="s">
        <v>725</v>
      </c>
      <c r="C35" t="s">
        <v>1277</v>
      </c>
      <c r="D35">
        <v>0</v>
      </c>
      <c r="E35" t="s">
        <v>1286</v>
      </c>
      <c r="F35" t="s">
        <v>1435</v>
      </c>
      <c r="G35" t="s">
        <v>1436</v>
      </c>
    </row>
    <row r="36" spans="1:7" x14ac:dyDescent="0.2">
      <c r="A36" s="55"/>
      <c r="B36" t="s">
        <v>726</v>
      </c>
      <c r="C36" t="s">
        <v>1277</v>
      </c>
      <c r="D36">
        <v>0</v>
      </c>
      <c r="E36" t="s">
        <v>1288</v>
      </c>
      <c r="F36" t="s">
        <v>1437</v>
      </c>
      <c r="G36" t="s">
        <v>1438</v>
      </c>
    </row>
    <row r="37" spans="1:7" x14ac:dyDescent="0.2">
      <c r="A37" s="56"/>
      <c r="B37" s="4" t="s">
        <v>727</v>
      </c>
      <c r="C37" s="4" t="s">
        <v>1277</v>
      </c>
      <c r="D37" s="4">
        <v>0</v>
      </c>
      <c r="E37" s="4" t="s">
        <v>1290</v>
      </c>
      <c r="F37" s="4" t="s">
        <v>1439</v>
      </c>
      <c r="G37" s="4" t="s">
        <v>1440</v>
      </c>
    </row>
    <row r="38" spans="1:7" x14ac:dyDescent="0.2">
      <c r="A38" s="11" t="s">
        <v>1291</v>
      </c>
      <c r="B38" s="11" t="s">
        <v>808</v>
      </c>
      <c r="C38" s="11" t="s">
        <v>230</v>
      </c>
      <c r="D38" s="11">
        <v>0</v>
      </c>
      <c r="E38" s="11" t="s">
        <v>1184</v>
      </c>
      <c r="F38" s="11" t="s">
        <v>1441</v>
      </c>
      <c r="G38" s="11" t="s">
        <v>1442</v>
      </c>
    </row>
    <row r="39" spans="1:7" x14ac:dyDescent="0.2">
      <c r="A39" s="54" t="s">
        <v>1297</v>
      </c>
      <c r="B39" s="6" t="s">
        <v>417</v>
      </c>
      <c r="C39" s="6" t="s">
        <v>230</v>
      </c>
      <c r="D39" s="6">
        <v>0</v>
      </c>
      <c r="E39" s="6" t="s">
        <v>1205</v>
      </c>
      <c r="F39" s="6" t="s">
        <v>1443</v>
      </c>
      <c r="G39" s="6" t="s">
        <v>1444</v>
      </c>
    </row>
    <row r="40" spans="1:7" x14ac:dyDescent="0.2">
      <c r="A40" s="55"/>
      <c r="B40" t="s">
        <v>816</v>
      </c>
      <c r="C40" t="s">
        <v>230</v>
      </c>
      <c r="D40">
        <v>0</v>
      </c>
      <c r="E40" t="s">
        <v>1302</v>
      </c>
      <c r="F40" t="s">
        <v>1445</v>
      </c>
      <c r="G40" t="s">
        <v>1446</v>
      </c>
    </row>
    <row r="41" spans="1:7" x14ac:dyDescent="0.2">
      <c r="A41" s="55"/>
      <c r="B41" t="s">
        <v>817</v>
      </c>
      <c r="C41" t="s">
        <v>230</v>
      </c>
      <c r="D41">
        <v>0</v>
      </c>
      <c r="E41" t="s">
        <v>1304</v>
      </c>
      <c r="F41" t="s">
        <v>1447</v>
      </c>
      <c r="G41" t="s">
        <v>1448</v>
      </c>
    </row>
    <row r="42" spans="1:7" ht="187" x14ac:dyDescent="0.2">
      <c r="A42" s="55"/>
      <c r="B42" t="s">
        <v>1392</v>
      </c>
      <c r="C42" t="s">
        <v>1186</v>
      </c>
      <c r="D42">
        <v>0</v>
      </c>
      <c r="E42" t="s">
        <v>1207</v>
      </c>
      <c r="F42" s="9" t="s">
        <v>1449</v>
      </c>
      <c r="G42" s="9" t="s">
        <v>1450</v>
      </c>
    </row>
    <row r="43" spans="1:7" ht="68" x14ac:dyDescent="0.2">
      <c r="A43" s="55"/>
      <c r="B43" t="s">
        <v>819</v>
      </c>
      <c r="C43" t="s">
        <v>1209</v>
      </c>
      <c r="D43">
        <v>0</v>
      </c>
      <c r="E43" t="s">
        <v>1309</v>
      </c>
      <c r="F43" s="9" t="s">
        <v>1451</v>
      </c>
      <c r="G43" s="9" t="s">
        <v>1452</v>
      </c>
    </row>
    <row r="44" spans="1:7" ht="68" x14ac:dyDescent="0.2">
      <c r="A44" s="55"/>
      <c r="B44" t="s">
        <v>820</v>
      </c>
      <c r="C44" t="s">
        <v>1209</v>
      </c>
      <c r="D44">
        <v>0</v>
      </c>
      <c r="E44" t="s">
        <v>1311</v>
      </c>
      <c r="F44" s="9" t="s">
        <v>1453</v>
      </c>
      <c r="G44" s="9" t="s">
        <v>1454</v>
      </c>
    </row>
    <row r="45" spans="1:7" x14ac:dyDescent="0.2">
      <c r="A45" s="55"/>
      <c r="B45" t="s">
        <v>821</v>
      </c>
      <c r="C45" t="s">
        <v>1209</v>
      </c>
      <c r="D45">
        <v>0</v>
      </c>
      <c r="E45" t="s">
        <v>1313</v>
      </c>
      <c r="F45" t="s">
        <v>1455</v>
      </c>
      <c r="G45" t="s">
        <v>1456</v>
      </c>
    </row>
    <row r="46" spans="1:7" ht="102" x14ac:dyDescent="0.2">
      <c r="A46" s="56"/>
      <c r="B46" s="4" t="s">
        <v>822</v>
      </c>
      <c r="C46" s="4" t="s">
        <v>1277</v>
      </c>
      <c r="D46" s="4">
        <v>0</v>
      </c>
      <c r="E46" s="4" t="s">
        <v>1315</v>
      </c>
      <c r="F46" s="10" t="s">
        <v>1457</v>
      </c>
      <c r="G46" s="10" t="s">
        <v>1458</v>
      </c>
    </row>
    <row r="47" spans="1:7" x14ac:dyDescent="0.2">
      <c r="A47" s="54" t="s">
        <v>1316</v>
      </c>
      <c r="B47" s="6" t="s">
        <v>816</v>
      </c>
      <c r="C47" s="6" t="s">
        <v>230</v>
      </c>
      <c r="D47" s="6">
        <v>0</v>
      </c>
      <c r="E47" s="6" t="s">
        <v>1302</v>
      </c>
      <c r="F47" s="6" t="s">
        <v>1459</v>
      </c>
      <c r="G47" s="6" t="s">
        <v>1460</v>
      </c>
    </row>
    <row r="48" spans="1:7" x14ac:dyDescent="0.2">
      <c r="A48" s="55"/>
      <c r="B48" t="s">
        <v>423</v>
      </c>
      <c r="C48" t="s">
        <v>1194</v>
      </c>
      <c r="D48">
        <v>0</v>
      </c>
      <c r="E48" t="s">
        <v>1323</v>
      </c>
      <c r="F48" t="s">
        <v>1461</v>
      </c>
      <c r="G48" t="s">
        <v>1462</v>
      </c>
    </row>
    <row r="49" spans="1:7" x14ac:dyDescent="0.2">
      <c r="A49" s="55"/>
      <c r="B49" t="s">
        <v>425</v>
      </c>
      <c r="C49" t="s">
        <v>1194</v>
      </c>
      <c r="D49">
        <v>0</v>
      </c>
      <c r="E49" t="s">
        <v>1327</v>
      </c>
      <c r="F49" t="s">
        <v>1463</v>
      </c>
      <c r="G49" t="s">
        <v>1464</v>
      </c>
    </row>
    <row r="50" spans="1:7" x14ac:dyDescent="0.2">
      <c r="A50" s="56"/>
      <c r="B50" s="4" t="s">
        <v>428</v>
      </c>
      <c r="C50" s="4" t="s">
        <v>1194</v>
      </c>
      <c r="D50" s="4">
        <v>0</v>
      </c>
      <c r="E50" s="4" t="s">
        <v>1333</v>
      </c>
      <c r="F50" s="4" t="s">
        <v>1465</v>
      </c>
      <c r="G50" s="4" t="s">
        <v>1466</v>
      </c>
    </row>
    <row r="51" spans="1:7" x14ac:dyDescent="0.2">
      <c r="A51" s="54" t="s">
        <v>1338</v>
      </c>
      <c r="B51" s="6" t="s">
        <v>817</v>
      </c>
      <c r="C51" s="6" t="s">
        <v>230</v>
      </c>
      <c r="D51" s="6">
        <v>0</v>
      </c>
      <c r="E51" s="6" t="s">
        <v>1304</v>
      </c>
      <c r="F51" s="6" t="s">
        <v>1467</v>
      </c>
      <c r="G51" s="6" t="s">
        <v>1468</v>
      </c>
    </row>
    <row r="52" spans="1:7" x14ac:dyDescent="0.2">
      <c r="A52" s="55"/>
      <c r="B52" t="s">
        <v>1144</v>
      </c>
      <c r="C52" t="s">
        <v>1194</v>
      </c>
      <c r="D52">
        <v>0</v>
      </c>
      <c r="E52" t="s">
        <v>1341</v>
      </c>
      <c r="G52" t="s">
        <v>1469</v>
      </c>
    </row>
    <row r="53" spans="1:7" x14ac:dyDescent="0.2">
      <c r="A53" s="55"/>
      <c r="B53" t="s">
        <v>1345</v>
      </c>
      <c r="C53" t="s">
        <v>1277</v>
      </c>
      <c r="D53">
        <v>0</v>
      </c>
      <c r="E53" t="s">
        <v>1346</v>
      </c>
      <c r="G53" t="s">
        <v>1470</v>
      </c>
    </row>
    <row r="54" spans="1:7" x14ac:dyDescent="0.2">
      <c r="A54" s="55"/>
      <c r="B54" t="s">
        <v>1348</v>
      </c>
      <c r="C54" t="s">
        <v>1277</v>
      </c>
      <c r="D54">
        <v>0</v>
      </c>
      <c r="E54" t="s">
        <v>1349</v>
      </c>
      <c r="G54" t="s">
        <v>1471</v>
      </c>
    </row>
    <row r="55" spans="1:7" x14ac:dyDescent="0.2">
      <c r="A55" s="55"/>
      <c r="B55" t="s">
        <v>1351</v>
      </c>
      <c r="C55" t="s">
        <v>1277</v>
      </c>
      <c r="D55">
        <v>0</v>
      </c>
      <c r="E55" t="s">
        <v>1352</v>
      </c>
      <c r="G55" t="s">
        <v>1472</v>
      </c>
    </row>
    <row r="56" spans="1:7" x14ac:dyDescent="0.2">
      <c r="A56" s="55"/>
      <c r="B56" t="s">
        <v>1354</v>
      </c>
      <c r="C56" t="s">
        <v>1277</v>
      </c>
      <c r="D56">
        <v>0</v>
      </c>
      <c r="E56" t="s">
        <v>1355</v>
      </c>
      <c r="G56" t="s">
        <v>1473</v>
      </c>
    </row>
    <row r="57" spans="1:7" x14ac:dyDescent="0.2">
      <c r="A57" s="55"/>
      <c r="B57" t="s">
        <v>1357</v>
      </c>
      <c r="C57" t="s">
        <v>1277</v>
      </c>
      <c r="D57">
        <v>0</v>
      </c>
      <c r="E57" t="s">
        <v>1358</v>
      </c>
      <c r="G57" t="s">
        <v>1474</v>
      </c>
    </row>
    <row r="58" spans="1:7" x14ac:dyDescent="0.2">
      <c r="A58" s="55"/>
      <c r="B58" t="s">
        <v>1360</v>
      </c>
      <c r="C58" t="s">
        <v>1277</v>
      </c>
      <c r="D58">
        <v>0</v>
      </c>
      <c r="E58" t="s">
        <v>1361</v>
      </c>
      <c r="G58" t="s">
        <v>1475</v>
      </c>
    </row>
    <row r="59" spans="1:7" x14ac:dyDescent="0.2">
      <c r="A59" s="56"/>
      <c r="B59" s="4" t="s">
        <v>1363</v>
      </c>
      <c r="C59" s="4" t="s">
        <v>1277</v>
      </c>
      <c r="D59" s="4">
        <v>0</v>
      </c>
      <c r="E59" s="4" t="s">
        <v>1364</v>
      </c>
      <c r="F59" s="4"/>
      <c r="G59" s="4" t="s">
        <v>1476</v>
      </c>
    </row>
  </sheetData>
  <mergeCells count="7">
    <mergeCell ref="A51:A59"/>
    <mergeCell ref="A2:A11"/>
    <mergeCell ref="A12:A16"/>
    <mergeCell ref="A17:A20"/>
    <mergeCell ref="A21:A37"/>
    <mergeCell ref="A39:A46"/>
    <mergeCell ref="A47:A5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D89E9-EA4B-C640-B138-C8F896FC28BB}">
  <sheetPr codeName="Hoja4"/>
  <dimension ref="A1:AA831"/>
  <sheetViews>
    <sheetView zoomScale="187" workbookViewId="0">
      <selection activeCell="W10" sqref="W10"/>
    </sheetView>
  </sheetViews>
  <sheetFormatPr baseColWidth="10" defaultRowHeight="16" x14ac:dyDescent="0.2"/>
  <cols>
    <col min="3" max="3" width="16.83203125" customWidth="1"/>
    <col min="6" max="6" width="18.33203125" customWidth="1"/>
    <col min="11" max="11" width="17.1640625" customWidth="1"/>
    <col min="15" max="15" width="19.1640625" customWidth="1"/>
  </cols>
  <sheetData>
    <row r="1" spans="1:27" x14ac:dyDescent="0.2">
      <c r="A1" t="s">
        <v>1368</v>
      </c>
      <c r="B1">
        <f>COUNTA(Orders[orderID])</f>
        <v>830</v>
      </c>
    </row>
    <row r="2" spans="1:27" x14ac:dyDescent="0.2">
      <c r="A2" t="s">
        <v>1370</v>
      </c>
      <c r="B2" t="str" cm="1">
        <f t="array" ref="B2:B92">Customers[customerID]</f>
        <v>ALFKI</v>
      </c>
      <c r="C2" t="str" cm="1">
        <f t="array" ref="C2:C92">Customers[companyName]</f>
        <v>Alfreds Futterkiste</v>
      </c>
      <c r="D2" cm="1">
        <f t="array" ref="D2">COUNTA(_xlfn._xlws.FILTER(Orders[orderID],Orders[customerID]=B2))</f>
        <v>6</v>
      </c>
      <c r="E2" t="str" cm="1">
        <f t="array" ref="E2:G92">_xlfn._xlws.SORT(B2:D92, 3, -1)</f>
        <v>SAVEA</v>
      </c>
      <c r="F2" t="str">
        <v>Save-a-lot Markets</v>
      </c>
      <c r="G2">
        <v>31</v>
      </c>
      <c r="I2" t="s">
        <v>1380</v>
      </c>
      <c r="J2" cm="1">
        <f t="array" ref="J2:J4">Shippers[shipperID]</f>
        <v>1</v>
      </c>
      <c r="K2" t="str" cm="1">
        <f t="array" ref="K2:K4">Shippers[companyName]</f>
        <v>Speedy Express</v>
      </c>
      <c r="L2" cm="1">
        <f t="array" ref="L2">COUNTA(_xlfn._xlws.FILTER(Orders[orderID],Orders[shipVia]=J2))</f>
        <v>249</v>
      </c>
      <c r="M2" t="s">
        <v>1491</v>
      </c>
      <c r="N2" cm="1">
        <f t="array" ref="N2:N10">Employee[employeeID]</f>
        <v>1</v>
      </c>
      <c r="O2" t="str" cm="1">
        <f t="array" ref="O2:O10">Employee[lastName] &amp; "-" &amp; Employee[firstName]</f>
        <v>Davolio-Nancy</v>
      </c>
      <c r="P2" cm="1">
        <f t="array" ref="P2">COUNTA(_xlfn._xlws.FILTER(Orders[orderID], Orders[employeeID]=N2))</f>
        <v>123</v>
      </c>
      <c r="Q2" cm="1">
        <f t="array" ref="Q2">COUNTA(_xlfn.UNIQUE(_xlfn._xlws.FILTER(Orders[customerID],Orders[employeeID]=N2)))</f>
        <v>65</v>
      </c>
      <c r="R2" t="s">
        <v>1374</v>
      </c>
      <c r="S2" s="1" cm="1">
        <f t="array" ref="S2:S831">Orders[orderDate]</f>
        <v>35250</v>
      </c>
      <c r="T2">
        <f>MONTH(S2)</f>
        <v>7</v>
      </c>
      <c r="U2">
        <f>YEAR(S2)</f>
        <v>1996</v>
      </c>
      <c r="V2" t="str">
        <f>T2&amp;"/"&amp;U2</f>
        <v>7/1996</v>
      </c>
      <c r="W2" t="str" cm="1">
        <f t="array" ref="W2:W24">_xlfn.UNIQUE(V2:V831)</f>
        <v>7/1996</v>
      </c>
      <c r="X2" s="37" cm="1">
        <f t="array" ref="X2">COUNTA(_xlfn._xlws.FILTER(_xlfn.ANCHORARRAY($S$2),$V$2:$V$831=W2))</f>
        <v>22</v>
      </c>
      <c r="Y2" s="1" cm="1">
        <f t="array" ref="Y2:Y831">Orders[requiredDate]</f>
        <v>35278</v>
      </c>
      <c r="Z2">
        <f>Y2-S2</f>
        <v>28</v>
      </c>
      <c r="AA2" s="36" cm="1">
        <f t="array" ref="AA2">AVERAGE(_xlfn._xlws.FILTER($Z$2:$Z$831,$V$2:$V$831=W2))</f>
        <v>28</v>
      </c>
    </row>
    <row r="3" spans="1:27" x14ac:dyDescent="0.2">
      <c r="B3" t="str">
        <v>ANATR</v>
      </c>
      <c r="C3" t="str">
        <v>Ana Trujillo Emparedados y helados</v>
      </c>
      <c r="D3" cm="1">
        <f t="array" ref="D3">COUNTA(_xlfn._xlws.FILTER(Orders[orderID],Orders[customerID]=B3))</f>
        <v>4</v>
      </c>
      <c r="E3" t="str">
        <v>ERNSH</v>
      </c>
      <c r="F3" t="str">
        <v>Ernst Handel</v>
      </c>
      <c r="G3">
        <v>30</v>
      </c>
      <c r="J3">
        <v>2</v>
      </c>
      <c r="K3" t="str">
        <v>United Package</v>
      </c>
      <c r="L3" cm="1">
        <f t="array" ref="L3">COUNTA(_xlfn._xlws.FILTER(Orders[orderID],Orders[shipVia]=J3))</f>
        <v>326</v>
      </c>
      <c r="M3" t="s">
        <v>1492</v>
      </c>
      <c r="N3">
        <v>2</v>
      </c>
      <c r="O3" t="str">
        <v>Fuller-Andrew</v>
      </c>
      <c r="P3" cm="1">
        <f t="array" ref="P3">COUNTA(_xlfn._xlws.FILTER(Orders[orderID], Orders[employeeID]=N3))</f>
        <v>96</v>
      </c>
      <c r="Q3" cm="1">
        <f t="array" ref="Q3">COUNTA(_xlfn.UNIQUE(_xlfn._xlws.FILTER(Orders[customerID],Orders[employeeID]=N3)))</f>
        <v>59</v>
      </c>
      <c r="R3" t="s">
        <v>1376</v>
      </c>
      <c r="S3" s="1">
        <v>35251</v>
      </c>
      <c r="T3">
        <f t="shared" ref="T3:T66" si="0">MONTH(S3)</f>
        <v>7</v>
      </c>
      <c r="U3">
        <f t="shared" ref="U3:U66" si="1">YEAR(S3)</f>
        <v>1996</v>
      </c>
      <c r="V3" t="str">
        <f t="shared" ref="V3:V66" si="2">T3&amp;"/"&amp;U3</f>
        <v>7/1996</v>
      </c>
      <c r="W3" t="str">
        <v>8/1996</v>
      </c>
      <c r="X3" s="37" cm="1">
        <f t="array" ref="X3">COUNTA(_xlfn._xlws.FILTER(_xlfn.ANCHORARRAY($S$2),$V$2:$V$831=W3))</f>
        <v>25</v>
      </c>
      <c r="Y3" s="1">
        <v>35293</v>
      </c>
      <c r="Z3">
        <f t="shared" ref="Z3:Z66" si="3">Y3-S3</f>
        <v>42</v>
      </c>
      <c r="AA3" s="36" cm="1">
        <f t="array" ref="AA3">AVERAGE(_xlfn._xlws.FILTER($Z$2:$Z$831,$V$2:$V$831=W3))</f>
        <v>26.88</v>
      </c>
    </row>
    <row r="4" spans="1:27" x14ac:dyDescent="0.2">
      <c r="B4" t="str">
        <v>ANTON</v>
      </c>
      <c r="C4" t="str">
        <v>Antonio Moreno Taquería</v>
      </c>
      <c r="D4" cm="1">
        <f t="array" ref="D4">COUNTA(_xlfn._xlws.FILTER(Orders[orderID],Orders[customerID]=B4))</f>
        <v>7</v>
      </c>
      <c r="E4" t="str">
        <v>QUICK</v>
      </c>
      <c r="F4" t="str">
        <v>QUICK-Stop</v>
      </c>
      <c r="G4">
        <v>28</v>
      </c>
      <c r="J4">
        <v>3</v>
      </c>
      <c r="K4" t="str">
        <v>Federal Shipping</v>
      </c>
      <c r="L4" cm="1">
        <f t="array" ref="L4">COUNTA(_xlfn._xlws.FILTER(Orders[orderID],Orders[shipVia]=J4))</f>
        <v>255</v>
      </c>
      <c r="N4">
        <v>3</v>
      </c>
      <c r="O4" t="str">
        <v>Leverling-Janet</v>
      </c>
      <c r="P4" cm="1">
        <f t="array" ref="P4">COUNTA(_xlfn._xlws.FILTER(Orders[orderID], Orders[employeeID]=N4))</f>
        <v>127</v>
      </c>
      <c r="Q4" cm="1">
        <f t="array" ref="Q4">COUNTA(_xlfn.UNIQUE(_xlfn._xlws.FILTER(Orders[customerID],Orders[employeeID]=N4)))</f>
        <v>63</v>
      </c>
      <c r="R4" t="s">
        <v>1493</v>
      </c>
      <c r="S4" s="1">
        <v>35254</v>
      </c>
      <c r="T4">
        <f t="shared" si="0"/>
        <v>7</v>
      </c>
      <c r="U4">
        <f t="shared" si="1"/>
        <v>1996</v>
      </c>
      <c r="V4" t="str">
        <f t="shared" si="2"/>
        <v>7/1996</v>
      </c>
      <c r="W4" t="str">
        <v>9/1996</v>
      </c>
      <c r="X4" s="37" cm="1">
        <f t="array" ref="X4">COUNTA(_xlfn._xlws.FILTER(_xlfn.ANCHORARRAY($S$2),$V$2:$V$831=W4))</f>
        <v>23</v>
      </c>
      <c r="Y4" s="1">
        <v>35282</v>
      </c>
      <c r="Z4">
        <f t="shared" si="3"/>
        <v>28</v>
      </c>
      <c r="AA4" s="36" cm="1">
        <f t="array" ref="AA4">AVERAGE(_xlfn._xlws.FILTER($Z$2:$Z$831,$V$2:$V$831=W4))</f>
        <v>28</v>
      </c>
    </row>
    <row r="5" spans="1:27" x14ac:dyDescent="0.2">
      <c r="B5" t="str">
        <v>AROUT</v>
      </c>
      <c r="C5" t="str">
        <v>Around the Horn</v>
      </c>
      <c r="D5" cm="1">
        <f t="array" ref="D5">COUNTA(_xlfn._xlws.FILTER(Orders[orderID],Orders[customerID]=B5))</f>
        <v>13</v>
      </c>
      <c r="E5" t="str">
        <v>FOLKO</v>
      </c>
      <c r="F5" t="str">
        <v>Folk och fä HB</v>
      </c>
      <c r="G5">
        <v>19</v>
      </c>
      <c r="N5">
        <v>4</v>
      </c>
      <c r="O5" t="str">
        <v>Peacock-Margaret</v>
      </c>
      <c r="P5" cm="1">
        <f t="array" ref="P5">COUNTA(_xlfn._xlws.FILTER(Orders[orderID], Orders[employeeID]=N5))</f>
        <v>156</v>
      </c>
      <c r="Q5" cm="1">
        <f t="array" ref="Q5">COUNTA(_xlfn.UNIQUE(_xlfn._xlws.FILTER(Orders[customerID],Orders[employeeID]=N5)))</f>
        <v>75</v>
      </c>
      <c r="R5" t="s">
        <v>1494</v>
      </c>
      <c r="S5" s="1">
        <v>35254</v>
      </c>
      <c r="T5">
        <f t="shared" si="0"/>
        <v>7</v>
      </c>
      <c r="U5">
        <f t="shared" si="1"/>
        <v>1996</v>
      </c>
      <c r="V5" t="str">
        <f t="shared" si="2"/>
        <v>7/1996</v>
      </c>
      <c r="W5" t="str">
        <v>10/1996</v>
      </c>
      <c r="X5" s="37" cm="1">
        <f t="array" ref="X5">COUNTA(_xlfn._xlws.FILTER(_xlfn.ANCHORARRAY($S$2),$V$2:$V$831=W5))</f>
        <v>26</v>
      </c>
      <c r="Y5" s="1">
        <v>35282</v>
      </c>
      <c r="Z5">
        <f t="shared" si="3"/>
        <v>28</v>
      </c>
      <c r="AA5" s="36" cm="1">
        <f t="array" ref="AA5">AVERAGE(_xlfn._xlws.FILTER($Z$2:$Z$831,$V$2:$V$831=W5))</f>
        <v>28</v>
      </c>
    </row>
    <row r="6" spans="1:27" x14ac:dyDescent="0.2">
      <c r="B6" t="str">
        <v>BERGS</v>
      </c>
      <c r="C6" t="str">
        <v>Berglunds snabbköp</v>
      </c>
      <c r="D6" cm="1">
        <f t="array" ref="D6">COUNTA(_xlfn._xlws.FILTER(Orders[orderID],Orders[customerID]=B6))</f>
        <v>18</v>
      </c>
      <c r="E6" t="str">
        <v>HUNGO</v>
      </c>
      <c r="F6" t="str">
        <v>Hungry Owl All-Night Grocers</v>
      </c>
      <c r="G6">
        <v>19</v>
      </c>
      <c r="N6">
        <v>5</v>
      </c>
      <c r="O6" t="str">
        <v>Buchanan-Steven</v>
      </c>
      <c r="P6" cm="1">
        <f t="array" ref="P6">COUNTA(_xlfn._xlws.FILTER(Orders[orderID], Orders[employeeID]=N6))</f>
        <v>42</v>
      </c>
      <c r="Q6" cm="1">
        <f t="array" ref="Q6">COUNTA(_xlfn.UNIQUE(_xlfn._xlws.FILTER(Orders[customerID],Orders[employeeID]=N6)))</f>
        <v>29</v>
      </c>
      <c r="S6" s="1">
        <v>35255</v>
      </c>
      <c r="T6">
        <f t="shared" si="0"/>
        <v>7</v>
      </c>
      <c r="U6">
        <f t="shared" si="1"/>
        <v>1996</v>
      </c>
      <c r="V6" t="str">
        <f t="shared" si="2"/>
        <v>7/1996</v>
      </c>
      <c r="W6" t="str">
        <v>11/1996</v>
      </c>
      <c r="X6" s="37" cm="1">
        <f t="array" ref="X6">COUNTA(_xlfn._xlws.FILTER(_xlfn.ANCHORARRAY($S$2),$V$2:$V$831=W6))</f>
        <v>25</v>
      </c>
      <c r="Y6" s="1">
        <v>35283</v>
      </c>
      <c r="Z6">
        <f t="shared" si="3"/>
        <v>28</v>
      </c>
      <c r="AA6" s="36" cm="1">
        <f t="array" ref="AA6">AVERAGE(_xlfn._xlws.FILTER($Z$2:$Z$831,$V$2:$V$831=W6))</f>
        <v>29.12</v>
      </c>
    </row>
    <row r="7" spans="1:27" x14ac:dyDescent="0.2">
      <c r="B7" t="str">
        <v>BLAUS</v>
      </c>
      <c r="C7" t="str">
        <v>Blauer See Delikatessen</v>
      </c>
      <c r="D7" cm="1">
        <f t="array" ref="D7">COUNTA(_xlfn._xlws.FILTER(Orders[orderID],Orders[customerID]=B7))</f>
        <v>7</v>
      </c>
      <c r="E7" t="str">
        <v>BERGS</v>
      </c>
      <c r="F7" t="str">
        <v>Berglunds snabbköp</v>
      </c>
      <c r="G7">
        <v>18</v>
      </c>
      <c r="N7">
        <v>6</v>
      </c>
      <c r="O7" t="str">
        <v>Suyama-Michael</v>
      </c>
      <c r="P7" cm="1">
        <f t="array" ref="P7">COUNTA(_xlfn._xlws.FILTER(Orders[orderID], Orders[employeeID]=N7))</f>
        <v>67</v>
      </c>
      <c r="Q7" cm="1">
        <f t="array" ref="Q7">COUNTA(_xlfn.UNIQUE(_xlfn._xlws.FILTER(Orders[customerID],Orders[employeeID]=N7)))</f>
        <v>43</v>
      </c>
      <c r="S7" s="1">
        <v>35256</v>
      </c>
      <c r="T7">
        <f t="shared" si="0"/>
        <v>7</v>
      </c>
      <c r="U7">
        <f t="shared" si="1"/>
        <v>1996</v>
      </c>
      <c r="V7" t="str">
        <f t="shared" si="2"/>
        <v>7/1996</v>
      </c>
      <c r="W7" t="str">
        <v>12/1996</v>
      </c>
      <c r="X7" s="37" cm="1">
        <f t="array" ref="X7">COUNTA(_xlfn._xlws.FILTER(_xlfn.ANCHORARRAY($S$2),$V$2:$V$831=W7))</f>
        <v>31</v>
      </c>
      <c r="Y7" s="1">
        <v>35270</v>
      </c>
      <c r="Z7">
        <f t="shared" si="3"/>
        <v>14</v>
      </c>
      <c r="AA7" s="36" cm="1">
        <f t="array" ref="AA7">AVERAGE(_xlfn._xlws.FILTER($Z$2:$Z$831,$V$2:$V$831=W7))</f>
        <v>26.64516129032258</v>
      </c>
    </row>
    <row r="8" spans="1:27" x14ac:dyDescent="0.2">
      <c r="B8" t="str">
        <v>BLONP</v>
      </c>
      <c r="C8" t="str">
        <v>Blondesddsl père et fils</v>
      </c>
      <c r="D8" cm="1">
        <f t="array" ref="D8">COUNTA(_xlfn._xlws.FILTER(Orders[orderID],Orders[customerID]=B8))</f>
        <v>11</v>
      </c>
      <c r="E8" t="str">
        <v>HILAA</v>
      </c>
      <c r="F8" t="str">
        <v>HILARION-Abastos</v>
      </c>
      <c r="G8">
        <v>18</v>
      </c>
      <c r="N8">
        <v>7</v>
      </c>
      <c r="O8" t="str">
        <v>King-Robert</v>
      </c>
      <c r="P8" cm="1">
        <f t="array" ref="P8">COUNTA(_xlfn._xlws.FILTER(Orders[orderID], Orders[employeeID]=N8))</f>
        <v>72</v>
      </c>
      <c r="Q8" cm="1">
        <f t="array" ref="Q8">COUNTA(_xlfn.UNIQUE(_xlfn._xlws.FILTER(Orders[customerID],Orders[employeeID]=N8)))</f>
        <v>45</v>
      </c>
      <c r="S8" s="1">
        <v>35257</v>
      </c>
      <c r="T8">
        <f t="shared" si="0"/>
        <v>7</v>
      </c>
      <c r="U8">
        <f t="shared" si="1"/>
        <v>1996</v>
      </c>
      <c r="V8" t="str">
        <f t="shared" si="2"/>
        <v>7/1996</v>
      </c>
      <c r="W8" t="str">
        <v>1/1997</v>
      </c>
      <c r="X8" s="37" cm="1">
        <f t="array" ref="X8">COUNTA(_xlfn._xlws.FILTER(_xlfn.ANCHORARRAY($S$2),$V$2:$V$831=W8))</f>
        <v>33</v>
      </c>
      <c r="Y8" s="1">
        <v>35285</v>
      </c>
      <c r="Z8">
        <f t="shared" si="3"/>
        <v>28</v>
      </c>
      <c r="AA8" s="36" cm="1">
        <f t="array" ref="AA8">AVERAGE(_xlfn._xlws.FILTER($Z$2:$Z$831,$V$2:$V$831=W8))</f>
        <v>28</v>
      </c>
    </row>
    <row r="9" spans="1:27" x14ac:dyDescent="0.2">
      <c r="B9" t="str">
        <v>BOLID</v>
      </c>
      <c r="C9" t="str">
        <v>Bólido Comidas preparadas</v>
      </c>
      <c r="D9" cm="1">
        <f t="array" ref="D9">COUNTA(_xlfn._xlws.FILTER(Orders[orderID],Orders[customerID]=B9))</f>
        <v>3</v>
      </c>
      <c r="E9" t="str">
        <v>RATTC</v>
      </c>
      <c r="F9" t="str">
        <v>Rattlesnake Canyon Grocery</v>
      </c>
      <c r="G9">
        <v>18</v>
      </c>
      <c r="N9">
        <v>8</v>
      </c>
      <c r="O9" t="str">
        <v>Callahan-Laura</v>
      </c>
      <c r="P9" cm="1">
        <f t="array" ref="P9">COUNTA(_xlfn._xlws.FILTER(Orders[orderID], Orders[employeeID]=N9))</f>
        <v>104</v>
      </c>
      <c r="Q9" cm="1">
        <f t="array" ref="Q9">COUNTA(_xlfn.UNIQUE(_xlfn._xlws.FILTER(Orders[customerID],Orders[employeeID]=N9)))</f>
        <v>56</v>
      </c>
      <c r="S9" s="1">
        <v>35258</v>
      </c>
      <c r="T9">
        <f t="shared" si="0"/>
        <v>7</v>
      </c>
      <c r="U9">
        <f t="shared" si="1"/>
        <v>1996</v>
      </c>
      <c r="V9" t="str">
        <f t="shared" si="2"/>
        <v>7/1996</v>
      </c>
      <c r="W9" t="str">
        <v>2/1997</v>
      </c>
      <c r="X9" s="37" cm="1">
        <f t="array" ref="X9">COUNTA(_xlfn._xlws.FILTER(_xlfn.ANCHORARRAY($S$2),$V$2:$V$831=W9))</f>
        <v>29</v>
      </c>
      <c r="Y9" s="1">
        <v>35286</v>
      </c>
      <c r="Z9">
        <f t="shared" si="3"/>
        <v>28</v>
      </c>
      <c r="AA9" s="36" cm="1">
        <f t="array" ref="AA9">AVERAGE(_xlfn._xlws.FILTER($Z$2:$Z$831,$V$2:$V$831=W9))</f>
        <v>29.448275862068964</v>
      </c>
    </row>
    <row r="10" spans="1:27" x14ac:dyDescent="0.2">
      <c r="B10" t="str">
        <v>BONAP</v>
      </c>
      <c r="C10" t="str">
        <v>Bon app'</v>
      </c>
      <c r="D10" cm="1">
        <f t="array" ref="D10">COUNTA(_xlfn._xlws.FILTER(Orders[orderID],Orders[customerID]=B10))</f>
        <v>17</v>
      </c>
      <c r="E10" t="str">
        <v>BONAP</v>
      </c>
      <c r="F10" t="str">
        <v>Bon app'</v>
      </c>
      <c r="G10">
        <v>17</v>
      </c>
      <c r="N10">
        <v>9</v>
      </c>
      <c r="O10" t="str">
        <v>Dodsworth-Anne</v>
      </c>
      <c r="P10" cm="1">
        <f t="array" ref="P10">COUNTA(_xlfn._xlws.FILTER(Orders[orderID], Orders[employeeID]=N10))</f>
        <v>43</v>
      </c>
      <c r="Q10" cm="1">
        <f t="array" ref="Q10">COUNTA(_xlfn.UNIQUE(_xlfn._xlws.FILTER(Orders[customerID],Orders[employeeID]=N10)))</f>
        <v>29</v>
      </c>
      <c r="S10" s="1">
        <v>35261</v>
      </c>
      <c r="T10">
        <f t="shared" si="0"/>
        <v>7</v>
      </c>
      <c r="U10">
        <f t="shared" si="1"/>
        <v>1996</v>
      </c>
      <c r="V10" t="str">
        <f t="shared" si="2"/>
        <v>7/1996</v>
      </c>
      <c r="W10" t="str">
        <v>3/1997</v>
      </c>
      <c r="X10" s="37" cm="1">
        <f t="array" ref="X10">COUNTA(_xlfn._xlws.FILTER(_xlfn.ANCHORARRAY($S$2),$V$2:$V$831=W10))</f>
        <v>30</v>
      </c>
      <c r="Y10" s="1">
        <v>35289</v>
      </c>
      <c r="Z10">
        <f t="shared" si="3"/>
        <v>28</v>
      </c>
      <c r="AA10" s="36" cm="1">
        <f t="array" ref="AA10">AVERAGE(_xlfn._xlws.FILTER($Z$2:$Z$831,$V$2:$V$831=W10))</f>
        <v>26.6</v>
      </c>
    </row>
    <row r="11" spans="1:27" x14ac:dyDescent="0.2">
      <c r="B11" t="str">
        <v>BOTTM</v>
      </c>
      <c r="C11" t="str">
        <v>Bottom-Dollar Markets</v>
      </c>
      <c r="D11" cm="1">
        <f t="array" ref="D11">COUNTA(_xlfn._xlws.FILTER(Orders[orderID],Orders[customerID]=B11))</f>
        <v>14</v>
      </c>
      <c r="E11" t="str">
        <v>FRANK</v>
      </c>
      <c r="F11" t="str">
        <v>Frankenversand</v>
      </c>
      <c r="G11">
        <v>15</v>
      </c>
      <c r="S11" s="1">
        <v>35262</v>
      </c>
      <c r="T11">
        <f t="shared" si="0"/>
        <v>7</v>
      </c>
      <c r="U11">
        <f t="shared" si="1"/>
        <v>1996</v>
      </c>
      <c r="V11" t="str">
        <f t="shared" si="2"/>
        <v>7/1996</v>
      </c>
      <c r="W11" t="str">
        <v>4/1997</v>
      </c>
      <c r="X11" s="37" cm="1">
        <f t="array" ref="X11">COUNTA(_xlfn._xlws.FILTER(_xlfn.ANCHORARRAY($S$2),$V$2:$V$831=W11))</f>
        <v>31</v>
      </c>
      <c r="Y11" s="1">
        <v>35290</v>
      </c>
      <c r="Z11">
        <f t="shared" si="3"/>
        <v>28</v>
      </c>
      <c r="AA11" s="36" cm="1">
        <f t="array" ref="AA11">AVERAGE(_xlfn._xlws.FILTER($Z$2:$Z$831,$V$2:$V$831=W11))</f>
        <v>27.548387096774192</v>
      </c>
    </row>
    <row r="12" spans="1:27" x14ac:dyDescent="0.2">
      <c r="B12" t="str">
        <v>BSBEV</v>
      </c>
      <c r="C12" t="str">
        <v>B's Beverages</v>
      </c>
      <c r="D12" cm="1">
        <f t="array" ref="D12">COUNTA(_xlfn._xlws.FILTER(Orders[orderID],Orders[customerID]=B12))</f>
        <v>10</v>
      </c>
      <c r="E12" t="str">
        <v>LEHMS</v>
      </c>
      <c r="F12" t="str">
        <v>Lehmanns Marktstand</v>
      </c>
      <c r="G12">
        <v>15</v>
      </c>
      <c r="S12" s="1">
        <v>35263</v>
      </c>
      <c r="T12">
        <f t="shared" si="0"/>
        <v>7</v>
      </c>
      <c r="U12">
        <f t="shared" si="1"/>
        <v>1996</v>
      </c>
      <c r="V12" t="str">
        <f t="shared" si="2"/>
        <v>7/1996</v>
      </c>
      <c r="W12" t="str">
        <v>5/1997</v>
      </c>
      <c r="X12" s="37" cm="1">
        <f t="array" ref="X12">COUNTA(_xlfn._xlws.FILTER(_xlfn.ANCHORARRAY($S$2),$V$2:$V$831=W12))</f>
        <v>32</v>
      </c>
      <c r="Y12" s="1">
        <v>35291</v>
      </c>
      <c r="Z12">
        <f t="shared" si="3"/>
        <v>28</v>
      </c>
      <c r="AA12" s="36" cm="1">
        <f t="array" ref="AA12">AVERAGE(_xlfn._xlws.FILTER($Z$2:$Z$831,$V$2:$V$831=W12))</f>
        <v>27.125</v>
      </c>
    </row>
    <row r="13" spans="1:27" x14ac:dyDescent="0.2">
      <c r="B13" t="str">
        <v>CACTU</v>
      </c>
      <c r="C13" t="str">
        <v>Cactus Comidas para llevar</v>
      </c>
      <c r="D13" cm="1">
        <f t="array" ref="D13">COUNTA(_xlfn._xlws.FILTER(Orders[orderID],Orders[customerID]=B13))</f>
        <v>6</v>
      </c>
      <c r="E13" t="str">
        <v>WARTH</v>
      </c>
      <c r="F13" t="str">
        <v>Wartian Herkku</v>
      </c>
      <c r="G13">
        <v>15</v>
      </c>
      <c r="S13" s="1">
        <v>35264</v>
      </c>
      <c r="T13">
        <f t="shared" si="0"/>
        <v>7</v>
      </c>
      <c r="U13">
        <f t="shared" si="1"/>
        <v>1996</v>
      </c>
      <c r="V13" t="str">
        <f t="shared" si="2"/>
        <v>7/1996</v>
      </c>
      <c r="W13" t="str">
        <v>6/1997</v>
      </c>
      <c r="X13" s="37" cm="1">
        <f t="array" ref="X13">COUNTA(_xlfn._xlws.FILTER(_xlfn.ANCHORARRAY($S$2),$V$2:$V$831=W13))</f>
        <v>30</v>
      </c>
      <c r="Y13" s="1">
        <v>35292</v>
      </c>
      <c r="Z13">
        <f t="shared" si="3"/>
        <v>28</v>
      </c>
      <c r="AA13" s="36" cm="1">
        <f t="array" ref="AA13">AVERAGE(_xlfn._xlws.FILTER($Z$2:$Z$831,$V$2:$V$831=W13))</f>
        <v>28.466666666666665</v>
      </c>
    </row>
    <row r="14" spans="1:27" x14ac:dyDescent="0.2">
      <c r="B14" t="str">
        <v>CENTC</v>
      </c>
      <c r="C14" t="str">
        <v>Centro comercial Moctezuma</v>
      </c>
      <c r="D14" cm="1">
        <f t="array" ref="D14">COUNTA(_xlfn._xlws.FILTER(Orders[orderID],Orders[customerID]=B14))</f>
        <v>1</v>
      </c>
      <c r="E14" t="str">
        <v>BOTTM</v>
      </c>
      <c r="F14" t="str">
        <v>Bottom-Dollar Markets</v>
      </c>
      <c r="G14">
        <v>14</v>
      </c>
      <c r="S14" s="1">
        <v>35265</v>
      </c>
      <c r="T14">
        <f t="shared" si="0"/>
        <v>7</v>
      </c>
      <c r="U14">
        <f t="shared" si="1"/>
        <v>1996</v>
      </c>
      <c r="V14" t="str">
        <f t="shared" si="2"/>
        <v>7/1996</v>
      </c>
      <c r="W14" t="str">
        <v>7/1997</v>
      </c>
      <c r="X14" s="37" cm="1">
        <f t="array" ref="X14">COUNTA(_xlfn._xlws.FILTER(_xlfn.ANCHORARRAY($S$2),$V$2:$V$831=W14))</f>
        <v>33</v>
      </c>
      <c r="Y14" s="1">
        <v>35293</v>
      </c>
      <c r="Z14">
        <f t="shared" si="3"/>
        <v>28</v>
      </c>
      <c r="AA14" s="36" cm="1">
        <f t="array" ref="AA14">AVERAGE(_xlfn._xlws.FILTER($Z$2:$Z$831,$V$2:$V$831=W14))</f>
        <v>28.424242424242426</v>
      </c>
    </row>
    <row r="15" spans="1:27" x14ac:dyDescent="0.2">
      <c r="B15" t="str">
        <v>CHOPS</v>
      </c>
      <c r="C15" t="str">
        <v>Chop-suey Chinese</v>
      </c>
      <c r="D15" cm="1">
        <f t="array" ref="D15">COUNTA(_xlfn._xlws.FILTER(Orders[orderID],Orders[customerID]=B15))</f>
        <v>8</v>
      </c>
      <c r="E15" t="str">
        <v>HANAR</v>
      </c>
      <c r="F15" t="str">
        <v>Hanari Carnes</v>
      </c>
      <c r="G15">
        <v>14</v>
      </c>
      <c r="S15" s="1">
        <v>35265</v>
      </c>
      <c r="T15">
        <f t="shared" si="0"/>
        <v>7</v>
      </c>
      <c r="U15">
        <f t="shared" si="1"/>
        <v>1996</v>
      </c>
      <c r="V15" t="str">
        <f t="shared" si="2"/>
        <v>7/1996</v>
      </c>
      <c r="W15" t="str">
        <v>8/1997</v>
      </c>
      <c r="X15" s="37" cm="1">
        <f t="array" ref="X15">COUNTA(_xlfn._xlws.FILTER(_xlfn.ANCHORARRAY($S$2),$V$2:$V$831=W15))</f>
        <v>33</v>
      </c>
      <c r="Y15" s="1">
        <v>35293</v>
      </c>
      <c r="Z15">
        <f t="shared" si="3"/>
        <v>28</v>
      </c>
      <c r="AA15" s="36" cm="1">
        <f t="array" ref="AA15">AVERAGE(_xlfn._xlws.FILTER($Z$2:$Z$831,$V$2:$V$831=W15))</f>
        <v>29.272727272727273</v>
      </c>
    </row>
    <row r="16" spans="1:27" x14ac:dyDescent="0.2">
      <c r="B16" t="str">
        <v>COMMI</v>
      </c>
      <c r="C16" t="str">
        <v>Comércio Mineiro</v>
      </c>
      <c r="D16" cm="1">
        <f t="array" ref="D16">COUNTA(_xlfn._xlws.FILTER(Orders[orderID],Orders[customerID]=B16))</f>
        <v>5</v>
      </c>
      <c r="E16" t="str">
        <v>KOENE</v>
      </c>
      <c r="F16" t="str">
        <v>Königlich Essen</v>
      </c>
      <c r="G16">
        <v>14</v>
      </c>
      <c r="S16" s="1">
        <v>35268</v>
      </c>
      <c r="T16">
        <f t="shared" si="0"/>
        <v>7</v>
      </c>
      <c r="U16">
        <f t="shared" si="1"/>
        <v>1996</v>
      </c>
      <c r="V16" t="str">
        <f t="shared" si="2"/>
        <v>7/1996</v>
      </c>
      <c r="W16" t="str">
        <v>9/1997</v>
      </c>
      <c r="X16" s="37" cm="1">
        <f t="array" ref="X16">COUNTA(_xlfn._xlws.FILTER(_xlfn.ANCHORARRAY($S$2),$V$2:$V$831=W16))</f>
        <v>37</v>
      </c>
      <c r="Y16" s="1">
        <v>35296</v>
      </c>
      <c r="Z16">
        <f t="shared" si="3"/>
        <v>28</v>
      </c>
      <c r="AA16" s="36" cm="1">
        <f t="array" ref="AA16">AVERAGE(_xlfn._xlws.FILTER($Z$2:$Z$831,$V$2:$V$831=W16))</f>
        <v>26.864864864864863</v>
      </c>
    </row>
    <row r="17" spans="2:27" x14ac:dyDescent="0.2">
      <c r="B17" t="str">
        <v>CONSH</v>
      </c>
      <c r="C17" t="str">
        <v>Consolidated Holdings</v>
      </c>
      <c r="D17" cm="1">
        <f t="array" ref="D17">COUNTA(_xlfn._xlws.FILTER(Orders[orderID],Orders[customerID]=B17))</f>
        <v>3</v>
      </c>
      <c r="E17" t="str">
        <v>LAMAI</v>
      </c>
      <c r="F17" t="str">
        <v>La maison d'Asie</v>
      </c>
      <c r="G17">
        <v>14</v>
      </c>
      <c r="S17" s="1">
        <v>35269</v>
      </c>
      <c r="T17">
        <f t="shared" si="0"/>
        <v>7</v>
      </c>
      <c r="U17">
        <f t="shared" si="1"/>
        <v>1996</v>
      </c>
      <c r="V17" t="str">
        <f t="shared" si="2"/>
        <v>7/1996</v>
      </c>
      <c r="W17" t="str">
        <v>10/1997</v>
      </c>
      <c r="X17" s="37" cm="1">
        <f t="array" ref="X17">COUNTA(_xlfn._xlws.FILTER(_xlfn.ANCHORARRAY($S$2),$V$2:$V$831=W17))</f>
        <v>38</v>
      </c>
      <c r="Y17" s="1">
        <v>35297</v>
      </c>
      <c r="Z17">
        <f t="shared" si="3"/>
        <v>28</v>
      </c>
      <c r="AA17" s="36" cm="1">
        <f t="array" ref="AA17">AVERAGE(_xlfn._xlws.FILTER($Z$2:$Z$831,$V$2:$V$831=W17))</f>
        <v>28.736842105263158</v>
      </c>
    </row>
    <row r="18" spans="2:27" x14ac:dyDescent="0.2">
      <c r="B18" t="str">
        <v>DRACD</v>
      </c>
      <c r="C18" t="str">
        <v>Drachenblut Delikatessen</v>
      </c>
      <c r="D18" cm="1">
        <f t="array" ref="D18">COUNTA(_xlfn._xlws.FILTER(Orders[orderID],Orders[customerID]=B18))</f>
        <v>6</v>
      </c>
      <c r="E18" t="str">
        <v>LILAS</v>
      </c>
      <c r="F18" t="str">
        <v>LILA-Supermercado</v>
      </c>
      <c r="G18">
        <v>14</v>
      </c>
      <c r="S18" s="1">
        <v>35270</v>
      </c>
      <c r="T18">
        <f t="shared" si="0"/>
        <v>7</v>
      </c>
      <c r="U18">
        <f t="shared" si="1"/>
        <v>1996</v>
      </c>
      <c r="V18" t="str">
        <f t="shared" si="2"/>
        <v>7/1996</v>
      </c>
      <c r="W18" t="str">
        <v>11/1997</v>
      </c>
      <c r="X18" s="37" cm="1">
        <f t="array" ref="X18">COUNTA(_xlfn._xlws.FILTER(_xlfn.ANCHORARRAY($S$2),$V$2:$V$831=W18))</f>
        <v>34</v>
      </c>
      <c r="Y18" s="1">
        <v>35298</v>
      </c>
      <c r="Z18">
        <f t="shared" si="3"/>
        <v>28</v>
      </c>
      <c r="AA18" s="36" cm="1">
        <f t="array" ref="AA18">AVERAGE(_xlfn._xlws.FILTER($Z$2:$Z$831,$V$2:$V$831=W18))</f>
        <v>27.588235294117649</v>
      </c>
    </row>
    <row r="19" spans="2:27" x14ac:dyDescent="0.2">
      <c r="B19" t="str">
        <v>DUMON</v>
      </c>
      <c r="C19" t="str">
        <v>Du monde entier</v>
      </c>
      <c r="D19" cm="1">
        <f t="array" ref="D19">COUNTA(_xlfn._xlws.FILTER(Orders[orderID],Orders[customerID]=B19))</f>
        <v>4</v>
      </c>
      <c r="E19" t="str">
        <v>WHITC</v>
      </c>
      <c r="F19" t="str">
        <v>White Clover Markets</v>
      </c>
      <c r="G19">
        <v>14</v>
      </c>
      <c r="S19" s="1">
        <v>35271</v>
      </c>
      <c r="T19">
        <f t="shared" si="0"/>
        <v>7</v>
      </c>
      <c r="U19">
        <f t="shared" si="1"/>
        <v>1996</v>
      </c>
      <c r="V19" t="str">
        <f t="shared" si="2"/>
        <v>7/1996</v>
      </c>
      <c r="W19" t="str">
        <v>12/1997</v>
      </c>
      <c r="X19" s="37" cm="1">
        <f t="array" ref="X19">COUNTA(_xlfn._xlws.FILTER(_xlfn.ANCHORARRAY($S$2),$V$2:$V$831=W19))</f>
        <v>48</v>
      </c>
      <c r="Y19" s="1">
        <v>35299</v>
      </c>
      <c r="Z19">
        <f t="shared" si="3"/>
        <v>28</v>
      </c>
      <c r="AA19" s="36" cm="1">
        <f t="array" ref="AA19">AVERAGE(_xlfn._xlws.FILTER($Z$2:$Z$831,$V$2:$V$831=W19))</f>
        <v>27.125</v>
      </c>
    </row>
    <row r="20" spans="2:27" x14ac:dyDescent="0.2">
      <c r="B20" t="str">
        <v>EASTC</v>
      </c>
      <c r="C20" t="str">
        <v>Eastern Connection</v>
      </c>
      <c r="D20" cm="1">
        <f t="array" ref="D20">COUNTA(_xlfn._xlws.FILTER(Orders[orderID],Orders[customerID]=B20))</f>
        <v>8</v>
      </c>
      <c r="E20" t="str">
        <v>AROUT</v>
      </c>
      <c r="F20" t="str">
        <v>Around the Horn</v>
      </c>
      <c r="G20">
        <v>13</v>
      </c>
      <c r="S20" s="1">
        <v>35272</v>
      </c>
      <c r="T20">
        <f t="shared" si="0"/>
        <v>7</v>
      </c>
      <c r="U20">
        <f t="shared" si="1"/>
        <v>1996</v>
      </c>
      <c r="V20" t="str">
        <f t="shared" si="2"/>
        <v>7/1996</v>
      </c>
      <c r="W20" t="str">
        <v>1/1998</v>
      </c>
      <c r="X20" s="37" cm="1">
        <f t="array" ref="X20">COUNTA(_xlfn._xlws.FILTER(_xlfn.ANCHORARRAY($S$2),$V$2:$V$831=W20))</f>
        <v>55</v>
      </c>
      <c r="Y20" s="1">
        <v>35314</v>
      </c>
      <c r="Z20">
        <f t="shared" si="3"/>
        <v>42</v>
      </c>
      <c r="AA20" s="36" cm="1">
        <f t="array" ref="AA20">AVERAGE(_xlfn._xlws.FILTER($Z$2:$Z$831,$V$2:$V$831=W20))</f>
        <v>27.745454545454546</v>
      </c>
    </row>
    <row r="21" spans="2:27" x14ac:dyDescent="0.2">
      <c r="B21" t="str">
        <v>ERNSH</v>
      </c>
      <c r="C21" t="str">
        <v>Ernst Handel</v>
      </c>
      <c r="D21" cm="1">
        <f t="array" ref="D21">COUNTA(_xlfn._xlws.FILTER(Orders[orderID],Orders[customerID]=B21))</f>
        <v>30</v>
      </c>
      <c r="E21" t="str">
        <v>MEREP</v>
      </c>
      <c r="F21" t="str">
        <v>Mère Paillarde</v>
      </c>
      <c r="G21">
        <v>13</v>
      </c>
      <c r="S21" s="1">
        <v>35275</v>
      </c>
      <c r="T21">
        <f t="shared" si="0"/>
        <v>7</v>
      </c>
      <c r="U21">
        <f t="shared" si="1"/>
        <v>1996</v>
      </c>
      <c r="V21" t="str">
        <f t="shared" si="2"/>
        <v>7/1996</v>
      </c>
      <c r="W21" t="str">
        <v>2/1998</v>
      </c>
      <c r="X21" s="37" cm="1">
        <f t="array" ref="X21">COUNTA(_xlfn._xlws.FILTER(_xlfn.ANCHORARRAY($S$2),$V$2:$V$831=W21))</f>
        <v>54</v>
      </c>
      <c r="Y21" s="1">
        <v>35303</v>
      </c>
      <c r="Z21">
        <f t="shared" si="3"/>
        <v>28</v>
      </c>
      <c r="AA21" s="36" cm="1">
        <f t="array" ref="AA21">AVERAGE(_xlfn._xlws.FILTER($Z$2:$Z$831,$V$2:$V$831=W21))</f>
        <v>28</v>
      </c>
    </row>
    <row r="22" spans="2:27" x14ac:dyDescent="0.2">
      <c r="B22" t="str">
        <v>FAMIA</v>
      </c>
      <c r="C22" t="str">
        <v>Familia Arquibaldo</v>
      </c>
      <c r="D22" cm="1">
        <f t="array" ref="D22">COUNTA(_xlfn._xlws.FILTER(Orders[orderID],Orders[customerID]=B22))</f>
        <v>7</v>
      </c>
      <c r="E22" t="str">
        <v>QUEEN</v>
      </c>
      <c r="F22" t="str">
        <v>Queen Cozinha</v>
      </c>
      <c r="G22">
        <v>13</v>
      </c>
      <c r="S22" s="1">
        <v>35276</v>
      </c>
      <c r="T22">
        <f t="shared" si="0"/>
        <v>7</v>
      </c>
      <c r="U22">
        <f t="shared" si="1"/>
        <v>1996</v>
      </c>
      <c r="V22" t="str">
        <f t="shared" si="2"/>
        <v>7/1996</v>
      </c>
      <c r="W22" t="str">
        <v>3/1998</v>
      </c>
      <c r="X22" s="37" cm="1">
        <f t="array" ref="X22">COUNTA(_xlfn._xlws.FILTER(_xlfn.ANCHORARRAY($S$2),$V$2:$V$831=W22))</f>
        <v>73</v>
      </c>
      <c r="Y22" s="1">
        <v>35304</v>
      </c>
      <c r="Z22">
        <f t="shared" si="3"/>
        <v>28</v>
      </c>
      <c r="AA22" s="36" cm="1">
        <f t="array" ref="AA22">AVERAGE(_xlfn._xlws.FILTER($Z$2:$Z$831,$V$2:$V$831=W22))</f>
        <v>28.575342465753426</v>
      </c>
    </row>
    <row r="23" spans="2:27" x14ac:dyDescent="0.2">
      <c r="B23" t="str">
        <v>FISSA</v>
      </c>
      <c r="C23" t="str">
        <v>FISSA Fabrica Inter. Salchichas S.A.</v>
      </c>
      <c r="D23" cm="1">
        <f t="array" ref="D23">COUNTA(_xlfn._xlws.FILTER(Orders[orderID],Orders[customerID]=B23))</f>
        <v>1</v>
      </c>
      <c r="E23" t="str">
        <v>LINOD</v>
      </c>
      <c r="F23" t="str">
        <v>LINO-Delicateses</v>
      </c>
      <c r="G23">
        <v>12</v>
      </c>
      <c r="S23" s="1">
        <v>35277</v>
      </c>
      <c r="T23">
        <f t="shared" si="0"/>
        <v>7</v>
      </c>
      <c r="U23">
        <f t="shared" si="1"/>
        <v>1996</v>
      </c>
      <c r="V23" t="str">
        <f t="shared" si="2"/>
        <v>7/1996</v>
      </c>
      <c r="W23" t="str">
        <v>4/1998</v>
      </c>
      <c r="X23" s="37" cm="1">
        <f t="array" ref="X23">COUNTA(_xlfn._xlws.FILTER(_xlfn.ANCHORARRAY($S$2),$V$2:$V$831=W23))</f>
        <v>74</v>
      </c>
      <c r="Y23" s="1">
        <v>35291</v>
      </c>
      <c r="Z23">
        <f t="shared" si="3"/>
        <v>14</v>
      </c>
      <c r="AA23" s="36" cm="1">
        <f t="array" ref="AA23">AVERAGE(_xlfn._xlws.FILTER($Z$2:$Z$831,$V$2:$V$831=W23))</f>
        <v>27.621621621621621</v>
      </c>
    </row>
    <row r="24" spans="2:27" x14ac:dyDescent="0.2">
      <c r="B24" t="str">
        <v>FOLIG</v>
      </c>
      <c r="C24" t="str">
        <v>Folies gourmandes</v>
      </c>
      <c r="D24" cm="1">
        <f t="array" ref="D24">COUNTA(_xlfn._xlws.FILTER(Orders[orderID],Orders[customerID]=B24))</f>
        <v>5</v>
      </c>
      <c r="E24" t="str">
        <v>REGGC</v>
      </c>
      <c r="F24" t="str">
        <v>Reggiani Caseifici</v>
      </c>
      <c r="G24">
        <v>12</v>
      </c>
      <c r="S24" s="1">
        <v>35278</v>
      </c>
      <c r="T24">
        <f t="shared" si="0"/>
        <v>8</v>
      </c>
      <c r="U24">
        <f t="shared" si="1"/>
        <v>1996</v>
      </c>
      <c r="V24" t="str">
        <f t="shared" si="2"/>
        <v>8/1996</v>
      </c>
      <c r="W24" t="str">
        <v>5/1998</v>
      </c>
      <c r="X24" s="37" cm="1">
        <f t="array" ref="X24">COUNTA(_xlfn._xlws.FILTER(_xlfn.ANCHORARRAY($S$2),$V$2:$V$831=W24))</f>
        <v>14</v>
      </c>
      <c r="Y24" s="1">
        <v>35306</v>
      </c>
      <c r="Z24">
        <f t="shared" si="3"/>
        <v>28</v>
      </c>
      <c r="AA24" s="36" cm="1">
        <f t="array" ref="AA24">AVERAGE(_xlfn._xlws.FILTER($Z$2:$Z$831,$V$2:$V$831=W24))</f>
        <v>27</v>
      </c>
    </row>
    <row r="25" spans="2:27" x14ac:dyDescent="0.2">
      <c r="B25" t="str">
        <v>FOLKO</v>
      </c>
      <c r="C25" t="str">
        <v>Folk och fä HB</v>
      </c>
      <c r="D25" cm="1">
        <f t="array" ref="D25">COUNTA(_xlfn._xlws.FILTER(Orders[orderID],Orders[customerID]=B25))</f>
        <v>19</v>
      </c>
      <c r="E25" t="str">
        <v>SUPRD</v>
      </c>
      <c r="F25" t="str">
        <v>Suprêmes délices</v>
      </c>
      <c r="G25">
        <v>12</v>
      </c>
      <c r="S25" s="1">
        <v>35278</v>
      </c>
      <c r="T25">
        <f t="shared" si="0"/>
        <v>8</v>
      </c>
      <c r="U25">
        <f t="shared" si="1"/>
        <v>1996</v>
      </c>
      <c r="V25" t="str">
        <f t="shared" si="2"/>
        <v>8/1996</v>
      </c>
      <c r="Y25" s="1">
        <v>35306</v>
      </c>
      <c r="Z25">
        <f t="shared" si="3"/>
        <v>28</v>
      </c>
    </row>
    <row r="26" spans="2:27" x14ac:dyDescent="0.2">
      <c r="B26" t="str">
        <v>FRANK</v>
      </c>
      <c r="C26" t="str">
        <v>Frankenversand</v>
      </c>
      <c r="D26" cm="1">
        <f t="array" ref="D26">COUNTA(_xlfn._xlws.FILTER(Orders[orderID],Orders[customerID]=B26))</f>
        <v>15</v>
      </c>
      <c r="E26" t="str">
        <v>BLONP</v>
      </c>
      <c r="F26" t="str">
        <v>Blondesddsl père et fils</v>
      </c>
      <c r="G26">
        <v>11</v>
      </c>
      <c r="S26" s="1">
        <v>35279</v>
      </c>
      <c r="T26">
        <f t="shared" si="0"/>
        <v>8</v>
      </c>
      <c r="U26">
        <f t="shared" si="1"/>
        <v>1996</v>
      </c>
      <c r="V26" t="str">
        <f t="shared" si="2"/>
        <v>8/1996</v>
      </c>
      <c r="Y26" s="1">
        <v>35307</v>
      </c>
      <c r="Z26">
        <f t="shared" si="3"/>
        <v>28</v>
      </c>
    </row>
    <row r="27" spans="2:27" x14ac:dyDescent="0.2">
      <c r="B27" t="str">
        <v>FRANR</v>
      </c>
      <c r="C27" t="str">
        <v>France restauration</v>
      </c>
      <c r="D27" cm="1">
        <f t="array" ref="D27">COUNTA(_xlfn._xlws.FILTER(Orders[orderID],Orders[customerID]=B27))</f>
        <v>3</v>
      </c>
      <c r="E27" t="str">
        <v>GREAL</v>
      </c>
      <c r="F27" t="str">
        <v>Great Lakes Food Market</v>
      </c>
      <c r="G27">
        <v>11</v>
      </c>
      <c r="S27" s="1">
        <v>35282</v>
      </c>
      <c r="T27">
        <f t="shared" si="0"/>
        <v>8</v>
      </c>
      <c r="U27">
        <f t="shared" si="1"/>
        <v>1996</v>
      </c>
      <c r="V27" t="str">
        <f t="shared" si="2"/>
        <v>8/1996</v>
      </c>
      <c r="Y27" s="1">
        <v>35310</v>
      </c>
      <c r="Z27">
        <f t="shared" si="3"/>
        <v>28</v>
      </c>
    </row>
    <row r="28" spans="2:27" x14ac:dyDescent="0.2">
      <c r="B28" t="str">
        <v>FRANS</v>
      </c>
      <c r="C28" t="str">
        <v>Franchi S.p.A.</v>
      </c>
      <c r="D28" cm="1">
        <f t="array" ref="D28">COUNTA(_xlfn._xlws.FILTER(Orders[orderID],Orders[customerID]=B28))</f>
        <v>6</v>
      </c>
      <c r="E28" t="str">
        <v>RICAR</v>
      </c>
      <c r="F28" t="str">
        <v>Ricardo Adocicados</v>
      </c>
      <c r="G28">
        <v>11</v>
      </c>
      <c r="S28" s="1">
        <v>35283</v>
      </c>
      <c r="T28">
        <f t="shared" si="0"/>
        <v>8</v>
      </c>
      <c r="U28">
        <f t="shared" si="1"/>
        <v>1996</v>
      </c>
      <c r="V28" t="str">
        <f t="shared" si="2"/>
        <v>8/1996</v>
      </c>
      <c r="Y28" s="1">
        <v>35311</v>
      </c>
      <c r="Z28">
        <f t="shared" si="3"/>
        <v>28</v>
      </c>
    </row>
    <row r="29" spans="2:27" x14ac:dyDescent="0.2">
      <c r="B29" t="str">
        <v>FURIB</v>
      </c>
      <c r="C29" t="str">
        <v>Furia Bacalhau e Frutos do Mar</v>
      </c>
      <c r="D29" cm="1">
        <f t="array" ref="D29">COUNTA(_xlfn._xlws.FILTER(Orders[orderID],Orders[customerID]=B29))</f>
        <v>8</v>
      </c>
      <c r="E29" t="str">
        <v>VAFFE</v>
      </c>
      <c r="F29" t="str">
        <v>Vaffeljernet</v>
      </c>
      <c r="G29">
        <v>11</v>
      </c>
      <c r="S29" s="1">
        <v>35284</v>
      </c>
      <c r="T29">
        <f t="shared" si="0"/>
        <v>8</v>
      </c>
      <c r="U29">
        <f t="shared" si="1"/>
        <v>1996</v>
      </c>
      <c r="V29" t="str">
        <f t="shared" si="2"/>
        <v>8/1996</v>
      </c>
      <c r="Y29" s="1">
        <v>35312</v>
      </c>
      <c r="Z29">
        <f t="shared" si="3"/>
        <v>28</v>
      </c>
    </row>
    <row r="30" spans="2:27" x14ac:dyDescent="0.2">
      <c r="B30" t="str">
        <v>GALED</v>
      </c>
      <c r="C30" t="str">
        <v>Galería del gastrónomo</v>
      </c>
      <c r="D30" cm="1">
        <f t="array" ref="D30">COUNTA(_xlfn._xlws.FILTER(Orders[orderID],Orders[customerID]=B30))</f>
        <v>5</v>
      </c>
      <c r="E30" t="str">
        <v>BSBEV</v>
      </c>
      <c r="F30" t="str">
        <v>B's Beverages</v>
      </c>
      <c r="G30">
        <v>10</v>
      </c>
      <c r="S30" s="1">
        <v>35285</v>
      </c>
      <c r="T30">
        <f t="shared" si="0"/>
        <v>8</v>
      </c>
      <c r="U30">
        <f t="shared" si="1"/>
        <v>1996</v>
      </c>
      <c r="V30" t="str">
        <f t="shared" si="2"/>
        <v>8/1996</v>
      </c>
      <c r="Y30" s="1">
        <v>35299</v>
      </c>
      <c r="Z30">
        <f t="shared" si="3"/>
        <v>14</v>
      </c>
    </row>
    <row r="31" spans="2:27" x14ac:dyDescent="0.2">
      <c r="B31" t="str">
        <v>GODOS</v>
      </c>
      <c r="C31" t="str">
        <v>Godos Cocina Típica</v>
      </c>
      <c r="D31" cm="1">
        <f t="array" ref="D31">COUNTA(_xlfn._xlws.FILTER(Orders[orderID],Orders[customerID]=B31))</f>
        <v>10</v>
      </c>
      <c r="E31" t="str">
        <v>GODOS</v>
      </c>
      <c r="F31" t="str">
        <v>Godos Cocina Típica</v>
      </c>
      <c r="G31">
        <v>10</v>
      </c>
      <c r="S31" s="1">
        <v>35286</v>
      </c>
      <c r="T31">
        <f t="shared" si="0"/>
        <v>8</v>
      </c>
      <c r="U31">
        <f t="shared" si="1"/>
        <v>1996</v>
      </c>
      <c r="V31" t="str">
        <f t="shared" si="2"/>
        <v>8/1996</v>
      </c>
      <c r="Y31" s="1">
        <v>35314</v>
      </c>
      <c r="Z31">
        <f t="shared" si="3"/>
        <v>28</v>
      </c>
    </row>
    <row r="32" spans="2:27" x14ac:dyDescent="0.2">
      <c r="B32" t="str">
        <v>GOURL</v>
      </c>
      <c r="C32" t="str">
        <v>Gourmet Lanchonetes</v>
      </c>
      <c r="D32" cm="1">
        <f t="array" ref="D32">COUNTA(_xlfn._xlws.FILTER(Orders[orderID],Orders[customerID]=B32))</f>
        <v>9</v>
      </c>
      <c r="E32" t="str">
        <v>ISLAT</v>
      </c>
      <c r="F32" t="str">
        <v>Island Trading</v>
      </c>
      <c r="G32">
        <v>10</v>
      </c>
      <c r="S32" s="1">
        <v>35289</v>
      </c>
      <c r="T32">
        <f t="shared" si="0"/>
        <v>8</v>
      </c>
      <c r="U32">
        <f t="shared" si="1"/>
        <v>1996</v>
      </c>
      <c r="V32" t="str">
        <f t="shared" si="2"/>
        <v>8/1996</v>
      </c>
      <c r="Y32" s="1">
        <v>35317</v>
      </c>
      <c r="Z32">
        <f t="shared" si="3"/>
        <v>28</v>
      </c>
    </row>
    <row r="33" spans="2:26" x14ac:dyDescent="0.2">
      <c r="B33" t="str">
        <v>GREAL</v>
      </c>
      <c r="C33" t="str">
        <v>Great Lakes Food Market</v>
      </c>
      <c r="D33" cm="1">
        <f t="array" ref="D33">COUNTA(_xlfn._xlws.FILTER(Orders[orderID],Orders[customerID]=B33))</f>
        <v>11</v>
      </c>
      <c r="E33" t="str">
        <v>MAGAA</v>
      </c>
      <c r="F33" t="str">
        <v>Magazzini Alimentari Riuniti</v>
      </c>
      <c r="G33">
        <v>10</v>
      </c>
      <c r="S33" s="1">
        <v>35290</v>
      </c>
      <c r="T33">
        <f t="shared" si="0"/>
        <v>8</v>
      </c>
      <c r="U33">
        <f t="shared" si="1"/>
        <v>1996</v>
      </c>
      <c r="V33" t="str">
        <f t="shared" si="2"/>
        <v>8/1996</v>
      </c>
      <c r="Y33" s="1">
        <v>35318</v>
      </c>
      <c r="Z33">
        <f t="shared" si="3"/>
        <v>28</v>
      </c>
    </row>
    <row r="34" spans="2:26" x14ac:dyDescent="0.2">
      <c r="B34" t="str">
        <v>GROSR</v>
      </c>
      <c r="C34" t="str">
        <v>GROSELLA-Restaurante</v>
      </c>
      <c r="D34" cm="1">
        <f t="array" ref="D34">COUNTA(_xlfn._xlws.FILTER(Orders[orderID],Orders[customerID]=B34))</f>
        <v>2</v>
      </c>
      <c r="E34" t="str">
        <v>OLDWO</v>
      </c>
      <c r="F34" t="str">
        <v>Old World Delicatessen</v>
      </c>
      <c r="G34">
        <v>10</v>
      </c>
      <c r="S34" s="1">
        <v>35291</v>
      </c>
      <c r="T34">
        <f t="shared" si="0"/>
        <v>8</v>
      </c>
      <c r="U34">
        <f t="shared" si="1"/>
        <v>1996</v>
      </c>
      <c r="V34" t="str">
        <f t="shared" si="2"/>
        <v>8/1996</v>
      </c>
      <c r="Y34" s="1">
        <v>35319</v>
      </c>
      <c r="Z34">
        <f t="shared" si="3"/>
        <v>28</v>
      </c>
    </row>
    <row r="35" spans="2:26" x14ac:dyDescent="0.2">
      <c r="B35" t="str">
        <v>HANAR</v>
      </c>
      <c r="C35" t="str">
        <v>Hanari Carnes</v>
      </c>
      <c r="D35" cm="1">
        <f t="array" ref="D35">COUNTA(_xlfn._xlws.FILTER(Orders[orderID],Orders[customerID]=B35))</f>
        <v>14</v>
      </c>
      <c r="E35" t="str">
        <v>OTTIK</v>
      </c>
      <c r="F35" t="str">
        <v>Ottilies Käseladen</v>
      </c>
      <c r="G35">
        <v>10</v>
      </c>
      <c r="S35" s="1">
        <v>35291</v>
      </c>
      <c r="T35">
        <f t="shared" si="0"/>
        <v>8</v>
      </c>
      <c r="U35">
        <f t="shared" si="1"/>
        <v>1996</v>
      </c>
      <c r="V35" t="str">
        <f t="shared" si="2"/>
        <v>8/1996</v>
      </c>
      <c r="Y35" s="1">
        <v>35305</v>
      </c>
      <c r="Z35">
        <f t="shared" si="3"/>
        <v>14</v>
      </c>
    </row>
    <row r="36" spans="2:26" x14ac:dyDescent="0.2">
      <c r="B36" t="str">
        <v>HILAA</v>
      </c>
      <c r="C36" t="str">
        <v>HILARION-Abastos</v>
      </c>
      <c r="D36" cm="1">
        <f t="array" ref="D36">COUNTA(_xlfn._xlws.FILTER(Orders[orderID],Orders[customerID]=B36))</f>
        <v>18</v>
      </c>
      <c r="E36" t="str">
        <v>PICCO</v>
      </c>
      <c r="F36" t="str">
        <v>Piccolo und mehr</v>
      </c>
      <c r="G36">
        <v>10</v>
      </c>
      <c r="S36" s="1">
        <v>35292</v>
      </c>
      <c r="T36">
        <f t="shared" si="0"/>
        <v>8</v>
      </c>
      <c r="U36">
        <f t="shared" si="1"/>
        <v>1996</v>
      </c>
      <c r="V36" t="str">
        <f t="shared" si="2"/>
        <v>8/1996</v>
      </c>
      <c r="Y36" s="1">
        <v>35320</v>
      </c>
      <c r="Z36">
        <f t="shared" si="3"/>
        <v>28</v>
      </c>
    </row>
    <row r="37" spans="2:26" x14ac:dyDescent="0.2">
      <c r="B37" t="str">
        <v>HUNGC</v>
      </c>
      <c r="C37" t="str">
        <v>Hungry Coyote Import Store</v>
      </c>
      <c r="D37" cm="1">
        <f t="array" ref="D37">COUNTA(_xlfn._xlws.FILTER(Orders[orderID],Orders[customerID]=B37))</f>
        <v>5</v>
      </c>
      <c r="E37" t="str">
        <v>RICSU</v>
      </c>
      <c r="F37" t="str">
        <v>Richter Supermarkt</v>
      </c>
      <c r="G37">
        <v>10</v>
      </c>
      <c r="S37" s="1">
        <v>35293</v>
      </c>
      <c r="T37">
        <f t="shared" si="0"/>
        <v>8</v>
      </c>
      <c r="U37">
        <f t="shared" si="1"/>
        <v>1996</v>
      </c>
      <c r="V37" t="str">
        <f t="shared" si="2"/>
        <v>8/1996</v>
      </c>
      <c r="Y37" s="1">
        <v>35321</v>
      </c>
      <c r="Z37">
        <f t="shared" si="3"/>
        <v>28</v>
      </c>
    </row>
    <row r="38" spans="2:26" x14ac:dyDescent="0.2">
      <c r="B38" t="str">
        <v>HUNGO</v>
      </c>
      <c r="C38" t="str">
        <v>Hungry Owl All-Night Grocers</v>
      </c>
      <c r="D38" cm="1">
        <f t="array" ref="D38">COUNTA(_xlfn._xlws.FILTER(Orders[orderID],Orders[customerID]=B38))</f>
        <v>19</v>
      </c>
      <c r="E38" t="str">
        <v>TORTU</v>
      </c>
      <c r="F38" t="str">
        <v>Tortuga Restaurante</v>
      </c>
      <c r="G38">
        <v>10</v>
      </c>
      <c r="S38" s="1">
        <v>35296</v>
      </c>
      <c r="T38">
        <f t="shared" si="0"/>
        <v>8</v>
      </c>
      <c r="U38">
        <f t="shared" si="1"/>
        <v>1996</v>
      </c>
      <c r="V38" t="str">
        <f t="shared" si="2"/>
        <v>8/1996</v>
      </c>
      <c r="Y38" s="1">
        <v>35324</v>
      </c>
      <c r="Z38">
        <f t="shared" si="3"/>
        <v>28</v>
      </c>
    </row>
    <row r="39" spans="2:26" x14ac:dyDescent="0.2">
      <c r="B39" t="str">
        <v>ISLAT</v>
      </c>
      <c r="C39" t="str">
        <v>Island Trading</v>
      </c>
      <c r="D39" cm="1">
        <f t="array" ref="D39">COUNTA(_xlfn._xlws.FILTER(Orders[orderID],Orders[customerID]=B39))</f>
        <v>10</v>
      </c>
      <c r="E39" t="str">
        <v>VICTE</v>
      </c>
      <c r="F39" t="str">
        <v>Victuailles en stock</v>
      </c>
      <c r="G39">
        <v>10</v>
      </c>
      <c r="S39" s="1">
        <v>35297</v>
      </c>
      <c r="T39">
        <f t="shared" si="0"/>
        <v>8</v>
      </c>
      <c r="U39">
        <f t="shared" si="1"/>
        <v>1996</v>
      </c>
      <c r="V39" t="str">
        <f t="shared" si="2"/>
        <v>8/1996</v>
      </c>
      <c r="Y39" s="1">
        <v>35325</v>
      </c>
      <c r="Z39">
        <f t="shared" si="3"/>
        <v>28</v>
      </c>
    </row>
    <row r="40" spans="2:26" x14ac:dyDescent="0.2">
      <c r="B40" t="str">
        <v>KOENE</v>
      </c>
      <c r="C40" t="str">
        <v>Königlich Essen</v>
      </c>
      <c r="D40" cm="1">
        <f t="array" ref="D40">COUNTA(_xlfn._xlws.FILTER(Orders[orderID],Orders[customerID]=B40))</f>
        <v>14</v>
      </c>
      <c r="E40" t="str">
        <v>WANDK</v>
      </c>
      <c r="F40" t="str">
        <v>Die Wandernde Kuh</v>
      </c>
      <c r="G40">
        <v>10</v>
      </c>
      <c r="S40" s="1">
        <v>35298</v>
      </c>
      <c r="T40">
        <f t="shared" si="0"/>
        <v>8</v>
      </c>
      <c r="U40">
        <f t="shared" si="1"/>
        <v>1996</v>
      </c>
      <c r="V40" t="str">
        <f t="shared" si="2"/>
        <v>8/1996</v>
      </c>
      <c r="Y40" s="1">
        <v>35326</v>
      </c>
      <c r="Z40">
        <f t="shared" si="3"/>
        <v>28</v>
      </c>
    </row>
    <row r="41" spans="2:26" x14ac:dyDescent="0.2">
      <c r="B41" t="str">
        <v>LACOR</v>
      </c>
      <c r="C41" t="str">
        <v>La corne d'abondance</v>
      </c>
      <c r="D41" cm="1">
        <f t="array" ref="D41">COUNTA(_xlfn._xlws.FILTER(Orders[orderID],Orders[customerID]=B41))</f>
        <v>4</v>
      </c>
      <c r="E41" t="str">
        <v>GOURL</v>
      </c>
      <c r="F41" t="str">
        <v>Gourmet Lanchonetes</v>
      </c>
      <c r="G41">
        <v>9</v>
      </c>
      <c r="S41" s="1">
        <v>35299</v>
      </c>
      <c r="T41">
        <f t="shared" si="0"/>
        <v>8</v>
      </c>
      <c r="U41">
        <f t="shared" si="1"/>
        <v>1996</v>
      </c>
      <c r="V41" t="str">
        <f t="shared" si="2"/>
        <v>8/1996</v>
      </c>
      <c r="Y41" s="1">
        <v>35327</v>
      </c>
      <c r="Z41">
        <f t="shared" si="3"/>
        <v>28</v>
      </c>
    </row>
    <row r="42" spans="2:26" x14ac:dyDescent="0.2">
      <c r="B42" t="str">
        <v>LAMAI</v>
      </c>
      <c r="C42" t="str">
        <v>La maison d'Asie</v>
      </c>
      <c r="D42" cm="1">
        <f t="array" ref="D42">COUNTA(_xlfn._xlws.FILTER(Orders[orderID],Orders[customerID]=B42))</f>
        <v>14</v>
      </c>
      <c r="E42" t="str">
        <v>QUEDE</v>
      </c>
      <c r="F42" t="str">
        <v>Que Delícia</v>
      </c>
      <c r="G42">
        <v>9</v>
      </c>
      <c r="S42" s="1">
        <v>35300</v>
      </c>
      <c r="T42">
        <f t="shared" si="0"/>
        <v>8</v>
      </c>
      <c r="U42">
        <f t="shared" si="1"/>
        <v>1996</v>
      </c>
      <c r="V42" t="str">
        <f t="shared" si="2"/>
        <v>8/1996</v>
      </c>
      <c r="Y42" s="1">
        <v>35328</v>
      </c>
      <c r="Z42">
        <f t="shared" si="3"/>
        <v>28</v>
      </c>
    </row>
    <row r="43" spans="2:26" x14ac:dyDescent="0.2">
      <c r="B43" t="str">
        <v>LAUGB</v>
      </c>
      <c r="C43" t="str">
        <v>Laughing Bacchus Wine Cellars</v>
      </c>
      <c r="D43" cm="1">
        <f t="array" ref="D43">COUNTA(_xlfn._xlws.FILTER(Orders[orderID],Orders[customerID]=B43))</f>
        <v>3</v>
      </c>
      <c r="E43" t="str">
        <v>SEVES</v>
      </c>
      <c r="F43" t="str">
        <v>Seven Seas Imports</v>
      </c>
      <c r="G43">
        <v>9</v>
      </c>
      <c r="S43" s="1">
        <v>35303</v>
      </c>
      <c r="T43">
        <f t="shared" si="0"/>
        <v>8</v>
      </c>
      <c r="U43">
        <f t="shared" si="1"/>
        <v>1996</v>
      </c>
      <c r="V43" t="str">
        <f t="shared" si="2"/>
        <v>8/1996</v>
      </c>
      <c r="Y43" s="1">
        <v>35331</v>
      </c>
      <c r="Z43">
        <f t="shared" si="3"/>
        <v>28</v>
      </c>
    </row>
    <row r="44" spans="2:26" x14ac:dyDescent="0.2">
      <c r="B44" t="str">
        <v>LAZYK</v>
      </c>
      <c r="C44" t="str">
        <v>Lazy K Kountry Store</v>
      </c>
      <c r="D44" cm="1">
        <f t="array" ref="D44">COUNTA(_xlfn._xlws.FILTER(Orders[orderID],Orders[customerID]=B44))</f>
        <v>2</v>
      </c>
      <c r="E44" t="str">
        <v>SPLIR</v>
      </c>
      <c r="F44" t="str">
        <v>Split Rail Beer &amp; Ale</v>
      </c>
      <c r="G44">
        <v>9</v>
      </c>
      <c r="S44" s="1">
        <v>35304</v>
      </c>
      <c r="T44">
        <f t="shared" si="0"/>
        <v>8</v>
      </c>
      <c r="U44">
        <f t="shared" si="1"/>
        <v>1996</v>
      </c>
      <c r="V44" t="str">
        <f t="shared" si="2"/>
        <v>8/1996</v>
      </c>
      <c r="Y44" s="1">
        <v>35332</v>
      </c>
      <c r="Z44">
        <f t="shared" si="3"/>
        <v>28</v>
      </c>
    </row>
    <row r="45" spans="2:26" x14ac:dyDescent="0.2">
      <c r="B45" t="str">
        <v>LEHMS</v>
      </c>
      <c r="C45" t="str">
        <v>Lehmanns Marktstand</v>
      </c>
      <c r="D45" cm="1">
        <f t="array" ref="D45">COUNTA(_xlfn._xlws.FILTER(Orders[orderID],Orders[customerID]=B45))</f>
        <v>15</v>
      </c>
      <c r="E45" t="str">
        <v>WELLI</v>
      </c>
      <c r="F45" t="str">
        <v>Wellington Importadora</v>
      </c>
      <c r="G45">
        <v>9</v>
      </c>
      <c r="S45" s="1">
        <v>35304</v>
      </c>
      <c r="T45">
        <f t="shared" si="0"/>
        <v>8</v>
      </c>
      <c r="U45">
        <f t="shared" si="1"/>
        <v>1996</v>
      </c>
      <c r="V45" t="str">
        <f t="shared" si="2"/>
        <v>8/1996</v>
      </c>
      <c r="Y45" s="1">
        <v>35332</v>
      </c>
      <c r="Z45">
        <f t="shared" si="3"/>
        <v>28</v>
      </c>
    </row>
    <row r="46" spans="2:26" x14ac:dyDescent="0.2">
      <c r="B46" t="str">
        <v>LETSS</v>
      </c>
      <c r="C46" t="str">
        <v>Let's Stop N Shop</v>
      </c>
      <c r="D46" cm="1">
        <f t="array" ref="D46">COUNTA(_xlfn._xlws.FILTER(Orders[orderID],Orders[customerID]=B46))</f>
        <v>4</v>
      </c>
      <c r="E46" t="str">
        <v>CHOPS</v>
      </c>
      <c r="F46" t="str">
        <v>Chop-suey Chinese</v>
      </c>
      <c r="G46">
        <v>8</v>
      </c>
      <c r="S46" s="1">
        <v>35305</v>
      </c>
      <c r="T46">
        <f t="shared" si="0"/>
        <v>8</v>
      </c>
      <c r="U46">
        <f t="shared" si="1"/>
        <v>1996</v>
      </c>
      <c r="V46" t="str">
        <f t="shared" si="2"/>
        <v>8/1996</v>
      </c>
      <c r="Y46" s="1">
        <v>35333</v>
      </c>
      <c r="Z46">
        <f t="shared" si="3"/>
        <v>28</v>
      </c>
    </row>
    <row r="47" spans="2:26" x14ac:dyDescent="0.2">
      <c r="B47" t="str">
        <v>LILAS</v>
      </c>
      <c r="C47" t="str">
        <v>LILA-Supermercado</v>
      </c>
      <c r="D47" cm="1">
        <f t="array" ref="D47">COUNTA(_xlfn._xlws.FILTER(Orders[orderID],Orders[customerID]=B47))</f>
        <v>14</v>
      </c>
      <c r="E47" t="str">
        <v>EASTC</v>
      </c>
      <c r="F47" t="str">
        <v>Eastern Connection</v>
      </c>
      <c r="G47">
        <v>8</v>
      </c>
      <c r="S47" s="1">
        <v>35306</v>
      </c>
      <c r="T47">
        <f t="shared" si="0"/>
        <v>8</v>
      </c>
      <c r="U47">
        <f t="shared" si="1"/>
        <v>1996</v>
      </c>
      <c r="V47" t="str">
        <f t="shared" si="2"/>
        <v>8/1996</v>
      </c>
      <c r="Y47" s="1">
        <v>35334</v>
      </c>
      <c r="Z47">
        <f t="shared" si="3"/>
        <v>28</v>
      </c>
    </row>
    <row r="48" spans="2:26" x14ac:dyDescent="0.2">
      <c r="B48" t="str">
        <v>LINOD</v>
      </c>
      <c r="C48" t="str">
        <v>LINO-Delicateses</v>
      </c>
      <c r="D48" cm="1">
        <f t="array" ref="D48">COUNTA(_xlfn._xlws.FILTER(Orders[orderID],Orders[customerID]=B48))</f>
        <v>12</v>
      </c>
      <c r="E48" t="str">
        <v>FURIB</v>
      </c>
      <c r="F48" t="str">
        <v>Furia Bacalhau e Frutos do Mar</v>
      </c>
      <c r="G48">
        <v>8</v>
      </c>
      <c r="S48" s="1">
        <v>35307</v>
      </c>
      <c r="T48">
        <f t="shared" si="0"/>
        <v>8</v>
      </c>
      <c r="U48">
        <f t="shared" si="1"/>
        <v>1996</v>
      </c>
      <c r="V48" t="str">
        <f t="shared" si="2"/>
        <v>8/1996</v>
      </c>
      <c r="Y48" s="1">
        <v>35335</v>
      </c>
      <c r="Z48">
        <f t="shared" si="3"/>
        <v>28</v>
      </c>
    </row>
    <row r="49" spans="2:26" x14ac:dyDescent="0.2">
      <c r="B49" t="str">
        <v>LONEP</v>
      </c>
      <c r="C49" t="str">
        <v>Lonesome Pine Restaurant</v>
      </c>
      <c r="D49" cm="1">
        <f t="array" ref="D49">COUNTA(_xlfn._xlws.FILTER(Orders[orderID],Orders[customerID]=B49))</f>
        <v>8</v>
      </c>
      <c r="E49" t="str">
        <v>LONEP</v>
      </c>
      <c r="F49" t="str">
        <v>Lonesome Pine Restaurant</v>
      </c>
      <c r="G49">
        <v>8</v>
      </c>
      <c r="S49" s="1">
        <v>35310</v>
      </c>
      <c r="T49">
        <f t="shared" si="0"/>
        <v>9</v>
      </c>
      <c r="U49">
        <f t="shared" si="1"/>
        <v>1996</v>
      </c>
      <c r="V49" t="str">
        <f t="shared" si="2"/>
        <v>9/1996</v>
      </c>
      <c r="Y49" s="1">
        <v>35338</v>
      </c>
      <c r="Z49">
        <f t="shared" si="3"/>
        <v>28</v>
      </c>
    </row>
    <row r="50" spans="2:26" x14ac:dyDescent="0.2">
      <c r="B50" t="str">
        <v>MAGAA</v>
      </c>
      <c r="C50" t="str">
        <v>Magazzini Alimentari Riuniti</v>
      </c>
      <c r="D50" cm="1">
        <f t="array" ref="D50">COUNTA(_xlfn._xlws.FILTER(Orders[orderID],Orders[customerID]=B50))</f>
        <v>10</v>
      </c>
      <c r="E50" t="str">
        <v>ANTON</v>
      </c>
      <c r="F50" t="str">
        <v>Antonio Moreno Taquería</v>
      </c>
      <c r="G50">
        <v>7</v>
      </c>
      <c r="S50" s="1">
        <v>35311</v>
      </c>
      <c r="T50">
        <f t="shared" si="0"/>
        <v>9</v>
      </c>
      <c r="U50">
        <f t="shared" si="1"/>
        <v>1996</v>
      </c>
      <c r="V50" t="str">
        <f t="shared" si="2"/>
        <v>9/1996</v>
      </c>
      <c r="Y50" s="1">
        <v>35339</v>
      </c>
      <c r="Z50">
        <f t="shared" si="3"/>
        <v>28</v>
      </c>
    </row>
    <row r="51" spans="2:26" x14ac:dyDescent="0.2">
      <c r="B51" t="str">
        <v>MAISD</v>
      </c>
      <c r="C51" t="str">
        <v>Maison Dewey</v>
      </c>
      <c r="D51" cm="1">
        <f t="array" ref="D51">COUNTA(_xlfn._xlws.FILTER(Orders[orderID],Orders[customerID]=B51))</f>
        <v>7</v>
      </c>
      <c r="E51" t="str">
        <v>BLAUS</v>
      </c>
      <c r="F51" t="str">
        <v>Blauer See Delikatessen</v>
      </c>
      <c r="G51">
        <v>7</v>
      </c>
      <c r="S51" s="1">
        <v>35312</v>
      </c>
      <c r="T51">
        <f t="shared" si="0"/>
        <v>9</v>
      </c>
      <c r="U51">
        <f t="shared" si="1"/>
        <v>1996</v>
      </c>
      <c r="V51" t="str">
        <f t="shared" si="2"/>
        <v>9/1996</v>
      </c>
      <c r="Y51" s="1">
        <v>35354</v>
      </c>
      <c r="Z51">
        <f t="shared" si="3"/>
        <v>42</v>
      </c>
    </row>
    <row r="52" spans="2:26" x14ac:dyDescent="0.2">
      <c r="B52" t="str">
        <v>MEREP</v>
      </c>
      <c r="C52" t="str">
        <v>Mère Paillarde</v>
      </c>
      <c r="D52" cm="1">
        <f t="array" ref="D52">COUNTA(_xlfn._xlws.FILTER(Orders[orderID],Orders[customerID]=B52))</f>
        <v>13</v>
      </c>
      <c r="E52" t="str">
        <v>FAMIA</v>
      </c>
      <c r="F52" t="str">
        <v>Familia Arquibaldo</v>
      </c>
      <c r="G52">
        <v>7</v>
      </c>
      <c r="S52" s="1">
        <v>35313</v>
      </c>
      <c r="T52">
        <f t="shared" si="0"/>
        <v>9</v>
      </c>
      <c r="U52">
        <f t="shared" si="1"/>
        <v>1996</v>
      </c>
      <c r="V52" t="str">
        <f t="shared" si="2"/>
        <v>9/1996</v>
      </c>
      <c r="Y52" s="1">
        <v>35341</v>
      </c>
      <c r="Z52">
        <f t="shared" si="3"/>
        <v>28</v>
      </c>
    </row>
    <row r="53" spans="2:26" x14ac:dyDescent="0.2">
      <c r="B53" t="str">
        <v>MORGK</v>
      </c>
      <c r="C53" t="str">
        <v>Morgenstern Gesundkost</v>
      </c>
      <c r="D53" cm="1">
        <f t="array" ref="D53">COUNTA(_xlfn._xlws.FILTER(Orders[orderID],Orders[customerID]=B53))</f>
        <v>5</v>
      </c>
      <c r="E53" t="str">
        <v>MAISD</v>
      </c>
      <c r="F53" t="str">
        <v>Maison Dewey</v>
      </c>
      <c r="G53">
        <v>7</v>
      </c>
      <c r="S53" s="1">
        <v>35314</v>
      </c>
      <c r="T53">
        <f t="shared" si="0"/>
        <v>9</v>
      </c>
      <c r="U53">
        <f t="shared" si="1"/>
        <v>1996</v>
      </c>
      <c r="V53" t="str">
        <f t="shared" si="2"/>
        <v>9/1996</v>
      </c>
      <c r="Y53" s="1">
        <v>35342</v>
      </c>
      <c r="Z53">
        <f t="shared" si="3"/>
        <v>28</v>
      </c>
    </row>
    <row r="54" spans="2:26" x14ac:dyDescent="0.2">
      <c r="B54" t="str">
        <v>NORTS</v>
      </c>
      <c r="C54" t="str">
        <v>North/South</v>
      </c>
      <c r="D54" cm="1">
        <f t="array" ref="D54">COUNTA(_xlfn._xlws.FILTER(Orders[orderID],Orders[customerID]=B54))</f>
        <v>3</v>
      </c>
      <c r="E54" t="str">
        <v>SIMOB</v>
      </c>
      <c r="F54" t="str">
        <v>Simons bistro</v>
      </c>
      <c r="G54">
        <v>7</v>
      </c>
      <c r="S54" s="1">
        <v>35317</v>
      </c>
      <c r="T54">
        <f t="shared" si="0"/>
        <v>9</v>
      </c>
      <c r="U54">
        <f t="shared" si="1"/>
        <v>1996</v>
      </c>
      <c r="V54" t="str">
        <f t="shared" si="2"/>
        <v>9/1996</v>
      </c>
      <c r="Y54" s="1">
        <v>35345</v>
      </c>
      <c r="Z54">
        <f t="shared" si="3"/>
        <v>28</v>
      </c>
    </row>
    <row r="55" spans="2:26" x14ac:dyDescent="0.2">
      <c r="B55" t="str">
        <v>OCEAN</v>
      </c>
      <c r="C55" t="str">
        <v>Océano Atlántico Ltda.</v>
      </c>
      <c r="D55" cm="1">
        <f t="array" ref="D55">COUNTA(_xlfn._xlws.FILTER(Orders[orderID],Orders[customerID]=B55))</f>
        <v>5</v>
      </c>
      <c r="E55" t="str">
        <v>WILMK</v>
      </c>
      <c r="F55" t="str">
        <v>Wilman Kala</v>
      </c>
      <c r="G55">
        <v>7</v>
      </c>
      <c r="S55" s="1">
        <v>35317</v>
      </c>
      <c r="T55">
        <f t="shared" si="0"/>
        <v>9</v>
      </c>
      <c r="U55">
        <f t="shared" si="1"/>
        <v>1996</v>
      </c>
      <c r="V55" t="str">
        <f t="shared" si="2"/>
        <v>9/1996</v>
      </c>
      <c r="Y55" s="1">
        <v>35345</v>
      </c>
      <c r="Z55">
        <f t="shared" si="3"/>
        <v>28</v>
      </c>
    </row>
    <row r="56" spans="2:26" x14ac:dyDescent="0.2">
      <c r="B56" t="str">
        <v>OLDWO</v>
      </c>
      <c r="C56" t="str">
        <v>Old World Delicatessen</v>
      </c>
      <c r="D56" cm="1">
        <f t="array" ref="D56">COUNTA(_xlfn._xlws.FILTER(Orders[orderID],Orders[customerID]=B56))</f>
        <v>10</v>
      </c>
      <c r="E56" t="str">
        <v>WOLZA</v>
      </c>
      <c r="F56" t="str">
        <v>Wolski  Zajazd</v>
      </c>
      <c r="G56">
        <v>7</v>
      </c>
      <c r="S56" s="1">
        <v>35318</v>
      </c>
      <c r="T56">
        <f t="shared" si="0"/>
        <v>9</v>
      </c>
      <c r="U56">
        <f t="shared" si="1"/>
        <v>1996</v>
      </c>
      <c r="V56" t="str">
        <f t="shared" si="2"/>
        <v>9/1996</v>
      </c>
      <c r="Y56" s="1">
        <v>35346</v>
      </c>
      <c r="Z56">
        <f t="shared" si="3"/>
        <v>28</v>
      </c>
    </row>
    <row r="57" spans="2:26" x14ac:dyDescent="0.2">
      <c r="B57" t="str">
        <v>OTTIK</v>
      </c>
      <c r="C57" t="str">
        <v>Ottilies Käseladen</v>
      </c>
      <c r="D57" cm="1">
        <f t="array" ref="D57">COUNTA(_xlfn._xlws.FILTER(Orders[orderID],Orders[customerID]=B57))</f>
        <v>10</v>
      </c>
      <c r="E57" t="str">
        <v>ALFKI</v>
      </c>
      <c r="F57" t="str">
        <v>Alfreds Futterkiste</v>
      </c>
      <c r="G57">
        <v>6</v>
      </c>
      <c r="S57" s="1">
        <v>35319</v>
      </c>
      <c r="T57">
        <f t="shared" si="0"/>
        <v>9</v>
      </c>
      <c r="U57">
        <f t="shared" si="1"/>
        <v>1996</v>
      </c>
      <c r="V57" t="str">
        <f t="shared" si="2"/>
        <v>9/1996</v>
      </c>
      <c r="Y57" s="1">
        <v>35347</v>
      </c>
      <c r="Z57">
        <f t="shared" si="3"/>
        <v>28</v>
      </c>
    </row>
    <row r="58" spans="2:26" x14ac:dyDescent="0.2">
      <c r="B58" t="str">
        <v>PARIS</v>
      </c>
      <c r="C58" t="str">
        <v>Paris spécialités</v>
      </c>
      <c r="D58" cm="1">
        <f t="array" ref="D58">COUNTA(_xlfn._xlws.FILTER(Orders[orderID],Orders[customerID]=B58))</f>
        <v>1</v>
      </c>
      <c r="E58" t="str">
        <v>CACTU</v>
      </c>
      <c r="F58" t="str">
        <v>Cactus Comidas para llevar</v>
      </c>
      <c r="G58">
        <v>6</v>
      </c>
      <c r="S58" s="1">
        <v>35320</v>
      </c>
      <c r="T58">
        <f t="shared" si="0"/>
        <v>9</v>
      </c>
      <c r="U58">
        <f t="shared" si="1"/>
        <v>1996</v>
      </c>
      <c r="V58" t="str">
        <f t="shared" si="2"/>
        <v>9/1996</v>
      </c>
      <c r="Y58" s="1">
        <v>35348</v>
      </c>
      <c r="Z58">
        <f t="shared" si="3"/>
        <v>28</v>
      </c>
    </row>
    <row r="59" spans="2:26" x14ac:dyDescent="0.2">
      <c r="B59" t="str">
        <v>PERIC</v>
      </c>
      <c r="C59" t="str">
        <v>Pericles Comidas clásicas</v>
      </c>
      <c r="D59" cm="1">
        <f t="array" ref="D59">COUNTA(_xlfn._xlws.FILTER(Orders[orderID],Orders[customerID]=B59))</f>
        <v>6</v>
      </c>
      <c r="E59" t="str">
        <v>DRACD</v>
      </c>
      <c r="F59" t="str">
        <v>Drachenblut Delikatessen</v>
      </c>
      <c r="G59">
        <v>6</v>
      </c>
      <c r="S59" s="1">
        <v>35321</v>
      </c>
      <c r="T59">
        <f t="shared" si="0"/>
        <v>9</v>
      </c>
      <c r="U59">
        <f t="shared" si="1"/>
        <v>1996</v>
      </c>
      <c r="V59" t="str">
        <f t="shared" si="2"/>
        <v>9/1996</v>
      </c>
      <c r="Y59" s="1">
        <v>35349</v>
      </c>
      <c r="Z59">
        <f t="shared" si="3"/>
        <v>28</v>
      </c>
    </row>
    <row r="60" spans="2:26" x14ac:dyDescent="0.2">
      <c r="B60" t="str">
        <v>PICCO</v>
      </c>
      <c r="C60" t="str">
        <v>Piccolo und mehr</v>
      </c>
      <c r="D60" cm="1">
        <f t="array" ref="D60">COUNTA(_xlfn._xlws.FILTER(Orders[orderID],Orders[customerID]=B60))</f>
        <v>10</v>
      </c>
      <c r="E60" t="str">
        <v>FRANS</v>
      </c>
      <c r="F60" t="str">
        <v>Franchi S.p.A.</v>
      </c>
      <c r="G60">
        <v>6</v>
      </c>
      <c r="S60" s="1">
        <v>35324</v>
      </c>
      <c r="T60">
        <f t="shared" si="0"/>
        <v>9</v>
      </c>
      <c r="U60">
        <f t="shared" si="1"/>
        <v>1996</v>
      </c>
      <c r="V60" t="str">
        <f t="shared" si="2"/>
        <v>9/1996</v>
      </c>
      <c r="Y60" s="1">
        <v>35352</v>
      </c>
      <c r="Z60">
        <f t="shared" si="3"/>
        <v>28</v>
      </c>
    </row>
    <row r="61" spans="2:26" x14ac:dyDescent="0.2">
      <c r="B61" t="str">
        <v>PRINI</v>
      </c>
      <c r="C61" t="str">
        <v>Princesa Isabel Vinhos</v>
      </c>
      <c r="D61" cm="1">
        <f t="array" ref="D61">COUNTA(_xlfn._xlws.FILTER(Orders[orderID],Orders[customerID]=B61))</f>
        <v>5</v>
      </c>
      <c r="E61" t="str">
        <v>PERIC</v>
      </c>
      <c r="F61" t="str">
        <v>Pericles Comidas clásicas</v>
      </c>
      <c r="G61">
        <v>6</v>
      </c>
      <c r="S61" s="1">
        <v>35325</v>
      </c>
      <c r="T61">
        <f t="shared" si="0"/>
        <v>9</v>
      </c>
      <c r="U61">
        <f t="shared" si="1"/>
        <v>1996</v>
      </c>
      <c r="V61" t="str">
        <f t="shared" si="2"/>
        <v>9/1996</v>
      </c>
      <c r="Y61" s="1">
        <v>35353</v>
      </c>
      <c r="Z61">
        <f t="shared" si="3"/>
        <v>28</v>
      </c>
    </row>
    <row r="62" spans="2:26" x14ac:dyDescent="0.2">
      <c r="B62" t="str">
        <v>QUEDE</v>
      </c>
      <c r="C62" t="str">
        <v>Que Delícia</v>
      </c>
      <c r="D62" cm="1">
        <f t="array" ref="D62">COUNTA(_xlfn._xlws.FILTER(Orders[orderID],Orders[customerID]=B62))</f>
        <v>9</v>
      </c>
      <c r="E62" t="str">
        <v>SANTG</v>
      </c>
      <c r="F62" t="str">
        <v>Santé Gourmet</v>
      </c>
      <c r="G62">
        <v>6</v>
      </c>
      <c r="S62" s="1">
        <v>35326</v>
      </c>
      <c r="T62">
        <f t="shared" si="0"/>
        <v>9</v>
      </c>
      <c r="U62">
        <f t="shared" si="1"/>
        <v>1996</v>
      </c>
      <c r="V62" t="str">
        <f t="shared" si="2"/>
        <v>9/1996</v>
      </c>
      <c r="Y62" s="1">
        <v>35354</v>
      </c>
      <c r="Z62">
        <f t="shared" si="3"/>
        <v>28</v>
      </c>
    </row>
    <row r="63" spans="2:26" x14ac:dyDescent="0.2">
      <c r="B63" t="str">
        <v>QUEEN</v>
      </c>
      <c r="C63" t="str">
        <v>Queen Cozinha</v>
      </c>
      <c r="D63" cm="1">
        <f t="array" ref="D63">COUNTA(_xlfn._xlws.FILTER(Orders[orderID],Orders[customerID]=B63))</f>
        <v>13</v>
      </c>
      <c r="E63" t="str">
        <v>TOMSP</v>
      </c>
      <c r="F63" t="str">
        <v>Toms Spezialitäten</v>
      </c>
      <c r="G63">
        <v>6</v>
      </c>
      <c r="S63" s="1">
        <v>35327</v>
      </c>
      <c r="T63">
        <f t="shared" si="0"/>
        <v>9</v>
      </c>
      <c r="U63">
        <f t="shared" si="1"/>
        <v>1996</v>
      </c>
      <c r="V63" t="str">
        <f t="shared" si="2"/>
        <v>9/1996</v>
      </c>
      <c r="Y63" s="1">
        <v>35355</v>
      </c>
      <c r="Z63">
        <f t="shared" si="3"/>
        <v>28</v>
      </c>
    </row>
    <row r="64" spans="2:26" x14ac:dyDescent="0.2">
      <c r="B64" t="str">
        <v>QUICK</v>
      </c>
      <c r="C64" t="str">
        <v>QUICK-Stop</v>
      </c>
      <c r="D64" cm="1">
        <f t="array" ref="D64">COUNTA(_xlfn._xlws.FILTER(Orders[orderID],Orders[customerID]=B64))</f>
        <v>28</v>
      </c>
      <c r="E64" t="str">
        <v>TRADH</v>
      </c>
      <c r="F64" t="str">
        <v>Tradição Hipermercados</v>
      </c>
      <c r="G64">
        <v>6</v>
      </c>
      <c r="S64" s="1">
        <v>35328</v>
      </c>
      <c r="T64">
        <f t="shared" si="0"/>
        <v>9</v>
      </c>
      <c r="U64">
        <f t="shared" si="1"/>
        <v>1996</v>
      </c>
      <c r="V64" t="str">
        <f t="shared" si="2"/>
        <v>9/1996</v>
      </c>
      <c r="Y64" s="1">
        <v>35356</v>
      </c>
      <c r="Z64">
        <f t="shared" si="3"/>
        <v>28</v>
      </c>
    </row>
    <row r="65" spans="2:26" x14ac:dyDescent="0.2">
      <c r="B65" t="str">
        <v>RANCH</v>
      </c>
      <c r="C65" t="str">
        <v>Rancho grande</v>
      </c>
      <c r="D65" cm="1">
        <f t="array" ref="D65">COUNTA(_xlfn._xlws.FILTER(Orders[orderID],Orders[customerID]=B65))</f>
        <v>5</v>
      </c>
      <c r="E65" t="str">
        <v>COMMI</v>
      </c>
      <c r="F65" t="str">
        <v>Comércio Mineiro</v>
      </c>
      <c r="G65">
        <v>5</v>
      </c>
      <c r="S65" s="1">
        <v>35328</v>
      </c>
      <c r="T65">
        <f t="shared" si="0"/>
        <v>9</v>
      </c>
      <c r="U65">
        <f t="shared" si="1"/>
        <v>1996</v>
      </c>
      <c r="V65" t="str">
        <f t="shared" si="2"/>
        <v>9/1996</v>
      </c>
      <c r="Y65" s="1">
        <v>35342</v>
      </c>
      <c r="Z65">
        <f t="shared" si="3"/>
        <v>14</v>
      </c>
    </row>
    <row r="66" spans="2:26" x14ac:dyDescent="0.2">
      <c r="B66" t="str">
        <v>RATTC</v>
      </c>
      <c r="C66" t="str">
        <v>Rattlesnake Canyon Grocery</v>
      </c>
      <c r="D66" cm="1">
        <f t="array" ref="D66">COUNTA(_xlfn._xlws.FILTER(Orders[orderID],Orders[customerID]=B66))</f>
        <v>18</v>
      </c>
      <c r="E66" t="str">
        <v>FOLIG</v>
      </c>
      <c r="F66" t="str">
        <v>Folies gourmandes</v>
      </c>
      <c r="G66">
        <v>5</v>
      </c>
      <c r="S66" s="1">
        <v>35331</v>
      </c>
      <c r="T66">
        <f t="shared" si="0"/>
        <v>9</v>
      </c>
      <c r="U66">
        <f t="shared" si="1"/>
        <v>1996</v>
      </c>
      <c r="V66" t="str">
        <f t="shared" si="2"/>
        <v>9/1996</v>
      </c>
      <c r="Y66" s="1">
        <v>35359</v>
      </c>
      <c r="Z66">
        <f t="shared" si="3"/>
        <v>28</v>
      </c>
    </row>
    <row r="67" spans="2:26" x14ac:dyDescent="0.2">
      <c r="B67" t="str">
        <v>REGGC</v>
      </c>
      <c r="C67" t="str">
        <v>Reggiani Caseifici</v>
      </c>
      <c r="D67" cm="1">
        <f t="array" ref="D67">COUNTA(_xlfn._xlws.FILTER(Orders[orderID],Orders[customerID]=B67))</f>
        <v>12</v>
      </c>
      <c r="E67" t="str">
        <v>GALED</v>
      </c>
      <c r="F67" t="str">
        <v>Galería del gastrónomo</v>
      </c>
      <c r="G67">
        <v>5</v>
      </c>
      <c r="S67" s="1">
        <v>35332</v>
      </c>
      <c r="T67">
        <f t="shared" ref="T67:T130" si="4">MONTH(S67)</f>
        <v>9</v>
      </c>
      <c r="U67">
        <f t="shared" ref="U67:U130" si="5">YEAR(S67)</f>
        <v>1996</v>
      </c>
      <c r="V67" t="str">
        <f t="shared" ref="V67:V130" si="6">T67&amp;"/"&amp;U67</f>
        <v>9/1996</v>
      </c>
      <c r="Y67" s="1">
        <v>35360</v>
      </c>
      <c r="Z67">
        <f t="shared" ref="Z67:Z130" si="7">Y67-S67</f>
        <v>28</v>
      </c>
    </row>
    <row r="68" spans="2:26" x14ac:dyDescent="0.2">
      <c r="B68" t="str">
        <v>RICAR</v>
      </c>
      <c r="C68" t="str">
        <v>Ricardo Adocicados</v>
      </c>
      <c r="D68" cm="1">
        <f t="array" ref="D68">COUNTA(_xlfn._xlws.FILTER(Orders[orderID],Orders[customerID]=B68))</f>
        <v>11</v>
      </c>
      <c r="E68" t="str">
        <v>HUNGC</v>
      </c>
      <c r="F68" t="str">
        <v>Hungry Coyote Import Store</v>
      </c>
      <c r="G68">
        <v>5</v>
      </c>
      <c r="S68" s="1">
        <v>35333</v>
      </c>
      <c r="T68">
        <f t="shared" si="4"/>
        <v>9</v>
      </c>
      <c r="U68">
        <f t="shared" si="5"/>
        <v>1996</v>
      </c>
      <c r="V68" t="str">
        <f t="shared" si="6"/>
        <v>9/1996</v>
      </c>
      <c r="Y68" s="1">
        <v>35361</v>
      </c>
      <c r="Z68">
        <f t="shared" si="7"/>
        <v>28</v>
      </c>
    </row>
    <row r="69" spans="2:26" x14ac:dyDescent="0.2">
      <c r="B69" t="str">
        <v>RICSU</v>
      </c>
      <c r="C69" t="str">
        <v>Richter Supermarkt</v>
      </c>
      <c r="D69" cm="1">
        <f t="array" ref="D69">COUNTA(_xlfn._xlws.FILTER(Orders[orderID],Orders[customerID]=B69))</f>
        <v>10</v>
      </c>
      <c r="E69" t="str">
        <v>MORGK</v>
      </c>
      <c r="F69" t="str">
        <v>Morgenstern Gesundkost</v>
      </c>
      <c r="G69">
        <v>5</v>
      </c>
      <c r="S69" s="1">
        <v>35334</v>
      </c>
      <c r="T69">
        <f t="shared" si="4"/>
        <v>9</v>
      </c>
      <c r="U69">
        <f t="shared" si="5"/>
        <v>1996</v>
      </c>
      <c r="V69" t="str">
        <f t="shared" si="6"/>
        <v>9/1996</v>
      </c>
      <c r="Y69" s="1">
        <v>35362</v>
      </c>
      <c r="Z69">
        <f t="shared" si="7"/>
        <v>28</v>
      </c>
    </row>
    <row r="70" spans="2:26" x14ac:dyDescent="0.2">
      <c r="B70" t="str">
        <v>ROMEY</v>
      </c>
      <c r="C70" t="str">
        <v>Romero y tomillo</v>
      </c>
      <c r="D70" cm="1">
        <f t="array" ref="D70">COUNTA(_xlfn._xlws.FILTER(Orders[orderID],Orders[customerID]=B70))</f>
        <v>5</v>
      </c>
      <c r="E70" t="str">
        <v>OCEAN</v>
      </c>
      <c r="F70" t="str">
        <v>Océano Atlántico Ltda.</v>
      </c>
      <c r="G70">
        <v>5</v>
      </c>
      <c r="S70" s="1">
        <v>35335</v>
      </c>
      <c r="T70">
        <f t="shared" si="4"/>
        <v>9</v>
      </c>
      <c r="U70">
        <f t="shared" si="5"/>
        <v>1996</v>
      </c>
      <c r="V70" t="str">
        <f t="shared" si="6"/>
        <v>9/1996</v>
      </c>
      <c r="Y70" s="1">
        <v>35363</v>
      </c>
      <c r="Z70">
        <f t="shared" si="7"/>
        <v>28</v>
      </c>
    </row>
    <row r="71" spans="2:26" x14ac:dyDescent="0.2">
      <c r="B71" t="str">
        <v>SANTG</v>
      </c>
      <c r="C71" t="str">
        <v>Santé Gourmet</v>
      </c>
      <c r="D71" cm="1">
        <f t="array" ref="D71">COUNTA(_xlfn._xlws.FILTER(Orders[orderID],Orders[customerID]=B71))</f>
        <v>6</v>
      </c>
      <c r="E71" t="str">
        <v>PRINI</v>
      </c>
      <c r="F71" t="str">
        <v>Princesa Isabel Vinhos</v>
      </c>
      <c r="G71">
        <v>5</v>
      </c>
      <c r="S71" s="1">
        <v>35338</v>
      </c>
      <c r="T71">
        <f t="shared" si="4"/>
        <v>9</v>
      </c>
      <c r="U71">
        <f t="shared" si="5"/>
        <v>1996</v>
      </c>
      <c r="V71" t="str">
        <f t="shared" si="6"/>
        <v>9/1996</v>
      </c>
      <c r="Y71" s="1">
        <v>35366</v>
      </c>
      <c r="Z71">
        <f t="shared" si="7"/>
        <v>28</v>
      </c>
    </row>
    <row r="72" spans="2:26" x14ac:dyDescent="0.2">
      <c r="B72" t="str">
        <v>SAVEA</v>
      </c>
      <c r="C72" t="str">
        <v>Save-a-lot Markets</v>
      </c>
      <c r="D72" cm="1">
        <f t="array" ref="D72">COUNTA(_xlfn._xlws.FILTER(Orders[orderID],Orders[customerID]=B72))</f>
        <v>31</v>
      </c>
      <c r="E72" t="str">
        <v>RANCH</v>
      </c>
      <c r="F72" t="str">
        <v>Rancho grande</v>
      </c>
      <c r="G72">
        <v>5</v>
      </c>
      <c r="S72" s="1">
        <v>35339</v>
      </c>
      <c r="T72">
        <f t="shared" si="4"/>
        <v>10</v>
      </c>
      <c r="U72">
        <f t="shared" si="5"/>
        <v>1996</v>
      </c>
      <c r="V72" t="str">
        <f t="shared" si="6"/>
        <v>10/1996</v>
      </c>
      <c r="Y72" s="1">
        <v>35367</v>
      </c>
      <c r="Z72">
        <f t="shared" si="7"/>
        <v>28</v>
      </c>
    </row>
    <row r="73" spans="2:26" x14ac:dyDescent="0.2">
      <c r="B73" t="str">
        <v>SEVES</v>
      </c>
      <c r="C73" t="str">
        <v>Seven Seas Imports</v>
      </c>
      <c r="D73" cm="1">
        <f t="array" ref="D73">COUNTA(_xlfn._xlws.FILTER(Orders[orderID],Orders[customerID]=B73))</f>
        <v>9</v>
      </c>
      <c r="E73" t="str">
        <v>ROMEY</v>
      </c>
      <c r="F73" t="str">
        <v>Romero y tomillo</v>
      </c>
      <c r="G73">
        <v>5</v>
      </c>
      <c r="S73" s="1">
        <v>35340</v>
      </c>
      <c r="T73">
        <f t="shared" si="4"/>
        <v>10</v>
      </c>
      <c r="U73">
        <f t="shared" si="5"/>
        <v>1996</v>
      </c>
      <c r="V73" t="str">
        <f t="shared" si="6"/>
        <v>10/1996</v>
      </c>
      <c r="Y73" s="1">
        <v>35368</v>
      </c>
      <c r="Z73">
        <f t="shared" si="7"/>
        <v>28</v>
      </c>
    </row>
    <row r="74" spans="2:26" x14ac:dyDescent="0.2">
      <c r="B74" t="str">
        <v>SIMOB</v>
      </c>
      <c r="C74" t="str">
        <v>Simons bistro</v>
      </c>
      <c r="D74" cm="1">
        <f t="array" ref="D74">COUNTA(_xlfn._xlws.FILTER(Orders[orderID],Orders[customerID]=B74))</f>
        <v>7</v>
      </c>
      <c r="E74" t="str">
        <v>VINET</v>
      </c>
      <c r="F74" t="str">
        <v>Vins et alcools Chevalier</v>
      </c>
      <c r="G74">
        <v>5</v>
      </c>
      <c r="S74" s="1">
        <v>35341</v>
      </c>
      <c r="T74">
        <f t="shared" si="4"/>
        <v>10</v>
      </c>
      <c r="U74">
        <f t="shared" si="5"/>
        <v>1996</v>
      </c>
      <c r="V74" t="str">
        <f t="shared" si="6"/>
        <v>10/1996</v>
      </c>
      <c r="Y74" s="1">
        <v>35355</v>
      </c>
      <c r="Z74">
        <f t="shared" si="7"/>
        <v>14</v>
      </c>
    </row>
    <row r="75" spans="2:26" x14ac:dyDescent="0.2">
      <c r="B75" t="str">
        <v>SPECD</v>
      </c>
      <c r="C75" t="str">
        <v>Spécialités du monde</v>
      </c>
      <c r="D75" cm="1">
        <f t="array" ref="D75">COUNTA(_xlfn._xlws.FILTER(Orders[orderID],Orders[customerID]=B75))</f>
        <v>4</v>
      </c>
      <c r="E75" t="str">
        <v>ANATR</v>
      </c>
      <c r="F75" t="str">
        <v>Ana Trujillo Emparedados y helados</v>
      </c>
      <c r="G75">
        <v>4</v>
      </c>
      <c r="S75" s="1">
        <v>35341</v>
      </c>
      <c r="T75">
        <f t="shared" si="4"/>
        <v>10</v>
      </c>
      <c r="U75">
        <f t="shared" si="5"/>
        <v>1996</v>
      </c>
      <c r="V75" t="str">
        <f t="shared" si="6"/>
        <v>10/1996</v>
      </c>
      <c r="Y75" s="1">
        <v>35369</v>
      </c>
      <c r="Z75">
        <f t="shared" si="7"/>
        <v>28</v>
      </c>
    </row>
    <row r="76" spans="2:26" x14ac:dyDescent="0.2">
      <c r="B76" t="str">
        <v>SPLIR</v>
      </c>
      <c r="C76" t="str">
        <v>Split Rail Beer &amp; Ale</v>
      </c>
      <c r="D76" cm="1">
        <f t="array" ref="D76">COUNTA(_xlfn._xlws.FILTER(Orders[orderID],Orders[customerID]=B76))</f>
        <v>9</v>
      </c>
      <c r="E76" t="str">
        <v>DUMON</v>
      </c>
      <c r="F76" t="str">
        <v>Du monde entier</v>
      </c>
      <c r="G76">
        <v>4</v>
      </c>
      <c r="S76" s="1">
        <v>35342</v>
      </c>
      <c r="T76">
        <f t="shared" si="4"/>
        <v>10</v>
      </c>
      <c r="U76">
        <f t="shared" si="5"/>
        <v>1996</v>
      </c>
      <c r="V76" t="str">
        <f t="shared" si="6"/>
        <v>10/1996</v>
      </c>
      <c r="Y76" s="1">
        <v>35370</v>
      </c>
      <c r="Z76">
        <f t="shared" si="7"/>
        <v>28</v>
      </c>
    </row>
    <row r="77" spans="2:26" x14ac:dyDescent="0.2">
      <c r="B77" t="str">
        <v>SUPRD</v>
      </c>
      <c r="C77" t="str">
        <v>Suprêmes délices</v>
      </c>
      <c r="D77" cm="1">
        <f t="array" ref="D77">COUNTA(_xlfn._xlws.FILTER(Orders[orderID],Orders[customerID]=B77))</f>
        <v>12</v>
      </c>
      <c r="E77" t="str">
        <v>LACOR</v>
      </c>
      <c r="F77" t="str">
        <v>La corne d'abondance</v>
      </c>
      <c r="G77">
        <v>4</v>
      </c>
      <c r="S77" s="1">
        <v>35345</v>
      </c>
      <c r="T77">
        <f t="shared" si="4"/>
        <v>10</v>
      </c>
      <c r="U77">
        <f t="shared" si="5"/>
        <v>1996</v>
      </c>
      <c r="V77" t="str">
        <f t="shared" si="6"/>
        <v>10/1996</v>
      </c>
      <c r="Y77" s="1">
        <v>35373</v>
      </c>
      <c r="Z77">
        <f t="shared" si="7"/>
        <v>28</v>
      </c>
    </row>
    <row r="78" spans="2:26" x14ac:dyDescent="0.2">
      <c r="B78" t="str">
        <v>THEBI</v>
      </c>
      <c r="C78" t="str">
        <v>The Big Cheese</v>
      </c>
      <c r="D78" cm="1">
        <f t="array" ref="D78">COUNTA(_xlfn._xlws.FILTER(Orders[orderID],Orders[customerID]=B78))</f>
        <v>4</v>
      </c>
      <c r="E78" t="str">
        <v>LETSS</v>
      </c>
      <c r="F78" t="str">
        <v>Let's Stop N Shop</v>
      </c>
      <c r="G78">
        <v>4</v>
      </c>
      <c r="S78" s="1">
        <v>35346</v>
      </c>
      <c r="T78">
        <f t="shared" si="4"/>
        <v>10</v>
      </c>
      <c r="U78">
        <f t="shared" si="5"/>
        <v>1996</v>
      </c>
      <c r="V78" t="str">
        <f t="shared" si="6"/>
        <v>10/1996</v>
      </c>
      <c r="Y78" s="1">
        <v>35374</v>
      </c>
      <c r="Z78">
        <f t="shared" si="7"/>
        <v>28</v>
      </c>
    </row>
    <row r="79" spans="2:26" x14ac:dyDescent="0.2">
      <c r="B79" t="str">
        <v>THECR</v>
      </c>
      <c r="C79" t="str">
        <v>The Cracker Box</v>
      </c>
      <c r="D79" cm="1">
        <f t="array" ref="D79">COUNTA(_xlfn._xlws.FILTER(Orders[orderID],Orders[customerID]=B79))</f>
        <v>3</v>
      </c>
      <c r="E79" t="str">
        <v>SPECD</v>
      </c>
      <c r="F79" t="str">
        <v>Spécialités du monde</v>
      </c>
      <c r="G79">
        <v>4</v>
      </c>
      <c r="S79" s="1">
        <v>35347</v>
      </c>
      <c r="T79">
        <f t="shared" si="4"/>
        <v>10</v>
      </c>
      <c r="U79">
        <f t="shared" si="5"/>
        <v>1996</v>
      </c>
      <c r="V79" t="str">
        <f t="shared" si="6"/>
        <v>10/1996</v>
      </c>
      <c r="Y79" s="1">
        <v>35361</v>
      </c>
      <c r="Z79">
        <f t="shared" si="7"/>
        <v>14</v>
      </c>
    </row>
    <row r="80" spans="2:26" x14ac:dyDescent="0.2">
      <c r="B80" t="str">
        <v>TOMSP</v>
      </c>
      <c r="C80" t="str">
        <v>Toms Spezialitäten</v>
      </c>
      <c r="D80" cm="1">
        <f t="array" ref="D80">COUNTA(_xlfn._xlws.FILTER(Orders[orderID],Orders[customerID]=B80))</f>
        <v>6</v>
      </c>
      <c r="E80" t="str">
        <v>THEBI</v>
      </c>
      <c r="F80" t="str">
        <v>The Big Cheese</v>
      </c>
      <c r="G80">
        <v>4</v>
      </c>
      <c r="S80" s="1">
        <v>35348</v>
      </c>
      <c r="T80">
        <f t="shared" si="4"/>
        <v>10</v>
      </c>
      <c r="U80">
        <f t="shared" si="5"/>
        <v>1996</v>
      </c>
      <c r="V80" t="str">
        <f t="shared" si="6"/>
        <v>10/1996</v>
      </c>
      <c r="Y80" s="1">
        <v>35376</v>
      </c>
      <c r="Z80">
        <f t="shared" si="7"/>
        <v>28</v>
      </c>
    </row>
    <row r="81" spans="2:26" x14ac:dyDescent="0.2">
      <c r="B81" t="str">
        <v>TORTU</v>
      </c>
      <c r="C81" t="str">
        <v>Tortuga Restaurante</v>
      </c>
      <c r="D81" cm="1">
        <f t="array" ref="D81">COUNTA(_xlfn._xlws.FILTER(Orders[orderID],Orders[customerID]=B81))</f>
        <v>10</v>
      </c>
      <c r="E81" t="str">
        <v>BOLID</v>
      </c>
      <c r="F81" t="str">
        <v>Bólido Comidas preparadas</v>
      </c>
      <c r="G81">
        <v>3</v>
      </c>
      <c r="S81" s="1">
        <v>35349</v>
      </c>
      <c r="T81">
        <f t="shared" si="4"/>
        <v>10</v>
      </c>
      <c r="U81">
        <f t="shared" si="5"/>
        <v>1996</v>
      </c>
      <c r="V81" t="str">
        <f t="shared" si="6"/>
        <v>10/1996</v>
      </c>
      <c r="Y81" s="1">
        <v>35377</v>
      </c>
      <c r="Z81">
        <f t="shared" si="7"/>
        <v>28</v>
      </c>
    </row>
    <row r="82" spans="2:26" x14ac:dyDescent="0.2">
      <c r="B82" t="str">
        <v>TRADH</v>
      </c>
      <c r="C82" t="str">
        <v>Tradição Hipermercados</v>
      </c>
      <c r="D82" cm="1">
        <f t="array" ref="D82">COUNTA(_xlfn._xlws.FILTER(Orders[orderID],Orders[customerID]=B82))</f>
        <v>6</v>
      </c>
      <c r="E82" t="str">
        <v>CONSH</v>
      </c>
      <c r="F82" t="str">
        <v>Consolidated Holdings</v>
      </c>
      <c r="G82">
        <v>3</v>
      </c>
      <c r="S82" s="1">
        <v>35352</v>
      </c>
      <c r="T82">
        <f t="shared" si="4"/>
        <v>10</v>
      </c>
      <c r="U82">
        <f t="shared" si="5"/>
        <v>1996</v>
      </c>
      <c r="V82" t="str">
        <f t="shared" si="6"/>
        <v>10/1996</v>
      </c>
      <c r="Y82" s="1">
        <v>35380</v>
      </c>
      <c r="Z82">
        <f t="shared" si="7"/>
        <v>28</v>
      </c>
    </row>
    <row r="83" spans="2:26" x14ac:dyDescent="0.2">
      <c r="B83" t="str">
        <v>TRAIH</v>
      </c>
      <c r="C83" t="str">
        <v>Trail's Head Gourmet Provisioners</v>
      </c>
      <c r="D83" cm="1">
        <f t="array" ref="D83">COUNTA(_xlfn._xlws.FILTER(Orders[orderID],Orders[customerID]=B83))</f>
        <v>3</v>
      </c>
      <c r="E83" t="str">
        <v>FRANR</v>
      </c>
      <c r="F83" t="str">
        <v>France restauration</v>
      </c>
      <c r="G83">
        <v>3</v>
      </c>
      <c r="S83" s="1">
        <v>35353</v>
      </c>
      <c r="T83">
        <f t="shared" si="4"/>
        <v>10</v>
      </c>
      <c r="U83">
        <f t="shared" si="5"/>
        <v>1996</v>
      </c>
      <c r="V83" t="str">
        <f t="shared" si="6"/>
        <v>10/1996</v>
      </c>
      <c r="Y83" s="1">
        <v>35395</v>
      </c>
      <c r="Z83">
        <f t="shared" si="7"/>
        <v>42</v>
      </c>
    </row>
    <row r="84" spans="2:26" x14ac:dyDescent="0.2">
      <c r="B84" t="str">
        <v>VAFFE</v>
      </c>
      <c r="C84" t="str">
        <v>Vaffeljernet</v>
      </c>
      <c r="D84" cm="1">
        <f t="array" ref="D84">COUNTA(_xlfn._xlws.FILTER(Orders[orderID],Orders[customerID]=B84))</f>
        <v>11</v>
      </c>
      <c r="E84" t="str">
        <v>LAUGB</v>
      </c>
      <c r="F84" t="str">
        <v>Laughing Bacchus Wine Cellars</v>
      </c>
      <c r="G84">
        <v>3</v>
      </c>
      <c r="S84" s="1">
        <v>35354</v>
      </c>
      <c r="T84">
        <f t="shared" si="4"/>
        <v>10</v>
      </c>
      <c r="U84">
        <f t="shared" si="5"/>
        <v>1996</v>
      </c>
      <c r="V84" t="str">
        <f t="shared" si="6"/>
        <v>10/1996</v>
      </c>
      <c r="Y84" s="1">
        <v>35382</v>
      </c>
      <c r="Z84">
        <f t="shared" si="7"/>
        <v>28</v>
      </c>
    </row>
    <row r="85" spans="2:26" x14ac:dyDescent="0.2">
      <c r="B85" t="str">
        <v>VICTE</v>
      </c>
      <c r="C85" t="str">
        <v>Victuailles en stock</v>
      </c>
      <c r="D85" cm="1">
        <f t="array" ref="D85">COUNTA(_xlfn._xlws.FILTER(Orders[orderID],Orders[customerID]=B85))</f>
        <v>10</v>
      </c>
      <c r="E85" t="str">
        <v>NORTS</v>
      </c>
      <c r="F85" t="str">
        <v>North/South</v>
      </c>
      <c r="G85">
        <v>3</v>
      </c>
      <c r="S85" s="1">
        <v>35354</v>
      </c>
      <c r="T85">
        <f t="shared" si="4"/>
        <v>10</v>
      </c>
      <c r="U85">
        <f t="shared" si="5"/>
        <v>1996</v>
      </c>
      <c r="V85" t="str">
        <f t="shared" si="6"/>
        <v>10/1996</v>
      </c>
      <c r="Y85" s="1">
        <v>35396</v>
      </c>
      <c r="Z85">
        <f t="shared" si="7"/>
        <v>42</v>
      </c>
    </row>
    <row r="86" spans="2:26" x14ac:dyDescent="0.2">
      <c r="B86" t="str">
        <v>VINET</v>
      </c>
      <c r="C86" t="str">
        <v>Vins et alcools Chevalier</v>
      </c>
      <c r="D86" cm="1">
        <f t="array" ref="D86">COUNTA(_xlfn._xlws.FILTER(Orders[orderID],Orders[customerID]=B86))</f>
        <v>5</v>
      </c>
      <c r="E86" t="str">
        <v>THECR</v>
      </c>
      <c r="F86" t="str">
        <v>The Cracker Box</v>
      </c>
      <c r="G86">
        <v>3</v>
      </c>
      <c r="S86" s="1">
        <v>35355</v>
      </c>
      <c r="T86">
        <f t="shared" si="4"/>
        <v>10</v>
      </c>
      <c r="U86">
        <f t="shared" si="5"/>
        <v>1996</v>
      </c>
      <c r="V86" t="str">
        <f t="shared" si="6"/>
        <v>10/1996</v>
      </c>
      <c r="Y86" s="1">
        <v>35397</v>
      </c>
      <c r="Z86">
        <f t="shared" si="7"/>
        <v>42</v>
      </c>
    </row>
    <row r="87" spans="2:26" x14ac:dyDescent="0.2">
      <c r="B87" t="str">
        <v>WANDK</v>
      </c>
      <c r="C87" t="str">
        <v>Die Wandernde Kuh</v>
      </c>
      <c r="D87" cm="1">
        <f t="array" ref="D87">COUNTA(_xlfn._xlws.FILTER(Orders[orderID],Orders[customerID]=B87))</f>
        <v>10</v>
      </c>
      <c r="E87" t="str">
        <v>TRAIH</v>
      </c>
      <c r="F87" t="str">
        <v>Trail's Head Gourmet Provisioners</v>
      </c>
      <c r="G87">
        <v>3</v>
      </c>
      <c r="S87" s="1">
        <v>35356</v>
      </c>
      <c r="T87">
        <f t="shared" si="4"/>
        <v>10</v>
      </c>
      <c r="U87">
        <f t="shared" si="5"/>
        <v>1996</v>
      </c>
      <c r="V87" t="str">
        <f t="shared" si="6"/>
        <v>10/1996</v>
      </c>
      <c r="Y87" s="1">
        <v>35384</v>
      </c>
      <c r="Z87">
        <f t="shared" si="7"/>
        <v>28</v>
      </c>
    </row>
    <row r="88" spans="2:26" x14ac:dyDescent="0.2">
      <c r="B88" t="str">
        <v>WARTH</v>
      </c>
      <c r="C88" t="str">
        <v>Wartian Herkku</v>
      </c>
      <c r="D88" cm="1">
        <f t="array" ref="D88">COUNTA(_xlfn._xlws.FILTER(Orders[orderID],Orders[customerID]=B88))</f>
        <v>15</v>
      </c>
      <c r="E88" t="str">
        <v>GROSR</v>
      </c>
      <c r="F88" t="str">
        <v>GROSELLA-Restaurante</v>
      </c>
      <c r="G88">
        <v>2</v>
      </c>
      <c r="S88" s="1">
        <v>35359</v>
      </c>
      <c r="T88">
        <f t="shared" si="4"/>
        <v>10</v>
      </c>
      <c r="U88">
        <f t="shared" si="5"/>
        <v>1996</v>
      </c>
      <c r="V88" t="str">
        <f t="shared" si="6"/>
        <v>10/1996</v>
      </c>
      <c r="Y88" s="1">
        <v>35387</v>
      </c>
      <c r="Z88">
        <f t="shared" si="7"/>
        <v>28</v>
      </c>
    </row>
    <row r="89" spans="2:26" x14ac:dyDescent="0.2">
      <c r="B89" t="str">
        <v>WELLI</v>
      </c>
      <c r="C89" t="str">
        <v>Wellington Importadora</v>
      </c>
      <c r="D89" cm="1">
        <f t="array" ref="D89">COUNTA(_xlfn._xlws.FILTER(Orders[orderID],Orders[customerID]=B89))</f>
        <v>9</v>
      </c>
      <c r="E89" t="str">
        <v>LAZYK</v>
      </c>
      <c r="F89" t="str">
        <v>Lazy K Kountry Store</v>
      </c>
      <c r="G89">
        <v>2</v>
      </c>
      <c r="S89" s="1">
        <v>35360</v>
      </c>
      <c r="T89">
        <f t="shared" si="4"/>
        <v>10</v>
      </c>
      <c r="U89">
        <f t="shared" si="5"/>
        <v>1996</v>
      </c>
      <c r="V89" t="str">
        <f t="shared" si="6"/>
        <v>10/1996</v>
      </c>
      <c r="Y89" s="1">
        <v>35388</v>
      </c>
      <c r="Z89">
        <f t="shared" si="7"/>
        <v>28</v>
      </c>
    </row>
    <row r="90" spans="2:26" x14ac:dyDescent="0.2">
      <c r="B90" t="str">
        <v>WHITC</v>
      </c>
      <c r="C90" t="str">
        <v>White Clover Markets</v>
      </c>
      <c r="D90" cm="1">
        <f t="array" ref="D90">COUNTA(_xlfn._xlws.FILTER(Orders[orderID],Orders[customerID]=B90))</f>
        <v>14</v>
      </c>
      <c r="E90" t="str">
        <v>CENTC</v>
      </c>
      <c r="F90" t="str">
        <v>Centro comercial Moctezuma</v>
      </c>
      <c r="G90">
        <v>1</v>
      </c>
      <c r="S90" s="1">
        <v>35361</v>
      </c>
      <c r="T90">
        <f t="shared" si="4"/>
        <v>10</v>
      </c>
      <c r="U90">
        <f t="shared" si="5"/>
        <v>1996</v>
      </c>
      <c r="V90" t="str">
        <f t="shared" si="6"/>
        <v>10/1996</v>
      </c>
      <c r="Y90" s="1">
        <v>35389</v>
      </c>
      <c r="Z90">
        <f t="shared" si="7"/>
        <v>28</v>
      </c>
    </row>
    <row r="91" spans="2:26" x14ac:dyDescent="0.2">
      <c r="B91" t="str">
        <v>WILMK</v>
      </c>
      <c r="C91" t="str">
        <v>Wilman Kala</v>
      </c>
      <c r="D91" cm="1">
        <f t="array" ref="D91">COUNTA(_xlfn._xlws.FILTER(Orders[orderID],Orders[customerID]=B91))</f>
        <v>7</v>
      </c>
      <c r="E91" t="str">
        <v>FISSA</v>
      </c>
      <c r="F91" t="str">
        <v>FISSA Fabrica Inter. Salchichas S.A.</v>
      </c>
      <c r="G91">
        <v>1</v>
      </c>
      <c r="S91" s="1">
        <v>35362</v>
      </c>
      <c r="T91">
        <f t="shared" si="4"/>
        <v>10</v>
      </c>
      <c r="U91">
        <f t="shared" si="5"/>
        <v>1996</v>
      </c>
      <c r="V91" t="str">
        <f t="shared" si="6"/>
        <v>10/1996</v>
      </c>
      <c r="Y91" s="1">
        <v>35390</v>
      </c>
      <c r="Z91">
        <f t="shared" si="7"/>
        <v>28</v>
      </c>
    </row>
    <row r="92" spans="2:26" x14ac:dyDescent="0.2">
      <c r="B92" t="str">
        <v>WOLZA</v>
      </c>
      <c r="C92" t="str">
        <v>Wolski  Zajazd</v>
      </c>
      <c r="D92" cm="1">
        <f t="array" ref="D92">COUNTA(_xlfn._xlws.FILTER(Orders[orderID],Orders[customerID]=B92))</f>
        <v>7</v>
      </c>
      <c r="E92" t="str">
        <v>PARIS</v>
      </c>
      <c r="F92" t="str">
        <v>Paris spécialités</v>
      </c>
      <c r="G92">
        <v>1</v>
      </c>
      <c r="S92" s="1">
        <v>35363</v>
      </c>
      <c r="T92">
        <f t="shared" si="4"/>
        <v>10</v>
      </c>
      <c r="U92">
        <f t="shared" si="5"/>
        <v>1996</v>
      </c>
      <c r="V92" t="str">
        <f t="shared" si="6"/>
        <v>10/1996</v>
      </c>
      <c r="Y92" s="1">
        <v>35391</v>
      </c>
      <c r="Z92">
        <f t="shared" si="7"/>
        <v>28</v>
      </c>
    </row>
    <row r="93" spans="2:26" x14ac:dyDescent="0.2">
      <c r="S93" s="1">
        <v>35366</v>
      </c>
      <c r="T93">
        <f t="shared" si="4"/>
        <v>10</v>
      </c>
      <c r="U93">
        <f t="shared" si="5"/>
        <v>1996</v>
      </c>
      <c r="V93" t="str">
        <f t="shared" si="6"/>
        <v>10/1996</v>
      </c>
      <c r="Y93" s="1">
        <v>35394</v>
      </c>
      <c r="Z93">
        <f t="shared" si="7"/>
        <v>28</v>
      </c>
    </row>
    <row r="94" spans="2:26" x14ac:dyDescent="0.2">
      <c r="S94" s="1">
        <v>35367</v>
      </c>
      <c r="T94">
        <f t="shared" si="4"/>
        <v>10</v>
      </c>
      <c r="U94">
        <f t="shared" si="5"/>
        <v>1996</v>
      </c>
      <c r="V94" t="str">
        <f t="shared" si="6"/>
        <v>10/1996</v>
      </c>
      <c r="Y94" s="1">
        <v>35395</v>
      </c>
      <c r="Z94">
        <f t="shared" si="7"/>
        <v>28</v>
      </c>
    </row>
    <row r="95" spans="2:26" x14ac:dyDescent="0.2">
      <c r="S95" s="1">
        <v>35367</v>
      </c>
      <c r="T95">
        <f t="shared" si="4"/>
        <v>10</v>
      </c>
      <c r="U95">
        <f t="shared" si="5"/>
        <v>1996</v>
      </c>
      <c r="V95" t="str">
        <f t="shared" si="6"/>
        <v>10/1996</v>
      </c>
      <c r="Y95" s="1">
        <v>35395</v>
      </c>
      <c r="Z95">
        <f t="shared" si="7"/>
        <v>28</v>
      </c>
    </row>
    <row r="96" spans="2:26" x14ac:dyDescent="0.2">
      <c r="S96" s="1">
        <v>35368</v>
      </c>
      <c r="T96">
        <f t="shared" si="4"/>
        <v>10</v>
      </c>
      <c r="U96">
        <f t="shared" si="5"/>
        <v>1996</v>
      </c>
      <c r="V96" t="str">
        <f t="shared" si="6"/>
        <v>10/1996</v>
      </c>
      <c r="Y96" s="1">
        <v>35382</v>
      </c>
      <c r="Z96">
        <f t="shared" si="7"/>
        <v>14</v>
      </c>
    </row>
    <row r="97" spans="19:26" x14ac:dyDescent="0.2">
      <c r="S97" s="1">
        <v>35369</v>
      </c>
      <c r="T97">
        <f t="shared" si="4"/>
        <v>10</v>
      </c>
      <c r="U97">
        <f t="shared" si="5"/>
        <v>1996</v>
      </c>
      <c r="V97" t="str">
        <f t="shared" si="6"/>
        <v>10/1996</v>
      </c>
      <c r="Y97" s="1">
        <v>35397</v>
      </c>
      <c r="Z97">
        <f t="shared" si="7"/>
        <v>28</v>
      </c>
    </row>
    <row r="98" spans="19:26" x14ac:dyDescent="0.2">
      <c r="S98" s="1">
        <v>35370</v>
      </c>
      <c r="T98">
        <f t="shared" si="4"/>
        <v>11</v>
      </c>
      <c r="U98">
        <f t="shared" si="5"/>
        <v>1996</v>
      </c>
      <c r="V98" t="str">
        <f t="shared" si="6"/>
        <v>11/1996</v>
      </c>
      <c r="Y98" s="1">
        <v>35398</v>
      </c>
      <c r="Z98">
        <f t="shared" si="7"/>
        <v>28</v>
      </c>
    </row>
    <row r="99" spans="19:26" x14ac:dyDescent="0.2">
      <c r="S99" s="1">
        <v>35373</v>
      </c>
      <c r="T99">
        <f t="shared" si="4"/>
        <v>11</v>
      </c>
      <c r="U99">
        <f t="shared" si="5"/>
        <v>1996</v>
      </c>
      <c r="V99" t="str">
        <f t="shared" si="6"/>
        <v>11/1996</v>
      </c>
      <c r="Y99" s="1">
        <v>35401</v>
      </c>
      <c r="Z99">
        <f t="shared" si="7"/>
        <v>28</v>
      </c>
    </row>
    <row r="100" spans="19:26" x14ac:dyDescent="0.2">
      <c r="S100" s="1">
        <v>35374</v>
      </c>
      <c r="T100">
        <f t="shared" si="4"/>
        <v>11</v>
      </c>
      <c r="U100">
        <f t="shared" si="5"/>
        <v>1996</v>
      </c>
      <c r="V100" t="str">
        <f t="shared" si="6"/>
        <v>11/1996</v>
      </c>
      <c r="Y100" s="1">
        <v>35416</v>
      </c>
      <c r="Z100">
        <f t="shared" si="7"/>
        <v>42</v>
      </c>
    </row>
    <row r="101" spans="19:26" x14ac:dyDescent="0.2">
      <c r="S101" s="1">
        <v>35375</v>
      </c>
      <c r="T101">
        <f t="shared" si="4"/>
        <v>11</v>
      </c>
      <c r="U101">
        <f t="shared" si="5"/>
        <v>1996</v>
      </c>
      <c r="V101" t="str">
        <f t="shared" si="6"/>
        <v>11/1996</v>
      </c>
      <c r="Y101" s="1">
        <v>35403</v>
      </c>
      <c r="Z101">
        <f t="shared" si="7"/>
        <v>28</v>
      </c>
    </row>
    <row r="102" spans="19:26" x14ac:dyDescent="0.2">
      <c r="S102" s="1">
        <v>35376</v>
      </c>
      <c r="T102">
        <f t="shared" si="4"/>
        <v>11</v>
      </c>
      <c r="U102">
        <f t="shared" si="5"/>
        <v>1996</v>
      </c>
      <c r="V102" t="str">
        <f t="shared" si="6"/>
        <v>11/1996</v>
      </c>
      <c r="Y102" s="1">
        <v>35404</v>
      </c>
      <c r="Z102">
        <f t="shared" si="7"/>
        <v>28</v>
      </c>
    </row>
    <row r="103" spans="19:26" x14ac:dyDescent="0.2">
      <c r="S103" s="1">
        <v>35377</v>
      </c>
      <c r="T103">
        <f t="shared" si="4"/>
        <v>11</v>
      </c>
      <c r="U103">
        <f t="shared" si="5"/>
        <v>1996</v>
      </c>
      <c r="V103" t="str">
        <f t="shared" si="6"/>
        <v>11/1996</v>
      </c>
      <c r="Y103" s="1">
        <v>35405</v>
      </c>
      <c r="Z103">
        <f t="shared" si="7"/>
        <v>28</v>
      </c>
    </row>
    <row r="104" spans="19:26" x14ac:dyDescent="0.2">
      <c r="S104" s="1">
        <v>35380</v>
      </c>
      <c r="T104">
        <f t="shared" si="4"/>
        <v>11</v>
      </c>
      <c r="U104">
        <f t="shared" si="5"/>
        <v>1996</v>
      </c>
      <c r="V104" t="str">
        <f t="shared" si="6"/>
        <v>11/1996</v>
      </c>
      <c r="Y104" s="1">
        <v>35408</v>
      </c>
      <c r="Z104">
        <f t="shared" si="7"/>
        <v>28</v>
      </c>
    </row>
    <row r="105" spans="19:26" x14ac:dyDescent="0.2">
      <c r="S105" s="1">
        <v>35380</v>
      </c>
      <c r="T105">
        <f t="shared" si="4"/>
        <v>11</v>
      </c>
      <c r="U105">
        <f t="shared" si="5"/>
        <v>1996</v>
      </c>
      <c r="V105" t="str">
        <f t="shared" si="6"/>
        <v>11/1996</v>
      </c>
      <c r="Y105" s="1">
        <v>35408</v>
      </c>
      <c r="Z105">
        <f t="shared" si="7"/>
        <v>28</v>
      </c>
    </row>
    <row r="106" spans="19:26" x14ac:dyDescent="0.2">
      <c r="S106" s="1">
        <v>35381</v>
      </c>
      <c r="T106">
        <f t="shared" si="4"/>
        <v>11</v>
      </c>
      <c r="U106">
        <f t="shared" si="5"/>
        <v>1996</v>
      </c>
      <c r="V106" t="str">
        <f t="shared" si="6"/>
        <v>11/1996</v>
      </c>
      <c r="Y106" s="1">
        <v>35395</v>
      </c>
      <c r="Z106">
        <f t="shared" si="7"/>
        <v>14</v>
      </c>
    </row>
    <row r="107" spans="19:26" x14ac:dyDescent="0.2">
      <c r="S107" s="1">
        <v>35382</v>
      </c>
      <c r="T107">
        <f t="shared" si="4"/>
        <v>11</v>
      </c>
      <c r="U107">
        <f t="shared" si="5"/>
        <v>1996</v>
      </c>
      <c r="V107" t="str">
        <f t="shared" si="6"/>
        <v>11/1996</v>
      </c>
      <c r="Y107" s="1">
        <v>35410</v>
      </c>
      <c r="Z107">
        <f t="shared" si="7"/>
        <v>28</v>
      </c>
    </row>
    <row r="108" spans="19:26" x14ac:dyDescent="0.2">
      <c r="S108" s="1">
        <v>35383</v>
      </c>
      <c r="T108">
        <f t="shared" si="4"/>
        <v>11</v>
      </c>
      <c r="U108">
        <f t="shared" si="5"/>
        <v>1996</v>
      </c>
      <c r="V108" t="str">
        <f t="shared" si="6"/>
        <v>11/1996</v>
      </c>
      <c r="Y108" s="1">
        <v>35411</v>
      </c>
      <c r="Z108">
        <f t="shared" si="7"/>
        <v>28</v>
      </c>
    </row>
    <row r="109" spans="19:26" x14ac:dyDescent="0.2">
      <c r="S109" s="1">
        <v>35384</v>
      </c>
      <c r="T109">
        <f t="shared" si="4"/>
        <v>11</v>
      </c>
      <c r="U109">
        <f t="shared" si="5"/>
        <v>1996</v>
      </c>
      <c r="V109" t="str">
        <f t="shared" si="6"/>
        <v>11/1996</v>
      </c>
      <c r="Y109" s="1">
        <v>35412</v>
      </c>
      <c r="Z109">
        <f t="shared" si="7"/>
        <v>28</v>
      </c>
    </row>
    <row r="110" spans="19:26" x14ac:dyDescent="0.2">
      <c r="S110" s="1">
        <v>35387</v>
      </c>
      <c r="T110">
        <f t="shared" si="4"/>
        <v>11</v>
      </c>
      <c r="U110">
        <f t="shared" si="5"/>
        <v>1996</v>
      </c>
      <c r="V110" t="str">
        <f t="shared" si="6"/>
        <v>11/1996</v>
      </c>
      <c r="Y110" s="1">
        <v>35415</v>
      </c>
      <c r="Z110">
        <f t="shared" si="7"/>
        <v>28</v>
      </c>
    </row>
    <row r="111" spans="19:26" x14ac:dyDescent="0.2">
      <c r="S111" s="1">
        <v>35388</v>
      </c>
      <c r="T111">
        <f t="shared" si="4"/>
        <v>11</v>
      </c>
      <c r="U111">
        <f t="shared" si="5"/>
        <v>1996</v>
      </c>
      <c r="V111" t="str">
        <f t="shared" si="6"/>
        <v>11/1996</v>
      </c>
      <c r="Y111" s="1">
        <v>35416</v>
      </c>
      <c r="Z111">
        <f t="shared" si="7"/>
        <v>28</v>
      </c>
    </row>
    <row r="112" spans="19:26" x14ac:dyDescent="0.2">
      <c r="S112" s="1">
        <v>35389</v>
      </c>
      <c r="T112">
        <f t="shared" si="4"/>
        <v>11</v>
      </c>
      <c r="U112">
        <f t="shared" si="5"/>
        <v>1996</v>
      </c>
      <c r="V112" t="str">
        <f t="shared" si="6"/>
        <v>11/1996</v>
      </c>
      <c r="Y112" s="1">
        <v>35417</v>
      </c>
      <c r="Z112">
        <f t="shared" si="7"/>
        <v>28</v>
      </c>
    </row>
    <row r="113" spans="19:26" x14ac:dyDescent="0.2">
      <c r="S113" s="1">
        <v>35390</v>
      </c>
      <c r="T113">
        <f t="shared" si="4"/>
        <v>11</v>
      </c>
      <c r="U113">
        <f t="shared" si="5"/>
        <v>1996</v>
      </c>
      <c r="V113" t="str">
        <f t="shared" si="6"/>
        <v>11/1996</v>
      </c>
      <c r="Y113" s="1">
        <v>35418</v>
      </c>
      <c r="Z113">
        <f t="shared" si="7"/>
        <v>28</v>
      </c>
    </row>
    <row r="114" spans="19:26" x14ac:dyDescent="0.2">
      <c r="S114" s="1">
        <v>35391</v>
      </c>
      <c r="T114">
        <f t="shared" si="4"/>
        <v>11</v>
      </c>
      <c r="U114">
        <f t="shared" si="5"/>
        <v>1996</v>
      </c>
      <c r="V114" t="str">
        <f t="shared" si="6"/>
        <v>11/1996</v>
      </c>
      <c r="Y114" s="1">
        <v>35419</v>
      </c>
      <c r="Z114">
        <f t="shared" si="7"/>
        <v>28</v>
      </c>
    </row>
    <row r="115" spans="19:26" x14ac:dyDescent="0.2">
      <c r="S115" s="1">
        <v>35391</v>
      </c>
      <c r="T115">
        <f t="shared" si="4"/>
        <v>11</v>
      </c>
      <c r="U115">
        <f t="shared" si="5"/>
        <v>1996</v>
      </c>
      <c r="V115" t="str">
        <f t="shared" si="6"/>
        <v>11/1996</v>
      </c>
      <c r="Y115" s="1">
        <v>35419</v>
      </c>
      <c r="Z115">
        <f t="shared" si="7"/>
        <v>28</v>
      </c>
    </row>
    <row r="116" spans="19:26" x14ac:dyDescent="0.2">
      <c r="S116" s="1">
        <v>35394</v>
      </c>
      <c r="T116">
        <f t="shared" si="4"/>
        <v>11</v>
      </c>
      <c r="U116">
        <f t="shared" si="5"/>
        <v>1996</v>
      </c>
      <c r="V116" t="str">
        <f t="shared" si="6"/>
        <v>11/1996</v>
      </c>
      <c r="Y116" s="1">
        <v>35422</v>
      </c>
      <c r="Z116">
        <f t="shared" si="7"/>
        <v>28</v>
      </c>
    </row>
    <row r="117" spans="19:26" x14ac:dyDescent="0.2">
      <c r="S117" s="1">
        <v>35395</v>
      </c>
      <c r="T117">
        <f t="shared" si="4"/>
        <v>11</v>
      </c>
      <c r="U117">
        <f t="shared" si="5"/>
        <v>1996</v>
      </c>
      <c r="V117" t="str">
        <f t="shared" si="6"/>
        <v>11/1996</v>
      </c>
      <c r="Y117" s="1">
        <v>35423</v>
      </c>
      <c r="Z117">
        <f t="shared" si="7"/>
        <v>28</v>
      </c>
    </row>
    <row r="118" spans="19:26" x14ac:dyDescent="0.2">
      <c r="S118" s="1">
        <v>35395</v>
      </c>
      <c r="T118">
        <f t="shared" si="4"/>
        <v>11</v>
      </c>
      <c r="U118">
        <f t="shared" si="5"/>
        <v>1996</v>
      </c>
      <c r="V118" t="str">
        <f t="shared" si="6"/>
        <v>11/1996</v>
      </c>
      <c r="Y118" s="1">
        <v>35437</v>
      </c>
      <c r="Z118">
        <f t="shared" si="7"/>
        <v>42</v>
      </c>
    </row>
    <row r="119" spans="19:26" x14ac:dyDescent="0.2">
      <c r="S119" s="1">
        <v>35396</v>
      </c>
      <c r="T119">
        <f t="shared" si="4"/>
        <v>11</v>
      </c>
      <c r="U119">
        <f t="shared" si="5"/>
        <v>1996</v>
      </c>
      <c r="V119" t="str">
        <f t="shared" si="6"/>
        <v>11/1996</v>
      </c>
      <c r="Y119" s="1">
        <v>35424</v>
      </c>
      <c r="Z119">
        <f t="shared" si="7"/>
        <v>28</v>
      </c>
    </row>
    <row r="120" spans="19:26" x14ac:dyDescent="0.2">
      <c r="S120" s="1">
        <v>35397</v>
      </c>
      <c r="T120">
        <f t="shared" si="4"/>
        <v>11</v>
      </c>
      <c r="U120">
        <f t="shared" si="5"/>
        <v>1996</v>
      </c>
      <c r="V120" t="str">
        <f t="shared" si="6"/>
        <v>11/1996</v>
      </c>
      <c r="Y120" s="1">
        <v>35439</v>
      </c>
      <c r="Z120">
        <f t="shared" si="7"/>
        <v>42</v>
      </c>
    </row>
    <row r="121" spans="19:26" x14ac:dyDescent="0.2">
      <c r="S121" s="1">
        <v>35397</v>
      </c>
      <c r="T121">
        <f t="shared" si="4"/>
        <v>11</v>
      </c>
      <c r="U121">
        <f t="shared" si="5"/>
        <v>1996</v>
      </c>
      <c r="V121" t="str">
        <f t="shared" si="6"/>
        <v>11/1996</v>
      </c>
      <c r="Y121" s="1">
        <v>35425</v>
      </c>
      <c r="Z121">
        <f t="shared" si="7"/>
        <v>28</v>
      </c>
    </row>
    <row r="122" spans="19:26" x14ac:dyDescent="0.2">
      <c r="S122" s="1">
        <v>35398</v>
      </c>
      <c r="T122">
        <f t="shared" si="4"/>
        <v>11</v>
      </c>
      <c r="U122">
        <f t="shared" si="5"/>
        <v>1996</v>
      </c>
      <c r="V122" t="str">
        <f t="shared" si="6"/>
        <v>11/1996</v>
      </c>
      <c r="Y122" s="1">
        <v>35426</v>
      </c>
      <c r="Z122">
        <f t="shared" si="7"/>
        <v>28</v>
      </c>
    </row>
    <row r="123" spans="19:26" x14ac:dyDescent="0.2">
      <c r="S123" s="1">
        <v>35401</v>
      </c>
      <c r="T123">
        <f t="shared" si="4"/>
        <v>12</v>
      </c>
      <c r="U123">
        <f t="shared" si="5"/>
        <v>1996</v>
      </c>
      <c r="V123" t="str">
        <f t="shared" si="6"/>
        <v>12/1996</v>
      </c>
      <c r="Y123" s="1">
        <v>35429</v>
      </c>
      <c r="Z123">
        <f t="shared" si="7"/>
        <v>28</v>
      </c>
    </row>
    <row r="124" spans="19:26" x14ac:dyDescent="0.2">
      <c r="S124" s="1">
        <v>35402</v>
      </c>
      <c r="T124">
        <f t="shared" si="4"/>
        <v>12</v>
      </c>
      <c r="U124">
        <f t="shared" si="5"/>
        <v>1996</v>
      </c>
      <c r="V124" t="str">
        <f t="shared" si="6"/>
        <v>12/1996</v>
      </c>
      <c r="Y124" s="1">
        <v>35430</v>
      </c>
      <c r="Z124">
        <f t="shared" si="7"/>
        <v>28</v>
      </c>
    </row>
    <row r="125" spans="19:26" x14ac:dyDescent="0.2">
      <c r="S125" s="1">
        <v>35402</v>
      </c>
      <c r="T125">
        <f t="shared" si="4"/>
        <v>12</v>
      </c>
      <c r="U125">
        <f t="shared" si="5"/>
        <v>1996</v>
      </c>
      <c r="V125" t="str">
        <f t="shared" si="6"/>
        <v>12/1996</v>
      </c>
      <c r="Y125" s="1">
        <v>35430</v>
      </c>
      <c r="Z125">
        <f t="shared" si="7"/>
        <v>28</v>
      </c>
    </row>
    <row r="126" spans="19:26" x14ac:dyDescent="0.2">
      <c r="S126" s="1">
        <v>35403</v>
      </c>
      <c r="T126">
        <f t="shared" si="4"/>
        <v>12</v>
      </c>
      <c r="U126">
        <f t="shared" si="5"/>
        <v>1996</v>
      </c>
      <c r="V126" t="str">
        <f t="shared" si="6"/>
        <v>12/1996</v>
      </c>
      <c r="Y126" s="1">
        <v>35431</v>
      </c>
      <c r="Z126">
        <f t="shared" si="7"/>
        <v>28</v>
      </c>
    </row>
    <row r="127" spans="19:26" x14ac:dyDescent="0.2">
      <c r="S127" s="1">
        <v>35404</v>
      </c>
      <c r="T127">
        <f t="shared" si="4"/>
        <v>12</v>
      </c>
      <c r="U127">
        <f t="shared" si="5"/>
        <v>1996</v>
      </c>
      <c r="V127" t="str">
        <f t="shared" si="6"/>
        <v>12/1996</v>
      </c>
      <c r="Y127" s="1">
        <v>35432</v>
      </c>
      <c r="Z127">
        <f t="shared" si="7"/>
        <v>28</v>
      </c>
    </row>
    <row r="128" spans="19:26" x14ac:dyDescent="0.2">
      <c r="S128" s="1">
        <v>35404</v>
      </c>
      <c r="T128">
        <f t="shared" si="4"/>
        <v>12</v>
      </c>
      <c r="U128">
        <f t="shared" si="5"/>
        <v>1996</v>
      </c>
      <c r="V128" t="str">
        <f t="shared" si="6"/>
        <v>12/1996</v>
      </c>
      <c r="Y128" s="1">
        <v>35432</v>
      </c>
      <c r="Z128">
        <f t="shared" si="7"/>
        <v>28</v>
      </c>
    </row>
    <row r="129" spans="19:26" x14ac:dyDescent="0.2">
      <c r="S129" s="1">
        <v>35405</v>
      </c>
      <c r="T129">
        <f t="shared" si="4"/>
        <v>12</v>
      </c>
      <c r="U129">
        <f t="shared" si="5"/>
        <v>1996</v>
      </c>
      <c r="V129" t="str">
        <f t="shared" si="6"/>
        <v>12/1996</v>
      </c>
      <c r="Y129" s="1">
        <v>35433</v>
      </c>
      <c r="Z129">
        <f t="shared" si="7"/>
        <v>28</v>
      </c>
    </row>
    <row r="130" spans="19:26" x14ac:dyDescent="0.2">
      <c r="S130" s="1">
        <v>35408</v>
      </c>
      <c r="T130">
        <f t="shared" si="4"/>
        <v>12</v>
      </c>
      <c r="U130">
        <f t="shared" si="5"/>
        <v>1996</v>
      </c>
      <c r="V130" t="str">
        <f t="shared" si="6"/>
        <v>12/1996</v>
      </c>
      <c r="Y130" s="1">
        <v>35436</v>
      </c>
      <c r="Z130">
        <f t="shared" si="7"/>
        <v>28</v>
      </c>
    </row>
    <row r="131" spans="19:26" x14ac:dyDescent="0.2">
      <c r="S131" s="1">
        <v>35408</v>
      </c>
      <c r="T131">
        <f t="shared" ref="T131:T194" si="8">MONTH(S131)</f>
        <v>12</v>
      </c>
      <c r="U131">
        <f t="shared" ref="U131:U194" si="9">YEAR(S131)</f>
        <v>1996</v>
      </c>
      <c r="V131" t="str">
        <f t="shared" ref="V131:V194" si="10">T131&amp;"/"&amp;U131</f>
        <v>12/1996</v>
      </c>
      <c r="Y131" s="1">
        <v>35436</v>
      </c>
      <c r="Z131">
        <f t="shared" ref="Z131:Z194" si="11">Y131-S131</f>
        <v>28</v>
      </c>
    </row>
    <row r="132" spans="19:26" x14ac:dyDescent="0.2">
      <c r="S132" s="1">
        <v>35409</v>
      </c>
      <c r="T132">
        <f t="shared" si="8"/>
        <v>12</v>
      </c>
      <c r="U132">
        <f t="shared" si="9"/>
        <v>1996</v>
      </c>
      <c r="V132" t="str">
        <f t="shared" si="10"/>
        <v>12/1996</v>
      </c>
      <c r="Y132" s="1">
        <v>35437</v>
      </c>
      <c r="Z132">
        <f t="shared" si="11"/>
        <v>28</v>
      </c>
    </row>
    <row r="133" spans="19:26" x14ac:dyDescent="0.2">
      <c r="S133" s="1">
        <v>35410</v>
      </c>
      <c r="T133">
        <f t="shared" si="8"/>
        <v>12</v>
      </c>
      <c r="U133">
        <f t="shared" si="9"/>
        <v>1996</v>
      </c>
      <c r="V133" t="str">
        <f t="shared" si="10"/>
        <v>12/1996</v>
      </c>
      <c r="Y133" s="1">
        <v>35438</v>
      </c>
      <c r="Z133">
        <f t="shared" si="11"/>
        <v>28</v>
      </c>
    </row>
    <row r="134" spans="19:26" x14ac:dyDescent="0.2">
      <c r="S134" s="1">
        <v>35411</v>
      </c>
      <c r="T134">
        <f t="shared" si="8"/>
        <v>12</v>
      </c>
      <c r="U134">
        <f t="shared" si="9"/>
        <v>1996</v>
      </c>
      <c r="V134" t="str">
        <f t="shared" si="10"/>
        <v>12/1996</v>
      </c>
      <c r="Y134" s="1">
        <v>35439</v>
      </c>
      <c r="Z134">
        <f t="shared" si="11"/>
        <v>28</v>
      </c>
    </row>
    <row r="135" spans="19:26" x14ac:dyDescent="0.2">
      <c r="S135" s="1">
        <v>35411</v>
      </c>
      <c r="T135">
        <f t="shared" si="8"/>
        <v>12</v>
      </c>
      <c r="U135">
        <f t="shared" si="9"/>
        <v>1996</v>
      </c>
      <c r="V135" t="str">
        <f t="shared" si="10"/>
        <v>12/1996</v>
      </c>
      <c r="Y135" s="1">
        <v>35439</v>
      </c>
      <c r="Z135">
        <f t="shared" si="11"/>
        <v>28</v>
      </c>
    </row>
    <row r="136" spans="19:26" x14ac:dyDescent="0.2">
      <c r="S136" s="1">
        <v>35412</v>
      </c>
      <c r="T136">
        <f t="shared" si="8"/>
        <v>12</v>
      </c>
      <c r="U136">
        <f t="shared" si="9"/>
        <v>1996</v>
      </c>
      <c r="V136" t="str">
        <f t="shared" si="10"/>
        <v>12/1996</v>
      </c>
      <c r="Y136" s="1">
        <v>35440</v>
      </c>
      <c r="Z136">
        <f t="shared" si="11"/>
        <v>28</v>
      </c>
    </row>
    <row r="137" spans="19:26" x14ac:dyDescent="0.2">
      <c r="S137" s="1">
        <v>35415</v>
      </c>
      <c r="T137">
        <f t="shared" si="8"/>
        <v>12</v>
      </c>
      <c r="U137">
        <f t="shared" si="9"/>
        <v>1996</v>
      </c>
      <c r="V137" t="str">
        <f t="shared" si="10"/>
        <v>12/1996</v>
      </c>
      <c r="Y137" s="1">
        <v>35443</v>
      </c>
      <c r="Z137">
        <f t="shared" si="11"/>
        <v>28</v>
      </c>
    </row>
    <row r="138" spans="19:26" x14ac:dyDescent="0.2">
      <c r="S138" s="1">
        <v>35415</v>
      </c>
      <c r="T138">
        <f t="shared" si="8"/>
        <v>12</v>
      </c>
      <c r="U138">
        <f t="shared" si="9"/>
        <v>1996</v>
      </c>
      <c r="V138" t="str">
        <f t="shared" si="10"/>
        <v>12/1996</v>
      </c>
      <c r="Y138" s="1">
        <v>35443</v>
      </c>
      <c r="Z138">
        <f t="shared" si="11"/>
        <v>28</v>
      </c>
    </row>
    <row r="139" spans="19:26" x14ac:dyDescent="0.2">
      <c r="S139" s="1">
        <v>35416</v>
      </c>
      <c r="T139">
        <f t="shared" si="8"/>
        <v>12</v>
      </c>
      <c r="U139">
        <f t="shared" si="9"/>
        <v>1996</v>
      </c>
      <c r="V139" t="str">
        <f t="shared" si="10"/>
        <v>12/1996</v>
      </c>
      <c r="Y139" s="1">
        <v>35444</v>
      </c>
      <c r="Z139">
        <f t="shared" si="11"/>
        <v>28</v>
      </c>
    </row>
    <row r="140" spans="19:26" x14ac:dyDescent="0.2">
      <c r="S140" s="1">
        <v>35417</v>
      </c>
      <c r="T140">
        <f t="shared" si="8"/>
        <v>12</v>
      </c>
      <c r="U140">
        <f t="shared" si="9"/>
        <v>1996</v>
      </c>
      <c r="V140" t="str">
        <f t="shared" si="10"/>
        <v>12/1996</v>
      </c>
      <c r="Y140" s="1">
        <v>35431</v>
      </c>
      <c r="Z140">
        <f t="shared" si="11"/>
        <v>14</v>
      </c>
    </row>
    <row r="141" spans="19:26" x14ac:dyDescent="0.2">
      <c r="S141" s="1">
        <v>35417</v>
      </c>
      <c r="T141">
        <f t="shared" si="8"/>
        <v>12</v>
      </c>
      <c r="U141">
        <f t="shared" si="9"/>
        <v>1996</v>
      </c>
      <c r="V141" t="str">
        <f t="shared" si="10"/>
        <v>12/1996</v>
      </c>
      <c r="Y141" s="1">
        <v>35445</v>
      </c>
      <c r="Z141">
        <f t="shared" si="11"/>
        <v>28</v>
      </c>
    </row>
    <row r="142" spans="19:26" x14ac:dyDescent="0.2">
      <c r="S142" s="1">
        <v>35418</v>
      </c>
      <c r="T142">
        <f t="shared" si="8"/>
        <v>12</v>
      </c>
      <c r="U142">
        <f t="shared" si="9"/>
        <v>1996</v>
      </c>
      <c r="V142" t="str">
        <f t="shared" si="10"/>
        <v>12/1996</v>
      </c>
      <c r="Y142" s="1">
        <v>35446</v>
      </c>
      <c r="Z142">
        <f t="shared" si="11"/>
        <v>28</v>
      </c>
    </row>
    <row r="143" spans="19:26" x14ac:dyDescent="0.2">
      <c r="S143" s="1">
        <v>35419</v>
      </c>
      <c r="T143">
        <f t="shared" si="8"/>
        <v>12</v>
      </c>
      <c r="U143">
        <f t="shared" si="9"/>
        <v>1996</v>
      </c>
      <c r="V143" t="str">
        <f t="shared" si="10"/>
        <v>12/1996</v>
      </c>
      <c r="Y143" s="1">
        <v>35447</v>
      </c>
      <c r="Z143">
        <f t="shared" si="11"/>
        <v>28</v>
      </c>
    </row>
    <row r="144" spans="19:26" x14ac:dyDescent="0.2">
      <c r="S144" s="1">
        <v>35422</v>
      </c>
      <c r="T144">
        <f t="shared" si="8"/>
        <v>12</v>
      </c>
      <c r="U144">
        <f t="shared" si="9"/>
        <v>1996</v>
      </c>
      <c r="V144" t="str">
        <f t="shared" si="10"/>
        <v>12/1996</v>
      </c>
      <c r="Y144" s="1">
        <v>35450</v>
      </c>
      <c r="Z144">
        <f t="shared" si="11"/>
        <v>28</v>
      </c>
    </row>
    <row r="145" spans="19:26" x14ac:dyDescent="0.2">
      <c r="S145" s="1">
        <v>35422</v>
      </c>
      <c r="T145">
        <f t="shared" si="8"/>
        <v>12</v>
      </c>
      <c r="U145">
        <f t="shared" si="9"/>
        <v>1996</v>
      </c>
      <c r="V145" t="str">
        <f t="shared" si="10"/>
        <v>12/1996</v>
      </c>
      <c r="Y145" s="1">
        <v>35450</v>
      </c>
      <c r="Z145">
        <f t="shared" si="11"/>
        <v>28</v>
      </c>
    </row>
    <row r="146" spans="19:26" x14ac:dyDescent="0.2">
      <c r="S146" s="1">
        <v>35423</v>
      </c>
      <c r="T146">
        <f t="shared" si="8"/>
        <v>12</v>
      </c>
      <c r="U146">
        <f t="shared" si="9"/>
        <v>1996</v>
      </c>
      <c r="V146" t="str">
        <f t="shared" si="10"/>
        <v>12/1996</v>
      </c>
      <c r="Y146" s="1">
        <v>35451</v>
      </c>
      <c r="Z146">
        <f t="shared" si="11"/>
        <v>28</v>
      </c>
    </row>
    <row r="147" spans="19:26" x14ac:dyDescent="0.2">
      <c r="S147" s="1">
        <v>35424</v>
      </c>
      <c r="T147">
        <f t="shared" si="8"/>
        <v>12</v>
      </c>
      <c r="U147">
        <f t="shared" si="9"/>
        <v>1996</v>
      </c>
      <c r="V147" t="str">
        <f t="shared" si="10"/>
        <v>12/1996</v>
      </c>
      <c r="Y147" s="1">
        <v>35452</v>
      </c>
      <c r="Z147">
        <f t="shared" si="11"/>
        <v>28</v>
      </c>
    </row>
    <row r="148" spans="19:26" x14ac:dyDescent="0.2">
      <c r="S148" s="1">
        <v>35424</v>
      </c>
      <c r="T148">
        <f t="shared" si="8"/>
        <v>12</v>
      </c>
      <c r="U148">
        <f t="shared" si="9"/>
        <v>1996</v>
      </c>
      <c r="V148" t="str">
        <f t="shared" si="10"/>
        <v>12/1996</v>
      </c>
      <c r="Y148" s="1">
        <v>35452</v>
      </c>
      <c r="Z148">
        <f t="shared" si="11"/>
        <v>28</v>
      </c>
    </row>
    <row r="149" spans="19:26" x14ac:dyDescent="0.2">
      <c r="S149" s="1">
        <v>35425</v>
      </c>
      <c r="T149">
        <f t="shared" si="8"/>
        <v>12</v>
      </c>
      <c r="U149">
        <f t="shared" si="9"/>
        <v>1996</v>
      </c>
      <c r="V149" t="str">
        <f t="shared" si="10"/>
        <v>12/1996</v>
      </c>
      <c r="Y149" s="1">
        <v>35453</v>
      </c>
      <c r="Z149">
        <f t="shared" si="11"/>
        <v>28</v>
      </c>
    </row>
    <row r="150" spans="19:26" x14ac:dyDescent="0.2">
      <c r="S150" s="1">
        <v>35426</v>
      </c>
      <c r="T150">
        <f t="shared" si="8"/>
        <v>12</v>
      </c>
      <c r="U150">
        <f t="shared" si="9"/>
        <v>1996</v>
      </c>
      <c r="V150" t="str">
        <f t="shared" si="10"/>
        <v>12/1996</v>
      </c>
      <c r="Y150" s="1">
        <v>35440</v>
      </c>
      <c r="Z150">
        <f t="shared" si="11"/>
        <v>14</v>
      </c>
    </row>
    <row r="151" spans="19:26" x14ac:dyDescent="0.2">
      <c r="S151" s="1">
        <v>35426</v>
      </c>
      <c r="T151">
        <f t="shared" si="8"/>
        <v>12</v>
      </c>
      <c r="U151">
        <f t="shared" si="9"/>
        <v>1996</v>
      </c>
      <c r="V151" t="str">
        <f t="shared" si="10"/>
        <v>12/1996</v>
      </c>
      <c r="Y151" s="1">
        <v>35454</v>
      </c>
      <c r="Z151">
        <f t="shared" si="11"/>
        <v>28</v>
      </c>
    </row>
    <row r="152" spans="19:26" x14ac:dyDescent="0.2">
      <c r="S152" s="1">
        <v>35429</v>
      </c>
      <c r="T152">
        <f t="shared" si="8"/>
        <v>12</v>
      </c>
      <c r="U152">
        <f t="shared" si="9"/>
        <v>1996</v>
      </c>
      <c r="V152" t="str">
        <f t="shared" si="10"/>
        <v>12/1996</v>
      </c>
      <c r="Y152" s="1">
        <v>35457</v>
      </c>
      <c r="Z152">
        <f t="shared" si="11"/>
        <v>28</v>
      </c>
    </row>
    <row r="153" spans="19:26" x14ac:dyDescent="0.2">
      <c r="S153" s="1">
        <v>35430</v>
      </c>
      <c r="T153">
        <f t="shared" si="8"/>
        <v>12</v>
      </c>
      <c r="U153">
        <f t="shared" si="9"/>
        <v>1996</v>
      </c>
      <c r="V153" t="str">
        <f t="shared" si="10"/>
        <v>12/1996</v>
      </c>
      <c r="Y153" s="1">
        <v>35444</v>
      </c>
      <c r="Z153">
        <f t="shared" si="11"/>
        <v>14</v>
      </c>
    </row>
    <row r="154" spans="19:26" x14ac:dyDescent="0.2">
      <c r="S154" s="1">
        <v>35431</v>
      </c>
      <c r="T154">
        <f t="shared" si="8"/>
        <v>1</v>
      </c>
      <c r="U154">
        <f t="shared" si="9"/>
        <v>1997</v>
      </c>
      <c r="V154" t="str">
        <f t="shared" si="10"/>
        <v>1/1997</v>
      </c>
      <c r="Y154" s="1">
        <v>35459</v>
      </c>
      <c r="Z154">
        <f t="shared" si="11"/>
        <v>28</v>
      </c>
    </row>
    <row r="155" spans="19:26" x14ac:dyDescent="0.2">
      <c r="S155" s="1">
        <v>35431</v>
      </c>
      <c r="T155">
        <f t="shared" si="8"/>
        <v>1</v>
      </c>
      <c r="U155">
        <f t="shared" si="9"/>
        <v>1997</v>
      </c>
      <c r="V155" t="str">
        <f t="shared" si="10"/>
        <v>1/1997</v>
      </c>
      <c r="Y155" s="1">
        <v>35459</v>
      </c>
      <c r="Z155">
        <f t="shared" si="11"/>
        <v>28</v>
      </c>
    </row>
    <row r="156" spans="19:26" x14ac:dyDescent="0.2">
      <c r="S156" s="1">
        <v>35432</v>
      </c>
      <c r="T156">
        <f t="shared" si="8"/>
        <v>1</v>
      </c>
      <c r="U156">
        <f t="shared" si="9"/>
        <v>1997</v>
      </c>
      <c r="V156" t="str">
        <f t="shared" si="10"/>
        <v>1/1997</v>
      </c>
      <c r="Y156" s="1">
        <v>35474</v>
      </c>
      <c r="Z156">
        <f t="shared" si="11"/>
        <v>42</v>
      </c>
    </row>
    <row r="157" spans="19:26" x14ac:dyDescent="0.2">
      <c r="S157" s="1">
        <v>35433</v>
      </c>
      <c r="T157">
        <f t="shared" si="8"/>
        <v>1</v>
      </c>
      <c r="U157">
        <f t="shared" si="9"/>
        <v>1997</v>
      </c>
      <c r="V157" t="str">
        <f t="shared" si="10"/>
        <v>1/1997</v>
      </c>
      <c r="Y157" s="1">
        <v>35461</v>
      </c>
      <c r="Z157">
        <f t="shared" si="11"/>
        <v>28</v>
      </c>
    </row>
    <row r="158" spans="19:26" x14ac:dyDescent="0.2">
      <c r="S158" s="1">
        <v>35433</v>
      </c>
      <c r="T158">
        <f t="shared" si="8"/>
        <v>1</v>
      </c>
      <c r="U158">
        <f t="shared" si="9"/>
        <v>1997</v>
      </c>
      <c r="V158" t="str">
        <f t="shared" si="10"/>
        <v>1/1997</v>
      </c>
      <c r="Y158" s="1">
        <v>35461</v>
      </c>
      <c r="Z158">
        <f t="shared" si="11"/>
        <v>28</v>
      </c>
    </row>
    <row r="159" spans="19:26" x14ac:dyDescent="0.2">
      <c r="S159" s="1">
        <v>35436</v>
      </c>
      <c r="T159">
        <f t="shared" si="8"/>
        <v>1</v>
      </c>
      <c r="U159">
        <f t="shared" si="9"/>
        <v>1997</v>
      </c>
      <c r="V159" t="str">
        <f t="shared" si="10"/>
        <v>1/1997</v>
      </c>
      <c r="Y159" s="1">
        <v>35464</v>
      </c>
      <c r="Z159">
        <f t="shared" si="11"/>
        <v>28</v>
      </c>
    </row>
    <row r="160" spans="19:26" x14ac:dyDescent="0.2">
      <c r="S160" s="1">
        <v>35437</v>
      </c>
      <c r="T160">
        <f t="shared" si="8"/>
        <v>1</v>
      </c>
      <c r="U160">
        <f t="shared" si="9"/>
        <v>1997</v>
      </c>
      <c r="V160" t="str">
        <f t="shared" si="10"/>
        <v>1/1997</v>
      </c>
      <c r="Y160" s="1">
        <v>35479</v>
      </c>
      <c r="Z160">
        <f t="shared" si="11"/>
        <v>42</v>
      </c>
    </row>
    <row r="161" spans="19:26" x14ac:dyDescent="0.2">
      <c r="S161" s="1">
        <v>35437</v>
      </c>
      <c r="T161">
        <f t="shared" si="8"/>
        <v>1</v>
      </c>
      <c r="U161">
        <f t="shared" si="9"/>
        <v>1997</v>
      </c>
      <c r="V161" t="str">
        <f t="shared" si="10"/>
        <v>1/1997</v>
      </c>
      <c r="Y161" s="1">
        <v>35465</v>
      </c>
      <c r="Z161">
        <f t="shared" si="11"/>
        <v>28</v>
      </c>
    </row>
    <row r="162" spans="19:26" x14ac:dyDescent="0.2">
      <c r="S162" s="1">
        <v>35438</v>
      </c>
      <c r="T162">
        <f t="shared" si="8"/>
        <v>1</v>
      </c>
      <c r="U162">
        <f t="shared" si="9"/>
        <v>1997</v>
      </c>
      <c r="V162" t="str">
        <f t="shared" si="10"/>
        <v>1/1997</v>
      </c>
      <c r="Y162" s="1">
        <v>35466</v>
      </c>
      <c r="Z162">
        <f t="shared" si="11"/>
        <v>28</v>
      </c>
    </row>
    <row r="163" spans="19:26" x14ac:dyDescent="0.2">
      <c r="S163" s="1">
        <v>35439</v>
      </c>
      <c r="T163">
        <f t="shared" si="8"/>
        <v>1</v>
      </c>
      <c r="U163">
        <f t="shared" si="9"/>
        <v>1997</v>
      </c>
      <c r="V163" t="str">
        <f t="shared" si="10"/>
        <v>1/1997</v>
      </c>
      <c r="Y163" s="1">
        <v>35467</v>
      </c>
      <c r="Z163">
        <f t="shared" si="11"/>
        <v>28</v>
      </c>
    </row>
    <row r="164" spans="19:26" x14ac:dyDescent="0.2">
      <c r="S164" s="1">
        <v>35440</v>
      </c>
      <c r="T164">
        <f t="shared" si="8"/>
        <v>1</v>
      </c>
      <c r="U164">
        <f t="shared" si="9"/>
        <v>1997</v>
      </c>
      <c r="V164" t="str">
        <f t="shared" si="10"/>
        <v>1/1997</v>
      </c>
      <c r="Y164" s="1">
        <v>35468</v>
      </c>
      <c r="Z164">
        <f t="shared" si="11"/>
        <v>28</v>
      </c>
    </row>
    <row r="165" spans="19:26" x14ac:dyDescent="0.2">
      <c r="S165" s="1">
        <v>35440</v>
      </c>
      <c r="T165">
        <f t="shared" si="8"/>
        <v>1</v>
      </c>
      <c r="U165">
        <f t="shared" si="9"/>
        <v>1997</v>
      </c>
      <c r="V165" t="str">
        <f t="shared" si="10"/>
        <v>1/1997</v>
      </c>
      <c r="Y165" s="1">
        <v>35468</v>
      </c>
      <c r="Z165">
        <f t="shared" si="11"/>
        <v>28</v>
      </c>
    </row>
    <row r="166" spans="19:26" x14ac:dyDescent="0.2">
      <c r="S166" s="1">
        <v>35443</v>
      </c>
      <c r="T166">
        <f t="shared" si="8"/>
        <v>1</v>
      </c>
      <c r="U166">
        <f t="shared" si="9"/>
        <v>1997</v>
      </c>
      <c r="V166" t="str">
        <f t="shared" si="10"/>
        <v>1/1997</v>
      </c>
      <c r="Y166" s="1">
        <v>35471</v>
      </c>
      <c r="Z166">
        <f t="shared" si="11"/>
        <v>28</v>
      </c>
    </row>
    <row r="167" spans="19:26" x14ac:dyDescent="0.2">
      <c r="S167" s="1">
        <v>35444</v>
      </c>
      <c r="T167">
        <f t="shared" si="8"/>
        <v>1</v>
      </c>
      <c r="U167">
        <f t="shared" si="9"/>
        <v>1997</v>
      </c>
      <c r="V167" t="str">
        <f t="shared" si="10"/>
        <v>1/1997</v>
      </c>
      <c r="Y167" s="1">
        <v>35472</v>
      </c>
      <c r="Z167">
        <f t="shared" si="11"/>
        <v>28</v>
      </c>
    </row>
    <row r="168" spans="19:26" x14ac:dyDescent="0.2">
      <c r="S168" s="1">
        <v>35444</v>
      </c>
      <c r="T168">
        <f t="shared" si="8"/>
        <v>1</v>
      </c>
      <c r="U168">
        <f t="shared" si="9"/>
        <v>1997</v>
      </c>
      <c r="V168" t="str">
        <f t="shared" si="10"/>
        <v>1/1997</v>
      </c>
      <c r="Y168" s="1">
        <v>35472</v>
      </c>
      <c r="Z168">
        <f t="shared" si="11"/>
        <v>28</v>
      </c>
    </row>
    <row r="169" spans="19:26" x14ac:dyDescent="0.2">
      <c r="S169" s="1">
        <v>35445</v>
      </c>
      <c r="T169">
        <f t="shared" si="8"/>
        <v>1</v>
      </c>
      <c r="U169">
        <f t="shared" si="9"/>
        <v>1997</v>
      </c>
      <c r="V169" t="str">
        <f t="shared" si="10"/>
        <v>1/1997</v>
      </c>
      <c r="Y169" s="1">
        <v>35473</v>
      </c>
      <c r="Z169">
        <f t="shared" si="11"/>
        <v>28</v>
      </c>
    </row>
    <row r="170" spans="19:26" x14ac:dyDescent="0.2">
      <c r="S170" s="1">
        <v>35446</v>
      </c>
      <c r="T170">
        <f t="shared" si="8"/>
        <v>1</v>
      </c>
      <c r="U170">
        <f t="shared" si="9"/>
        <v>1997</v>
      </c>
      <c r="V170" t="str">
        <f t="shared" si="10"/>
        <v>1/1997</v>
      </c>
      <c r="Y170" s="1">
        <v>35474</v>
      </c>
      <c r="Z170">
        <f t="shared" si="11"/>
        <v>28</v>
      </c>
    </row>
    <row r="171" spans="19:26" x14ac:dyDescent="0.2">
      <c r="S171" s="1">
        <v>35446</v>
      </c>
      <c r="T171">
        <f t="shared" si="8"/>
        <v>1</v>
      </c>
      <c r="U171">
        <f t="shared" si="9"/>
        <v>1997</v>
      </c>
      <c r="V171" t="str">
        <f t="shared" si="10"/>
        <v>1/1997</v>
      </c>
      <c r="Y171" s="1">
        <v>35474</v>
      </c>
      <c r="Z171">
        <f t="shared" si="11"/>
        <v>28</v>
      </c>
    </row>
    <row r="172" spans="19:26" x14ac:dyDescent="0.2">
      <c r="S172" s="1">
        <v>35447</v>
      </c>
      <c r="T172">
        <f t="shared" si="8"/>
        <v>1</v>
      </c>
      <c r="U172">
        <f t="shared" si="9"/>
        <v>1997</v>
      </c>
      <c r="V172" t="str">
        <f t="shared" si="10"/>
        <v>1/1997</v>
      </c>
      <c r="Y172" s="1">
        <v>35475</v>
      </c>
      <c r="Z172">
        <f t="shared" si="11"/>
        <v>28</v>
      </c>
    </row>
    <row r="173" spans="19:26" x14ac:dyDescent="0.2">
      <c r="S173" s="1">
        <v>35450</v>
      </c>
      <c r="T173">
        <f t="shared" si="8"/>
        <v>1</v>
      </c>
      <c r="U173">
        <f t="shared" si="9"/>
        <v>1997</v>
      </c>
      <c r="V173" t="str">
        <f t="shared" si="10"/>
        <v>1/1997</v>
      </c>
      <c r="Y173" s="1">
        <v>35478</v>
      </c>
      <c r="Z173">
        <f t="shared" si="11"/>
        <v>28</v>
      </c>
    </row>
    <row r="174" spans="19:26" x14ac:dyDescent="0.2">
      <c r="S174" s="1">
        <v>35451</v>
      </c>
      <c r="T174">
        <f t="shared" si="8"/>
        <v>1</v>
      </c>
      <c r="U174">
        <f t="shared" si="9"/>
        <v>1997</v>
      </c>
      <c r="V174" t="str">
        <f t="shared" si="10"/>
        <v>1/1997</v>
      </c>
      <c r="Y174" s="1">
        <v>35479</v>
      </c>
      <c r="Z174">
        <f t="shared" si="11"/>
        <v>28</v>
      </c>
    </row>
    <row r="175" spans="19:26" x14ac:dyDescent="0.2">
      <c r="S175" s="1">
        <v>35451</v>
      </c>
      <c r="T175">
        <f t="shared" si="8"/>
        <v>1</v>
      </c>
      <c r="U175">
        <f t="shared" si="9"/>
        <v>1997</v>
      </c>
      <c r="V175" t="str">
        <f t="shared" si="10"/>
        <v>1/1997</v>
      </c>
      <c r="Y175" s="1">
        <v>35493</v>
      </c>
      <c r="Z175">
        <f t="shared" si="11"/>
        <v>42</v>
      </c>
    </row>
    <row r="176" spans="19:26" x14ac:dyDescent="0.2">
      <c r="S176" s="1">
        <v>35452</v>
      </c>
      <c r="T176">
        <f t="shared" si="8"/>
        <v>1</v>
      </c>
      <c r="U176">
        <f t="shared" si="9"/>
        <v>1997</v>
      </c>
      <c r="V176" t="str">
        <f t="shared" si="10"/>
        <v>1/1997</v>
      </c>
      <c r="Y176" s="1">
        <v>35480</v>
      </c>
      <c r="Z176">
        <f t="shared" si="11"/>
        <v>28</v>
      </c>
    </row>
    <row r="177" spans="19:26" x14ac:dyDescent="0.2">
      <c r="S177" s="1">
        <v>35453</v>
      </c>
      <c r="T177">
        <f t="shared" si="8"/>
        <v>1</v>
      </c>
      <c r="U177">
        <f t="shared" si="9"/>
        <v>1997</v>
      </c>
      <c r="V177" t="str">
        <f t="shared" si="10"/>
        <v>1/1997</v>
      </c>
      <c r="Y177" s="1">
        <v>35467</v>
      </c>
      <c r="Z177">
        <f t="shared" si="11"/>
        <v>14</v>
      </c>
    </row>
    <row r="178" spans="19:26" x14ac:dyDescent="0.2">
      <c r="S178" s="1">
        <v>35453</v>
      </c>
      <c r="T178">
        <f t="shared" si="8"/>
        <v>1</v>
      </c>
      <c r="U178">
        <f t="shared" si="9"/>
        <v>1997</v>
      </c>
      <c r="V178" t="str">
        <f t="shared" si="10"/>
        <v>1/1997</v>
      </c>
      <c r="Y178" s="1">
        <v>35481</v>
      </c>
      <c r="Z178">
        <f t="shared" si="11"/>
        <v>28</v>
      </c>
    </row>
    <row r="179" spans="19:26" x14ac:dyDescent="0.2">
      <c r="S179" s="1">
        <v>35454</v>
      </c>
      <c r="T179">
        <f t="shared" si="8"/>
        <v>1</v>
      </c>
      <c r="U179">
        <f t="shared" si="9"/>
        <v>1997</v>
      </c>
      <c r="V179" t="str">
        <f t="shared" si="10"/>
        <v>1/1997</v>
      </c>
      <c r="Y179" s="1">
        <v>35482</v>
      </c>
      <c r="Z179">
        <f t="shared" si="11"/>
        <v>28</v>
      </c>
    </row>
    <row r="180" spans="19:26" x14ac:dyDescent="0.2">
      <c r="S180" s="1">
        <v>35457</v>
      </c>
      <c r="T180">
        <f t="shared" si="8"/>
        <v>1</v>
      </c>
      <c r="U180">
        <f t="shared" si="9"/>
        <v>1997</v>
      </c>
      <c r="V180" t="str">
        <f t="shared" si="10"/>
        <v>1/1997</v>
      </c>
      <c r="Y180" s="1">
        <v>35485</v>
      </c>
      <c r="Z180">
        <f t="shared" si="11"/>
        <v>28</v>
      </c>
    </row>
    <row r="181" spans="19:26" x14ac:dyDescent="0.2">
      <c r="S181" s="1">
        <v>35457</v>
      </c>
      <c r="T181">
        <f t="shared" si="8"/>
        <v>1</v>
      </c>
      <c r="U181">
        <f t="shared" si="9"/>
        <v>1997</v>
      </c>
      <c r="V181" t="str">
        <f t="shared" si="10"/>
        <v>1/1997</v>
      </c>
      <c r="Y181" s="1">
        <v>35485</v>
      </c>
      <c r="Z181">
        <f t="shared" si="11"/>
        <v>28</v>
      </c>
    </row>
    <row r="182" spans="19:26" x14ac:dyDescent="0.2">
      <c r="S182" s="1">
        <v>35458</v>
      </c>
      <c r="T182">
        <f t="shared" si="8"/>
        <v>1</v>
      </c>
      <c r="U182">
        <f t="shared" si="9"/>
        <v>1997</v>
      </c>
      <c r="V182" t="str">
        <f t="shared" si="10"/>
        <v>1/1997</v>
      </c>
      <c r="Y182" s="1">
        <v>35486</v>
      </c>
      <c r="Z182">
        <f t="shared" si="11"/>
        <v>28</v>
      </c>
    </row>
    <row r="183" spans="19:26" x14ac:dyDescent="0.2">
      <c r="S183" s="1">
        <v>35459</v>
      </c>
      <c r="T183">
        <f t="shared" si="8"/>
        <v>1</v>
      </c>
      <c r="U183">
        <f t="shared" si="9"/>
        <v>1997</v>
      </c>
      <c r="V183" t="str">
        <f t="shared" si="10"/>
        <v>1/1997</v>
      </c>
      <c r="Y183" s="1">
        <v>35501</v>
      </c>
      <c r="Z183">
        <f t="shared" si="11"/>
        <v>42</v>
      </c>
    </row>
    <row r="184" spans="19:26" x14ac:dyDescent="0.2">
      <c r="S184" s="1">
        <v>35460</v>
      </c>
      <c r="T184">
        <f t="shared" si="8"/>
        <v>1</v>
      </c>
      <c r="U184">
        <f t="shared" si="9"/>
        <v>1997</v>
      </c>
      <c r="V184" t="str">
        <f t="shared" si="10"/>
        <v>1/1997</v>
      </c>
      <c r="Y184" s="1">
        <v>35474</v>
      </c>
      <c r="Z184">
        <f t="shared" si="11"/>
        <v>14</v>
      </c>
    </row>
    <row r="185" spans="19:26" x14ac:dyDescent="0.2">
      <c r="S185" s="1">
        <v>35460</v>
      </c>
      <c r="T185">
        <f t="shared" si="8"/>
        <v>1</v>
      </c>
      <c r="U185">
        <f t="shared" si="9"/>
        <v>1997</v>
      </c>
      <c r="V185" t="str">
        <f t="shared" si="10"/>
        <v>1/1997</v>
      </c>
      <c r="Y185" s="1">
        <v>35474</v>
      </c>
      <c r="Z185">
        <f t="shared" si="11"/>
        <v>14</v>
      </c>
    </row>
    <row r="186" spans="19:26" x14ac:dyDescent="0.2">
      <c r="S186" s="1">
        <v>35461</v>
      </c>
      <c r="T186">
        <f t="shared" si="8"/>
        <v>1</v>
      </c>
      <c r="U186">
        <f t="shared" si="9"/>
        <v>1997</v>
      </c>
      <c r="V186" t="str">
        <f t="shared" si="10"/>
        <v>1/1997</v>
      </c>
      <c r="Y186" s="1">
        <v>35475</v>
      </c>
      <c r="Z186">
        <f t="shared" si="11"/>
        <v>14</v>
      </c>
    </row>
    <row r="187" spans="19:26" x14ac:dyDescent="0.2">
      <c r="S187" s="1">
        <v>35464</v>
      </c>
      <c r="T187">
        <f t="shared" si="8"/>
        <v>2</v>
      </c>
      <c r="U187">
        <f t="shared" si="9"/>
        <v>1997</v>
      </c>
      <c r="V187" t="str">
        <f t="shared" si="10"/>
        <v>2/1997</v>
      </c>
      <c r="Y187" s="1">
        <v>35492</v>
      </c>
      <c r="Z187">
        <f t="shared" si="11"/>
        <v>28</v>
      </c>
    </row>
    <row r="188" spans="19:26" x14ac:dyDescent="0.2">
      <c r="S188" s="1">
        <v>35464</v>
      </c>
      <c r="T188">
        <f t="shared" si="8"/>
        <v>2</v>
      </c>
      <c r="U188">
        <f t="shared" si="9"/>
        <v>1997</v>
      </c>
      <c r="V188" t="str">
        <f t="shared" si="10"/>
        <v>2/1997</v>
      </c>
      <c r="Y188" s="1">
        <v>35492</v>
      </c>
      <c r="Z188">
        <f t="shared" si="11"/>
        <v>28</v>
      </c>
    </row>
    <row r="189" spans="19:26" x14ac:dyDescent="0.2">
      <c r="S189" s="1">
        <v>35465</v>
      </c>
      <c r="T189">
        <f t="shared" si="8"/>
        <v>2</v>
      </c>
      <c r="U189">
        <f t="shared" si="9"/>
        <v>1997</v>
      </c>
      <c r="V189" t="str">
        <f t="shared" si="10"/>
        <v>2/1997</v>
      </c>
      <c r="Y189" s="1">
        <v>35507</v>
      </c>
      <c r="Z189">
        <f t="shared" si="11"/>
        <v>42</v>
      </c>
    </row>
    <row r="190" spans="19:26" x14ac:dyDescent="0.2">
      <c r="S190" s="1">
        <v>35466</v>
      </c>
      <c r="T190">
        <f t="shared" si="8"/>
        <v>2</v>
      </c>
      <c r="U190">
        <f t="shared" si="9"/>
        <v>1997</v>
      </c>
      <c r="V190" t="str">
        <f t="shared" si="10"/>
        <v>2/1997</v>
      </c>
      <c r="Y190" s="1">
        <v>35494</v>
      </c>
      <c r="Z190">
        <f t="shared" si="11"/>
        <v>28</v>
      </c>
    </row>
    <row r="191" spans="19:26" x14ac:dyDescent="0.2">
      <c r="S191" s="1">
        <v>35466</v>
      </c>
      <c r="T191">
        <f t="shared" si="8"/>
        <v>2</v>
      </c>
      <c r="U191">
        <f t="shared" si="9"/>
        <v>1997</v>
      </c>
      <c r="V191" t="str">
        <f t="shared" si="10"/>
        <v>2/1997</v>
      </c>
      <c r="Y191" s="1">
        <v>35494</v>
      </c>
      <c r="Z191">
        <f t="shared" si="11"/>
        <v>28</v>
      </c>
    </row>
    <row r="192" spans="19:26" x14ac:dyDescent="0.2">
      <c r="S192" s="1">
        <v>35467</v>
      </c>
      <c r="T192">
        <f t="shared" si="8"/>
        <v>2</v>
      </c>
      <c r="U192">
        <f t="shared" si="9"/>
        <v>1997</v>
      </c>
      <c r="V192" t="str">
        <f t="shared" si="10"/>
        <v>2/1997</v>
      </c>
      <c r="Y192" s="1">
        <v>35495</v>
      </c>
      <c r="Z192">
        <f t="shared" si="11"/>
        <v>28</v>
      </c>
    </row>
    <row r="193" spans="19:26" x14ac:dyDescent="0.2">
      <c r="S193" s="1">
        <v>35468</v>
      </c>
      <c r="T193">
        <f t="shared" si="8"/>
        <v>2</v>
      </c>
      <c r="U193">
        <f t="shared" si="9"/>
        <v>1997</v>
      </c>
      <c r="V193" t="str">
        <f t="shared" si="10"/>
        <v>2/1997</v>
      </c>
      <c r="Y193" s="1">
        <v>35496</v>
      </c>
      <c r="Z193">
        <f t="shared" si="11"/>
        <v>28</v>
      </c>
    </row>
    <row r="194" spans="19:26" x14ac:dyDescent="0.2">
      <c r="S194" s="1">
        <v>35471</v>
      </c>
      <c r="T194">
        <f t="shared" si="8"/>
        <v>2</v>
      </c>
      <c r="U194">
        <f t="shared" si="9"/>
        <v>1997</v>
      </c>
      <c r="V194" t="str">
        <f t="shared" si="10"/>
        <v>2/1997</v>
      </c>
      <c r="Y194" s="1">
        <v>35499</v>
      </c>
      <c r="Z194">
        <f t="shared" si="11"/>
        <v>28</v>
      </c>
    </row>
    <row r="195" spans="19:26" x14ac:dyDescent="0.2">
      <c r="S195" s="1">
        <v>35471</v>
      </c>
      <c r="T195">
        <f t="shared" ref="T195:T258" si="12">MONTH(S195)</f>
        <v>2</v>
      </c>
      <c r="U195">
        <f t="shared" ref="U195:U258" si="13">YEAR(S195)</f>
        <v>1997</v>
      </c>
      <c r="V195" t="str">
        <f t="shared" ref="V195:V258" si="14">T195&amp;"/"&amp;U195</f>
        <v>2/1997</v>
      </c>
      <c r="Y195" s="1">
        <v>35513</v>
      </c>
      <c r="Z195">
        <f t="shared" ref="Z195:Z258" si="15">Y195-S195</f>
        <v>42</v>
      </c>
    </row>
    <row r="196" spans="19:26" x14ac:dyDescent="0.2">
      <c r="S196" s="1">
        <v>35472</v>
      </c>
      <c r="T196">
        <f t="shared" si="12"/>
        <v>2</v>
      </c>
      <c r="U196">
        <f t="shared" si="13"/>
        <v>1997</v>
      </c>
      <c r="V196" t="str">
        <f t="shared" si="14"/>
        <v>2/1997</v>
      </c>
      <c r="Y196" s="1">
        <v>35500</v>
      </c>
      <c r="Z196">
        <f t="shared" si="15"/>
        <v>28</v>
      </c>
    </row>
    <row r="197" spans="19:26" x14ac:dyDescent="0.2">
      <c r="S197" s="1">
        <v>35473</v>
      </c>
      <c r="T197">
        <f t="shared" si="12"/>
        <v>2</v>
      </c>
      <c r="U197">
        <f t="shared" si="13"/>
        <v>1997</v>
      </c>
      <c r="V197" t="str">
        <f t="shared" si="14"/>
        <v>2/1997</v>
      </c>
      <c r="Y197" s="1">
        <v>35501</v>
      </c>
      <c r="Z197">
        <f t="shared" si="15"/>
        <v>28</v>
      </c>
    </row>
    <row r="198" spans="19:26" x14ac:dyDescent="0.2">
      <c r="S198" s="1">
        <v>35473</v>
      </c>
      <c r="T198">
        <f t="shared" si="12"/>
        <v>2</v>
      </c>
      <c r="U198">
        <f t="shared" si="13"/>
        <v>1997</v>
      </c>
      <c r="V198" t="str">
        <f t="shared" si="14"/>
        <v>2/1997</v>
      </c>
      <c r="Y198" s="1">
        <v>35501</v>
      </c>
      <c r="Z198">
        <f t="shared" si="15"/>
        <v>28</v>
      </c>
    </row>
    <row r="199" spans="19:26" x14ac:dyDescent="0.2">
      <c r="S199" s="1">
        <v>35474</v>
      </c>
      <c r="T199">
        <f t="shared" si="12"/>
        <v>2</v>
      </c>
      <c r="U199">
        <f t="shared" si="13"/>
        <v>1997</v>
      </c>
      <c r="V199" t="str">
        <f t="shared" si="14"/>
        <v>2/1997</v>
      </c>
      <c r="Y199" s="1">
        <v>35502</v>
      </c>
      <c r="Z199">
        <f t="shared" si="15"/>
        <v>28</v>
      </c>
    </row>
    <row r="200" spans="19:26" x14ac:dyDescent="0.2">
      <c r="S200" s="1">
        <v>35475</v>
      </c>
      <c r="T200">
        <f t="shared" si="12"/>
        <v>2</v>
      </c>
      <c r="U200">
        <f t="shared" si="13"/>
        <v>1997</v>
      </c>
      <c r="V200" t="str">
        <f t="shared" si="14"/>
        <v>2/1997</v>
      </c>
      <c r="Y200" s="1">
        <v>35503</v>
      </c>
      <c r="Z200">
        <f t="shared" si="15"/>
        <v>28</v>
      </c>
    </row>
    <row r="201" spans="19:26" x14ac:dyDescent="0.2">
      <c r="S201" s="1">
        <v>35475</v>
      </c>
      <c r="T201">
        <f t="shared" si="12"/>
        <v>2</v>
      </c>
      <c r="U201">
        <f t="shared" si="13"/>
        <v>1997</v>
      </c>
      <c r="V201" t="str">
        <f t="shared" si="14"/>
        <v>2/1997</v>
      </c>
      <c r="Y201" s="1">
        <v>35503</v>
      </c>
      <c r="Z201">
        <f t="shared" si="15"/>
        <v>28</v>
      </c>
    </row>
    <row r="202" spans="19:26" x14ac:dyDescent="0.2">
      <c r="S202" s="1">
        <v>35478</v>
      </c>
      <c r="T202">
        <f t="shared" si="12"/>
        <v>2</v>
      </c>
      <c r="U202">
        <f t="shared" si="13"/>
        <v>1997</v>
      </c>
      <c r="V202" t="str">
        <f t="shared" si="14"/>
        <v>2/1997</v>
      </c>
      <c r="Y202" s="1">
        <v>35506</v>
      </c>
      <c r="Z202">
        <f t="shared" si="15"/>
        <v>28</v>
      </c>
    </row>
    <row r="203" spans="19:26" x14ac:dyDescent="0.2">
      <c r="S203" s="1">
        <v>35479</v>
      </c>
      <c r="T203">
        <f t="shared" si="12"/>
        <v>2</v>
      </c>
      <c r="U203">
        <f t="shared" si="13"/>
        <v>1997</v>
      </c>
      <c r="V203" t="str">
        <f t="shared" si="14"/>
        <v>2/1997</v>
      </c>
      <c r="Y203" s="1">
        <v>35507</v>
      </c>
      <c r="Z203">
        <f t="shared" si="15"/>
        <v>28</v>
      </c>
    </row>
    <row r="204" spans="19:26" x14ac:dyDescent="0.2">
      <c r="S204" s="1">
        <v>35480</v>
      </c>
      <c r="T204">
        <f t="shared" si="12"/>
        <v>2</v>
      </c>
      <c r="U204">
        <f t="shared" si="13"/>
        <v>1997</v>
      </c>
      <c r="V204" t="str">
        <f t="shared" si="14"/>
        <v>2/1997</v>
      </c>
      <c r="Y204" s="1">
        <v>35508</v>
      </c>
      <c r="Z204">
        <f t="shared" si="15"/>
        <v>28</v>
      </c>
    </row>
    <row r="205" spans="19:26" x14ac:dyDescent="0.2">
      <c r="S205" s="1">
        <v>35480</v>
      </c>
      <c r="T205">
        <f t="shared" si="12"/>
        <v>2</v>
      </c>
      <c r="U205">
        <f t="shared" si="13"/>
        <v>1997</v>
      </c>
      <c r="V205" t="str">
        <f t="shared" si="14"/>
        <v>2/1997</v>
      </c>
      <c r="Y205" s="1">
        <v>35494</v>
      </c>
      <c r="Z205">
        <f t="shared" si="15"/>
        <v>14</v>
      </c>
    </row>
    <row r="206" spans="19:26" x14ac:dyDescent="0.2">
      <c r="S206" s="1">
        <v>35481</v>
      </c>
      <c r="T206">
        <f t="shared" si="12"/>
        <v>2</v>
      </c>
      <c r="U206">
        <f t="shared" si="13"/>
        <v>1997</v>
      </c>
      <c r="V206" t="str">
        <f t="shared" si="14"/>
        <v>2/1997</v>
      </c>
      <c r="Y206" s="1">
        <v>35509</v>
      </c>
      <c r="Z206">
        <f t="shared" si="15"/>
        <v>28</v>
      </c>
    </row>
    <row r="207" spans="19:26" x14ac:dyDescent="0.2">
      <c r="S207" s="1">
        <v>35482</v>
      </c>
      <c r="T207">
        <f t="shared" si="12"/>
        <v>2</v>
      </c>
      <c r="U207">
        <f t="shared" si="13"/>
        <v>1997</v>
      </c>
      <c r="V207" t="str">
        <f t="shared" si="14"/>
        <v>2/1997</v>
      </c>
      <c r="Y207" s="1">
        <v>35510</v>
      </c>
      <c r="Z207">
        <f t="shared" si="15"/>
        <v>28</v>
      </c>
    </row>
    <row r="208" spans="19:26" x14ac:dyDescent="0.2">
      <c r="S208" s="1">
        <v>35482</v>
      </c>
      <c r="T208">
        <f t="shared" si="12"/>
        <v>2</v>
      </c>
      <c r="U208">
        <f t="shared" si="13"/>
        <v>1997</v>
      </c>
      <c r="V208" t="str">
        <f t="shared" si="14"/>
        <v>2/1997</v>
      </c>
      <c r="Y208" s="1">
        <v>35510</v>
      </c>
      <c r="Z208">
        <f t="shared" si="15"/>
        <v>28</v>
      </c>
    </row>
    <row r="209" spans="19:26" x14ac:dyDescent="0.2">
      <c r="S209" s="1">
        <v>35485</v>
      </c>
      <c r="T209">
        <f t="shared" si="12"/>
        <v>2</v>
      </c>
      <c r="U209">
        <f t="shared" si="13"/>
        <v>1997</v>
      </c>
      <c r="V209" t="str">
        <f t="shared" si="14"/>
        <v>2/1997</v>
      </c>
      <c r="Y209" s="1">
        <v>35527</v>
      </c>
      <c r="Z209">
        <f t="shared" si="15"/>
        <v>42</v>
      </c>
    </row>
    <row r="210" spans="19:26" x14ac:dyDescent="0.2">
      <c r="S210" s="1">
        <v>35486</v>
      </c>
      <c r="T210">
        <f t="shared" si="12"/>
        <v>2</v>
      </c>
      <c r="U210">
        <f t="shared" si="13"/>
        <v>1997</v>
      </c>
      <c r="V210" t="str">
        <f t="shared" si="14"/>
        <v>2/1997</v>
      </c>
      <c r="Y210" s="1">
        <v>35528</v>
      </c>
      <c r="Z210">
        <f t="shared" si="15"/>
        <v>42</v>
      </c>
    </row>
    <row r="211" spans="19:26" x14ac:dyDescent="0.2">
      <c r="S211" s="1">
        <v>35486</v>
      </c>
      <c r="T211">
        <f t="shared" si="12"/>
        <v>2</v>
      </c>
      <c r="U211">
        <f t="shared" si="13"/>
        <v>1997</v>
      </c>
      <c r="V211" t="str">
        <f t="shared" si="14"/>
        <v>2/1997</v>
      </c>
      <c r="Y211" s="1">
        <v>35514</v>
      </c>
      <c r="Z211">
        <f t="shared" si="15"/>
        <v>28</v>
      </c>
    </row>
    <row r="212" spans="19:26" x14ac:dyDescent="0.2">
      <c r="S212" s="1">
        <v>35487</v>
      </c>
      <c r="T212">
        <f t="shared" si="12"/>
        <v>2</v>
      </c>
      <c r="U212">
        <f t="shared" si="13"/>
        <v>1997</v>
      </c>
      <c r="V212" t="str">
        <f t="shared" si="14"/>
        <v>2/1997</v>
      </c>
      <c r="Y212" s="1">
        <v>35515</v>
      </c>
      <c r="Z212">
        <f t="shared" si="15"/>
        <v>28</v>
      </c>
    </row>
    <row r="213" spans="19:26" x14ac:dyDescent="0.2">
      <c r="S213" s="1">
        <v>35488</v>
      </c>
      <c r="T213">
        <f t="shared" si="12"/>
        <v>2</v>
      </c>
      <c r="U213">
        <f t="shared" si="13"/>
        <v>1997</v>
      </c>
      <c r="V213" t="str">
        <f t="shared" si="14"/>
        <v>2/1997</v>
      </c>
      <c r="Y213" s="1">
        <v>35516</v>
      </c>
      <c r="Z213">
        <f t="shared" si="15"/>
        <v>28</v>
      </c>
    </row>
    <row r="214" spans="19:26" x14ac:dyDescent="0.2">
      <c r="S214" s="1">
        <v>35489</v>
      </c>
      <c r="T214">
        <f t="shared" si="12"/>
        <v>2</v>
      </c>
      <c r="U214">
        <f t="shared" si="13"/>
        <v>1997</v>
      </c>
      <c r="V214" t="str">
        <f t="shared" si="14"/>
        <v>2/1997</v>
      </c>
      <c r="Y214" s="1">
        <v>35517</v>
      </c>
      <c r="Z214">
        <f t="shared" si="15"/>
        <v>28</v>
      </c>
    </row>
    <row r="215" spans="19:26" x14ac:dyDescent="0.2">
      <c r="S215" s="1">
        <v>35489</v>
      </c>
      <c r="T215">
        <f t="shared" si="12"/>
        <v>2</v>
      </c>
      <c r="U215">
        <f t="shared" si="13"/>
        <v>1997</v>
      </c>
      <c r="V215" t="str">
        <f t="shared" si="14"/>
        <v>2/1997</v>
      </c>
      <c r="Y215" s="1">
        <v>35517</v>
      </c>
      <c r="Z215">
        <f t="shared" si="15"/>
        <v>28</v>
      </c>
    </row>
    <row r="216" spans="19:26" x14ac:dyDescent="0.2">
      <c r="S216" s="1">
        <v>35492</v>
      </c>
      <c r="T216">
        <f t="shared" si="12"/>
        <v>3</v>
      </c>
      <c r="U216">
        <f t="shared" si="13"/>
        <v>1997</v>
      </c>
      <c r="V216" t="str">
        <f t="shared" si="14"/>
        <v>3/1997</v>
      </c>
      <c r="Y216" s="1">
        <v>35520</v>
      </c>
      <c r="Z216">
        <f t="shared" si="15"/>
        <v>28</v>
      </c>
    </row>
    <row r="217" spans="19:26" x14ac:dyDescent="0.2">
      <c r="S217" s="1">
        <v>35493</v>
      </c>
      <c r="T217">
        <f t="shared" si="12"/>
        <v>3</v>
      </c>
      <c r="U217">
        <f t="shared" si="13"/>
        <v>1997</v>
      </c>
      <c r="V217" t="str">
        <f t="shared" si="14"/>
        <v>3/1997</v>
      </c>
      <c r="Y217" s="1">
        <v>35521</v>
      </c>
      <c r="Z217">
        <f t="shared" si="15"/>
        <v>28</v>
      </c>
    </row>
    <row r="218" spans="19:26" x14ac:dyDescent="0.2">
      <c r="S218" s="1">
        <v>35493</v>
      </c>
      <c r="T218">
        <f t="shared" si="12"/>
        <v>3</v>
      </c>
      <c r="U218">
        <f t="shared" si="13"/>
        <v>1997</v>
      </c>
      <c r="V218" t="str">
        <f t="shared" si="14"/>
        <v>3/1997</v>
      </c>
      <c r="Y218" s="1">
        <v>35521</v>
      </c>
      <c r="Z218">
        <f t="shared" si="15"/>
        <v>28</v>
      </c>
    </row>
    <row r="219" spans="19:26" x14ac:dyDescent="0.2">
      <c r="S219" s="1">
        <v>35494</v>
      </c>
      <c r="T219">
        <f t="shared" si="12"/>
        <v>3</v>
      </c>
      <c r="U219">
        <f t="shared" si="13"/>
        <v>1997</v>
      </c>
      <c r="V219" t="str">
        <f t="shared" si="14"/>
        <v>3/1997</v>
      </c>
      <c r="Y219" s="1">
        <v>35522</v>
      </c>
      <c r="Z219">
        <f t="shared" si="15"/>
        <v>28</v>
      </c>
    </row>
    <row r="220" spans="19:26" x14ac:dyDescent="0.2">
      <c r="S220" s="1">
        <v>35495</v>
      </c>
      <c r="T220">
        <f t="shared" si="12"/>
        <v>3</v>
      </c>
      <c r="U220">
        <f t="shared" si="13"/>
        <v>1997</v>
      </c>
      <c r="V220" t="str">
        <f t="shared" si="14"/>
        <v>3/1997</v>
      </c>
      <c r="Y220" s="1">
        <v>35523</v>
      </c>
      <c r="Z220">
        <f t="shared" si="15"/>
        <v>28</v>
      </c>
    </row>
    <row r="221" spans="19:26" x14ac:dyDescent="0.2">
      <c r="S221" s="1">
        <v>35495</v>
      </c>
      <c r="T221">
        <f t="shared" si="12"/>
        <v>3</v>
      </c>
      <c r="U221">
        <f t="shared" si="13"/>
        <v>1997</v>
      </c>
      <c r="V221" t="str">
        <f t="shared" si="14"/>
        <v>3/1997</v>
      </c>
      <c r="Y221" s="1">
        <v>35523</v>
      </c>
      <c r="Z221">
        <f t="shared" si="15"/>
        <v>28</v>
      </c>
    </row>
    <row r="222" spans="19:26" x14ac:dyDescent="0.2">
      <c r="S222" s="1">
        <v>35496</v>
      </c>
      <c r="T222">
        <f t="shared" si="12"/>
        <v>3</v>
      </c>
      <c r="U222">
        <f t="shared" si="13"/>
        <v>1997</v>
      </c>
      <c r="V222" t="str">
        <f t="shared" si="14"/>
        <v>3/1997</v>
      </c>
      <c r="Y222" s="1">
        <v>35524</v>
      </c>
      <c r="Z222">
        <f t="shared" si="15"/>
        <v>28</v>
      </c>
    </row>
    <row r="223" spans="19:26" x14ac:dyDescent="0.2">
      <c r="S223" s="1">
        <v>35499</v>
      </c>
      <c r="T223">
        <f t="shared" si="12"/>
        <v>3</v>
      </c>
      <c r="U223">
        <f t="shared" si="13"/>
        <v>1997</v>
      </c>
      <c r="V223" t="str">
        <f t="shared" si="14"/>
        <v>3/1997</v>
      </c>
      <c r="Y223" s="1">
        <v>35527</v>
      </c>
      <c r="Z223">
        <f t="shared" si="15"/>
        <v>28</v>
      </c>
    </row>
    <row r="224" spans="19:26" x14ac:dyDescent="0.2">
      <c r="S224" s="1">
        <v>35500</v>
      </c>
      <c r="T224">
        <f t="shared" si="12"/>
        <v>3</v>
      </c>
      <c r="U224">
        <f t="shared" si="13"/>
        <v>1997</v>
      </c>
      <c r="V224" t="str">
        <f t="shared" si="14"/>
        <v>3/1997</v>
      </c>
      <c r="Y224" s="1">
        <v>35528</v>
      </c>
      <c r="Z224">
        <f t="shared" si="15"/>
        <v>28</v>
      </c>
    </row>
    <row r="225" spans="19:26" x14ac:dyDescent="0.2">
      <c r="S225" s="1">
        <v>35500</v>
      </c>
      <c r="T225">
        <f t="shared" si="12"/>
        <v>3</v>
      </c>
      <c r="U225">
        <f t="shared" si="13"/>
        <v>1997</v>
      </c>
      <c r="V225" t="str">
        <f t="shared" si="14"/>
        <v>3/1997</v>
      </c>
      <c r="Y225" s="1">
        <v>35528</v>
      </c>
      <c r="Z225">
        <f t="shared" si="15"/>
        <v>28</v>
      </c>
    </row>
    <row r="226" spans="19:26" x14ac:dyDescent="0.2">
      <c r="S226" s="1">
        <v>35501</v>
      </c>
      <c r="T226">
        <f t="shared" si="12"/>
        <v>3</v>
      </c>
      <c r="U226">
        <f t="shared" si="13"/>
        <v>1997</v>
      </c>
      <c r="V226" t="str">
        <f t="shared" si="14"/>
        <v>3/1997</v>
      </c>
      <c r="Y226" s="1">
        <v>35529</v>
      </c>
      <c r="Z226">
        <f t="shared" si="15"/>
        <v>28</v>
      </c>
    </row>
    <row r="227" spans="19:26" x14ac:dyDescent="0.2">
      <c r="S227" s="1">
        <v>35502</v>
      </c>
      <c r="T227">
        <f t="shared" si="12"/>
        <v>3</v>
      </c>
      <c r="U227">
        <f t="shared" si="13"/>
        <v>1997</v>
      </c>
      <c r="V227" t="str">
        <f t="shared" si="14"/>
        <v>3/1997</v>
      </c>
      <c r="Y227" s="1">
        <v>35516</v>
      </c>
      <c r="Z227">
        <f t="shared" si="15"/>
        <v>14</v>
      </c>
    </row>
    <row r="228" spans="19:26" x14ac:dyDescent="0.2">
      <c r="S228" s="1">
        <v>35502</v>
      </c>
      <c r="T228">
        <f t="shared" si="12"/>
        <v>3</v>
      </c>
      <c r="U228">
        <f t="shared" si="13"/>
        <v>1997</v>
      </c>
      <c r="V228" t="str">
        <f t="shared" si="14"/>
        <v>3/1997</v>
      </c>
      <c r="Y228" s="1">
        <v>35530</v>
      </c>
      <c r="Z228">
        <f t="shared" si="15"/>
        <v>28</v>
      </c>
    </row>
    <row r="229" spans="19:26" x14ac:dyDescent="0.2">
      <c r="S229" s="1">
        <v>35503</v>
      </c>
      <c r="T229">
        <f t="shared" si="12"/>
        <v>3</v>
      </c>
      <c r="U229">
        <f t="shared" si="13"/>
        <v>1997</v>
      </c>
      <c r="V229" t="str">
        <f t="shared" si="14"/>
        <v>3/1997</v>
      </c>
      <c r="Y229" s="1">
        <v>35531</v>
      </c>
      <c r="Z229">
        <f t="shared" si="15"/>
        <v>28</v>
      </c>
    </row>
    <row r="230" spans="19:26" x14ac:dyDescent="0.2">
      <c r="S230" s="1">
        <v>35506</v>
      </c>
      <c r="T230">
        <f t="shared" si="12"/>
        <v>3</v>
      </c>
      <c r="U230">
        <f t="shared" si="13"/>
        <v>1997</v>
      </c>
      <c r="V230" t="str">
        <f t="shared" si="14"/>
        <v>3/1997</v>
      </c>
      <c r="Y230" s="1">
        <v>35534</v>
      </c>
      <c r="Z230">
        <f t="shared" si="15"/>
        <v>28</v>
      </c>
    </row>
    <row r="231" spans="19:26" x14ac:dyDescent="0.2">
      <c r="S231" s="1">
        <v>35506</v>
      </c>
      <c r="T231">
        <f t="shared" si="12"/>
        <v>3</v>
      </c>
      <c r="U231">
        <f t="shared" si="13"/>
        <v>1997</v>
      </c>
      <c r="V231" t="str">
        <f t="shared" si="14"/>
        <v>3/1997</v>
      </c>
      <c r="Y231" s="1">
        <v>35534</v>
      </c>
      <c r="Z231">
        <f t="shared" si="15"/>
        <v>28</v>
      </c>
    </row>
    <row r="232" spans="19:26" x14ac:dyDescent="0.2">
      <c r="S232" s="1">
        <v>35507</v>
      </c>
      <c r="T232">
        <f t="shared" si="12"/>
        <v>3</v>
      </c>
      <c r="U232">
        <f t="shared" si="13"/>
        <v>1997</v>
      </c>
      <c r="V232" t="str">
        <f t="shared" si="14"/>
        <v>3/1997</v>
      </c>
      <c r="Y232" s="1">
        <v>35521</v>
      </c>
      <c r="Z232">
        <f t="shared" si="15"/>
        <v>14</v>
      </c>
    </row>
    <row r="233" spans="19:26" x14ac:dyDescent="0.2">
      <c r="S233" s="1">
        <v>35508</v>
      </c>
      <c r="T233">
        <f t="shared" si="12"/>
        <v>3</v>
      </c>
      <c r="U233">
        <f t="shared" si="13"/>
        <v>1997</v>
      </c>
      <c r="V233" t="str">
        <f t="shared" si="14"/>
        <v>3/1997</v>
      </c>
      <c r="Y233" s="1">
        <v>35536</v>
      </c>
      <c r="Z233">
        <f t="shared" si="15"/>
        <v>28</v>
      </c>
    </row>
    <row r="234" spans="19:26" x14ac:dyDescent="0.2">
      <c r="S234" s="1">
        <v>35509</v>
      </c>
      <c r="T234">
        <f t="shared" si="12"/>
        <v>3</v>
      </c>
      <c r="U234">
        <f t="shared" si="13"/>
        <v>1997</v>
      </c>
      <c r="V234" t="str">
        <f t="shared" si="14"/>
        <v>3/1997</v>
      </c>
      <c r="Y234" s="1">
        <v>35537</v>
      </c>
      <c r="Z234">
        <f t="shared" si="15"/>
        <v>28</v>
      </c>
    </row>
    <row r="235" spans="19:26" x14ac:dyDescent="0.2">
      <c r="S235" s="1">
        <v>35509</v>
      </c>
      <c r="T235">
        <f t="shared" si="12"/>
        <v>3</v>
      </c>
      <c r="U235">
        <f t="shared" si="13"/>
        <v>1997</v>
      </c>
      <c r="V235" t="str">
        <f t="shared" si="14"/>
        <v>3/1997</v>
      </c>
      <c r="Y235" s="1">
        <v>35537</v>
      </c>
      <c r="Z235">
        <f t="shared" si="15"/>
        <v>28</v>
      </c>
    </row>
    <row r="236" spans="19:26" x14ac:dyDescent="0.2">
      <c r="S236" s="1">
        <v>35510</v>
      </c>
      <c r="T236">
        <f t="shared" si="12"/>
        <v>3</v>
      </c>
      <c r="U236">
        <f t="shared" si="13"/>
        <v>1997</v>
      </c>
      <c r="V236" t="str">
        <f t="shared" si="14"/>
        <v>3/1997</v>
      </c>
      <c r="Y236" s="1">
        <v>35538</v>
      </c>
      <c r="Z236">
        <f t="shared" si="15"/>
        <v>28</v>
      </c>
    </row>
    <row r="237" spans="19:26" x14ac:dyDescent="0.2">
      <c r="S237" s="1">
        <v>35513</v>
      </c>
      <c r="T237">
        <f t="shared" si="12"/>
        <v>3</v>
      </c>
      <c r="U237">
        <f t="shared" si="13"/>
        <v>1997</v>
      </c>
      <c r="V237" t="str">
        <f t="shared" si="14"/>
        <v>3/1997</v>
      </c>
      <c r="Y237" s="1">
        <v>35541</v>
      </c>
      <c r="Z237">
        <f t="shared" si="15"/>
        <v>28</v>
      </c>
    </row>
    <row r="238" spans="19:26" x14ac:dyDescent="0.2">
      <c r="S238" s="1">
        <v>35513</v>
      </c>
      <c r="T238">
        <f t="shared" si="12"/>
        <v>3</v>
      </c>
      <c r="U238">
        <f t="shared" si="13"/>
        <v>1997</v>
      </c>
      <c r="V238" t="str">
        <f t="shared" si="14"/>
        <v>3/1997</v>
      </c>
      <c r="Y238" s="1">
        <v>35541</v>
      </c>
      <c r="Z238">
        <f t="shared" si="15"/>
        <v>28</v>
      </c>
    </row>
    <row r="239" spans="19:26" x14ac:dyDescent="0.2">
      <c r="S239" s="1">
        <v>35514</v>
      </c>
      <c r="T239">
        <f t="shared" si="12"/>
        <v>3</v>
      </c>
      <c r="U239">
        <f t="shared" si="13"/>
        <v>1997</v>
      </c>
      <c r="V239" t="str">
        <f t="shared" si="14"/>
        <v>3/1997</v>
      </c>
      <c r="Y239" s="1">
        <v>35528</v>
      </c>
      <c r="Z239">
        <f t="shared" si="15"/>
        <v>14</v>
      </c>
    </row>
    <row r="240" spans="19:26" x14ac:dyDescent="0.2">
      <c r="S240" s="1">
        <v>35515</v>
      </c>
      <c r="T240">
        <f t="shared" si="12"/>
        <v>3</v>
      </c>
      <c r="U240">
        <f t="shared" si="13"/>
        <v>1997</v>
      </c>
      <c r="V240" t="str">
        <f t="shared" si="14"/>
        <v>3/1997</v>
      </c>
      <c r="Y240" s="1">
        <v>35543</v>
      </c>
      <c r="Z240">
        <f t="shared" si="15"/>
        <v>28</v>
      </c>
    </row>
    <row r="241" spans="19:26" x14ac:dyDescent="0.2">
      <c r="S241" s="1">
        <v>35515</v>
      </c>
      <c r="T241">
        <f t="shared" si="12"/>
        <v>3</v>
      </c>
      <c r="U241">
        <f t="shared" si="13"/>
        <v>1997</v>
      </c>
      <c r="V241" t="str">
        <f t="shared" si="14"/>
        <v>3/1997</v>
      </c>
      <c r="Y241" s="1">
        <v>35543</v>
      </c>
      <c r="Z241">
        <f t="shared" si="15"/>
        <v>28</v>
      </c>
    </row>
    <row r="242" spans="19:26" x14ac:dyDescent="0.2">
      <c r="S242" s="1">
        <v>35516</v>
      </c>
      <c r="T242">
        <f t="shared" si="12"/>
        <v>3</v>
      </c>
      <c r="U242">
        <f t="shared" si="13"/>
        <v>1997</v>
      </c>
      <c r="V242" t="str">
        <f t="shared" si="14"/>
        <v>3/1997</v>
      </c>
      <c r="Y242" s="1">
        <v>35544</v>
      </c>
      <c r="Z242">
        <f t="shared" si="15"/>
        <v>28</v>
      </c>
    </row>
    <row r="243" spans="19:26" x14ac:dyDescent="0.2">
      <c r="S243" s="1">
        <v>35517</v>
      </c>
      <c r="T243">
        <f t="shared" si="12"/>
        <v>3</v>
      </c>
      <c r="U243">
        <f t="shared" si="13"/>
        <v>1997</v>
      </c>
      <c r="V243" t="str">
        <f t="shared" si="14"/>
        <v>3/1997</v>
      </c>
      <c r="Y243" s="1">
        <v>35545</v>
      </c>
      <c r="Z243">
        <f t="shared" si="15"/>
        <v>28</v>
      </c>
    </row>
    <row r="244" spans="19:26" x14ac:dyDescent="0.2">
      <c r="S244" s="1">
        <v>35520</v>
      </c>
      <c r="T244">
        <f t="shared" si="12"/>
        <v>3</v>
      </c>
      <c r="U244">
        <f t="shared" si="13"/>
        <v>1997</v>
      </c>
      <c r="V244" t="str">
        <f t="shared" si="14"/>
        <v>3/1997</v>
      </c>
      <c r="Y244" s="1">
        <v>35548</v>
      </c>
      <c r="Z244">
        <f t="shared" si="15"/>
        <v>28</v>
      </c>
    </row>
    <row r="245" spans="19:26" x14ac:dyDescent="0.2">
      <c r="S245" s="1">
        <v>35520</v>
      </c>
      <c r="T245">
        <f t="shared" si="12"/>
        <v>3</v>
      </c>
      <c r="U245">
        <f t="shared" si="13"/>
        <v>1997</v>
      </c>
      <c r="V245" t="str">
        <f t="shared" si="14"/>
        <v>3/1997</v>
      </c>
      <c r="Y245" s="1">
        <v>35548</v>
      </c>
      <c r="Z245">
        <f t="shared" si="15"/>
        <v>28</v>
      </c>
    </row>
    <row r="246" spans="19:26" x14ac:dyDescent="0.2">
      <c r="S246" s="1">
        <v>35521</v>
      </c>
      <c r="T246">
        <f t="shared" si="12"/>
        <v>4</v>
      </c>
      <c r="U246">
        <f t="shared" si="13"/>
        <v>1997</v>
      </c>
      <c r="V246" t="str">
        <f t="shared" si="14"/>
        <v>4/1997</v>
      </c>
      <c r="Y246" s="1">
        <v>35549</v>
      </c>
      <c r="Z246">
        <f t="shared" si="15"/>
        <v>28</v>
      </c>
    </row>
    <row r="247" spans="19:26" x14ac:dyDescent="0.2">
      <c r="S247" s="1">
        <v>35522</v>
      </c>
      <c r="T247">
        <f t="shared" si="12"/>
        <v>4</v>
      </c>
      <c r="U247">
        <f t="shared" si="13"/>
        <v>1997</v>
      </c>
      <c r="V247" t="str">
        <f t="shared" si="14"/>
        <v>4/1997</v>
      </c>
      <c r="Y247" s="1">
        <v>35550</v>
      </c>
      <c r="Z247">
        <f t="shared" si="15"/>
        <v>28</v>
      </c>
    </row>
    <row r="248" spans="19:26" x14ac:dyDescent="0.2">
      <c r="S248" s="1">
        <v>35522</v>
      </c>
      <c r="T248">
        <f t="shared" si="12"/>
        <v>4</v>
      </c>
      <c r="U248">
        <f t="shared" si="13"/>
        <v>1997</v>
      </c>
      <c r="V248" t="str">
        <f t="shared" si="14"/>
        <v>4/1997</v>
      </c>
      <c r="Y248" s="1">
        <v>35550</v>
      </c>
      <c r="Z248">
        <f t="shared" si="15"/>
        <v>28</v>
      </c>
    </row>
    <row r="249" spans="19:26" x14ac:dyDescent="0.2">
      <c r="S249" s="1">
        <v>35523</v>
      </c>
      <c r="T249">
        <f t="shared" si="12"/>
        <v>4</v>
      </c>
      <c r="U249">
        <f t="shared" si="13"/>
        <v>1997</v>
      </c>
      <c r="V249" t="str">
        <f t="shared" si="14"/>
        <v>4/1997</v>
      </c>
      <c r="Y249" s="1">
        <v>35551</v>
      </c>
      <c r="Z249">
        <f t="shared" si="15"/>
        <v>28</v>
      </c>
    </row>
    <row r="250" spans="19:26" x14ac:dyDescent="0.2">
      <c r="S250" s="1">
        <v>35524</v>
      </c>
      <c r="T250">
        <f t="shared" si="12"/>
        <v>4</v>
      </c>
      <c r="U250">
        <f t="shared" si="13"/>
        <v>1997</v>
      </c>
      <c r="V250" t="str">
        <f t="shared" si="14"/>
        <v>4/1997</v>
      </c>
      <c r="Y250" s="1">
        <v>35552</v>
      </c>
      <c r="Z250">
        <f t="shared" si="15"/>
        <v>28</v>
      </c>
    </row>
    <row r="251" spans="19:26" x14ac:dyDescent="0.2">
      <c r="S251" s="1">
        <v>35524</v>
      </c>
      <c r="T251">
        <f t="shared" si="12"/>
        <v>4</v>
      </c>
      <c r="U251">
        <f t="shared" si="13"/>
        <v>1997</v>
      </c>
      <c r="V251" t="str">
        <f t="shared" si="14"/>
        <v>4/1997</v>
      </c>
      <c r="Y251" s="1">
        <v>35552</v>
      </c>
      <c r="Z251">
        <f t="shared" si="15"/>
        <v>28</v>
      </c>
    </row>
    <row r="252" spans="19:26" x14ac:dyDescent="0.2">
      <c r="S252" s="1">
        <v>35527</v>
      </c>
      <c r="T252">
        <f t="shared" si="12"/>
        <v>4</v>
      </c>
      <c r="U252">
        <f t="shared" si="13"/>
        <v>1997</v>
      </c>
      <c r="V252" t="str">
        <f t="shared" si="14"/>
        <v>4/1997</v>
      </c>
      <c r="Y252" s="1">
        <v>35555</v>
      </c>
      <c r="Z252">
        <f t="shared" si="15"/>
        <v>28</v>
      </c>
    </row>
    <row r="253" spans="19:26" x14ac:dyDescent="0.2">
      <c r="S253" s="1">
        <v>35528</v>
      </c>
      <c r="T253">
        <f t="shared" si="12"/>
        <v>4</v>
      </c>
      <c r="U253">
        <f t="shared" si="13"/>
        <v>1997</v>
      </c>
      <c r="V253" t="str">
        <f t="shared" si="14"/>
        <v>4/1997</v>
      </c>
      <c r="Y253" s="1">
        <v>35556</v>
      </c>
      <c r="Z253">
        <f t="shared" si="15"/>
        <v>28</v>
      </c>
    </row>
    <row r="254" spans="19:26" x14ac:dyDescent="0.2">
      <c r="S254" s="1">
        <v>35529</v>
      </c>
      <c r="T254">
        <f t="shared" si="12"/>
        <v>4</v>
      </c>
      <c r="U254">
        <f t="shared" si="13"/>
        <v>1997</v>
      </c>
      <c r="V254" t="str">
        <f t="shared" si="14"/>
        <v>4/1997</v>
      </c>
      <c r="Y254" s="1">
        <v>35557</v>
      </c>
      <c r="Z254">
        <f t="shared" si="15"/>
        <v>28</v>
      </c>
    </row>
    <row r="255" spans="19:26" x14ac:dyDescent="0.2">
      <c r="S255" s="1">
        <v>35529</v>
      </c>
      <c r="T255">
        <f t="shared" si="12"/>
        <v>4</v>
      </c>
      <c r="U255">
        <f t="shared" si="13"/>
        <v>1997</v>
      </c>
      <c r="V255" t="str">
        <f t="shared" si="14"/>
        <v>4/1997</v>
      </c>
      <c r="Y255" s="1">
        <v>35557</v>
      </c>
      <c r="Z255">
        <f t="shared" si="15"/>
        <v>28</v>
      </c>
    </row>
    <row r="256" spans="19:26" x14ac:dyDescent="0.2">
      <c r="S256" s="1">
        <v>35530</v>
      </c>
      <c r="T256">
        <f t="shared" si="12"/>
        <v>4</v>
      </c>
      <c r="U256">
        <f t="shared" si="13"/>
        <v>1997</v>
      </c>
      <c r="V256" t="str">
        <f t="shared" si="14"/>
        <v>4/1997</v>
      </c>
      <c r="Y256" s="1">
        <v>35558</v>
      </c>
      <c r="Z256">
        <f t="shared" si="15"/>
        <v>28</v>
      </c>
    </row>
    <row r="257" spans="19:26" x14ac:dyDescent="0.2">
      <c r="S257" s="1">
        <v>35531</v>
      </c>
      <c r="T257">
        <f t="shared" si="12"/>
        <v>4</v>
      </c>
      <c r="U257">
        <f t="shared" si="13"/>
        <v>1997</v>
      </c>
      <c r="V257" t="str">
        <f t="shared" si="14"/>
        <v>4/1997</v>
      </c>
      <c r="Y257" s="1">
        <v>35559</v>
      </c>
      <c r="Z257">
        <f t="shared" si="15"/>
        <v>28</v>
      </c>
    </row>
    <row r="258" spans="19:26" x14ac:dyDescent="0.2">
      <c r="S258" s="1">
        <v>35531</v>
      </c>
      <c r="T258">
        <f t="shared" si="12"/>
        <v>4</v>
      </c>
      <c r="U258">
        <f t="shared" si="13"/>
        <v>1997</v>
      </c>
      <c r="V258" t="str">
        <f t="shared" si="14"/>
        <v>4/1997</v>
      </c>
      <c r="Y258" s="1">
        <v>35559</v>
      </c>
      <c r="Z258">
        <f t="shared" si="15"/>
        <v>28</v>
      </c>
    </row>
    <row r="259" spans="19:26" x14ac:dyDescent="0.2">
      <c r="S259" s="1">
        <v>35534</v>
      </c>
      <c r="T259">
        <f t="shared" ref="T259:T322" si="16">MONTH(S259)</f>
        <v>4</v>
      </c>
      <c r="U259">
        <f t="shared" ref="U259:U322" si="17">YEAR(S259)</f>
        <v>1997</v>
      </c>
      <c r="V259" t="str">
        <f t="shared" ref="V259:V322" si="18">T259&amp;"/"&amp;U259</f>
        <v>4/1997</v>
      </c>
      <c r="Y259" s="1">
        <v>35562</v>
      </c>
      <c r="Z259">
        <f t="shared" ref="Z259:Z322" si="19">Y259-S259</f>
        <v>28</v>
      </c>
    </row>
    <row r="260" spans="19:26" x14ac:dyDescent="0.2">
      <c r="S260" s="1">
        <v>35535</v>
      </c>
      <c r="T260">
        <f t="shared" si="16"/>
        <v>4</v>
      </c>
      <c r="U260">
        <f t="shared" si="17"/>
        <v>1997</v>
      </c>
      <c r="V260" t="str">
        <f t="shared" si="18"/>
        <v>4/1997</v>
      </c>
      <c r="Y260" s="1">
        <v>35563</v>
      </c>
      <c r="Z260">
        <f t="shared" si="19"/>
        <v>28</v>
      </c>
    </row>
    <row r="261" spans="19:26" x14ac:dyDescent="0.2">
      <c r="S261" s="1">
        <v>35535</v>
      </c>
      <c r="T261">
        <f t="shared" si="16"/>
        <v>4</v>
      </c>
      <c r="U261">
        <f t="shared" si="17"/>
        <v>1997</v>
      </c>
      <c r="V261" t="str">
        <f t="shared" si="18"/>
        <v>4/1997</v>
      </c>
      <c r="Y261" s="1">
        <v>35563</v>
      </c>
      <c r="Z261">
        <f t="shared" si="19"/>
        <v>28</v>
      </c>
    </row>
    <row r="262" spans="19:26" x14ac:dyDescent="0.2">
      <c r="S262" s="1">
        <v>35536</v>
      </c>
      <c r="T262">
        <f t="shared" si="16"/>
        <v>4</v>
      </c>
      <c r="U262">
        <f t="shared" si="17"/>
        <v>1997</v>
      </c>
      <c r="V262" t="str">
        <f t="shared" si="18"/>
        <v>4/1997</v>
      </c>
      <c r="Y262" s="1">
        <v>35564</v>
      </c>
      <c r="Z262">
        <f t="shared" si="19"/>
        <v>28</v>
      </c>
    </row>
    <row r="263" spans="19:26" x14ac:dyDescent="0.2">
      <c r="S263" s="1">
        <v>35537</v>
      </c>
      <c r="T263">
        <f t="shared" si="16"/>
        <v>4</v>
      </c>
      <c r="U263">
        <f t="shared" si="17"/>
        <v>1997</v>
      </c>
      <c r="V263" t="str">
        <f t="shared" si="18"/>
        <v>4/1997</v>
      </c>
      <c r="Y263" s="1">
        <v>35565</v>
      </c>
      <c r="Z263">
        <f t="shared" si="19"/>
        <v>28</v>
      </c>
    </row>
    <row r="264" spans="19:26" x14ac:dyDescent="0.2">
      <c r="S264" s="1">
        <v>35538</v>
      </c>
      <c r="T264">
        <f t="shared" si="16"/>
        <v>4</v>
      </c>
      <c r="U264">
        <f t="shared" si="17"/>
        <v>1997</v>
      </c>
      <c r="V264" t="str">
        <f t="shared" si="18"/>
        <v>4/1997</v>
      </c>
      <c r="Y264" s="1">
        <v>35566</v>
      </c>
      <c r="Z264">
        <f t="shared" si="19"/>
        <v>28</v>
      </c>
    </row>
    <row r="265" spans="19:26" x14ac:dyDescent="0.2">
      <c r="S265" s="1">
        <v>35538</v>
      </c>
      <c r="T265">
        <f t="shared" si="16"/>
        <v>4</v>
      </c>
      <c r="U265">
        <f t="shared" si="17"/>
        <v>1997</v>
      </c>
      <c r="V265" t="str">
        <f t="shared" si="18"/>
        <v>4/1997</v>
      </c>
      <c r="Y265" s="1">
        <v>35566</v>
      </c>
      <c r="Z265">
        <f t="shared" si="19"/>
        <v>28</v>
      </c>
    </row>
    <row r="266" spans="19:26" x14ac:dyDescent="0.2">
      <c r="S266" s="1">
        <v>35541</v>
      </c>
      <c r="T266">
        <f t="shared" si="16"/>
        <v>4</v>
      </c>
      <c r="U266">
        <f t="shared" si="17"/>
        <v>1997</v>
      </c>
      <c r="V266" t="str">
        <f t="shared" si="18"/>
        <v>4/1997</v>
      </c>
      <c r="Y266" s="1">
        <v>35569</v>
      </c>
      <c r="Z266">
        <f t="shared" si="19"/>
        <v>28</v>
      </c>
    </row>
    <row r="267" spans="19:26" x14ac:dyDescent="0.2">
      <c r="S267" s="1">
        <v>35542</v>
      </c>
      <c r="T267">
        <f t="shared" si="16"/>
        <v>4</v>
      </c>
      <c r="U267">
        <f t="shared" si="17"/>
        <v>1997</v>
      </c>
      <c r="V267" t="str">
        <f t="shared" si="18"/>
        <v>4/1997</v>
      </c>
      <c r="Y267" s="1">
        <v>35584</v>
      </c>
      <c r="Z267">
        <f t="shared" si="19"/>
        <v>42</v>
      </c>
    </row>
    <row r="268" spans="19:26" x14ac:dyDescent="0.2">
      <c r="S268" s="1">
        <v>35542</v>
      </c>
      <c r="T268">
        <f t="shared" si="16"/>
        <v>4</v>
      </c>
      <c r="U268">
        <f t="shared" si="17"/>
        <v>1997</v>
      </c>
      <c r="V268" t="str">
        <f t="shared" si="18"/>
        <v>4/1997</v>
      </c>
      <c r="Y268" s="1">
        <v>35570</v>
      </c>
      <c r="Z268">
        <f t="shared" si="19"/>
        <v>28</v>
      </c>
    </row>
    <row r="269" spans="19:26" x14ac:dyDescent="0.2">
      <c r="S269" s="1">
        <v>35543</v>
      </c>
      <c r="T269">
        <f t="shared" si="16"/>
        <v>4</v>
      </c>
      <c r="U269">
        <f t="shared" si="17"/>
        <v>1997</v>
      </c>
      <c r="V269" t="str">
        <f t="shared" si="18"/>
        <v>4/1997</v>
      </c>
      <c r="Y269" s="1">
        <v>35557</v>
      </c>
      <c r="Z269">
        <f t="shared" si="19"/>
        <v>14</v>
      </c>
    </row>
    <row r="270" spans="19:26" x14ac:dyDescent="0.2">
      <c r="S270" s="1">
        <v>35544</v>
      </c>
      <c r="T270">
        <f t="shared" si="16"/>
        <v>4</v>
      </c>
      <c r="U270">
        <f t="shared" si="17"/>
        <v>1997</v>
      </c>
      <c r="V270" t="str">
        <f t="shared" si="18"/>
        <v>4/1997</v>
      </c>
      <c r="Y270" s="1">
        <v>35572</v>
      </c>
      <c r="Z270">
        <f t="shared" si="19"/>
        <v>28</v>
      </c>
    </row>
    <row r="271" spans="19:26" x14ac:dyDescent="0.2">
      <c r="S271" s="1">
        <v>35544</v>
      </c>
      <c r="T271">
        <f t="shared" si="16"/>
        <v>4</v>
      </c>
      <c r="U271">
        <f t="shared" si="17"/>
        <v>1997</v>
      </c>
      <c r="V271" t="str">
        <f t="shared" si="18"/>
        <v>4/1997</v>
      </c>
      <c r="Y271" s="1">
        <v>35572</v>
      </c>
      <c r="Z271">
        <f t="shared" si="19"/>
        <v>28</v>
      </c>
    </row>
    <row r="272" spans="19:26" x14ac:dyDescent="0.2">
      <c r="S272" s="1">
        <v>35545</v>
      </c>
      <c r="T272">
        <f t="shared" si="16"/>
        <v>4</v>
      </c>
      <c r="U272">
        <f t="shared" si="17"/>
        <v>1997</v>
      </c>
      <c r="V272" t="str">
        <f t="shared" si="18"/>
        <v>4/1997</v>
      </c>
      <c r="Y272" s="1">
        <v>35559</v>
      </c>
      <c r="Z272">
        <f t="shared" si="19"/>
        <v>14</v>
      </c>
    </row>
    <row r="273" spans="19:26" x14ac:dyDescent="0.2">
      <c r="S273" s="1">
        <v>35548</v>
      </c>
      <c r="T273">
        <f t="shared" si="16"/>
        <v>4</v>
      </c>
      <c r="U273">
        <f t="shared" si="17"/>
        <v>1997</v>
      </c>
      <c r="V273" t="str">
        <f t="shared" si="18"/>
        <v>4/1997</v>
      </c>
      <c r="Y273" s="1">
        <v>35576</v>
      </c>
      <c r="Z273">
        <f t="shared" si="19"/>
        <v>28</v>
      </c>
    </row>
    <row r="274" spans="19:26" x14ac:dyDescent="0.2">
      <c r="S274" s="1">
        <v>35549</v>
      </c>
      <c r="T274">
        <f t="shared" si="16"/>
        <v>4</v>
      </c>
      <c r="U274">
        <f t="shared" si="17"/>
        <v>1997</v>
      </c>
      <c r="V274" t="str">
        <f t="shared" si="18"/>
        <v>4/1997</v>
      </c>
      <c r="Y274" s="1">
        <v>35577</v>
      </c>
      <c r="Z274">
        <f t="shared" si="19"/>
        <v>28</v>
      </c>
    </row>
    <row r="275" spans="19:26" x14ac:dyDescent="0.2">
      <c r="S275" s="1">
        <v>35549</v>
      </c>
      <c r="T275">
        <f t="shared" si="16"/>
        <v>4</v>
      </c>
      <c r="U275">
        <f t="shared" si="17"/>
        <v>1997</v>
      </c>
      <c r="V275" t="str">
        <f t="shared" si="18"/>
        <v>4/1997</v>
      </c>
      <c r="Y275" s="1">
        <v>35577</v>
      </c>
      <c r="Z275">
        <f t="shared" si="19"/>
        <v>28</v>
      </c>
    </row>
    <row r="276" spans="19:26" x14ac:dyDescent="0.2">
      <c r="S276" s="1">
        <v>35550</v>
      </c>
      <c r="T276">
        <f t="shared" si="16"/>
        <v>4</v>
      </c>
      <c r="U276">
        <f t="shared" si="17"/>
        <v>1997</v>
      </c>
      <c r="V276" t="str">
        <f t="shared" si="18"/>
        <v>4/1997</v>
      </c>
      <c r="Y276" s="1">
        <v>35578</v>
      </c>
      <c r="Z276">
        <f t="shared" si="19"/>
        <v>28</v>
      </c>
    </row>
    <row r="277" spans="19:26" x14ac:dyDescent="0.2">
      <c r="S277" s="1">
        <v>35551</v>
      </c>
      <c r="T277">
        <f t="shared" si="16"/>
        <v>5</v>
      </c>
      <c r="U277">
        <f t="shared" si="17"/>
        <v>1997</v>
      </c>
      <c r="V277" t="str">
        <f t="shared" si="18"/>
        <v>5/1997</v>
      </c>
      <c r="Y277" s="1">
        <v>35579</v>
      </c>
      <c r="Z277">
        <f t="shared" si="19"/>
        <v>28</v>
      </c>
    </row>
    <row r="278" spans="19:26" x14ac:dyDescent="0.2">
      <c r="S278" s="1">
        <v>35551</v>
      </c>
      <c r="T278">
        <f t="shared" si="16"/>
        <v>5</v>
      </c>
      <c r="U278">
        <f t="shared" si="17"/>
        <v>1997</v>
      </c>
      <c r="V278" t="str">
        <f t="shared" si="18"/>
        <v>5/1997</v>
      </c>
      <c r="Y278" s="1">
        <v>35579</v>
      </c>
      <c r="Z278">
        <f t="shared" si="19"/>
        <v>28</v>
      </c>
    </row>
    <row r="279" spans="19:26" x14ac:dyDescent="0.2">
      <c r="S279" s="1">
        <v>35552</v>
      </c>
      <c r="T279">
        <f t="shared" si="16"/>
        <v>5</v>
      </c>
      <c r="U279">
        <f t="shared" si="17"/>
        <v>1997</v>
      </c>
      <c r="V279" t="str">
        <f t="shared" si="18"/>
        <v>5/1997</v>
      </c>
      <c r="Y279" s="1">
        <v>35580</v>
      </c>
      <c r="Z279">
        <f t="shared" si="19"/>
        <v>28</v>
      </c>
    </row>
    <row r="280" spans="19:26" x14ac:dyDescent="0.2">
      <c r="S280" s="1">
        <v>35555</v>
      </c>
      <c r="T280">
        <f t="shared" si="16"/>
        <v>5</v>
      </c>
      <c r="U280">
        <f t="shared" si="17"/>
        <v>1997</v>
      </c>
      <c r="V280" t="str">
        <f t="shared" si="18"/>
        <v>5/1997</v>
      </c>
      <c r="Y280" s="1">
        <v>35583</v>
      </c>
      <c r="Z280">
        <f t="shared" si="19"/>
        <v>28</v>
      </c>
    </row>
    <row r="281" spans="19:26" x14ac:dyDescent="0.2">
      <c r="S281" s="1">
        <v>35555</v>
      </c>
      <c r="T281">
        <f t="shared" si="16"/>
        <v>5</v>
      </c>
      <c r="U281">
        <f t="shared" si="17"/>
        <v>1997</v>
      </c>
      <c r="V281" t="str">
        <f t="shared" si="18"/>
        <v>5/1997</v>
      </c>
      <c r="Y281" s="1">
        <v>35583</v>
      </c>
      <c r="Z281">
        <f t="shared" si="19"/>
        <v>28</v>
      </c>
    </row>
    <row r="282" spans="19:26" x14ac:dyDescent="0.2">
      <c r="S282" s="1">
        <v>35556</v>
      </c>
      <c r="T282">
        <f t="shared" si="16"/>
        <v>5</v>
      </c>
      <c r="U282">
        <f t="shared" si="17"/>
        <v>1997</v>
      </c>
      <c r="V282" t="str">
        <f t="shared" si="18"/>
        <v>5/1997</v>
      </c>
      <c r="Y282" s="1">
        <v>35570</v>
      </c>
      <c r="Z282">
        <f t="shared" si="19"/>
        <v>14</v>
      </c>
    </row>
    <row r="283" spans="19:26" x14ac:dyDescent="0.2">
      <c r="S283" s="1">
        <v>35557</v>
      </c>
      <c r="T283">
        <f t="shared" si="16"/>
        <v>5</v>
      </c>
      <c r="U283">
        <f t="shared" si="17"/>
        <v>1997</v>
      </c>
      <c r="V283" t="str">
        <f t="shared" si="18"/>
        <v>5/1997</v>
      </c>
      <c r="Y283" s="1">
        <v>35585</v>
      </c>
      <c r="Z283">
        <f t="shared" si="19"/>
        <v>28</v>
      </c>
    </row>
    <row r="284" spans="19:26" x14ac:dyDescent="0.2">
      <c r="S284" s="1">
        <v>35558</v>
      </c>
      <c r="T284">
        <f t="shared" si="16"/>
        <v>5</v>
      </c>
      <c r="U284">
        <f t="shared" si="17"/>
        <v>1997</v>
      </c>
      <c r="V284" t="str">
        <f t="shared" si="18"/>
        <v>5/1997</v>
      </c>
      <c r="Y284" s="1">
        <v>35586</v>
      </c>
      <c r="Z284">
        <f t="shared" si="19"/>
        <v>28</v>
      </c>
    </row>
    <row r="285" spans="19:26" x14ac:dyDescent="0.2">
      <c r="S285" s="1">
        <v>35558</v>
      </c>
      <c r="T285">
        <f t="shared" si="16"/>
        <v>5</v>
      </c>
      <c r="U285">
        <f t="shared" si="17"/>
        <v>1997</v>
      </c>
      <c r="V285" t="str">
        <f t="shared" si="18"/>
        <v>5/1997</v>
      </c>
      <c r="Y285" s="1">
        <v>35586</v>
      </c>
      <c r="Z285">
        <f t="shared" si="19"/>
        <v>28</v>
      </c>
    </row>
    <row r="286" spans="19:26" x14ac:dyDescent="0.2">
      <c r="S286" s="1">
        <v>35559</v>
      </c>
      <c r="T286">
        <f t="shared" si="16"/>
        <v>5</v>
      </c>
      <c r="U286">
        <f t="shared" si="17"/>
        <v>1997</v>
      </c>
      <c r="V286" t="str">
        <f t="shared" si="18"/>
        <v>5/1997</v>
      </c>
      <c r="Y286" s="1">
        <v>35587</v>
      </c>
      <c r="Z286">
        <f t="shared" si="19"/>
        <v>28</v>
      </c>
    </row>
    <row r="287" spans="19:26" x14ac:dyDescent="0.2">
      <c r="S287" s="1">
        <v>35562</v>
      </c>
      <c r="T287">
        <f t="shared" si="16"/>
        <v>5</v>
      </c>
      <c r="U287">
        <f t="shared" si="17"/>
        <v>1997</v>
      </c>
      <c r="V287" t="str">
        <f t="shared" si="18"/>
        <v>5/1997</v>
      </c>
      <c r="Y287" s="1">
        <v>35590</v>
      </c>
      <c r="Z287">
        <f t="shared" si="19"/>
        <v>28</v>
      </c>
    </row>
    <row r="288" spans="19:26" x14ac:dyDescent="0.2">
      <c r="S288" s="1">
        <v>35562</v>
      </c>
      <c r="T288">
        <f t="shared" si="16"/>
        <v>5</v>
      </c>
      <c r="U288">
        <f t="shared" si="17"/>
        <v>1997</v>
      </c>
      <c r="V288" t="str">
        <f t="shared" si="18"/>
        <v>5/1997</v>
      </c>
      <c r="Y288" s="1">
        <v>35590</v>
      </c>
      <c r="Z288">
        <f t="shared" si="19"/>
        <v>28</v>
      </c>
    </row>
    <row r="289" spans="19:26" x14ac:dyDescent="0.2">
      <c r="S289" s="1">
        <v>35563</v>
      </c>
      <c r="T289">
        <f t="shared" si="16"/>
        <v>5</v>
      </c>
      <c r="U289">
        <f t="shared" si="17"/>
        <v>1997</v>
      </c>
      <c r="V289" t="str">
        <f t="shared" si="18"/>
        <v>5/1997</v>
      </c>
      <c r="Y289" s="1">
        <v>35591</v>
      </c>
      <c r="Z289">
        <f t="shared" si="19"/>
        <v>28</v>
      </c>
    </row>
    <row r="290" spans="19:26" x14ac:dyDescent="0.2">
      <c r="S290" s="1">
        <v>35564</v>
      </c>
      <c r="T290">
        <f t="shared" si="16"/>
        <v>5</v>
      </c>
      <c r="U290">
        <f t="shared" si="17"/>
        <v>1997</v>
      </c>
      <c r="V290" t="str">
        <f t="shared" si="18"/>
        <v>5/1997</v>
      </c>
      <c r="Y290" s="1">
        <v>35592</v>
      </c>
      <c r="Z290">
        <f t="shared" si="19"/>
        <v>28</v>
      </c>
    </row>
    <row r="291" spans="19:26" x14ac:dyDescent="0.2">
      <c r="S291" s="1">
        <v>35564</v>
      </c>
      <c r="T291">
        <f t="shared" si="16"/>
        <v>5</v>
      </c>
      <c r="U291">
        <f t="shared" si="17"/>
        <v>1997</v>
      </c>
      <c r="V291" t="str">
        <f t="shared" si="18"/>
        <v>5/1997</v>
      </c>
      <c r="Y291" s="1">
        <v>35578</v>
      </c>
      <c r="Z291">
        <f t="shared" si="19"/>
        <v>14</v>
      </c>
    </row>
    <row r="292" spans="19:26" x14ac:dyDescent="0.2">
      <c r="S292" s="1">
        <v>35565</v>
      </c>
      <c r="T292">
        <f t="shared" si="16"/>
        <v>5</v>
      </c>
      <c r="U292">
        <f t="shared" si="17"/>
        <v>1997</v>
      </c>
      <c r="V292" t="str">
        <f t="shared" si="18"/>
        <v>5/1997</v>
      </c>
      <c r="Y292" s="1">
        <v>35593</v>
      </c>
      <c r="Z292">
        <f t="shared" si="19"/>
        <v>28</v>
      </c>
    </row>
    <row r="293" spans="19:26" x14ac:dyDescent="0.2">
      <c r="S293" s="1">
        <v>35566</v>
      </c>
      <c r="T293">
        <f t="shared" si="16"/>
        <v>5</v>
      </c>
      <c r="U293">
        <f t="shared" si="17"/>
        <v>1997</v>
      </c>
      <c r="V293" t="str">
        <f t="shared" si="18"/>
        <v>5/1997</v>
      </c>
      <c r="Y293" s="1">
        <v>35594</v>
      </c>
      <c r="Z293">
        <f t="shared" si="19"/>
        <v>28</v>
      </c>
    </row>
    <row r="294" spans="19:26" x14ac:dyDescent="0.2">
      <c r="S294" s="1">
        <v>35569</v>
      </c>
      <c r="T294">
        <f t="shared" si="16"/>
        <v>5</v>
      </c>
      <c r="U294">
        <f t="shared" si="17"/>
        <v>1997</v>
      </c>
      <c r="V294" t="str">
        <f t="shared" si="18"/>
        <v>5/1997</v>
      </c>
      <c r="Y294" s="1">
        <v>35597</v>
      </c>
      <c r="Z294">
        <f t="shared" si="19"/>
        <v>28</v>
      </c>
    </row>
    <row r="295" spans="19:26" x14ac:dyDescent="0.2">
      <c r="S295" s="1">
        <v>35569</v>
      </c>
      <c r="T295">
        <f t="shared" si="16"/>
        <v>5</v>
      </c>
      <c r="U295">
        <f t="shared" si="17"/>
        <v>1997</v>
      </c>
      <c r="V295" t="str">
        <f t="shared" si="18"/>
        <v>5/1997</v>
      </c>
      <c r="Y295" s="1">
        <v>35597</v>
      </c>
      <c r="Z295">
        <f t="shared" si="19"/>
        <v>28</v>
      </c>
    </row>
    <row r="296" spans="19:26" x14ac:dyDescent="0.2">
      <c r="S296" s="1">
        <v>35570</v>
      </c>
      <c r="T296">
        <f t="shared" si="16"/>
        <v>5</v>
      </c>
      <c r="U296">
        <f t="shared" si="17"/>
        <v>1997</v>
      </c>
      <c r="V296" t="str">
        <f t="shared" si="18"/>
        <v>5/1997</v>
      </c>
      <c r="Y296" s="1">
        <v>35598</v>
      </c>
      <c r="Z296">
        <f t="shared" si="19"/>
        <v>28</v>
      </c>
    </row>
    <row r="297" spans="19:26" x14ac:dyDescent="0.2">
      <c r="S297" s="1">
        <v>35571</v>
      </c>
      <c r="T297">
        <f t="shared" si="16"/>
        <v>5</v>
      </c>
      <c r="U297">
        <f t="shared" si="17"/>
        <v>1997</v>
      </c>
      <c r="V297" t="str">
        <f t="shared" si="18"/>
        <v>5/1997</v>
      </c>
      <c r="Y297" s="1">
        <v>35599</v>
      </c>
      <c r="Z297">
        <f t="shared" si="19"/>
        <v>28</v>
      </c>
    </row>
    <row r="298" spans="19:26" x14ac:dyDescent="0.2">
      <c r="S298" s="1">
        <v>35571</v>
      </c>
      <c r="T298">
        <f t="shared" si="16"/>
        <v>5</v>
      </c>
      <c r="U298">
        <f t="shared" si="17"/>
        <v>1997</v>
      </c>
      <c r="V298" t="str">
        <f t="shared" si="18"/>
        <v>5/1997</v>
      </c>
      <c r="Y298" s="1">
        <v>35599</v>
      </c>
      <c r="Z298">
        <f t="shared" si="19"/>
        <v>28</v>
      </c>
    </row>
    <row r="299" spans="19:26" x14ac:dyDescent="0.2">
      <c r="S299" s="1">
        <v>35572</v>
      </c>
      <c r="T299">
        <f t="shared" si="16"/>
        <v>5</v>
      </c>
      <c r="U299">
        <f t="shared" si="17"/>
        <v>1997</v>
      </c>
      <c r="V299" t="str">
        <f t="shared" si="18"/>
        <v>5/1997</v>
      </c>
      <c r="Y299" s="1">
        <v>35600</v>
      </c>
      <c r="Z299">
        <f t="shared" si="19"/>
        <v>28</v>
      </c>
    </row>
    <row r="300" spans="19:26" x14ac:dyDescent="0.2">
      <c r="S300" s="1">
        <v>35573</v>
      </c>
      <c r="T300">
        <f t="shared" si="16"/>
        <v>5</v>
      </c>
      <c r="U300">
        <f t="shared" si="17"/>
        <v>1997</v>
      </c>
      <c r="V300" t="str">
        <f t="shared" si="18"/>
        <v>5/1997</v>
      </c>
      <c r="Y300" s="1">
        <v>35601</v>
      </c>
      <c r="Z300">
        <f t="shared" si="19"/>
        <v>28</v>
      </c>
    </row>
    <row r="301" spans="19:26" x14ac:dyDescent="0.2">
      <c r="S301" s="1">
        <v>35573</v>
      </c>
      <c r="T301">
        <f t="shared" si="16"/>
        <v>5</v>
      </c>
      <c r="U301">
        <f t="shared" si="17"/>
        <v>1997</v>
      </c>
      <c r="V301" t="str">
        <f t="shared" si="18"/>
        <v>5/1997</v>
      </c>
      <c r="Y301" s="1">
        <v>35601</v>
      </c>
      <c r="Z301">
        <f t="shared" si="19"/>
        <v>28</v>
      </c>
    </row>
    <row r="302" spans="19:26" x14ac:dyDescent="0.2">
      <c r="S302" s="1">
        <v>35576</v>
      </c>
      <c r="T302">
        <f t="shared" si="16"/>
        <v>5</v>
      </c>
      <c r="U302">
        <f t="shared" si="17"/>
        <v>1997</v>
      </c>
      <c r="V302" t="str">
        <f t="shared" si="18"/>
        <v>5/1997</v>
      </c>
      <c r="Y302" s="1">
        <v>35604</v>
      </c>
      <c r="Z302">
        <f t="shared" si="19"/>
        <v>28</v>
      </c>
    </row>
    <row r="303" spans="19:26" x14ac:dyDescent="0.2">
      <c r="S303" s="1">
        <v>35577</v>
      </c>
      <c r="T303">
        <f t="shared" si="16"/>
        <v>5</v>
      </c>
      <c r="U303">
        <f t="shared" si="17"/>
        <v>1997</v>
      </c>
      <c r="V303" t="str">
        <f t="shared" si="18"/>
        <v>5/1997</v>
      </c>
      <c r="Y303" s="1">
        <v>35591</v>
      </c>
      <c r="Z303">
        <f t="shared" si="19"/>
        <v>14</v>
      </c>
    </row>
    <row r="304" spans="19:26" x14ac:dyDescent="0.2">
      <c r="S304" s="1">
        <v>35578</v>
      </c>
      <c r="T304">
        <f t="shared" si="16"/>
        <v>5</v>
      </c>
      <c r="U304">
        <f t="shared" si="17"/>
        <v>1997</v>
      </c>
      <c r="V304" t="str">
        <f t="shared" si="18"/>
        <v>5/1997</v>
      </c>
      <c r="Y304" s="1">
        <v>35606</v>
      </c>
      <c r="Z304">
        <f t="shared" si="19"/>
        <v>28</v>
      </c>
    </row>
    <row r="305" spans="19:26" x14ac:dyDescent="0.2">
      <c r="S305" s="1">
        <v>35578</v>
      </c>
      <c r="T305">
        <f t="shared" si="16"/>
        <v>5</v>
      </c>
      <c r="U305">
        <f t="shared" si="17"/>
        <v>1997</v>
      </c>
      <c r="V305" t="str">
        <f t="shared" si="18"/>
        <v>5/1997</v>
      </c>
      <c r="Y305" s="1">
        <v>35620</v>
      </c>
      <c r="Z305">
        <f t="shared" si="19"/>
        <v>42</v>
      </c>
    </row>
    <row r="306" spans="19:26" x14ac:dyDescent="0.2">
      <c r="S306" s="1">
        <v>35579</v>
      </c>
      <c r="T306">
        <f t="shared" si="16"/>
        <v>5</v>
      </c>
      <c r="U306">
        <f t="shared" si="17"/>
        <v>1997</v>
      </c>
      <c r="V306" t="str">
        <f t="shared" si="18"/>
        <v>5/1997</v>
      </c>
      <c r="Y306" s="1">
        <v>35607</v>
      </c>
      <c r="Z306">
        <f t="shared" si="19"/>
        <v>28</v>
      </c>
    </row>
    <row r="307" spans="19:26" x14ac:dyDescent="0.2">
      <c r="S307" s="1">
        <v>35580</v>
      </c>
      <c r="T307">
        <f t="shared" si="16"/>
        <v>5</v>
      </c>
      <c r="U307">
        <f t="shared" si="17"/>
        <v>1997</v>
      </c>
      <c r="V307" t="str">
        <f t="shared" si="18"/>
        <v>5/1997</v>
      </c>
      <c r="Y307" s="1">
        <v>35608</v>
      </c>
      <c r="Z307">
        <f t="shared" si="19"/>
        <v>28</v>
      </c>
    </row>
    <row r="308" spans="19:26" x14ac:dyDescent="0.2">
      <c r="S308" s="1">
        <v>35580</v>
      </c>
      <c r="T308">
        <f t="shared" si="16"/>
        <v>5</v>
      </c>
      <c r="U308">
        <f t="shared" si="17"/>
        <v>1997</v>
      </c>
      <c r="V308" t="str">
        <f t="shared" si="18"/>
        <v>5/1997</v>
      </c>
      <c r="Y308" s="1">
        <v>35608</v>
      </c>
      <c r="Z308">
        <f t="shared" si="19"/>
        <v>28</v>
      </c>
    </row>
    <row r="309" spans="19:26" x14ac:dyDescent="0.2">
      <c r="S309" s="1">
        <v>35583</v>
      </c>
      <c r="T309">
        <f t="shared" si="16"/>
        <v>6</v>
      </c>
      <c r="U309">
        <f t="shared" si="17"/>
        <v>1997</v>
      </c>
      <c r="V309" t="str">
        <f t="shared" si="18"/>
        <v>6/1997</v>
      </c>
      <c r="Y309" s="1">
        <v>35611</v>
      </c>
      <c r="Z309">
        <f t="shared" si="19"/>
        <v>28</v>
      </c>
    </row>
    <row r="310" spans="19:26" x14ac:dyDescent="0.2">
      <c r="S310" s="1">
        <v>35584</v>
      </c>
      <c r="T310">
        <f t="shared" si="16"/>
        <v>6</v>
      </c>
      <c r="U310">
        <f t="shared" si="17"/>
        <v>1997</v>
      </c>
      <c r="V310" t="str">
        <f t="shared" si="18"/>
        <v>6/1997</v>
      </c>
      <c r="Y310" s="1">
        <v>35626</v>
      </c>
      <c r="Z310">
        <f t="shared" si="19"/>
        <v>42</v>
      </c>
    </row>
    <row r="311" spans="19:26" x14ac:dyDescent="0.2">
      <c r="S311" s="1">
        <v>35584</v>
      </c>
      <c r="T311">
        <f t="shared" si="16"/>
        <v>6</v>
      </c>
      <c r="U311">
        <f t="shared" si="17"/>
        <v>1997</v>
      </c>
      <c r="V311" t="str">
        <f t="shared" si="18"/>
        <v>6/1997</v>
      </c>
      <c r="Y311" s="1">
        <v>35598</v>
      </c>
      <c r="Z311">
        <f t="shared" si="19"/>
        <v>14</v>
      </c>
    </row>
    <row r="312" spans="19:26" x14ac:dyDescent="0.2">
      <c r="S312" s="1">
        <v>35585</v>
      </c>
      <c r="T312">
        <f t="shared" si="16"/>
        <v>6</v>
      </c>
      <c r="U312">
        <f t="shared" si="17"/>
        <v>1997</v>
      </c>
      <c r="V312" t="str">
        <f t="shared" si="18"/>
        <v>6/1997</v>
      </c>
      <c r="Y312" s="1">
        <v>35613</v>
      </c>
      <c r="Z312">
        <f t="shared" si="19"/>
        <v>28</v>
      </c>
    </row>
    <row r="313" spans="19:26" x14ac:dyDescent="0.2">
      <c r="S313" s="1">
        <v>35586</v>
      </c>
      <c r="T313">
        <f t="shared" si="16"/>
        <v>6</v>
      </c>
      <c r="U313">
        <f t="shared" si="17"/>
        <v>1997</v>
      </c>
      <c r="V313" t="str">
        <f t="shared" si="18"/>
        <v>6/1997</v>
      </c>
      <c r="Y313" s="1">
        <v>35614</v>
      </c>
      <c r="Z313">
        <f t="shared" si="19"/>
        <v>28</v>
      </c>
    </row>
    <row r="314" spans="19:26" x14ac:dyDescent="0.2">
      <c r="S314" s="1">
        <v>35587</v>
      </c>
      <c r="T314">
        <f t="shared" si="16"/>
        <v>6</v>
      </c>
      <c r="U314">
        <f t="shared" si="17"/>
        <v>1997</v>
      </c>
      <c r="V314" t="str">
        <f t="shared" si="18"/>
        <v>6/1997</v>
      </c>
      <c r="Y314" s="1">
        <v>35615</v>
      </c>
      <c r="Z314">
        <f t="shared" si="19"/>
        <v>28</v>
      </c>
    </row>
    <row r="315" spans="19:26" x14ac:dyDescent="0.2">
      <c r="S315" s="1">
        <v>35587</v>
      </c>
      <c r="T315">
        <f t="shared" si="16"/>
        <v>6</v>
      </c>
      <c r="U315">
        <f t="shared" si="17"/>
        <v>1997</v>
      </c>
      <c r="V315" t="str">
        <f t="shared" si="18"/>
        <v>6/1997</v>
      </c>
      <c r="Y315" s="1">
        <v>35615</v>
      </c>
      <c r="Z315">
        <f t="shared" si="19"/>
        <v>28</v>
      </c>
    </row>
    <row r="316" spans="19:26" x14ac:dyDescent="0.2">
      <c r="S316" s="1">
        <v>35590</v>
      </c>
      <c r="T316">
        <f t="shared" si="16"/>
        <v>6</v>
      </c>
      <c r="U316">
        <f t="shared" si="17"/>
        <v>1997</v>
      </c>
      <c r="V316" t="str">
        <f t="shared" si="18"/>
        <v>6/1997</v>
      </c>
      <c r="Y316" s="1">
        <v>35618</v>
      </c>
      <c r="Z316">
        <f t="shared" si="19"/>
        <v>28</v>
      </c>
    </row>
    <row r="317" spans="19:26" x14ac:dyDescent="0.2">
      <c r="S317" s="1">
        <v>35591</v>
      </c>
      <c r="T317">
        <f t="shared" si="16"/>
        <v>6</v>
      </c>
      <c r="U317">
        <f t="shared" si="17"/>
        <v>1997</v>
      </c>
      <c r="V317" t="str">
        <f t="shared" si="18"/>
        <v>6/1997</v>
      </c>
      <c r="Y317" s="1">
        <v>35633</v>
      </c>
      <c r="Z317">
        <f t="shared" si="19"/>
        <v>42</v>
      </c>
    </row>
    <row r="318" spans="19:26" x14ac:dyDescent="0.2">
      <c r="S318" s="1">
        <v>35591</v>
      </c>
      <c r="T318">
        <f t="shared" si="16"/>
        <v>6</v>
      </c>
      <c r="U318">
        <f t="shared" si="17"/>
        <v>1997</v>
      </c>
      <c r="V318" t="str">
        <f t="shared" si="18"/>
        <v>6/1997</v>
      </c>
      <c r="Y318" s="1">
        <v>35619</v>
      </c>
      <c r="Z318">
        <f t="shared" si="19"/>
        <v>28</v>
      </c>
    </row>
    <row r="319" spans="19:26" x14ac:dyDescent="0.2">
      <c r="S319" s="1">
        <v>35592</v>
      </c>
      <c r="T319">
        <f t="shared" si="16"/>
        <v>6</v>
      </c>
      <c r="U319">
        <f t="shared" si="17"/>
        <v>1997</v>
      </c>
      <c r="V319" t="str">
        <f t="shared" si="18"/>
        <v>6/1997</v>
      </c>
      <c r="Y319" s="1">
        <v>35620</v>
      </c>
      <c r="Z319">
        <f t="shared" si="19"/>
        <v>28</v>
      </c>
    </row>
    <row r="320" spans="19:26" x14ac:dyDescent="0.2">
      <c r="S320" s="1">
        <v>35593</v>
      </c>
      <c r="T320">
        <f t="shared" si="16"/>
        <v>6</v>
      </c>
      <c r="U320">
        <f t="shared" si="17"/>
        <v>1997</v>
      </c>
      <c r="V320" t="str">
        <f t="shared" si="18"/>
        <v>6/1997</v>
      </c>
      <c r="Y320" s="1">
        <v>35621</v>
      </c>
      <c r="Z320">
        <f t="shared" si="19"/>
        <v>28</v>
      </c>
    </row>
    <row r="321" spans="19:26" x14ac:dyDescent="0.2">
      <c r="S321" s="1">
        <v>35593</v>
      </c>
      <c r="T321">
        <f t="shared" si="16"/>
        <v>6</v>
      </c>
      <c r="U321">
        <f t="shared" si="17"/>
        <v>1997</v>
      </c>
      <c r="V321" t="str">
        <f t="shared" si="18"/>
        <v>6/1997</v>
      </c>
      <c r="Y321" s="1">
        <v>35621</v>
      </c>
      <c r="Z321">
        <f t="shared" si="19"/>
        <v>28</v>
      </c>
    </row>
    <row r="322" spans="19:26" x14ac:dyDescent="0.2">
      <c r="S322" s="1">
        <v>35594</v>
      </c>
      <c r="T322">
        <f t="shared" si="16"/>
        <v>6</v>
      </c>
      <c r="U322">
        <f t="shared" si="17"/>
        <v>1997</v>
      </c>
      <c r="V322" t="str">
        <f t="shared" si="18"/>
        <v>6/1997</v>
      </c>
      <c r="Y322" s="1">
        <v>35622</v>
      </c>
      <c r="Z322">
        <f t="shared" si="19"/>
        <v>28</v>
      </c>
    </row>
    <row r="323" spans="19:26" x14ac:dyDescent="0.2">
      <c r="S323" s="1">
        <v>35597</v>
      </c>
      <c r="T323">
        <f t="shared" ref="T323:T386" si="20">MONTH(S323)</f>
        <v>6</v>
      </c>
      <c r="U323">
        <f t="shared" ref="U323:U386" si="21">YEAR(S323)</f>
        <v>1997</v>
      </c>
      <c r="V323" t="str">
        <f t="shared" ref="V323:V386" si="22">T323&amp;"/"&amp;U323</f>
        <v>6/1997</v>
      </c>
      <c r="Y323" s="1">
        <v>35625</v>
      </c>
      <c r="Z323">
        <f t="shared" ref="Z323:Z386" si="23">Y323-S323</f>
        <v>28</v>
      </c>
    </row>
    <row r="324" spans="19:26" x14ac:dyDescent="0.2">
      <c r="S324" s="1">
        <v>35598</v>
      </c>
      <c r="T324">
        <f t="shared" si="20"/>
        <v>6</v>
      </c>
      <c r="U324">
        <f t="shared" si="21"/>
        <v>1997</v>
      </c>
      <c r="V324" t="str">
        <f t="shared" si="22"/>
        <v>6/1997</v>
      </c>
      <c r="Y324" s="1">
        <v>35626</v>
      </c>
      <c r="Z324">
        <f t="shared" si="23"/>
        <v>28</v>
      </c>
    </row>
    <row r="325" spans="19:26" x14ac:dyDescent="0.2">
      <c r="S325" s="1">
        <v>35598</v>
      </c>
      <c r="T325">
        <f t="shared" si="20"/>
        <v>6</v>
      </c>
      <c r="U325">
        <f t="shared" si="21"/>
        <v>1997</v>
      </c>
      <c r="V325" t="str">
        <f t="shared" si="22"/>
        <v>6/1997</v>
      </c>
      <c r="Y325" s="1">
        <v>35640</v>
      </c>
      <c r="Z325">
        <f t="shared" si="23"/>
        <v>42</v>
      </c>
    </row>
    <row r="326" spans="19:26" x14ac:dyDescent="0.2">
      <c r="S326" s="1">
        <v>35599</v>
      </c>
      <c r="T326">
        <f t="shared" si="20"/>
        <v>6</v>
      </c>
      <c r="U326">
        <f t="shared" si="21"/>
        <v>1997</v>
      </c>
      <c r="V326" t="str">
        <f t="shared" si="22"/>
        <v>6/1997</v>
      </c>
      <c r="Y326" s="1">
        <v>35627</v>
      </c>
      <c r="Z326">
        <f t="shared" si="23"/>
        <v>28</v>
      </c>
    </row>
    <row r="327" spans="19:26" x14ac:dyDescent="0.2">
      <c r="S327" s="1">
        <v>35600</v>
      </c>
      <c r="T327">
        <f t="shared" si="20"/>
        <v>6</v>
      </c>
      <c r="U327">
        <f t="shared" si="21"/>
        <v>1997</v>
      </c>
      <c r="V327" t="str">
        <f t="shared" si="22"/>
        <v>6/1997</v>
      </c>
      <c r="Y327" s="1">
        <v>35628</v>
      </c>
      <c r="Z327">
        <f t="shared" si="23"/>
        <v>28</v>
      </c>
    </row>
    <row r="328" spans="19:26" x14ac:dyDescent="0.2">
      <c r="S328" s="1">
        <v>35600</v>
      </c>
      <c r="T328">
        <f t="shared" si="20"/>
        <v>6</v>
      </c>
      <c r="U328">
        <f t="shared" si="21"/>
        <v>1997</v>
      </c>
      <c r="V328" t="str">
        <f t="shared" si="22"/>
        <v>6/1997</v>
      </c>
      <c r="Y328" s="1">
        <v>35628</v>
      </c>
      <c r="Z328">
        <f t="shared" si="23"/>
        <v>28</v>
      </c>
    </row>
    <row r="329" spans="19:26" x14ac:dyDescent="0.2">
      <c r="S329" s="1">
        <v>35601</v>
      </c>
      <c r="T329">
        <f t="shared" si="20"/>
        <v>6</v>
      </c>
      <c r="U329">
        <f t="shared" si="21"/>
        <v>1997</v>
      </c>
      <c r="V329" t="str">
        <f t="shared" si="22"/>
        <v>6/1997</v>
      </c>
      <c r="Y329" s="1">
        <v>35615</v>
      </c>
      <c r="Z329">
        <f t="shared" si="23"/>
        <v>14</v>
      </c>
    </row>
    <row r="330" spans="19:26" x14ac:dyDescent="0.2">
      <c r="S330" s="1">
        <v>35604</v>
      </c>
      <c r="T330">
        <f t="shared" si="20"/>
        <v>6</v>
      </c>
      <c r="U330">
        <f t="shared" si="21"/>
        <v>1997</v>
      </c>
      <c r="V330" t="str">
        <f t="shared" si="22"/>
        <v>6/1997</v>
      </c>
      <c r="Y330" s="1">
        <v>35618</v>
      </c>
      <c r="Z330">
        <f t="shared" si="23"/>
        <v>14</v>
      </c>
    </row>
    <row r="331" spans="19:26" x14ac:dyDescent="0.2">
      <c r="S331" s="1">
        <v>35604</v>
      </c>
      <c r="T331">
        <f t="shared" si="20"/>
        <v>6</v>
      </c>
      <c r="U331">
        <f t="shared" si="21"/>
        <v>1997</v>
      </c>
      <c r="V331" t="str">
        <f t="shared" si="22"/>
        <v>6/1997</v>
      </c>
      <c r="Y331" s="1">
        <v>35646</v>
      </c>
      <c r="Z331">
        <f t="shared" si="23"/>
        <v>42</v>
      </c>
    </row>
    <row r="332" spans="19:26" x14ac:dyDescent="0.2">
      <c r="S332" s="1">
        <v>35605</v>
      </c>
      <c r="T332">
        <f t="shared" si="20"/>
        <v>6</v>
      </c>
      <c r="U332">
        <f t="shared" si="21"/>
        <v>1997</v>
      </c>
      <c r="V332" t="str">
        <f t="shared" si="22"/>
        <v>6/1997</v>
      </c>
      <c r="Y332" s="1">
        <v>35633</v>
      </c>
      <c r="Z332">
        <f t="shared" si="23"/>
        <v>28</v>
      </c>
    </row>
    <row r="333" spans="19:26" x14ac:dyDescent="0.2">
      <c r="S333" s="1">
        <v>35606</v>
      </c>
      <c r="T333">
        <f t="shared" si="20"/>
        <v>6</v>
      </c>
      <c r="U333">
        <f t="shared" si="21"/>
        <v>1997</v>
      </c>
      <c r="V333" t="str">
        <f t="shared" si="22"/>
        <v>6/1997</v>
      </c>
      <c r="Y333" s="1">
        <v>35634</v>
      </c>
      <c r="Z333">
        <f t="shared" si="23"/>
        <v>28</v>
      </c>
    </row>
    <row r="334" spans="19:26" x14ac:dyDescent="0.2">
      <c r="S334" s="1">
        <v>35607</v>
      </c>
      <c r="T334">
        <f t="shared" si="20"/>
        <v>6</v>
      </c>
      <c r="U334">
        <f t="shared" si="21"/>
        <v>1997</v>
      </c>
      <c r="V334" t="str">
        <f t="shared" si="22"/>
        <v>6/1997</v>
      </c>
      <c r="Y334" s="1">
        <v>35635</v>
      </c>
      <c r="Z334">
        <f t="shared" si="23"/>
        <v>28</v>
      </c>
    </row>
    <row r="335" spans="19:26" x14ac:dyDescent="0.2">
      <c r="S335" s="1">
        <v>35607</v>
      </c>
      <c r="T335">
        <f t="shared" si="20"/>
        <v>6</v>
      </c>
      <c r="U335">
        <f t="shared" si="21"/>
        <v>1997</v>
      </c>
      <c r="V335" t="str">
        <f t="shared" si="22"/>
        <v>6/1997</v>
      </c>
      <c r="Y335" s="1">
        <v>35635</v>
      </c>
      <c r="Z335">
        <f t="shared" si="23"/>
        <v>28</v>
      </c>
    </row>
    <row r="336" spans="19:26" x14ac:dyDescent="0.2">
      <c r="S336" s="1">
        <v>35608</v>
      </c>
      <c r="T336">
        <f t="shared" si="20"/>
        <v>6</v>
      </c>
      <c r="U336">
        <f t="shared" si="21"/>
        <v>1997</v>
      </c>
      <c r="V336" t="str">
        <f t="shared" si="22"/>
        <v>6/1997</v>
      </c>
      <c r="Y336" s="1">
        <v>35636</v>
      </c>
      <c r="Z336">
        <f t="shared" si="23"/>
        <v>28</v>
      </c>
    </row>
    <row r="337" spans="19:26" x14ac:dyDescent="0.2">
      <c r="S337" s="1">
        <v>35611</v>
      </c>
      <c r="T337">
        <f t="shared" si="20"/>
        <v>6</v>
      </c>
      <c r="U337">
        <f t="shared" si="21"/>
        <v>1997</v>
      </c>
      <c r="V337" t="str">
        <f t="shared" si="22"/>
        <v>6/1997</v>
      </c>
      <c r="Y337" s="1">
        <v>35639</v>
      </c>
      <c r="Z337">
        <f t="shared" si="23"/>
        <v>28</v>
      </c>
    </row>
    <row r="338" spans="19:26" x14ac:dyDescent="0.2">
      <c r="S338" s="1">
        <v>35611</v>
      </c>
      <c r="T338">
        <f t="shared" si="20"/>
        <v>6</v>
      </c>
      <c r="U338">
        <f t="shared" si="21"/>
        <v>1997</v>
      </c>
      <c r="V338" t="str">
        <f t="shared" si="22"/>
        <v>6/1997</v>
      </c>
      <c r="Y338" s="1">
        <v>35639</v>
      </c>
      <c r="Z338">
        <f t="shared" si="23"/>
        <v>28</v>
      </c>
    </row>
    <row r="339" spans="19:26" x14ac:dyDescent="0.2">
      <c r="S339" s="1">
        <v>35612</v>
      </c>
      <c r="T339">
        <f t="shared" si="20"/>
        <v>7</v>
      </c>
      <c r="U339">
        <f t="shared" si="21"/>
        <v>1997</v>
      </c>
      <c r="V339" t="str">
        <f t="shared" si="22"/>
        <v>7/1997</v>
      </c>
      <c r="Y339" s="1">
        <v>35640</v>
      </c>
      <c r="Z339">
        <f t="shared" si="23"/>
        <v>28</v>
      </c>
    </row>
    <row r="340" spans="19:26" x14ac:dyDescent="0.2">
      <c r="S340" s="1">
        <v>35613</v>
      </c>
      <c r="T340">
        <f t="shared" si="20"/>
        <v>7</v>
      </c>
      <c r="U340">
        <f t="shared" si="21"/>
        <v>1997</v>
      </c>
      <c r="V340" t="str">
        <f t="shared" si="22"/>
        <v>7/1997</v>
      </c>
      <c r="Y340" s="1">
        <v>35641</v>
      </c>
      <c r="Z340">
        <f t="shared" si="23"/>
        <v>28</v>
      </c>
    </row>
    <row r="341" spans="19:26" x14ac:dyDescent="0.2">
      <c r="S341" s="1">
        <v>35613</v>
      </c>
      <c r="T341">
        <f t="shared" si="20"/>
        <v>7</v>
      </c>
      <c r="U341">
        <f t="shared" si="21"/>
        <v>1997</v>
      </c>
      <c r="V341" t="str">
        <f t="shared" si="22"/>
        <v>7/1997</v>
      </c>
      <c r="Y341" s="1">
        <v>35641</v>
      </c>
      <c r="Z341">
        <f t="shared" si="23"/>
        <v>28</v>
      </c>
    </row>
    <row r="342" spans="19:26" x14ac:dyDescent="0.2">
      <c r="S342" s="1">
        <v>35614</v>
      </c>
      <c r="T342">
        <f t="shared" si="20"/>
        <v>7</v>
      </c>
      <c r="U342">
        <f t="shared" si="21"/>
        <v>1997</v>
      </c>
      <c r="V342" t="str">
        <f t="shared" si="22"/>
        <v>7/1997</v>
      </c>
      <c r="Y342" s="1">
        <v>35642</v>
      </c>
      <c r="Z342">
        <f t="shared" si="23"/>
        <v>28</v>
      </c>
    </row>
    <row r="343" spans="19:26" x14ac:dyDescent="0.2">
      <c r="S343" s="1">
        <v>35615</v>
      </c>
      <c r="T343">
        <f t="shared" si="20"/>
        <v>7</v>
      </c>
      <c r="U343">
        <f t="shared" si="21"/>
        <v>1997</v>
      </c>
      <c r="V343" t="str">
        <f t="shared" si="22"/>
        <v>7/1997</v>
      </c>
      <c r="Y343" s="1">
        <v>35643</v>
      </c>
      <c r="Z343">
        <f t="shared" si="23"/>
        <v>28</v>
      </c>
    </row>
    <row r="344" spans="19:26" x14ac:dyDescent="0.2">
      <c r="S344" s="1">
        <v>35618</v>
      </c>
      <c r="T344">
        <f t="shared" si="20"/>
        <v>7</v>
      </c>
      <c r="U344">
        <f t="shared" si="21"/>
        <v>1997</v>
      </c>
      <c r="V344" t="str">
        <f t="shared" si="22"/>
        <v>7/1997</v>
      </c>
      <c r="Y344" s="1">
        <v>35646</v>
      </c>
      <c r="Z344">
        <f t="shared" si="23"/>
        <v>28</v>
      </c>
    </row>
    <row r="345" spans="19:26" x14ac:dyDescent="0.2">
      <c r="S345" s="1">
        <v>35618</v>
      </c>
      <c r="T345">
        <f t="shared" si="20"/>
        <v>7</v>
      </c>
      <c r="U345">
        <f t="shared" si="21"/>
        <v>1997</v>
      </c>
      <c r="V345" t="str">
        <f t="shared" si="22"/>
        <v>7/1997</v>
      </c>
      <c r="Y345" s="1">
        <v>35632</v>
      </c>
      <c r="Z345">
        <f t="shared" si="23"/>
        <v>14</v>
      </c>
    </row>
    <row r="346" spans="19:26" x14ac:dyDescent="0.2">
      <c r="S346" s="1">
        <v>35619</v>
      </c>
      <c r="T346">
        <f t="shared" si="20"/>
        <v>7</v>
      </c>
      <c r="U346">
        <f t="shared" si="21"/>
        <v>1997</v>
      </c>
      <c r="V346" t="str">
        <f t="shared" si="22"/>
        <v>7/1997</v>
      </c>
      <c r="Y346" s="1">
        <v>35647</v>
      </c>
      <c r="Z346">
        <f t="shared" si="23"/>
        <v>28</v>
      </c>
    </row>
    <row r="347" spans="19:26" x14ac:dyDescent="0.2">
      <c r="S347" s="1">
        <v>35620</v>
      </c>
      <c r="T347">
        <f t="shared" si="20"/>
        <v>7</v>
      </c>
      <c r="U347">
        <f t="shared" si="21"/>
        <v>1997</v>
      </c>
      <c r="V347" t="str">
        <f t="shared" si="22"/>
        <v>7/1997</v>
      </c>
      <c r="Y347" s="1">
        <v>35648</v>
      </c>
      <c r="Z347">
        <f t="shared" si="23"/>
        <v>28</v>
      </c>
    </row>
    <row r="348" spans="19:26" x14ac:dyDescent="0.2">
      <c r="S348" s="1">
        <v>35620</v>
      </c>
      <c r="T348">
        <f t="shared" si="20"/>
        <v>7</v>
      </c>
      <c r="U348">
        <f t="shared" si="21"/>
        <v>1997</v>
      </c>
      <c r="V348" t="str">
        <f t="shared" si="22"/>
        <v>7/1997</v>
      </c>
      <c r="Y348" s="1">
        <v>35648</v>
      </c>
      <c r="Z348">
        <f t="shared" si="23"/>
        <v>28</v>
      </c>
    </row>
    <row r="349" spans="19:26" x14ac:dyDescent="0.2">
      <c r="S349" s="1">
        <v>35621</v>
      </c>
      <c r="T349">
        <f t="shared" si="20"/>
        <v>7</v>
      </c>
      <c r="U349">
        <f t="shared" si="21"/>
        <v>1997</v>
      </c>
      <c r="V349" t="str">
        <f t="shared" si="22"/>
        <v>7/1997</v>
      </c>
      <c r="Y349" s="1">
        <v>35649</v>
      </c>
      <c r="Z349">
        <f t="shared" si="23"/>
        <v>28</v>
      </c>
    </row>
    <row r="350" spans="19:26" x14ac:dyDescent="0.2">
      <c r="S350" s="1">
        <v>35622</v>
      </c>
      <c r="T350">
        <f t="shared" si="20"/>
        <v>7</v>
      </c>
      <c r="U350">
        <f t="shared" si="21"/>
        <v>1997</v>
      </c>
      <c r="V350" t="str">
        <f t="shared" si="22"/>
        <v>7/1997</v>
      </c>
      <c r="Y350" s="1">
        <v>35650</v>
      </c>
      <c r="Z350">
        <f t="shared" si="23"/>
        <v>28</v>
      </c>
    </row>
    <row r="351" spans="19:26" x14ac:dyDescent="0.2">
      <c r="S351" s="1">
        <v>35622</v>
      </c>
      <c r="T351">
        <f t="shared" si="20"/>
        <v>7</v>
      </c>
      <c r="U351">
        <f t="shared" si="21"/>
        <v>1997</v>
      </c>
      <c r="V351" t="str">
        <f t="shared" si="22"/>
        <v>7/1997</v>
      </c>
      <c r="Y351" s="1">
        <v>35650</v>
      </c>
      <c r="Z351">
        <f t="shared" si="23"/>
        <v>28</v>
      </c>
    </row>
    <row r="352" spans="19:26" x14ac:dyDescent="0.2">
      <c r="S352" s="1">
        <v>35625</v>
      </c>
      <c r="T352">
        <f t="shared" si="20"/>
        <v>7</v>
      </c>
      <c r="U352">
        <f t="shared" si="21"/>
        <v>1997</v>
      </c>
      <c r="V352" t="str">
        <f t="shared" si="22"/>
        <v>7/1997</v>
      </c>
      <c r="Y352" s="1">
        <v>35653</v>
      </c>
      <c r="Z352">
        <f t="shared" si="23"/>
        <v>28</v>
      </c>
    </row>
    <row r="353" spans="19:26" x14ac:dyDescent="0.2">
      <c r="S353" s="1">
        <v>35626</v>
      </c>
      <c r="T353">
        <f t="shared" si="20"/>
        <v>7</v>
      </c>
      <c r="U353">
        <f t="shared" si="21"/>
        <v>1997</v>
      </c>
      <c r="V353" t="str">
        <f t="shared" si="22"/>
        <v>7/1997</v>
      </c>
      <c r="Y353" s="1">
        <v>35668</v>
      </c>
      <c r="Z353">
        <f t="shared" si="23"/>
        <v>42</v>
      </c>
    </row>
    <row r="354" spans="19:26" x14ac:dyDescent="0.2">
      <c r="S354" s="1">
        <v>35627</v>
      </c>
      <c r="T354">
        <f t="shared" si="20"/>
        <v>7</v>
      </c>
      <c r="U354">
        <f t="shared" si="21"/>
        <v>1997</v>
      </c>
      <c r="V354" t="str">
        <f t="shared" si="22"/>
        <v>7/1997</v>
      </c>
      <c r="Y354" s="1">
        <v>35655</v>
      </c>
      <c r="Z354">
        <f t="shared" si="23"/>
        <v>28</v>
      </c>
    </row>
    <row r="355" spans="19:26" x14ac:dyDescent="0.2">
      <c r="S355" s="1">
        <v>35627</v>
      </c>
      <c r="T355">
        <f t="shared" si="20"/>
        <v>7</v>
      </c>
      <c r="U355">
        <f t="shared" si="21"/>
        <v>1997</v>
      </c>
      <c r="V355" t="str">
        <f t="shared" si="22"/>
        <v>7/1997</v>
      </c>
      <c r="Y355" s="1">
        <v>35669</v>
      </c>
      <c r="Z355">
        <f t="shared" si="23"/>
        <v>42</v>
      </c>
    </row>
    <row r="356" spans="19:26" x14ac:dyDescent="0.2">
      <c r="S356" s="1">
        <v>35628</v>
      </c>
      <c r="T356">
        <f t="shared" si="20"/>
        <v>7</v>
      </c>
      <c r="U356">
        <f t="shared" si="21"/>
        <v>1997</v>
      </c>
      <c r="V356" t="str">
        <f t="shared" si="22"/>
        <v>7/1997</v>
      </c>
      <c r="Y356" s="1">
        <v>35656</v>
      </c>
      <c r="Z356">
        <f t="shared" si="23"/>
        <v>28</v>
      </c>
    </row>
    <row r="357" spans="19:26" x14ac:dyDescent="0.2">
      <c r="S357" s="1">
        <v>35629</v>
      </c>
      <c r="T357">
        <f t="shared" si="20"/>
        <v>7</v>
      </c>
      <c r="U357">
        <f t="shared" si="21"/>
        <v>1997</v>
      </c>
      <c r="V357" t="str">
        <f t="shared" si="22"/>
        <v>7/1997</v>
      </c>
      <c r="Y357" s="1">
        <v>35657</v>
      </c>
      <c r="Z357">
        <f t="shared" si="23"/>
        <v>28</v>
      </c>
    </row>
    <row r="358" spans="19:26" x14ac:dyDescent="0.2">
      <c r="S358" s="1">
        <v>35629</v>
      </c>
      <c r="T358">
        <f t="shared" si="20"/>
        <v>7</v>
      </c>
      <c r="U358">
        <f t="shared" si="21"/>
        <v>1997</v>
      </c>
      <c r="V358" t="str">
        <f t="shared" si="22"/>
        <v>7/1997</v>
      </c>
      <c r="Y358" s="1">
        <v>35657</v>
      </c>
      <c r="Z358">
        <f t="shared" si="23"/>
        <v>28</v>
      </c>
    </row>
    <row r="359" spans="19:26" x14ac:dyDescent="0.2">
      <c r="S359" s="1">
        <v>35632</v>
      </c>
      <c r="T359">
        <f t="shared" si="20"/>
        <v>7</v>
      </c>
      <c r="U359">
        <f t="shared" si="21"/>
        <v>1997</v>
      </c>
      <c r="V359" t="str">
        <f t="shared" si="22"/>
        <v>7/1997</v>
      </c>
      <c r="Y359" s="1">
        <v>35660</v>
      </c>
      <c r="Z359">
        <f t="shared" si="23"/>
        <v>28</v>
      </c>
    </row>
    <row r="360" spans="19:26" x14ac:dyDescent="0.2">
      <c r="S360" s="1">
        <v>35633</v>
      </c>
      <c r="T360">
        <f t="shared" si="20"/>
        <v>7</v>
      </c>
      <c r="U360">
        <f t="shared" si="21"/>
        <v>1997</v>
      </c>
      <c r="V360" t="str">
        <f t="shared" si="22"/>
        <v>7/1997</v>
      </c>
      <c r="Y360" s="1">
        <v>35661</v>
      </c>
      <c r="Z360">
        <f t="shared" si="23"/>
        <v>28</v>
      </c>
    </row>
    <row r="361" spans="19:26" x14ac:dyDescent="0.2">
      <c r="S361" s="1">
        <v>35633</v>
      </c>
      <c r="T361">
        <f t="shared" si="20"/>
        <v>7</v>
      </c>
      <c r="U361">
        <f t="shared" si="21"/>
        <v>1997</v>
      </c>
      <c r="V361" t="str">
        <f t="shared" si="22"/>
        <v>7/1997</v>
      </c>
      <c r="Y361" s="1">
        <v>35661</v>
      </c>
      <c r="Z361">
        <f t="shared" si="23"/>
        <v>28</v>
      </c>
    </row>
    <row r="362" spans="19:26" x14ac:dyDescent="0.2">
      <c r="S362" s="1">
        <v>35634</v>
      </c>
      <c r="T362">
        <f t="shared" si="20"/>
        <v>7</v>
      </c>
      <c r="U362">
        <f t="shared" si="21"/>
        <v>1997</v>
      </c>
      <c r="V362" t="str">
        <f t="shared" si="22"/>
        <v>7/1997</v>
      </c>
      <c r="Y362" s="1">
        <v>35662</v>
      </c>
      <c r="Z362">
        <f t="shared" si="23"/>
        <v>28</v>
      </c>
    </row>
    <row r="363" spans="19:26" x14ac:dyDescent="0.2">
      <c r="S363" s="1">
        <v>35635</v>
      </c>
      <c r="T363">
        <f t="shared" si="20"/>
        <v>7</v>
      </c>
      <c r="U363">
        <f t="shared" si="21"/>
        <v>1997</v>
      </c>
      <c r="V363" t="str">
        <f t="shared" si="22"/>
        <v>7/1997</v>
      </c>
      <c r="Y363" s="1">
        <v>35663</v>
      </c>
      <c r="Z363">
        <f t="shared" si="23"/>
        <v>28</v>
      </c>
    </row>
    <row r="364" spans="19:26" x14ac:dyDescent="0.2">
      <c r="S364" s="1">
        <v>35636</v>
      </c>
      <c r="T364">
        <f t="shared" si="20"/>
        <v>7</v>
      </c>
      <c r="U364">
        <f t="shared" si="21"/>
        <v>1997</v>
      </c>
      <c r="V364" t="str">
        <f t="shared" si="22"/>
        <v>7/1997</v>
      </c>
      <c r="Y364" s="1">
        <v>35664</v>
      </c>
      <c r="Z364">
        <f t="shared" si="23"/>
        <v>28</v>
      </c>
    </row>
    <row r="365" spans="19:26" x14ac:dyDescent="0.2">
      <c r="S365" s="1">
        <v>35636</v>
      </c>
      <c r="T365">
        <f t="shared" si="20"/>
        <v>7</v>
      </c>
      <c r="U365">
        <f t="shared" si="21"/>
        <v>1997</v>
      </c>
      <c r="V365" t="str">
        <f t="shared" si="22"/>
        <v>7/1997</v>
      </c>
      <c r="Y365" s="1">
        <v>35664</v>
      </c>
      <c r="Z365">
        <f t="shared" si="23"/>
        <v>28</v>
      </c>
    </row>
    <row r="366" spans="19:26" x14ac:dyDescent="0.2">
      <c r="S366" s="1">
        <v>35639</v>
      </c>
      <c r="T366">
        <f t="shared" si="20"/>
        <v>7</v>
      </c>
      <c r="U366">
        <f t="shared" si="21"/>
        <v>1997</v>
      </c>
      <c r="V366" t="str">
        <f t="shared" si="22"/>
        <v>7/1997</v>
      </c>
      <c r="Y366" s="1">
        <v>35667</v>
      </c>
      <c r="Z366">
        <f t="shared" si="23"/>
        <v>28</v>
      </c>
    </row>
    <row r="367" spans="19:26" x14ac:dyDescent="0.2">
      <c r="S367" s="1">
        <v>35640</v>
      </c>
      <c r="T367">
        <f t="shared" si="20"/>
        <v>7</v>
      </c>
      <c r="U367">
        <f t="shared" si="21"/>
        <v>1997</v>
      </c>
      <c r="V367" t="str">
        <f t="shared" si="22"/>
        <v>7/1997</v>
      </c>
      <c r="Y367" s="1">
        <v>35668</v>
      </c>
      <c r="Z367">
        <f t="shared" si="23"/>
        <v>28</v>
      </c>
    </row>
    <row r="368" spans="19:26" x14ac:dyDescent="0.2">
      <c r="S368" s="1">
        <v>35640</v>
      </c>
      <c r="T368">
        <f t="shared" si="20"/>
        <v>7</v>
      </c>
      <c r="U368">
        <f t="shared" si="21"/>
        <v>1997</v>
      </c>
      <c r="V368" t="str">
        <f t="shared" si="22"/>
        <v>7/1997</v>
      </c>
      <c r="Y368" s="1">
        <v>35668</v>
      </c>
      <c r="Z368">
        <f t="shared" si="23"/>
        <v>28</v>
      </c>
    </row>
    <row r="369" spans="19:26" x14ac:dyDescent="0.2">
      <c r="S369" s="1">
        <v>35641</v>
      </c>
      <c r="T369">
        <f t="shared" si="20"/>
        <v>7</v>
      </c>
      <c r="U369">
        <f t="shared" si="21"/>
        <v>1997</v>
      </c>
      <c r="V369" t="str">
        <f t="shared" si="22"/>
        <v>7/1997</v>
      </c>
      <c r="Y369" s="1">
        <v>35669</v>
      </c>
      <c r="Z369">
        <f t="shared" si="23"/>
        <v>28</v>
      </c>
    </row>
    <row r="370" spans="19:26" x14ac:dyDescent="0.2">
      <c r="S370" s="1">
        <v>35642</v>
      </c>
      <c r="T370">
        <f t="shared" si="20"/>
        <v>7</v>
      </c>
      <c r="U370">
        <f t="shared" si="21"/>
        <v>1997</v>
      </c>
      <c r="V370" t="str">
        <f t="shared" si="22"/>
        <v>7/1997</v>
      </c>
      <c r="Y370" s="1">
        <v>35670</v>
      </c>
      <c r="Z370">
        <f t="shared" si="23"/>
        <v>28</v>
      </c>
    </row>
    <row r="371" spans="19:26" x14ac:dyDescent="0.2">
      <c r="S371" s="1">
        <v>35642</v>
      </c>
      <c r="T371">
        <f t="shared" si="20"/>
        <v>7</v>
      </c>
      <c r="U371">
        <f t="shared" si="21"/>
        <v>1997</v>
      </c>
      <c r="V371" t="str">
        <f t="shared" si="22"/>
        <v>7/1997</v>
      </c>
      <c r="Y371" s="1">
        <v>35670</v>
      </c>
      <c r="Z371">
        <f t="shared" si="23"/>
        <v>28</v>
      </c>
    </row>
    <row r="372" spans="19:26" x14ac:dyDescent="0.2">
      <c r="S372" s="1">
        <v>35643</v>
      </c>
      <c r="T372">
        <f t="shared" si="20"/>
        <v>8</v>
      </c>
      <c r="U372">
        <f t="shared" si="21"/>
        <v>1997</v>
      </c>
      <c r="V372" t="str">
        <f t="shared" si="22"/>
        <v>8/1997</v>
      </c>
      <c r="Y372" s="1">
        <v>35685</v>
      </c>
      <c r="Z372">
        <f t="shared" si="23"/>
        <v>42</v>
      </c>
    </row>
    <row r="373" spans="19:26" x14ac:dyDescent="0.2">
      <c r="S373" s="1">
        <v>35646</v>
      </c>
      <c r="T373">
        <f t="shared" si="20"/>
        <v>8</v>
      </c>
      <c r="U373">
        <f t="shared" si="21"/>
        <v>1997</v>
      </c>
      <c r="V373" t="str">
        <f t="shared" si="22"/>
        <v>8/1997</v>
      </c>
      <c r="Y373" s="1">
        <v>35674</v>
      </c>
      <c r="Z373">
        <f t="shared" si="23"/>
        <v>28</v>
      </c>
    </row>
    <row r="374" spans="19:26" x14ac:dyDescent="0.2">
      <c r="S374" s="1">
        <v>35647</v>
      </c>
      <c r="T374">
        <f t="shared" si="20"/>
        <v>8</v>
      </c>
      <c r="U374">
        <f t="shared" si="21"/>
        <v>1997</v>
      </c>
      <c r="V374" t="str">
        <f t="shared" si="22"/>
        <v>8/1997</v>
      </c>
      <c r="Y374" s="1">
        <v>35675</v>
      </c>
      <c r="Z374">
        <f t="shared" si="23"/>
        <v>28</v>
      </c>
    </row>
    <row r="375" spans="19:26" x14ac:dyDescent="0.2">
      <c r="S375" s="1">
        <v>35647</v>
      </c>
      <c r="T375">
        <f t="shared" si="20"/>
        <v>8</v>
      </c>
      <c r="U375">
        <f t="shared" si="21"/>
        <v>1997</v>
      </c>
      <c r="V375" t="str">
        <f t="shared" si="22"/>
        <v>8/1997</v>
      </c>
      <c r="Y375" s="1">
        <v>35675</v>
      </c>
      <c r="Z375">
        <f t="shared" si="23"/>
        <v>28</v>
      </c>
    </row>
    <row r="376" spans="19:26" x14ac:dyDescent="0.2">
      <c r="S376" s="1">
        <v>35648</v>
      </c>
      <c r="T376">
        <f t="shared" si="20"/>
        <v>8</v>
      </c>
      <c r="U376">
        <f t="shared" si="21"/>
        <v>1997</v>
      </c>
      <c r="V376" t="str">
        <f t="shared" si="22"/>
        <v>8/1997</v>
      </c>
      <c r="Y376" s="1">
        <v>35676</v>
      </c>
      <c r="Z376">
        <f t="shared" si="23"/>
        <v>28</v>
      </c>
    </row>
    <row r="377" spans="19:26" x14ac:dyDescent="0.2">
      <c r="S377" s="1">
        <v>35649</v>
      </c>
      <c r="T377">
        <f t="shared" si="20"/>
        <v>8</v>
      </c>
      <c r="U377">
        <f t="shared" si="21"/>
        <v>1997</v>
      </c>
      <c r="V377" t="str">
        <f t="shared" si="22"/>
        <v>8/1997</v>
      </c>
      <c r="Y377" s="1">
        <v>35677</v>
      </c>
      <c r="Z377">
        <f t="shared" si="23"/>
        <v>28</v>
      </c>
    </row>
    <row r="378" spans="19:26" x14ac:dyDescent="0.2">
      <c r="S378" s="1">
        <v>35649</v>
      </c>
      <c r="T378">
        <f t="shared" si="20"/>
        <v>8</v>
      </c>
      <c r="U378">
        <f t="shared" si="21"/>
        <v>1997</v>
      </c>
      <c r="V378" t="str">
        <f t="shared" si="22"/>
        <v>8/1997</v>
      </c>
      <c r="Y378" s="1">
        <v>35677</v>
      </c>
      <c r="Z378">
        <f t="shared" si="23"/>
        <v>28</v>
      </c>
    </row>
    <row r="379" spans="19:26" x14ac:dyDescent="0.2">
      <c r="S379" s="1">
        <v>35650</v>
      </c>
      <c r="T379">
        <f t="shared" si="20"/>
        <v>8</v>
      </c>
      <c r="U379">
        <f t="shared" si="21"/>
        <v>1997</v>
      </c>
      <c r="V379" t="str">
        <f t="shared" si="22"/>
        <v>8/1997</v>
      </c>
      <c r="Y379" s="1">
        <v>35678</v>
      </c>
      <c r="Z379">
        <f t="shared" si="23"/>
        <v>28</v>
      </c>
    </row>
    <row r="380" spans="19:26" x14ac:dyDescent="0.2">
      <c r="S380" s="1">
        <v>35653</v>
      </c>
      <c r="T380">
        <f t="shared" si="20"/>
        <v>8</v>
      </c>
      <c r="U380">
        <f t="shared" si="21"/>
        <v>1997</v>
      </c>
      <c r="V380" t="str">
        <f t="shared" si="22"/>
        <v>8/1997</v>
      </c>
      <c r="Y380" s="1">
        <v>35681</v>
      </c>
      <c r="Z380">
        <f t="shared" si="23"/>
        <v>28</v>
      </c>
    </row>
    <row r="381" spans="19:26" x14ac:dyDescent="0.2">
      <c r="S381" s="1">
        <v>35653</v>
      </c>
      <c r="T381">
        <f t="shared" si="20"/>
        <v>8</v>
      </c>
      <c r="U381">
        <f t="shared" si="21"/>
        <v>1997</v>
      </c>
      <c r="V381" t="str">
        <f t="shared" si="22"/>
        <v>8/1997</v>
      </c>
      <c r="Y381" s="1">
        <v>35695</v>
      </c>
      <c r="Z381">
        <f t="shared" si="23"/>
        <v>42</v>
      </c>
    </row>
    <row r="382" spans="19:26" x14ac:dyDescent="0.2">
      <c r="S382" s="1">
        <v>35654</v>
      </c>
      <c r="T382">
        <f t="shared" si="20"/>
        <v>8</v>
      </c>
      <c r="U382">
        <f t="shared" si="21"/>
        <v>1997</v>
      </c>
      <c r="V382" t="str">
        <f t="shared" si="22"/>
        <v>8/1997</v>
      </c>
      <c r="Y382" s="1">
        <v>35682</v>
      </c>
      <c r="Z382">
        <f t="shared" si="23"/>
        <v>28</v>
      </c>
    </row>
    <row r="383" spans="19:26" x14ac:dyDescent="0.2">
      <c r="S383" s="1">
        <v>35654</v>
      </c>
      <c r="T383">
        <f t="shared" si="20"/>
        <v>8</v>
      </c>
      <c r="U383">
        <f t="shared" si="21"/>
        <v>1997</v>
      </c>
      <c r="V383" t="str">
        <f t="shared" si="22"/>
        <v>8/1997</v>
      </c>
      <c r="Y383" s="1">
        <v>35682</v>
      </c>
      <c r="Z383">
        <f t="shared" si="23"/>
        <v>28</v>
      </c>
    </row>
    <row r="384" spans="19:26" x14ac:dyDescent="0.2">
      <c r="S384" s="1">
        <v>35655</v>
      </c>
      <c r="T384">
        <f t="shared" si="20"/>
        <v>8</v>
      </c>
      <c r="U384">
        <f t="shared" si="21"/>
        <v>1997</v>
      </c>
      <c r="V384" t="str">
        <f t="shared" si="22"/>
        <v>8/1997</v>
      </c>
      <c r="Y384" s="1">
        <v>35683</v>
      </c>
      <c r="Z384">
        <f t="shared" si="23"/>
        <v>28</v>
      </c>
    </row>
    <row r="385" spans="19:26" x14ac:dyDescent="0.2">
      <c r="S385" s="1">
        <v>35656</v>
      </c>
      <c r="T385">
        <f t="shared" si="20"/>
        <v>8</v>
      </c>
      <c r="U385">
        <f t="shared" si="21"/>
        <v>1997</v>
      </c>
      <c r="V385" t="str">
        <f t="shared" si="22"/>
        <v>8/1997</v>
      </c>
      <c r="Y385" s="1">
        <v>35684</v>
      </c>
      <c r="Z385">
        <f t="shared" si="23"/>
        <v>28</v>
      </c>
    </row>
    <row r="386" spans="19:26" x14ac:dyDescent="0.2">
      <c r="S386" s="1">
        <v>35656</v>
      </c>
      <c r="T386">
        <f t="shared" si="20"/>
        <v>8</v>
      </c>
      <c r="U386">
        <f t="shared" si="21"/>
        <v>1997</v>
      </c>
      <c r="V386" t="str">
        <f t="shared" si="22"/>
        <v>8/1997</v>
      </c>
      <c r="Y386" s="1">
        <v>35684</v>
      </c>
      <c r="Z386">
        <f t="shared" si="23"/>
        <v>28</v>
      </c>
    </row>
    <row r="387" spans="19:26" x14ac:dyDescent="0.2">
      <c r="S387" s="1">
        <v>35657</v>
      </c>
      <c r="T387">
        <f t="shared" ref="T387:T450" si="24">MONTH(S387)</f>
        <v>8</v>
      </c>
      <c r="U387">
        <f t="shared" ref="U387:U450" si="25">YEAR(S387)</f>
        <v>1997</v>
      </c>
      <c r="V387" t="str">
        <f t="shared" ref="V387:V450" si="26">T387&amp;"/"&amp;U387</f>
        <v>8/1997</v>
      </c>
      <c r="Y387" s="1">
        <v>35685</v>
      </c>
      <c r="Z387">
        <f t="shared" ref="Z387:Z450" si="27">Y387-S387</f>
        <v>28</v>
      </c>
    </row>
    <row r="388" spans="19:26" x14ac:dyDescent="0.2">
      <c r="S388" s="1">
        <v>35657</v>
      </c>
      <c r="T388">
        <f t="shared" si="24"/>
        <v>8</v>
      </c>
      <c r="U388">
        <f t="shared" si="25"/>
        <v>1997</v>
      </c>
      <c r="V388" t="str">
        <f t="shared" si="26"/>
        <v>8/1997</v>
      </c>
      <c r="Y388" s="1">
        <v>35685</v>
      </c>
      <c r="Z388">
        <f t="shared" si="27"/>
        <v>28</v>
      </c>
    </row>
    <row r="389" spans="19:26" x14ac:dyDescent="0.2">
      <c r="S389" s="1">
        <v>35660</v>
      </c>
      <c r="T389">
        <f t="shared" si="24"/>
        <v>8</v>
      </c>
      <c r="U389">
        <f t="shared" si="25"/>
        <v>1997</v>
      </c>
      <c r="V389" t="str">
        <f t="shared" si="26"/>
        <v>8/1997</v>
      </c>
      <c r="Y389" s="1">
        <v>35688</v>
      </c>
      <c r="Z389">
        <f t="shared" si="27"/>
        <v>28</v>
      </c>
    </row>
    <row r="390" spans="19:26" x14ac:dyDescent="0.2">
      <c r="S390" s="1">
        <v>35661</v>
      </c>
      <c r="T390">
        <f t="shared" si="24"/>
        <v>8</v>
      </c>
      <c r="U390">
        <f t="shared" si="25"/>
        <v>1997</v>
      </c>
      <c r="V390" t="str">
        <f t="shared" si="26"/>
        <v>8/1997</v>
      </c>
      <c r="Y390" s="1">
        <v>35689</v>
      </c>
      <c r="Z390">
        <f t="shared" si="27"/>
        <v>28</v>
      </c>
    </row>
    <row r="391" spans="19:26" x14ac:dyDescent="0.2">
      <c r="S391" s="1">
        <v>35661</v>
      </c>
      <c r="T391">
        <f t="shared" si="24"/>
        <v>8</v>
      </c>
      <c r="U391">
        <f t="shared" si="25"/>
        <v>1997</v>
      </c>
      <c r="V391" t="str">
        <f t="shared" si="26"/>
        <v>8/1997</v>
      </c>
      <c r="Y391" s="1">
        <v>35689</v>
      </c>
      <c r="Z391">
        <f t="shared" si="27"/>
        <v>28</v>
      </c>
    </row>
    <row r="392" spans="19:26" x14ac:dyDescent="0.2">
      <c r="S392" s="1">
        <v>35662</v>
      </c>
      <c r="T392">
        <f t="shared" si="24"/>
        <v>8</v>
      </c>
      <c r="U392">
        <f t="shared" si="25"/>
        <v>1997</v>
      </c>
      <c r="V392" t="str">
        <f t="shared" si="26"/>
        <v>8/1997</v>
      </c>
      <c r="Y392" s="1">
        <v>35690</v>
      </c>
      <c r="Z392">
        <f t="shared" si="27"/>
        <v>28</v>
      </c>
    </row>
    <row r="393" spans="19:26" x14ac:dyDescent="0.2">
      <c r="S393" s="1">
        <v>35662</v>
      </c>
      <c r="T393">
        <f t="shared" si="24"/>
        <v>8</v>
      </c>
      <c r="U393">
        <f t="shared" si="25"/>
        <v>1997</v>
      </c>
      <c r="V393" t="str">
        <f t="shared" si="26"/>
        <v>8/1997</v>
      </c>
      <c r="Y393" s="1">
        <v>35690</v>
      </c>
      <c r="Z393">
        <f t="shared" si="27"/>
        <v>28</v>
      </c>
    </row>
    <row r="394" spans="19:26" x14ac:dyDescent="0.2">
      <c r="S394" s="1">
        <v>35663</v>
      </c>
      <c r="T394">
        <f t="shared" si="24"/>
        <v>8</v>
      </c>
      <c r="U394">
        <f t="shared" si="25"/>
        <v>1997</v>
      </c>
      <c r="V394" t="str">
        <f t="shared" si="26"/>
        <v>8/1997</v>
      </c>
      <c r="Y394" s="1">
        <v>35691</v>
      </c>
      <c r="Z394">
        <f t="shared" si="27"/>
        <v>28</v>
      </c>
    </row>
    <row r="395" spans="19:26" x14ac:dyDescent="0.2">
      <c r="S395" s="1">
        <v>35664</v>
      </c>
      <c r="T395">
        <f t="shared" si="24"/>
        <v>8</v>
      </c>
      <c r="U395">
        <f t="shared" si="25"/>
        <v>1997</v>
      </c>
      <c r="V395" t="str">
        <f t="shared" si="26"/>
        <v>8/1997</v>
      </c>
      <c r="Y395" s="1">
        <v>35692</v>
      </c>
      <c r="Z395">
        <f t="shared" si="27"/>
        <v>28</v>
      </c>
    </row>
    <row r="396" spans="19:26" x14ac:dyDescent="0.2">
      <c r="S396" s="1">
        <v>35664</v>
      </c>
      <c r="T396">
        <f t="shared" si="24"/>
        <v>8</v>
      </c>
      <c r="U396">
        <f t="shared" si="25"/>
        <v>1997</v>
      </c>
      <c r="V396" t="str">
        <f t="shared" si="26"/>
        <v>8/1997</v>
      </c>
      <c r="Y396" s="1">
        <v>35692</v>
      </c>
      <c r="Z396">
        <f t="shared" si="27"/>
        <v>28</v>
      </c>
    </row>
    <row r="397" spans="19:26" x14ac:dyDescent="0.2">
      <c r="S397" s="1">
        <v>35667</v>
      </c>
      <c r="T397">
        <f t="shared" si="24"/>
        <v>8</v>
      </c>
      <c r="U397">
        <f t="shared" si="25"/>
        <v>1997</v>
      </c>
      <c r="V397" t="str">
        <f t="shared" si="26"/>
        <v>8/1997</v>
      </c>
      <c r="Y397" s="1">
        <v>35695</v>
      </c>
      <c r="Z397">
        <f t="shared" si="27"/>
        <v>28</v>
      </c>
    </row>
    <row r="398" spans="19:26" x14ac:dyDescent="0.2">
      <c r="S398" s="1">
        <v>35667</v>
      </c>
      <c r="T398">
        <f t="shared" si="24"/>
        <v>8</v>
      </c>
      <c r="U398">
        <f t="shared" si="25"/>
        <v>1997</v>
      </c>
      <c r="V398" t="str">
        <f t="shared" si="26"/>
        <v>8/1997</v>
      </c>
      <c r="Y398" s="1">
        <v>35695</v>
      </c>
      <c r="Z398">
        <f t="shared" si="27"/>
        <v>28</v>
      </c>
    </row>
    <row r="399" spans="19:26" x14ac:dyDescent="0.2">
      <c r="S399" s="1">
        <v>35668</v>
      </c>
      <c r="T399">
        <f t="shared" si="24"/>
        <v>8</v>
      </c>
      <c r="U399">
        <f t="shared" si="25"/>
        <v>1997</v>
      </c>
      <c r="V399" t="str">
        <f t="shared" si="26"/>
        <v>8/1997</v>
      </c>
      <c r="Y399" s="1">
        <v>35696</v>
      </c>
      <c r="Z399">
        <f t="shared" si="27"/>
        <v>28</v>
      </c>
    </row>
    <row r="400" spans="19:26" x14ac:dyDescent="0.2">
      <c r="S400" s="1">
        <v>35669</v>
      </c>
      <c r="T400">
        <f t="shared" si="24"/>
        <v>8</v>
      </c>
      <c r="U400">
        <f t="shared" si="25"/>
        <v>1997</v>
      </c>
      <c r="V400" t="str">
        <f t="shared" si="26"/>
        <v>8/1997</v>
      </c>
      <c r="Y400" s="1">
        <v>35711</v>
      </c>
      <c r="Z400">
        <f t="shared" si="27"/>
        <v>42</v>
      </c>
    </row>
    <row r="401" spans="19:26" x14ac:dyDescent="0.2">
      <c r="S401" s="1">
        <v>35669</v>
      </c>
      <c r="T401">
        <f t="shared" si="24"/>
        <v>8</v>
      </c>
      <c r="U401">
        <f t="shared" si="25"/>
        <v>1997</v>
      </c>
      <c r="V401" t="str">
        <f t="shared" si="26"/>
        <v>8/1997</v>
      </c>
      <c r="Y401" s="1">
        <v>35683</v>
      </c>
      <c r="Z401">
        <f t="shared" si="27"/>
        <v>14</v>
      </c>
    </row>
    <row r="402" spans="19:26" x14ac:dyDescent="0.2">
      <c r="S402" s="1">
        <v>35670</v>
      </c>
      <c r="T402">
        <f t="shared" si="24"/>
        <v>8</v>
      </c>
      <c r="U402">
        <f t="shared" si="25"/>
        <v>1997</v>
      </c>
      <c r="V402" t="str">
        <f t="shared" si="26"/>
        <v>8/1997</v>
      </c>
      <c r="Y402" s="1">
        <v>35712</v>
      </c>
      <c r="Z402">
        <f t="shared" si="27"/>
        <v>42</v>
      </c>
    </row>
    <row r="403" spans="19:26" x14ac:dyDescent="0.2">
      <c r="S403" s="1">
        <v>35670</v>
      </c>
      <c r="T403">
        <f t="shared" si="24"/>
        <v>8</v>
      </c>
      <c r="U403">
        <f t="shared" si="25"/>
        <v>1997</v>
      </c>
      <c r="V403" t="str">
        <f t="shared" si="26"/>
        <v>8/1997</v>
      </c>
      <c r="Y403" s="1">
        <v>35698</v>
      </c>
      <c r="Z403">
        <f t="shared" si="27"/>
        <v>28</v>
      </c>
    </row>
    <row r="404" spans="19:26" x14ac:dyDescent="0.2">
      <c r="S404" s="1">
        <v>35671</v>
      </c>
      <c r="T404">
        <f t="shared" si="24"/>
        <v>8</v>
      </c>
      <c r="U404">
        <f t="shared" si="25"/>
        <v>1997</v>
      </c>
      <c r="V404" t="str">
        <f t="shared" si="26"/>
        <v>8/1997</v>
      </c>
      <c r="Y404" s="1">
        <v>35699</v>
      </c>
      <c r="Z404">
        <f t="shared" si="27"/>
        <v>28</v>
      </c>
    </row>
    <row r="405" spans="19:26" x14ac:dyDescent="0.2">
      <c r="S405" s="1">
        <v>35674</v>
      </c>
      <c r="T405">
        <f t="shared" si="24"/>
        <v>9</v>
      </c>
      <c r="U405">
        <f t="shared" si="25"/>
        <v>1997</v>
      </c>
      <c r="V405" t="str">
        <f t="shared" si="26"/>
        <v>9/1997</v>
      </c>
      <c r="Y405" s="1">
        <v>35702</v>
      </c>
      <c r="Z405">
        <f t="shared" si="27"/>
        <v>28</v>
      </c>
    </row>
    <row r="406" spans="19:26" x14ac:dyDescent="0.2">
      <c r="S406" s="1">
        <v>35674</v>
      </c>
      <c r="T406">
        <f t="shared" si="24"/>
        <v>9</v>
      </c>
      <c r="U406">
        <f t="shared" si="25"/>
        <v>1997</v>
      </c>
      <c r="V406" t="str">
        <f t="shared" si="26"/>
        <v>9/1997</v>
      </c>
      <c r="Y406" s="1">
        <v>35702</v>
      </c>
      <c r="Z406">
        <f t="shared" si="27"/>
        <v>28</v>
      </c>
    </row>
    <row r="407" spans="19:26" x14ac:dyDescent="0.2">
      <c r="S407" s="1">
        <v>35675</v>
      </c>
      <c r="T407">
        <f t="shared" si="24"/>
        <v>9</v>
      </c>
      <c r="U407">
        <f t="shared" si="25"/>
        <v>1997</v>
      </c>
      <c r="V407" t="str">
        <f t="shared" si="26"/>
        <v>9/1997</v>
      </c>
      <c r="Y407" s="1">
        <v>35703</v>
      </c>
      <c r="Z407">
        <f t="shared" si="27"/>
        <v>28</v>
      </c>
    </row>
    <row r="408" spans="19:26" x14ac:dyDescent="0.2">
      <c r="S408" s="1">
        <v>35675</v>
      </c>
      <c r="T408">
        <f t="shared" si="24"/>
        <v>9</v>
      </c>
      <c r="U408">
        <f t="shared" si="25"/>
        <v>1997</v>
      </c>
      <c r="V408" t="str">
        <f t="shared" si="26"/>
        <v>9/1997</v>
      </c>
      <c r="Y408" s="1">
        <v>35703</v>
      </c>
      <c r="Z408">
        <f t="shared" si="27"/>
        <v>28</v>
      </c>
    </row>
    <row r="409" spans="19:26" x14ac:dyDescent="0.2">
      <c r="S409" s="1">
        <v>35676</v>
      </c>
      <c r="T409">
        <f t="shared" si="24"/>
        <v>9</v>
      </c>
      <c r="U409">
        <f t="shared" si="25"/>
        <v>1997</v>
      </c>
      <c r="V409" t="str">
        <f t="shared" si="26"/>
        <v>9/1997</v>
      </c>
      <c r="Y409" s="1">
        <v>35704</v>
      </c>
      <c r="Z409">
        <f t="shared" si="27"/>
        <v>28</v>
      </c>
    </row>
    <row r="410" spans="19:26" x14ac:dyDescent="0.2">
      <c r="S410" s="1">
        <v>35677</v>
      </c>
      <c r="T410">
        <f t="shared" si="24"/>
        <v>9</v>
      </c>
      <c r="U410">
        <f t="shared" si="25"/>
        <v>1997</v>
      </c>
      <c r="V410" t="str">
        <f t="shared" si="26"/>
        <v>9/1997</v>
      </c>
      <c r="Y410" s="1">
        <v>35705</v>
      </c>
      <c r="Z410">
        <f t="shared" si="27"/>
        <v>28</v>
      </c>
    </row>
    <row r="411" spans="19:26" x14ac:dyDescent="0.2">
      <c r="S411" s="1">
        <v>35677</v>
      </c>
      <c r="T411">
        <f t="shared" si="24"/>
        <v>9</v>
      </c>
      <c r="U411">
        <f t="shared" si="25"/>
        <v>1997</v>
      </c>
      <c r="V411" t="str">
        <f t="shared" si="26"/>
        <v>9/1997</v>
      </c>
      <c r="Y411" s="1">
        <v>35705</v>
      </c>
      <c r="Z411">
        <f t="shared" si="27"/>
        <v>28</v>
      </c>
    </row>
    <row r="412" spans="19:26" x14ac:dyDescent="0.2">
      <c r="S412" s="1">
        <v>35678</v>
      </c>
      <c r="T412">
        <f t="shared" si="24"/>
        <v>9</v>
      </c>
      <c r="U412">
        <f t="shared" si="25"/>
        <v>1997</v>
      </c>
      <c r="V412" t="str">
        <f t="shared" si="26"/>
        <v>9/1997</v>
      </c>
      <c r="Y412" s="1">
        <v>35706</v>
      </c>
      <c r="Z412">
        <f t="shared" si="27"/>
        <v>28</v>
      </c>
    </row>
    <row r="413" spans="19:26" x14ac:dyDescent="0.2">
      <c r="S413" s="1">
        <v>35678</v>
      </c>
      <c r="T413">
        <f t="shared" si="24"/>
        <v>9</v>
      </c>
      <c r="U413">
        <f t="shared" si="25"/>
        <v>1997</v>
      </c>
      <c r="V413" t="str">
        <f t="shared" si="26"/>
        <v>9/1997</v>
      </c>
      <c r="Y413" s="1">
        <v>35706</v>
      </c>
      <c r="Z413">
        <f t="shared" si="27"/>
        <v>28</v>
      </c>
    </row>
    <row r="414" spans="19:26" x14ac:dyDescent="0.2">
      <c r="S414" s="1">
        <v>35681</v>
      </c>
      <c r="T414">
        <f t="shared" si="24"/>
        <v>9</v>
      </c>
      <c r="U414">
        <f t="shared" si="25"/>
        <v>1997</v>
      </c>
      <c r="V414" t="str">
        <f t="shared" si="26"/>
        <v>9/1997</v>
      </c>
      <c r="Y414" s="1">
        <v>35709</v>
      </c>
      <c r="Z414">
        <f t="shared" si="27"/>
        <v>28</v>
      </c>
    </row>
    <row r="415" spans="19:26" x14ac:dyDescent="0.2">
      <c r="S415" s="1">
        <v>35682</v>
      </c>
      <c r="T415">
        <f t="shared" si="24"/>
        <v>9</v>
      </c>
      <c r="U415">
        <f t="shared" si="25"/>
        <v>1997</v>
      </c>
      <c r="V415" t="str">
        <f t="shared" si="26"/>
        <v>9/1997</v>
      </c>
      <c r="Y415" s="1">
        <v>35710</v>
      </c>
      <c r="Z415">
        <f t="shared" si="27"/>
        <v>28</v>
      </c>
    </row>
    <row r="416" spans="19:26" x14ac:dyDescent="0.2">
      <c r="S416" s="1">
        <v>35682</v>
      </c>
      <c r="T416">
        <f t="shared" si="24"/>
        <v>9</v>
      </c>
      <c r="U416">
        <f t="shared" si="25"/>
        <v>1997</v>
      </c>
      <c r="V416" t="str">
        <f t="shared" si="26"/>
        <v>9/1997</v>
      </c>
      <c r="Y416" s="1">
        <v>35710</v>
      </c>
      <c r="Z416">
        <f t="shared" si="27"/>
        <v>28</v>
      </c>
    </row>
    <row r="417" spans="19:26" x14ac:dyDescent="0.2">
      <c r="S417" s="1">
        <v>35683</v>
      </c>
      <c r="T417">
        <f t="shared" si="24"/>
        <v>9</v>
      </c>
      <c r="U417">
        <f t="shared" si="25"/>
        <v>1997</v>
      </c>
      <c r="V417" t="str">
        <f t="shared" si="26"/>
        <v>9/1997</v>
      </c>
      <c r="Y417" s="1">
        <v>35697</v>
      </c>
      <c r="Z417">
        <f t="shared" si="27"/>
        <v>14</v>
      </c>
    </row>
    <row r="418" spans="19:26" x14ac:dyDescent="0.2">
      <c r="S418" s="1">
        <v>35683</v>
      </c>
      <c r="T418">
        <f t="shared" si="24"/>
        <v>9</v>
      </c>
      <c r="U418">
        <f t="shared" si="25"/>
        <v>1997</v>
      </c>
      <c r="V418" t="str">
        <f t="shared" si="26"/>
        <v>9/1997</v>
      </c>
      <c r="Y418" s="1">
        <v>35711</v>
      </c>
      <c r="Z418">
        <f t="shared" si="27"/>
        <v>28</v>
      </c>
    </row>
    <row r="419" spans="19:26" x14ac:dyDescent="0.2">
      <c r="S419" s="1">
        <v>35684</v>
      </c>
      <c r="T419">
        <f t="shared" si="24"/>
        <v>9</v>
      </c>
      <c r="U419">
        <f t="shared" si="25"/>
        <v>1997</v>
      </c>
      <c r="V419" t="str">
        <f t="shared" si="26"/>
        <v>9/1997</v>
      </c>
      <c r="Y419" s="1">
        <v>35712</v>
      </c>
      <c r="Z419">
        <f t="shared" si="27"/>
        <v>28</v>
      </c>
    </row>
    <row r="420" spans="19:26" x14ac:dyDescent="0.2">
      <c r="S420" s="1">
        <v>35685</v>
      </c>
      <c r="T420">
        <f t="shared" si="24"/>
        <v>9</v>
      </c>
      <c r="U420">
        <f t="shared" si="25"/>
        <v>1997</v>
      </c>
      <c r="V420" t="str">
        <f t="shared" si="26"/>
        <v>9/1997</v>
      </c>
      <c r="Y420" s="1">
        <v>35713</v>
      </c>
      <c r="Z420">
        <f t="shared" si="27"/>
        <v>28</v>
      </c>
    </row>
    <row r="421" spans="19:26" x14ac:dyDescent="0.2">
      <c r="S421" s="1">
        <v>35685</v>
      </c>
      <c r="T421">
        <f t="shared" si="24"/>
        <v>9</v>
      </c>
      <c r="U421">
        <f t="shared" si="25"/>
        <v>1997</v>
      </c>
      <c r="V421" t="str">
        <f t="shared" si="26"/>
        <v>9/1997</v>
      </c>
      <c r="Y421" s="1">
        <v>35713</v>
      </c>
      <c r="Z421">
        <f t="shared" si="27"/>
        <v>28</v>
      </c>
    </row>
    <row r="422" spans="19:26" x14ac:dyDescent="0.2">
      <c r="S422" s="1">
        <v>35688</v>
      </c>
      <c r="T422">
        <f t="shared" si="24"/>
        <v>9</v>
      </c>
      <c r="U422">
        <f t="shared" si="25"/>
        <v>1997</v>
      </c>
      <c r="V422" t="str">
        <f t="shared" si="26"/>
        <v>9/1997</v>
      </c>
      <c r="Y422" s="1">
        <v>35716</v>
      </c>
      <c r="Z422">
        <f t="shared" si="27"/>
        <v>28</v>
      </c>
    </row>
    <row r="423" spans="19:26" x14ac:dyDescent="0.2">
      <c r="S423" s="1">
        <v>35688</v>
      </c>
      <c r="T423">
        <f t="shared" si="24"/>
        <v>9</v>
      </c>
      <c r="U423">
        <f t="shared" si="25"/>
        <v>1997</v>
      </c>
      <c r="V423" t="str">
        <f t="shared" si="26"/>
        <v>9/1997</v>
      </c>
      <c r="Y423" s="1">
        <v>35716</v>
      </c>
      <c r="Z423">
        <f t="shared" si="27"/>
        <v>28</v>
      </c>
    </row>
    <row r="424" spans="19:26" x14ac:dyDescent="0.2">
      <c r="S424" s="1">
        <v>35689</v>
      </c>
      <c r="T424">
        <f t="shared" si="24"/>
        <v>9</v>
      </c>
      <c r="U424">
        <f t="shared" si="25"/>
        <v>1997</v>
      </c>
      <c r="V424" t="str">
        <f t="shared" si="26"/>
        <v>9/1997</v>
      </c>
      <c r="Y424" s="1">
        <v>35717</v>
      </c>
      <c r="Z424">
        <f t="shared" si="27"/>
        <v>28</v>
      </c>
    </row>
    <row r="425" spans="19:26" x14ac:dyDescent="0.2">
      <c r="S425" s="1">
        <v>35690</v>
      </c>
      <c r="T425">
        <f t="shared" si="24"/>
        <v>9</v>
      </c>
      <c r="U425">
        <f t="shared" si="25"/>
        <v>1997</v>
      </c>
      <c r="V425" t="str">
        <f t="shared" si="26"/>
        <v>9/1997</v>
      </c>
      <c r="Y425" s="1">
        <v>35718</v>
      </c>
      <c r="Z425">
        <f t="shared" si="27"/>
        <v>28</v>
      </c>
    </row>
    <row r="426" spans="19:26" x14ac:dyDescent="0.2">
      <c r="S426" s="1">
        <v>35690</v>
      </c>
      <c r="T426">
        <f t="shared" si="24"/>
        <v>9</v>
      </c>
      <c r="U426">
        <f t="shared" si="25"/>
        <v>1997</v>
      </c>
      <c r="V426" t="str">
        <f t="shared" si="26"/>
        <v>9/1997</v>
      </c>
      <c r="Y426" s="1">
        <v>35704</v>
      </c>
      <c r="Z426">
        <f t="shared" si="27"/>
        <v>14</v>
      </c>
    </row>
    <row r="427" spans="19:26" x14ac:dyDescent="0.2">
      <c r="S427" s="1">
        <v>35691</v>
      </c>
      <c r="T427">
        <f t="shared" si="24"/>
        <v>9</v>
      </c>
      <c r="U427">
        <f t="shared" si="25"/>
        <v>1997</v>
      </c>
      <c r="V427" t="str">
        <f t="shared" si="26"/>
        <v>9/1997</v>
      </c>
      <c r="Y427" s="1">
        <v>35719</v>
      </c>
      <c r="Z427">
        <f t="shared" si="27"/>
        <v>28</v>
      </c>
    </row>
    <row r="428" spans="19:26" x14ac:dyDescent="0.2">
      <c r="S428" s="1">
        <v>35691</v>
      </c>
      <c r="T428">
        <f t="shared" si="24"/>
        <v>9</v>
      </c>
      <c r="U428">
        <f t="shared" si="25"/>
        <v>1997</v>
      </c>
      <c r="V428" t="str">
        <f t="shared" si="26"/>
        <v>9/1997</v>
      </c>
      <c r="Y428" s="1">
        <v>35719</v>
      </c>
      <c r="Z428">
        <f t="shared" si="27"/>
        <v>28</v>
      </c>
    </row>
    <row r="429" spans="19:26" x14ac:dyDescent="0.2">
      <c r="S429" s="1">
        <v>35692</v>
      </c>
      <c r="T429">
        <f t="shared" si="24"/>
        <v>9</v>
      </c>
      <c r="U429">
        <f t="shared" si="25"/>
        <v>1997</v>
      </c>
      <c r="V429" t="str">
        <f t="shared" si="26"/>
        <v>9/1997</v>
      </c>
      <c r="Y429" s="1">
        <v>35720</v>
      </c>
      <c r="Z429">
        <f t="shared" si="27"/>
        <v>28</v>
      </c>
    </row>
    <row r="430" spans="19:26" x14ac:dyDescent="0.2">
      <c r="S430" s="1">
        <v>35695</v>
      </c>
      <c r="T430">
        <f t="shared" si="24"/>
        <v>9</v>
      </c>
      <c r="U430">
        <f t="shared" si="25"/>
        <v>1997</v>
      </c>
      <c r="V430" t="str">
        <f t="shared" si="26"/>
        <v>9/1997</v>
      </c>
      <c r="Y430" s="1">
        <v>35723</v>
      </c>
      <c r="Z430">
        <f t="shared" si="27"/>
        <v>28</v>
      </c>
    </row>
    <row r="431" spans="19:26" x14ac:dyDescent="0.2">
      <c r="S431" s="1">
        <v>35695</v>
      </c>
      <c r="T431">
        <f t="shared" si="24"/>
        <v>9</v>
      </c>
      <c r="U431">
        <f t="shared" si="25"/>
        <v>1997</v>
      </c>
      <c r="V431" t="str">
        <f t="shared" si="26"/>
        <v>9/1997</v>
      </c>
      <c r="Y431" s="1">
        <v>35723</v>
      </c>
      <c r="Z431">
        <f t="shared" si="27"/>
        <v>28</v>
      </c>
    </row>
    <row r="432" spans="19:26" x14ac:dyDescent="0.2">
      <c r="S432" s="1">
        <v>35696</v>
      </c>
      <c r="T432">
        <f t="shared" si="24"/>
        <v>9</v>
      </c>
      <c r="U432">
        <f t="shared" si="25"/>
        <v>1997</v>
      </c>
      <c r="V432" t="str">
        <f t="shared" si="26"/>
        <v>9/1997</v>
      </c>
      <c r="Y432" s="1">
        <v>35724</v>
      </c>
      <c r="Z432">
        <f t="shared" si="27"/>
        <v>28</v>
      </c>
    </row>
    <row r="433" spans="19:26" x14ac:dyDescent="0.2">
      <c r="S433" s="1">
        <v>35696</v>
      </c>
      <c r="T433">
        <f t="shared" si="24"/>
        <v>9</v>
      </c>
      <c r="U433">
        <f t="shared" si="25"/>
        <v>1997</v>
      </c>
      <c r="V433" t="str">
        <f t="shared" si="26"/>
        <v>9/1997</v>
      </c>
      <c r="Y433" s="1">
        <v>35724</v>
      </c>
      <c r="Z433">
        <f t="shared" si="27"/>
        <v>28</v>
      </c>
    </row>
    <row r="434" spans="19:26" x14ac:dyDescent="0.2">
      <c r="S434" s="1">
        <v>35697</v>
      </c>
      <c r="T434">
        <f t="shared" si="24"/>
        <v>9</v>
      </c>
      <c r="U434">
        <f t="shared" si="25"/>
        <v>1997</v>
      </c>
      <c r="V434" t="str">
        <f t="shared" si="26"/>
        <v>9/1997</v>
      </c>
      <c r="Y434" s="1">
        <v>35725</v>
      </c>
      <c r="Z434">
        <f t="shared" si="27"/>
        <v>28</v>
      </c>
    </row>
    <row r="435" spans="19:26" x14ac:dyDescent="0.2">
      <c r="S435" s="1">
        <v>35698</v>
      </c>
      <c r="T435">
        <f t="shared" si="24"/>
        <v>9</v>
      </c>
      <c r="U435">
        <f t="shared" si="25"/>
        <v>1997</v>
      </c>
      <c r="V435" t="str">
        <f t="shared" si="26"/>
        <v>9/1997</v>
      </c>
      <c r="Y435" s="1">
        <v>35726</v>
      </c>
      <c r="Z435">
        <f t="shared" si="27"/>
        <v>28</v>
      </c>
    </row>
    <row r="436" spans="19:26" x14ac:dyDescent="0.2">
      <c r="S436" s="1">
        <v>35698</v>
      </c>
      <c r="T436">
        <f t="shared" si="24"/>
        <v>9</v>
      </c>
      <c r="U436">
        <f t="shared" si="25"/>
        <v>1997</v>
      </c>
      <c r="V436" t="str">
        <f t="shared" si="26"/>
        <v>9/1997</v>
      </c>
      <c r="Y436" s="1">
        <v>35726</v>
      </c>
      <c r="Z436">
        <f t="shared" si="27"/>
        <v>28</v>
      </c>
    </row>
    <row r="437" spans="19:26" x14ac:dyDescent="0.2">
      <c r="S437" s="1">
        <v>35699</v>
      </c>
      <c r="T437">
        <f t="shared" si="24"/>
        <v>9</v>
      </c>
      <c r="U437">
        <f t="shared" si="25"/>
        <v>1997</v>
      </c>
      <c r="V437" t="str">
        <f t="shared" si="26"/>
        <v>9/1997</v>
      </c>
      <c r="Y437" s="1">
        <v>35727</v>
      </c>
      <c r="Z437">
        <f t="shared" si="27"/>
        <v>28</v>
      </c>
    </row>
    <row r="438" spans="19:26" x14ac:dyDescent="0.2">
      <c r="S438" s="1">
        <v>35699</v>
      </c>
      <c r="T438">
        <f t="shared" si="24"/>
        <v>9</v>
      </c>
      <c r="U438">
        <f t="shared" si="25"/>
        <v>1997</v>
      </c>
      <c r="V438" t="str">
        <f t="shared" si="26"/>
        <v>9/1997</v>
      </c>
      <c r="Y438" s="1">
        <v>35727</v>
      </c>
      <c r="Z438">
        <f t="shared" si="27"/>
        <v>28</v>
      </c>
    </row>
    <row r="439" spans="19:26" x14ac:dyDescent="0.2">
      <c r="S439" s="1">
        <v>35702</v>
      </c>
      <c r="T439">
        <f t="shared" si="24"/>
        <v>9</v>
      </c>
      <c r="U439">
        <f t="shared" si="25"/>
        <v>1997</v>
      </c>
      <c r="V439" t="str">
        <f t="shared" si="26"/>
        <v>9/1997</v>
      </c>
      <c r="Y439" s="1">
        <v>35716</v>
      </c>
      <c r="Z439">
        <f t="shared" si="27"/>
        <v>14</v>
      </c>
    </row>
    <row r="440" spans="19:26" x14ac:dyDescent="0.2">
      <c r="S440" s="1">
        <v>35703</v>
      </c>
      <c r="T440">
        <f t="shared" si="24"/>
        <v>9</v>
      </c>
      <c r="U440">
        <f t="shared" si="25"/>
        <v>1997</v>
      </c>
      <c r="V440" t="str">
        <f t="shared" si="26"/>
        <v>9/1997</v>
      </c>
      <c r="Y440" s="1">
        <v>35731</v>
      </c>
      <c r="Z440">
        <f t="shared" si="27"/>
        <v>28</v>
      </c>
    </row>
    <row r="441" spans="19:26" x14ac:dyDescent="0.2">
      <c r="S441" s="1">
        <v>35703</v>
      </c>
      <c r="T441">
        <f t="shared" si="24"/>
        <v>9</v>
      </c>
      <c r="U441">
        <f t="shared" si="25"/>
        <v>1997</v>
      </c>
      <c r="V441" t="str">
        <f t="shared" si="26"/>
        <v>9/1997</v>
      </c>
      <c r="Y441" s="1">
        <v>35731</v>
      </c>
      <c r="Z441">
        <f t="shared" si="27"/>
        <v>28</v>
      </c>
    </row>
    <row r="442" spans="19:26" x14ac:dyDescent="0.2">
      <c r="S442" s="1">
        <v>35704</v>
      </c>
      <c r="T442">
        <f t="shared" si="24"/>
        <v>10</v>
      </c>
      <c r="U442">
        <f t="shared" si="25"/>
        <v>1997</v>
      </c>
      <c r="V442" t="str">
        <f t="shared" si="26"/>
        <v>10/1997</v>
      </c>
      <c r="Y442" s="1">
        <v>35718</v>
      </c>
      <c r="Z442">
        <f t="shared" si="27"/>
        <v>14</v>
      </c>
    </row>
    <row r="443" spans="19:26" x14ac:dyDescent="0.2">
      <c r="S443" s="1">
        <v>35704</v>
      </c>
      <c r="T443">
        <f t="shared" si="24"/>
        <v>10</v>
      </c>
      <c r="U443">
        <f t="shared" si="25"/>
        <v>1997</v>
      </c>
      <c r="V443" t="str">
        <f t="shared" si="26"/>
        <v>10/1997</v>
      </c>
      <c r="Y443" s="1">
        <v>35732</v>
      </c>
      <c r="Z443">
        <f t="shared" si="27"/>
        <v>28</v>
      </c>
    </row>
    <row r="444" spans="19:26" x14ac:dyDescent="0.2">
      <c r="S444" s="1">
        <v>35705</v>
      </c>
      <c r="T444">
        <f t="shared" si="24"/>
        <v>10</v>
      </c>
      <c r="U444">
        <f t="shared" si="25"/>
        <v>1997</v>
      </c>
      <c r="V444" t="str">
        <f t="shared" si="26"/>
        <v>10/1997</v>
      </c>
      <c r="Y444" s="1">
        <v>35733</v>
      </c>
      <c r="Z444">
        <f t="shared" si="27"/>
        <v>28</v>
      </c>
    </row>
    <row r="445" spans="19:26" x14ac:dyDescent="0.2">
      <c r="S445" s="1">
        <v>35706</v>
      </c>
      <c r="T445">
        <f t="shared" si="24"/>
        <v>10</v>
      </c>
      <c r="U445">
        <f t="shared" si="25"/>
        <v>1997</v>
      </c>
      <c r="V445" t="str">
        <f t="shared" si="26"/>
        <v>10/1997</v>
      </c>
      <c r="Y445" s="1">
        <v>35748</v>
      </c>
      <c r="Z445">
        <f t="shared" si="27"/>
        <v>42</v>
      </c>
    </row>
    <row r="446" spans="19:26" x14ac:dyDescent="0.2">
      <c r="S446" s="1">
        <v>35706</v>
      </c>
      <c r="T446">
        <f t="shared" si="24"/>
        <v>10</v>
      </c>
      <c r="U446">
        <f t="shared" si="25"/>
        <v>1997</v>
      </c>
      <c r="V446" t="str">
        <f t="shared" si="26"/>
        <v>10/1997</v>
      </c>
      <c r="Y446" s="1">
        <v>35734</v>
      </c>
      <c r="Z446">
        <f t="shared" si="27"/>
        <v>28</v>
      </c>
    </row>
    <row r="447" spans="19:26" x14ac:dyDescent="0.2">
      <c r="S447" s="1">
        <v>35709</v>
      </c>
      <c r="T447">
        <f t="shared" si="24"/>
        <v>10</v>
      </c>
      <c r="U447">
        <f t="shared" si="25"/>
        <v>1997</v>
      </c>
      <c r="V447" t="str">
        <f t="shared" si="26"/>
        <v>10/1997</v>
      </c>
      <c r="Y447" s="1">
        <v>35723</v>
      </c>
      <c r="Z447">
        <f t="shared" si="27"/>
        <v>14</v>
      </c>
    </row>
    <row r="448" spans="19:26" x14ac:dyDescent="0.2">
      <c r="S448" s="1">
        <v>35709</v>
      </c>
      <c r="T448">
        <f t="shared" si="24"/>
        <v>10</v>
      </c>
      <c r="U448">
        <f t="shared" si="25"/>
        <v>1997</v>
      </c>
      <c r="V448" t="str">
        <f t="shared" si="26"/>
        <v>10/1997</v>
      </c>
      <c r="Y448" s="1">
        <v>35737</v>
      </c>
      <c r="Z448">
        <f t="shared" si="27"/>
        <v>28</v>
      </c>
    </row>
    <row r="449" spans="19:26" x14ac:dyDescent="0.2">
      <c r="S449" s="1">
        <v>35710</v>
      </c>
      <c r="T449">
        <f t="shared" si="24"/>
        <v>10</v>
      </c>
      <c r="U449">
        <f t="shared" si="25"/>
        <v>1997</v>
      </c>
      <c r="V449" t="str">
        <f t="shared" si="26"/>
        <v>10/1997</v>
      </c>
      <c r="Y449" s="1">
        <v>35752</v>
      </c>
      <c r="Z449">
        <f t="shared" si="27"/>
        <v>42</v>
      </c>
    </row>
    <row r="450" spans="19:26" x14ac:dyDescent="0.2">
      <c r="S450" s="1">
        <v>35711</v>
      </c>
      <c r="T450">
        <f t="shared" si="24"/>
        <v>10</v>
      </c>
      <c r="U450">
        <f t="shared" si="25"/>
        <v>1997</v>
      </c>
      <c r="V450" t="str">
        <f t="shared" si="26"/>
        <v>10/1997</v>
      </c>
      <c r="Y450" s="1">
        <v>35753</v>
      </c>
      <c r="Z450">
        <f t="shared" si="27"/>
        <v>42</v>
      </c>
    </row>
    <row r="451" spans="19:26" x14ac:dyDescent="0.2">
      <c r="S451" s="1">
        <v>35711</v>
      </c>
      <c r="T451">
        <f t="shared" ref="T451:T514" si="28">MONTH(S451)</f>
        <v>10</v>
      </c>
      <c r="U451">
        <f t="shared" ref="U451:U514" si="29">YEAR(S451)</f>
        <v>1997</v>
      </c>
      <c r="V451" t="str">
        <f t="shared" ref="V451:V514" si="30">T451&amp;"/"&amp;U451</f>
        <v>10/1997</v>
      </c>
      <c r="Y451" s="1">
        <v>35739</v>
      </c>
      <c r="Z451">
        <f t="shared" ref="Z451:Z514" si="31">Y451-S451</f>
        <v>28</v>
      </c>
    </row>
    <row r="452" spans="19:26" x14ac:dyDescent="0.2">
      <c r="S452" s="1">
        <v>35712</v>
      </c>
      <c r="T452">
        <f t="shared" si="28"/>
        <v>10</v>
      </c>
      <c r="U452">
        <f t="shared" si="29"/>
        <v>1997</v>
      </c>
      <c r="V452" t="str">
        <f t="shared" si="30"/>
        <v>10/1997</v>
      </c>
      <c r="Y452" s="1">
        <v>35740</v>
      </c>
      <c r="Z452">
        <f t="shared" si="31"/>
        <v>28</v>
      </c>
    </row>
    <row r="453" spans="19:26" x14ac:dyDescent="0.2">
      <c r="S453" s="1">
        <v>35712</v>
      </c>
      <c r="T453">
        <f t="shared" si="28"/>
        <v>10</v>
      </c>
      <c r="U453">
        <f t="shared" si="29"/>
        <v>1997</v>
      </c>
      <c r="V453" t="str">
        <f t="shared" si="30"/>
        <v>10/1997</v>
      </c>
      <c r="Y453" s="1">
        <v>35740</v>
      </c>
      <c r="Z453">
        <f t="shared" si="31"/>
        <v>28</v>
      </c>
    </row>
    <row r="454" spans="19:26" x14ac:dyDescent="0.2">
      <c r="S454" s="1">
        <v>35713</v>
      </c>
      <c r="T454">
        <f t="shared" si="28"/>
        <v>10</v>
      </c>
      <c r="U454">
        <f t="shared" si="29"/>
        <v>1997</v>
      </c>
      <c r="V454" t="str">
        <f t="shared" si="30"/>
        <v>10/1997</v>
      </c>
      <c r="Y454" s="1">
        <v>35741</v>
      </c>
      <c r="Z454">
        <f t="shared" si="31"/>
        <v>28</v>
      </c>
    </row>
    <row r="455" spans="19:26" x14ac:dyDescent="0.2">
      <c r="S455" s="1">
        <v>35716</v>
      </c>
      <c r="T455">
        <f t="shared" si="28"/>
        <v>10</v>
      </c>
      <c r="U455">
        <f t="shared" si="29"/>
        <v>1997</v>
      </c>
      <c r="V455" t="str">
        <f t="shared" si="30"/>
        <v>10/1997</v>
      </c>
      <c r="Y455" s="1">
        <v>35730</v>
      </c>
      <c r="Z455">
        <f t="shared" si="31"/>
        <v>14</v>
      </c>
    </row>
    <row r="456" spans="19:26" x14ac:dyDescent="0.2">
      <c r="S456" s="1">
        <v>35716</v>
      </c>
      <c r="T456">
        <f t="shared" si="28"/>
        <v>10</v>
      </c>
      <c r="U456">
        <f t="shared" si="29"/>
        <v>1997</v>
      </c>
      <c r="V456" t="str">
        <f t="shared" si="30"/>
        <v>10/1997</v>
      </c>
      <c r="Y456" s="1">
        <v>35758</v>
      </c>
      <c r="Z456">
        <f t="shared" si="31"/>
        <v>42</v>
      </c>
    </row>
    <row r="457" spans="19:26" x14ac:dyDescent="0.2">
      <c r="S457" s="1">
        <v>35717</v>
      </c>
      <c r="T457">
        <f t="shared" si="28"/>
        <v>10</v>
      </c>
      <c r="U457">
        <f t="shared" si="29"/>
        <v>1997</v>
      </c>
      <c r="V457" t="str">
        <f t="shared" si="30"/>
        <v>10/1997</v>
      </c>
      <c r="Y457" s="1">
        <v>35745</v>
      </c>
      <c r="Z457">
        <f t="shared" si="31"/>
        <v>28</v>
      </c>
    </row>
    <row r="458" spans="19:26" x14ac:dyDescent="0.2">
      <c r="S458" s="1">
        <v>35717</v>
      </c>
      <c r="T458">
        <f t="shared" si="28"/>
        <v>10</v>
      </c>
      <c r="U458">
        <f t="shared" si="29"/>
        <v>1997</v>
      </c>
      <c r="V458" t="str">
        <f t="shared" si="30"/>
        <v>10/1997</v>
      </c>
      <c r="Y458" s="1">
        <v>35745</v>
      </c>
      <c r="Z458">
        <f t="shared" si="31"/>
        <v>28</v>
      </c>
    </row>
    <row r="459" spans="19:26" x14ac:dyDescent="0.2">
      <c r="S459" s="1">
        <v>35718</v>
      </c>
      <c r="T459">
        <f t="shared" si="28"/>
        <v>10</v>
      </c>
      <c r="U459">
        <f t="shared" si="29"/>
        <v>1997</v>
      </c>
      <c r="V459" t="str">
        <f t="shared" si="30"/>
        <v>10/1997</v>
      </c>
      <c r="Y459" s="1">
        <v>35746</v>
      </c>
      <c r="Z459">
        <f t="shared" si="31"/>
        <v>28</v>
      </c>
    </row>
    <row r="460" spans="19:26" x14ac:dyDescent="0.2">
      <c r="S460" s="1">
        <v>35719</v>
      </c>
      <c r="T460">
        <f t="shared" si="28"/>
        <v>10</v>
      </c>
      <c r="U460">
        <f t="shared" si="29"/>
        <v>1997</v>
      </c>
      <c r="V460" t="str">
        <f t="shared" si="30"/>
        <v>10/1997</v>
      </c>
      <c r="Y460" s="1">
        <v>35747</v>
      </c>
      <c r="Z460">
        <f t="shared" si="31"/>
        <v>28</v>
      </c>
    </row>
    <row r="461" spans="19:26" x14ac:dyDescent="0.2">
      <c r="S461" s="1">
        <v>35719</v>
      </c>
      <c r="T461">
        <f t="shared" si="28"/>
        <v>10</v>
      </c>
      <c r="U461">
        <f t="shared" si="29"/>
        <v>1997</v>
      </c>
      <c r="V461" t="str">
        <f t="shared" si="30"/>
        <v>10/1997</v>
      </c>
      <c r="Y461" s="1">
        <v>35733</v>
      </c>
      <c r="Z461">
        <f t="shared" si="31"/>
        <v>14</v>
      </c>
    </row>
    <row r="462" spans="19:26" x14ac:dyDescent="0.2">
      <c r="S462" s="1">
        <v>35720</v>
      </c>
      <c r="T462">
        <f t="shared" si="28"/>
        <v>10</v>
      </c>
      <c r="U462">
        <f t="shared" si="29"/>
        <v>1997</v>
      </c>
      <c r="V462" t="str">
        <f t="shared" si="30"/>
        <v>10/1997</v>
      </c>
      <c r="Y462" s="1">
        <v>35762</v>
      </c>
      <c r="Z462">
        <f t="shared" si="31"/>
        <v>42</v>
      </c>
    </row>
    <row r="463" spans="19:26" x14ac:dyDescent="0.2">
      <c r="S463" s="1">
        <v>35720</v>
      </c>
      <c r="T463">
        <f t="shared" si="28"/>
        <v>10</v>
      </c>
      <c r="U463">
        <f t="shared" si="29"/>
        <v>1997</v>
      </c>
      <c r="V463" t="str">
        <f t="shared" si="30"/>
        <v>10/1997</v>
      </c>
      <c r="Y463" s="1">
        <v>35748</v>
      </c>
      <c r="Z463">
        <f t="shared" si="31"/>
        <v>28</v>
      </c>
    </row>
    <row r="464" spans="19:26" x14ac:dyDescent="0.2">
      <c r="S464" s="1">
        <v>35723</v>
      </c>
      <c r="T464">
        <f t="shared" si="28"/>
        <v>10</v>
      </c>
      <c r="U464">
        <f t="shared" si="29"/>
        <v>1997</v>
      </c>
      <c r="V464" t="str">
        <f t="shared" si="30"/>
        <v>10/1997</v>
      </c>
      <c r="Y464" s="1">
        <v>35751</v>
      </c>
      <c r="Z464">
        <f t="shared" si="31"/>
        <v>28</v>
      </c>
    </row>
    <row r="465" spans="19:26" x14ac:dyDescent="0.2">
      <c r="S465" s="1">
        <v>35724</v>
      </c>
      <c r="T465">
        <f t="shared" si="28"/>
        <v>10</v>
      </c>
      <c r="U465">
        <f t="shared" si="29"/>
        <v>1997</v>
      </c>
      <c r="V465" t="str">
        <f t="shared" si="30"/>
        <v>10/1997</v>
      </c>
      <c r="Y465" s="1">
        <v>35766</v>
      </c>
      <c r="Z465">
        <f t="shared" si="31"/>
        <v>42</v>
      </c>
    </row>
    <row r="466" spans="19:26" x14ac:dyDescent="0.2">
      <c r="S466" s="1">
        <v>35724</v>
      </c>
      <c r="T466">
        <f t="shared" si="28"/>
        <v>10</v>
      </c>
      <c r="U466">
        <f t="shared" si="29"/>
        <v>1997</v>
      </c>
      <c r="V466" t="str">
        <f t="shared" si="30"/>
        <v>10/1997</v>
      </c>
      <c r="Y466" s="1">
        <v>35752</v>
      </c>
      <c r="Z466">
        <f t="shared" si="31"/>
        <v>28</v>
      </c>
    </row>
    <row r="467" spans="19:26" x14ac:dyDescent="0.2">
      <c r="S467" s="1">
        <v>35725</v>
      </c>
      <c r="T467">
        <f t="shared" si="28"/>
        <v>10</v>
      </c>
      <c r="U467">
        <f t="shared" si="29"/>
        <v>1997</v>
      </c>
      <c r="V467" t="str">
        <f t="shared" si="30"/>
        <v>10/1997</v>
      </c>
      <c r="Y467" s="1">
        <v>35753</v>
      </c>
      <c r="Z467">
        <f t="shared" si="31"/>
        <v>28</v>
      </c>
    </row>
    <row r="468" spans="19:26" x14ac:dyDescent="0.2">
      <c r="S468" s="1">
        <v>35725</v>
      </c>
      <c r="T468">
        <f t="shared" si="28"/>
        <v>10</v>
      </c>
      <c r="U468">
        <f t="shared" si="29"/>
        <v>1997</v>
      </c>
      <c r="V468" t="str">
        <f t="shared" si="30"/>
        <v>10/1997</v>
      </c>
      <c r="Y468" s="1">
        <v>35753</v>
      </c>
      <c r="Z468">
        <f t="shared" si="31"/>
        <v>28</v>
      </c>
    </row>
    <row r="469" spans="19:26" x14ac:dyDescent="0.2">
      <c r="S469" s="1">
        <v>35726</v>
      </c>
      <c r="T469">
        <f t="shared" si="28"/>
        <v>10</v>
      </c>
      <c r="U469">
        <f t="shared" si="29"/>
        <v>1997</v>
      </c>
      <c r="V469" t="str">
        <f t="shared" si="30"/>
        <v>10/1997</v>
      </c>
      <c r="Y469" s="1">
        <v>35740</v>
      </c>
      <c r="Z469">
        <f t="shared" si="31"/>
        <v>14</v>
      </c>
    </row>
    <row r="470" spans="19:26" x14ac:dyDescent="0.2">
      <c r="S470" s="1">
        <v>35727</v>
      </c>
      <c r="T470">
        <f t="shared" si="28"/>
        <v>10</v>
      </c>
      <c r="U470">
        <f t="shared" si="29"/>
        <v>1997</v>
      </c>
      <c r="V470" t="str">
        <f t="shared" si="30"/>
        <v>10/1997</v>
      </c>
      <c r="Y470" s="1">
        <v>35755</v>
      </c>
      <c r="Z470">
        <f t="shared" si="31"/>
        <v>28</v>
      </c>
    </row>
    <row r="471" spans="19:26" x14ac:dyDescent="0.2">
      <c r="S471" s="1">
        <v>35727</v>
      </c>
      <c r="T471">
        <f t="shared" si="28"/>
        <v>10</v>
      </c>
      <c r="U471">
        <f t="shared" si="29"/>
        <v>1997</v>
      </c>
      <c r="V471" t="str">
        <f t="shared" si="30"/>
        <v>10/1997</v>
      </c>
      <c r="Y471" s="1">
        <v>35755</v>
      </c>
      <c r="Z471">
        <f t="shared" si="31"/>
        <v>28</v>
      </c>
    </row>
    <row r="472" spans="19:26" x14ac:dyDescent="0.2">
      <c r="S472" s="1">
        <v>35730</v>
      </c>
      <c r="T472">
        <f t="shared" si="28"/>
        <v>10</v>
      </c>
      <c r="U472">
        <f t="shared" si="29"/>
        <v>1997</v>
      </c>
      <c r="V472" t="str">
        <f t="shared" si="30"/>
        <v>10/1997</v>
      </c>
      <c r="Y472" s="1">
        <v>35758</v>
      </c>
      <c r="Z472">
        <f t="shared" si="31"/>
        <v>28</v>
      </c>
    </row>
    <row r="473" spans="19:26" x14ac:dyDescent="0.2">
      <c r="S473" s="1">
        <v>35730</v>
      </c>
      <c r="T473">
        <f t="shared" si="28"/>
        <v>10</v>
      </c>
      <c r="U473">
        <f t="shared" si="29"/>
        <v>1997</v>
      </c>
      <c r="V473" t="str">
        <f t="shared" si="30"/>
        <v>10/1997</v>
      </c>
      <c r="Y473" s="1">
        <v>35758</v>
      </c>
      <c r="Z473">
        <f t="shared" si="31"/>
        <v>28</v>
      </c>
    </row>
    <row r="474" spans="19:26" x14ac:dyDescent="0.2">
      <c r="S474" s="1">
        <v>35731</v>
      </c>
      <c r="T474">
        <f t="shared" si="28"/>
        <v>10</v>
      </c>
      <c r="U474">
        <f t="shared" si="29"/>
        <v>1997</v>
      </c>
      <c r="V474" t="str">
        <f t="shared" si="30"/>
        <v>10/1997</v>
      </c>
      <c r="Y474" s="1">
        <v>35745</v>
      </c>
      <c r="Z474">
        <f t="shared" si="31"/>
        <v>14</v>
      </c>
    </row>
    <row r="475" spans="19:26" x14ac:dyDescent="0.2">
      <c r="S475" s="1">
        <v>35732</v>
      </c>
      <c r="T475">
        <f t="shared" si="28"/>
        <v>10</v>
      </c>
      <c r="U475">
        <f t="shared" si="29"/>
        <v>1997</v>
      </c>
      <c r="V475" t="str">
        <f t="shared" si="30"/>
        <v>10/1997</v>
      </c>
      <c r="Y475" s="1">
        <v>35760</v>
      </c>
      <c r="Z475">
        <f t="shared" si="31"/>
        <v>28</v>
      </c>
    </row>
    <row r="476" spans="19:26" x14ac:dyDescent="0.2">
      <c r="S476" s="1">
        <v>35732</v>
      </c>
      <c r="T476">
        <f t="shared" si="28"/>
        <v>10</v>
      </c>
      <c r="U476">
        <f t="shared" si="29"/>
        <v>1997</v>
      </c>
      <c r="V476" t="str">
        <f t="shared" si="30"/>
        <v>10/1997</v>
      </c>
      <c r="Y476" s="1">
        <v>35774</v>
      </c>
      <c r="Z476">
        <f t="shared" si="31"/>
        <v>42</v>
      </c>
    </row>
    <row r="477" spans="19:26" x14ac:dyDescent="0.2">
      <c r="S477" s="1">
        <v>35733</v>
      </c>
      <c r="T477">
        <f t="shared" si="28"/>
        <v>10</v>
      </c>
      <c r="U477">
        <f t="shared" si="29"/>
        <v>1997</v>
      </c>
      <c r="V477" t="str">
        <f t="shared" si="30"/>
        <v>10/1997</v>
      </c>
      <c r="Y477" s="1">
        <v>35761</v>
      </c>
      <c r="Z477">
        <f t="shared" si="31"/>
        <v>28</v>
      </c>
    </row>
    <row r="478" spans="19:26" x14ac:dyDescent="0.2">
      <c r="S478" s="1">
        <v>35733</v>
      </c>
      <c r="T478">
        <f t="shared" si="28"/>
        <v>10</v>
      </c>
      <c r="U478">
        <f t="shared" si="29"/>
        <v>1997</v>
      </c>
      <c r="V478" t="str">
        <f t="shared" si="30"/>
        <v>10/1997</v>
      </c>
      <c r="Y478" s="1">
        <v>35775</v>
      </c>
      <c r="Z478">
        <f t="shared" si="31"/>
        <v>42</v>
      </c>
    </row>
    <row r="479" spans="19:26" x14ac:dyDescent="0.2">
      <c r="S479" s="1">
        <v>35734</v>
      </c>
      <c r="T479">
        <f t="shared" si="28"/>
        <v>10</v>
      </c>
      <c r="U479">
        <f t="shared" si="29"/>
        <v>1997</v>
      </c>
      <c r="V479" t="str">
        <f t="shared" si="30"/>
        <v>10/1997</v>
      </c>
      <c r="Y479" s="1">
        <v>35762</v>
      </c>
      <c r="Z479">
        <f t="shared" si="31"/>
        <v>28</v>
      </c>
    </row>
    <row r="480" spans="19:26" x14ac:dyDescent="0.2">
      <c r="S480" s="1">
        <v>35737</v>
      </c>
      <c r="T480">
        <f t="shared" si="28"/>
        <v>11</v>
      </c>
      <c r="U480">
        <f t="shared" si="29"/>
        <v>1997</v>
      </c>
      <c r="V480" t="str">
        <f t="shared" si="30"/>
        <v>11/1997</v>
      </c>
      <c r="Y480" s="1">
        <v>35751</v>
      </c>
      <c r="Z480">
        <f t="shared" si="31"/>
        <v>14</v>
      </c>
    </row>
    <row r="481" spans="19:26" x14ac:dyDescent="0.2">
      <c r="S481" s="1">
        <v>35737</v>
      </c>
      <c r="T481">
        <f t="shared" si="28"/>
        <v>11</v>
      </c>
      <c r="U481">
        <f t="shared" si="29"/>
        <v>1997</v>
      </c>
      <c r="V481" t="str">
        <f t="shared" si="30"/>
        <v>11/1997</v>
      </c>
      <c r="Y481" s="1">
        <v>35765</v>
      </c>
      <c r="Z481">
        <f t="shared" si="31"/>
        <v>28</v>
      </c>
    </row>
    <row r="482" spans="19:26" x14ac:dyDescent="0.2">
      <c r="S482" s="1">
        <v>35738</v>
      </c>
      <c r="T482">
        <f t="shared" si="28"/>
        <v>11</v>
      </c>
      <c r="U482">
        <f t="shared" si="29"/>
        <v>1997</v>
      </c>
      <c r="V482" t="str">
        <f t="shared" si="30"/>
        <v>11/1997</v>
      </c>
      <c r="Y482" s="1">
        <v>35766</v>
      </c>
      <c r="Z482">
        <f t="shared" si="31"/>
        <v>28</v>
      </c>
    </row>
    <row r="483" spans="19:26" x14ac:dyDescent="0.2">
      <c r="S483" s="1">
        <v>35738</v>
      </c>
      <c r="T483">
        <f t="shared" si="28"/>
        <v>11</v>
      </c>
      <c r="U483">
        <f t="shared" si="29"/>
        <v>1997</v>
      </c>
      <c r="V483" t="str">
        <f t="shared" si="30"/>
        <v>11/1997</v>
      </c>
      <c r="Y483" s="1">
        <v>35780</v>
      </c>
      <c r="Z483">
        <f t="shared" si="31"/>
        <v>42</v>
      </c>
    </row>
    <row r="484" spans="19:26" x14ac:dyDescent="0.2">
      <c r="S484" s="1">
        <v>35739</v>
      </c>
      <c r="T484">
        <f t="shared" si="28"/>
        <v>11</v>
      </c>
      <c r="U484">
        <f t="shared" si="29"/>
        <v>1997</v>
      </c>
      <c r="V484" t="str">
        <f t="shared" si="30"/>
        <v>11/1997</v>
      </c>
      <c r="Y484" s="1">
        <v>35767</v>
      </c>
      <c r="Z484">
        <f t="shared" si="31"/>
        <v>28</v>
      </c>
    </row>
    <row r="485" spans="19:26" x14ac:dyDescent="0.2">
      <c r="S485" s="1">
        <v>35740</v>
      </c>
      <c r="T485">
        <f t="shared" si="28"/>
        <v>11</v>
      </c>
      <c r="U485">
        <f t="shared" si="29"/>
        <v>1997</v>
      </c>
      <c r="V485" t="str">
        <f t="shared" si="30"/>
        <v>11/1997</v>
      </c>
      <c r="Y485" s="1">
        <v>35768</v>
      </c>
      <c r="Z485">
        <f t="shared" si="31"/>
        <v>28</v>
      </c>
    </row>
    <row r="486" spans="19:26" x14ac:dyDescent="0.2">
      <c r="S486" s="1">
        <v>35740</v>
      </c>
      <c r="T486">
        <f t="shared" si="28"/>
        <v>11</v>
      </c>
      <c r="U486">
        <f t="shared" si="29"/>
        <v>1997</v>
      </c>
      <c r="V486" t="str">
        <f t="shared" si="30"/>
        <v>11/1997</v>
      </c>
      <c r="Y486" s="1">
        <v>35768</v>
      </c>
      <c r="Z486">
        <f t="shared" si="31"/>
        <v>28</v>
      </c>
    </row>
    <row r="487" spans="19:26" x14ac:dyDescent="0.2">
      <c r="S487" s="1">
        <v>35741</v>
      </c>
      <c r="T487">
        <f t="shared" si="28"/>
        <v>11</v>
      </c>
      <c r="U487">
        <f t="shared" si="29"/>
        <v>1997</v>
      </c>
      <c r="V487" t="str">
        <f t="shared" si="30"/>
        <v>11/1997</v>
      </c>
      <c r="Y487" s="1">
        <v>35769</v>
      </c>
      <c r="Z487">
        <f t="shared" si="31"/>
        <v>28</v>
      </c>
    </row>
    <row r="488" spans="19:26" x14ac:dyDescent="0.2">
      <c r="S488" s="1">
        <v>35741</v>
      </c>
      <c r="T488">
        <f t="shared" si="28"/>
        <v>11</v>
      </c>
      <c r="U488">
        <f t="shared" si="29"/>
        <v>1997</v>
      </c>
      <c r="V488" t="str">
        <f t="shared" si="30"/>
        <v>11/1997</v>
      </c>
      <c r="Y488" s="1">
        <v>35769</v>
      </c>
      <c r="Z488">
        <f t="shared" si="31"/>
        <v>28</v>
      </c>
    </row>
    <row r="489" spans="19:26" x14ac:dyDescent="0.2">
      <c r="S489" s="1">
        <v>35744</v>
      </c>
      <c r="T489">
        <f t="shared" si="28"/>
        <v>11</v>
      </c>
      <c r="U489">
        <f t="shared" si="29"/>
        <v>1997</v>
      </c>
      <c r="V489" t="str">
        <f t="shared" si="30"/>
        <v>11/1997</v>
      </c>
      <c r="Y489" s="1">
        <v>35772</v>
      </c>
      <c r="Z489">
        <f t="shared" si="31"/>
        <v>28</v>
      </c>
    </row>
    <row r="490" spans="19:26" x14ac:dyDescent="0.2">
      <c r="S490" s="1">
        <v>35745</v>
      </c>
      <c r="T490">
        <f t="shared" si="28"/>
        <v>11</v>
      </c>
      <c r="U490">
        <f t="shared" si="29"/>
        <v>1997</v>
      </c>
      <c r="V490" t="str">
        <f t="shared" si="30"/>
        <v>11/1997</v>
      </c>
      <c r="Y490" s="1">
        <v>35773</v>
      </c>
      <c r="Z490">
        <f t="shared" si="31"/>
        <v>28</v>
      </c>
    </row>
    <row r="491" spans="19:26" x14ac:dyDescent="0.2">
      <c r="S491" s="1">
        <v>35745</v>
      </c>
      <c r="T491">
        <f t="shared" si="28"/>
        <v>11</v>
      </c>
      <c r="U491">
        <f t="shared" si="29"/>
        <v>1997</v>
      </c>
      <c r="V491" t="str">
        <f t="shared" si="30"/>
        <v>11/1997</v>
      </c>
      <c r="Y491" s="1">
        <v>35773</v>
      </c>
      <c r="Z491">
        <f t="shared" si="31"/>
        <v>28</v>
      </c>
    </row>
    <row r="492" spans="19:26" x14ac:dyDescent="0.2">
      <c r="S492" s="1">
        <v>35746</v>
      </c>
      <c r="T492">
        <f t="shared" si="28"/>
        <v>11</v>
      </c>
      <c r="U492">
        <f t="shared" si="29"/>
        <v>1997</v>
      </c>
      <c r="V492" t="str">
        <f t="shared" si="30"/>
        <v>11/1997</v>
      </c>
      <c r="Y492" s="1">
        <v>35774</v>
      </c>
      <c r="Z492">
        <f t="shared" si="31"/>
        <v>28</v>
      </c>
    </row>
    <row r="493" spans="19:26" x14ac:dyDescent="0.2">
      <c r="S493" s="1">
        <v>35746</v>
      </c>
      <c r="T493">
        <f t="shared" si="28"/>
        <v>11</v>
      </c>
      <c r="U493">
        <f t="shared" si="29"/>
        <v>1997</v>
      </c>
      <c r="V493" t="str">
        <f t="shared" si="30"/>
        <v>11/1997</v>
      </c>
      <c r="Y493" s="1">
        <v>35774</v>
      </c>
      <c r="Z493">
        <f t="shared" si="31"/>
        <v>28</v>
      </c>
    </row>
    <row r="494" spans="19:26" x14ac:dyDescent="0.2">
      <c r="S494" s="1">
        <v>35747</v>
      </c>
      <c r="T494">
        <f t="shared" si="28"/>
        <v>11</v>
      </c>
      <c r="U494">
        <f t="shared" si="29"/>
        <v>1997</v>
      </c>
      <c r="V494" t="str">
        <f t="shared" si="30"/>
        <v>11/1997</v>
      </c>
      <c r="Y494" s="1">
        <v>35775</v>
      </c>
      <c r="Z494">
        <f t="shared" si="31"/>
        <v>28</v>
      </c>
    </row>
    <row r="495" spans="19:26" x14ac:dyDescent="0.2">
      <c r="S495" s="1">
        <v>35748</v>
      </c>
      <c r="T495">
        <f t="shared" si="28"/>
        <v>11</v>
      </c>
      <c r="U495">
        <f t="shared" si="29"/>
        <v>1997</v>
      </c>
      <c r="V495" t="str">
        <f t="shared" si="30"/>
        <v>11/1997</v>
      </c>
      <c r="Y495" s="1">
        <v>35762</v>
      </c>
      <c r="Z495">
        <f t="shared" si="31"/>
        <v>14</v>
      </c>
    </row>
    <row r="496" spans="19:26" x14ac:dyDescent="0.2">
      <c r="S496" s="1">
        <v>35748</v>
      </c>
      <c r="T496">
        <f t="shared" si="28"/>
        <v>11</v>
      </c>
      <c r="U496">
        <f t="shared" si="29"/>
        <v>1997</v>
      </c>
      <c r="V496" t="str">
        <f t="shared" si="30"/>
        <v>11/1997</v>
      </c>
      <c r="Y496" s="1">
        <v>35776</v>
      </c>
      <c r="Z496">
        <f t="shared" si="31"/>
        <v>28</v>
      </c>
    </row>
    <row r="497" spans="19:26" x14ac:dyDescent="0.2">
      <c r="S497" s="1">
        <v>35751</v>
      </c>
      <c r="T497">
        <f t="shared" si="28"/>
        <v>11</v>
      </c>
      <c r="U497">
        <f t="shared" si="29"/>
        <v>1997</v>
      </c>
      <c r="V497" t="str">
        <f t="shared" si="30"/>
        <v>11/1997</v>
      </c>
      <c r="Y497" s="1">
        <v>35779</v>
      </c>
      <c r="Z497">
        <f t="shared" si="31"/>
        <v>28</v>
      </c>
    </row>
    <row r="498" spans="19:26" x14ac:dyDescent="0.2">
      <c r="S498" s="1">
        <v>35751</v>
      </c>
      <c r="T498">
        <f t="shared" si="28"/>
        <v>11</v>
      </c>
      <c r="U498">
        <f t="shared" si="29"/>
        <v>1997</v>
      </c>
      <c r="V498" t="str">
        <f t="shared" si="30"/>
        <v>11/1997</v>
      </c>
      <c r="Y498" s="1">
        <v>35779</v>
      </c>
      <c r="Z498">
        <f t="shared" si="31"/>
        <v>28</v>
      </c>
    </row>
    <row r="499" spans="19:26" x14ac:dyDescent="0.2">
      <c r="S499" s="1">
        <v>35752</v>
      </c>
      <c r="T499">
        <f t="shared" si="28"/>
        <v>11</v>
      </c>
      <c r="U499">
        <f t="shared" si="29"/>
        <v>1997</v>
      </c>
      <c r="V499" t="str">
        <f t="shared" si="30"/>
        <v>11/1997</v>
      </c>
      <c r="Y499" s="1">
        <v>35780</v>
      </c>
      <c r="Z499">
        <f t="shared" si="31"/>
        <v>28</v>
      </c>
    </row>
    <row r="500" spans="19:26" x14ac:dyDescent="0.2">
      <c r="S500" s="1">
        <v>35753</v>
      </c>
      <c r="T500">
        <f t="shared" si="28"/>
        <v>11</v>
      </c>
      <c r="U500">
        <f t="shared" si="29"/>
        <v>1997</v>
      </c>
      <c r="V500" t="str">
        <f t="shared" si="30"/>
        <v>11/1997</v>
      </c>
      <c r="Y500" s="1">
        <v>35781</v>
      </c>
      <c r="Z500">
        <f t="shared" si="31"/>
        <v>28</v>
      </c>
    </row>
    <row r="501" spans="19:26" x14ac:dyDescent="0.2">
      <c r="S501" s="1">
        <v>35753</v>
      </c>
      <c r="T501">
        <f t="shared" si="28"/>
        <v>11</v>
      </c>
      <c r="U501">
        <f t="shared" si="29"/>
        <v>1997</v>
      </c>
      <c r="V501" t="str">
        <f t="shared" si="30"/>
        <v>11/1997</v>
      </c>
      <c r="Y501" s="1">
        <v>35781</v>
      </c>
      <c r="Z501">
        <f t="shared" si="31"/>
        <v>28</v>
      </c>
    </row>
    <row r="502" spans="19:26" x14ac:dyDescent="0.2">
      <c r="S502" s="1">
        <v>35754</v>
      </c>
      <c r="T502">
        <f t="shared" si="28"/>
        <v>11</v>
      </c>
      <c r="U502">
        <f t="shared" si="29"/>
        <v>1997</v>
      </c>
      <c r="V502" t="str">
        <f t="shared" si="30"/>
        <v>11/1997</v>
      </c>
      <c r="Y502" s="1">
        <v>35782</v>
      </c>
      <c r="Z502">
        <f t="shared" si="31"/>
        <v>28</v>
      </c>
    </row>
    <row r="503" spans="19:26" x14ac:dyDescent="0.2">
      <c r="S503" s="1">
        <v>35754</v>
      </c>
      <c r="T503">
        <f t="shared" si="28"/>
        <v>11</v>
      </c>
      <c r="U503">
        <f t="shared" si="29"/>
        <v>1997</v>
      </c>
      <c r="V503" t="str">
        <f t="shared" si="30"/>
        <v>11/1997</v>
      </c>
      <c r="Y503" s="1">
        <v>35782</v>
      </c>
      <c r="Z503">
        <f t="shared" si="31"/>
        <v>28</v>
      </c>
    </row>
    <row r="504" spans="19:26" x14ac:dyDescent="0.2">
      <c r="S504" s="1">
        <v>35755</v>
      </c>
      <c r="T504">
        <f t="shared" si="28"/>
        <v>11</v>
      </c>
      <c r="U504">
        <f t="shared" si="29"/>
        <v>1997</v>
      </c>
      <c r="V504" t="str">
        <f t="shared" si="30"/>
        <v>11/1997</v>
      </c>
      <c r="Y504" s="1">
        <v>35783</v>
      </c>
      <c r="Z504">
        <f t="shared" si="31"/>
        <v>28</v>
      </c>
    </row>
    <row r="505" spans="19:26" x14ac:dyDescent="0.2">
      <c r="S505" s="1">
        <v>35758</v>
      </c>
      <c r="T505">
        <f t="shared" si="28"/>
        <v>11</v>
      </c>
      <c r="U505">
        <f t="shared" si="29"/>
        <v>1997</v>
      </c>
      <c r="V505" t="str">
        <f t="shared" si="30"/>
        <v>11/1997</v>
      </c>
      <c r="Y505" s="1">
        <v>35786</v>
      </c>
      <c r="Z505">
        <f t="shared" si="31"/>
        <v>28</v>
      </c>
    </row>
    <row r="506" spans="19:26" x14ac:dyDescent="0.2">
      <c r="S506" s="1">
        <v>35758</v>
      </c>
      <c r="T506">
        <f t="shared" si="28"/>
        <v>11</v>
      </c>
      <c r="U506">
        <f t="shared" si="29"/>
        <v>1997</v>
      </c>
      <c r="V506" t="str">
        <f t="shared" si="30"/>
        <v>11/1997</v>
      </c>
      <c r="Y506" s="1">
        <v>35786</v>
      </c>
      <c r="Z506">
        <f t="shared" si="31"/>
        <v>28</v>
      </c>
    </row>
    <row r="507" spans="19:26" x14ac:dyDescent="0.2">
      <c r="S507" s="1">
        <v>35759</v>
      </c>
      <c r="T507">
        <f t="shared" si="28"/>
        <v>11</v>
      </c>
      <c r="U507">
        <f t="shared" si="29"/>
        <v>1997</v>
      </c>
      <c r="V507" t="str">
        <f t="shared" si="30"/>
        <v>11/1997</v>
      </c>
      <c r="Y507" s="1">
        <v>35787</v>
      </c>
      <c r="Z507">
        <f t="shared" si="31"/>
        <v>28</v>
      </c>
    </row>
    <row r="508" spans="19:26" x14ac:dyDescent="0.2">
      <c r="S508" s="1">
        <v>35759</v>
      </c>
      <c r="T508">
        <f t="shared" si="28"/>
        <v>11</v>
      </c>
      <c r="U508">
        <f t="shared" si="29"/>
        <v>1997</v>
      </c>
      <c r="V508" t="str">
        <f t="shared" si="30"/>
        <v>11/1997</v>
      </c>
      <c r="Y508" s="1">
        <v>35787</v>
      </c>
      <c r="Z508">
        <f t="shared" si="31"/>
        <v>28</v>
      </c>
    </row>
    <row r="509" spans="19:26" x14ac:dyDescent="0.2">
      <c r="S509" s="1">
        <v>35760</v>
      </c>
      <c r="T509">
        <f t="shared" si="28"/>
        <v>11</v>
      </c>
      <c r="U509">
        <f t="shared" si="29"/>
        <v>1997</v>
      </c>
      <c r="V509" t="str">
        <f t="shared" si="30"/>
        <v>11/1997</v>
      </c>
      <c r="Y509" s="1">
        <v>35788</v>
      </c>
      <c r="Z509">
        <f t="shared" si="31"/>
        <v>28</v>
      </c>
    </row>
    <row r="510" spans="19:26" x14ac:dyDescent="0.2">
      <c r="S510" s="1">
        <v>35761</v>
      </c>
      <c r="T510">
        <f t="shared" si="28"/>
        <v>11</v>
      </c>
      <c r="U510">
        <f t="shared" si="29"/>
        <v>1997</v>
      </c>
      <c r="V510" t="str">
        <f t="shared" si="30"/>
        <v>11/1997</v>
      </c>
      <c r="Y510" s="1">
        <v>35789</v>
      </c>
      <c r="Z510">
        <f t="shared" si="31"/>
        <v>28</v>
      </c>
    </row>
    <row r="511" spans="19:26" x14ac:dyDescent="0.2">
      <c r="S511" s="1">
        <v>35761</v>
      </c>
      <c r="T511">
        <f t="shared" si="28"/>
        <v>11</v>
      </c>
      <c r="U511">
        <f t="shared" si="29"/>
        <v>1997</v>
      </c>
      <c r="V511" t="str">
        <f t="shared" si="30"/>
        <v>11/1997</v>
      </c>
      <c r="Y511" s="1">
        <v>35789</v>
      </c>
      <c r="Z511">
        <f t="shared" si="31"/>
        <v>28</v>
      </c>
    </row>
    <row r="512" spans="19:26" x14ac:dyDescent="0.2">
      <c r="S512" s="1">
        <v>35762</v>
      </c>
      <c r="T512">
        <f t="shared" si="28"/>
        <v>11</v>
      </c>
      <c r="U512">
        <f t="shared" si="29"/>
        <v>1997</v>
      </c>
      <c r="V512" t="str">
        <f t="shared" si="30"/>
        <v>11/1997</v>
      </c>
      <c r="Y512" s="1">
        <v>35790</v>
      </c>
      <c r="Z512">
        <f t="shared" si="31"/>
        <v>28</v>
      </c>
    </row>
    <row r="513" spans="19:26" x14ac:dyDescent="0.2">
      <c r="S513" s="1">
        <v>35762</v>
      </c>
      <c r="T513">
        <f t="shared" si="28"/>
        <v>11</v>
      </c>
      <c r="U513">
        <f t="shared" si="29"/>
        <v>1997</v>
      </c>
      <c r="V513" t="str">
        <f t="shared" si="30"/>
        <v>11/1997</v>
      </c>
      <c r="Y513" s="1">
        <v>35790</v>
      </c>
      <c r="Z513">
        <f t="shared" si="31"/>
        <v>28</v>
      </c>
    </row>
    <row r="514" spans="19:26" x14ac:dyDescent="0.2">
      <c r="S514" s="1">
        <v>35765</v>
      </c>
      <c r="T514">
        <f t="shared" si="28"/>
        <v>12</v>
      </c>
      <c r="U514">
        <f t="shared" si="29"/>
        <v>1997</v>
      </c>
      <c r="V514" t="str">
        <f t="shared" si="30"/>
        <v>12/1997</v>
      </c>
      <c r="Y514" s="1">
        <v>35793</v>
      </c>
      <c r="Z514">
        <f t="shared" si="31"/>
        <v>28</v>
      </c>
    </row>
    <row r="515" spans="19:26" x14ac:dyDescent="0.2">
      <c r="S515" s="1">
        <v>35766</v>
      </c>
      <c r="T515">
        <f t="shared" ref="T515:T578" si="32">MONTH(S515)</f>
        <v>12</v>
      </c>
      <c r="U515">
        <f t="shared" ref="U515:U578" si="33">YEAR(S515)</f>
        <v>1997</v>
      </c>
      <c r="V515" t="str">
        <f t="shared" ref="V515:V578" si="34">T515&amp;"/"&amp;U515</f>
        <v>12/1997</v>
      </c>
      <c r="Y515" s="1">
        <v>35794</v>
      </c>
      <c r="Z515">
        <f t="shared" ref="Z515:Z578" si="35">Y515-S515</f>
        <v>28</v>
      </c>
    </row>
    <row r="516" spans="19:26" x14ac:dyDescent="0.2">
      <c r="S516" s="1">
        <v>35766</v>
      </c>
      <c r="T516">
        <f t="shared" si="32"/>
        <v>12</v>
      </c>
      <c r="U516">
        <f t="shared" si="33"/>
        <v>1997</v>
      </c>
      <c r="V516" t="str">
        <f t="shared" si="34"/>
        <v>12/1997</v>
      </c>
      <c r="Y516" s="1">
        <v>35794</v>
      </c>
      <c r="Z516">
        <f t="shared" si="35"/>
        <v>28</v>
      </c>
    </row>
    <row r="517" spans="19:26" x14ac:dyDescent="0.2">
      <c r="S517" s="1">
        <v>35767</v>
      </c>
      <c r="T517">
        <f t="shared" si="32"/>
        <v>12</v>
      </c>
      <c r="U517">
        <f t="shared" si="33"/>
        <v>1997</v>
      </c>
      <c r="V517" t="str">
        <f t="shared" si="34"/>
        <v>12/1997</v>
      </c>
      <c r="Y517" s="1">
        <v>35795</v>
      </c>
      <c r="Z517">
        <f t="shared" si="35"/>
        <v>28</v>
      </c>
    </row>
    <row r="518" spans="19:26" x14ac:dyDescent="0.2">
      <c r="S518" s="1">
        <v>35767</v>
      </c>
      <c r="T518">
        <f t="shared" si="32"/>
        <v>12</v>
      </c>
      <c r="U518">
        <f t="shared" si="33"/>
        <v>1997</v>
      </c>
      <c r="V518" t="str">
        <f t="shared" si="34"/>
        <v>12/1997</v>
      </c>
      <c r="Y518" s="1">
        <v>35795</v>
      </c>
      <c r="Z518">
        <f t="shared" si="35"/>
        <v>28</v>
      </c>
    </row>
    <row r="519" spans="19:26" x14ac:dyDescent="0.2">
      <c r="S519" s="1">
        <v>35768</v>
      </c>
      <c r="T519">
        <f t="shared" si="32"/>
        <v>12</v>
      </c>
      <c r="U519">
        <f t="shared" si="33"/>
        <v>1997</v>
      </c>
      <c r="V519" t="str">
        <f t="shared" si="34"/>
        <v>12/1997</v>
      </c>
      <c r="Y519" s="1">
        <v>35796</v>
      </c>
      <c r="Z519">
        <f t="shared" si="35"/>
        <v>28</v>
      </c>
    </row>
    <row r="520" spans="19:26" x14ac:dyDescent="0.2">
      <c r="S520" s="1">
        <v>35769</v>
      </c>
      <c r="T520">
        <f t="shared" si="32"/>
        <v>12</v>
      </c>
      <c r="U520">
        <f t="shared" si="33"/>
        <v>1997</v>
      </c>
      <c r="V520" t="str">
        <f t="shared" si="34"/>
        <v>12/1997</v>
      </c>
      <c r="Y520" s="1">
        <v>35797</v>
      </c>
      <c r="Z520">
        <f t="shared" si="35"/>
        <v>28</v>
      </c>
    </row>
    <row r="521" spans="19:26" x14ac:dyDescent="0.2">
      <c r="S521" s="1">
        <v>35769</v>
      </c>
      <c r="T521">
        <f t="shared" si="32"/>
        <v>12</v>
      </c>
      <c r="U521">
        <f t="shared" si="33"/>
        <v>1997</v>
      </c>
      <c r="V521" t="str">
        <f t="shared" si="34"/>
        <v>12/1997</v>
      </c>
      <c r="Y521" s="1">
        <v>35797</v>
      </c>
      <c r="Z521">
        <f t="shared" si="35"/>
        <v>28</v>
      </c>
    </row>
    <row r="522" spans="19:26" x14ac:dyDescent="0.2">
      <c r="S522" s="1">
        <v>35772</v>
      </c>
      <c r="T522">
        <f t="shared" si="32"/>
        <v>12</v>
      </c>
      <c r="U522">
        <f t="shared" si="33"/>
        <v>1997</v>
      </c>
      <c r="V522" t="str">
        <f t="shared" si="34"/>
        <v>12/1997</v>
      </c>
      <c r="Y522" s="1">
        <v>35800</v>
      </c>
      <c r="Z522">
        <f t="shared" si="35"/>
        <v>28</v>
      </c>
    </row>
    <row r="523" spans="19:26" x14ac:dyDescent="0.2">
      <c r="S523" s="1">
        <v>35772</v>
      </c>
      <c r="T523">
        <f t="shared" si="32"/>
        <v>12</v>
      </c>
      <c r="U523">
        <f t="shared" si="33"/>
        <v>1997</v>
      </c>
      <c r="V523" t="str">
        <f t="shared" si="34"/>
        <v>12/1997</v>
      </c>
      <c r="Y523" s="1">
        <v>35800</v>
      </c>
      <c r="Z523">
        <f t="shared" si="35"/>
        <v>28</v>
      </c>
    </row>
    <row r="524" spans="19:26" x14ac:dyDescent="0.2">
      <c r="S524" s="1">
        <v>35773</v>
      </c>
      <c r="T524">
        <f t="shared" si="32"/>
        <v>12</v>
      </c>
      <c r="U524">
        <f t="shared" si="33"/>
        <v>1997</v>
      </c>
      <c r="V524" t="str">
        <f t="shared" si="34"/>
        <v>12/1997</v>
      </c>
      <c r="Y524" s="1">
        <v>35801</v>
      </c>
      <c r="Z524">
        <f t="shared" si="35"/>
        <v>28</v>
      </c>
    </row>
    <row r="525" spans="19:26" x14ac:dyDescent="0.2">
      <c r="S525" s="1">
        <v>35774</v>
      </c>
      <c r="T525">
        <f t="shared" si="32"/>
        <v>12</v>
      </c>
      <c r="U525">
        <f t="shared" si="33"/>
        <v>1997</v>
      </c>
      <c r="V525" t="str">
        <f t="shared" si="34"/>
        <v>12/1997</v>
      </c>
      <c r="Y525" s="1">
        <v>35802</v>
      </c>
      <c r="Z525">
        <f t="shared" si="35"/>
        <v>28</v>
      </c>
    </row>
    <row r="526" spans="19:26" x14ac:dyDescent="0.2">
      <c r="S526" s="1">
        <v>35774</v>
      </c>
      <c r="T526">
        <f t="shared" si="32"/>
        <v>12</v>
      </c>
      <c r="U526">
        <f t="shared" si="33"/>
        <v>1997</v>
      </c>
      <c r="V526" t="str">
        <f t="shared" si="34"/>
        <v>12/1997</v>
      </c>
      <c r="Y526" s="1">
        <v>35802</v>
      </c>
      <c r="Z526">
        <f t="shared" si="35"/>
        <v>28</v>
      </c>
    </row>
    <row r="527" spans="19:26" x14ac:dyDescent="0.2">
      <c r="S527" s="1">
        <v>35775</v>
      </c>
      <c r="T527">
        <f t="shared" si="32"/>
        <v>12</v>
      </c>
      <c r="U527">
        <f t="shared" si="33"/>
        <v>1997</v>
      </c>
      <c r="V527" t="str">
        <f t="shared" si="34"/>
        <v>12/1997</v>
      </c>
      <c r="Y527" s="1">
        <v>35803</v>
      </c>
      <c r="Z527">
        <f t="shared" si="35"/>
        <v>28</v>
      </c>
    </row>
    <row r="528" spans="19:26" x14ac:dyDescent="0.2">
      <c r="S528" s="1">
        <v>35775</v>
      </c>
      <c r="T528">
        <f t="shared" si="32"/>
        <v>12</v>
      </c>
      <c r="U528">
        <f t="shared" si="33"/>
        <v>1997</v>
      </c>
      <c r="V528" t="str">
        <f t="shared" si="34"/>
        <v>12/1997</v>
      </c>
      <c r="Y528" s="1">
        <v>35789</v>
      </c>
      <c r="Z528">
        <f t="shared" si="35"/>
        <v>14</v>
      </c>
    </row>
    <row r="529" spans="19:26" x14ac:dyDescent="0.2">
      <c r="S529" s="1">
        <v>35776</v>
      </c>
      <c r="T529">
        <f t="shared" si="32"/>
        <v>12</v>
      </c>
      <c r="U529">
        <f t="shared" si="33"/>
        <v>1997</v>
      </c>
      <c r="V529" t="str">
        <f t="shared" si="34"/>
        <v>12/1997</v>
      </c>
      <c r="Y529" s="1">
        <v>35804</v>
      </c>
      <c r="Z529">
        <f t="shared" si="35"/>
        <v>28</v>
      </c>
    </row>
    <row r="530" spans="19:26" x14ac:dyDescent="0.2">
      <c r="S530" s="1">
        <v>35779</v>
      </c>
      <c r="T530">
        <f t="shared" si="32"/>
        <v>12</v>
      </c>
      <c r="U530">
        <f t="shared" si="33"/>
        <v>1997</v>
      </c>
      <c r="V530" t="str">
        <f t="shared" si="34"/>
        <v>12/1997</v>
      </c>
      <c r="Y530" s="1">
        <v>35807</v>
      </c>
      <c r="Z530">
        <f t="shared" si="35"/>
        <v>28</v>
      </c>
    </row>
    <row r="531" spans="19:26" x14ac:dyDescent="0.2">
      <c r="S531" s="1">
        <v>35779</v>
      </c>
      <c r="T531">
        <f t="shared" si="32"/>
        <v>12</v>
      </c>
      <c r="U531">
        <f t="shared" si="33"/>
        <v>1997</v>
      </c>
      <c r="V531" t="str">
        <f t="shared" si="34"/>
        <v>12/1997</v>
      </c>
      <c r="Y531" s="1">
        <v>35793</v>
      </c>
      <c r="Z531">
        <f t="shared" si="35"/>
        <v>14</v>
      </c>
    </row>
    <row r="532" spans="19:26" x14ac:dyDescent="0.2">
      <c r="S532" s="1">
        <v>35780</v>
      </c>
      <c r="T532">
        <f t="shared" si="32"/>
        <v>12</v>
      </c>
      <c r="U532">
        <f t="shared" si="33"/>
        <v>1997</v>
      </c>
      <c r="V532" t="str">
        <f t="shared" si="34"/>
        <v>12/1997</v>
      </c>
      <c r="Y532" s="1">
        <v>35808</v>
      </c>
      <c r="Z532">
        <f t="shared" si="35"/>
        <v>28</v>
      </c>
    </row>
    <row r="533" spans="19:26" x14ac:dyDescent="0.2">
      <c r="S533" s="1">
        <v>35780</v>
      </c>
      <c r="T533">
        <f t="shared" si="32"/>
        <v>12</v>
      </c>
      <c r="U533">
        <f t="shared" si="33"/>
        <v>1997</v>
      </c>
      <c r="V533" t="str">
        <f t="shared" si="34"/>
        <v>12/1997</v>
      </c>
      <c r="Y533" s="1">
        <v>35808</v>
      </c>
      <c r="Z533">
        <f t="shared" si="35"/>
        <v>28</v>
      </c>
    </row>
    <row r="534" spans="19:26" x14ac:dyDescent="0.2">
      <c r="S534" s="1">
        <v>35780</v>
      </c>
      <c r="T534">
        <f t="shared" si="32"/>
        <v>12</v>
      </c>
      <c r="U534">
        <f t="shared" si="33"/>
        <v>1997</v>
      </c>
      <c r="V534" t="str">
        <f t="shared" si="34"/>
        <v>12/1997</v>
      </c>
      <c r="Y534" s="1">
        <v>35794</v>
      </c>
      <c r="Z534">
        <f t="shared" si="35"/>
        <v>14</v>
      </c>
    </row>
    <row r="535" spans="19:26" x14ac:dyDescent="0.2">
      <c r="S535" s="1">
        <v>35781</v>
      </c>
      <c r="T535">
        <f t="shared" si="32"/>
        <v>12</v>
      </c>
      <c r="U535">
        <f t="shared" si="33"/>
        <v>1997</v>
      </c>
      <c r="V535" t="str">
        <f t="shared" si="34"/>
        <v>12/1997</v>
      </c>
      <c r="Y535" s="1">
        <v>35809</v>
      </c>
      <c r="Z535">
        <f t="shared" si="35"/>
        <v>28</v>
      </c>
    </row>
    <row r="536" spans="19:26" x14ac:dyDescent="0.2">
      <c r="S536" s="1">
        <v>35781</v>
      </c>
      <c r="T536">
        <f t="shared" si="32"/>
        <v>12</v>
      </c>
      <c r="U536">
        <f t="shared" si="33"/>
        <v>1997</v>
      </c>
      <c r="V536" t="str">
        <f t="shared" si="34"/>
        <v>12/1997</v>
      </c>
      <c r="Y536" s="1">
        <v>35809</v>
      </c>
      <c r="Z536">
        <f t="shared" si="35"/>
        <v>28</v>
      </c>
    </row>
    <row r="537" spans="19:26" x14ac:dyDescent="0.2">
      <c r="S537" s="1">
        <v>35782</v>
      </c>
      <c r="T537">
        <f t="shared" si="32"/>
        <v>12</v>
      </c>
      <c r="U537">
        <f t="shared" si="33"/>
        <v>1997</v>
      </c>
      <c r="V537" t="str">
        <f t="shared" si="34"/>
        <v>12/1997</v>
      </c>
      <c r="Y537" s="1">
        <v>35810</v>
      </c>
      <c r="Z537">
        <f t="shared" si="35"/>
        <v>28</v>
      </c>
    </row>
    <row r="538" spans="19:26" x14ac:dyDescent="0.2">
      <c r="S538" s="1">
        <v>35782</v>
      </c>
      <c r="T538">
        <f t="shared" si="32"/>
        <v>12</v>
      </c>
      <c r="U538">
        <f t="shared" si="33"/>
        <v>1997</v>
      </c>
      <c r="V538" t="str">
        <f t="shared" si="34"/>
        <v>12/1997</v>
      </c>
      <c r="Y538" s="1">
        <v>35810</v>
      </c>
      <c r="Z538">
        <f t="shared" si="35"/>
        <v>28</v>
      </c>
    </row>
    <row r="539" spans="19:26" x14ac:dyDescent="0.2">
      <c r="S539" s="1">
        <v>35782</v>
      </c>
      <c r="T539">
        <f t="shared" si="32"/>
        <v>12</v>
      </c>
      <c r="U539">
        <f t="shared" si="33"/>
        <v>1997</v>
      </c>
      <c r="V539" t="str">
        <f t="shared" si="34"/>
        <v>12/1997</v>
      </c>
      <c r="Y539" s="1">
        <v>35810</v>
      </c>
      <c r="Z539">
        <f t="shared" si="35"/>
        <v>28</v>
      </c>
    </row>
    <row r="540" spans="19:26" x14ac:dyDescent="0.2">
      <c r="S540" s="1">
        <v>35783</v>
      </c>
      <c r="T540">
        <f t="shared" si="32"/>
        <v>12</v>
      </c>
      <c r="U540">
        <f t="shared" si="33"/>
        <v>1997</v>
      </c>
      <c r="V540" t="str">
        <f t="shared" si="34"/>
        <v>12/1997</v>
      </c>
      <c r="Y540" s="1">
        <v>35811</v>
      </c>
      <c r="Z540">
        <f t="shared" si="35"/>
        <v>28</v>
      </c>
    </row>
    <row r="541" spans="19:26" x14ac:dyDescent="0.2">
      <c r="S541" s="1">
        <v>35783</v>
      </c>
      <c r="T541">
        <f t="shared" si="32"/>
        <v>12</v>
      </c>
      <c r="U541">
        <f t="shared" si="33"/>
        <v>1997</v>
      </c>
      <c r="V541" t="str">
        <f t="shared" si="34"/>
        <v>12/1997</v>
      </c>
      <c r="Y541" s="1">
        <v>35797</v>
      </c>
      <c r="Z541">
        <f t="shared" si="35"/>
        <v>14</v>
      </c>
    </row>
    <row r="542" spans="19:26" x14ac:dyDescent="0.2">
      <c r="S542" s="1">
        <v>35786</v>
      </c>
      <c r="T542">
        <f t="shared" si="32"/>
        <v>12</v>
      </c>
      <c r="U542">
        <f t="shared" si="33"/>
        <v>1997</v>
      </c>
      <c r="V542" t="str">
        <f t="shared" si="34"/>
        <v>12/1997</v>
      </c>
      <c r="Y542" s="1">
        <v>35814</v>
      </c>
      <c r="Z542">
        <f t="shared" si="35"/>
        <v>28</v>
      </c>
    </row>
    <row r="543" spans="19:26" x14ac:dyDescent="0.2">
      <c r="S543" s="1">
        <v>35786</v>
      </c>
      <c r="T543">
        <f t="shared" si="32"/>
        <v>12</v>
      </c>
      <c r="U543">
        <f t="shared" si="33"/>
        <v>1997</v>
      </c>
      <c r="V543" t="str">
        <f t="shared" si="34"/>
        <v>12/1997</v>
      </c>
      <c r="Y543" s="1">
        <v>35814</v>
      </c>
      <c r="Z543">
        <f t="shared" si="35"/>
        <v>28</v>
      </c>
    </row>
    <row r="544" spans="19:26" x14ac:dyDescent="0.2">
      <c r="S544" s="1">
        <v>35786</v>
      </c>
      <c r="T544">
        <f t="shared" si="32"/>
        <v>12</v>
      </c>
      <c r="U544">
        <f t="shared" si="33"/>
        <v>1997</v>
      </c>
      <c r="V544" t="str">
        <f t="shared" si="34"/>
        <v>12/1997</v>
      </c>
      <c r="Y544" s="1">
        <v>35814</v>
      </c>
      <c r="Z544">
        <f t="shared" si="35"/>
        <v>28</v>
      </c>
    </row>
    <row r="545" spans="19:26" x14ac:dyDescent="0.2">
      <c r="S545" s="1">
        <v>35787</v>
      </c>
      <c r="T545">
        <f t="shared" si="32"/>
        <v>12</v>
      </c>
      <c r="U545">
        <f t="shared" si="33"/>
        <v>1997</v>
      </c>
      <c r="V545" t="str">
        <f t="shared" si="34"/>
        <v>12/1997</v>
      </c>
      <c r="Y545" s="1">
        <v>35815</v>
      </c>
      <c r="Z545">
        <f t="shared" si="35"/>
        <v>28</v>
      </c>
    </row>
    <row r="546" spans="19:26" x14ac:dyDescent="0.2">
      <c r="S546" s="1">
        <v>35787</v>
      </c>
      <c r="T546">
        <f t="shared" si="32"/>
        <v>12</v>
      </c>
      <c r="U546">
        <f t="shared" si="33"/>
        <v>1997</v>
      </c>
      <c r="V546" t="str">
        <f t="shared" si="34"/>
        <v>12/1997</v>
      </c>
      <c r="Y546" s="1">
        <v>35815</v>
      </c>
      <c r="Z546">
        <f t="shared" si="35"/>
        <v>28</v>
      </c>
    </row>
    <row r="547" spans="19:26" x14ac:dyDescent="0.2">
      <c r="S547" s="1">
        <v>35788</v>
      </c>
      <c r="T547">
        <f t="shared" si="32"/>
        <v>12</v>
      </c>
      <c r="U547">
        <f t="shared" si="33"/>
        <v>1997</v>
      </c>
      <c r="V547" t="str">
        <f t="shared" si="34"/>
        <v>12/1997</v>
      </c>
      <c r="Y547" s="1">
        <v>35816</v>
      </c>
      <c r="Z547">
        <f t="shared" si="35"/>
        <v>28</v>
      </c>
    </row>
    <row r="548" spans="19:26" x14ac:dyDescent="0.2">
      <c r="S548" s="1">
        <v>35788</v>
      </c>
      <c r="T548">
        <f t="shared" si="32"/>
        <v>12</v>
      </c>
      <c r="U548">
        <f t="shared" si="33"/>
        <v>1997</v>
      </c>
      <c r="V548" t="str">
        <f t="shared" si="34"/>
        <v>12/1997</v>
      </c>
      <c r="Y548" s="1">
        <v>35816</v>
      </c>
      <c r="Z548">
        <f t="shared" si="35"/>
        <v>28</v>
      </c>
    </row>
    <row r="549" spans="19:26" x14ac:dyDescent="0.2">
      <c r="S549" s="1">
        <v>35788</v>
      </c>
      <c r="T549">
        <f t="shared" si="32"/>
        <v>12</v>
      </c>
      <c r="U549">
        <f t="shared" si="33"/>
        <v>1997</v>
      </c>
      <c r="V549" t="str">
        <f t="shared" si="34"/>
        <v>12/1997</v>
      </c>
      <c r="Y549" s="1">
        <v>35816</v>
      </c>
      <c r="Z549">
        <f t="shared" si="35"/>
        <v>28</v>
      </c>
    </row>
    <row r="550" spans="19:26" x14ac:dyDescent="0.2">
      <c r="S550" s="1">
        <v>35789</v>
      </c>
      <c r="T550">
        <f t="shared" si="32"/>
        <v>12</v>
      </c>
      <c r="U550">
        <f t="shared" si="33"/>
        <v>1997</v>
      </c>
      <c r="V550" t="str">
        <f t="shared" si="34"/>
        <v>12/1997</v>
      </c>
      <c r="Y550" s="1">
        <v>35817</v>
      </c>
      <c r="Z550">
        <f t="shared" si="35"/>
        <v>28</v>
      </c>
    </row>
    <row r="551" spans="19:26" x14ac:dyDescent="0.2">
      <c r="S551" s="1">
        <v>35789</v>
      </c>
      <c r="T551">
        <f t="shared" si="32"/>
        <v>12</v>
      </c>
      <c r="U551">
        <f t="shared" si="33"/>
        <v>1997</v>
      </c>
      <c r="V551" t="str">
        <f t="shared" si="34"/>
        <v>12/1997</v>
      </c>
      <c r="Y551" s="1">
        <v>35817</v>
      </c>
      <c r="Z551">
        <f t="shared" si="35"/>
        <v>28</v>
      </c>
    </row>
    <row r="552" spans="19:26" x14ac:dyDescent="0.2">
      <c r="S552" s="1">
        <v>35790</v>
      </c>
      <c r="T552">
        <f t="shared" si="32"/>
        <v>12</v>
      </c>
      <c r="U552">
        <f t="shared" si="33"/>
        <v>1997</v>
      </c>
      <c r="V552" t="str">
        <f t="shared" si="34"/>
        <v>12/1997</v>
      </c>
      <c r="Y552" s="1">
        <v>35818</v>
      </c>
      <c r="Z552">
        <f t="shared" si="35"/>
        <v>28</v>
      </c>
    </row>
    <row r="553" spans="19:26" x14ac:dyDescent="0.2">
      <c r="S553" s="1">
        <v>35790</v>
      </c>
      <c r="T553">
        <f t="shared" si="32"/>
        <v>12</v>
      </c>
      <c r="U553">
        <f t="shared" si="33"/>
        <v>1997</v>
      </c>
      <c r="V553" t="str">
        <f t="shared" si="34"/>
        <v>12/1997</v>
      </c>
      <c r="Y553" s="1">
        <v>35832</v>
      </c>
      <c r="Z553">
        <f t="shared" si="35"/>
        <v>42</v>
      </c>
    </row>
    <row r="554" spans="19:26" x14ac:dyDescent="0.2">
      <c r="S554" s="1">
        <v>35790</v>
      </c>
      <c r="T554">
        <f t="shared" si="32"/>
        <v>12</v>
      </c>
      <c r="U554">
        <f t="shared" si="33"/>
        <v>1997</v>
      </c>
      <c r="V554" t="str">
        <f t="shared" si="34"/>
        <v>12/1997</v>
      </c>
      <c r="Y554" s="1">
        <v>35818</v>
      </c>
      <c r="Z554">
        <f t="shared" si="35"/>
        <v>28</v>
      </c>
    </row>
    <row r="555" spans="19:26" x14ac:dyDescent="0.2">
      <c r="S555" s="1">
        <v>35793</v>
      </c>
      <c r="T555">
        <f t="shared" si="32"/>
        <v>12</v>
      </c>
      <c r="U555">
        <f t="shared" si="33"/>
        <v>1997</v>
      </c>
      <c r="V555" t="str">
        <f t="shared" si="34"/>
        <v>12/1997</v>
      </c>
      <c r="Y555" s="1">
        <v>35821</v>
      </c>
      <c r="Z555">
        <f t="shared" si="35"/>
        <v>28</v>
      </c>
    </row>
    <row r="556" spans="19:26" x14ac:dyDescent="0.2">
      <c r="S556" s="1">
        <v>35793</v>
      </c>
      <c r="T556">
        <f t="shared" si="32"/>
        <v>12</v>
      </c>
      <c r="U556">
        <f t="shared" si="33"/>
        <v>1997</v>
      </c>
      <c r="V556" t="str">
        <f t="shared" si="34"/>
        <v>12/1997</v>
      </c>
      <c r="Y556" s="1">
        <v>35821</v>
      </c>
      <c r="Z556">
        <f t="shared" si="35"/>
        <v>28</v>
      </c>
    </row>
    <row r="557" spans="19:26" x14ac:dyDescent="0.2">
      <c r="S557" s="1">
        <v>35794</v>
      </c>
      <c r="T557">
        <f t="shared" si="32"/>
        <v>12</v>
      </c>
      <c r="U557">
        <f t="shared" si="33"/>
        <v>1997</v>
      </c>
      <c r="V557" t="str">
        <f t="shared" si="34"/>
        <v>12/1997</v>
      </c>
      <c r="Y557" s="1">
        <v>35822</v>
      </c>
      <c r="Z557">
        <f t="shared" si="35"/>
        <v>28</v>
      </c>
    </row>
    <row r="558" spans="19:26" x14ac:dyDescent="0.2">
      <c r="S558" s="1">
        <v>35794</v>
      </c>
      <c r="T558">
        <f t="shared" si="32"/>
        <v>12</v>
      </c>
      <c r="U558">
        <f t="shared" si="33"/>
        <v>1997</v>
      </c>
      <c r="V558" t="str">
        <f t="shared" si="34"/>
        <v>12/1997</v>
      </c>
      <c r="Y558" s="1">
        <v>35822</v>
      </c>
      <c r="Z558">
        <f t="shared" si="35"/>
        <v>28</v>
      </c>
    </row>
    <row r="559" spans="19:26" x14ac:dyDescent="0.2">
      <c r="S559" s="1">
        <v>35794</v>
      </c>
      <c r="T559">
        <f t="shared" si="32"/>
        <v>12</v>
      </c>
      <c r="U559">
        <f t="shared" si="33"/>
        <v>1997</v>
      </c>
      <c r="V559" t="str">
        <f t="shared" si="34"/>
        <v>12/1997</v>
      </c>
      <c r="Y559" s="1">
        <v>35822</v>
      </c>
      <c r="Z559">
        <f t="shared" si="35"/>
        <v>28</v>
      </c>
    </row>
    <row r="560" spans="19:26" x14ac:dyDescent="0.2">
      <c r="S560" s="1">
        <v>35795</v>
      </c>
      <c r="T560">
        <f t="shared" si="32"/>
        <v>12</v>
      </c>
      <c r="U560">
        <f t="shared" si="33"/>
        <v>1997</v>
      </c>
      <c r="V560" t="str">
        <f t="shared" si="34"/>
        <v>12/1997</v>
      </c>
      <c r="Y560" s="1">
        <v>35823</v>
      </c>
      <c r="Z560">
        <f t="shared" si="35"/>
        <v>28</v>
      </c>
    </row>
    <row r="561" spans="19:26" x14ac:dyDescent="0.2">
      <c r="S561" s="1">
        <v>35795</v>
      </c>
      <c r="T561">
        <f t="shared" si="32"/>
        <v>12</v>
      </c>
      <c r="U561">
        <f t="shared" si="33"/>
        <v>1997</v>
      </c>
      <c r="V561" t="str">
        <f t="shared" si="34"/>
        <v>12/1997</v>
      </c>
      <c r="Y561" s="1">
        <v>35823</v>
      </c>
      <c r="Z561">
        <f t="shared" si="35"/>
        <v>28</v>
      </c>
    </row>
    <row r="562" spans="19:26" x14ac:dyDescent="0.2">
      <c r="S562" s="1">
        <v>35796</v>
      </c>
      <c r="T562">
        <f t="shared" si="32"/>
        <v>1</v>
      </c>
      <c r="U562">
        <f t="shared" si="33"/>
        <v>1998</v>
      </c>
      <c r="V562" t="str">
        <f t="shared" si="34"/>
        <v>1/1998</v>
      </c>
      <c r="Y562" s="1">
        <v>35824</v>
      </c>
      <c r="Z562">
        <f t="shared" si="35"/>
        <v>28</v>
      </c>
    </row>
    <row r="563" spans="19:26" x14ac:dyDescent="0.2">
      <c r="S563" s="1">
        <v>35796</v>
      </c>
      <c r="T563">
        <f t="shared" si="32"/>
        <v>1</v>
      </c>
      <c r="U563">
        <f t="shared" si="33"/>
        <v>1998</v>
      </c>
      <c r="V563" t="str">
        <f t="shared" si="34"/>
        <v>1/1998</v>
      </c>
      <c r="Y563" s="1">
        <v>35824</v>
      </c>
      <c r="Z563">
        <f t="shared" si="35"/>
        <v>28</v>
      </c>
    </row>
    <row r="564" spans="19:26" x14ac:dyDescent="0.2">
      <c r="S564" s="1">
        <v>35796</v>
      </c>
      <c r="T564">
        <f t="shared" si="32"/>
        <v>1</v>
      </c>
      <c r="U564">
        <f t="shared" si="33"/>
        <v>1998</v>
      </c>
      <c r="V564" t="str">
        <f t="shared" si="34"/>
        <v>1/1998</v>
      </c>
      <c r="Y564" s="1">
        <v>35824</v>
      </c>
      <c r="Z564">
        <f t="shared" si="35"/>
        <v>28</v>
      </c>
    </row>
    <row r="565" spans="19:26" x14ac:dyDescent="0.2">
      <c r="S565" s="1">
        <v>35797</v>
      </c>
      <c r="T565">
        <f t="shared" si="32"/>
        <v>1</v>
      </c>
      <c r="U565">
        <f t="shared" si="33"/>
        <v>1998</v>
      </c>
      <c r="V565" t="str">
        <f t="shared" si="34"/>
        <v>1/1998</v>
      </c>
      <c r="Y565" s="1">
        <v>35825</v>
      </c>
      <c r="Z565">
        <f t="shared" si="35"/>
        <v>28</v>
      </c>
    </row>
    <row r="566" spans="19:26" x14ac:dyDescent="0.2">
      <c r="S566" s="1">
        <v>35797</v>
      </c>
      <c r="T566">
        <f t="shared" si="32"/>
        <v>1</v>
      </c>
      <c r="U566">
        <f t="shared" si="33"/>
        <v>1998</v>
      </c>
      <c r="V566" t="str">
        <f t="shared" si="34"/>
        <v>1/1998</v>
      </c>
      <c r="Y566" s="1">
        <v>35825</v>
      </c>
      <c r="Z566">
        <f t="shared" si="35"/>
        <v>28</v>
      </c>
    </row>
    <row r="567" spans="19:26" x14ac:dyDescent="0.2">
      <c r="S567" s="1">
        <v>35800</v>
      </c>
      <c r="T567">
        <f t="shared" si="32"/>
        <v>1</v>
      </c>
      <c r="U567">
        <f t="shared" si="33"/>
        <v>1998</v>
      </c>
      <c r="V567" t="str">
        <f t="shared" si="34"/>
        <v>1/1998</v>
      </c>
      <c r="Y567" s="1">
        <v>35828</v>
      </c>
      <c r="Z567">
        <f t="shared" si="35"/>
        <v>28</v>
      </c>
    </row>
    <row r="568" spans="19:26" x14ac:dyDescent="0.2">
      <c r="S568" s="1">
        <v>35800</v>
      </c>
      <c r="T568">
        <f t="shared" si="32"/>
        <v>1</v>
      </c>
      <c r="U568">
        <f t="shared" si="33"/>
        <v>1998</v>
      </c>
      <c r="V568" t="str">
        <f t="shared" si="34"/>
        <v>1/1998</v>
      </c>
      <c r="Y568" s="1">
        <v>35828</v>
      </c>
      <c r="Z568">
        <f t="shared" si="35"/>
        <v>28</v>
      </c>
    </row>
    <row r="569" spans="19:26" x14ac:dyDescent="0.2">
      <c r="S569" s="1">
        <v>35800</v>
      </c>
      <c r="T569">
        <f t="shared" si="32"/>
        <v>1</v>
      </c>
      <c r="U569">
        <f t="shared" si="33"/>
        <v>1998</v>
      </c>
      <c r="V569" t="str">
        <f t="shared" si="34"/>
        <v>1/1998</v>
      </c>
      <c r="Y569" s="1">
        <v>35828</v>
      </c>
      <c r="Z569">
        <f t="shared" si="35"/>
        <v>28</v>
      </c>
    </row>
    <row r="570" spans="19:26" x14ac:dyDescent="0.2">
      <c r="S570" s="1">
        <v>35801</v>
      </c>
      <c r="T570">
        <f t="shared" si="32"/>
        <v>1</v>
      </c>
      <c r="U570">
        <f t="shared" si="33"/>
        <v>1998</v>
      </c>
      <c r="V570" t="str">
        <f t="shared" si="34"/>
        <v>1/1998</v>
      </c>
      <c r="Y570" s="1">
        <v>35829</v>
      </c>
      <c r="Z570">
        <f t="shared" si="35"/>
        <v>28</v>
      </c>
    </row>
    <row r="571" spans="19:26" x14ac:dyDescent="0.2">
      <c r="S571" s="1">
        <v>35801</v>
      </c>
      <c r="T571">
        <f t="shared" si="32"/>
        <v>1</v>
      </c>
      <c r="U571">
        <f t="shared" si="33"/>
        <v>1998</v>
      </c>
      <c r="V571" t="str">
        <f t="shared" si="34"/>
        <v>1/1998</v>
      </c>
      <c r="Y571" s="1">
        <v>35815</v>
      </c>
      <c r="Z571">
        <f t="shared" si="35"/>
        <v>14</v>
      </c>
    </row>
    <row r="572" spans="19:26" x14ac:dyDescent="0.2">
      <c r="S572" s="1">
        <v>35802</v>
      </c>
      <c r="T572">
        <f t="shared" si="32"/>
        <v>1</v>
      </c>
      <c r="U572">
        <f t="shared" si="33"/>
        <v>1998</v>
      </c>
      <c r="V572" t="str">
        <f t="shared" si="34"/>
        <v>1/1998</v>
      </c>
      <c r="Y572" s="1">
        <v>35830</v>
      </c>
      <c r="Z572">
        <f t="shared" si="35"/>
        <v>28</v>
      </c>
    </row>
    <row r="573" spans="19:26" x14ac:dyDescent="0.2">
      <c r="S573" s="1">
        <v>35802</v>
      </c>
      <c r="T573">
        <f t="shared" si="32"/>
        <v>1</v>
      </c>
      <c r="U573">
        <f t="shared" si="33"/>
        <v>1998</v>
      </c>
      <c r="V573" t="str">
        <f t="shared" si="34"/>
        <v>1/1998</v>
      </c>
      <c r="Y573" s="1">
        <v>35830</v>
      </c>
      <c r="Z573">
        <f t="shared" si="35"/>
        <v>28</v>
      </c>
    </row>
    <row r="574" spans="19:26" x14ac:dyDescent="0.2">
      <c r="S574" s="1">
        <v>35802</v>
      </c>
      <c r="T574">
        <f t="shared" si="32"/>
        <v>1</v>
      </c>
      <c r="U574">
        <f t="shared" si="33"/>
        <v>1998</v>
      </c>
      <c r="V574" t="str">
        <f t="shared" si="34"/>
        <v>1/1998</v>
      </c>
      <c r="Y574" s="1">
        <v>35830</v>
      </c>
      <c r="Z574">
        <f t="shared" si="35"/>
        <v>28</v>
      </c>
    </row>
    <row r="575" spans="19:26" x14ac:dyDescent="0.2">
      <c r="S575" s="1">
        <v>35803</v>
      </c>
      <c r="T575">
        <f t="shared" si="32"/>
        <v>1</v>
      </c>
      <c r="U575">
        <f t="shared" si="33"/>
        <v>1998</v>
      </c>
      <c r="V575" t="str">
        <f t="shared" si="34"/>
        <v>1/1998</v>
      </c>
      <c r="Y575" s="1">
        <v>35831</v>
      </c>
      <c r="Z575">
        <f t="shared" si="35"/>
        <v>28</v>
      </c>
    </row>
    <row r="576" spans="19:26" x14ac:dyDescent="0.2">
      <c r="S576" s="1">
        <v>35803</v>
      </c>
      <c r="T576">
        <f t="shared" si="32"/>
        <v>1</v>
      </c>
      <c r="U576">
        <f t="shared" si="33"/>
        <v>1998</v>
      </c>
      <c r="V576" t="str">
        <f t="shared" si="34"/>
        <v>1/1998</v>
      </c>
      <c r="Y576" s="1">
        <v>35831</v>
      </c>
      <c r="Z576">
        <f t="shared" si="35"/>
        <v>28</v>
      </c>
    </row>
    <row r="577" spans="19:26" x14ac:dyDescent="0.2">
      <c r="S577" s="1">
        <v>35804</v>
      </c>
      <c r="T577">
        <f t="shared" si="32"/>
        <v>1</v>
      </c>
      <c r="U577">
        <f t="shared" si="33"/>
        <v>1998</v>
      </c>
      <c r="V577" t="str">
        <f t="shared" si="34"/>
        <v>1/1998</v>
      </c>
      <c r="Y577" s="1">
        <v>35832</v>
      </c>
      <c r="Z577">
        <f t="shared" si="35"/>
        <v>28</v>
      </c>
    </row>
    <row r="578" spans="19:26" x14ac:dyDescent="0.2">
      <c r="S578" s="1">
        <v>35804</v>
      </c>
      <c r="T578">
        <f t="shared" si="32"/>
        <v>1</v>
      </c>
      <c r="U578">
        <f t="shared" si="33"/>
        <v>1998</v>
      </c>
      <c r="V578" t="str">
        <f t="shared" si="34"/>
        <v>1/1998</v>
      </c>
      <c r="Y578" s="1">
        <v>35832</v>
      </c>
      <c r="Z578">
        <f t="shared" si="35"/>
        <v>28</v>
      </c>
    </row>
    <row r="579" spans="19:26" x14ac:dyDescent="0.2">
      <c r="S579" s="1">
        <v>35804</v>
      </c>
      <c r="T579">
        <f t="shared" ref="T579:T642" si="36">MONTH(S579)</f>
        <v>1</v>
      </c>
      <c r="U579">
        <f t="shared" ref="U579:U642" si="37">YEAR(S579)</f>
        <v>1998</v>
      </c>
      <c r="V579" t="str">
        <f t="shared" ref="V579:V642" si="38">T579&amp;"/"&amp;U579</f>
        <v>1/1998</v>
      </c>
      <c r="Y579" s="1">
        <v>35832</v>
      </c>
      <c r="Z579">
        <f t="shared" ref="Z579:Z642" si="39">Y579-S579</f>
        <v>28</v>
      </c>
    </row>
    <row r="580" spans="19:26" x14ac:dyDescent="0.2">
      <c r="S580" s="1">
        <v>35807</v>
      </c>
      <c r="T580">
        <f t="shared" si="36"/>
        <v>1</v>
      </c>
      <c r="U580">
        <f t="shared" si="37"/>
        <v>1998</v>
      </c>
      <c r="V580" t="str">
        <f t="shared" si="38"/>
        <v>1/1998</v>
      </c>
      <c r="Y580" s="1">
        <v>35835</v>
      </c>
      <c r="Z580">
        <f t="shared" si="39"/>
        <v>28</v>
      </c>
    </row>
    <row r="581" spans="19:26" x14ac:dyDescent="0.2">
      <c r="S581" s="1">
        <v>35807</v>
      </c>
      <c r="T581">
        <f t="shared" si="36"/>
        <v>1</v>
      </c>
      <c r="U581">
        <f t="shared" si="37"/>
        <v>1998</v>
      </c>
      <c r="V581" t="str">
        <f t="shared" si="38"/>
        <v>1/1998</v>
      </c>
      <c r="Y581" s="1">
        <v>35821</v>
      </c>
      <c r="Z581">
        <f t="shared" si="39"/>
        <v>14</v>
      </c>
    </row>
    <row r="582" spans="19:26" x14ac:dyDescent="0.2">
      <c r="S582" s="1">
        <v>35808</v>
      </c>
      <c r="T582">
        <f t="shared" si="36"/>
        <v>1</v>
      </c>
      <c r="U582">
        <f t="shared" si="37"/>
        <v>1998</v>
      </c>
      <c r="V582" t="str">
        <f t="shared" si="38"/>
        <v>1/1998</v>
      </c>
      <c r="Y582" s="1">
        <v>35822</v>
      </c>
      <c r="Z582">
        <f t="shared" si="39"/>
        <v>14</v>
      </c>
    </row>
    <row r="583" spans="19:26" x14ac:dyDescent="0.2">
      <c r="S583" s="1">
        <v>35808</v>
      </c>
      <c r="T583">
        <f t="shared" si="36"/>
        <v>1</v>
      </c>
      <c r="U583">
        <f t="shared" si="37"/>
        <v>1998</v>
      </c>
      <c r="V583" t="str">
        <f t="shared" si="38"/>
        <v>1/1998</v>
      </c>
      <c r="Y583" s="1">
        <v>35836</v>
      </c>
      <c r="Z583">
        <f t="shared" si="39"/>
        <v>28</v>
      </c>
    </row>
    <row r="584" spans="19:26" x14ac:dyDescent="0.2">
      <c r="S584" s="1">
        <v>35808</v>
      </c>
      <c r="T584">
        <f t="shared" si="36"/>
        <v>1</v>
      </c>
      <c r="U584">
        <f t="shared" si="37"/>
        <v>1998</v>
      </c>
      <c r="V584" t="str">
        <f t="shared" si="38"/>
        <v>1/1998</v>
      </c>
      <c r="Y584" s="1">
        <v>35850</v>
      </c>
      <c r="Z584">
        <f t="shared" si="39"/>
        <v>42</v>
      </c>
    </row>
    <row r="585" spans="19:26" x14ac:dyDescent="0.2">
      <c r="S585" s="1">
        <v>35809</v>
      </c>
      <c r="T585">
        <f t="shared" si="36"/>
        <v>1</v>
      </c>
      <c r="U585">
        <f t="shared" si="37"/>
        <v>1998</v>
      </c>
      <c r="V585" t="str">
        <f t="shared" si="38"/>
        <v>1/1998</v>
      </c>
      <c r="Y585" s="1">
        <v>35837</v>
      </c>
      <c r="Z585">
        <f t="shared" si="39"/>
        <v>28</v>
      </c>
    </row>
    <row r="586" spans="19:26" x14ac:dyDescent="0.2">
      <c r="S586" s="1">
        <v>35809</v>
      </c>
      <c r="T586">
        <f t="shared" si="36"/>
        <v>1</v>
      </c>
      <c r="U586">
        <f t="shared" si="37"/>
        <v>1998</v>
      </c>
      <c r="V586" t="str">
        <f t="shared" si="38"/>
        <v>1/1998</v>
      </c>
      <c r="Y586" s="1">
        <v>35837</v>
      </c>
      <c r="Z586">
        <f t="shared" si="39"/>
        <v>28</v>
      </c>
    </row>
    <row r="587" spans="19:26" x14ac:dyDescent="0.2">
      <c r="S587" s="1">
        <v>35810</v>
      </c>
      <c r="T587">
        <f t="shared" si="36"/>
        <v>1</v>
      </c>
      <c r="U587">
        <f t="shared" si="37"/>
        <v>1998</v>
      </c>
      <c r="V587" t="str">
        <f t="shared" si="38"/>
        <v>1/1998</v>
      </c>
      <c r="Y587" s="1">
        <v>35838</v>
      </c>
      <c r="Z587">
        <f t="shared" si="39"/>
        <v>28</v>
      </c>
    </row>
    <row r="588" spans="19:26" x14ac:dyDescent="0.2">
      <c r="S588" s="1">
        <v>35810</v>
      </c>
      <c r="T588">
        <f t="shared" si="36"/>
        <v>1</v>
      </c>
      <c r="U588">
        <f t="shared" si="37"/>
        <v>1998</v>
      </c>
      <c r="V588" t="str">
        <f t="shared" si="38"/>
        <v>1/1998</v>
      </c>
      <c r="Y588" s="1">
        <v>35838</v>
      </c>
      <c r="Z588">
        <f t="shared" si="39"/>
        <v>28</v>
      </c>
    </row>
    <row r="589" spans="19:26" x14ac:dyDescent="0.2">
      <c r="S589" s="1">
        <v>35810</v>
      </c>
      <c r="T589">
        <f t="shared" si="36"/>
        <v>1</v>
      </c>
      <c r="U589">
        <f t="shared" si="37"/>
        <v>1998</v>
      </c>
      <c r="V589" t="str">
        <f t="shared" si="38"/>
        <v>1/1998</v>
      </c>
      <c r="Y589" s="1">
        <v>35838</v>
      </c>
      <c r="Z589">
        <f t="shared" si="39"/>
        <v>28</v>
      </c>
    </row>
    <row r="590" spans="19:26" x14ac:dyDescent="0.2">
      <c r="S590" s="1">
        <v>35811</v>
      </c>
      <c r="T590">
        <f t="shared" si="36"/>
        <v>1</v>
      </c>
      <c r="U590">
        <f t="shared" si="37"/>
        <v>1998</v>
      </c>
      <c r="V590" t="str">
        <f t="shared" si="38"/>
        <v>1/1998</v>
      </c>
      <c r="Y590" s="1">
        <v>35839</v>
      </c>
      <c r="Z590">
        <f t="shared" si="39"/>
        <v>28</v>
      </c>
    </row>
    <row r="591" spans="19:26" x14ac:dyDescent="0.2">
      <c r="S591" s="1">
        <v>35811</v>
      </c>
      <c r="T591">
        <f t="shared" si="36"/>
        <v>1</v>
      </c>
      <c r="U591">
        <f t="shared" si="37"/>
        <v>1998</v>
      </c>
      <c r="V591" t="str">
        <f t="shared" si="38"/>
        <v>1/1998</v>
      </c>
      <c r="Y591" s="1">
        <v>35839</v>
      </c>
      <c r="Z591">
        <f t="shared" si="39"/>
        <v>28</v>
      </c>
    </row>
    <row r="592" spans="19:26" x14ac:dyDescent="0.2">
      <c r="S592" s="1">
        <v>35814</v>
      </c>
      <c r="T592">
        <f t="shared" si="36"/>
        <v>1</v>
      </c>
      <c r="U592">
        <f t="shared" si="37"/>
        <v>1998</v>
      </c>
      <c r="V592" t="str">
        <f t="shared" si="38"/>
        <v>1/1998</v>
      </c>
      <c r="Y592" s="1">
        <v>35842</v>
      </c>
      <c r="Z592">
        <f t="shared" si="39"/>
        <v>28</v>
      </c>
    </row>
    <row r="593" spans="19:26" x14ac:dyDescent="0.2">
      <c r="S593" s="1">
        <v>35814</v>
      </c>
      <c r="T593">
        <f t="shared" si="36"/>
        <v>1</v>
      </c>
      <c r="U593">
        <f t="shared" si="37"/>
        <v>1998</v>
      </c>
      <c r="V593" t="str">
        <f t="shared" si="38"/>
        <v>1/1998</v>
      </c>
      <c r="Y593" s="1">
        <v>35842</v>
      </c>
      <c r="Z593">
        <f t="shared" si="39"/>
        <v>28</v>
      </c>
    </row>
    <row r="594" spans="19:26" x14ac:dyDescent="0.2">
      <c r="S594" s="1">
        <v>35814</v>
      </c>
      <c r="T594">
        <f t="shared" si="36"/>
        <v>1</v>
      </c>
      <c r="U594">
        <f t="shared" si="37"/>
        <v>1998</v>
      </c>
      <c r="V594" t="str">
        <f t="shared" si="38"/>
        <v>1/1998</v>
      </c>
      <c r="Y594" s="1">
        <v>35856</v>
      </c>
      <c r="Z594">
        <f t="shared" si="39"/>
        <v>42</v>
      </c>
    </row>
    <row r="595" spans="19:26" x14ac:dyDescent="0.2">
      <c r="S595" s="1">
        <v>35815</v>
      </c>
      <c r="T595">
        <f t="shared" si="36"/>
        <v>1</v>
      </c>
      <c r="U595">
        <f t="shared" si="37"/>
        <v>1998</v>
      </c>
      <c r="V595" t="str">
        <f t="shared" si="38"/>
        <v>1/1998</v>
      </c>
      <c r="Y595" s="1">
        <v>35843</v>
      </c>
      <c r="Z595">
        <f t="shared" si="39"/>
        <v>28</v>
      </c>
    </row>
    <row r="596" spans="19:26" x14ac:dyDescent="0.2">
      <c r="S596" s="1">
        <v>35815</v>
      </c>
      <c r="T596">
        <f t="shared" si="36"/>
        <v>1</v>
      </c>
      <c r="U596">
        <f t="shared" si="37"/>
        <v>1998</v>
      </c>
      <c r="V596" t="str">
        <f t="shared" si="38"/>
        <v>1/1998</v>
      </c>
      <c r="Y596" s="1">
        <v>35843</v>
      </c>
      <c r="Z596">
        <f t="shared" si="39"/>
        <v>28</v>
      </c>
    </row>
    <row r="597" spans="19:26" x14ac:dyDescent="0.2">
      <c r="S597" s="1">
        <v>35816</v>
      </c>
      <c r="T597">
        <f t="shared" si="36"/>
        <v>1</v>
      </c>
      <c r="U597">
        <f t="shared" si="37"/>
        <v>1998</v>
      </c>
      <c r="V597" t="str">
        <f t="shared" si="38"/>
        <v>1/1998</v>
      </c>
      <c r="Y597" s="1">
        <v>35844</v>
      </c>
      <c r="Z597">
        <f t="shared" si="39"/>
        <v>28</v>
      </c>
    </row>
    <row r="598" spans="19:26" x14ac:dyDescent="0.2">
      <c r="S598" s="1">
        <v>35816</v>
      </c>
      <c r="T598">
        <f t="shared" si="36"/>
        <v>1</v>
      </c>
      <c r="U598">
        <f t="shared" si="37"/>
        <v>1998</v>
      </c>
      <c r="V598" t="str">
        <f t="shared" si="38"/>
        <v>1/1998</v>
      </c>
      <c r="Y598" s="1">
        <v>35844</v>
      </c>
      <c r="Z598">
        <f t="shared" si="39"/>
        <v>28</v>
      </c>
    </row>
    <row r="599" spans="19:26" x14ac:dyDescent="0.2">
      <c r="S599" s="1">
        <v>35816</v>
      </c>
      <c r="T599">
        <f t="shared" si="36"/>
        <v>1</v>
      </c>
      <c r="U599">
        <f t="shared" si="37"/>
        <v>1998</v>
      </c>
      <c r="V599" t="str">
        <f t="shared" si="38"/>
        <v>1/1998</v>
      </c>
      <c r="Y599" s="1">
        <v>35830</v>
      </c>
      <c r="Z599">
        <f t="shared" si="39"/>
        <v>14</v>
      </c>
    </row>
    <row r="600" spans="19:26" x14ac:dyDescent="0.2">
      <c r="S600" s="1">
        <v>35817</v>
      </c>
      <c r="T600">
        <f t="shared" si="36"/>
        <v>1</v>
      </c>
      <c r="U600">
        <f t="shared" si="37"/>
        <v>1998</v>
      </c>
      <c r="V600" t="str">
        <f t="shared" si="38"/>
        <v>1/1998</v>
      </c>
      <c r="Y600" s="1">
        <v>35859</v>
      </c>
      <c r="Z600">
        <f t="shared" si="39"/>
        <v>42</v>
      </c>
    </row>
    <row r="601" spans="19:26" x14ac:dyDescent="0.2">
      <c r="S601" s="1">
        <v>35817</v>
      </c>
      <c r="T601">
        <f t="shared" si="36"/>
        <v>1</v>
      </c>
      <c r="U601">
        <f t="shared" si="37"/>
        <v>1998</v>
      </c>
      <c r="V601" t="str">
        <f t="shared" si="38"/>
        <v>1/1998</v>
      </c>
      <c r="Y601" s="1">
        <v>35831</v>
      </c>
      <c r="Z601">
        <f t="shared" si="39"/>
        <v>14</v>
      </c>
    </row>
    <row r="602" spans="19:26" x14ac:dyDescent="0.2">
      <c r="S602" s="1">
        <v>35818</v>
      </c>
      <c r="T602">
        <f t="shared" si="36"/>
        <v>1</v>
      </c>
      <c r="U602">
        <f t="shared" si="37"/>
        <v>1998</v>
      </c>
      <c r="V602" t="str">
        <f t="shared" si="38"/>
        <v>1/1998</v>
      </c>
      <c r="Y602" s="1">
        <v>35846</v>
      </c>
      <c r="Z602">
        <f t="shared" si="39"/>
        <v>28</v>
      </c>
    </row>
    <row r="603" spans="19:26" x14ac:dyDescent="0.2">
      <c r="S603" s="1">
        <v>35818</v>
      </c>
      <c r="T603">
        <f t="shared" si="36"/>
        <v>1</v>
      </c>
      <c r="U603">
        <f t="shared" si="37"/>
        <v>1998</v>
      </c>
      <c r="V603" t="str">
        <f t="shared" si="38"/>
        <v>1/1998</v>
      </c>
      <c r="Y603" s="1">
        <v>35846</v>
      </c>
      <c r="Z603">
        <f t="shared" si="39"/>
        <v>28</v>
      </c>
    </row>
    <row r="604" spans="19:26" x14ac:dyDescent="0.2">
      <c r="S604" s="1">
        <v>35818</v>
      </c>
      <c r="T604">
        <f t="shared" si="36"/>
        <v>1</v>
      </c>
      <c r="U604">
        <f t="shared" si="37"/>
        <v>1998</v>
      </c>
      <c r="V604" t="str">
        <f t="shared" si="38"/>
        <v>1/1998</v>
      </c>
      <c r="Y604" s="1">
        <v>35860</v>
      </c>
      <c r="Z604">
        <f t="shared" si="39"/>
        <v>42</v>
      </c>
    </row>
    <row r="605" spans="19:26" x14ac:dyDescent="0.2">
      <c r="S605" s="1">
        <v>35821</v>
      </c>
      <c r="T605">
        <f t="shared" si="36"/>
        <v>1</v>
      </c>
      <c r="U605">
        <f t="shared" si="37"/>
        <v>1998</v>
      </c>
      <c r="V605" t="str">
        <f t="shared" si="38"/>
        <v>1/1998</v>
      </c>
      <c r="Y605" s="1">
        <v>35849</v>
      </c>
      <c r="Z605">
        <f t="shared" si="39"/>
        <v>28</v>
      </c>
    </row>
    <row r="606" spans="19:26" x14ac:dyDescent="0.2">
      <c r="S606" s="1">
        <v>35821</v>
      </c>
      <c r="T606">
        <f t="shared" si="36"/>
        <v>1</v>
      </c>
      <c r="U606">
        <f t="shared" si="37"/>
        <v>1998</v>
      </c>
      <c r="V606" t="str">
        <f t="shared" si="38"/>
        <v>1/1998</v>
      </c>
      <c r="Y606" s="1">
        <v>35835</v>
      </c>
      <c r="Z606">
        <f t="shared" si="39"/>
        <v>14</v>
      </c>
    </row>
    <row r="607" spans="19:26" x14ac:dyDescent="0.2">
      <c r="S607" s="1">
        <v>35822</v>
      </c>
      <c r="T607">
        <f t="shared" si="36"/>
        <v>1</v>
      </c>
      <c r="U607">
        <f t="shared" si="37"/>
        <v>1998</v>
      </c>
      <c r="V607" t="str">
        <f t="shared" si="38"/>
        <v>1/1998</v>
      </c>
      <c r="Y607" s="1">
        <v>35850</v>
      </c>
      <c r="Z607">
        <f t="shared" si="39"/>
        <v>28</v>
      </c>
    </row>
    <row r="608" spans="19:26" x14ac:dyDescent="0.2">
      <c r="S608" s="1">
        <v>35822</v>
      </c>
      <c r="T608">
        <f t="shared" si="36"/>
        <v>1</v>
      </c>
      <c r="U608">
        <f t="shared" si="37"/>
        <v>1998</v>
      </c>
      <c r="V608" t="str">
        <f t="shared" si="38"/>
        <v>1/1998</v>
      </c>
      <c r="Y608" s="1">
        <v>35850</v>
      </c>
      <c r="Z608">
        <f t="shared" si="39"/>
        <v>28</v>
      </c>
    </row>
    <row r="609" spans="19:26" x14ac:dyDescent="0.2">
      <c r="S609" s="1">
        <v>35822</v>
      </c>
      <c r="T609">
        <f t="shared" si="36"/>
        <v>1</v>
      </c>
      <c r="U609">
        <f t="shared" si="37"/>
        <v>1998</v>
      </c>
      <c r="V609" t="str">
        <f t="shared" si="38"/>
        <v>1/1998</v>
      </c>
      <c r="Y609" s="1">
        <v>35850</v>
      </c>
      <c r="Z609">
        <f t="shared" si="39"/>
        <v>28</v>
      </c>
    </row>
    <row r="610" spans="19:26" x14ac:dyDescent="0.2">
      <c r="S610" s="1">
        <v>35823</v>
      </c>
      <c r="T610">
        <f t="shared" si="36"/>
        <v>1</v>
      </c>
      <c r="U610">
        <f t="shared" si="37"/>
        <v>1998</v>
      </c>
      <c r="V610" t="str">
        <f t="shared" si="38"/>
        <v>1/1998</v>
      </c>
      <c r="Y610" s="1">
        <v>35851</v>
      </c>
      <c r="Z610">
        <f t="shared" si="39"/>
        <v>28</v>
      </c>
    </row>
    <row r="611" spans="19:26" x14ac:dyDescent="0.2">
      <c r="S611" s="1">
        <v>35823</v>
      </c>
      <c r="T611">
        <f t="shared" si="36"/>
        <v>1</v>
      </c>
      <c r="U611">
        <f t="shared" si="37"/>
        <v>1998</v>
      </c>
      <c r="V611" t="str">
        <f t="shared" si="38"/>
        <v>1/1998</v>
      </c>
      <c r="Y611" s="1">
        <v>35851</v>
      </c>
      <c r="Z611">
        <f t="shared" si="39"/>
        <v>28</v>
      </c>
    </row>
    <row r="612" spans="19:26" x14ac:dyDescent="0.2">
      <c r="S612" s="1">
        <v>35824</v>
      </c>
      <c r="T612">
        <f t="shared" si="36"/>
        <v>1</v>
      </c>
      <c r="U612">
        <f t="shared" si="37"/>
        <v>1998</v>
      </c>
      <c r="V612" t="str">
        <f t="shared" si="38"/>
        <v>1/1998</v>
      </c>
      <c r="Y612" s="1">
        <v>35852</v>
      </c>
      <c r="Z612">
        <f t="shared" si="39"/>
        <v>28</v>
      </c>
    </row>
    <row r="613" spans="19:26" x14ac:dyDescent="0.2">
      <c r="S613" s="1">
        <v>35824</v>
      </c>
      <c r="T613">
        <f t="shared" si="36"/>
        <v>1</v>
      </c>
      <c r="U613">
        <f t="shared" si="37"/>
        <v>1998</v>
      </c>
      <c r="V613" t="str">
        <f t="shared" si="38"/>
        <v>1/1998</v>
      </c>
      <c r="Y613" s="1">
        <v>35852</v>
      </c>
      <c r="Z613">
        <f t="shared" si="39"/>
        <v>28</v>
      </c>
    </row>
    <row r="614" spans="19:26" x14ac:dyDescent="0.2">
      <c r="S614" s="1">
        <v>35824</v>
      </c>
      <c r="T614">
        <f t="shared" si="36"/>
        <v>1</v>
      </c>
      <c r="U614">
        <f t="shared" si="37"/>
        <v>1998</v>
      </c>
      <c r="V614" t="str">
        <f t="shared" si="38"/>
        <v>1/1998</v>
      </c>
      <c r="Y614" s="1">
        <v>35852</v>
      </c>
      <c r="Z614">
        <f t="shared" si="39"/>
        <v>28</v>
      </c>
    </row>
    <row r="615" spans="19:26" x14ac:dyDescent="0.2">
      <c r="S615" s="1">
        <v>35825</v>
      </c>
      <c r="T615">
        <f t="shared" si="36"/>
        <v>1</v>
      </c>
      <c r="U615">
        <f t="shared" si="37"/>
        <v>1998</v>
      </c>
      <c r="V615" t="str">
        <f t="shared" si="38"/>
        <v>1/1998</v>
      </c>
      <c r="Y615" s="1">
        <v>35853</v>
      </c>
      <c r="Z615">
        <f t="shared" si="39"/>
        <v>28</v>
      </c>
    </row>
    <row r="616" spans="19:26" x14ac:dyDescent="0.2">
      <c r="S616" s="1">
        <v>35825</v>
      </c>
      <c r="T616">
        <f t="shared" si="36"/>
        <v>1</v>
      </c>
      <c r="U616">
        <f t="shared" si="37"/>
        <v>1998</v>
      </c>
      <c r="V616" t="str">
        <f t="shared" si="38"/>
        <v>1/1998</v>
      </c>
      <c r="Y616" s="1">
        <v>35867</v>
      </c>
      <c r="Z616">
        <f t="shared" si="39"/>
        <v>42</v>
      </c>
    </row>
    <row r="617" spans="19:26" x14ac:dyDescent="0.2">
      <c r="S617" s="1">
        <v>35828</v>
      </c>
      <c r="T617">
        <f t="shared" si="36"/>
        <v>2</v>
      </c>
      <c r="U617">
        <f t="shared" si="37"/>
        <v>1998</v>
      </c>
      <c r="V617" t="str">
        <f t="shared" si="38"/>
        <v>2/1998</v>
      </c>
      <c r="Y617" s="1">
        <v>35856</v>
      </c>
      <c r="Z617">
        <f t="shared" si="39"/>
        <v>28</v>
      </c>
    </row>
    <row r="618" spans="19:26" x14ac:dyDescent="0.2">
      <c r="S618" s="1">
        <v>35828</v>
      </c>
      <c r="T618">
        <f t="shared" si="36"/>
        <v>2</v>
      </c>
      <c r="U618">
        <f t="shared" si="37"/>
        <v>1998</v>
      </c>
      <c r="V618" t="str">
        <f t="shared" si="38"/>
        <v>2/1998</v>
      </c>
      <c r="Y618" s="1">
        <v>35856</v>
      </c>
      <c r="Z618">
        <f t="shared" si="39"/>
        <v>28</v>
      </c>
    </row>
    <row r="619" spans="19:26" x14ac:dyDescent="0.2">
      <c r="S619" s="1">
        <v>35828</v>
      </c>
      <c r="T619">
        <f t="shared" si="36"/>
        <v>2</v>
      </c>
      <c r="U619">
        <f t="shared" si="37"/>
        <v>1998</v>
      </c>
      <c r="V619" t="str">
        <f t="shared" si="38"/>
        <v>2/1998</v>
      </c>
      <c r="Y619" s="1">
        <v>35842</v>
      </c>
      <c r="Z619">
        <f t="shared" si="39"/>
        <v>14</v>
      </c>
    </row>
    <row r="620" spans="19:26" x14ac:dyDescent="0.2">
      <c r="S620" s="1">
        <v>35829</v>
      </c>
      <c r="T620">
        <f t="shared" si="36"/>
        <v>2</v>
      </c>
      <c r="U620">
        <f t="shared" si="37"/>
        <v>1998</v>
      </c>
      <c r="V620" t="str">
        <f t="shared" si="38"/>
        <v>2/1998</v>
      </c>
      <c r="Y620" s="1">
        <v>35857</v>
      </c>
      <c r="Z620">
        <f t="shared" si="39"/>
        <v>28</v>
      </c>
    </row>
    <row r="621" spans="19:26" x14ac:dyDescent="0.2">
      <c r="S621" s="1">
        <v>35829</v>
      </c>
      <c r="T621">
        <f t="shared" si="36"/>
        <v>2</v>
      </c>
      <c r="U621">
        <f t="shared" si="37"/>
        <v>1998</v>
      </c>
      <c r="V621" t="str">
        <f t="shared" si="38"/>
        <v>2/1998</v>
      </c>
      <c r="Y621" s="1">
        <v>35871</v>
      </c>
      <c r="Z621">
        <f t="shared" si="39"/>
        <v>42</v>
      </c>
    </row>
    <row r="622" spans="19:26" x14ac:dyDescent="0.2">
      <c r="S622" s="1">
        <v>35830</v>
      </c>
      <c r="T622">
        <f t="shared" si="36"/>
        <v>2</v>
      </c>
      <c r="U622">
        <f t="shared" si="37"/>
        <v>1998</v>
      </c>
      <c r="V622" t="str">
        <f t="shared" si="38"/>
        <v>2/1998</v>
      </c>
      <c r="Y622" s="1">
        <v>35858</v>
      </c>
      <c r="Z622">
        <f t="shared" si="39"/>
        <v>28</v>
      </c>
    </row>
    <row r="623" spans="19:26" x14ac:dyDescent="0.2">
      <c r="S623" s="1">
        <v>35830</v>
      </c>
      <c r="T623">
        <f t="shared" si="36"/>
        <v>2</v>
      </c>
      <c r="U623">
        <f t="shared" si="37"/>
        <v>1998</v>
      </c>
      <c r="V623" t="str">
        <f t="shared" si="38"/>
        <v>2/1998</v>
      </c>
      <c r="Y623" s="1">
        <v>35858</v>
      </c>
      <c r="Z623">
        <f t="shared" si="39"/>
        <v>28</v>
      </c>
    </row>
    <row r="624" spans="19:26" x14ac:dyDescent="0.2">
      <c r="S624" s="1">
        <v>35830</v>
      </c>
      <c r="T624">
        <f t="shared" si="36"/>
        <v>2</v>
      </c>
      <c r="U624">
        <f t="shared" si="37"/>
        <v>1998</v>
      </c>
      <c r="V624" t="str">
        <f t="shared" si="38"/>
        <v>2/1998</v>
      </c>
      <c r="Y624" s="1">
        <v>35858</v>
      </c>
      <c r="Z624">
        <f t="shared" si="39"/>
        <v>28</v>
      </c>
    </row>
    <row r="625" spans="19:26" x14ac:dyDescent="0.2">
      <c r="S625" s="1">
        <v>35831</v>
      </c>
      <c r="T625">
        <f t="shared" si="36"/>
        <v>2</v>
      </c>
      <c r="U625">
        <f t="shared" si="37"/>
        <v>1998</v>
      </c>
      <c r="V625" t="str">
        <f t="shared" si="38"/>
        <v>2/1998</v>
      </c>
      <c r="Y625" s="1">
        <v>35859</v>
      </c>
      <c r="Z625">
        <f t="shared" si="39"/>
        <v>28</v>
      </c>
    </row>
    <row r="626" spans="19:26" x14ac:dyDescent="0.2">
      <c r="S626" s="1">
        <v>35831</v>
      </c>
      <c r="T626">
        <f t="shared" si="36"/>
        <v>2</v>
      </c>
      <c r="U626">
        <f t="shared" si="37"/>
        <v>1998</v>
      </c>
      <c r="V626" t="str">
        <f t="shared" si="38"/>
        <v>2/1998</v>
      </c>
      <c r="Y626" s="1">
        <v>35859</v>
      </c>
      <c r="Z626">
        <f t="shared" si="39"/>
        <v>28</v>
      </c>
    </row>
    <row r="627" spans="19:26" x14ac:dyDescent="0.2">
      <c r="S627" s="1">
        <v>35832</v>
      </c>
      <c r="T627">
        <f t="shared" si="36"/>
        <v>2</v>
      </c>
      <c r="U627">
        <f t="shared" si="37"/>
        <v>1998</v>
      </c>
      <c r="V627" t="str">
        <f t="shared" si="38"/>
        <v>2/1998</v>
      </c>
      <c r="Y627" s="1">
        <v>35860</v>
      </c>
      <c r="Z627">
        <f t="shared" si="39"/>
        <v>28</v>
      </c>
    </row>
    <row r="628" spans="19:26" x14ac:dyDescent="0.2">
      <c r="S628" s="1">
        <v>35832</v>
      </c>
      <c r="T628">
        <f t="shared" si="36"/>
        <v>2</v>
      </c>
      <c r="U628">
        <f t="shared" si="37"/>
        <v>1998</v>
      </c>
      <c r="V628" t="str">
        <f t="shared" si="38"/>
        <v>2/1998</v>
      </c>
      <c r="Y628" s="1">
        <v>35860</v>
      </c>
      <c r="Z628">
        <f t="shared" si="39"/>
        <v>28</v>
      </c>
    </row>
    <row r="629" spans="19:26" x14ac:dyDescent="0.2">
      <c r="S629" s="1">
        <v>35832</v>
      </c>
      <c r="T629">
        <f t="shared" si="36"/>
        <v>2</v>
      </c>
      <c r="U629">
        <f t="shared" si="37"/>
        <v>1998</v>
      </c>
      <c r="V629" t="str">
        <f t="shared" si="38"/>
        <v>2/1998</v>
      </c>
      <c r="Y629" s="1">
        <v>35860</v>
      </c>
      <c r="Z629">
        <f t="shared" si="39"/>
        <v>28</v>
      </c>
    </row>
    <row r="630" spans="19:26" x14ac:dyDescent="0.2">
      <c r="S630" s="1">
        <v>35835</v>
      </c>
      <c r="T630">
        <f t="shared" si="36"/>
        <v>2</v>
      </c>
      <c r="U630">
        <f t="shared" si="37"/>
        <v>1998</v>
      </c>
      <c r="V630" t="str">
        <f t="shared" si="38"/>
        <v>2/1998</v>
      </c>
      <c r="Y630" s="1">
        <v>35863</v>
      </c>
      <c r="Z630">
        <f t="shared" si="39"/>
        <v>28</v>
      </c>
    </row>
    <row r="631" spans="19:26" x14ac:dyDescent="0.2">
      <c r="S631" s="1">
        <v>35835</v>
      </c>
      <c r="T631">
        <f t="shared" si="36"/>
        <v>2</v>
      </c>
      <c r="U631">
        <f t="shared" si="37"/>
        <v>1998</v>
      </c>
      <c r="V631" t="str">
        <f t="shared" si="38"/>
        <v>2/1998</v>
      </c>
      <c r="Y631" s="1">
        <v>35863</v>
      </c>
      <c r="Z631">
        <f t="shared" si="39"/>
        <v>28</v>
      </c>
    </row>
    <row r="632" spans="19:26" x14ac:dyDescent="0.2">
      <c r="S632" s="1">
        <v>35836</v>
      </c>
      <c r="T632">
        <f t="shared" si="36"/>
        <v>2</v>
      </c>
      <c r="U632">
        <f t="shared" si="37"/>
        <v>1998</v>
      </c>
      <c r="V632" t="str">
        <f t="shared" si="38"/>
        <v>2/1998</v>
      </c>
      <c r="Y632" s="1">
        <v>35864</v>
      </c>
      <c r="Z632">
        <f t="shared" si="39"/>
        <v>28</v>
      </c>
    </row>
    <row r="633" spans="19:26" x14ac:dyDescent="0.2">
      <c r="S633" s="1">
        <v>35836</v>
      </c>
      <c r="T633">
        <f t="shared" si="36"/>
        <v>2</v>
      </c>
      <c r="U633">
        <f t="shared" si="37"/>
        <v>1998</v>
      </c>
      <c r="V633" t="str">
        <f t="shared" si="38"/>
        <v>2/1998</v>
      </c>
      <c r="Y633" s="1">
        <v>35864</v>
      </c>
      <c r="Z633">
        <f t="shared" si="39"/>
        <v>28</v>
      </c>
    </row>
    <row r="634" spans="19:26" x14ac:dyDescent="0.2">
      <c r="S634" s="1">
        <v>35836</v>
      </c>
      <c r="T634">
        <f t="shared" si="36"/>
        <v>2</v>
      </c>
      <c r="U634">
        <f t="shared" si="37"/>
        <v>1998</v>
      </c>
      <c r="V634" t="str">
        <f t="shared" si="38"/>
        <v>2/1998</v>
      </c>
      <c r="Y634" s="1">
        <v>35878</v>
      </c>
      <c r="Z634">
        <f t="shared" si="39"/>
        <v>42</v>
      </c>
    </row>
    <row r="635" spans="19:26" x14ac:dyDescent="0.2">
      <c r="S635" s="1">
        <v>35837</v>
      </c>
      <c r="T635">
        <f t="shared" si="36"/>
        <v>2</v>
      </c>
      <c r="U635">
        <f t="shared" si="37"/>
        <v>1998</v>
      </c>
      <c r="V635" t="str">
        <f t="shared" si="38"/>
        <v>2/1998</v>
      </c>
      <c r="Y635" s="1">
        <v>35865</v>
      </c>
      <c r="Z635">
        <f t="shared" si="39"/>
        <v>28</v>
      </c>
    </row>
    <row r="636" spans="19:26" x14ac:dyDescent="0.2">
      <c r="S636" s="1">
        <v>35837</v>
      </c>
      <c r="T636">
        <f t="shared" si="36"/>
        <v>2</v>
      </c>
      <c r="U636">
        <f t="shared" si="37"/>
        <v>1998</v>
      </c>
      <c r="V636" t="str">
        <f t="shared" si="38"/>
        <v>2/1998</v>
      </c>
      <c r="Y636" s="1">
        <v>35865</v>
      </c>
      <c r="Z636">
        <f t="shared" si="39"/>
        <v>28</v>
      </c>
    </row>
    <row r="637" spans="19:26" x14ac:dyDescent="0.2">
      <c r="S637" s="1">
        <v>35838</v>
      </c>
      <c r="T637">
        <f t="shared" si="36"/>
        <v>2</v>
      </c>
      <c r="U637">
        <f t="shared" si="37"/>
        <v>1998</v>
      </c>
      <c r="V637" t="str">
        <f t="shared" si="38"/>
        <v>2/1998</v>
      </c>
      <c r="Y637" s="1">
        <v>35866</v>
      </c>
      <c r="Z637">
        <f t="shared" si="39"/>
        <v>28</v>
      </c>
    </row>
    <row r="638" spans="19:26" x14ac:dyDescent="0.2">
      <c r="S638" s="1">
        <v>35838</v>
      </c>
      <c r="T638">
        <f t="shared" si="36"/>
        <v>2</v>
      </c>
      <c r="U638">
        <f t="shared" si="37"/>
        <v>1998</v>
      </c>
      <c r="V638" t="str">
        <f t="shared" si="38"/>
        <v>2/1998</v>
      </c>
      <c r="Y638" s="1">
        <v>35866</v>
      </c>
      <c r="Z638">
        <f t="shared" si="39"/>
        <v>28</v>
      </c>
    </row>
    <row r="639" spans="19:26" x14ac:dyDescent="0.2">
      <c r="S639" s="1">
        <v>35838</v>
      </c>
      <c r="T639">
        <f t="shared" si="36"/>
        <v>2</v>
      </c>
      <c r="U639">
        <f t="shared" si="37"/>
        <v>1998</v>
      </c>
      <c r="V639" t="str">
        <f t="shared" si="38"/>
        <v>2/1998</v>
      </c>
      <c r="Y639" s="1">
        <v>35866</v>
      </c>
      <c r="Z639">
        <f t="shared" si="39"/>
        <v>28</v>
      </c>
    </row>
    <row r="640" spans="19:26" x14ac:dyDescent="0.2">
      <c r="S640" s="1">
        <v>35839</v>
      </c>
      <c r="T640">
        <f t="shared" si="36"/>
        <v>2</v>
      </c>
      <c r="U640">
        <f t="shared" si="37"/>
        <v>1998</v>
      </c>
      <c r="V640" t="str">
        <f t="shared" si="38"/>
        <v>2/1998</v>
      </c>
      <c r="Y640" s="1">
        <v>35867</v>
      </c>
      <c r="Z640">
        <f t="shared" si="39"/>
        <v>28</v>
      </c>
    </row>
    <row r="641" spans="19:26" x14ac:dyDescent="0.2">
      <c r="S641" s="1">
        <v>35839</v>
      </c>
      <c r="T641">
        <f t="shared" si="36"/>
        <v>2</v>
      </c>
      <c r="U641">
        <f t="shared" si="37"/>
        <v>1998</v>
      </c>
      <c r="V641" t="str">
        <f t="shared" si="38"/>
        <v>2/1998</v>
      </c>
      <c r="Y641" s="1">
        <v>35867</v>
      </c>
      <c r="Z641">
        <f t="shared" si="39"/>
        <v>28</v>
      </c>
    </row>
    <row r="642" spans="19:26" x14ac:dyDescent="0.2">
      <c r="S642" s="1">
        <v>35842</v>
      </c>
      <c r="T642">
        <f t="shared" si="36"/>
        <v>2</v>
      </c>
      <c r="U642">
        <f t="shared" si="37"/>
        <v>1998</v>
      </c>
      <c r="V642" t="str">
        <f t="shared" si="38"/>
        <v>2/1998</v>
      </c>
      <c r="Y642" s="1">
        <v>35870</v>
      </c>
      <c r="Z642">
        <f t="shared" si="39"/>
        <v>28</v>
      </c>
    </row>
    <row r="643" spans="19:26" x14ac:dyDescent="0.2">
      <c r="S643" s="1">
        <v>35842</v>
      </c>
      <c r="T643">
        <f t="shared" ref="T643:T706" si="40">MONTH(S643)</f>
        <v>2</v>
      </c>
      <c r="U643">
        <f t="shared" ref="U643:U706" si="41">YEAR(S643)</f>
        <v>1998</v>
      </c>
      <c r="V643" t="str">
        <f t="shared" ref="V643:V706" si="42">T643&amp;"/"&amp;U643</f>
        <v>2/1998</v>
      </c>
      <c r="Y643" s="1">
        <v>35870</v>
      </c>
      <c r="Z643">
        <f t="shared" ref="Z643:Z706" si="43">Y643-S643</f>
        <v>28</v>
      </c>
    </row>
    <row r="644" spans="19:26" x14ac:dyDescent="0.2">
      <c r="S644" s="1">
        <v>35842</v>
      </c>
      <c r="T644">
        <f t="shared" si="40"/>
        <v>2</v>
      </c>
      <c r="U644">
        <f t="shared" si="41"/>
        <v>1998</v>
      </c>
      <c r="V644" t="str">
        <f t="shared" si="42"/>
        <v>2/1998</v>
      </c>
      <c r="Y644" s="1">
        <v>35870</v>
      </c>
      <c r="Z644">
        <f t="shared" si="43"/>
        <v>28</v>
      </c>
    </row>
    <row r="645" spans="19:26" x14ac:dyDescent="0.2">
      <c r="S645" s="1">
        <v>35843</v>
      </c>
      <c r="T645">
        <f t="shared" si="40"/>
        <v>2</v>
      </c>
      <c r="U645">
        <f t="shared" si="41"/>
        <v>1998</v>
      </c>
      <c r="V645" t="str">
        <f t="shared" si="42"/>
        <v>2/1998</v>
      </c>
      <c r="Y645" s="1">
        <v>35871</v>
      </c>
      <c r="Z645">
        <f t="shared" si="43"/>
        <v>28</v>
      </c>
    </row>
    <row r="646" spans="19:26" x14ac:dyDescent="0.2">
      <c r="S646" s="1">
        <v>35843</v>
      </c>
      <c r="T646">
        <f t="shared" si="40"/>
        <v>2</v>
      </c>
      <c r="U646">
        <f t="shared" si="41"/>
        <v>1998</v>
      </c>
      <c r="V646" t="str">
        <f t="shared" si="42"/>
        <v>2/1998</v>
      </c>
      <c r="Y646" s="1">
        <v>35871</v>
      </c>
      <c r="Z646">
        <f t="shared" si="43"/>
        <v>28</v>
      </c>
    </row>
    <row r="647" spans="19:26" x14ac:dyDescent="0.2">
      <c r="S647" s="1">
        <v>35844</v>
      </c>
      <c r="T647">
        <f t="shared" si="40"/>
        <v>2</v>
      </c>
      <c r="U647">
        <f t="shared" si="41"/>
        <v>1998</v>
      </c>
      <c r="V647" t="str">
        <f t="shared" si="42"/>
        <v>2/1998</v>
      </c>
      <c r="Y647" s="1">
        <v>35872</v>
      </c>
      <c r="Z647">
        <f t="shared" si="43"/>
        <v>28</v>
      </c>
    </row>
    <row r="648" spans="19:26" x14ac:dyDescent="0.2">
      <c r="S648" s="1">
        <v>35844</v>
      </c>
      <c r="T648">
        <f t="shared" si="40"/>
        <v>2</v>
      </c>
      <c r="U648">
        <f t="shared" si="41"/>
        <v>1998</v>
      </c>
      <c r="V648" t="str">
        <f t="shared" si="42"/>
        <v>2/1998</v>
      </c>
      <c r="Y648" s="1">
        <v>35872</v>
      </c>
      <c r="Z648">
        <f t="shared" si="43"/>
        <v>28</v>
      </c>
    </row>
    <row r="649" spans="19:26" x14ac:dyDescent="0.2">
      <c r="S649" s="1">
        <v>35844</v>
      </c>
      <c r="T649">
        <f t="shared" si="40"/>
        <v>2</v>
      </c>
      <c r="U649">
        <f t="shared" si="41"/>
        <v>1998</v>
      </c>
      <c r="V649" t="str">
        <f t="shared" si="42"/>
        <v>2/1998</v>
      </c>
      <c r="Y649" s="1">
        <v>35872</v>
      </c>
      <c r="Z649">
        <f t="shared" si="43"/>
        <v>28</v>
      </c>
    </row>
    <row r="650" spans="19:26" x14ac:dyDescent="0.2">
      <c r="S650" s="1">
        <v>35845</v>
      </c>
      <c r="T650">
        <f t="shared" si="40"/>
        <v>2</v>
      </c>
      <c r="U650">
        <f t="shared" si="41"/>
        <v>1998</v>
      </c>
      <c r="V650" t="str">
        <f t="shared" si="42"/>
        <v>2/1998</v>
      </c>
      <c r="Y650" s="1">
        <v>35873</v>
      </c>
      <c r="Z650">
        <f t="shared" si="43"/>
        <v>28</v>
      </c>
    </row>
    <row r="651" spans="19:26" x14ac:dyDescent="0.2">
      <c r="S651" s="1">
        <v>35845</v>
      </c>
      <c r="T651">
        <f t="shared" si="40"/>
        <v>2</v>
      </c>
      <c r="U651">
        <f t="shared" si="41"/>
        <v>1998</v>
      </c>
      <c r="V651" t="str">
        <f t="shared" si="42"/>
        <v>2/1998</v>
      </c>
      <c r="Y651" s="1">
        <v>35873</v>
      </c>
      <c r="Z651">
        <f t="shared" si="43"/>
        <v>28</v>
      </c>
    </row>
    <row r="652" spans="19:26" x14ac:dyDescent="0.2">
      <c r="S652" s="1">
        <v>35846</v>
      </c>
      <c r="T652">
        <f t="shared" si="40"/>
        <v>2</v>
      </c>
      <c r="U652">
        <f t="shared" si="41"/>
        <v>1998</v>
      </c>
      <c r="V652" t="str">
        <f t="shared" si="42"/>
        <v>2/1998</v>
      </c>
      <c r="Y652" s="1">
        <v>35874</v>
      </c>
      <c r="Z652">
        <f t="shared" si="43"/>
        <v>28</v>
      </c>
    </row>
    <row r="653" spans="19:26" x14ac:dyDescent="0.2">
      <c r="S653" s="1">
        <v>35846</v>
      </c>
      <c r="T653">
        <f t="shared" si="40"/>
        <v>2</v>
      </c>
      <c r="U653">
        <f t="shared" si="41"/>
        <v>1998</v>
      </c>
      <c r="V653" t="str">
        <f t="shared" si="42"/>
        <v>2/1998</v>
      </c>
      <c r="Y653" s="1">
        <v>35874</v>
      </c>
      <c r="Z653">
        <f t="shared" si="43"/>
        <v>28</v>
      </c>
    </row>
    <row r="654" spans="19:26" x14ac:dyDescent="0.2">
      <c r="S654" s="1">
        <v>35846</v>
      </c>
      <c r="T654">
        <f t="shared" si="40"/>
        <v>2</v>
      </c>
      <c r="U654">
        <f t="shared" si="41"/>
        <v>1998</v>
      </c>
      <c r="V654" t="str">
        <f t="shared" si="42"/>
        <v>2/1998</v>
      </c>
      <c r="Y654" s="1">
        <v>35874</v>
      </c>
      <c r="Z654">
        <f t="shared" si="43"/>
        <v>28</v>
      </c>
    </row>
    <row r="655" spans="19:26" x14ac:dyDescent="0.2">
      <c r="S655" s="1">
        <v>35849</v>
      </c>
      <c r="T655">
        <f t="shared" si="40"/>
        <v>2</v>
      </c>
      <c r="U655">
        <f t="shared" si="41"/>
        <v>1998</v>
      </c>
      <c r="V655" t="str">
        <f t="shared" si="42"/>
        <v>2/1998</v>
      </c>
      <c r="Y655" s="1">
        <v>35877</v>
      </c>
      <c r="Z655">
        <f t="shared" si="43"/>
        <v>28</v>
      </c>
    </row>
    <row r="656" spans="19:26" x14ac:dyDescent="0.2">
      <c r="S656" s="1">
        <v>35849</v>
      </c>
      <c r="T656">
        <f t="shared" si="40"/>
        <v>2</v>
      </c>
      <c r="U656">
        <f t="shared" si="41"/>
        <v>1998</v>
      </c>
      <c r="V656" t="str">
        <f t="shared" si="42"/>
        <v>2/1998</v>
      </c>
      <c r="Y656" s="1">
        <v>35877</v>
      </c>
      <c r="Z656">
        <f t="shared" si="43"/>
        <v>28</v>
      </c>
    </row>
    <row r="657" spans="19:26" x14ac:dyDescent="0.2">
      <c r="S657" s="1">
        <v>35850</v>
      </c>
      <c r="T657">
        <f t="shared" si="40"/>
        <v>2</v>
      </c>
      <c r="U657">
        <f t="shared" si="41"/>
        <v>1998</v>
      </c>
      <c r="V657" t="str">
        <f t="shared" si="42"/>
        <v>2/1998</v>
      </c>
      <c r="Y657" s="1">
        <v>35878</v>
      </c>
      <c r="Z657">
        <f t="shared" si="43"/>
        <v>28</v>
      </c>
    </row>
    <row r="658" spans="19:26" x14ac:dyDescent="0.2">
      <c r="S658" s="1">
        <v>35850</v>
      </c>
      <c r="T658">
        <f t="shared" si="40"/>
        <v>2</v>
      </c>
      <c r="U658">
        <f t="shared" si="41"/>
        <v>1998</v>
      </c>
      <c r="V658" t="str">
        <f t="shared" si="42"/>
        <v>2/1998</v>
      </c>
      <c r="Y658" s="1">
        <v>35878</v>
      </c>
      <c r="Z658">
        <f t="shared" si="43"/>
        <v>28</v>
      </c>
    </row>
    <row r="659" spans="19:26" x14ac:dyDescent="0.2">
      <c r="S659" s="1">
        <v>35850</v>
      </c>
      <c r="T659">
        <f t="shared" si="40"/>
        <v>2</v>
      </c>
      <c r="U659">
        <f t="shared" si="41"/>
        <v>1998</v>
      </c>
      <c r="V659" t="str">
        <f t="shared" si="42"/>
        <v>2/1998</v>
      </c>
      <c r="Y659" s="1">
        <v>35878</v>
      </c>
      <c r="Z659">
        <f t="shared" si="43"/>
        <v>28</v>
      </c>
    </row>
    <row r="660" spans="19:26" x14ac:dyDescent="0.2">
      <c r="S660" s="1">
        <v>35851</v>
      </c>
      <c r="T660">
        <f t="shared" si="40"/>
        <v>2</v>
      </c>
      <c r="U660">
        <f t="shared" si="41"/>
        <v>1998</v>
      </c>
      <c r="V660" t="str">
        <f t="shared" si="42"/>
        <v>2/1998</v>
      </c>
      <c r="Y660" s="1">
        <v>35865</v>
      </c>
      <c r="Z660">
        <f t="shared" si="43"/>
        <v>14</v>
      </c>
    </row>
    <row r="661" spans="19:26" x14ac:dyDescent="0.2">
      <c r="S661" s="1">
        <v>35851</v>
      </c>
      <c r="T661">
        <f t="shared" si="40"/>
        <v>2</v>
      </c>
      <c r="U661">
        <f t="shared" si="41"/>
        <v>1998</v>
      </c>
      <c r="V661" t="str">
        <f t="shared" si="42"/>
        <v>2/1998</v>
      </c>
      <c r="Y661" s="1">
        <v>35879</v>
      </c>
      <c r="Z661">
        <f t="shared" si="43"/>
        <v>28</v>
      </c>
    </row>
    <row r="662" spans="19:26" x14ac:dyDescent="0.2">
      <c r="S662" s="1">
        <v>35852</v>
      </c>
      <c r="T662">
        <f t="shared" si="40"/>
        <v>2</v>
      </c>
      <c r="U662">
        <f t="shared" si="41"/>
        <v>1998</v>
      </c>
      <c r="V662" t="str">
        <f t="shared" si="42"/>
        <v>2/1998</v>
      </c>
      <c r="Y662" s="1">
        <v>35880</v>
      </c>
      <c r="Z662">
        <f t="shared" si="43"/>
        <v>28</v>
      </c>
    </row>
    <row r="663" spans="19:26" x14ac:dyDescent="0.2">
      <c r="S663" s="1">
        <v>35852</v>
      </c>
      <c r="T663">
        <f t="shared" si="40"/>
        <v>2</v>
      </c>
      <c r="U663">
        <f t="shared" si="41"/>
        <v>1998</v>
      </c>
      <c r="V663" t="str">
        <f t="shared" si="42"/>
        <v>2/1998</v>
      </c>
      <c r="Y663" s="1">
        <v>35880</v>
      </c>
      <c r="Z663">
        <f t="shared" si="43"/>
        <v>28</v>
      </c>
    </row>
    <row r="664" spans="19:26" x14ac:dyDescent="0.2">
      <c r="S664" s="1">
        <v>35852</v>
      </c>
      <c r="T664">
        <f t="shared" si="40"/>
        <v>2</v>
      </c>
      <c r="U664">
        <f t="shared" si="41"/>
        <v>1998</v>
      </c>
      <c r="V664" t="str">
        <f t="shared" si="42"/>
        <v>2/1998</v>
      </c>
      <c r="Y664" s="1">
        <v>35880</v>
      </c>
      <c r="Z664">
        <f t="shared" si="43"/>
        <v>28</v>
      </c>
    </row>
    <row r="665" spans="19:26" x14ac:dyDescent="0.2">
      <c r="S665" s="1">
        <v>35852</v>
      </c>
      <c r="T665">
        <f t="shared" si="40"/>
        <v>2</v>
      </c>
      <c r="U665">
        <f t="shared" si="41"/>
        <v>1998</v>
      </c>
      <c r="V665" t="str">
        <f t="shared" si="42"/>
        <v>2/1998</v>
      </c>
      <c r="Y665" s="1">
        <v>35880</v>
      </c>
      <c r="Z665">
        <f t="shared" si="43"/>
        <v>28</v>
      </c>
    </row>
    <row r="666" spans="19:26" x14ac:dyDescent="0.2">
      <c r="S666" s="1">
        <v>35852</v>
      </c>
      <c r="T666">
        <f t="shared" si="40"/>
        <v>2</v>
      </c>
      <c r="U666">
        <f t="shared" si="41"/>
        <v>1998</v>
      </c>
      <c r="V666" t="str">
        <f t="shared" si="42"/>
        <v>2/1998</v>
      </c>
      <c r="Y666" s="1">
        <v>35880</v>
      </c>
      <c r="Z666">
        <f t="shared" si="43"/>
        <v>28</v>
      </c>
    </row>
    <row r="667" spans="19:26" x14ac:dyDescent="0.2">
      <c r="S667" s="1">
        <v>35852</v>
      </c>
      <c r="T667">
        <f t="shared" si="40"/>
        <v>2</v>
      </c>
      <c r="U667">
        <f t="shared" si="41"/>
        <v>1998</v>
      </c>
      <c r="V667" t="str">
        <f t="shared" si="42"/>
        <v>2/1998</v>
      </c>
      <c r="Y667" s="1">
        <v>35880</v>
      </c>
      <c r="Z667">
        <f t="shared" si="43"/>
        <v>28</v>
      </c>
    </row>
    <row r="668" spans="19:26" x14ac:dyDescent="0.2">
      <c r="S668" s="1">
        <v>35853</v>
      </c>
      <c r="T668">
        <f t="shared" si="40"/>
        <v>2</v>
      </c>
      <c r="U668">
        <f t="shared" si="41"/>
        <v>1998</v>
      </c>
      <c r="V668" t="str">
        <f t="shared" si="42"/>
        <v>2/1998</v>
      </c>
      <c r="Y668" s="1">
        <v>35881</v>
      </c>
      <c r="Z668">
        <f t="shared" si="43"/>
        <v>28</v>
      </c>
    </row>
    <row r="669" spans="19:26" x14ac:dyDescent="0.2">
      <c r="S669" s="1">
        <v>35853</v>
      </c>
      <c r="T669">
        <f t="shared" si="40"/>
        <v>2</v>
      </c>
      <c r="U669">
        <f t="shared" si="41"/>
        <v>1998</v>
      </c>
      <c r="V669" t="str">
        <f t="shared" si="42"/>
        <v>2/1998</v>
      </c>
      <c r="Y669" s="1">
        <v>35881</v>
      </c>
      <c r="Z669">
        <f t="shared" si="43"/>
        <v>28</v>
      </c>
    </row>
    <row r="670" spans="19:26" x14ac:dyDescent="0.2">
      <c r="S670" s="1">
        <v>35853</v>
      </c>
      <c r="T670">
        <f t="shared" si="40"/>
        <v>2</v>
      </c>
      <c r="U670">
        <f t="shared" si="41"/>
        <v>1998</v>
      </c>
      <c r="V670" t="str">
        <f t="shared" si="42"/>
        <v>2/1998</v>
      </c>
      <c r="Y670" s="1">
        <v>35881</v>
      </c>
      <c r="Z670">
        <f t="shared" si="43"/>
        <v>28</v>
      </c>
    </row>
    <row r="671" spans="19:26" x14ac:dyDescent="0.2">
      <c r="S671" s="1">
        <v>35856</v>
      </c>
      <c r="T671">
        <f t="shared" si="40"/>
        <v>3</v>
      </c>
      <c r="U671">
        <f t="shared" si="41"/>
        <v>1998</v>
      </c>
      <c r="V671" t="str">
        <f t="shared" si="42"/>
        <v>3/1998</v>
      </c>
      <c r="Y671" s="1">
        <v>35884</v>
      </c>
      <c r="Z671">
        <f t="shared" si="43"/>
        <v>28</v>
      </c>
    </row>
    <row r="672" spans="19:26" x14ac:dyDescent="0.2">
      <c r="S672" s="1">
        <v>35856</v>
      </c>
      <c r="T672">
        <f t="shared" si="40"/>
        <v>3</v>
      </c>
      <c r="U672">
        <f t="shared" si="41"/>
        <v>1998</v>
      </c>
      <c r="V672" t="str">
        <f t="shared" si="42"/>
        <v>3/1998</v>
      </c>
      <c r="Y672" s="1">
        <v>35884</v>
      </c>
      <c r="Z672">
        <f t="shared" si="43"/>
        <v>28</v>
      </c>
    </row>
    <row r="673" spans="19:26" x14ac:dyDescent="0.2">
      <c r="S673" s="1">
        <v>35856</v>
      </c>
      <c r="T673">
        <f t="shared" si="40"/>
        <v>3</v>
      </c>
      <c r="U673">
        <f t="shared" si="41"/>
        <v>1998</v>
      </c>
      <c r="V673" t="str">
        <f t="shared" si="42"/>
        <v>3/1998</v>
      </c>
      <c r="Y673" s="1">
        <v>35884</v>
      </c>
      <c r="Z673">
        <f t="shared" si="43"/>
        <v>28</v>
      </c>
    </row>
    <row r="674" spans="19:26" x14ac:dyDescent="0.2">
      <c r="S674" s="1">
        <v>35857</v>
      </c>
      <c r="T674">
        <f t="shared" si="40"/>
        <v>3</v>
      </c>
      <c r="U674">
        <f t="shared" si="41"/>
        <v>1998</v>
      </c>
      <c r="V674" t="str">
        <f t="shared" si="42"/>
        <v>3/1998</v>
      </c>
      <c r="Y674" s="1">
        <v>35885</v>
      </c>
      <c r="Z674">
        <f t="shared" si="43"/>
        <v>28</v>
      </c>
    </row>
    <row r="675" spans="19:26" x14ac:dyDescent="0.2">
      <c r="S675" s="1">
        <v>35857</v>
      </c>
      <c r="T675">
        <f t="shared" si="40"/>
        <v>3</v>
      </c>
      <c r="U675">
        <f t="shared" si="41"/>
        <v>1998</v>
      </c>
      <c r="V675" t="str">
        <f t="shared" si="42"/>
        <v>3/1998</v>
      </c>
      <c r="Y675" s="1">
        <v>35899</v>
      </c>
      <c r="Z675">
        <f t="shared" si="43"/>
        <v>42</v>
      </c>
    </row>
    <row r="676" spans="19:26" x14ac:dyDescent="0.2">
      <c r="S676" s="1">
        <v>35857</v>
      </c>
      <c r="T676">
        <f t="shared" si="40"/>
        <v>3</v>
      </c>
      <c r="U676">
        <f t="shared" si="41"/>
        <v>1998</v>
      </c>
      <c r="V676" t="str">
        <f t="shared" si="42"/>
        <v>3/1998</v>
      </c>
      <c r="Y676" s="1">
        <v>35885</v>
      </c>
      <c r="Z676">
        <f t="shared" si="43"/>
        <v>28</v>
      </c>
    </row>
    <row r="677" spans="19:26" x14ac:dyDescent="0.2">
      <c r="S677" s="1">
        <v>35857</v>
      </c>
      <c r="T677">
        <f t="shared" si="40"/>
        <v>3</v>
      </c>
      <c r="U677">
        <f t="shared" si="41"/>
        <v>1998</v>
      </c>
      <c r="V677" t="str">
        <f t="shared" si="42"/>
        <v>3/1998</v>
      </c>
      <c r="Y677" s="1">
        <v>35899</v>
      </c>
      <c r="Z677">
        <f t="shared" si="43"/>
        <v>42</v>
      </c>
    </row>
    <row r="678" spans="19:26" x14ac:dyDescent="0.2">
      <c r="S678" s="1">
        <v>35858</v>
      </c>
      <c r="T678">
        <f t="shared" si="40"/>
        <v>3</v>
      </c>
      <c r="U678">
        <f t="shared" si="41"/>
        <v>1998</v>
      </c>
      <c r="V678" t="str">
        <f t="shared" si="42"/>
        <v>3/1998</v>
      </c>
      <c r="Y678" s="1">
        <v>35886</v>
      </c>
      <c r="Z678">
        <f t="shared" si="43"/>
        <v>28</v>
      </c>
    </row>
    <row r="679" spans="19:26" x14ac:dyDescent="0.2">
      <c r="S679" s="1">
        <v>35858</v>
      </c>
      <c r="T679">
        <f t="shared" si="40"/>
        <v>3</v>
      </c>
      <c r="U679">
        <f t="shared" si="41"/>
        <v>1998</v>
      </c>
      <c r="V679" t="str">
        <f t="shared" si="42"/>
        <v>3/1998</v>
      </c>
      <c r="Y679" s="1">
        <v>35886</v>
      </c>
      <c r="Z679">
        <f t="shared" si="43"/>
        <v>28</v>
      </c>
    </row>
    <row r="680" spans="19:26" x14ac:dyDescent="0.2">
      <c r="S680" s="1">
        <v>35858</v>
      </c>
      <c r="T680">
        <f t="shared" si="40"/>
        <v>3</v>
      </c>
      <c r="U680">
        <f t="shared" si="41"/>
        <v>1998</v>
      </c>
      <c r="V680" t="str">
        <f t="shared" si="42"/>
        <v>3/1998</v>
      </c>
      <c r="Y680" s="1">
        <v>35886</v>
      </c>
      <c r="Z680">
        <f t="shared" si="43"/>
        <v>28</v>
      </c>
    </row>
    <row r="681" spans="19:26" x14ac:dyDescent="0.2">
      <c r="S681" s="1">
        <v>35859</v>
      </c>
      <c r="T681">
        <f t="shared" si="40"/>
        <v>3</v>
      </c>
      <c r="U681">
        <f t="shared" si="41"/>
        <v>1998</v>
      </c>
      <c r="V681" t="str">
        <f t="shared" si="42"/>
        <v>3/1998</v>
      </c>
      <c r="Y681" s="1">
        <v>35887</v>
      </c>
      <c r="Z681">
        <f t="shared" si="43"/>
        <v>28</v>
      </c>
    </row>
    <row r="682" spans="19:26" x14ac:dyDescent="0.2">
      <c r="S682" s="1">
        <v>35859</v>
      </c>
      <c r="T682">
        <f t="shared" si="40"/>
        <v>3</v>
      </c>
      <c r="U682">
        <f t="shared" si="41"/>
        <v>1998</v>
      </c>
      <c r="V682" t="str">
        <f t="shared" si="42"/>
        <v>3/1998</v>
      </c>
      <c r="Y682" s="1">
        <v>35887</v>
      </c>
      <c r="Z682">
        <f t="shared" si="43"/>
        <v>28</v>
      </c>
    </row>
    <row r="683" spans="19:26" x14ac:dyDescent="0.2">
      <c r="S683" s="1">
        <v>35859</v>
      </c>
      <c r="T683">
        <f t="shared" si="40"/>
        <v>3</v>
      </c>
      <c r="U683">
        <f t="shared" si="41"/>
        <v>1998</v>
      </c>
      <c r="V683" t="str">
        <f t="shared" si="42"/>
        <v>3/1998</v>
      </c>
      <c r="Y683" s="1">
        <v>35887</v>
      </c>
      <c r="Z683">
        <f t="shared" si="43"/>
        <v>28</v>
      </c>
    </row>
    <row r="684" spans="19:26" x14ac:dyDescent="0.2">
      <c r="S684" s="1">
        <v>35860</v>
      </c>
      <c r="T684">
        <f t="shared" si="40"/>
        <v>3</v>
      </c>
      <c r="U684">
        <f t="shared" si="41"/>
        <v>1998</v>
      </c>
      <c r="V684" t="str">
        <f t="shared" si="42"/>
        <v>3/1998</v>
      </c>
      <c r="Y684" s="1">
        <v>35902</v>
      </c>
      <c r="Z684">
        <f t="shared" si="43"/>
        <v>42</v>
      </c>
    </row>
    <row r="685" spans="19:26" x14ac:dyDescent="0.2">
      <c r="S685" s="1">
        <v>35860</v>
      </c>
      <c r="T685">
        <f t="shared" si="40"/>
        <v>3</v>
      </c>
      <c r="U685">
        <f t="shared" si="41"/>
        <v>1998</v>
      </c>
      <c r="V685" t="str">
        <f t="shared" si="42"/>
        <v>3/1998</v>
      </c>
      <c r="Y685" s="1">
        <v>35874</v>
      </c>
      <c r="Z685">
        <f t="shared" si="43"/>
        <v>14</v>
      </c>
    </row>
    <row r="686" spans="19:26" x14ac:dyDescent="0.2">
      <c r="S686" s="1">
        <v>35860</v>
      </c>
      <c r="T686">
        <f t="shared" si="40"/>
        <v>3</v>
      </c>
      <c r="U686">
        <f t="shared" si="41"/>
        <v>1998</v>
      </c>
      <c r="V686" t="str">
        <f t="shared" si="42"/>
        <v>3/1998</v>
      </c>
      <c r="Y686" s="1">
        <v>35888</v>
      </c>
      <c r="Z686">
        <f t="shared" si="43"/>
        <v>28</v>
      </c>
    </row>
    <row r="687" spans="19:26" x14ac:dyDescent="0.2">
      <c r="S687" s="1">
        <v>35860</v>
      </c>
      <c r="T687">
        <f t="shared" si="40"/>
        <v>3</v>
      </c>
      <c r="U687">
        <f t="shared" si="41"/>
        <v>1998</v>
      </c>
      <c r="V687" t="str">
        <f t="shared" si="42"/>
        <v>3/1998</v>
      </c>
      <c r="Y687" s="1">
        <v>35888</v>
      </c>
      <c r="Z687">
        <f t="shared" si="43"/>
        <v>28</v>
      </c>
    </row>
    <row r="688" spans="19:26" x14ac:dyDescent="0.2">
      <c r="S688" s="1">
        <v>35863</v>
      </c>
      <c r="T688">
        <f t="shared" si="40"/>
        <v>3</v>
      </c>
      <c r="U688">
        <f t="shared" si="41"/>
        <v>1998</v>
      </c>
      <c r="V688" t="str">
        <f t="shared" si="42"/>
        <v>3/1998</v>
      </c>
      <c r="Y688" s="1">
        <v>35891</v>
      </c>
      <c r="Z688">
        <f t="shared" si="43"/>
        <v>28</v>
      </c>
    </row>
    <row r="689" spans="19:26" x14ac:dyDescent="0.2">
      <c r="S689" s="1">
        <v>35863</v>
      </c>
      <c r="T689">
        <f t="shared" si="40"/>
        <v>3</v>
      </c>
      <c r="U689">
        <f t="shared" si="41"/>
        <v>1998</v>
      </c>
      <c r="V689" t="str">
        <f t="shared" si="42"/>
        <v>3/1998</v>
      </c>
      <c r="Y689" s="1">
        <v>35891</v>
      </c>
      <c r="Z689">
        <f t="shared" si="43"/>
        <v>28</v>
      </c>
    </row>
    <row r="690" spans="19:26" x14ac:dyDescent="0.2">
      <c r="S690" s="1">
        <v>35863</v>
      </c>
      <c r="T690">
        <f t="shared" si="40"/>
        <v>3</v>
      </c>
      <c r="U690">
        <f t="shared" si="41"/>
        <v>1998</v>
      </c>
      <c r="V690" t="str">
        <f t="shared" si="42"/>
        <v>3/1998</v>
      </c>
      <c r="Y690" s="1">
        <v>35891</v>
      </c>
      <c r="Z690">
        <f t="shared" si="43"/>
        <v>28</v>
      </c>
    </row>
    <row r="691" spans="19:26" x14ac:dyDescent="0.2">
      <c r="S691" s="1">
        <v>35864</v>
      </c>
      <c r="T691">
        <f t="shared" si="40"/>
        <v>3</v>
      </c>
      <c r="U691">
        <f t="shared" si="41"/>
        <v>1998</v>
      </c>
      <c r="V691" t="str">
        <f t="shared" si="42"/>
        <v>3/1998</v>
      </c>
      <c r="Y691" s="1">
        <v>35878</v>
      </c>
      <c r="Z691">
        <f t="shared" si="43"/>
        <v>14</v>
      </c>
    </row>
    <row r="692" spans="19:26" x14ac:dyDescent="0.2">
      <c r="S692" s="1">
        <v>35864</v>
      </c>
      <c r="T692">
        <f t="shared" si="40"/>
        <v>3</v>
      </c>
      <c r="U692">
        <f t="shared" si="41"/>
        <v>1998</v>
      </c>
      <c r="V692" t="str">
        <f t="shared" si="42"/>
        <v>3/1998</v>
      </c>
      <c r="Y692" s="1">
        <v>35892</v>
      </c>
      <c r="Z692">
        <f t="shared" si="43"/>
        <v>28</v>
      </c>
    </row>
    <row r="693" spans="19:26" x14ac:dyDescent="0.2">
      <c r="S693" s="1">
        <v>35864</v>
      </c>
      <c r="T693">
        <f t="shared" si="40"/>
        <v>3</v>
      </c>
      <c r="U693">
        <f t="shared" si="41"/>
        <v>1998</v>
      </c>
      <c r="V693" t="str">
        <f t="shared" si="42"/>
        <v>3/1998</v>
      </c>
      <c r="Y693" s="1">
        <v>35892</v>
      </c>
      <c r="Z693">
        <f t="shared" si="43"/>
        <v>28</v>
      </c>
    </row>
    <row r="694" spans="19:26" x14ac:dyDescent="0.2">
      <c r="S694" s="1">
        <v>35865</v>
      </c>
      <c r="T694">
        <f t="shared" si="40"/>
        <v>3</v>
      </c>
      <c r="U694">
        <f t="shared" si="41"/>
        <v>1998</v>
      </c>
      <c r="V694" t="str">
        <f t="shared" si="42"/>
        <v>3/1998</v>
      </c>
      <c r="Y694" s="1">
        <v>35893</v>
      </c>
      <c r="Z694">
        <f t="shared" si="43"/>
        <v>28</v>
      </c>
    </row>
    <row r="695" spans="19:26" x14ac:dyDescent="0.2">
      <c r="S695" s="1">
        <v>35865</v>
      </c>
      <c r="T695">
        <f t="shared" si="40"/>
        <v>3</v>
      </c>
      <c r="U695">
        <f t="shared" si="41"/>
        <v>1998</v>
      </c>
      <c r="V695" t="str">
        <f t="shared" si="42"/>
        <v>3/1998</v>
      </c>
      <c r="Y695" s="1">
        <v>35893</v>
      </c>
      <c r="Z695">
        <f t="shared" si="43"/>
        <v>28</v>
      </c>
    </row>
    <row r="696" spans="19:26" x14ac:dyDescent="0.2">
      <c r="S696" s="1">
        <v>35865</v>
      </c>
      <c r="T696">
        <f t="shared" si="40"/>
        <v>3</v>
      </c>
      <c r="U696">
        <f t="shared" si="41"/>
        <v>1998</v>
      </c>
      <c r="V696" t="str">
        <f t="shared" si="42"/>
        <v>3/1998</v>
      </c>
      <c r="Y696" s="1">
        <v>35893</v>
      </c>
      <c r="Z696">
        <f t="shared" si="43"/>
        <v>28</v>
      </c>
    </row>
    <row r="697" spans="19:26" x14ac:dyDescent="0.2">
      <c r="S697" s="1">
        <v>35865</v>
      </c>
      <c r="T697">
        <f t="shared" si="40"/>
        <v>3</v>
      </c>
      <c r="U697">
        <f t="shared" si="41"/>
        <v>1998</v>
      </c>
      <c r="V697" t="str">
        <f t="shared" si="42"/>
        <v>3/1998</v>
      </c>
      <c r="Y697" s="1">
        <v>35893</v>
      </c>
      <c r="Z697">
        <f t="shared" si="43"/>
        <v>28</v>
      </c>
    </row>
    <row r="698" spans="19:26" x14ac:dyDescent="0.2">
      <c r="S698" s="1">
        <v>35866</v>
      </c>
      <c r="T698">
        <f t="shared" si="40"/>
        <v>3</v>
      </c>
      <c r="U698">
        <f t="shared" si="41"/>
        <v>1998</v>
      </c>
      <c r="V698" t="str">
        <f t="shared" si="42"/>
        <v>3/1998</v>
      </c>
      <c r="Y698" s="1">
        <v>35880</v>
      </c>
      <c r="Z698">
        <f t="shared" si="43"/>
        <v>14</v>
      </c>
    </row>
    <row r="699" spans="19:26" x14ac:dyDescent="0.2">
      <c r="S699" s="1">
        <v>35866</v>
      </c>
      <c r="T699">
        <f t="shared" si="40"/>
        <v>3</v>
      </c>
      <c r="U699">
        <f t="shared" si="41"/>
        <v>1998</v>
      </c>
      <c r="V699" t="str">
        <f t="shared" si="42"/>
        <v>3/1998</v>
      </c>
      <c r="Y699" s="1">
        <v>35894</v>
      </c>
      <c r="Z699">
        <f t="shared" si="43"/>
        <v>28</v>
      </c>
    </row>
    <row r="700" spans="19:26" x14ac:dyDescent="0.2">
      <c r="S700" s="1">
        <v>35866</v>
      </c>
      <c r="T700">
        <f t="shared" si="40"/>
        <v>3</v>
      </c>
      <c r="U700">
        <f t="shared" si="41"/>
        <v>1998</v>
      </c>
      <c r="V700" t="str">
        <f t="shared" si="42"/>
        <v>3/1998</v>
      </c>
      <c r="Y700" s="1">
        <v>35894</v>
      </c>
      <c r="Z700">
        <f t="shared" si="43"/>
        <v>28</v>
      </c>
    </row>
    <row r="701" spans="19:26" x14ac:dyDescent="0.2">
      <c r="S701" s="1">
        <v>35867</v>
      </c>
      <c r="T701">
        <f t="shared" si="40"/>
        <v>3</v>
      </c>
      <c r="U701">
        <f t="shared" si="41"/>
        <v>1998</v>
      </c>
      <c r="V701" t="str">
        <f t="shared" si="42"/>
        <v>3/1998</v>
      </c>
      <c r="Y701" s="1">
        <v>35895</v>
      </c>
      <c r="Z701">
        <f t="shared" si="43"/>
        <v>28</v>
      </c>
    </row>
    <row r="702" spans="19:26" x14ac:dyDescent="0.2">
      <c r="S702" s="1">
        <v>35867</v>
      </c>
      <c r="T702">
        <f t="shared" si="40"/>
        <v>3</v>
      </c>
      <c r="U702">
        <f t="shared" si="41"/>
        <v>1998</v>
      </c>
      <c r="V702" t="str">
        <f t="shared" si="42"/>
        <v>3/1998</v>
      </c>
      <c r="Y702" s="1">
        <v>35895</v>
      </c>
      <c r="Z702">
        <f t="shared" si="43"/>
        <v>28</v>
      </c>
    </row>
    <row r="703" spans="19:26" x14ac:dyDescent="0.2">
      <c r="S703" s="1">
        <v>35867</v>
      </c>
      <c r="T703">
        <f t="shared" si="40"/>
        <v>3</v>
      </c>
      <c r="U703">
        <f t="shared" si="41"/>
        <v>1998</v>
      </c>
      <c r="V703" t="str">
        <f t="shared" si="42"/>
        <v>3/1998</v>
      </c>
      <c r="Y703" s="1">
        <v>35895</v>
      </c>
      <c r="Z703">
        <f t="shared" si="43"/>
        <v>28</v>
      </c>
    </row>
    <row r="704" spans="19:26" x14ac:dyDescent="0.2">
      <c r="S704" s="1">
        <v>35870</v>
      </c>
      <c r="T704">
        <f t="shared" si="40"/>
        <v>3</v>
      </c>
      <c r="U704">
        <f t="shared" si="41"/>
        <v>1998</v>
      </c>
      <c r="V704" t="str">
        <f t="shared" si="42"/>
        <v>3/1998</v>
      </c>
      <c r="Y704" s="1">
        <v>35898</v>
      </c>
      <c r="Z704">
        <f t="shared" si="43"/>
        <v>28</v>
      </c>
    </row>
    <row r="705" spans="19:26" x14ac:dyDescent="0.2">
      <c r="S705" s="1">
        <v>35870</v>
      </c>
      <c r="T705">
        <f t="shared" si="40"/>
        <v>3</v>
      </c>
      <c r="U705">
        <f t="shared" si="41"/>
        <v>1998</v>
      </c>
      <c r="V705" t="str">
        <f t="shared" si="42"/>
        <v>3/1998</v>
      </c>
      <c r="Y705" s="1">
        <v>35912</v>
      </c>
      <c r="Z705">
        <f t="shared" si="43"/>
        <v>42</v>
      </c>
    </row>
    <row r="706" spans="19:26" x14ac:dyDescent="0.2">
      <c r="S706" s="1">
        <v>35870</v>
      </c>
      <c r="T706">
        <f t="shared" si="40"/>
        <v>3</v>
      </c>
      <c r="U706">
        <f t="shared" si="41"/>
        <v>1998</v>
      </c>
      <c r="V706" t="str">
        <f t="shared" si="42"/>
        <v>3/1998</v>
      </c>
      <c r="Y706" s="1">
        <v>35912</v>
      </c>
      <c r="Z706">
        <f t="shared" si="43"/>
        <v>42</v>
      </c>
    </row>
    <row r="707" spans="19:26" x14ac:dyDescent="0.2">
      <c r="S707" s="1">
        <v>35870</v>
      </c>
      <c r="T707">
        <f t="shared" ref="T707:T770" si="44">MONTH(S707)</f>
        <v>3</v>
      </c>
      <c r="U707">
        <f t="shared" ref="U707:U770" si="45">YEAR(S707)</f>
        <v>1998</v>
      </c>
      <c r="V707" t="str">
        <f t="shared" ref="V707:V770" si="46">T707&amp;"/"&amp;U707</f>
        <v>3/1998</v>
      </c>
      <c r="Y707" s="1">
        <v>35884</v>
      </c>
      <c r="Z707">
        <f t="shared" ref="Z707:Z770" si="47">Y707-S707</f>
        <v>14</v>
      </c>
    </row>
    <row r="708" spans="19:26" x14ac:dyDescent="0.2">
      <c r="S708" s="1">
        <v>35871</v>
      </c>
      <c r="T708">
        <f t="shared" si="44"/>
        <v>3</v>
      </c>
      <c r="U708">
        <f t="shared" si="45"/>
        <v>1998</v>
      </c>
      <c r="V708" t="str">
        <f t="shared" si="46"/>
        <v>3/1998</v>
      </c>
      <c r="Y708" s="1">
        <v>35913</v>
      </c>
      <c r="Z708">
        <f t="shared" si="47"/>
        <v>42</v>
      </c>
    </row>
    <row r="709" spans="19:26" x14ac:dyDescent="0.2">
      <c r="S709" s="1">
        <v>35871</v>
      </c>
      <c r="T709">
        <f t="shared" si="44"/>
        <v>3</v>
      </c>
      <c r="U709">
        <f t="shared" si="45"/>
        <v>1998</v>
      </c>
      <c r="V709" t="str">
        <f t="shared" si="46"/>
        <v>3/1998</v>
      </c>
      <c r="Y709" s="1">
        <v>35899</v>
      </c>
      <c r="Z709">
        <f t="shared" si="47"/>
        <v>28</v>
      </c>
    </row>
    <row r="710" spans="19:26" x14ac:dyDescent="0.2">
      <c r="S710" s="1">
        <v>35871</v>
      </c>
      <c r="T710">
        <f t="shared" si="44"/>
        <v>3</v>
      </c>
      <c r="U710">
        <f t="shared" si="45"/>
        <v>1998</v>
      </c>
      <c r="V710" t="str">
        <f t="shared" si="46"/>
        <v>3/1998</v>
      </c>
      <c r="Y710" s="1">
        <v>35913</v>
      </c>
      <c r="Z710">
        <f t="shared" si="47"/>
        <v>42</v>
      </c>
    </row>
    <row r="711" spans="19:26" x14ac:dyDescent="0.2">
      <c r="S711" s="1">
        <v>35872</v>
      </c>
      <c r="T711">
        <f t="shared" si="44"/>
        <v>3</v>
      </c>
      <c r="U711">
        <f t="shared" si="45"/>
        <v>1998</v>
      </c>
      <c r="V711" t="str">
        <f t="shared" si="46"/>
        <v>3/1998</v>
      </c>
      <c r="Y711" s="1">
        <v>35900</v>
      </c>
      <c r="Z711">
        <f t="shared" si="47"/>
        <v>28</v>
      </c>
    </row>
    <row r="712" spans="19:26" x14ac:dyDescent="0.2">
      <c r="S712" s="1">
        <v>35872</v>
      </c>
      <c r="T712">
        <f t="shared" si="44"/>
        <v>3</v>
      </c>
      <c r="U712">
        <f t="shared" si="45"/>
        <v>1998</v>
      </c>
      <c r="V712" t="str">
        <f t="shared" si="46"/>
        <v>3/1998</v>
      </c>
      <c r="Y712" s="1">
        <v>35900</v>
      </c>
      <c r="Z712">
        <f t="shared" si="47"/>
        <v>28</v>
      </c>
    </row>
    <row r="713" spans="19:26" x14ac:dyDescent="0.2">
      <c r="S713" s="1">
        <v>35872</v>
      </c>
      <c r="T713">
        <f t="shared" si="44"/>
        <v>3</v>
      </c>
      <c r="U713">
        <f t="shared" si="45"/>
        <v>1998</v>
      </c>
      <c r="V713" t="str">
        <f t="shared" si="46"/>
        <v>3/1998</v>
      </c>
      <c r="Y713" s="1">
        <v>35914</v>
      </c>
      <c r="Z713">
        <f t="shared" si="47"/>
        <v>42</v>
      </c>
    </row>
    <row r="714" spans="19:26" x14ac:dyDescent="0.2">
      <c r="S714" s="1">
        <v>35873</v>
      </c>
      <c r="T714">
        <f t="shared" si="44"/>
        <v>3</v>
      </c>
      <c r="U714">
        <f t="shared" si="45"/>
        <v>1998</v>
      </c>
      <c r="V714" t="str">
        <f t="shared" si="46"/>
        <v>3/1998</v>
      </c>
      <c r="Y714" s="1">
        <v>35887</v>
      </c>
      <c r="Z714">
        <f t="shared" si="47"/>
        <v>14</v>
      </c>
    </row>
    <row r="715" spans="19:26" x14ac:dyDescent="0.2">
      <c r="S715" s="1">
        <v>35873</v>
      </c>
      <c r="T715">
        <f t="shared" si="44"/>
        <v>3</v>
      </c>
      <c r="U715">
        <f t="shared" si="45"/>
        <v>1998</v>
      </c>
      <c r="V715" t="str">
        <f t="shared" si="46"/>
        <v>3/1998</v>
      </c>
      <c r="Y715" s="1">
        <v>35901</v>
      </c>
      <c r="Z715">
        <f t="shared" si="47"/>
        <v>28</v>
      </c>
    </row>
    <row r="716" spans="19:26" x14ac:dyDescent="0.2">
      <c r="S716" s="1">
        <v>35873</v>
      </c>
      <c r="T716">
        <f t="shared" si="44"/>
        <v>3</v>
      </c>
      <c r="U716">
        <f t="shared" si="45"/>
        <v>1998</v>
      </c>
      <c r="V716" t="str">
        <f t="shared" si="46"/>
        <v>3/1998</v>
      </c>
      <c r="Y716" s="1">
        <v>35901</v>
      </c>
      <c r="Z716">
        <f t="shared" si="47"/>
        <v>28</v>
      </c>
    </row>
    <row r="717" spans="19:26" x14ac:dyDescent="0.2">
      <c r="S717" s="1">
        <v>35873</v>
      </c>
      <c r="T717">
        <f t="shared" si="44"/>
        <v>3</v>
      </c>
      <c r="U717">
        <f t="shared" si="45"/>
        <v>1998</v>
      </c>
      <c r="V717" t="str">
        <f t="shared" si="46"/>
        <v>3/1998</v>
      </c>
      <c r="Y717" s="1">
        <v>35901</v>
      </c>
      <c r="Z717">
        <f t="shared" si="47"/>
        <v>28</v>
      </c>
    </row>
    <row r="718" spans="19:26" x14ac:dyDescent="0.2">
      <c r="S718" s="1">
        <v>35874</v>
      </c>
      <c r="T718">
        <f t="shared" si="44"/>
        <v>3</v>
      </c>
      <c r="U718">
        <f t="shared" si="45"/>
        <v>1998</v>
      </c>
      <c r="V718" t="str">
        <f t="shared" si="46"/>
        <v>3/1998</v>
      </c>
      <c r="Y718" s="1">
        <v>35902</v>
      </c>
      <c r="Z718">
        <f t="shared" si="47"/>
        <v>28</v>
      </c>
    </row>
    <row r="719" spans="19:26" x14ac:dyDescent="0.2">
      <c r="S719" s="1">
        <v>35874</v>
      </c>
      <c r="T719">
        <f t="shared" si="44"/>
        <v>3</v>
      </c>
      <c r="U719">
        <f t="shared" si="45"/>
        <v>1998</v>
      </c>
      <c r="V719" t="str">
        <f t="shared" si="46"/>
        <v>3/1998</v>
      </c>
      <c r="Y719" s="1">
        <v>35902</v>
      </c>
      <c r="Z719">
        <f t="shared" si="47"/>
        <v>28</v>
      </c>
    </row>
    <row r="720" spans="19:26" x14ac:dyDescent="0.2">
      <c r="S720" s="1">
        <v>35874</v>
      </c>
      <c r="T720">
        <f t="shared" si="44"/>
        <v>3</v>
      </c>
      <c r="U720">
        <f t="shared" si="45"/>
        <v>1998</v>
      </c>
      <c r="V720" t="str">
        <f t="shared" si="46"/>
        <v>3/1998</v>
      </c>
      <c r="Y720" s="1">
        <v>35902</v>
      </c>
      <c r="Z720">
        <f t="shared" si="47"/>
        <v>28</v>
      </c>
    </row>
    <row r="721" spans="19:26" x14ac:dyDescent="0.2">
      <c r="S721" s="1">
        <v>35877</v>
      </c>
      <c r="T721">
        <f t="shared" si="44"/>
        <v>3</v>
      </c>
      <c r="U721">
        <f t="shared" si="45"/>
        <v>1998</v>
      </c>
      <c r="V721" t="str">
        <f t="shared" si="46"/>
        <v>3/1998</v>
      </c>
      <c r="Y721" s="1">
        <v>35905</v>
      </c>
      <c r="Z721">
        <f t="shared" si="47"/>
        <v>28</v>
      </c>
    </row>
    <row r="722" spans="19:26" x14ac:dyDescent="0.2">
      <c r="S722" s="1">
        <v>35877</v>
      </c>
      <c r="T722">
        <f t="shared" si="44"/>
        <v>3</v>
      </c>
      <c r="U722">
        <f t="shared" si="45"/>
        <v>1998</v>
      </c>
      <c r="V722" t="str">
        <f t="shared" si="46"/>
        <v>3/1998</v>
      </c>
      <c r="Y722" s="1">
        <v>35905</v>
      </c>
      <c r="Z722">
        <f t="shared" si="47"/>
        <v>28</v>
      </c>
    </row>
    <row r="723" spans="19:26" x14ac:dyDescent="0.2">
      <c r="S723" s="1">
        <v>35877</v>
      </c>
      <c r="T723">
        <f t="shared" si="44"/>
        <v>3</v>
      </c>
      <c r="U723">
        <f t="shared" si="45"/>
        <v>1998</v>
      </c>
      <c r="V723" t="str">
        <f t="shared" si="46"/>
        <v>3/1998</v>
      </c>
      <c r="Y723" s="1">
        <v>35905</v>
      </c>
      <c r="Z723">
        <f t="shared" si="47"/>
        <v>28</v>
      </c>
    </row>
    <row r="724" spans="19:26" x14ac:dyDescent="0.2">
      <c r="S724" s="1">
        <v>35878</v>
      </c>
      <c r="T724">
        <f t="shared" si="44"/>
        <v>3</v>
      </c>
      <c r="U724">
        <f t="shared" si="45"/>
        <v>1998</v>
      </c>
      <c r="V724" t="str">
        <f t="shared" si="46"/>
        <v>3/1998</v>
      </c>
      <c r="Y724" s="1">
        <v>35892</v>
      </c>
      <c r="Z724">
        <f t="shared" si="47"/>
        <v>14</v>
      </c>
    </row>
    <row r="725" spans="19:26" x14ac:dyDescent="0.2">
      <c r="S725" s="1">
        <v>35878</v>
      </c>
      <c r="T725">
        <f t="shared" si="44"/>
        <v>3</v>
      </c>
      <c r="U725">
        <f t="shared" si="45"/>
        <v>1998</v>
      </c>
      <c r="V725" t="str">
        <f t="shared" si="46"/>
        <v>3/1998</v>
      </c>
      <c r="Y725" s="1">
        <v>35906</v>
      </c>
      <c r="Z725">
        <f t="shared" si="47"/>
        <v>28</v>
      </c>
    </row>
    <row r="726" spans="19:26" x14ac:dyDescent="0.2">
      <c r="S726" s="1">
        <v>35878</v>
      </c>
      <c r="T726">
        <f t="shared" si="44"/>
        <v>3</v>
      </c>
      <c r="U726">
        <f t="shared" si="45"/>
        <v>1998</v>
      </c>
      <c r="V726" t="str">
        <f t="shared" si="46"/>
        <v>3/1998</v>
      </c>
      <c r="Y726" s="1">
        <v>35906</v>
      </c>
      <c r="Z726">
        <f t="shared" si="47"/>
        <v>28</v>
      </c>
    </row>
    <row r="727" spans="19:26" x14ac:dyDescent="0.2">
      <c r="S727" s="1">
        <v>35878</v>
      </c>
      <c r="T727">
        <f t="shared" si="44"/>
        <v>3</v>
      </c>
      <c r="U727">
        <f t="shared" si="45"/>
        <v>1998</v>
      </c>
      <c r="V727" t="str">
        <f t="shared" si="46"/>
        <v>3/1998</v>
      </c>
      <c r="Y727" s="1">
        <v>35906</v>
      </c>
      <c r="Z727">
        <f t="shared" si="47"/>
        <v>28</v>
      </c>
    </row>
    <row r="728" spans="19:26" x14ac:dyDescent="0.2">
      <c r="S728" s="1">
        <v>35879</v>
      </c>
      <c r="T728">
        <f t="shared" si="44"/>
        <v>3</v>
      </c>
      <c r="U728">
        <f t="shared" si="45"/>
        <v>1998</v>
      </c>
      <c r="V728" t="str">
        <f t="shared" si="46"/>
        <v>3/1998</v>
      </c>
      <c r="Y728" s="1">
        <v>35893</v>
      </c>
      <c r="Z728">
        <f t="shared" si="47"/>
        <v>14</v>
      </c>
    </row>
    <row r="729" spans="19:26" x14ac:dyDescent="0.2">
      <c r="S729" s="1">
        <v>35879</v>
      </c>
      <c r="T729">
        <f t="shared" si="44"/>
        <v>3</v>
      </c>
      <c r="U729">
        <f t="shared" si="45"/>
        <v>1998</v>
      </c>
      <c r="V729" t="str">
        <f t="shared" si="46"/>
        <v>3/1998</v>
      </c>
      <c r="Y729" s="1">
        <v>35907</v>
      </c>
      <c r="Z729">
        <f t="shared" si="47"/>
        <v>28</v>
      </c>
    </row>
    <row r="730" spans="19:26" x14ac:dyDescent="0.2">
      <c r="S730" s="1">
        <v>35879</v>
      </c>
      <c r="T730">
        <f t="shared" si="44"/>
        <v>3</v>
      </c>
      <c r="U730">
        <f t="shared" si="45"/>
        <v>1998</v>
      </c>
      <c r="V730" t="str">
        <f t="shared" si="46"/>
        <v>3/1998</v>
      </c>
      <c r="Y730" s="1">
        <v>35921</v>
      </c>
      <c r="Z730">
        <f t="shared" si="47"/>
        <v>42</v>
      </c>
    </row>
    <row r="731" spans="19:26" x14ac:dyDescent="0.2">
      <c r="S731" s="1">
        <v>35880</v>
      </c>
      <c r="T731">
        <f t="shared" si="44"/>
        <v>3</v>
      </c>
      <c r="U731">
        <f t="shared" si="45"/>
        <v>1998</v>
      </c>
      <c r="V731" t="str">
        <f t="shared" si="46"/>
        <v>3/1998</v>
      </c>
      <c r="Y731" s="1">
        <v>35908</v>
      </c>
      <c r="Z731">
        <f t="shared" si="47"/>
        <v>28</v>
      </c>
    </row>
    <row r="732" spans="19:26" x14ac:dyDescent="0.2">
      <c r="S732" s="1">
        <v>35880</v>
      </c>
      <c r="T732">
        <f t="shared" si="44"/>
        <v>3</v>
      </c>
      <c r="U732">
        <f t="shared" si="45"/>
        <v>1998</v>
      </c>
      <c r="V732" t="str">
        <f t="shared" si="46"/>
        <v>3/1998</v>
      </c>
      <c r="Y732" s="1">
        <v>35908</v>
      </c>
      <c r="Z732">
        <f t="shared" si="47"/>
        <v>28</v>
      </c>
    </row>
    <row r="733" spans="19:26" x14ac:dyDescent="0.2">
      <c r="S733" s="1">
        <v>35880</v>
      </c>
      <c r="T733">
        <f t="shared" si="44"/>
        <v>3</v>
      </c>
      <c r="U733">
        <f t="shared" si="45"/>
        <v>1998</v>
      </c>
      <c r="V733" t="str">
        <f t="shared" si="46"/>
        <v>3/1998</v>
      </c>
      <c r="Y733" s="1">
        <v>35908</v>
      </c>
      <c r="Z733">
        <f t="shared" si="47"/>
        <v>28</v>
      </c>
    </row>
    <row r="734" spans="19:26" x14ac:dyDescent="0.2">
      <c r="S734" s="1">
        <v>35881</v>
      </c>
      <c r="T734">
        <f t="shared" si="44"/>
        <v>3</v>
      </c>
      <c r="U734">
        <f t="shared" si="45"/>
        <v>1998</v>
      </c>
      <c r="V734" t="str">
        <f t="shared" si="46"/>
        <v>3/1998</v>
      </c>
      <c r="Y734" s="1">
        <v>35923</v>
      </c>
      <c r="Z734">
        <f t="shared" si="47"/>
        <v>42</v>
      </c>
    </row>
    <row r="735" spans="19:26" x14ac:dyDescent="0.2">
      <c r="S735" s="1">
        <v>35881</v>
      </c>
      <c r="T735">
        <f t="shared" si="44"/>
        <v>3</v>
      </c>
      <c r="U735">
        <f t="shared" si="45"/>
        <v>1998</v>
      </c>
      <c r="V735" t="str">
        <f t="shared" si="46"/>
        <v>3/1998</v>
      </c>
      <c r="Y735" s="1">
        <v>35909</v>
      </c>
      <c r="Z735">
        <f t="shared" si="47"/>
        <v>28</v>
      </c>
    </row>
    <row r="736" spans="19:26" x14ac:dyDescent="0.2">
      <c r="S736" s="1">
        <v>35881</v>
      </c>
      <c r="T736">
        <f t="shared" si="44"/>
        <v>3</v>
      </c>
      <c r="U736">
        <f t="shared" si="45"/>
        <v>1998</v>
      </c>
      <c r="V736" t="str">
        <f t="shared" si="46"/>
        <v>3/1998</v>
      </c>
      <c r="Y736" s="1">
        <v>35909</v>
      </c>
      <c r="Z736">
        <f t="shared" si="47"/>
        <v>28</v>
      </c>
    </row>
    <row r="737" spans="19:26" x14ac:dyDescent="0.2">
      <c r="S737" s="1">
        <v>35881</v>
      </c>
      <c r="T737">
        <f t="shared" si="44"/>
        <v>3</v>
      </c>
      <c r="U737">
        <f t="shared" si="45"/>
        <v>1998</v>
      </c>
      <c r="V737" t="str">
        <f t="shared" si="46"/>
        <v>3/1998</v>
      </c>
      <c r="Y737" s="1">
        <v>35909</v>
      </c>
      <c r="Z737">
        <f t="shared" si="47"/>
        <v>28</v>
      </c>
    </row>
    <row r="738" spans="19:26" x14ac:dyDescent="0.2">
      <c r="S738" s="1">
        <v>35884</v>
      </c>
      <c r="T738">
        <f t="shared" si="44"/>
        <v>3</v>
      </c>
      <c r="U738">
        <f t="shared" si="45"/>
        <v>1998</v>
      </c>
      <c r="V738" t="str">
        <f t="shared" si="46"/>
        <v>3/1998</v>
      </c>
      <c r="Y738" s="1">
        <v>35912</v>
      </c>
      <c r="Z738">
        <f t="shared" si="47"/>
        <v>28</v>
      </c>
    </row>
    <row r="739" spans="19:26" x14ac:dyDescent="0.2">
      <c r="S739" s="1">
        <v>35884</v>
      </c>
      <c r="T739">
        <f t="shared" si="44"/>
        <v>3</v>
      </c>
      <c r="U739">
        <f t="shared" si="45"/>
        <v>1998</v>
      </c>
      <c r="V739" t="str">
        <f t="shared" si="46"/>
        <v>3/1998</v>
      </c>
      <c r="Y739" s="1">
        <v>35912</v>
      </c>
      <c r="Z739">
        <f t="shared" si="47"/>
        <v>28</v>
      </c>
    </row>
    <row r="740" spans="19:26" x14ac:dyDescent="0.2">
      <c r="S740" s="1">
        <v>35884</v>
      </c>
      <c r="T740">
        <f t="shared" si="44"/>
        <v>3</v>
      </c>
      <c r="U740">
        <f t="shared" si="45"/>
        <v>1998</v>
      </c>
      <c r="V740" t="str">
        <f t="shared" si="46"/>
        <v>3/1998</v>
      </c>
      <c r="Y740" s="1">
        <v>35912</v>
      </c>
      <c r="Z740">
        <f t="shared" si="47"/>
        <v>28</v>
      </c>
    </row>
    <row r="741" spans="19:26" x14ac:dyDescent="0.2">
      <c r="S741" s="1">
        <v>35885</v>
      </c>
      <c r="T741">
        <f t="shared" si="44"/>
        <v>3</v>
      </c>
      <c r="U741">
        <f t="shared" si="45"/>
        <v>1998</v>
      </c>
      <c r="V741" t="str">
        <f t="shared" si="46"/>
        <v>3/1998</v>
      </c>
      <c r="Y741" s="1">
        <v>35913</v>
      </c>
      <c r="Z741">
        <f t="shared" si="47"/>
        <v>28</v>
      </c>
    </row>
    <row r="742" spans="19:26" x14ac:dyDescent="0.2">
      <c r="S742" s="1">
        <v>35885</v>
      </c>
      <c r="T742">
        <f t="shared" si="44"/>
        <v>3</v>
      </c>
      <c r="U742">
        <f t="shared" si="45"/>
        <v>1998</v>
      </c>
      <c r="V742" t="str">
        <f t="shared" si="46"/>
        <v>3/1998</v>
      </c>
      <c r="Y742" s="1">
        <v>35913</v>
      </c>
      <c r="Z742">
        <f t="shared" si="47"/>
        <v>28</v>
      </c>
    </row>
    <row r="743" spans="19:26" x14ac:dyDescent="0.2">
      <c r="S743" s="1">
        <v>35885</v>
      </c>
      <c r="T743">
        <f t="shared" si="44"/>
        <v>3</v>
      </c>
      <c r="U743">
        <f t="shared" si="45"/>
        <v>1998</v>
      </c>
      <c r="V743" t="str">
        <f t="shared" si="46"/>
        <v>3/1998</v>
      </c>
      <c r="Y743" s="1">
        <v>35913</v>
      </c>
      <c r="Z743">
        <f t="shared" si="47"/>
        <v>28</v>
      </c>
    </row>
    <row r="744" spans="19:26" x14ac:dyDescent="0.2">
      <c r="S744" s="1">
        <v>35886</v>
      </c>
      <c r="T744">
        <f t="shared" si="44"/>
        <v>4</v>
      </c>
      <c r="U744">
        <f t="shared" si="45"/>
        <v>1998</v>
      </c>
      <c r="V744" t="str">
        <f t="shared" si="46"/>
        <v>4/1998</v>
      </c>
      <c r="Y744" s="1">
        <v>35928</v>
      </c>
      <c r="Z744">
        <f t="shared" si="47"/>
        <v>42</v>
      </c>
    </row>
    <row r="745" spans="19:26" x14ac:dyDescent="0.2">
      <c r="S745" s="1">
        <v>35886</v>
      </c>
      <c r="T745">
        <f t="shared" si="44"/>
        <v>4</v>
      </c>
      <c r="U745">
        <f t="shared" si="45"/>
        <v>1998</v>
      </c>
      <c r="V745" t="str">
        <f t="shared" si="46"/>
        <v>4/1998</v>
      </c>
      <c r="Y745" s="1">
        <v>35914</v>
      </c>
      <c r="Z745">
        <f t="shared" si="47"/>
        <v>28</v>
      </c>
    </row>
    <row r="746" spans="19:26" x14ac:dyDescent="0.2">
      <c r="S746" s="1">
        <v>35886</v>
      </c>
      <c r="T746">
        <f t="shared" si="44"/>
        <v>4</v>
      </c>
      <c r="U746">
        <f t="shared" si="45"/>
        <v>1998</v>
      </c>
      <c r="V746" t="str">
        <f t="shared" si="46"/>
        <v>4/1998</v>
      </c>
      <c r="Y746" s="1">
        <v>35914</v>
      </c>
      <c r="Z746">
        <f t="shared" si="47"/>
        <v>28</v>
      </c>
    </row>
    <row r="747" spans="19:26" x14ac:dyDescent="0.2">
      <c r="S747" s="1">
        <v>35886</v>
      </c>
      <c r="T747">
        <f t="shared" si="44"/>
        <v>4</v>
      </c>
      <c r="U747">
        <f t="shared" si="45"/>
        <v>1998</v>
      </c>
      <c r="V747" t="str">
        <f t="shared" si="46"/>
        <v>4/1998</v>
      </c>
      <c r="Y747" s="1">
        <v>35914</v>
      </c>
      <c r="Z747">
        <f t="shared" si="47"/>
        <v>28</v>
      </c>
    </row>
    <row r="748" spans="19:26" x14ac:dyDescent="0.2">
      <c r="S748" s="1">
        <v>35887</v>
      </c>
      <c r="T748">
        <f t="shared" si="44"/>
        <v>4</v>
      </c>
      <c r="U748">
        <f t="shared" si="45"/>
        <v>1998</v>
      </c>
      <c r="V748" t="str">
        <f t="shared" si="46"/>
        <v>4/1998</v>
      </c>
      <c r="Y748" s="1">
        <v>35901</v>
      </c>
      <c r="Z748">
        <f t="shared" si="47"/>
        <v>14</v>
      </c>
    </row>
    <row r="749" spans="19:26" x14ac:dyDescent="0.2">
      <c r="S749" s="1">
        <v>35887</v>
      </c>
      <c r="T749">
        <f t="shared" si="44"/>
        <v>4</v>
      </c>
      <c r="U749">
        <f t="shared" si="45"/>
        <v>1998</v>
      </c>
      <c r="V749" t="str">
        <f t="shared" si="46"/>
        <v>4/1998</v>
      </c>
      <c r="Y749" s="1">
        <v>35915</v>
      </c>
      <c r="Z749">
        <f t="shared" si="47"/>
        <v>28</v>
      </c>
    </row>
    <row r="750" spans="19:26" x14ac:dyDescent="0.2">
      <c r="S750" s="1">
        <v>35887</v>
      </c>
      <c r="T750">
        <f t="shared" si="44"/>
        <v>4</v>
      </c>
      <c r="U750">
        <f t="shared" si="45"/>
        <v>1998</v>
      </c>
      <c r="V750" t="str">
        <f t="shared" si="46"/>
        <v>4/1998</v>
      </c>
      <c r="Y750" s="1">
        <v>35915</v>
      </c>
      <c r="Z750">
        <f t="shared" si="47"/>
        <v>28</v>
      </c>
    </row>
    <row r="751" spans="19:26" x14ac:dyDescent="0.2">
      <c r="S751" s="1">
        <v>35888</v>
      </c>
      <c r="T751">
        <f t="shared" si="44"/>
        <v>4</v>
      </c>
      <c r="U751">
        <f t="shared" si="45"/>
        <v>1998</v>
      </c>
      <c r="V751" t="str">
        <f t="shared" si="46"/>
        <v>4/1998</v>
      </c>
      <c r="Y751" s="1">
        <v>35930</v>
      </c>
      <c r="Z751">
        <f t="shared" si="47"/>
        <v>42</v>
      </c>
    </row>
    <row r="752" spans="19:26" x14ac:dyDescent="0.2">
      <c r="S752" s="1">
        <v>35888</v>
      </c>
      <c r="T752">
        <f t="shared" si="44"/>
        <v>4</v>
      </c>
      <c r="U752">
        <f t="shared" si="45"/>
        <v>1998</v>
      </c>
      <c r="V752" t="str">
        <f t="shared" si="46"/>
        <v>4/1998</v>
      </c>
      <c r="Y752" s="1">
        <v>35902</v>
      </c>
      <c r="Z752">
        <f t="shared" si="47"/>
        <v>14</v>
      </c>
    </row>
    <row r="753" spans="19:26" x14ac:dyDescent="0.2">
      <c r="S753" s="1">
        <v>35888</v>
      </c>
      <c r="T753">
        <f t="shared" si="44"/>
        <v>4</v>
      </c>
      <c r="U753">
        <f t="shared" si="45"/>
        <v>1998</v>
      </c>
      <c r="V753" t="str">
        <f t="shared" si="46"/>
        <v>4/1998</v>
      </c>
      <c r="Y753" s="1">
        <v>35916</v>
      </c>
      <c r="Z753">
        <f t="shared" si="47"/>
        <v>28</v>
      </c>
    </row>
    <row r="754" spans="19:26" x14ac:dyDescent="0.2">
      <c r="S754" s="1">
        <v>35891</v>
      </c>
      <c r="T754">
        <f t="shared" si="44"/>
        <v>4</v>
      </c>
      <c r="U754">
        <f t="shared" si="45"/>
        <v>1998</v>
      </c>
      <c r="V754" t="str">
        <f t="shared" si="46"/>
        <v>4/1998</v>
      </c>
      <c r="Y754" s="1">
        <v>35919</v>
      </c>
      <c r="Z754">
        <f t="shared" si="47"/>
        <v>28</v>
      </c>
    </row>
    <row r="755" spans="19:26" x14ac:dyDescent="0.2">
      <c r="S755" s="1">
        <v>35891</v>
      </c>
      <c r="T755">
        <f t="shared" si="44"/>
        <v>4</v>
      </c>
      <c r="U755">
        <f t="shared" si="45"/>
        <v>1998</v>
      </c>
      <c r="V755" t="str">
        <f t="shared" si="46"/>
        <v>4/1998</v>
      </c>
      <c r="Y755" s="1">
        <v>35919</v>
      </c>
      <c r="Z755">
        <f t="shared" si="47"/>
        <v>28</v>
      </c>
    </row>
    <row r="756" spans="19:26" x14ac:dyDescent="0.2">
      <c r="S756" s="1">
        <v>35891</v>
      </c>
      <c r="T756">
        <f t="shared" si="44"/>
        <v>4</v>
      </c>
      <c r="U756">
        <f t="shared" si="45"/>
        <v>1998</v>
      </c>
      <c r="V756" t="str">
        <f t="shared" si="46"/>
        <v>4/1998</v>
      </c>
      <c r="Y756" s="1">
        <v>35919</v>
      </c>
      <c r="Z756">
        <f t="shared" si="47"/>
        <v>28</v>
      </c>
    </row>
    <row r="757" spans="19:26" x14ac:dyDescent="0.2">
      <c r="S757" s="1">
        <v>35891</v>
      </c>
      <c r="T757">
        <f t="shared" si="44"/>
        <v>4</v>
      </c>
      <c r="U757">
        <f t="shared" si="45"/>
        <v>1998</v>
      </c>
      <c r="V757" t="str">
        <f t="shared" si="46"/>
        <v>4/1998</v>
      </c>
      <c r="Y757" s="1">
        <v>35919</v>
      </c>
      <c r="Z757">
        <f t="shared" si="47"/>
        <v>28</v>
      </c>
    </row>
    <row r="758" spans="19:26" x14ac:dyDescent="0.2">
      <c r="S758" s="1">
        <v>35892</v>
      </c>
      <c r="T758">
        <f t="shared" si="44"/>
        <v>4</v>
      </c>
      <c r="U758">
        <f t="shared" si="45"/>
        <v>1998</v>
      </c>
      <c r="V758" t="str">
        <f t="shared" si="46"/>
        <v>4/1998</v>
      </c>
      <c r="Y758" s="1">
        <v>35920</v>
      </c>
      <c r="Z758">
        <f t="shared" si="47"/>
        <v>28</v>
      </c>
    </row>
    <row r="759" spans="19:26" x14ac:dyDescent="0.2">
      <c r="S759" s="1">
        <v>35892</v>
      </c>
      <c r="T759">
        <f t="shared" si="44"/>
        <v>4</v>
      </c>
      <c r="U759">
        <f t="shared" si="45"/>
        <v>1998</v>
      </c>
      <c r="V759" t="str">
        <f t="shared" si="46"/>
        <v>4/1998</v>
      </c>
      <c r="Y759" s="1">
        <v>35920</v>
      </c>
      <c r="Z759">
        <f t="shared" si="47"/>
        <v>28</v>
      </c>
    </row>
    <row r="760" spans="19:26" x14ac:dyDescent="0.2">
      <c r="S760" s="1">
        <v>35892</v>
      </c>
      <c r="T760">
        <f t="shared" si="44"/>
        <v>4</v>
      </c>
      <c r="U760">
        <f t="shared" si="45"/>
        <v>1998</v>
      </c>
      <c r="V760" t="str">
        <f t="shared" si="46"/>
        <v>4/1998</v>
      </c>
      <c r="Y760" s="1">
        <v>35920</v>
      </c>
      <c r="Z760">
        <f t="shared" si="47"/>
        <v>28</v>
      </c>
    </row>
    <row r="761" spans="19:26" x14ac:dyDescent="0.2">
      <c r="S761" s="1">
        <v>35893</v>
      </c>
      <c r="T761">
        <f t="shared" si="44"/>
        <v>4</v>
      </c>
      <c r="U761">
        <f t="shared" si="45"/>
        <v>1998</v>
      </c>
      <c r="V761" t="str">
        <f t="shared" si="46"/>
        <v>4/1998</v>
      </c>
      <c r="Y761" s="1">
        <v>35921</v>
      </c>
      <c r="Z761">
        <f t="shared" si="47"/>
        <v>28</v>
      </c>
    </row>
    <row r="762" spans="19:26" x14ac:dyDescent="0.2">
      <c r="S762" s="1">
        <v>35893</v>
      </c>
      <c r="T762">
        <f t="shared" si="44"/>
        <v>4</v>
      </c>
      <c r="U762">
        <f t="shared" si="45"/>
        <v>1998</v>
      </c>
      <c r="V762" t="str">
        <f t="shared" si="46"/>
        <v>4/1998</v>
      </c>
      <c r="Y762" s="1">
        <v>35921</v>
      </c>
      <c r="Z762">
        <f t="shared" si="47"/>
        <v>28</v>
      </c>
    </row>
    <row r="763" spans="19:26" x14ac:dyDescent="0.2">
      <c r="S763" s="1">
        <v>35893</v>
      </c>
      <c r="T763">
        <f t="shared" si="44"/>
        <v>4</v>
      </c>
      <c r="U763">
        <f t="shared" si="45"/>
        <v>1998</v>
      </c>
      <c r="V763" t="str">
        <f t="shared" si="46"/>
        <v>4/1998</v>
      </c>
      <c r="Y763" s="1">
        <v>35921</v>
      </c>
      <c r="Z763">
        <f t="shared" si="47"/>
        <v>28</v>
      </c>
    </row>
    <row r="764" spans="19:26" x14ac:dyDescent="0.2">
      <c r="S764" s="1">
        <v>35894</v>
      </c>
      <c r="T764">
        <f t="shared" si="44"/>
        <v>4</v>
      </c>
      <c r="U764">
        <f t="shared" si="45"/>
        <v>1998</v>
      </c>
      <c r="V764" t="str">
        <f t="shared" si="46"/>
        <v>4/1998</v>
      </c>
      <c r="Y764" s="1">
        <v>35922</v>
      </c>
      <c r="Z764">
        <f t="shared" si="47"/>
        <v>28</v>
      </c>
    </row>
    <row r="765" spans="19:26" x14ac:dyDescent="0.2">
      <c r="S765" s="1">
        <v>35894</v>
      </c>
      <c r="T765">
        <f t="shared" si="44"/>
        <v>4</v>
      </c>
      <c r="U765">
        <f t="shared" si="45"/>
        <v>1998</v>
      </c>
      <c r="V765" t="str">
        <f t="shared" si="46"/>
        <v>4/1998</v>
      </c>
      <c r="Y765" s="1">
        <v>35922</v>
      </c>
      <c r="Z765">
        <f t="shared" si="47"/>
        <v>28</v>
      </c>
    </row>
    <row r="766" spans="19:26" x14ac:dyDescent="0.2">
      <c r="S766" s="1">
        <v>35894</v>
      </c>
      <c r="T766">
        <f t="shared" si="44"/>
        <v>4</v>
      </c>
      <c r="U766">
        <f t="shared" si="45"/>
        <v>1998</v>
      </c>
      <c r="V766" t="str">
        <f t="shared" si="46"/>
        <v>4/1998</v>
      </c>
      <c r="Y766" s="1">
        <v>35908</v>
      </c>
      <c r="Z766">
        <f t="shared" si="47"/>
        <v>14</v>
      </c>
    </row>
    <row r="767" spans="19:26" x14ac:dyDescent="0.2">
      <c r="S767" s="1">
        <v>35894</v>
      </c>
      <c r="T767">
        <f t="shared" si="44"/>
        <v>4</v>
      </c>
      <c r="U767">
        <f t="shared" si="45"/>
        <v>1998</v>
      </c>
      <c r="V767" t="str">
        <f t="shared" si="46"/>
        <v>4/1998</v>
      </c>
      <c r="Y767" s="1">
        <v>35922</v>
      </c>
      <c r="Z767">
        <f t="shared" si="47"/>
        <v>28</v>
      </c>
    </row>
    <row r="768" spans="19:26" x14ac:dyDescent="0.2">
      <c r="S768" s="1">
        <v>35895</v>
      </c>
      <c r="T768">
        <f t="shared" si="44"/>
        <v>4</v>
      </c>
      <c r="U768">
        <f t="shared" si="45"/>
        <v>1998</v>
      </c>
      <c r="V768" t="str">
        <f t="shared" si="46"/>
        <v>4/1998</v>
      </c>
      <c r="Y768" s="1">
        <v>35923</v>
      </c>
      <c r="Z768">
        <f t="shared" si="47"/>
        <v>28</v>
      </c>
    </row>
    <row r="769" spans="19:26" x14ac:dyDescent="0.2">
      <c r="S769" s="1">
        <v>35895</v>
      </c>
      <c r="T769">
        <f t="shared" si="44"/>
        <v>4</v>
      </c>
      <c r="U769">
        <f t="shared" si="45"/>
        <v>1998</v>
      </c>
      <c r="V769" t="str">
        <f t="shared" si="46"/>
        <v>4/1998</v>
      </c>
      <c r="Y769" s="1">
        <v>35909</v>
      </c>
      <c r="Z769">
        <f t="shared" si="47"/>
        <v>14</v>
      </c>
    </row>
    <row r="770" spans="19:26" x14ac:dyDescent="0.2">
      <c r="S770" s="1">
        <v>35895</v>
      </c>
      <c r="T770">
        <f t="shared" si="44"/>
        <v>4</v>
      </c>
      <c r="U770">
        <f t="shared" si="45"/>
        <v>1998</v>
      </c>
      <c r="V770" t="str">
        <f t="shared" si="46"/>
        <v>4/1998</v>
      </c>
      <c r="Y770" s="1">
        <v>35923</v>
      </c>
      <c r="Z770">
        <f t="shared" si="47"/>
        <v>28</v>
      </c>
    </row>
    <row r="771" spans="19:26" x14ac:dyDescent="0.2">
      <c r="S771" s="1">
        <v>35898</v>
      </c>
      <c r="T771">
        <f t="shared" ref="T771:T831" si="48">MONTH(S771)</f>
        <v>4</v>
      </c>
      <c r="U771">
        <f t="shared" ref="U771:U831" si="49">YEAR(S771)</f>
        <v>1998</v>
      </c>
      <c r="V771" t="str">
        <f t="shared" ref="V771:V831" si="50">T771&amp;"/"&amp;U771</f>
        <v>4/1998</v>
      </c>
      <c r="Y771" s="1">
        <v>35926</v>
      </c>
      <c r="Z771">
        <f t="shared" ref="Z771:Z831" si="51">Y771-S771</f>
        <v>28</v>
      </c>
    </row>
    <row r="772" spans="19:26" x14ac:dyDescent="0.2">
      <c r="S772" s="1">
        <v>35898</v>
      </c>
      <c r="T772">
        <f t="shared" si="48"/>
        <v>4</v>
      </c>
      <c r="U772">
        <f t="shared" si="49"/>
        <v>1998</v>
      </c>
      <c r="V772" t="str">
        <f t="shared" si="50"/>
        <v>4/1998</v>
      </c>
      <c r="Y772" s="1">
        <v>35926</v>
      </c>
      <c r="Z772">
        <f t="shared" si="51"/>
        <v>28</v>
      </c>
    </row>
    <row r="773" spans="19:26" x14ac:dyDescent="0.2">
      <c r="S773" s="1">
        <v>35898</v>
      </c>
      <c r="T773">
        <f t="shared" si="48"/>
        <v>4</v>
      </c>
      <c r="U773">
        <f t="shared" si="49"/>
        <v>1998</v>
      </c>
      <c r="V773" t="str">
        <f t="shared" si="50"/>
        <v>4/1998</v>
      </c>
      <c r="Y773" s="1">
        <v>35926</v>
      </c>
      <c r="Z773">
        <f t="shared" si="51"/>
        <v>28</v>
      </c>
    </row>
    <row r="774" spans="19:26" x14ac:dyDescent="0.2">
      <c r="S774" s="1">
        <v>35899</v>
      </c>
      <c r="T774">
        <f t="shared" si="48"/>
        <v>4</v>
      </c>
      <c r="U774">
        <f t="shared" si="49"/>
        <v>1998</v>
      </c>
      <c r="V774" t="str">
        <f t="shared" si="50"/>
        <v>4/1998</v>
      </c>
      <c r="Y774" s="1">
        <v>35927</v>
      </c>
      <c r="Z774">
        <f t="shared" si="51"/>
        <v>28</v>
      </c>
    </row>
    <row r="775" spans="19:26" x14ac:dyDescent="0.2">
      <c r="S775" s="1">
        <v>35899</v>
      </c>
      <c r="T775">
        <f t="shared" si="48"/>
        <v>4</v>
      </c>
      <c r="U775">
        <f t="shared" si="49"/>
        <v>1998</v>
      </c>
      <c r="V775" t="str">
        <f t="shared" si="50"/>
        <v>4/1998</v>
      </c>
      <c r="Y775" s="1">
        <v>35927</v>
      </c>
      <c r="Z775">
        <f t="shared" si="51"/>
        <v>28</v>
      </c>
    </row>
    <row r="776" spans="19:26" x14ac:dyDescent="0.2">
      <c r="S776" s="1">
        <v>35899</v>
      </c>
      <c r="T776">
        <f t="shared" si="48"/>
        <v>4</v>
      </c>
      <c r="U776">
        <f t="shared" si="49"/>
        <v>1998</v>
      </c>
      <c r="V776" t="str">
        <f t="shared" si="50"/>
        <v>4/1998</v>
      </c>
      <c r="Y776" s="1">
        <v>35927</v>
      </c>
      <c r="Z776">
        <f t="shared" si="51"/>
        <v>28</v>
      </c>
    </row>
    <row r="777" spans="19:26" x14ac:dyDescent="0.2">
      <c r="S777" s="1">
        <v>35899</v>
      </c>
      <c r="T777">
        <f t="shared" si="48"/>
        <v>4</v>
      </c>
      <c r="U777">
        <f t="shared" si="49"/>
        <v>1998</v>
      </c>
      <c r="V777" t="str">
        <f t="shared" si="50"/>
        <v>4/1998</v>
      </c>
      <c r="Y777" s="1">
        <v>35913</v>
      </c>
      <c r="Z777">
        <f t="shared" si="51"/>
        <v>14</v>
      </c>
    </row>
    <row r="778" spans="19:26" x14ac:dyDescent="0.2">
      <c r="S778" s="1">
        <v>35900</v>
      </c>
      <c r="T778">
        <f t="shared" si="48"/>
        <v>4</v>
      </c>
      <c r="U778">
        <f t="shared" si="49"/>
        <v>1998</v>
      </c>
      <c r="V778" t="str">
        <f t="shared" si="50"/>
        <v>4/1998</v>
      </c>
      <c r="Y778" s="1">
        <v>35928</v>
      </c>
      <c r="Z778">
        <f t="shared" si="51"/>
        <v>28</v>
      </c>
    </row>
    <row r="779" spans="19:26" x14ac:dyDescent="0.2">
      <c r="S779" s="1">
        <v>35900</v>
      </c>
      <c r="T779">
        <f t="shared" si="48"/>
        <v>4</v>
      </c>
      <c r="U779">
        <f t="shared" si="49"/>
        <v>1998</v>
      </c>
      <c r="V779" t="str">
        <f t="shared" si="50"/>
        <v>4/1998</v>
      </c>
      <c r="Y779" s="1">
        <v>35928</v>
      </c>
      <c r="Z779">
        <f t="shared" si="51"/>
        <v>28</v>
      </c>
    </row>
    <row r="780" spans="19:26" x14ac:dyDescent="0.2">
      <c r="S780" s="1">
        <v>35900</v>
      </c>
      <c r="T780">
        <f t="shared" si="48"/>
        <v>4</v>
      </c>
      <c r="U780">
        <f t="shared" si="49"/>
        <v>1998</v>
      </c>
      <c r="V780" t="str">
        <f t="shared" si="50"/>
        <v>4/1998</v>
      </c>
      <c r="Y780" s="1">
        <v>35928</v>
      </c>
      <c r="Z780">
        <f t="shared" si="51"/>
        <v>28</v>
      </c>
    </row>
    <row r="781" spans="19:26" x14ac:dyDescent="0.2">
      <c r="S781" s="1">
        <v>35901</v>
      </c>
      <c r="T781">
        <f t="shared" si="48"/>
        <v>4</v>
      </c>
      <c r="U781">
        <f t="shared" si="49"/>
        <v>1998</v>
      </c>
      <c r="V781" t="str">
        <f t="shared" si="50"/>
        <v>4/1998</v>
      </c>
      <c r="Y781" s="1">
        <v>35929</v>
      </c>
      <c r="Z781">
        <f t="shared" si="51"/>
        <v>28</v>
      </c>
    </row>
    <row r="782" spans="19:26" x14ac:dyDescent="0.2">
      <c r="S782" s="1">
        <v>35901</v>
      </c>
      <c r="T782">
        <f t="shared" si="48"/>
        <v>4</v>
      </c>
      <c r="U782">
        <f t="shared" si="49"/>
        <v>1998</v>
      </c>
      <c r="V782" t="str">
        <f t="shared" si="50"/>
        <v>4/1998</v>
      </c>
      <c r="Y782" s="1">
        <v>35929</v>
      </c>
      <c r="Z782">
        <f t="shared" si="51"/>
        <v>28</v>
      </c>
    </row>
    <row r="783" spans="19:26" x14ac:dyDescent="0.2">
      <c r="S783" s="1">
        <v>35901</v>
      </c>
      <c r="T783">
        <f t="shared" si="48"/>
        <v>4</v>
      </c>
      <c r="U783">
        <f t="shared" si="49"/>
        <v>1998</v>
      </c>
      <c r="V783" t="str">
        <f t="shared" si="50"/>
        <v>4/1998</v>
      </c>
      <c r="Y783" s="1">
        <v>35929</v>
      </c>
      <c r="Z783">
        <f t="shared" si="51"/>
        <v>28</v>
      </c>
    </row>
    <row r="784" spans="19:26" x14ac:dyDescent="0.2">
      <c r="S784" s="1">
        <v>35902</v>
      </c>
      <c r="T784">
        <f t="shared" si="48"/>
        <v>4</v>
      </c>
      <c r="U784">
        <f t="shared" si="49"/>
        <v>1998</v>
      </c>
      <c r="V784" t="str">
        <f t="shared" si="50"/>
        <v>4/1998</v>
      </c>
      <c r="Y784" s="1">
        <v>35930</v>
      </c>
      <c r="Z784">
        <f t="shared" si="51"/>
        <v>28</v>
      </c>
    </row>
    <row r="785" spans="19:26" x14ac:dyDescent="0.2">
      <c r="S785" s="1">
        <v>35902</v>
      </c>
      <c r="T785">
        <f t="shared" si="48"/>
        <v>4</v>
      </c>
      <c r="U785">
        <f t="shared" si="49"/>
        <v>1998</v>
      </c>
      <c r="V785" t="str">
        <f t="shared" si="50"/>
        <v>4/1998</v>
      </c>
      <c r="Y785" s="1">
        <v>35930</v>
      </c>
      <c r="Z785">
        <f t="shared" si="51"/>
        <v>28</v>
      </c>
    </row>
    <row r="786" spans="19:26" x14ac:dyDescent="0.2">
      <c r="S786" s="1">
        <v>35902</v>
      </c>
      <c r="T786">
        <f t="shared" si="48"/>
        <v>4</v>
      </c>
      <c r="U786">
        <f t="shared" si="49"/>
        <v>1998</v>
      </c>
      <c r="V786" t="str">
        <f t="shared" si="50"/>
        <v>4/1998</v>
      </c>
      <c r="Y786" s="1">
        <v>35930</v>
      </c>
      <c r="Z786">
        <f t="shared" si="51"/>
        <v>28</v>
      </c>
    </row>
    <row r="787" spans="19:26" x14ac:dyDescent="0.2">
      <c r="S787" s="1">
        <v>35902</v>
      </c>
      <c r="T787">
        <f t="shared" si="48"/>
        <v>4</v>
      </c>
      <c r="U787">
        <f t="shared" si="49"/>
        <v>1998</v>
      </c>
      <c r="V787" t="str">
        <f t="shared" si="50"/>
        <v>4/1998</v>
      </c>
      <c r="Y787" s="1">
        <v>35930</v>
      </c>
      <c r="Z787">
        <f t="shared" si="51"/>
        <v>28</v>
      </c>
    </row>
    <row r="788" spans="19:26" x14ac:dyDescent="0.2">
      <c r="S788" s="1">
        <v>35905</v>
      </c>
      <c r="T788">
        <f t="shared" si="48"/>
        <v>4</v>
      </c>
      <c r="U788">
        <f t="shared" si="49"/>
        <v>1998</v>
      </c>
      <c r="V788" t="str">
        <f t="shared" si="50"/>
        <v>4/1998</v>
      </c>
      <c r="Y788" s="1">
        <v>35947</v>
      </c>
      <c r="Z788">
        <f t="shared" si="51"/>
        <v>42</v>
      </c>
    </row>
    <row r="789" spans="19:26" x14ac:dyDescent="0.2">
      <c r="S789" s="1">
        <v>35905</v>
      </c>
      <c r="T789">
        <f t="shared" si="48"/>
        <v>4</v>
      </c>
      <c r="U789">
        <f t="shared" si="49"/>
        <v>1998</v>
      </c>
      <c r="V789" t="str">
        <f t="shared" si="50"/>
        <v>4/1998</v>
      </c>
      <c r="Y789" s="1">
        <v>35933</v>
      </c>
      <c r="Z789">
        <f t="shared" si="51"/>
        <v>28</v>
      </c>
    </row>
    <row r="790" spans="19:26" x14ac:dyDescent="0.2">
      <c r="S790" s="1">
        <v>35905</v>
      </c>
      <c r="T790">
        <f t="shared" si="48"/>
        <v>4</v>
      </c>
      <c r="U790">
        <f t="shared" si="49"/>
        <v>1998</v>
      </c>
      <c r="V790" t="str">
        <f t="shared" si="50"/>
        <v>4/1998</v>
      </c>
      <c r="Y790" s="1">
        <v>35933</v>
      </c>
      <c r="Z790">
        <f t="shared" si="51"/>
        <v>28</v>
      </c>
    </row>
    <row r="791" spans="19:26" x14ac:dyDescent="0.2">
      <c r="S791" s="1">
        <v>35906</v>
      </c>
      <c r="T791">
        <f t="shared" si="48"/>
        <v>4</v>
      </c>
      <c r="U791">
        <f t="shared" si="49"/>
        <v>1998</v>
      </c>
      <c r="V791" t="str">
        <f t="shared" si="50"/>
        <v>4/1998</v>
      </c>
      <c r="Y791" s="1">
        <v>35934</v>
      </c>
      <c r="Z791">
        <f t="shared" si="51"/>
        <v>28</v>
      </c>
    </row>
    <row r="792" spans="19:26" x14ac:dyDescent="0.2">
      <c r="S792" s="1">
        <v>35906</v>
      </c>
      <c r="T792">
        <f t="shared" si="48"/>
        <v>4</v>
      </c>
      <c r="U792">
        <f t="shared" si="49"/>
        <v>1998</v>
      </c>
      <c r="V792" t="str">
        <f t="shared" si="50"/>
        <v>4/1998</v>
      </c>
      <c r="Y792" s="1">
        <v>35934</v>
      </c>
      <c r="Z792">
        <f t="shared" si="51"/>
        <v>28</v>
      </c>
    </row>
    <row r="793" spans="19:26" x14ac:dyDescent="0.2">
      <c r="S793" s="1">
        <v>35906</v>
      </c>
      <c r="T793">
        <f t="shared" si="48"/>
        <v>4</v>
      </c>
      <c r="U793">
        <f t="shared" si="49"/>
        <v>1998</v>
      </c>
      <c r="V793" t="str">
        <f t="shared" si="50"/>
        <v>4/1998</v>
      </c>
      <c r="Y793" s="1">
        <v>35934</v>
      </c>
      <c r="Z793">
        <f t="shared" si="51"/>
        <v>28</v>
      </c>
    </row>
    <row r="794" spans="19:26" x14ac:dyDescent="0.2">
      <c r="S794" s="1">
        <v>35907</v>
      </c>
      <c r="T794">
        <f t="shared" si="48"/>
        <v>4</v>
      </c>
      <c r="U794">
        <f t="shared" si="49"/>
        <v>1998</v>
      </c>
      <c r="V794" t="str">
        <f t="shared" si="50"/>
        <v>4/1998</v>
      </c>
      <c r="Y794" s="1">
        <v>35935</v>
      </c>
      <c r="Z794">
        <f t="shared" si="51"/>
        <v>28</v>
      </c>
    </row>
    <row r="795" spans="19:26" x14ac:dyDescent="0.2">
      <c r="S795" s="1">
        <v>35907</v>
      </c>
      <c r="T795">
        <f t="shared" si="48"/>
        <v>4</v>
      </c>
      <c r="U795">
        <f t="shared" si="49"/>
        <v>1998</v>
      </c>
      <c r="V795" t="str">
        <f t="shared" si="50"/>
        <v>4/1998</v>
      </c>
      <c r="Y795" s="1">
        <v>35935</v>
      </c>
      <c r="Z795">
        <f t="shared" si="51"/>
        <v>28</v>
      </c>
    </row>
    <row r="796" spans="19:26" x14ac:dyDescent="0.2">
      <c r="S796" s="1">
        <v>35907</v>
      </c>
      <c r="T796">
        <f t="shared" si="48"/>
        <v>4</v>
      </c>
      <c r="U796">
        <f t="shared" si="49"/>
        <v>1998</v>
      </c>
      <c r="V796" t="str">
        <f t="shared" si="50"/>
        <v>4/1998</v>
      </c>
      <c r="Y796" s="1">
        <v>35921</v>
      </c>
      <c r="Z796">
        <f t="shared" si="51"/>
        <v>14</v>
      </c>
    </row>
    <row r="797" spans="19:26" x14ac:dyDescent="0.2">
      <c r="S797" s="1">
        <v>35907</v>
      </c>
      <c r="T797">
        <f t="shared" si="48"/>
        <v>4</v>
      </c>
      <c r="U797">
        <f t="shared" si="49"/>
        <v>1998</v>
      </c>
      <c r="V797" t="str">
        <f t="shared" si="50"/>
        <v>4/1998</v>
      </c>
      <c r="Y797" s="1">
        <v>35935</v>
      </c>
      <c r="Z797">
        <f t="shared" si="51"/>
        <v>28</v>
      </c>
    </row>
    <row r="798" spans="19:26" x14ac:dyDescent="0.2">
      <c r="S798" s="1">
        <v>35908</v>
      </c>
      <c r="T798">
        <f t="shared" si="48"/>
        <v>4</v>
      </c>
      <c r="U798">
        <f t="shared" si="49"/>
        <v>1998</v>
      </c>
      <c r="V798" t="str">
        <f t="shared" si="50"/>
        <v>4/1998</v>
      </c>
      <c r="Y798" s="1">
        <v>35936</v>
      </c>
      <c r="Z798">
        <f t="shared" si="51"/>
        <v>28</v>
      </c>
    </row>
    <row r="799" spans="19:26" x14ac:dyDescent="0.2">
      <c r="S799" s="1">
        <v>35908</v>
      </c>
      <c r="T799">
        <f t="shared" si="48"/>
        <v>4</v>
      </c>
      <c r="U799">
        <f t="shared" si="49"/>
        <v>1998</v>
      </c>
      <c r="V799" t="str">
        <f t="shared" si="50"/>
        <v>4/1998</v>
      </c>
      <c r="Y799" s="1">
        <v>35936</v>
      </c>
      <c r="Z799">
        <f t="shared" si="51"/>
        <v>28</v>
      </c>
    </row>
    <row r="800" spans="19:26" x14ac:dyDescent="0.2">
      <c r="S800" s="1">
        <v>35908</v>
      </c>
      <c r="T800">
        <f t="shared" si="48"/>
        <v>4</v>
      </c>
      <c r="U800">
        <f t="shared" si="49"/>
        <v>1998</v>
      </c>
      <c r="V800" t="str">
        <f t="shared" si="50"/>
        <v>4/1998</v>
      </c>
      <c r="Y800" s="1">
        <v>35936</v>
      </c>
      <c r="Z800">
        <f t="shared" si="51"/>
        <v>28</v>
      </c>
    </row>
    <row r="801" spans="19:26" x14ac:dyDescent="0.2">
      <c r="S801" s="1">
        <v>35909</v>
      </c>
      <c r="T801">
        <f t="shared" si="48"/>
        <v>4</v>
      </c>
      <c r="U801">
        <f t="shared" si="49"/>
        <v>1998</v>
      </c>
      <c r="V801" t="str">
        <f t="shared" si="50"/>
        <v>4/1998</v>
      </c>
      <c r="Y801" s="1">
        <v>35937</v>
      </c>
      <c r="Z801">
        <f t="shared" si="51"/>
        <v>28</v>
      </c>
    </row>
    <row r="802" spans="19:26" x14ac:dyDescent="0.2">
      <c r="S802" s="1">
        <v>35909</v>
      </c>
      <c r="T802">
        <f t="shared" si="48"/>
        <v>4</v>
      </c>
      <c r="U802">
        <f t="shared" si="49"/>
        <v>1998</v>
      </c>
      <c r="V802" t="str">
        <f t="shared" si="50"/>
        <v>4/1998</v>
      </c>
      <c r="Y802" s="1">
        <v>35937</v>
      </c>
      <c r="Z802">
        <f t="shared" si="51"/>
        <v>28</v>
      </c>
    </row>
    <row r="803" spans="19:26" x14ac:dyDescent="0.2">
      <c r="S803" s="1">
        <v>35909</v>
      </c>
      <c r="T803">
        <f t="shared" si="48"/>
        <v>4</v>
      </c>
      <c r="U803">
        <f t="shared" si="49"/>
        <v>1998</v>
      </c>
      <c r="V803" t="str">
        <f t="shared" si="50"/>
        <v>4/1998</v>
      </c>
      <c r="Y803" s="1">
        <v>35937</v>
      </c>
      <c r="Z803">
        <f t="shared" si="51"/>
        <v>28</v>
      </c>
    </row>
    <row r="804" spans="19:26" x14ac:dyDescent="0.2">
      <c r="S804" s="1">
        <v>35912</v>
      </c>
      <c r="T804">
        <f t="shared" si="48"/>
        <v>4</v>
      </c>
      <c r="U804">
        <f t="shared" si="49"/>
        <v>1998</v>
      </c>
      <c r="V804" t="str">
        <f t="shared" si="50"/>
        <v>4/1998</v>
      </c>
      <c r="Y804" s="1">
        <v>35940</v>
      </c>
      <c r="Z804">
        <f t="shared" si="51"/>
        <v>28</v>
      </c>
    </row>
    <row r="805" spans="19:26" x14ac:dyDescent="0.2">
      <c r="S805" s="1">
        <v>35912</v>
      </c>
      <c r="T805">
        <f t="shared" si="48"/>
        <v>4</v>
      </c>
      <c r="U805">
        <f t="shared" si="49"/>
        <v>1998</v>
      </c>
      <c r="V805" t="str">
        <f t="shared" si="50"/>
        <v>4/1998</v>
      </c>
      <c r="Y805" s="1">
        <v>35940</v>
      </c>
      <c r="Z805">
        <f t="shared" si="51"/>
        <v>28</v>
      </c>
    </row>
    <row r="806" spans="19:26" x14ac:dyDescent="0.2">
      <c r="S806" s="1">
        <v>35912</v>
      </c>
      <c r="T806">
        <f t="shared" si="48"/>
        <v>4</v>
      </c>
      <c r="U806">
        <f t="shared" si="49"/>
        <v>1998</v>
      </c>
      <c r="V806" t="str">
        <f t="shared" si="50"/>
        <v>4/1998</v>
      </c>
      <c r="Y806" s="1">
        <v>35940</v>
      </c>
      <c r="Z806">
        <f t="shared" si="51"/>
        <v>28</v>
      </c>
    </row>
    <row r="807" spans="19:26" x14ac:dyDescent="0.2">
      <c r="S807" s="1">
        <v>35912</v>
      </c>
      <c r="T807">
        <f t="shared" si="48"/>
        <v>4</v>
      </c>
      <c r="U807">
        <f t="shared" si="49"/>
        <v>1998</v>
      </c>
      <c r="V807" t="str">
        <f t="shared" si="50"/>
        <v>4/1998</v>
      </c>
      <c r="Y807" s="1">
        <v>35940</v>
      </c>
      <c r="Z807">
        <f t="shared" si="51"/>
        <v>28</v>
      </c>
    </row>
    <row r="808" spans="19:26" x14ac:dyDescent="0.2">
      <c r="S808" s="1">
        <v>35913</v>
      </c>
      <c r="T808">
        <f t="shared" si="48"/>
        <v>4</v>
      </c>
      <c r="U808">
        <f t="shared" si="49"/>
        <v>1998</v>
      </c>
      <c r="V808" t="str">
        <f t="shared" si="50"/>
        <v>4/1998</v>
      </c>
      <c r="Y808" s="1">
        <v>35941</v>
      </c>
      <c r="Z808">
        <f t="shared" si="51"/>
        <v>28</v>
      </c>
    </row>
    <row r="809" spans="19:26" x14ac:dyDescent="0.2">
      <c r="S809" s="1">
        <v>35913</v>
      </c>
      <c r="T809">
        <f t="shared" si="48"/>
        <v>4</v>
      </c>
      <c r="U809">
        <f t="shared" si="49"/>
        <v>1998</v>
      </c>
      <c r="V809" t="str">
        <f t="shared" si="50"/>
        <v>4/1998</v>
      </c>
      <c r="Y809" s="1">
        <v>35941</v>
      </c>
      <c r="Z809">
        <f t="shared" si="51"/>
        <v>28</v>
      </c>
    </row>
    <row r="810" spans="19:26" x14ac:dyDescent="0.2">
      <c r="S810" s="1">
        <v>35913</v>
      </c>
      <c r="T810">
        <f t="shared" si="48"/>
        <v>4</v>
      </c>
      <c r="U810">
        <f t="shared" si="49"/>
        <v>1998</v>
      </c>
      <c r="V810" t="str">
        <f t="shared" si="50"/>
        <v>4/1998</v>
      </c>
      <c r="Y810" s="1">
        <v>35927</v>
      </c>
      <c r="Z810">
        <f t="shared" si="51"/>
        <v>14</v>
      </c>
    </row>
    <row r="811" spans="19:26" x14ac:dyDescent="0.2">
      <c r="S811" s="1">
        <v>35914</v>
      </c>
      <c r="T811">
        <f t="shared" si="48"/>
        <v>4</v>
      </c>
      <c r="U811">
        <f t="shared" si="49"/>
        <v>1998</v>
      </c>
      <c r="V811" t="str">
        <f t="shared" si="50"/>
        <v>4/1998</v>
      </c>
      <c r="Y811" s="1">
        <v>35942</v>
      </c>
      <c r="Z811">
        <f t="shared" si="51"/>
        <v>28</v>
      </c>
    </row>
    <row r="812" spans="19:26" x14ac:dyDescent="0.2">
      <c r="S812" s="1">
        <v>35914</v>
      </c>
      <c r="T812">
        <f t="shared" si="48"/>
        <v>4</v>
      </c>
      <c r="U812">
        <f t="shared" si="49"/>
        <v>1998</v>
      </c>
      <c r="V812" t="str">
        <f t="shared" si="50"/>
        <v>4/1998</v>
      </c>
      <c r="Y812" s="1">
        <v>35942</v>
      </c>
      <c r="Z812">
        <f t="shared" si="51"/>
        <v>28</v>
      </c>
    </row>
    <row r="813" spans="19:26" x14ac:dyDescent="0.2">
      <c r="S813" s="1">
        <v>35914</v>
      </c>
      <c r="T813">
        <f t="shared" si="48"/>
        <v>4</v>
      </c>
      <c r="U813">
        <f t="shared" si="49"/>
        <v>1998</v>
      </c>
      <c r="V813" t="str">
        <f t="shared" si="50"/>
        <v>4/1998</v>
      </c>
      <c r="Y813" s="1">
        <v>35956</v>
      </c>
      <c r="Z813">
        <f t="shared" si="51"/>
        <v>42</v>
      </c>
    </row>
    <row r="814" spans="19:26" x14ac:dyDescent="0.2">
      <c r="S814" s="1">
        <v>35915</v>
      </c>
      <c r="T814">
        <f t="shared" si="48"/>
        <v>4</v>
      </c>
      <c r="U814">
        <f t="shared" si="49"/>
        <v>1998</v>
      </c>
      <c r="V814" t="str">
        <f t="shared" si="50"/>
        <v>4/1998</v>
      </c>
      <c r="Y814" s="1">
        <v>35943</v>
      </c>
      <c r="Z814">
        <f t="shared" si="51"/>
        <v>28</v>
      </c>
    </row>
    <row r="815" spans="19:26" x14ac:dyDescent="0.2">
      <c r="S815" s="1">
        <v>35915</v>
      </c>
      <c r="T815">
        <f t="shared" si="48"/>
        <v>4</v>
      </c>
      <c r="U815">
        <f t="shared" si="49"/>
        <v>1998</v>
      </c>
      <c r="V815" t="str">
        <f t="shared" si="50"/>
        <v>4/1998</v>
      </c>
      <c r="Y815" s="1">
        <v>35957</v>
      </c>
      <c r="Z815">
        <f t="shared" si="51"/>
        <v>42</v>
      </c>
    </row>
    <row r="816" spans="19:26" x14ac:dyDescent="0.2">
      <c r="S816" s="1">
        <v>35915</v>
      </c>
      <c r="T816">
        <f t="shared" si="48"/>
        <v>4</v>
      </c>
      <c r="U816">
        <f t="shared" si="49"/>
        <v>1998</v>
      </c>
      <c r="V816" t="str">
        <f t="shared" si="50"/>
        <v>4/1998</v>
      </c>
      <c r="Y816" s="1">
        <v>35943</v>
      </c>
      <c r="Z816">
        <f t="shared" si="51"/>
        <v>28</v>
      </c>
    </row>
    <row r="817" spans="19:26" x14ac:dyDescent="0.2">
      <c r="S817" s="1">
        <v>35915</v>
      </c>
      <c r="T817">
        <f t="shared" si="48"/>
        <v>4</v>
      </c>
      <c r="U817">
        <f t="shared" si="49"/>
        <v>1998</v>
      </c>
      <c r="V817" t="str">
        <f t="shared" si="50"/>
        <v>4/1998</v>
      </c>
      <c r="Y817" s="1">
        <v>35943</v>
      </c>
      <c r="Z817">
        <f t="shared" si="51"/>
        <v>28</v>
      </c>
    </row>
    <row r="818" spans="19:26" x14ac:dyDescent="0.2">
      <c r="S818" s="1">
        <v>35916</v>
      </c>
      <c r="T818">
        <f t="shared" si="48"/>
        <v>5</v>
      </c>
      <c r="U818">
        <f t="shared" si="49"/>
        <v>1998</v>
      </c>
      <c r="V818" t="str">
        <f t="shared" si="50"/>
        <v>5/1998</v>
      </c>
      <c r="Y818" s="1">
        <v>35944</v>
      </c>
      <c r="Z818">
        <f t="shared" si="51"/>
        <v>28</v>
      </c>
    </row>
    <row r="819" spans="19:26" x14ac:dyDescent="0.2">
      <c r="S819" s="1">
        <v>35916</v>
      </c>
      <c r="T819">
        <f t="shared" si="48"/>
        <v>5</v>
      </c>
      <c r="U819">
        <f t="shared" si="49"/>
        <v>1998</v>
      </c>
      <c r="V819" t="str">
        <f t="shared" si="50"/>
        <v>5/1998</v>
      </c>
      <c r="Y819" s="1">
        <v>35944</v>
      </c>
      <c r="Z819">
        <f t="shared" si="51"/>
        <v>28</v>
      </c>
    </row>
    <row r="820" spans="19:26" x14ac:dyDescent="0.2">
      <c r="S820" s="1">
        <v>35916</v>
      </c>
      <c r="T820">
        <f t="shared" si="48"/>
        <v>5</v>
      </c>
      <c r="U820">
        <f t="shared" si="49"/>
        <v>1998</v>
      </c>
      <c r="V820" t="str">
        <f t="shared" si="50"/>
        <v>5/1998</v>
      </c>
      <c r="Y820" s="1">
        <v>35944</v>
      </c>
      <c r="Z820">
        <f t="shared" si="51"/>
        <v>28</v>
      </c>
    </row>
    <row r="821" spans="19:26" x14ac:dyDescent="0.2">
      <c r="S821" s="1">
        <v>35919</v>
      </c>
      <c r="T821">
        <f t="shared" si="48"/>
        <v>5</v>
      </c>
      <c r="U821">
        <f t="shared" si="49"/>
        <v>1998</v>
      </c>
      <c r="V821" t="str">
        <f t="shared" si="50"/>
        <v>5/1998</v>
      </c>
      <c r="Y821" s="1">
        <v>35933</v>
      </c>
      <c r="Z821">
        <f t="shared" si="51"/>
        <v>14</v>
      </c>
    </row>
    <row r="822" spans="19:26" x14ac:dyDescent="0.2">
      <c r="S822" s="1">
        <v>35919</v>
      </c>
      <c r="T822">
        <f t="shared" si="48"/>
        <v>5</v>
      </c>
      <c r="U822">
        <f t="shared" si="49"/>
        <v>1998</v>
      </c>
      <c r="V822" t="str">
        <f t="shared" si="50"/>
        <v>5/1998</v>
      </c>
      <c r="Y822" s="1">
        <v>35947</v>
      </c>
      <c r="Z822">
        <f t="shared" si="51"/>
        <v>28</v>
      </c>
    </row>
    <row r="823" spans="19:26" x14ac:dyDescent="0.2">
      <c r="S823" s="1">
        <v>35919</v>
      </c>
      <c r="T823">
        <f t="shared" si="48"/>
        <v>5</v>
      </c>
      <c r="U823">
        <f t="shared" si="49"/>
        <v>1998</v>
      </c>
      <c r="V823" t="str">
        <f t="shared" si="50"/>
        <v>5/1998</v>
      </c>
      <c r="Y823" s="1">
        <v>35947</v>
      </c>
      <c r="Z823">
        <f t="shared" si="51"/>
        <v>28</v>
      </c>
    </row>
    <row r="824" spans="19:26" x14ac:dyDescent="0.2">
      <c r="S824" s="1">
        <v>35920</v>
      </c>
      <c r="T824">
        <f t="shared" si="48"/>
        <v>5</v>
      </c>
      <c r="U824">
        <f t="shared" si="49"/>
        <v>1998</v>
      </c>
      <c r="V824" t="str">
        <f t="shared" si="50"/>
        <v>5/1998</v>
      </c>
      <c r="Y824" s="1">
        <v>35948</v>
      </c>
      <c r="Z824">
        <f t="shared" si="51"/>
        <v>28</v>
      </c>
    </row>
    <row r="825" spans="19:26" x14ac:dyDescent="0.2">
      <c r="S825" s="1">
        <v>35920</v>
      </c>
      <c r="T825">
        <f t="shared" si="48"/>
        <v>5</v>
      </c>
      <c r="U825">
        <f t="shared" si="49"/>
        <v>1998</v>
      </c>
      <c r="V825" t="str">
        <f t="shared" si="50"/>
        <v>5/1998</v>
      </c>
      <c r="Y825" s="1">
        <v>35948</v>
      </c>
      <c r="Z825">
        <f t="shared" si="51"/>
        <v>28</v>
      </c>
    </row>
    <row r="826" spans="19:26" x14ac:dyDescent="0.2">
      <c r="S826" s="1">
        <v>35920</v>
      </c>
      <c r="T826">
        <f t="shared" si="48"/>
        <v>5</v>
      </c>
      <c r="U826">
        <f t="shared" si="49"/>
        <v>1998</v>
      </c>
      <c r="V826" t="str">
        <f t="shared" si="50"/>
        <v>5/1998</v>
      </c>
      <c r="Y826" s="1">
        <v>35948</v>
      </c>
      <c r="Z826">
        <f t="shared" si="51"/>
        <v>28</v>
      </c>
    </row>
    <row r="827" spans="19:26" x14ac:dyDescent="0.2">
      <c r="S827" s="1">
        <v>35920</v>
      </c>
      <c r="T827">
        <f t="shared" si="48"/>
        <v>5</v>
      </c>
      <c r="U827">
        <f t="shared" si="49"/>
        <v>1998</v>
      </c>
      <c r="V827" t="str">
        <f t="shared" si="50"/>
        <v>5/1998</v>
      </c>
      <c r="Y827" s="1">
        <v>35948</v>
      </c>
      <c r="Z827">
        <f t="shared" si="51"/>
        <v>28</v>
      </c>
    </row>
    <row r="828" spans="19:26" x14ac:dyDescent="0.2">
      <c r="S828" s="1">
        <v>35921</v>
      </c>
      <c r="T828">
        <f t="shared" si="48"/>
        <v>5</v>
      </c>
      <c r="U828">
        <f t="shared" si="49"/>
        <v>1998</v>
      </c>
      <c r="V828" t="str">
        <f t="shared" si="50"/>
        <v>5/1998</v>
      </c>
      <c r="Y828" s="1">
        <v>35949</v>
      </c>
      <c r="Z828">
        <f t="shared" si="51"/>
        <v>28</v>
      </c>
    </row>
    <row r="829" spans="19:26" x14ac:dyDescent="0.2">
      <c r="S829" s="1">
        <v>35921</v>
      </c>
      <c r="T829">
        <f t="shared" si="48"/>
        <v>5</v>
      </c>
      <c r="U829">
        <f t="shared" si="49"/>
        <v>1998</v>
      </c>
      <c r="V829" t="str">
        <f t="shared" si="50"/>
        <v>5/1998</v>
      </c>
      <c r="Y829" s="1">
        <v>35949</v>
      </c>
      <c r="Z829">
        <f t="shared" si="51"/>
        <v>28</v>
      </c>
    </row>
    <row r="830" spans="19:26" x14ac:dyDescent="0.2">
      <c r="S830" s="1">
        <v>35921</v>
      </c>
      <c r="T830">
        <f t="shared" si="48"/>
        <v>5</v>
      </c>
      <c r="U830">
        <f t="shared" si="49"/>
        <v>1998</v>
      </c>
      <c r="V830" t="str">
        <f t="shared" si="50"/>
        <v>5/1998</v>
      </c>
      <c r="Y830" s="1">
        <v>35949</v>
      </c>
      <c r="Z830">
        <f t="shared" si="51"/>
        <v>28</v>
      </c>
    </row>
    <row r="831" spans="19:26" x14ac:dyDescent="0.2">
      <c r="S831" s="1">
        <v>35921</v>
      </c>
      <c r="T831">
        <f t="shared" si="48"/>
        <v>5</v>
      </c>
      <c r="U831">
        <f t="shared" si="49"/>
        <v>1998</v>
      </c>
      <c r="V831" t="str">
        <f t="shared" si="50"/>
        <v>5/1998</v>
      </c>
      <c r="Y831" s="1">
        <v>35949</v>
      </c>
      <c r="Z831">
        <f t="shared" si="51"/>
        <v>28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C1F56-E243-D340-B340-F1904BE42974}">
  <sheetPr codeName="Hoja5"/>
  <dimension ref="B2:J848"/>
  <sheetViews>
    <sheetView zoomScale="108" workbookViewId="0">
      <selection activeCell="J25" sqref="J25"/>
    </sheetView>
  </sheetViews>
  <sheetFormatPr baseColWidth="10" defaultRowHeight="16" x14ac:dyDescent="0.2"/>
  <cols>
    <col min="2" max="2" width="13.33203125" customWidth="1"/>
    <col min="3" max="3" width="32.1640625" customWidth="1"/>
    <col min="4" max="4" width="12.5" customWidth="1"/>
    <col min="6" max="6" width="19.33203125" bestFit="1" customWidth="1"/>
    <col min="7" max="7" width="16" bestFit="1" customWidth="1"/>
    <col min="10" max="10" width="12.5" customWidth="1"/>
    <col min="11" max="11" width="13.6640625" customWidth="1"/>
    <col min="12" max="12" width="18.83203125" customWidth="1"/>
  </cols>
  <sheetData>
    <row r="2" spans="2:9" ht="17" thickBot="1" x14ac:dyDescent="0.25"/>
    <row r="3" spans="2:9" ht="17" thickBot="1" x14ac:dyDescent="0.25">
      <c r="C3" s="28" t="s">
        <v>1477</v>
      </c>
      <c r="E3" s="32" t="s">
        <v>1483</v>
      </c>
      <c r="F3" s="29">
        <v>35065</v>
      </c>
      <c r="G3" s="31" t="s">
        <v>1484</v>
      </c>
      <c r="H3" s="30">
        <v>35582</v>
      </c>
    </row>
    <row r="4" spans="2:9" ht="17" thickBot="1" x14ac:dyDescent="0.25"/>
    <row r="5" spans="2:9" ht="17" thickBot="1" x14ac:dyDescent="0.25">
      <c r="B5" s="32" t="s">
        <v>1478</v>
      </c>
      <c r="C5" s="24"/>
      <c r="D5" s="25">
        <v>830</v>
      </c>
    </row>
    <row r="6" spans="2:9" ht="17" thickBot="1" x14ac:dyDescent="0.25"/>
    <row r="7" spans="2:9" x14ac:dyDescent="0.2">
      <c r="B7" s="33" t="s">
        <v>1479</v>
      </c>
      <c r="C7" s="34" t="s">
        <v>1162</v>
      </c>
      <c r="D7" s="35" t="s">
        <v>1480</v>
      </c>
      <c r="F7" s="33" t="s">
        <v>1481</v>
      </c>
      <c r="G7" s="34" t="s">
        <v>1162</v>
      </c>
      <c r="H7" s="34" t="s">
        <v>1480</v>
      </c>
      <c r="I7" s="35" t="s">
        <v>1482</v>
      </c>
    </row>
    <row r="8" spans="2:9" x14ac:dyDescent="0.2">
      <c r="B8" s="14" t="str" cm="1">
        <f t="array" ref="B8:D17">KPI!E2:G11</f>
        <v>SAVEA</v>
      </c>
      <c r="C8" t="str">
        <v>Save-a-lot Markets</v>
      </c>
      <c r="D8" s="15">
        <v>31</v>
      </c>
      <c r="F8" s="16" cm="1">
        <f t="array" ref="F8:I16">KPI!N2:Q10</f>
        <v>1</v>
      </c>
      <c r="G8" t="str">
        <v>Davolio-Nancy</v>
      </c>
      <c r="H8">
        <v>123</v>
      </c>
      <c r="I8" s="15">
        <v>65</v>
      </c>
    </row>
    <row r="9" spans="2:9" x14ac:dyDescent="0.2">
      <c r="B9" s="14" t="str">
        <v>ERNSH</v>
      </c>
      <c r="C9" t="str">
        <v>Ernst Handel</v>
      </c>
      <c r="D9" s="15">
        <v>30</v>
      </c>
      <c r="F9" s="16">
        <v>2</v>
      </c>
      <c r="G9" t="str">
        <v>Fuller-Andrew</v>
      </c>
      <c r="H9">
        <v>96</v>
      </c>
      <c r="I9" s="15">
        <v>59</v>
      </c>
    </row>
    <row r="10" spans="2:9" x14ac:dyDescent="0.2">
      <c r="B10" s="14" t="str">
        <v>QUICK</v>
      </c>
      <c r="C10" t="str">
        <v>QUICK-Stop</v>
      </c>
      <c r="D10" s="15">
        <v>28</v>
      </c>
      <c r="F10" s="16">
        <v>3</v>
      </c>
      <c r="G10" t="str">
        <v>Leverling-Janet</v>
      </c>
      <c r="H10">
        <v>127</v>
      </c>
      <c r="I10" s="15">
        <v>63</v>
      </c>
    </row>
    <row r="11" spans="2:9" x14ac:dyDescent="0.2">
      <c r="B11" s="14" t="str">
        <v>FOLKO</v>
      </c>
      <c r="C11" t="str">
        <v>Folk och fä HB</v>
      </c>
      <c r="D11" s="15">
        <v>19</v>
      </c>
      <c r="F11" s="16">
        <v>4</v>
      </c>
      <c r="G11" t="str">
        <v>Peacock-Margaret</v>
      </c>
      <c r="H11">
        <v>156</v>
      </c>
      <c r="I11" s="15">
        <v>75</v>
      </c>
    </row>
    <row r="12" spans="2:9" x14ac:dyDescent="0.2">
      <c r="B12" s="14" t="str">
        <v>HUNGO</v>
      </c>
      <c r="C12" t="str">
        <v>Hungry Owl All-Night Grocers</v>
      </c>
      <c r="D12" s="15">
        <v>19</v>
      </c>
      <c r="F12" s="16">
        <v>5</v>
      </c>
      <c r="G12" t="str">
        <v>Buchanan-Steven</v>
      </c>
      <c r="H12">
        <v>42</v>
      </c>
      <c r="I12" s="15">
        <v>29</v>
      </c>
    </row>
    <row r="13" spans="2:9" x14ac:dyDescent="0.2">
      <c r="B13" s="14" t="str">
        <v>BERGS</v>
      </c>
      <c r="C13" t="str">
        <v>Berglunds snabbköp</v>
      </c>
      <c r="D13" s="15">
        <v>18</v>
      </c>
      <c r="E13" t="s">
        <v>1490</v>
      </c>
      <c r="F13" s="16">
        <v>6</v>
      </c>
      <c r="G13" t="str">
        <v>Suyama-Michael</v>
      </c>
      <c r="H13">
        <v>67</v>
      </c>
      <c r="I13" s="15">
        <v>43</v>
      </c>
    </row>
    <row r="14" spans="2:9" x14ac:dyDescent="0.2">
      <c r="B14" s="14" t="str">
        <v>HILAA</v>
      </c>
      <c r="C14" t="str">
        <v>HILARION-Abastos</v>
      </c>
      <c r="D14" s="15">
        <v>18</v>
      </c>
      <c r="F14" s="16">
        <v>7</v>
      </c>
      <c r="G14" t="str">
        <v>King-Robert</v>
      </c>
      <c r="H14">
        <v>72</v>
      </c>
      <c r="I14" s="15">
        <v>45</v>
      </c>
    </row>
    <row r="15" spans="2:9" x14ac:dyDescent="0.2">
      <c r="B15" s="14" t="str">
        <v>RATTC</v>
      </c>
      <c r="C15" t="str">
        <v>Rattlesnake Canyon Grocery</v>
      </c>
      <c r="D15" s="15">
        <v>18</v>
      </c>
      <c r="F15" s="16">
        <v>8</v>
      </c>
      <c r="G15" t="str">
        <v>Callahan-Laura</v>
      </c>
      <c r="H15">
        <v>104</v>
      </c>
      <c r="I15" s="15">
        <v>56</v>
      </c>
    </row>
    <row r="16" spans="2:9" ht="17" thickBot="1" x14ac:dyDescent="0.25">
      <c r="B16" s="14" t="str">
        <v>BONAP</v>
      </c>
      <c r="C16" t="str">
        <v>Bon app'</v>
      </c>
      <c r="D16" s="15">
        <v>17</v>
      </c>
      <c r="F16" s="23">
        <v>9</v>
      </c>
      <c r="G16" s="18" t="str">
        <v>Dodsworth-Anne</v>
      </c>
      <c r="H16" s="18">
        <v>43</v>
      </c>
      <c r="I16" s="19">
        <v>29</v>
      </c>
    </row>
    <row r="17" spans="2:10" ht="17" thickBot="1" x14ac:dyDescent="0.25">
      <c r="B17" s="14" t="str">
        <v>FRANK</v>
      </c>
      <c r="C17" t="str">
        <v>Frankenversand</v>
      </c>
      <c r="D17" s="15">
        <v>15</v>
      </c>
    </row>
    <row r="18" spans="2:10" x14ac:dyDescent="0.2">
      <c r="B18" s="26"/>
      <c r="C18" s="11"/>
      <c r="D18" s="27"/>
      <c r="F18" s="33" t="s">
        <v>1485</v>
      </c>
      <c r="G18" s="34" t="s">
        <v>1480</v>
      </c>
      <c r="H18" s="34" t="s">
        <v>1487</v>
      </c>
      <c r="I18" s="34" t="s">
        <v>1488</v>
      </c>
      <c r="J18" s="35" t="s">
        <v>1489</v>
      </c>
    </row>
    <row r="19" spans="2:10" x14ac:dyDescent="0.2">
      <c r="B19" s="14" t="str" cm="1">
        <f t="array" ref="B19:D28">KPI!E83:G92</f>
        <v>FRANR</v>
      </c>
      <c r="C19" t="str">
        <v>France restauration</v>
      </c>
      <c r="D19" s="15">
        <v>3</v>
      </c>
      <c r="F19" s="21" t="str" cm="1">
        <f t="array" ref="F19:G41">KPI!W2:X24</f>
        <v>7/1996</v>
      </c>
      <c r="G19">
        <v>22</v>
      </c>
      <c r="H19" s="36" cm="1">
        <f t="array" ref="H19:H41">KPI!AA2:AA24</f>
        <v>28</v>
      </c>
      <c r="I19">
        <v>0</v>
      </c>
      <c r="J19" s="15">
        <v>0</v>
      </c>
    </row>
    <row r="20" spans="2:10" x14ac:dyDescent="0.2">
      <c r="B20" s="14" t="str">
        <v>LAUGB</v>
      </c>
      <c r="C20" t="str">
        <v>Laughing Bacchus Wine Cellars</v>
      </c>
      <c r="D20" s="15">
        <v>3</v>
      </c>
      <c r="F20" s="21" t="str">
        <v>8/1996</v>
      </c>
      <c r="G20">
        <v>25</v>
      </c>
      <c r="H20" s="36">
        <v>26.88</v>
      </c>
      <c r="I20">
        <v>0</v>
      </c>
      <c r="J20" s="15">
        <v>0</v>
      </c>
    </row>
    <row r="21" spans="2:10" x14ac:dyDescent="0.2">
      <c r="B21" s="14" t="str">
        <v>NORTS</v>
      </c>
      <c r="C21" t="str">
        <v>North/South</v>
      </c>
      <c r="D21" s="15">
        <v>3</v>
      </c>
      <c r="F21" s="21" t="str">
        <v>9/1996</v>
      </c>
      <c r="G21">
        <v>23</v>
      </c>
      <c r="H21" s="36">
        <v>28</v>
      </c>
      <c r="I21">
        <v>0</v>
      </c>
      <c r="J21" s="15">
        <v>0</v>
      </c>
    </row>
    <row r="22" spans="2:10" x14ac:dyDescent="0.2">
      <c r="B22" s="14" t="str">
        <v>THECR</v>
      </c>
      <c r="C22" t="str">
        <v>The Cracker Box</v>
      </c>
      <c r="D22" s="15">
        <v>3</v>
      </c>
      <c r="F22" s="21" t="str">
        <v>10/1996</v>
      </c>
      <c r="G22">
        <v>26</v>
      </c>
      <c r="H22" s="36">
        <v>28</v>
      </c>
      <c r="I22">
        <v>0</v>
      </c>
      <c r="J22" s="15">
        <v>0</v>
      </c>
    </row>
    <row r="23" spans="2:10" x14ac:dyDescent="0.2">
      <c r="B23" s="14" t="str">
        <v>TRAIH</v>
      </c>
      <c r="C23" t="str">
        <v>Trail's Head Gourmet Provisioners</v>
      </c>
      <c r="D23" s="15">
        <v>3</v>
      </c>
      <c r="F23" s="21" t="str">
        <v>11/1996</v>
      </c>
      <c r="G23">
        <v>25</v>
      </c>
      <c r="H23" s="36">
        <v>29.12</v>
      </c>
      <c r="I23">
        <v>0</v>
      </c>
      <c r="J23" s="15">
        <v>0</v>
      </c>
    </row>
    <row r="24" spans="2:10" x14ac:dyDescent="0.2">
      <c r="B24" s="14" t="str">
        <v>GROSR</v>
      </c>
      <c r="C24" t="str">
        <v>GROSELLA-Restaurante</v>
      </c>
      <c r="D24" s="15">
        <v>2</v>
      </c>
      <c r="F24" s="21" t="str">
        <v>12/1996</v>
      </c>
      <c r="G24">
        <v>31</v>
      </c>
      <c r="H24" s="36">
        <v>26.64516129032258</v>
      </c>
      <c r="I24">
        <v>0</v>
      </c>
      <c r="J24" s="15">
        <v>0</v>
      </c>
    </row>
    <row r="25" spans="2:10" x14ac:dyDescent="0.2">
      <c r="B25" s="14" t="str">
        <v>LAZYK</v>
      </c>
      <c r="C25" t="str">
        <v>Lazy K Kountry Store</v>
      </c>
      <c r="D25" s="15">
        <v>2</v>
      </c>
      <c r="F25" s="21" t="str">
        <v>1/1997</v>
      </c>
      <c r="G25">
        <v>33</v>
      </c>
      <c r="H25" s="36">
        <v>28</v>
      </c>
      <c r="I25">
        <v>0</v>
      </c>
      <c r="J25" s="15">
        <v>0</v>
      </c>
    </row>
    <row r="26" spans="2:10" x14ac:dyDescent="0.2">
      <c r="B26" s="14" t="str">
        <v>CENTC</v>
      </c>
      <c r="C26" t="str">
        <v>Centro comercial Moctezuma</v>
      </c>
      <c r="D26" s="15">
        <v>1</v>
      </c>
      <c r="F26" s="21" t="str">
        <v>2/1997</v>
      </c>
      <c r="G26">
        <v>29</v>
      </c>
      <c r="H26" s="36">
        <v>29.448275862068964</v>
      </c>
      <c r="I26">
        <v>0</v>
      </c>
      <c r="J26" s="15">
        <v>0</v>
      </c>
    </row>
    <row r="27" spans="2:10" x14ac:dyDescent="0.2">
      <c r="B27" s="14" t="str">
        <v>FISSA</v>
      </c>
      <c r="C27" t="str">
        <v>FISSA Fabrica Inter. Salchichas S.A.</v>
      </c>
      <c r="D27" s="15">
        <v>1</v>
      </c>
      <c r="F27" s="21" t="str">
        <v>3/1997</v>
      </c>
      <c r="G27">
        <v>30</v>
      </c>
      <c r="H27" s="36">
        <v>26.6</v>
      </c>
      <c r="I27">
        <v>0</v>
      </c>
      <c r="J27" s="15">
        <v>0</v>
      </c>
    </row>
    <row r="28" spans="2:10" ht="17" thickBot="1" x14ac:dyDescent="0.25">
      <c r="B28" s="17" t="str">
        <v>PARIS</v>
      </c>
      <c r="C28" s="18" t="str">
        <v>Paris spécialités</v>
      </c>
      <c r="D28" s="19">
        <v>1</v>
      </c>
      <c r="F28" s="21" t="str">
        <v>4/1997</v>
      </c>
      <c r="G28">
        <v>31</v>
      </c>
      <c r="H28" s="36">
        <v>27.548387096774192</v>
      </c>
      <c r="I28">
        <v>0</v>
      </c>
      <c r="J28" s="15">
        <v>0</v>
      </c>
    </row>
    <row r="29" spans="2:10" ht="17" thickBot="1" x14ac:dyDescent="0.25">
      <c r="B29" s="12"/>
      <c r="F29" s="21" t="str">
        <v>5/1997</v>
      </c>
      <c r="G29">
        <v>32</v>
      </c>
      <c r="H29" s="36">
        <v>27.125</v>
      </c>
      <c r="I29">
        <v>0</v>
      </c>
      <c r="J29" s="15">
        <v>0</v>
      </c>
    </row>
    <row r="30" spans="2:10" x14ac:dyDescent="0.2">
      <c r="B30" s="33" t="s">
        <v>1486</v>
      </c>
      <c r="C30" s="34" t="s">
        <v>1162</v>
      </c>
      <c r="D30" s="35" t="s">
        <v>1480</v>
      </c>
      <c r="F30" s="21" t="str">
        <v>6/1997</v>
      </c>
      <c r="G30">
        <v>30</v>
      </c>
      <c r="H30" s="36">
        <v>28.466666666666665</v>
      </c>
      <c r="I30">
        <v>0</v>
      </c>
      <c r="J30" s="15">
        <v>0</v>
      </c>
    </row>
    <row r="31" spans="2:10" x14ac:dyDescent="0.2">
      <c r="B31" s="14" cm="1">
        <f t="array" ref="B31:D33">KPI!J2:L4</f>
        <v>1</v>
      </c>
      <c r="C31" s="12" t="str">
        <v>Speedy Express</v>
      </c>
      <c r="D31" s="15">
        <v>249</v>
      </c>
      <c r="F31" s="21" t="str">
        <v>7/1997</v>
      </c>
      <c r="G31">
        <v>33</v>
      </c>
      <c r="H31" s="36">
        <v>28.424242424242426</v>
      </c>
      <c r="I31">
        <v>0</v>
      </c>
      <c r="J31" s="15">
        <v>0</v>
      </c>
    </row>
    <row r="32" spans="2:10" x14ac:dyDescent="0.2">
      <c r="B32" s="14">
        <v>2</v>
      </c>
      <c r="C32" s="12" t="str">
        <v>United Package</v>
      </c>
      <c r="D32" s="15">
        <v>326</v>
      </c>
      <c r="F32" s="21" t="str">
        <v>8/1997</v>
      </c>
      <c r="G32">
        <v>33</v>
      </c>
      <c r="H32" s="36">
        <v>29.272727272727273</v>
      </c>
      <c r="I32">
        <v>0</v>
      </c>
      <c r="J32" s="15">
        <v>0</v>
      </c>
    </row>
    <row r="33" spans="2:10" ht="17" thickBot="1" x14ac:dyDescent="0.25">
      <c r="B33" s="17">
        <v>3</v>
      </c>
      <c r="C33" s="20" t="str">
        <v>Federal Shipping</v>
      </c>
      <c r="D33" s="19">
        <v>255</v>
      </c>
      <c r="F33" s="21" t="str">
        <v>9/1997</v>
      </c>
      <c r="G33">
        <v>37</v>
      </c>
      <c r="H33" s="36">
        <v>26.864864864864863</v>
      </c>
      <c r="I33">
        <v>0</v>
      </c>
      <c r="J33" s="15">
        <v>0</v>
      </c>
    </row>
    <row r="34" spans="2:10" x14ac:dyDescent="0.2">
      <c r="B34" s="12"/>
      <c r="F34" s="21" t="str">
        <v>10/1997</v>
      </c>
      <c r="G34">
        <v>38</v>
      </c>
      <c r="H34" s="36">
        <v>28.736842105263158</v>
      </c>
      <c r="I34">
        <v>0</v>
      </c>
      <c r="J34" s="15">
        <v>0</v>
      </c>
    </row>
    <row r="35" spans="2:10" x14ac:dyDescent="0.2">
      <c r="B35" s="12"/>
      <c r="F35" s="21" t="str">
        <v>11/1997</v>
      </c>
      <c r="G35">
        <v>34</v>
      </c>
      <c r="H35" s="36">
        <v>27.588235294117649</v>
      </c>
      <c r="I35">
        <v>0</v>
      </c>
      <c r="J35" s="15">
        <v>0</v>
      </c>
    </row>
    <row r="36" spans="2:10" x14ac:dyDescent="0.2">
      <c r="B36" s="12"/>
      <c r="F36" s="21" t="str">
        <v>12/1997</v>
      </c>
      <c r="G36">
        <v>48</v>
      </c>
      <c r="H36" s="36">
        <v>27.125</v>
      </c>
      <c r="I36">
        <v>0</v>
      </c>
      <c r="J36" s="15">
        <v>0</v>
      </c>
    </row>
    <row r="37" spans="2:10" x14ac:dyDescent="0.2">
      <c r="B37" s="12"/>
      <c r="F37" s="21" t="str">
        <v>1/1998</v>
      </c>
      <c r="G37">
        <v>55</v>
      </c>
      <c r="H37" s="36">
        <v>27.745454545454546</v>
      </c>
      <c r="I37">
        <v>0</v>
      </c>
      <c r="J37" s="15">
        <v>0</v>
      </c>
    </row>
    <row r="38" spans="2:10" x14ac:dyDescent="0.2">
      <c r="B38" s="12"/>
      <c r="F38" s="21" t="str">
        <v>2/1998</v>
      </c>
      <c r="G38">
        <v>54</v>
      </c>
      <c r="H38" s="36">
        <v>28</v>
      </c>
      <c r="I38">
        <v>0</v>
      </c>
      <c r="J38" s="15">
        <v>0</v>
      </c>
    </row>
    <row r="39" spans="2:10" x14ac:dyDescent="0.2">
      <c r="B39" s="12"/>
      <c r="F39" s="21" t="str">
        <v>3/1998</v>
      </c>
      <c r="G39">
        <v>73</v>
      </c>
      <c r="H39" s="36">
        <v>28.575342465753426</v>
      </c>
      <c r="I39">
        <v>0</v>
      </c>
      <c r="J39" s="15">
        <v>0</v>
      </c>
    </row>
    <row r="40" spans="2:10" x14ac:dyDescent="0.2">
      <c r="B40" s="12"/>
      <c r="F40" s="21" t="str">
        <v>4/1998</v>
      </c>
      <c r="G40">
        <v>74</v>
      </c>
      <c r="H40" s="36">
        <v>27.621621621621621</v>
      </c>
      <c r="I40">
        <v>0</v>
      </c>
      <c r="J40" s="15">
        <v>0</v>
      </c>
    </row>
    <row r="41" spans="2:10" ht="17" thickBot="1" x14ac:dyDescent="0.25">
      <c r="B41" s="12"/>
      <c r="F41" s="22" t="str">
        <v>5/1998</v>
      </c>
      <c r="G41" s="18">
        <v>14</v>
      </c>
      <c r="H41" s="38">
        <v>27</v>
      </c>
      <c r="I41" s="18">
        <v>0</v>
      </c>
      <c r="J41" s="19">
        <v>0</v>
      </c>
    </row>
    <row r="42" spans="2:10" x14ac:dyDescent="0.2">
      <c r="B42" s="12"/>
      <c r="F42" s="13"/>
      <c r="I42" s="1"/>
    </row>
    <row r="43" spans="2:10" x14ac:dyDescent="0.2">
      <c r="B43" s="12"/>
      <c r="F43" s="13"/>
      <c r="I43" s="1"/>
    </row>
    <row r="44" spans="2:10" x14ac:dyDescent="0.2">
      <c r="B44" s="12"/>
      <c r="F44" s="13"/>
      <c r="I44" s="1"/>
    </row>
    <row r="45" spans="2:10" x14ac:dyDescent="0.2">
      <c r="B45" s="12"/>
      <c r="F45" s="13"/>
      <c r="I45" s="1"/>
    </row>
    <row r="46" spans="2:10" x14ac:dyDescent="0.2">
      <c r="B46" s="12"/>
      <c r="F46" s="13"/>
      <c r="I46" s="1"/>
    </row>
    <row r="47" spans="2:10" x14ac:dyDescent="0.2">
      <c r="B47" s="12"/>
      <c r="F47" s="13"/>
      <c r="I47" s="1"/>
    </row>
    <row r="48" spans="2:10" x14ac:dyDescent="0.2">
      <c r="B48" s="12"/>
      <c r="F48" s="13"/>
      <c r="I48" s="1"/>
    </row>
    <row r="49" spans="2:9" x14ac:dyDescent="0.2">
      <c r="B49" s="12"/>
      <c r="F49" s="13"/>
      <c r="I49" s="1"/>
    </row>
    <row r="50" spans="2:9" x14ac:dyDescent="0.2">
      <c r="B50" s="12"/>
      <c r="F50" s="13"/>
      <c r="I50" s="1"/>
    </row>
    <row r="51" spans="2:9" x14ac:dyDescent="0.2">
      <c r="B51" s="12"/>
      <c r="F51" s="13"/>
      <c r="I51" s="1"/>
    </row>
    <row r="52" spans="2:9" x14ac:dyDescent="0.2">
      <c r="B52" s="12"/>
      <c r="F52" s="13"/>
      <c r="I52" s="1"/>
    </row>
    <row r="53" spans="2:9" x14ac:dyDescent="0.2">
      <c r="B53" s="12"/>
      <c r="F53" s="13"/>
      <c r="I53" s="1"/>
    </row>
    <row r="54" spans="2:9" x14ac:dyDescent="0.2">
      <c r="B54" s="12"/>
      <c r="F54" s="13"/>
      <c r="I54" s="1"/>
    </row>
    <row r="55" spans="2:9" x14ac:dyDescent="0.2">
      <c r="B55" s="12"/>
      <c r="F55" s="13"/>
      <c r="I55" s="1"/>
    </row>
    <row r="56" spans="2:9" x14ac:dyDescent="0.2">
      <c r="B56" s="12"/>
      <c r="F56" s="13"/>
      <c r="I56" s="1"/>
    </row>
    <row r="57" spans="2:9" x14ac:dyDescent="0.2">
      <c r="B57" s="12"/>
      <c r="F57" s="13"/>
      <c r="I57" s="1"/>
    </row>
    <row r="58" spans="2:9" x14ac:dyDescent="0.2">
      <c r="B58" s="12"/>
      <c r="F58" s="13"/>
      <c r="I58" s="1"/>
    </row>
    <row r="59" spans="2:9" x14ac:dyDescent="0.2">
      <c r="B59" s="12"/>
      <c r="F59" s="13"/>
      <c r="I59" s="1"/>
    </row>
    <row r="60" spans="2:9" x14ac:dyDescent="0.2">
      <c r="B60" s="12"/>
      <c r="F60" s="13"/>
      <c r="I60" s="1"/>
    </row>
    <row r="61" spans="2:9" x14ac:dyDescent="0.2">
      <c r="B61" s="12"/>
      <c r="F61" s="13"/>
      <c r="I61" s="1"/>
    </row>
    <row r="62" spans="2:9" x14ac:dyDescent="0.2">
      <c r="B62" s="12"/>
      <c r="F62" s="13"/>
      <c r="I62" s="1"/>
    </row>
    <row r="63" spans="2:9" x14ac:dyDescent="0.2">
      <c r="B63" s="12"/>
      <c r="F63" s="13"/>
      <c r="I63" s="1"/>
    </row>
    <row r="64" spans="2:9" x14ac:dyDescent="0.2">
      <c r="B64" s="12"/>
      <c r="F64" s="13"/>
      <c r="I64" s="1"/>
    </row>
    <row r="65" spans="2:9" x14ac:dyDescent="0.2">
      <c r="B65" s="12"/>
      <c r="F65" s="13"/>
      <c r="I65" s="1"/>
    </row>
    <row r="66" spans="2:9" x14ac:dyDescent="0.2">
      <c r="B66" s="12"/>
      <c r="F66" s="13"/>
      <c r="I66" s="1"/>
    </row>
    <row r="67" spans="2:9" x14ac:dyDescent="0.2">
      <c r="B67" s="12"/>
      <c r="F67" s="13"/>
      <c r="I67" s="1"/>
    </row>
    <row r="68" spans="2:9" x14ac:dyDescent="0.2">
      <c r="B68" s="12"/>
      <c r="F68" s="13"/>
      <c r="I68" s="1"/>
    </row>
    <row r="69" spans="2:9" x14ac:dyDescent="0.2">
      <c r="B69" s="12"/>
      <c r="F69" s="13"/>
      <c r="I69" s="1"/>
    </row>
    <row r="70" spans="2:9" x14ac:dyDescent="0.2">
      <c r="B70" s="12"/>
      <c r="F70" s="13"/>
      <c r="I70" s="1"/>
    </row>
    <row r="71" spans="2:9" x14ac:dyDescent="0.2">
      <c r="B71" s="12"/>
      <c r="F71" s="13"/>
      <c r="I71" s="1"/>
    </row>
    <row r="72" spans="2:9" x14ac:dyDescent="0.2">
      <c r="B72" s="12"/>
      <c r="F72" s="13"/>
      <c r="I72" s="1"/>
    </row>
    <row r="73" spans="2:9" x14ac:dyDescent="0.2">
      <c r="B73" s="12"/>
      <c r="F73" s="13"/>
      <c r="I73" s="1"/>
    </row>
    <row r="74" spans="2:9" x14ac:dyDescent="0.2">
      <c r="B74" s="12"/>
      <c r="F74" s="13"/>
      <c r="I74" s="1"/>
    </row>
    <row r="75" spans="2:9" x14ac:dyDescent="0.2">
      <c r="B75" s="12"/>
      <c r="F75" s="13"/>
      <c r="I75" s="1"/>
    </row>
    <row r="76" spans="2:9" x14ac:dyDescent="0.2">
      <c r="B76" s="12"/>
      <c r="F76" s="13"/>
      <c r="I76" s="1"/>
    </row>
    <row r="77" spans="2:9" x14ac:dyDescent="0.2">
      <c r="B77" s="12"/>
      <c r="F77" s="13"/>
      <c r="I77" s="1"/>
    </row>
    <row r="78" spans="2:9" x14ac:dyDescent="0.2">
      <c r="B78" s="12"/>
      <c r="F78" s="13"/>
      <c r="I78" s="1"/>
    </row>
    <row r="79" spans="2:9" x14ac:dyDescent="0.2">
      <c r="B79" s="12"/>
      <c r="F79" s="13"/>
      <c r="I79" s="1"/>
    </row>
    <row r="80" spans="2:9" x14ac:dyDescent="0.2">
      <c r="B80" s="12"/>
      <c r="F80" s="13"/>
      <c r="I80" s="1"/>
    </row>
    <row r="81" spans="2:9" x14ac:dyDescent="0.2">
      <c r="B81" s="12"/>
      <c r="F81" s="13"/>
      <c r="I81" s="1"/>
    </row>
    <row r="82" spans="2:9" x14ac:dyDescent="0.2">
      <c r="B82" s="12"/>
      <c r="F82" s="13"/>
      <c r="I82" s="1"/>
    </row>
    <row r="83" spans="2:9" x14ac:dyDescent="0.2">
      <c r="B83" s="12"/>
      <c r="F83" s="13"/>
      <c r="I83" s="1"/>
    </row>
    <row r="84" spans="2:9" x14ac:dyDescent="0.2">
      <c r="B84" s="12"/>
      <c r="F84" s="13"/>
      <c r="I84" s="1"/>
    </row>
    <row r="85" spans="2:9" x14ac:dyDescent="0.2">
      <c r="B85" s="12"/>
      <c r="F85" s="13"/>
      <c r="I85" s="1"/>
    </row>
    <row r="86" spans="2:9" x14ac:dyDescent="0.2">
      <c r="B86" s="12"/>
      <c r="F86" s="13"/>
      <c r="I86" s="1"/>
    </row>
    <row r="87" spans="2:9" x14ac:dyDescent="0.2">
      <c r="B87" s="12"/>
      <c r="F87" s="13"/>
      <c r="I87" s="1"/>
    </row>
    <row r="88" spans="2:9" x14ac:dyDescent="0.2">
      <c r="B88" s="12"/>
      <c r="F88" s="13"/>
      <c r="I88" s="1"/>
    </row>
    <row r="89" spans="2:9" x14ac:dyDescent="0.2">
      <c r="B89" s="12"/>
      <c r="F89" s="13"/>
      <c r="I89" s="1"/>
    </row>
    <row r="90" spans="2:9" x14ac:dyDescent="0.2">
      <c r="B90" s="12"/>
      <c r="F90" s="13"/>
      <c r="I90" s="1"/>
    </row>
    <row r="91" spans="2:9" x14ac:dyDescent="0.2">
      <c r="B91" s="12"/>
      <c r="F91" s="13"/>
      <c r="I91" s="1"/>
    </row>
    <row r="92" spans="2:9" x14ac:dyDescent="0.2">
      <c r="B92" s="12"/>
      <c r="F92" s="13"/>
      <c r="I92" s="1"/>
    </row>
    <row r="93" spans="2:9" x14ac:dyDescent="0.2">
      <c r="B93" s="12"/>
      <c r="F93" s="13"/>
      <c r="I93" s="1"/>
    </row>
    <row r="94" spans="2:9" x14ac:dyDescent="0.2">
      <c r="B94" s="12"/>
      <c r="F94" s="13"/>
      <c r="I94" s="1"/>
    </row>
    <row r="95" spans="2:9" x14ac:dyDescent="0.2">
      <c r="B95" s="12"/>
      <c r="F95" s="13"/>
      <c r="I95" s="1"/>
    </row>
    <row r="96" spans="2:9" x14ac:dyDescent="0.2">
      <c r="B96" s="12"/>
      <c r="F96" s="13"/>
      <c r="I96" s="1"/>
    </row>
    <row r="97" spans="2:9" x14ac:dyDescent="0.2">
      <c r="B97" s="12"/>
      <c r="F97" s="13"/>
      <c r="I97" s="1"/>
    </row>
    <row r="98" spans="2:9" x14ac:dyDescent="0.2">
      <c r="B98" s="12"/>
      <c r="F98" s="13"/>
      <c r="I98" s="1"/>
    </row>
    <row r="99" spans="2:9" x14ac:dyDescent="0.2">
      <c r="F99" s="13"/>
      <c r="I99" s="1"/>
    </row>
    <row r="100" spans="2:9" x14ac:dyDescent="0.2">
      <c r="F100" s="13"/>
      <c r="I100" s="1"/>
    </row>
    <row r="101" spans="2:9" x14ac:dyDescent="0.2">
      <c r="F101" s="13"/>
      <c r="I101" s="1"/>
    </row>
    <row r="102" spans="2:9" x14ac:dyDescent="0.2">
      <c r="F102" s="13"/>
      <c r="I102" s="1"/>
    </row>
    <row r="103" spans="2:9" x14ac:dyDescent="0.2">
      <c r="F103" s="13"/>
      <c r="I103" s="1"/>
    </row>
    <row r="104" spans="2:9" x14ac:dyDescent="0.2">
      <c r="F104" s="13"/>
      <c r="I104" s="1"/>
    </row>
    <row r="105" spans="2:9" x14ac:dyDescent="0.2">
      <c r="F105" s="13"/>
      <c r="I105" s="1"/>
    </row>
    <row r="106" spans="2:9" x14ac:dyDescent="0.2">
      <c r="F106" s="13"/>
      <c r="I106" s="1"/>
    </row>
    <row r="107" spans="2:9" x14ac:dyDescent="0.2">
      <c r="F107" s="13"/>
      <c r="I107" s="1"/>
    </row>
    <row r="108" spans="2:9" x14ac:dyDescent="0.2">
      <c r="F108" s="13"/>
      <c r="I108" s="1"/>
    </row>
    <row r="109" spans="2:9" x14ac:dyDescent="0.2">
      <c r="F109" s="13"/>
      <c r="I109" s="1"/>
    </row>
    <row r="110" spans="2:9" x14ac:dyDescent="0.2">
      <c r="F110" s="13"/>
      <c r="I110" s="1"/>
    </row>
    <row r="111" spans="2:9" x14ac:dyDescent="0.2">
      <c r="F111" s="13"/>
      <c r="I111" s="1"/>
    </row>
    <row r="112" spans="2:9" x14ac:dyDescent="0.2">
      <c r="F112" s="13"/>
      <c r="I112" s="1"/>
    </row>
    <row r="113" spans="6:9" x14ac:dyDescent="0.2">
      <c r="F113" s="13"/>
      <c r="I113" s="1"/>
    </row>
    <row r="114" spans="6:9" x14ac:dyDescent="0.2">
      <c r="F114" s="13"/>
      <c r="I114" s="1"/>
    </row>
    <row r="115" spans="6:9" x14ac:dyDescent="0.2">
      <c r="F115" s="13"/>
      <c r="I115" s="1"/>
    </row>
    <row r="116" spans="6:9" x14ac:dyDescent="0.2">
      <c r="F116" s="13"/>
      <c r="I116" s="1"/>
    </row>
    <row r="117" spans="6:9" x14ac:dyDescent="0.2">
      <c r="F117" s="13"/>
      <c r="I117" s="1"/>
    </row>
    <row r="118" spans="6:9" x14ac:dyDescent="0.2">
      <c r="F118" s="13"/>
      <c r="I118" s="1"/>
    </row>
    <row r="119" spans="6:9" x14ac:dyDescent="0.2">
      <c r="F119" s="13"/>
      <c r="I119" s="1"/>
    </row>
    <row r="120" spans="6:9" x14ac:dyDescent="0.2">
      <c r="F120" s="13"/>
      <c r="I120" s="1"/>
    </row>
    <row r="121" spans="6:9" x14ac:dyDescent="0.2">
      <c r="F121" s="13"/>
      <c r="I121" s="1"/>
    </row>
    <row r="122" spans="6:9" x14ac:dyDescent="0.2">
      <c r="F122" s="13"/>
      <c r="I122" s="1"/>
    </row>
    <row r="123" spans="6:9" x14ac:dyDescent="0.2">
      <c r="F123" s="13"/>
      <c r="I123" s="1"/>
    </row>
    <row r="124" spans="6:9" x14ac:dyDescent="0.2">
      <c r="F124" s="13"/>
      <c r="I124" s="1"/>
    </row>
    <row r="125" spans="6:9" x14ac:dyDescent="0.2">
      <c r="F125" s="13"/>
      <c r="I125" s="1"/>
    </row>
    <row r="126" spans="6:9" x14ac:dyDescent="0.2">
      <c r="F126" s="13"/>
      <c r="I126" s="1"/>
    </row>
    <row r="127" spans="6:9" x14ac:dyDescent="0.2">
      <c r="F127" s="13"/>
      <c r="I127" s="1"/>
    </row>
    <row r="128" spans="6:9" x14ac:dyDescent="0.2">
      <c r="F128" s="13"/>
      <c r="I128" s="1"/>
    </row>
    <row r="129" spans="6:9" x14ac:dyDescent="0.2">
      <c r="F129" s="13"/>
      <c r="I129" s="1"/>
    </row>
    <row r="130" spans="6:9" x14ac:dyDescent="0.2">
      <c r="F130" s="13"/>
      <c r="I130" s="1"/>
    </row>
    <row r="131" spans="6:9" x14ac:dyDescent="0.2">
      <c r="F131" s="13"/>
      <c r="I131" s="1"/>
    </row>
    <row r="132" spans="6:9" x14ac:dyDescent="0.2">
      <c r="F132" s="13"/>
      <c r="I132" s="1"/>
    </row>
    <row r="133" spans="6:9" x14ac:dyDescent="0.2">
      <c r="F133" s="13"/>
      <c r="I133" s="1"/>
    </row>
    <row r="134" spans="6:9" x14ac:dyDescent="0.2">
      <c r="F134" s="13"/>
      <c r="I134" s="1"/>
    </row>
    <row r="135" spans="6:9" x14ac:dyDescent="0.2">
      <c r="F135" s="13"/>
      <c r="I135" s="1"/>
    </row>
    <row r="136" spans="6:9" x14ac:dyDescent="0.2">
      <c r="F136" s="13"/>
      <c r="I136" s="1"/>
    </row>
    <row r="137" spans="6:9" x14ac:dyDescent="0.2">
      <c r="F137" s="13"/>
      <c r="I137" s="1"/>
    </row>
    <row r="138" spans="6:9" x14ac:dyDescent="0.2">
      <c r="F138" s="13"/>
      <c r="I138" s="1"/>
    </row>
    <row r="139" spans="6:9" x14ac:dyDescent="0.2">
      <c r="F139" s="13"/>
      <c r="I139" s="1"/>
    </row>
    <row r="140" spans="6:9" x14ac:dyDescent="0.2">
      <c r="F140" s="13"/>
      <c r="I140" s="1"/>
    </row>
    <row r="141" spans="6:9" x14ac:dyDescent="0.2">
      <c r="F141" s="13"/>
      <c r="I141" s="1"/>
    </row>
    <row r="142" spans="6:9" x14ac:dyDescent="0.2">
      <c r="F142" s="13"/>
      <c r="I142" s="1"/>
    </row>
    <row r="143" spans="6:9" x14ac:dyDescent="0.2">
      <c r="F143" s="13"/>
      <c r="I143" s="1"/>
    </row>
    <row r="144" spans="6:9" x14ac:dyDescent="0.2">
      <c r="F144" s="13"/>
      <c r="I144" s="1"/>
    </row>
    <row r="145" spans="6:9" x14ac:dyDescent="0.2">
      <c r="F145" s="13"/>
      <c r="I145" s="1"/>
    </row>
    <row r="146" spans="6:9" x14ac:dyDescent="0.2">
      <c r="F146" s="13"/>
      <c r="I146" s="1"/>
    </row>
    <row r="147" spans="6:9" x14ac:dyDescent="0.2">
      <c r="F147" s="13"/>
      <c r="I147" s="1"/>
    </row>
    <row r="148" spans="6:9" x14ac:dyDescent="0.2">
      <c r="F148" s="13"/>
      <c r="I148" s="1"/>
    </row>
    <row r="149" spans="6:9" x14ac:dyDescent="0.2">
      <c r="F149" s="13"/>
      <c r="I149" s="1"/>
    </row>
    <row r="150" spans="6:9" x14ac:dyDescent="0.2">
      <c r="F150" s="13"/>
      <c r="I150" s="1"/>
    </row>
    <row r="151" spans="6:9" x14ac:dyDescent="0.2">
      <c r="F151" s="13"/>
      <c r="I151" s="1"/>
    </row>
    <row r="152" spans="6:9" x14ac:dyDescent="0.2">
      <c r="F152" s="13"/>
      <c r="I152" s="1"/>
    </row>
    <row r="153" spans="6:9" x14ac:dyDescent="0.2">
      <c r="F153" s="13"/>
      <c r="I153" s="1"/>
    </row>
    <row r="154" spans="6:9" x14ac:dyDescent="0.2">
      <c r="F154" s="13"/>
      <c r="I154" s="1"/>
    </row>
    <row r="155" spans="6:9" x14ac:dyDescent="0.2">
      <c r="F155" s="13"/>
      <c r="I155" s="1"/>
    </row>
    <row r="156" spans="6:9" x14ac:dyDescent="0.2">
      <c r="F156" s="13"/>
      <c r="I156" s="1"/>
    </row>
    <row r="157" spans="6:9" x14ac:dyDescent="0.2">
      <c r="F157" s="13"/>
      <c r="I157" s="1"/>
    </row>
    <row r="158" spans="6:9" x14ac:dyDescent="0.2">
      <c r="F158" s="13"/>
      <c r="I158" s="1"/>
    </row>
    <row r="159" spans="6:9" x14ac:dyDescent="0.2">
      <c r="F159" s="13"/>
      <c r="I159" s="1"/>
    </row>
    <row r="160" spans="6:9" x14ac:dyDescent="0.2">
      <c r="F160" s="13"/>
      <c r="I160" s="1"/>
    </row>
    <row r="161" spans="6:9" x14ac:dyDescent="0.2">
      <c r="F161" s="13"/>
      <c r="I161" s="1"/>
    </row>
    <row r="162" spans="6:9" x14ac:dyDescent="0.2">
      <c r="F162" s="13"/>
      <c r="I162" s="1"/>
    </row>
    <row r="163" spans="6:9" x14ac:dyDescent="0.2">
      <c r="F163" s="13"/>
      <c r="I163" s="1"/>
    </row>
    <row r="164" spans="6:9" x14ac:dyDescent="0.2">
      <c r="F164" s="13"/>
      <c r="I164" s="1"/>
    </row>
    <row r="165" spans="6:9" x14ac:dyDescent="0.2">
      <c r="F165" s="13"/>
      <c r="I165" s="1"/>
    </row>
    <row r="166" spans="6:9" x14ac:dyDescent="0.2">
      <c r="F166" s="13"/>
      <c r="I166" s="1"/>
    </row>
    <row r="167" spans="6:9" x14ac:dyDescent="0.2">
      <c r="F167" s="13"/>
      <c r="I167" s="1"/>
    </row>
    <row r="168" spans="6:9" x14ac:dyDescent="0.2">
      <c r="F168" s="13"/>
      <c r="I168" s="1"/>
    </row>
    <row r="169" spans="6:9" x14ac:dyDescent="0.2">
      <c r="F169" s="13"/>
      <c r="I169" s="1"/>
    </row>
    <row r="170" spans="6:9" x14ac:dyDescent="0.2">
      <c r="F170" s="13"/>
      <c r="I170" s="1"/>
    </row>
    <row r="171" spans="6:9" x14ac:dyDescent="0.2">
      <c r="F171" s="13"/>
      <c r="I171" s="1"/>
    </row>
    <row r="172" spans="6:9" x14ac:dyDescent="0.2">
      <c r="F172" s="13"/>
      <c r="I172" s="1"/>
    </row>
    <row r="173" spans="6:9" x14ac:dyDescent="0.2">
      <c r="F173" s="13"/>
      <c r="I173" s="1"/>
    </row>
    <row r="174" spans="6:9" x14ac:dyDescent="0.2">
      <c r="F174" s="13"/>
      <c r="I174" s="1"/>
    </row>
    <row r="175" spans="6:9" x14ac:dyDescent="0.2">
      <c r="F175" s="13"/>
      <c r="I175" s="1"/>
    </row>
    <row r="176" spans="6:9" x14ac:dyDescent="0.2">
      <c r="F176" s="13"/>
      <c r="I176" s="1"/>
    </row>
    <row r="177" spans="6:9" x14ac:dyDescent="0.2">
      <c r="F177" s="13"/>
      <c r="I177" s="1"/>
    </row>
    <row r="178" spans="6:9" x14ac:dyDescent="0.2">
      <c r="F178" s="13"/>
      <c r="I178" s="1"/>
    </row>
    <row r="179" spans="6:9" x14ac:dyDescent="0.2">
      <c r="F179" s="13"/>
      <c r="I179" s="1"/>
    </row>
    <row r="180" spans="6:9" x14ac:dyDescent="0.2">
      <c r="F180" s="13"/>
      <c r="I180" s="1"/>
    </row>
    <row r="181" spans="6:9" x14ac:dyDescent="0.2">
      <c r="F181" s="13"/>
      <c r="I181" s="1"/>
    </row>
    <row r="182" spans="6:9" x14ac:dyDescent="0.2">
      <c r="F182" s="13"/>
      <c r="I182" s="1"/>
    </row>
    <row r="183" spans="6:9" x14ac:dyDescent="0.2">
      <c r="F183" s="13"/>
      <c r="I183" s="1"/>
    </row>
    <row r="184" spans="6:9" x14ac:dyDescent="0.2">
      <c r="F184" s="13"/>
      <c r="I184" s="1"/>
    </row>
    <row r="185" spans="6:9" x14ac:dyDescent="0.2">
      <c r="F185" s="13"/>
      <c r="I185" s="1"/>
    </row>
    <row r="186" spans="6:9" x14ac:dyDescent="0.2">
      <c r="F186" s="13"/>
      <c r="I186" s="1"/>
    </row>
    <row r="187" spans="6:9" x14ac:dyDescent="0.2">
      <c r="F187" s="13"/>
      <c r="I187" s="1"/>
    </row>
    <row r="188" spans="6:9" x14ac:dyDescent="0.2">
      <c r="F188" s="13"/>
      <c r="I188" s="1"/>
    </row>
    <row r="189" spans="6:9" x14ac:dyDescent="0.2">
      <c r="F189" s="13"/>
      <c r="I189" s="1"/>
    </row>
    <row r="190" spans="6:9" x14ac:dyDescent="0.2">
      <c r="F190" s="13"/>
      <c r="I190" s="1"/>
    </row>
    <row r="191" spans="6:9" x14ac:dyDescent="0.2">
      <c r="F191" s="13"/>
      <c r="I191" s="1"/>
    </row>
    <row r="192" spans="6:9" x14ac:dyDescent="0.2">
      <c r="F192" s="13"/>
      <c r="I192" s="1"/>
    </row>
    <row r="193" spans="6:9" x14ac:dyDescent="0.2">
      <c r="F193" s="13"/>
      <c r="I193" s="1"/>
    </row>
    <row r="194" spans="6:9" x14ac:dyDescent="0.2">
      <c r="F194" s="13"/>
      <c r="I194" s="1"/>
    </row>
    <row r="195" spans="6:9" x14ac:dyDescent="0.2">
      <c r="F195" s="13"/>
      <c r="I195" s="1"/>
    </row>
    <row r="196" spans="6:9" x14ac:dyDescent="0.2">
      <c r="F196" s="13"/>
      <c r="I196" s="1"/>
    </row>
    <row r="197" spans="6:9" x14ac:dyDescent="0.2">
      <c r="F197" s="13"/>
      <c r="I197" s="1"/>
    </row>
    <row r="198" spans="6:9" x14ac:dyDescent="0.2">
      <c r="F198" s="13"/>
      <c r="I198" s="1"/>
    </row>
    <row r="199" spans="6:9" x14ac:dyDescent="0.2">
      <c r="F199" s="13"/>
      <c r="I199" s="1"/>
    </row>
    <row r="200" spans="6:9" x14ac:dyDescent="0.2">
      <c r="F200" s="13"/>
      <c r="I200" s="1"/>
    </row>
    <row r="201" spans="6:9" x14ac:dyDescent="0.2">
      <c r="F201" s="13"/>
      <c r="I201" s="1"/>
    </row>
    <row r="202" spans="6:9" x14ac:dyDescent="0.2">
      <c r="F202" s="13"/>
      <c r="I202" s="1"/>
    </row>
    <row r="203" spans="6:9" x14ac:dyDescent="0.2">
      <c r="F203" s="13"/>
      <c r="I203" s="1"/>
    </row>
    <row r="204" spans="6:9" x14ac:dyDescent="0.2">
      <c r="F204" s="13"/>
      <c r="I204" s="1"/>
    </row>
    <row r="205" spans="6:9" x14ac:dyDescent="0.2">
      <c r="F205" s="13"/>
      <c r="I205" s="1"/>
    </row>
    <row r="206" spans="6:9" x14ac:dyDescent="0.2">
      <c r="F206" s="13"/>
      <c r="I206" s="1"/>
    </row>
    <row r="207" spans="6:9" x14ac:dyDescent="0.2">
      <c r="F207" s="13"/>
      <c r="I207" s="1"/>
    </row>
    <row r="208" spans="6:9" x14ac:dyDescent="0.2">
      <c r="F208" s="13"/>
      <c r="I208" s="1"/>
    </row>
    <row r="209" spans="6:9" x14ac:dyDescent="0.2">
      <c r="F209" s="13"/>
      <c r="I209" s="1"/>
    </row>
    <row r="210" spans="6:9" x14ac:dyDescent="0.2">
      <c r="F210" s="13"/>
      <c r="I210" s="1"/>
    </row>
    <row r="211" spans="6:9" x14ac:dyDescent="0.2">
      <c r="F211" s="13"/>
      <c r="I211" s="1"/>
    </row>
    <row r="212" spans="6:9" x14ac:dyDescent="0.2">
      <c r="F212" s="13"/>
      <c r="I212" s="1"/>
    </row>
    <row r="213" spans="6:9" x14ac:dyDescent="0.2">
      <c r="F213" s="13"/>
      <c r="I213" s="1"/>
    </row>
    <row r="214" spans="6:9" x14ac:dyDescent="0.2">
      <c r="F214" s="13"/>
      <c r="I214" s="1"/>
    </row>
    <row r="215" spans="6:9" x14ac:dyDescent="0.2">
      <c r="F215" s="13"/>
      <c r="I215" s="1"/>
    </row>
    <row r="216" spans="6:9" x14ac:dyDescent="0.2">
      <c r="F216" s="13"/>
      <c r="I216" s="1"/>
    </row>
    <row r="217" spans="6:9" x14ac:dyDescent="0.2">
      <c r="F217" s="13"/>
      <c r="I217" s="1"/>
    </row>
    <row r="218" spans="6:9" x14ac:dyDescent="0.2">
      <c r="F218" s="13"/>
      <c r="I218" s="1"/>
    </row>
    <row r="219" spans="6:9" x14ac:dyDescent="0.2">
      <c r="F219" s="13"/>
      <c r="I219" s="1"/>
    </row>
    <row r="220" spans="6:9" x14ac:dyDescent="0.2">
      <c r="F220" s="13"/>
      <c r="I220" s="1"/>
    </row>
    <row r="221" spans="6:9" x14ac:dyDescent="0.2">
      <c r="F221" s="13"/>
      <c r="I221" s="1"/>
    </row>
    <row r="222" spans="6:9" x14ac:dyDescent="0.2">
      <c r="F222" s="13"/>
      <c r="I222" s="1"/>
    </row>
    <row r="223" spans="6:9" x14ac:dyDescent="0.2">
      <c r="F223" s="13"/>
      <c r="I223" s="1"/>
    </row>
    <row r="224" spans="6:9" x14ac:dyDescent="0.2">
      <c r="F224" s="13"/>
      <c r="I224" s="1"/>
    </row>
    <row r="225" spans="6:9" x14ac:dyDescent="0.2">
      <c r="F225" s="13"/>
      <c r="I225" s="1"/>
    </row>
    <row r="226" spans="6:9" x14ac:dyDescent="0.2">
      <c r="F226" s="13"/>
      <c r="I226" s="1"/>
    </row>
    <row r="227" spans="6:9" x14ac:dyDescent="0.2">
      <c r="F227" s="13"/>
      <c r="I227" s="1"/>
    </row>
    <row r="228" spans="6:9" x14ac:dyDescent="0.2">
      <c r="F228" s="13"/>
      <c r="I228" s="1"/>
    </row>
    <row r="229" spans="6:9" x14ac:dyDescent="0.2">
      <c r="F229" s="13"/>
      <c r="I229" s="1"/>
    </row>
    <row r="230" spans="6:9" x14ac:dyDescent="0.2">
      <c r="F230" s="13"/>
      <c r="I230" s="1"/>
    </row>
    <row r="231" spans="6:9" x14ac:dyDescent="0.2">
      <c r="F231" s="13"/>
      <c r="I231" s="1"/>
    </row>
    <row r="232" spans="6:9" x14ac:dyDescent="0.2">
      <c r="F232" s="13"/>
      <c r="I232" s="1"/>
    </row>
    <row r="233" spans="6:9" x14ac:dyDescent="0.2">
      <c r="F233" s="13"/>
      <c r="I233" s="1"/>
    </row>
    <row r="234" spans="6:9" x14ac:dyDescent="0.2">
      <c r="F234" s="13"/>
      <c r="I234" s="1"/>
    </row>
    <row r="235" spans="6:9" x14ac:dyDescent="0.2">
      <c r="F235" s="13"/>
      <c r="I235" s="1"/>
    </row>
    <row r="236" spans="6:9" x14ac:dyDescent="0.2">
      <c r="F236" s="13"/>
      <c r="I236" s="1"/>
    </row>
    <row r="237" spans="6:9" x14ac:dyDescent="0.2">
      <c r="F237" s="13"/>
      <c r="I237" s="1"/>
    </row>
    <row r="238" spans="6:9" x14ac:dyDescent="0.2">
      <c r="F238" s="13"/>
      <c r="I238" s="1"/>
    </row>
    <row r="239" spans="6:9" x14ac:dyDescent="0.2">
      <c r="F239" s="13"/>
      <c r="I239" s="1"/>
    </row>
    <row r="240" spans="6:9" x14ac:dyDescent="0.2">
      <c r="F240" s="13"/>
      <c r="I240" s="1"/>
    </row>
    <row r="241" spans="6:9" x14ac:dyDescent="0.2">
      <c r="F241" s="13"/>
      <c r="I241" s="1"/>
    </row>
    <row r="242" spans="6:9" x14ac:dyDescent="0.2">
      <c r="F242" s="13"/>
      <c r="I242" s="1"/>
    </row>
    <row r="243" spans="6:9" x14ac:dyDescent="0.2">
      <c r="F243" s="13"/>
      <c r="I243" s="1"/>
    </row>
    <row r="244" spans="6:9" x14ac:dyDescent="0.2">
      <c r="F244" s="13"/>
      <c r="I244" s="1"/>
    </row>
    <row r="245" spans="6:9" x14ac:dyDescent="0.2">
      <c r="F245" s="13"/>
      <c r="I245" s="1"/>
    </row>
    <row r="246" spans="6:9" x14ac:dyDescent="0.2">
      <c r="F246" s="13"/>
      <c r="I246" s="1"/>
    </row>
    <row r="247" spans="6:9" x14ac:dyDescent="0.2">
      <c r="F247" s="13"/>
      <c r="I247" s="1"/>
    </row>
    <row r="248" spans="6:9" x14ac:dyDescent="0.2">
      <c r="F248" s="13"/>
      <c r="I248" s="1"/>
    </row>
    <row r="249" spans="6:9" x14ac:dyDescent="0.2">
      <c r="F249" s="13"/>
      <c r="I249" s="1"/>
    </row>
    <row r="250" spans="6:9" x14ac:dyDescent="0.2">
      <c r="F250" s="13"/>
      <c r="I250" s="1"/>
    </row>
    <row r="251" spans="6:9" x14ac:dyDescent="0.2">
      <c r="F251" s="13"/>
      <c r="I251" s="1"/>
    </row>
    <row r="252" spans="6:9" x14ac:dyDescent="0.2">
      <c r="F252" s="13"/>
      <c r="I252" s="1"/>
    </row>
    <row r="253" spans="6:9" x14ac:dyDescent="0.2">
      <c r="F253" s="13"/>
      <c r="I253" s="1"/>
    </row>
    <row r="254" spans="6:9" x14ac:dyDescent="0.2">
      <c r="F254" s="13"/>
      <c r="I254" s="1"/>
    </row>
    <row r="255" spans="6:9" x14ac:dyDescent="0.2">
      <c r="F255" s="13"/>
      <c r="I255" s="1"/>
    </row>
    <row r="256" spans="6:9" x14ac:dyDescent="0.2">
      <c r="F256" s="13"/>
      <c r="I256" s="1"/>
    </row>
    <row r="257" spans="6:9" x14ac:dyDescent="0.2">
      <c r="F257" s="13"/>
      <c r="I257" s="1"/>
    </row>
    <row r="258" spans="6:9" x14ac:dyDescent="0.2">
      <c r="F258" s="13"/>
      <c r="I258" s="1"/>
    </row>
    <row r="259" spans="6:9" x14ac:dyDescent="0.2">
      <c r="F259" s="13"/>
      <c r="I259" s="1"/>
    </row>
    <row r="260" spans="6:9" x14ac:dyDescent="0.2">
      <c r="F260" s="13"/>
      <c r="I260" s="1"/>
    </row>
    <row r="261" spans="6:9" x14ac:dyDescent="0.2">
      <c r="F261" s="13"/>
      <c r="I261" s="1"/>
    </row>
    <row r="262" spans="6:9" x14ac:dyDescent="0.2">
      <c r="F262" s="13"/>
      <c r="I262" s="1"/>
    </row>
    <row r="263" spans="6:9" x14ac:dyDescent="0.2">
      <c r="F263" s="13"/>
      <c r="I263" s="1"/>
    </row>
    <row r="264" spans="6:9" x14ac:dyDescent="0.2">
      <c r="F264" s="13"/>
      <c r="I264" s="1"/>
    </row>
    <row r="265" spans="6:9" x14ac:dyDescent="0.2">
      <c r="F265" s="13"/>
      <c r="I265" s="1"/>
    </row>
    <row r="266" spans="6:9" x14ac:dyDescent="0.2">
      <c r="F266" s="13"/>
      <c r="I266" s="1"/>
    </row>
    <row r="267" spans="6:9" x14ac:dyDescent="0.2">
      <c r="F267" s="13"/>
      <c r="I267" s="1"/>
    </row>
    <row r="268" spans="6:9" x14ac:dyDescent="0.2">
      <c r="F268" s="13"/>
      <c r="I268" s="1"/>
    </row>
    <row r="269" spans="6:9" x14ac:dyDescent="0.2">
      <c r="F269" s="13"/>
      <c r="I269" s="1"/>
    </row>
    <row r="270" spans="6:9" x14ac:dyDescent="0.2">
      <c r="F270" s="13"/>
      <c r="I270" s="1"/>
    </row>
    <row r="271" spans="6:9" x14ac:dyDescent="0.2">
      <c r="F271" s="13"/>
      <c r="I271" s="1"/>
    </row>
    <row r="272" spans="6:9" x14ac:dyDescent="0.2">
      <c r="F272" s="13"/>
      <c r="I272" s="1"/>
    </row>
    <row r="273" spans="6:9" x14ac:dyDescent="0.2">
      <c r="F273" s="13"/>
      <c r="I273" s="1"/>
    </row>
    <row r="274" spans="6:9" x14ac:dyDescent="0.2">
      <c r="F274" s="13"/>
      <c r="I274" s="1"/>
    </row>
    <row r="275" spans="6:9" x14ac:dyDescent="0.2">
      <c r="F275" s="13"/>
      <c r="I275" s="1"/>
    </row>
    <row r="276" spans="6:9" x14ac:dyDescent="0.2">
      <c r="F276" s="13"/>
      <c r="I276" s="1"/>
    </row>
    <row r="277" spans="6:9" x14ac:dyDescent="0.2">
      <c r="F277" s="13"/>
      <c r="I277" s="1"/>
    </row>
    <row r="278" spans="6:9" x14ac:dyDescent="0.2">
      <c r="F278" s="13"/>
      <c r="I278" s="1"/>
    </row>
    <row r="279" spans="6:9" x14ac:dyDescent="0.2">
      <c r="F279" s="13"/>
      <c r="I279" s="1"/>
    </row>
    <row r="280" spans="6:9" x14ac:dyDescent="0.2">
      <c r="F280" s="13"/>
      <c r="I280" s="1"/>
    </row>
    <row r="281" spans="6:9" x14ac:dyDescent="0.2">
      <c r="F281" s="13"/>
      <c r="I281" s="1"/>
    </row>
    <row r="282" spans="6:9" x14ac:dyDescent="0.2">
      <c r="F282" s="13"/>
      <c r="I282" s="1"/>
    </row>
    <row r="283" spans="6:9" x14ac:dyDescent="0.2">
      <c r="F283" s="13"/>
      <c r="I283" s="1"/>
    </row>
    <row r="284" spans="6:9" x14ac:dyDescent="0.2">
      <c r="F284" s="13"/>
      <c r="I284" s="1"/>
    </row>
    <row r="285" spans="6:9" x14ac:dyDescent="0.2">
      <c r="F285" s="13"/>
      <c r="I285" s="1"/>
    </row>
    <row r="286" spans="6:9" x14ac:dyDescent="0.2">
      <c r="F286" s="13"/>
      <c r="I286" s="1"/>
    </row>
    <row r="287" spans="6:9" x14ac:dyDescent="0.2">
      <c r="F287" s="13"/>
      <c r="I287" s="1"/>
    </row>
    <row r="288" spans="6:9" x14ac:dyDescent="0.2">
      <c r="F288" s="13"/>
      <c r="I288" s="1"/>
    </row>
    <row r="289" spans="6:9" x14ac:dyDescent="0.2">
      <c r="F289" s="13"/>
      <c r="I289" s="1"/>
    </row>
    <row r="290" spans="6:9" x14ac:dyDescent="0.2">
      <c r="F290" s="13"/>
      <c r="I290" s="1"/>
    </row>
    <row r="291" spans="6:9" x14ac:dyDescent="0.2">
      <c r="F291" s="13"/>
      <c r="I291" s="1"/>
    </row>
    <row r="292" spans="6:9" x14ac:dyDescent="0.2">
      <c r="F292" s="13"/>
      <c r="I292" s="1"/>
    </row>
    <row r="293" spans="6:9" x14ac:dyDescent="0.2">
      <c r="F293" s="13"/>
      <c r="I293" s="1"/>
    </row>
    <row r="294" spans="6:9" x14ac:dyDescent="0.2">
      <c r="F294" s="13"/>
      <c r="I294" s="1"/>
    </row>
    <row r="295" spans="6:9" x14ac:dyDescent="0.2">
      <c r="F295" s="13"/>
      <c r="I295" s="1"/>
    </row>
    <row r="296" spans="6:9" x14ac:dyDescent="0.2">
      <c r="F296" s="13"/>
      <c r="I296" s="1"/>
    </row>
    <row r="297" spans="6:9" x14ac:dyDescent="0.2">
      <c r="F297" s="13"/>
      <c r="I297" s="1"/>
    </row>
    <row r="298" spans="6:9" x14ac:dyDescent="0.2">
      <c r="F298" s="13"/>
      <c r="I298" s="1"/>
    </row>
    <row r="299" spans="6:9" x14ac:dyDescent="0.2">
      <c r="F299" s="13"/>
      <c r="I299" s="1"/>
    </row>
    <row r="300" spans="6:9" x14ac:dyDescent="0.2">
      <c r="F300" s="13"/>
      <c r="I300" s="1"/>
    </row>
    <row r="301" spans="6:9" x14ac:dyDescent="0.2">
      <c r="F301" s="13"/>
      <c r="I301" s="1"/>
    </row>
    <row r="302" spans="6:9" x14ac:dyDescent="0.2">
      <c r="F302" s="13"/>
      <c r="I302" s="1"/>
    </row>
    <row r="303" spans="6:9" x14ac:dyDescent="0.2">
      <c r="F303" s="13"/>
      <c r="I303" s="1"/>
    </row>
    <row r="304" spans="6:9" x14ac:dyDescent="0.2">
      <c r="F304" s="13"/>
      <c r="I304" s="1"/>
    </row>
    <row r="305" spans="6:9" x14ac:dyDescent="0.2">
      <c r="F305" s="13"/>
      <c r="I305" s="1"/>
    </row>
    <row r="306" spans="6:9" x14ac:dyDescent="0.2">
      <c r="F306" s="13"/>
      <c r="I306" s="1"/>
    </row>
    <row r="307" spans="6:9" x14ac:dyDescent="0.2">
      <c r="F307" s="13"/>
      <c r="I307" s="1"/>
    </row>
    <row r="308" spans="6:9" x14ac:dyDescent="0.2">
      <c r="F308" s="13"/>
      <c r="I308" s="1"/>
    </row>
    <row r="309" spans="6:9" x14ac:dyDescent="0.2">
      <c r="F309" s="13"/>
      <c r="I309" s="1"/>
    </row>
    <row r="310" spans="6:9" x14ac:dyDescent="0.2">
      <c r="F310" s="13"/>
      <c r="I310" s="1"/>
    </row>
    <row r="311" spans="6:9" x14ac:dyDescent="0.2">
      <c r="F311" s="13"/>
      <c r="I311" s="1"/>
    </row>
    <row r="312" spans="6:9" x14ac:dyDescent="0.2">
      <c r="F312" s="13"/>
      <c r="I312" s="1"/>
    </row>
    <row r="313" spans="6:9" x14ac:dyDescent="0.2">
      <c r="F313" s="13"/>
      <c r="I313" s="1"/>
    </row>
    <row r="314" spans="6:9" x14ac:dyDescent="0.2">
      <c r="F314" s="13"/>
      <c r="I314" s="1"/>
    </row>
    <row r="315" spans="6:9" x14ac:dyDescent="0.2">
      <c r="F315" s="13"/>
      <c r="I315" s="1"/>
    </row>
    <row r="316" spans="6:9" x14ac:dyDescent="0.2">
      <c r="F316" s="13"/>
      <c r="I316" s="1"/>
    </row>
    <row r="317" spans="6:9" x14ac:dyDescent="0.2">
      <c r="F317" s="13"/>
      <c r="I317" s="1"/>
    </row>
    <row r="318" spans="6:9" x14ac:dyDescent="0.2">
      <c r="F318" s="13"/>
      <c r="I318" s="1"/>
    </row>
    <row r="319" spans="6:9" x14ac:dyDescent="0.2">
      <c r="F319" s="13"/>
      <c r="I319" s="1"/>
    </row>
    <row r="320" spans="6:9" x14ac:dyDescent="0.2">
      <c r="F320" s="13"/>
      <c r="I320" s="1"/>
    </row>
    <row r="321" spans="6:9" x14ac:dyDescent="0.2">
      <c r="F321" s="13"/>
      <c r="I321" s="1"/>
    </row>
    <row r="322" spans="6:9" x14ac:dyDescent="0.2">
      <c r="F322" s="13"/>
      <c r="I322" s="1"/>
    </row>
    <row r="323" spans="6:9" x14ac:dyDescent="0.2">
      <c r="F323" s="13"/>
      <c r="I323" s="1"/>
    </row>
    <row r="324" spans="6:9" x14ac:dyDescent="0.2">
      <c r="F324" s="13"/>
      <c r="I324" s="1"/>
    </row>
    <row r="325" spans="6:9" x14ac:dyDescent="0.2">
      <c r="F325" s="13"/>
      <c r="I325" s="1"/>
    </row>
    <row r="326" spans="6:9" x14ac:dyDescent="0.2">
      <c r="F326" s="13"/>
      <c r="I326" s="1"/>
    </row>
    <row r="327" spans="6:9" x14ac:dyDescent="0.2">
      <c r="F327" s="13"/>
      <c r="I327" s="1"/>
    </row>
    <row r="328" spans="6:9" x14ac:dyDescent="0.2">
      <c r="F328" s="13"/>
      <c r="I328" s="1"/>
    </row>
    <row r="329" spans="6:9" x14ac:dyDescent="0.2">
      <c r="F329" s="13"/>
      <c r="I329" s="1"/>
    </row>
    <row r="330" spans="6:9" x14ac:dyDescent="0.2">
      <c r="F330" s="13"/>
      <c r="I330" s="1"/>
    </row>
    <row r="331" spans="6:9" x14ac:dyDescent="0.2">
      <c r="F331" s="13"/>
      <c r="I331" s="1"/>
    </row>
    <row r="332" spans="6:9" x14ac:dyDescent="0.2">
      <c r="F332" s="13"/>
      <c r="I332" s="1"/>
    </row>
    <row r="333" spans="6:9" x14ac:dyDescent="0.2">
      <c r="F333" s="13"/>
      <c r="I333" s="1"/>
    </row>
    <row r="334" spans="6:9" x14ac:dyDescent="0.2">
      <c r="F334" s="13"/>
      <c r="I334" s="1"/>
    </row>
    <row r="335" spans="6:9" x14ac:dyDescent="0.2">
      <c r="F335" s="13"/>
      <c r="I335" s="1"/>
    </row>
    <row r="336" spans="6:9" x14ac:dyDescent="0.2">
      <c r="F336" s="13"/>
      <c r="I336" s="1"/>
    </row>
    <row r="337" spans="6:9" x14ac:dyDescent="0.2">
      <c r="F337" s="13"/>
      <c r="I337" s="1"/>
    </row>
    <row r="338" spans="6:9" x14ac:dyDescent="0.2">
      <c r="F338" s="13"/>
      <c r="I338" s="1"/>
    </row>
    <row r="339" spans="6:9" x14ac:dyDescent="0.2">
      <c r="F339" s="13"/>
      <c r="I339" s="1"/>
    </row>
    <row r="340" spans="6:9" x14ac:dyDescent="0.2">
      <c r="F340" s="13"/>
      <c r="I340" s="1"/>
    </row>
    <row r="341" spans="6:9" x14ac:dyDescent="0.2">
      <c r="F341" s="13"/>
      <c r="I341" s="1"/>
    </row>
    <row r="342" spans="6:9" x14ac:dyDescent="0.2">
      <c r="F342" s="13"/>
      <c r="I342" s="1"/>
    </row>
    <row r="343" spans="6:9" x14ac:dyDescent="0.2">
      <c r="F343" s="13"/>
      <c r="I343" s="1"/>
    </row>
    <row r="344" spans="6:9" x14ac:dyDescent="0.2">
      <c r="F344" s="13"/>
      <c r="I344" s="1"/>
    </row>
    <row r="345" spans="6:9" x14ac:dyDescent="0.2">
      <c r="F345" s="13"/>
      <c r="I345" s="1"/>
    </row>
    <row r="346" spans="6:9" x14ac:dyDescent="0.2">
      <c r="F346" s="13"/>
      <c r="I346" s="1"/>
    </row>
    <row r="347" spans="6:9" x14ac:dyDescent="0.2">
      <c r="F347" s="13"/>
      <c r="I347" s="1"/>
    </row>
    <row r="348" spans="6:9" x14ac:dyDescent="0.2">
      <c r="F348" s="13"/>
      <c r="I348" s="1"/>
    </row>
    <row r="349" spans="6:9" x14ac:dyDescent="0.2">
      <c r="F349" s="13"/>
      <c r="I349" s="1"/>
    </row>
    <row r="350" spans="6:9" x14ac:dyDescent="0.2">
      <c r="F350" s="13"/>
      <c r="I350" s="1"/>
    </row>
    <row r="351" spans="6:9" x14ac:dyDescent="0.2">
      <c r="F351" s="13"/>
      <c r="I351" s="1"/>
    </row>
    <row r="352" spans="6:9" x14ac:dyDescent="0.2">
      <c r="F352" s="13"/>
      <c r="I352" s="1"/>
    </row>
    <row r="353" spans="6:9" x14ac:dyDescent="0.2">
      <c r="F353" s="13"/>
      <c r="I353" s="1"/>
    </row>
    <row r="354" spans="6:9" x14ac:dyDescent="0.2">
      <c r="F354" s="13"/>
      <c r="I354" s="1"/>
    </row>
    <row r="355" spans="6:9" x14ac:dyDescent="0.2">
      <c r="F355" s="13"/>
      <c r="I355" s="1"/>
    </row>
    <row r="356" spans="6:9" x14ac:dyDescent="0.2">
      <c r="F356" s="13"/>
      <c r="I356" s="1"/>
    </row>
    <row r="357" spans="6:9" x14ac:dyDescent="0.2">
      <c r="F357" s="13"/>
      <c r="I357" s="1"/>
    </row>
    <row r="358" spans="6:9" x14ac:dyDescent="0.2">
      <c r="F358" s="13"/>
      <c r="I358" s="1"/>
    </row>
    <row r="359" spans="6:9" x14ac:dyDescent="0.2">
      <c r="F359" s="13"/>
      <c r="I359" s="1"/>
    </row>
    <row r="360" spans="6:9" x14ac:dyDescent="0.2">
      <c r="F360" s="13"/>
      <c r="I360" s="1"/>
    </row>
    <row r="361" spans="6:9" x14ac:dyDescent="0.2">
      <c r="F361" s="13"/>
      <c r="I361" s="1"/>
    </row>
    <row r="362" spans="6:9" x14ac:dyDescent="0.2">
      <c r="F362" s="13"/>
      <c r="I362" s="1"/>
    </row>
    <row r="363" spans="6:9" x14ac:dyDescent="0.2">
      <c r="F363" s="13"/>
      <c r="I363" s="1"/>
    </row>
    <row r="364" spans="6:9" x14ac:dyDescent="0.2">
      <c r="F364" s="13"/>
      <c r="I364" s="1"/>
    </row>
    <row r="365" spans="6:9" x14ac:dyDescent="0.2">
      <c r="F365" s="13"/>
      <c r="I365" s="1"/>
    </row>
    <row r="366" spans="6:9" x14ac:dyDescent="0.2">
      <c r="F366" s="13"/>
      <c r="I366" s="1"/>
    </row>
    <row r="367" spans="6:9" x14ac:dyDescent="0.2">
      <c r="F367" s="13"/>
      <c r="I367" s="1"/>
    </row>
    <row r="368" spans="6:9" x14ac:dyDescent="0.2">
      <c r="F368" s="13"/>
      <c r="I368" s="1"/>
    </row>
    <row r="369" spans="6:9" x14ac:dyDescent="0.2">
      <c r="F369" s="13"/>
      <c r="I369" s="1"/>
    </row>
    <row r="370" spans="6:9" x14ac:dyDescent="0.2">
      <c r="F370" s="13"/>
      <c r="I370" s="1"/>
    </row>
    <row r="371" spans="6:9" x14ac:dyDescent="0.2">
      <c r="F371" s="13"/>
      <c r="I371" s="1"/>
    </row>
    <row r="372" spans="6:9" x14ac:dyDescent="0.2">
      <c r="F372" s="13"/>
      <c r="I372" s="1"/>
    </row>
    <row r="373" spans="6:9" x14ac:dyDescent="0.2">
      <c r="F373" s="13"/>
      <c r="I373" s="1"/>
    </row>
    <row r="374" spans="6:9" x14ac:dyDescent="0.2">
      <c r="F374" s="13"/>
      <c r="I374" s="1"/>
    </row>
    <row r="375" spans="6:9" x14ac:dyDescent="0.2">
      <c r="F375" s="13"/>
      <c r="I375" s="1"/>
    </row>
    <row r="376" spans="6:9" x14ac:dyDescent="0.2">
      <c r="F376" s="13"/>
      <c r="I376" s="1"/>
    </row>
    <row r="377" spans="6:9" x14ac:dyDescent="0.2">
      <c r="F377" s="13"/>
      <c r="I377" s="1"/>
    </row>
    <row r="378" spans="6:9" x14ac:dyDescent="0.2">
      <c r="F378" s="13"/>
      <c r="I378" s="1"/>
    </row>
    <row r="379" spans="6:9" x14ac:dyDescent="0.2">
      <c r="F379" s="13"/>
      <c r="I379" s="1"/>
    </row>
    <row r="380" spans="6:9" x14ac:dyDescent="0.2">
      <c r="F380" s="13"/>
      <c r="I380" s="1"/>
    </row>
    <row r="381" spans="6:9" x14ac:dyDescent="0.2">
      <c r="F381" s="13"/>
      <c r="I381" s="1"/>
    </row>
    <row r="382" spans="6:9" x14ac:dyDescent="0.2">
      <c r="F382" s="13"/>
      <c r="I382" s="1"/>
    </row>
    <row r="383" spans="6:9" x14ac:dyDescent="0.2">
      <c r="F383" s="13"/>
      <c r="I383" s="1"/>
    </row>
    <row r="384" spans="6:9" x14ac:dyDescent="0.2">
      <c r="F384" s="13"/>
      <c r="I384" s="1"/>
    </row>
    <row r="385" spans="6:9" x14ac:dyDescent="0.2">
      <c r="F385" s="13"/>
      <c r="I385" s="1"/>
    </row>
    <row r="386" spans="6:9" x14ac:dyDescent="0.2">
      <c r="F386" s="13"/>
      <c r="I386" s="1"/>
    </row>
    <row r="387" spans="6:9" x14ac:dyDescent="0.2">
      <c r="F387" s="13"/>
      <c r="I387" s="1"/>
    </row>
    <row r="388" spans="6:9" x14ac:dyDescent="0.2">
      <c r="F388" s="13"/>
      <c r="I388" s="1"/>
    </row>
    <row r="389" spans="6:9" x14ac:dyDescent="0.2">
      <c r="F389" s="13"/>
      <c r="I389" s="1"/>
    </row>
    <row r="390" spans="6:9" x14ac:dyDescent="0.2">
      <c r="F390" s="13"/>
      <c r="I390" s="1"/>
    </row>
    <row r="391" spans="6:9" x14ac:dyDescent="0.2">
      <c r="F391" s="13"/>
      <c r="I391" s="1"/>
    </row>
    <row r="392" spans="6:9" x14ac:dyDescent="0.2">
      <c r="F392" s="13"/>
      <c r="I392" s="1"/>
    </row>
    <row r="393" spans="6:9" x14ac:dyDescent="0.2">
      <c r="F393" s="13"/>
      <c r="I393" s="1"/>
    </row>
    <row r="394" spans="6:9" x14ac:dyDescent="0.2">
      <c r="F394" s="13"/>
      <c r="I394" s="1"/>
    </row>
    <row r="395" spans="6:9" x14ac:dyDescent="0.2">
      <c r="F395" s="13"/>
      <c r="I395" s="1"/>
    </row>
    <row r="396" spans="6:9" x14ac:dyDescent="0.2">
      <c r="F396" s="13"/>
      <c r="I396" s="1"/>
    </row>
    <row r="397" spans="6:9" x14ac:dyDescent="0.2">
      <c r="F397" s="13"/>
      <c r="I397" s="1"/>
    </row>
    <row r="398" spans="6:9" x14ac:dyDescent="0.2">
      <c r="F398" s="13"/>
      <c r="I398" s="1"/>
    </row>
    <row r="399" spans="6:9" x14ac:dyDescent="0.2">
      <c r="F399" s="13"/>
      <c r="I399" s="1"/>
    </row>
    <row r="400" spans="6:9" x14ac:dyDescent="0.2">
      <c r="F400" s="13"/>
      <c r="I400" s="1"/>
    </row>
    <row r="401" spans="6:9" x14ac:dyDescent="0.2">
      <c r="F401" s="13"/>
      <c r="I401" s="1"/>
    </row>
    <row r="402" spans="6:9" x14ac:dyDescent="0.2">
      <c r="F402" s="13"/>
      <c r="I402" s="1"/>
    </row>
    <row r="403" spans="6:9" x14ac:dyDescent="0.2">
      <c r="F403" s="13"/>
      <c r="I403" s="1"/>
    </row>
    <row r="404" spans="6:9" x14ac:dyDescent="0.2">
      <c r="F404" s="13"/>
      <c r="I404" s="1"/>
    </row>
    <row r="405" spans="6:9" x14ac:dyDescent="0.2">
      <c r="F405" s="13"/>
      <c r="I405" s="1"/>
    </row>
    <row r="406" spans="6:9" x14ac:dyDescent="0.2">
      <c r="F406" s="13"/>
      <c r="I406" s="1"/>
    </row>
    <row r="407" spans="6:9" x14ac:dyDescent="0.2">
      <c r="F407" s="13"/>
      <c r="I407" s="1"/>
    </row>
    <row r="408" spans="6:9" x14ac:dyDescent="0.2">
      <c r="F408" s="13"/>
      <c r="I408" s="1"/>
    </row>
    <row r="409" spans="6:9" x14ac:dyDescent="0.2">
      <c r="F409" s="13"/>
      <c r="I409" s="1"/>
    </row>
    <row r="410" spans="6:9" x14ac:dyDescent="0.2">
      <c r="F410" s="13"/>
      <c r="I410" s="1"/>
    </row>
    <row r="411" spans="6:9" x14ac:dyDescent="0.2">
      <c r="F411" s="13"/>
      <c r="I411" s="1"/>
    </row>
    <row r="412" spans="6:9" x14ac:dyDescent="0.2">
      <c r="F412" s="13"/>
      <c r="I412" s="1"/>
    </row>
    <row r="413" spans="6:9" x14ac:dyDescent="0.2">
      <c r="F413" s="13"/>
      <c r="I413" s="1"/>
    </row>
    <row r="414" spans="6:9" x14ac:dyDescent="0.2">
      <c r="F414" s="13"/>
      <c r="I414" s="1"/>
    </row>
    <row r="415" spans="6:9" x14ac:dyDescent="0.2">
      <c r="F415" s="13"/>
      <c r="I415" s="1"/>
    </row>
    <row r="416" spans="6:9" x14ac:dyDescent="0.2">
      <c r="F416" s="13"/>
      <c r="I416" s="1"/>
    </row>
    <row r="417" spans="6:9" x14ac:dyDescent="0.2">
      <c r="F417" s="13"/>
      <c r="I417" s="1"/>
    </row>
    <row r="418" spans="6:9" x14ac:dyDescent="0.2">
      <c r="F418" s="13"/>
      <c r="I418" s="1"/>
    </row>
    <row r="419" spans="6:9" x14ac:dyDescent="0.2">
      <c r="F419" s="13"/>
      <c r="I419" s="1"/>
    </row>
    <row r="420" spans="6:9" x14ac:dyDescent="0.2">
      <c r="F420" s="13"/>
      <c r="I420" s="1"/>
    </row>
    <row r="421" spans="6:9" x14ac:dyDescent="0.2">
      <c r="F421" s="13"/>
      <c r="I421" s="1"/>
    </row>
    <row r="422" spans="6:9" x14ac:dyDescent="0.2">
      <c r="F422" s="13"/>
      <c r="I422" s="1"/>
    </row>
    <row r="423" spans="6:9" x14ac:dyDescent="0.2">
      <c r="F423" s="13"/>
      <c r="I423" s="1"/>
    </row>
    <row r="424" spans="6:9" x14ac:dyDescent="0.2">
      <c r="F424" s="13"/>
      <c r="I424" s="1"/>
    </row>
    <row r="425" spans="6:9" x14ac:dyDescent="0.2">
      <c r="F425" s="13"/>
      <c r="I425" s="1"/>
    </row>
    <row r="426" spans="6:9" x14ac:dyDescent="0.2">
      <c r="F426" s="13"/>
      <c r="I426" s="1"/>
    </row>
    <row r="427" spans="6:9" x14ac:dyDescent="0.2">
      <c r="F427" s="13"/>
      <c r="I427" s="1"/>
    </row>
    <row r="428" spans="6:9" x14ac:dyDescent="0.2">
      <c r="F428" s="13"/>
      <c r="I428" s="1"/>
    </row>
    <row r="429" spans="6:9" x14ac:dyDescent="0.2">
      <c r="F429" s="13"/>
      <c r="I429" s="1"/>
    </row>
    <row r="430" spans="6:9" x14ac:dyDescent="0.2">
      <c r="F430" s="13"/>
      <c r="I430" s="1"/>
    </row>
    <row r="431" spans="6:9" x14ac:dyDescent="0.2">
      <c r="F431" s="13"/>
      <c r="I431" s="1"/>
    </row>
    <row r="432" spans="6:9" x14ac:dyDescent="0.2">
      <c r="F432" s="13"/>
      <c r="I432" s="1"/>
    </row>
    <row r="433" spans="6:9" x14ac:dyDescent="0.2">
      <c r="F433" s="13"/>
      <c r="I433" s="1"/>
    </row>
    <row r="434" spans="6:9" x14ac:dyDescent="0.2">
      <c r="F434" s="13"/>
      <c r="I434" s="1"/>
    </row>
    <row r="435" spans="6:9" x14ac:dyDescent="0.2">
      <c r="F435" s="13"/>
      <c r="I435" s="1"/>
    </row>
    <row r="436" spans="6:9" x14ac:dyDescent="0.2">
      <c r="F436" s="13"/>
      <c r="I436" s="1"/>
    </row>
    <row r="437" spans="6:9" x14ac:dyDescent="0.2">
      <c r="F437" s="13"/>
      <c r="I437" s="1"/>
    </row>
    <row r="438" spans="6:9" x14ac:dyDescent="0.2">
      <c r="F438" s="13"/>
      <c r="I438" s="1"/>
    </row>
    <row r="439" spans="6:9" x14ac:dyDescent="0.2">
      <c r="F439" s="13"/>
      <c r="I439" s="1"/>
    </row>
    <row r="440" spans="6:9" x14ac:dyDescent="0.2">
      <c r="F440" s="13"/>
      <c r="I440" s="1"/>
    </row>
    <row r="441" spans="6:9" x14ac:dyDescent="0.2">
      <c r="F441" s="13"/>
      <c r="I441" s="1"/>
    </row>
    <row r="442" spans="6:9" x14ac:dyDescent="0.2">
      <c r="F442" s="13"/>
      <c r="I442" s="1"/>
    </row>
    <row r="443" spans="6:9" x14ac:dyDescent="0.2">
      <c r="F443" s="13"/>
      <c r="I443" s="1"/>
    </row>
    <row r="444" spans="6:9" x14ac:dyDescent="0.2">
      <c r="F444" s="13"/>
      <c r="I444" s="1"/>
    </row>
    <row r="445" spans="6:9" x14ac:dyDescent="0.2">
      <c r="F445" s="13"/>
      <c r="I445" s="1"/>
    </row>
    <row r="446" spans="6:9" x14ac:dyDescent="0.2">
      <c r="F446" s="13"/>
      <c r="I446" s="1"/>
    </row>
    <row r="447" spans="6:9" x14ac:dyDescent="0.2">
      <c r="F447" s="13"/>
      <c r="I447" s="1"/>
    </row>
    <row r="448" spans="6:9" x14ac:dyDescent="0.2">
      <c r="F448" s="13"/>
      <c r="I448" s="1"/>
    </row>
    <row r="449" spans="6:9" x14ac:dyDescent="0.2">
      <c r="F449" s="13"/>
      <c r="I449" s="1"/>
    </row>
    <row r="450" spans="6:9" x14ac:dyDescent="0.2">
      <c r="F450" s="13"/>
      <c r="I450" s="1"/>
    </row>
    <row r="451" spans="6:9" x14ac:dyDescent="0.2">
      <c r="F451" s="13"/>
      <c r="I451" s="1"/>
    </row>
    <row r="452" spans="6:9" x14ac:dyDescent="0.2">
      <c r="F452" s="13"/>
      <c r="I452" s="1"/>
    </row>
    <row r="453" spans="6:9" x14ac:dyDescent="0.2">
      <c r="F453" s="13"/>
      <c r="I453" s="1"/>
    </row>
    <row r="454" spans="6:9" x14ac:dyDescent="0.2">
      <c r="F454" s="13"/>
      <c r="I454" s="1"/>
    </row>
    <row r="455" spans="6:9" x14ac:dyDescent="0.2">
      <c r="F455" s="13"/>
      <c r="I455" s="1"/>
    </row>
    <row r="456" spans="6:9" x14ac:dyDescent="0.2">
      <c r="F456" s="13"/>
      <c r="I456" s="1"/>
    </row>
    <row r="457" spans="6:9" x14ac:dyDescent="0.2">
      <c r="F457" s="13"/>
      <c r="I457" s="1"/>
    </row>
    <row r="458" spans="6:9" x14ac:dyDescent="0.2">
      <c r="F458" s="13"/>
      <c r="I458" s="1"/>
    </row>
    <row r="459" spans="6:9" x14ac:dyDescent="0.2">
      <c r="F459" s="13"/>
      <c r="I459" s="1"/>
    </row>
    <row r="460" spans="6:9" x14ac:dyDescent="0.2">
      <c r="F460" s="13"/>
      <c r="I460" s="1"/>
    </row>
    <row r="461" spans="6:9" x14ac:dyDescent="0.2">
      <c r="F461" s="13"/>
      <c r="I461" s="1"/>
    </row>
    <row r="462" spans="6:9" x14ac:dyDescent="0.2">
      <c r="F462" s="13"/>
      <c r="I462" s="1"/>
    </row>
    <row r="463" spans="6:9" x14ac:dyDescent="0.2">
      <c r="F463" s="13"/>
      <c r="I463" s="1"/>
    </row>
    <row r="464" spans="6:9" x14ac:dyDescent="0.2">
      <c r="F464" s="13"/>
      <c r="I464" s="1"/>
    </row>
    <row r="465" spans="6:9" x14ac:dyDescent="0.2">
      <c r="F465" s="13"/>
      <c r="I465" s="1"/>
    </row>
    <row r="466" spans="6:9" x14ac:dyDescent="0.2">
      <c r="F466" s="13"/>
      <c r="I466" s="1"/>
    </row>
    <row r="467" spans="6:9" x14ac:dyDescent="0.2">
      <c r="F467" s="13"/>
      <c r="I467" s="1"/>
    </row>
    <row r="468" spans="6:9" x14ac:dyDescent="0.2">
      <c r="F468" s="13"/>
      <c r="I468" s="1"/>
    </row>
    <row r="469" spans="6:9" x14ac:dyDescent="0.2">
      <c r="F469" s="13"/>
      <c r="I469" s="1"/>
    </row>
    <row r="470" spans="6:9" x14ac:dyDescent="0.2">
      <c r="F470" s="13"/>
      <c r="I470" s="1"/>
    </row>
    <row r="471" spans="6:9" x14ac:dyDescent="0.2">
      <c r="F471" s="13"/>
      <c r="I471" s="1"/>
    </row>
    <row r="472" spans="6:9" x14ac:dyDescent="0.2">
      <c r="F472" s="13"/>
      <c r="I472" s="1"/>
    </row>
    <row r="473" spans="6:9" x14ac:dyDescent="0.2">
      <c r="F473" s="13"/>
      <c r="I473" s="1"/>
    </row>
    <row r="474" spans="6:9" x14ac:dyDescent="0.2">
      <c r="F474" s="13"/>
      <c r="I474" s="1"/>
    </row>
    <row r="475" spans="6:9" x14ac:dyDescent="0.2">
      <c r="F475" s="13"/>
      <c r="I475" s="1"/>
    </row>
    <row r="476" spans="6:9" x14ac:dyDescent="0.2">
      <c r="F476" s="13"/>
      <c r="I476" s="1"/>
    </row>
    <row r="477" spans="6:9" x14ac:dyDescent="0.2">
      <c r="F477" s="13"/>
      <c r="I477" s="1"/>
    </row>
    <row r="478" spans="6:9" x14ac:dyDescent="0.2">
      <c r="F478" s="13"/>
      <c r="I478" s="1"/>
    </row>
    <row r="479" spans="6:9" x14ac:dyDescent="0.2">
      <c r="F479" s="13"/>
      <c r="I479" s="1"/>
    </row>
    <row r="480" spans="6:9" x14ac:dyDescent="0.2">
      <c r="F480" s="13"/>
      <c r="I480" s="1"/>
    </row>
    <row r="481" spans="6:9" x14ac:dyDescent="0.2">
      <c r="F481" s="13"/>
      <c r="I481" s="1"/>
    </row>
    <row r="482" spans="6:9" x14ac:dyDescent="0.2">
      <c r="F482" s="13"/>
      <c r="I482" s="1"/>
    </row>
    <row r="483" spans="6:9" x14ac:dyDescent="0.2">
      <c r="F483" s="13"/>
      <c r="I483" s="1"/>
    </row>
    <row r="484" spans="6:9" x14ac:dyDescent="0.2">
      <c r="F484" s="13"/>
      <c r="I484" s="1"/>
    </row>
    <row r="485" spans="6:9" x14ac:dyDescent="0.2">
      <c r="F485" s="13"/>
      <c r="I485" s="1"/>
    </row>
    <row r="486" spans="6:9" x14ac:dyDescent="0.2">
      <c r="F486" s="13"/>
      <c r="I486" s="1"/>
    </row>
    <row r="487" spans="6:9" x14ac:dyDescent="0.2">
      <c r="F487" s="13"/>
      <c r="I487" s="1"/>
    </row>
    <row r="488" spans="6:9" x14ac:dyDescent="0.2">
      <c r="F488" s="13"/>
      <c r="I488" s="1"/>
    </row>
    <row r="489" spans="6:9" x14ac:dyDescent="0.2">
      <c r="F489" s="13"/>
      <c r="I489" s="1"/>
    </row>
    <row r="490" spans="6:9" x14ac:dyDescent="0.2">
      <c r="F490" s="13"/>
      <c r="I490" s="1"/>
    </row>
    <row r="491" spans="6:9" x14ac:dyDescent="0.2">
      <c r="F491" s="13"/>
      <c r="I491" s="1"/>
    </row>
    <row r="492" spans="6:9" x14ac:dyDescent="0.2">
      <c r="F492" s="13"/>
      <c r="I492" s="1"/>
    </row>
    <row r="493" spans="6:9" x14ac:dyDescent="0.2">
      <c r="F493" s="13"/>
      <c r="I493" s="1"/>
    </row>
    <row r="494" spans="6:9" x14ac:dyDescent="0.2">
      <c r="F494" s="13"/>
      <c r="I494" s="1"/>
    </row>
    <row r="495" spans="6:9" x14ac:dyDescent="0.2">
      <c r="F495" s="13"/>
      <c r="I495" s="1"/>
    </row>
    <row r="496" spans="6:9" x14ac:dyDescent="0.2">
      <c r="F496" s="13"/>
      <c r="I496" s="1"/>
    </row>
    <row r="497" spans="6:9" x14ac:dyDescent="0.2">
      <c r="F497" s="13"/>
      <c r="I497" s="1"/>
    </row>
    <row r="498" spans="6:9" x14ac:dyDescent="0.2">
      <c r="F498" s="13"/>
      <c r="I498" s="1"/>
    </row>
    <row r="499" spans="6:9" x14ac:dyDescent="0.2">
      <c r="F499" s="13"/>
      <c r="I499" s="1"/>
    </row>
    <row r="500" spans="6:9" x14ac:dyDescent="0.2">
      <c r="F500" s="13"/>
      <c r="I500" s="1"/>
    </row>
    <row r="501" spans="6:9" x14ac:dyDescent="0.2">
      <c r="F501" s="13"/>
      <c r="I501" s="1"/>
    </row>
    <row r="502" spans="6:9" x14ac:dyDescent="0.2">
      <c r="F502" s="13"/>
      <c r="I502" s="1"/>
    </row>
    <row r="503" spans="6:9" x14ac:dyDescent="0.2">
      <c r="F503" s="13"/>
      <c r="I503" s="1"/>
    </row>
    <row r="504" spans="6:9" x14ac:dyDescent="0.2">
      <c r="F504" s="13"/>
      <c r="I504" s="1"/>
    </row>
    <row r="505" spans="6:9" x14ac:dyDescent="0.2">
      <c r="F505" s="13"/>
      <c r="I505" s="1"/>
    </row>
    <row r="506" spans="6:9" x14ac:dyDescent="0.2">
      <c r="F506" s="13"/>
      <c r="I506" s="1"/>
    </row>
    <row r="507" spans="6:9" x14ac:dyDescent="0.2">
      <c r="F507" s="13"/>
      <c r="I507" s="1"/>
    </row>
    <row r="508" spans="6:9" x14ac:dyDescent="0.2">
      <c r="F508" s="13"/>
      <c r="I508" s="1"/>
    </row>
    <row r="509" spans="6:9" x14ac:dyDescent="0.2">
      <c r="F509" s="13"/>
      <c r="I509" s="1"/>
    </row>
    <row r="510" spans="6:9" x14ac:dyDescent="0.2">
      <c r="F510" s="13"/>
      <c r="I510" s="1"/>
    </row>
    <row r="511" spans="6:9" x14ac:dyDescent="0.2">
      <c r="F511" s="13"/>
      <c r="I511" s="1"/>
    </row>
    <row r="512" spans="6:9" x14ac:dyDescent="0.2">
      <c r="F512" s="13"/>
      <c r="I512" s="1"/>
    </row>
    <row r="513" spans="6:9" x14ac:dyDescent="0.2">
      <c r="F513" s="13"/>
      <c r="I513" s="1"/>
    </row>
    <row r="514" spans="6:9" x14ac:dyDescent="0.2">
      <c r="F514" s="13"/>
      <c r="I514" s="1"/>
    </row>
    <row r="515" spans="6:9" x14ac:dyDescent="0.2">
      <c r="F515" s="13"/>
      <c r="I515" s="1"/>
    </row>
    <row r="516" spans="6:9" x14ac:dyDescent="0.2">
      <c r="F516" s="13"/>
      <c r="I516" s="1"/>
    </row>
    <row r="517" spans="6:9" x14ac:dyDescent="0.2">
      <c r="F517" s="13"/>
      <c r="I517" s="1"/>
    </row>
    <row r="518" spans="6:9" x14ac:dyDescent="0.2">
      <c r="F518" s="13"/>
      <c r="I518" s="1"/>
    </row>
    <row r="519" spans="6:9" x14ac:dyDescent="0.2">
      <c r="F519" s="13"/>
      <c r="I519" s="1"/>
    </row>
    <row r="520" spans="6:9" x14ac:dyDescent="0.2">
      <c r="F520" s="13"/>
      <c r="I520" s="1"/>
    </row>
    <row r="521" spans="6:9" x14ac:dyDescent="0.2">
      <c r="F521" s="13"/>
      <c r="I521" s="1"/>
    </row>
    <row r="522" spans="6:9" x14ac:dyDescent="0.2">
      <c r="F522" s="13"/>
      <c r="I522" s="1"/>
    </row>
    <row r="523" spans="6:9" x14ac:dyDescent="0.2">
      <c r="F523" s="13"/>
      <c r="I523" s="1"/>
    </row>
    <row r="524" spans="6:9" x14ac:dyDescent="0.2">
      <c r="F524" s="13"/>
      <c r="I524" s="1"/>
    </row>
    <row r="525" spans="6:9" x14ac:dyDescent="0.2">
      <c r="F525" s="13"/>
      <c r="I525" s="1"/>
    </row>
    <row r="526" spans="6:9" x14ac:dyDescent="0.2">
      <c r="F526" s="13"/>
      <c r="I526" s="1"/>
    </row>
    <row r="527" spans="6:9" x14ac:dyDescent="0.2">
      <c r="F527" s="13"/>
      <c r="I527" s="1"/>
    </row>
    <row r="528" spans="6:9" x14ac:dyDescent="0.2">
      <c r="F528" s="13"/>
      <c r="I528" s="1"/>
    </row>
    <row r="529" spans="6:9" x14ac:dyDescent="0.2">
      <c r="F529" s="13"/>
      <c r="I529" s="1"/>
    </row>
    <row r="530" spans="6:9" x14ac:dyDescent="0.2">
      <c r="F530" s="13"/>
      <c r="I530" s="1"/>
    </row>
    <row r="531" spans="6:9" x14ac:dyDescent="0.2">
      <c r="F531" s="13"/>
      <c r="I531" s="1"/>
    </row>
    <row r="532" spans="6:9" x14ac:dyDescent="0.2">
      <c r="F532" s="13"/>
      <c r="I532" s="1"/>
    </row>
    <row r="533" spans="6:9" x14ac:dyDescent="0.2">
      <c r="F533" s="13"/>
      <c r="I533" s="1"/>
    </row>
    <row r="534" spans="6:9" x14ac:dyDescent="0.2">
      <c r="F534" s="13"/>
      <c r="I534" s="1"/>
    </row>
    <row r="535" spans="6:9" x14ac:dyDescent="0.2">
      <c r="F535" s="13"/>
      <c r="I535" s="1"/>
    </row>
    <row r="536" spans="6:9" x14ac:dyDescent="0.2">
      <c r="F536" s="13"/>
      <c r="I536" s="1"/>
    </row>
    <row r="537" spans="6:9" x14ac:dyDescent="0.2">
      <c r="F537" s="13"/>
      <c r="I537" s="1"/>
    </row>
    <row r="538" spans="6:9" x14ac:dyDescent="0.2">
      <c r="F538" s="13"/>
      <c r="I538" s="1"/>
    </row>
    <row r="539" spans="6:9" x14ac:dyDescent="0.2">
      <c r="F539" s="13"/>
      <c r="I539" s="1"/>
    </row>
    <row r="540" spans="6:9" x14ac:dyDescent="0.2">
      <c r="F540" s="13"/>
      <c r="I540" s="1"/>
    </row>
    <row r="541" spans="6:9" x14ac:dyDescent="0.2">
      <c r="F541" s="13"/>
      <c r="I541" s="1"/>
    </row>
    <row r="542" spans="6:9" x14ac:dyDescent="0.2">
      <c r="F542" s="13"/>
      <c r="I542" s="1"/>
    </row>
    <row r="543" spans="6:9" x14ac:dyDescent="0.2">
      <c r="F543" s="13"/>
      <c r="I543" s="1"/>
    </row>
    <row r="544" spans="6:9" x14ac:dyDescent="0.2">
      <c r="F544" s="13"/>
      <c r="I544" s="1"/>
    </row>
    <row r="545" spans="6:9" x14ac:dyDescent="0.2">
      <c r="F545" s="13"/>
      <c r="I545" s="1"/>
    </row>
    <row r="546" spans="6:9" x14ac:dyDescent="0.2">
      <c r="F546" s="13"/>
      <c r="I546" s="1"/>
    </row>
    <row r="547" spans="6:9" x14ac:dyDescent="0.2">
      <c r="F547" s="13"/>
      <c r="I547" s="1"/>
    </row>
    <row r="548" spans="6:9" x14ac:dyDescent="0.2">
      <c r="F548" s="13"/>
      <c r="I548" s="1"/>
    </row>
    <row r="549" spans="6:9" x14ac:dyDescent="0.2">
      <c r="F549" s="13"/>
      <c r="I549" s="1"/>
    </row>
    <row r="550" spans="6:9" x14ac:dyDescent="0.2">
      <c r="F550" s="13"/>
      <c r="I550" s="1"/>
    </row>
    <row r="551" spans="6:9" x14ac:dyDescent="0.2">
      <c r="F551" s="13"/>
      <c r="I551" s="1"/>
    </row>
    <row r="552" spans="6:9" x14ac:dyDescent="0.2">
      <c r="F552" s="13"/>
      <c r="I552" s="1"/>
    </row>
    <row r="553" spans="6:9" x14ac:dyDescent="0.2">
      <c r="F553" s="13"/>
      <c r="I553" s="1"/>
    </row>
    <row r="554" spans="6:9" x14ac:dyDescent="0.2">
      <c r="F554" s="13"/>
      <c r="I554" s="1"/>
    </row>
    <row r="555" spans="6:9" x14ac:dyDescent="0.2">
      <c r="F555" s="13"/>
      <c r="I555" s="1"/>
    </row>
    <row r="556" spans="6:9" x14ac:dyDescent="0.2">
      <c r="F556" s="13"/>
      <c r="I556" s="1"/>
    </row>
    <row r="557" spans="6:9" x14ac:dyDescent="0.2">
      <c r="F557" s="13"/>
      <c r="I557" s="1"/>
    </row>
    <row r="558" spans="6:9" x14ac:dyDescent="0.2">
      <c r="F558" s="13"/>
      <c r="I558" s="1"/>
    </row>
    <row r="559" spans="6:9" x14ac:dyDescent="0.2">
      <c r="F559" s="13"/>
      <c r="I559" s="1"/>
    </row>
    <row r="560" spans="6:9" x14ac:dyDescent="0.2">
      <c r="F560" s="13"/>
      <c r="I560" s="1"/>
    </row>
    <row r="561" spans="6:9" x14ac:dyDescent="0.2">
      <c r="F561" s="13"/>
      <c r="I561" s="1"/>
    </row>
    <row r="562" spans="6:9" x14ac:dyDescent="0.2">
      <c r="F562" s="13"/>
      <c r="I562" s="1"/>
    </row>
    <row r="563" spans="6:9" x14ac:dyDescent="0.2">
      <c r="F563" s="13"/>
      <c r="I563" s="1"/>
    </row>
    <row r="564" spans="6:9" x14ac:dyDescent="0.2">
      <c r="F564" s="13"/>
      <c r="I564" s="1"/>
    </row>
    <row r="565" spans="6:9" x14ac:dyDescent="0.2">
      <c r="F565" s="13"/>
      <c r="I565" s="1"/>
    </row>
    <row r="566" spans="6:9" x14ac:dyDescent="0.2">
      <c r="F566" s="13"/>
      <c r="I566" s="1"/>
    </row>
    <row r="567" spans="6:9" x14ac:dyDescent="0.2">
      <c r="F567" s="13"/>
      <c r="I567" s="1"/>
    </row>
    <row r="568" spans="6:9" x14ac:dyDescent="0.2">
      <c r="F568" s="13"/>
      <c r="I568" s="1"/>
    </row>
    <row r="569" spans="6:9" x14ac:dyDescent="0.2">
      <c r="F569" s="13"/>
      <c r="I569" s="1"/>
    </row>
    <row r="570" spans="6:9" x14ac:dyDescent="0.2">
      <c r="F570" s="13"/>
      <c r="I570" s="1"/>
    </row>
    <row r="571" spans="6:9" x14ac:dyDescent="0.2">
      <c r="F571" s="13"/>
      <c r="I571" s="1"/>
    </row>
    <row r="572" spans="6:9" x14ac:dyDescent="0.2">
      <c r="F572" s="13"/>
      <c r="I572" s="1"/>
    </row>
    <row r="573" spans="6:9" x14ac:dyDescent="0.2">
      <c r="F573" s="13"/>
      <c r="I573" s="1"/>
    </row>
    <row r="574" spans="6:9" x14ac:dyDescent="0.2">
      <c r="F574" s="13"/>
      <c r="I574" s="1"/>
    </row>
    <row r="575" spans="6:9" x14ac:dyDescent="0.2">
      <c r="F575" s="13"/>
      <c r="I575" s="1"/>
    </row>
    <row r="576" spans="6:9" x14ac:dyDescent="0.2">
      <c r="F576" s="13"/>
      <c r="I576" s="1"/>
    </row>
    <row r="577" spans="6:9" x14ac:dyDescent="0.2">
      <c r="F577" s="13"/>
      <c r="I577" s="1"/>
    </row>
    <row r="578" spans="6:9" x14ac:dyDescent="0.2">
      <c r="F578" s="13"/>
      <c r="I578" s="1"/>
    </row>
    <row r="579" spans="6:9" x14ac:dyDescent="0.2">
      <c r="F579" s="13"/>
      <c r="I579" s="1"/>
    </row>
    <row r="580" spans="6:9" x14ac:dyDescent="0.2">
      <c r="F580" s="13"/>
      <c r="I580" s="1"/>
    </row>
    <row r="581" spans="6:9" x14ac:dyDescent="0.2">
      <c r="F581" s="13"/>
      <c r="I581" s="1"/>
    </row>
    <row r="582" spans="6:9" x14ac:dyDescent="0.2">
      <c r="F582" s="13"/>
      <c r="I582" s="1"/>
    </row>
    <row r="583" spans="6:9" x14ac:dyDescent="0.2">
      <c r="F583" s="13"/>
      <c r="I583" s="1"/>
    </row>
    <row r="584" spans="6:9" x14ac:dyDescent="0.2">
      <c r="F584" s="13"/>
      <c r="I584" s="1"/>
    </row>
    <row r="585" spans="6:9" x14ac:dyDescent="0.2">
      <c r="F585" s="13"/>
      <c r="I585" s="1"/>
    </row>
    <row r="586" spans="6:9" x14ac:dyDescent="0.2">
      <c r="F586" s="13"/>
      <c r="I586" s="1"/>
    </row>
    <row r="587" spans="6:9" x14ac:dyDescent="0.2">
      <c r="F587" s="13"/>
      <c r="I587" s="1"/>
    </row>
    <row r="588" spans="6:9" x14ac:dyDescent="0.2">
      <c r="F588" s="13"/>
      <c r="I588" s="1"/>
    </row>
    <row r="589" spans="6:9" x14ac:dyDescent="0.2">
      <c r="F589" s="13"/>
      <c r="I589" s="1"/>
    </row>
    <row r="590" spans="6:9" x14ac:dyDescent="0.2">
      <c r="F590" s="13"/>
      <c r="I590" s="1"/>
    </row>
    <row r="591" spans="6:9" x14ac:dyDescent="0.2">
      <c r="F591" s="13"/>
      <c r="I591" s="1"/>
    </row>
    <row r="592" spans="6:9" x14ac:dyDescent="0.2">
      <c r="F592" s="13"/>
      <c r="I592" s="1"/>
    </row>
    <row r="593" spans="6:9" x14ac:dyDescent="0.2">
      <c r="F593" s="13"/>
      <c r="I593" s="1"/>
    </row>
    <row r="594" spans="6:9" x14ac:dyDescent="0.2">
      <c r="F594" s="13"/>
      <c r="I594" s="1"/>
    </row>
    <row r="595" spans="6:9" x14ac:dyDescent="0.2">
      <c r="F595" s="13"/>
      <c r="I595" s="1"/>
    </row>
    <row r="596" spans="6:9" x14ac:dyDescent="0.2">
      <c r="F596" s="13"/>
      <c r="I596" s="1"/>
    </row>
    <row r="597" spans="6:9" x14ac:dyDescent="0.2">
      <c r="F597" s="13"/>
      <c r="I597" s="1"/>
    </row>
    <row r="598" spans="6:9" x14ac:dyDescent="0.2">
      <c r="F598" s="13"/>
      <c r="I598" s="1"/>
    </row>
    <row r="599" spans="6:9" x14ac:dyDescent="0.2">
      <c r="F599" s="13"/>
      <c r="I599" s="1"/>
    </row>
    <row r="600" spans="6:9" x14ac:dyDescent="0.2">
      <c r="F600" s="13"/>
      <c r="I600" s="1"/>
    </row>
    <row r="601" spans="6:9" x14ac:dyDescent="0.2">
      <c r="F601" s="13"/>
      <c r="I601" s="1"/>
    </row>
    <row r="602" spans="6:9" x14ac:dyDescent="0.2">
      <c r="F602" s="13"/>
      <c r="I602" s="1"/>
    </row>
    <row r="603" spans="6:9" x14ac:dyDescent="0.2">
      <c r="F603" s="13"/>
      <c r="I603" s="1"/>
    </row>
    <row r="604" spans="6:9" x14ac:dyDescent="0.2">
      <c r="F604" s="13"/>
      <c r="I604" s="1"/>
    </row>
    <row r="605" spans="6:9" x14ac:dyDescent="0.2">
      <c r="F605" s="13"/>
      <c r="I605" s="1"/>
    </row>
    <row r="606" spans="6:9" x14ac:dyDescent="0.2">
      <c r="F606" s="13"/>
      <c r="I606" s="1"/>
    </row>
    <row r="607" spans="6:9" x14ac:dyDescent="0.2">
      <c r="F607" s="13"/>
      <c r="I607" s="1"/>
    </row>
    <row r="608" spans="6:9" x14ac:dyDescent="0.2">
      <c r="F608" s="13"/>
      <c r="I608" s="1"/>
    </row>
    <row r="609" spans="6:9" x14ac:dyDescent="0.2">
      <c r="F609" s="13"/>
      <c r="I609" s="1"/>
    </row>
    <row r="610" spans="6:9" x14ac:dyDescent="0.2">
      <c r="F610" s="13"/>
      <c r="I610" s="1"/>
    </row>
    <row r="611" spans="6:9" x14ac:dyDescent="0.2">
      <c r="F611" s="13"/>
      <c r="I611" s="1"/>
    </row>
    <row r="612" spans="6:9" x14ac:dyDescent="0.2">
      <c r="F612" s="13"/>
      <c r="I612" s="1"/>
    </row>
    <row r="613" spans="6:9" x14ac:dyDescent="0.2">
      <c r="F613" s="13"/>
      <c r="I613" s="1"/>
    </row>
    <row r="614" spans="6:9" x14ac:dyDescent="0.2">
      <c r="F614" s="13"/>
      <c r="I614" s="1"/>
    </row>
    <row r="615" spans="6:9" x14ac:dyDescent="0.2">
      <c r="F615" s="13"/>
      <c r="I615" s="1"/>
    </row>
    <row r="616" spans="6:9" x14ac:dyDescent="0.2">
      <c r="F616" s="13"/>
      <c r="I616" s="1"/>
    </row>
    <row r="617" spans="6:9" x14ac:dyDescent="0.2">
      <c r="F617" s="13"/>
      <c r="I617" s="1"/>
    </row>
    <row r="618" spans="6:9" x14ac:dyDescent="0.2">
      <c r="F618" s="13"/>
      <c r="I618" s="1"/>
    </row>
    <row r="619" spans="6:9" x14ac:dyDescent="0.2">
      <c r="F619" s="13"/>
      <c r="I619" s="1"/>
    </row>
    <row r="620" spans="6:9" x14ac:dyDescent="0.2">
      <c r="F620" s="13"/>
      <c r="I620" s="1"/>
    </row>
    <row r="621" spans="6:9" x14ac:dyDescent="0.2">
      <c r="F621" s="13"/>
      <c r="I621" s="1"/>
    </row>
    <row r="622" spans="6:9" x14ac:dyDescent="0.2">
      <c r="F622" s="13"/>
      <c r="I622" s="1"/>
    </row>
    <row r="623" spans="6:9" x14ac:dyDescent="0.2">
      <c r="F623" s="13"/>
      <c r="I623" s="1"/>
    </row>
    <row r="624" spans="6:9" x14ac:dyDescent="0.2">
      <c r="F624" s="13"/>
      <c r="I624" s="1"/>
    </row>
    <row r="625" spans="6:9" x14ac:dyDescent="0.2">
      <c r="F625" s="13"/>
      <c r="I625" s="1"/>
    </row>
    <row r="626" spans="6:9" x14ac:dyDescent="0.2">
      <c r="F626" s="13"/>
      <c r="I626" s="1"/>
    </row>
    <row r="627" spans="6:9" x14ac:dyDescent="0.2">
      <c r="F627" s="13"/>
      <c r="I627" s="1"/>
    </row>
    <row r="628" spans="6:9" x14ac:dyDescent="0.2">
      <c r="F628" s="13"/>
      <c r="I628" s="1"/>
    </row>
    <row r="629" spans="6:9" x14ac:dyDescent="0.2">
      <c r="F629" s="13"/>
      <c r="I629" s="1"/>
    </row>
    <row r="630" spans="6:9" x14ac:dyDescent="0.2">
      <c r="F630" s="13"/>
      <c r="I630" s="1"/>
    </row>
    <row r="631" spans="6:9" x14ac:dyDescent="0.2">
      <c r="F631" s="13"/>
      <c r="I631" s="1"/>
    </row>
    <row r="632" spans="6:9" x14ac:dyDescent="0.2">
      <c r="F632" s="13"/>
      <c r="I632" s="1"/>
    </row>
    <row r="633" spans="6:9" x14ac:dyDescent="0.2">
      <c r="F633" s="13"/>
      <c r="I633" s="1"/>
    </row>
    <row r="634" spans="6:9" x14ac:dyDescent="0.2">
      <c r="F634" s="13"/>
      <c r="I634" s="1"/>
    </row>
    <row r="635" spans="6:9" x14ac:dyDescent="0.2">
      <c r="F635" s="13"/>
      <c r="I635" s="1"/>
    </row>
    <row r="636" spans="6:9" x14ac:dyDescent="0.2">
      <c r="F636" s="13"/>
      <c r="I636" s="1"/>
    </row>
    <row r="637" spans="6:9" x14ac:dyDescent="0.2">
      <c r="F637" s="13"/>
      <c r="I637" s="1"/>
    </row>
    <row r="638" spans="6:9" x14ac:dyDescent="0.2">
      <c r="F638" s="13"/>
      <c r="I638" s="1"/>
    </row>
    <row r="639" spans="6:9" x14ac:dyDescent="0.2">
      <c r="F639" s="13"/>
      <c r="I639" s="1"/>
    </row>
    <row r="640" spans="6:9" x14ac:dyDescent="0.2">
      <c r="F640" s="13"/>
      <c r="I640" s="1"/>
    </row>
    <row r="641" spans="6:9" x14ac:dyDescent="0.2">
      <c r="F641" s="13"/>
      <c r="I641" s="1"/>
    </row>
    <row r="642" spans="6:9" x14ac:dyDescent="0.2">
      <c r="F642" s="13"/>
      <c r="I642" s="1"/>
    </row>
    <row r="643" spans="6:9" x14ac:dyDescent="0.2">
      <c r="F643" s="13"/>
      <c r="I643" s="1"/>
    </row>
    <row r="644" spans="6:9" x14ac:dyDescent="0.2">
      <c r="F644" s="13"/>
      <c r="I644" s="1"/>
    </row>
    <row r="645" spans="6:9" x14ac:dyDescent="0.2">
      <c r="F645" s="13"/>
      <c r="I645" s="1"/>
    </row>
    <row r="646" spans="6:9" x14ac:dyDescent="0.2">
      <c r="F646" s="13"/>
      <c r="I646" s="1"/>
    </row>
    <row r="647" spans="6:9" x14ac:dyDescent="0.2">
      <c r="F647" s="13"/>
      <c r="I647" s="1"/>
    </row>
    <row r="648" spans="6:9" x14ac:dyDescent="0.2">
      <c r="F648" s="13"/>
      <c r="I648" s="1"/>
    </row>
    <row r="649" spans="6:9" x14ac:dyDescent="0.2">
      <c r="F649" s="13"/>
      <c r="I649" s="1"/>
    </row>
    <row r="650" spans="6:9" x14ac:dyDescent="0.2">
      <c r="F650" s="13"/>
      <c r="I650" s="1"/>
    </row>
    <row r="651" spans="6:9" x14ac:dyDescent="0.2">
      <c r="F651" s="13"/>
      <c r="I651" s="1"/>
    </row>
    <row r="652" spans="6:9" x14ac:dyDescent="0.2">
      <c r="F652" s="13"/>
      <c r="I652" s="1"/>
    </row>
    <row r="653" spans="6:9" x14ac:dyDescent="0.2">
      <c r="F653" s="13"/>
      <c r="I653" s="1"/>
    </row>
    <row r="654" spans="6:9" x14ac:dyDescent="0.2">
      <c r="F654" s="13"/>
      <c r="I654" s="1"/>
    </row>
    <row r="655" spans="6:9" x14ac:dyDescent="0.2">
      <c r="F655" s="13"/>
      <c r="I655" s="1"/>
    </row>
    <row r="656" spans="6:9" x14ac:dyDescent="0.2">
      <c r="F656" s="13"/>
      <c r="I656" s="1"/>
    </row>
    <row r="657" spans="6:9" x14ac:dyDescent="0.2">
      <c r="F657" s="13"/>
      <c r="I657" s="1"/>
    </row>
    <row r="658" spans="6:9" x14ac:dyDescent="0.2">
      <c r="F658" s="13"/>
      <c r="I658" s="1"/>
    </row>
    <row r="659" spans="6:9" x14ac:dyDescent="0.2">
      <c r="F659" s="13"/>
      <c r="I659" s="1"/>
    </row>
    <row r="660" spans="6:9" x14ac:dyDescent="0.2">
      <c r="F660" s="13"/>
      <c r="I660" s="1"/>
    </row>
    <row r="661" spans="6:9" x14ac:dyDescent="0.2">
      <c r="F661" s="13"/>
      <c r="I661" s="1"/>
    </row>
    <row r="662" spans="6:9" x14ac:dyDescent="0.2">
      <c r="F662" s="13"/>
      <c r="I662" s="1"/>
    </row>
    <row r="663" spans="6:9" x14ac:dyDescent="0.2">
      <c r="F663" s="13"/>
      <c r="I663" s="1"/>
    </row>
    <row r="664" spans="6:9" x14ac:dyDescent="0.2">
      <c r="F664" s="13"/>
      <c r="I664" s="1"/>
    </row>
    <row r="665" spans="6:9" x14ac:dyDescent="0.2">
      <c r="F665" s="13"/>
      <c r="I665" s="1"/>
    </row>
    <row r="666" spans="6:9" x14ac:dyDescent="0.2">
      <c r="F666" s="13"/>
      <c r="I666" s="1"/>
    </row>
    <row r="667" spans="6:9" x14ac:dyDescent="0.2">
      <c r="F667" s="13"/>
      <c r="I667" s="1"/>
    </row>
    <row r="668" spans="6:9" x14ac:dyDescent="0.2">
      <c r="F668" s="13"/>
      <c r="I668" s="1"/>
    </row>
    <row r="669" spans="6:9" x14ac:dyDescent="0.2">
      <c r="F669" s="13"/>
      <c r="I669" s="1"/>
    </row>
    <row r="670" spans="6:9" x14ac:dyDescent="0.2">
      <c r="F670" s="13"/>
      <c r="I670" s="1"/>
    </row>
    <row r="671" spans="6:9" x14ac:dyDescent="0.2">
      <c r="F671" s="13"/>
      <c r="I671" s="1"/>
    </row>
    <row r="672" spans="6:9" x14ac:dyDescent="0.2">
      <c r="F672" s="13"/>
      <c r="I672" s="1"/>
    </row>
    <row r="673" spans="6:9" x14ac:dyDescent="0.2">
      <c r="F673" s="13"/>
      <c r="I673" s="1"/>
    </row>
    <row r="674" spans="6:9" x14ac:dyDescent="0.2">
      <c r="F674" s="13"/>
      <c r="I674" s="1"/>
    </row>
    <row r="675" spans="6:9" x14ac:dyDescent="0.2">
      <c r="F675" s="13"/>
      <c r="I675" s="1"/>
    </row>
    <row r="676" spans="6:9" x14ac:dyDescent="0.2">
      <c r="F676" s="13"/>
      <c r="I676" s="1"/>
    </row>
    <row r="677" spans="6:9" x14ac:dyDescent="0.2">
      <c r="F677" s="13"/>
      <c r="I677" s="1"/>
    </row>
    <row r="678" spans="6:9" x14ac:dyDescent="0.2">
      <c r="F678" s="13"/>
      <c r="I678" s="1"/>
    </row>
    <row r="679" spans="6:9" x14ac:dyDescent="0.2">
      <c r="F679" s="13"/>
      <c r="I679" s="1"/>
    </row>
    <row r="680" spans="6:9" x14ac:dyDescent="0.2">
      <c r="F680" s="13"/>
      <c r="I680" s="1"/>
    </row>
    <row r="681" spans="6:9" x14ac:dyDescent="0.2">
      <c r="F681" s="13"/>
      <c r="I681" s="1"/>
    </row>
    <row r="682" spans="6:9" x14ac:dyDescent="0.2">
      <c r="F682" s="13"/>
      <c r="I682" s="1"/>
    </row>
    <row r="683" spans="6:9" x14ac:dyDescent="0.2">
      <c r="F683" s="13"/>
      <c r="I683" s="1"/>
    </row>
    <row r="684" spans="6:9" x14ac:dyDescent="0.2">
      <c r="F684" s="13"/>
      <c r="I684" s="1"/>
    </row>
    <row r="685" spans="6:9" x14ac:dyDescent="0.2">
      <c r="F685" s="13"/>
      <c r="I685" s="1"/>
    </row>
    <row r="686" spans="6:9" x14ac:dyDescent="0.2">
      <c r="F686" s="13"/>
      <c r="I686" s="1"/>
    </row>
    <row r="687" spans="6:9" x14ac:dyDescent="0.2">
      <c r="F687" s="13"/>
      <c r="I687" s="1"/>
    </row>
    <row r="688" spans="6:9" x14ac:dyDescent="0.2">
      <c r="F688" s="13"/>
      <c r="I688" s="1"/>
    </row>
    <row r="689" spans="6:9" x14ac:dyDescent="0.2">
      <c r="F689" s="13"/>
      <c r="I689" s="1"/>
    </row>
    <row r="690" spans="6:9" x14ac:dyDescent="0.2">
      <c r="F690" s="13"/>
      <c r="I690" s="1"/>
    </row>
    <row r="691" spans="6:9" x14ac:dyDescent="0.2">
      <c r="F691" s="13"/>
      <c r="I691" s="1"/>
    </row>
    <row r="692" spans="6:9" x14ac:dyDescent="0.2">
      <c r="F692" s="13"/>
      <c r="I692" s="1"/>
    </row>
    <row r="693" spans="6:9" x14ac:dyDescent="0.2">
      <c r="F693" s="13"/>
      <c r="I693" s="1"/>
    </row>
    <row r="694" spans="6:9" x14ac:dyDescent="0.2">
      <c r="F694" s="13"/>
      <c r="I694" s="1"/>
    </row>
    <row r="695" spans="6:9" x14ac:dyDescent="0.2">
      <c r="F695" s="13"/>
      <c r="I695" s="1"/>
    </row>
    <row r="696" spans="6:9" x14ac:dyDescent="0.2">
      <c r="F696" s="13"/>
      <c r="I696" s="1"/>
    </row>
    <row r="697" spans="6:9" x14ac:dyDescent="0.2">
      <c r="F697" s="13"/>
      <c r="I697" s="1"/>
    </row>
    <row r="698" spans="6:9" x14ac:dyDescent="0.2">
      <c r="F698" s="13"/>
      <c r="I698" s="1"/>
    </row>
    <row r="699" spans="6:9" x14ac:dyDescent="0.2">
      <c r="F699" s="13"/>
      <c r="I699" s="1"/>
    </row>
    <row r="700" spans="6:9" x14ac:dyDescent="0.2">
      <c r="F700" s="13"/>
      <c r="I700" s="1"/>
    </row>
    <row r="701" spans="6:9" x14ac:dyDescent="0.2">
      <c r="F701" s="13"/>
      <c r="I701" s="1"/>
    </row>
    <row r="702" spans="6:9" x14ac:dyDescent="0.2">
      <c r="F702" s="13"/>
      <c r="I702" s="1"/>
    </row>
    <row r="703" spans="6:9" x14ac:dyDescent="0.2">
      <c r="F703" s="13"/>
      <c r="I703" s="1"/>
    </row>
    <row r="704" spans="6:9" x14ac:dyDescent="0.2">
      <c r="F704" s="13"/>
      <c r="I704" s="1"/>
    </row>
    <row r="705" spans="6:9" x14ac:dyDescent="0.2">
      <c r="F705" s="13"/>
      <c r="I705" s="1"/>
    </row>
    <row r="706" spans="6:9" x14ac:dyDescent="0.2">
      <c r="F706" s="13"/>
      <c r="I706" s="1"/>
    </row>
    <row r="707" spans="6:9" x14ac:dyDescent="0.2">
      <c r="F707" s="13"/>
      <c r="I707" s="1"/>
    </row>
    <row r="708" spans="6:9" x14ac:dyDescent="0.2">
      <c r="F708" s="13"/>
      <c r="I708" s="1"/>
    </row>
    <row r="709" spans="6:9" x14ac:dyDescent="0.2">
      <c r="F709" s="13"/>
      <c r="I709" s="1"/>
    </row>
    <row r="710" spans="6:9" x14ac:dyDescent="0.2">
      <c r="F710" s="13"/>
      <c r="I710" s="1"/>
    </row>
    <row r="711" spans="6:9" x14ac:dyDescent="0.2">
      <c r="F711" s="13"/>
      <c r="I711" s="1"/>
    </row>
    <row r="712" spans="6:9" x14ac:dyDescent="0.2">
      <c r="F712" s="13"/>
      <c r="I712" s="1"/>
    </row>
    <row r="713" spans="6:9" x14ac:dyDescent="0.2">
      <c r="F713" s="13"/>
      <c r="I713" s="1"/>
    </row>
    <row r="714" spans="6:9" x14ac:dyDescent="0.2">
      <c r="F714" s="13"/>
      <c r="I714" s="1"/>
    </row>
    <row r="715" spans="6:9" x14ac:dyDescent="0.2">
      <c r="F715" s="13"/>
      <c r="I715" s="1"/>
    </row>
    <row r="716" spans="6:9" x14ac:dyDescent="0.2">
      <c r="F716" s="13"/>
      <c r="I716" s="1"/>
    </row>
    <row r="717" spans="6:9" x14ac:dyDescent="0.2">
      <c r="F717" s="13"/>
      <c r="I717" s="1"/>
    </row>
    <row r="718" spans="6:9" x14ac:dyDescent="0.2">
      <c r="F718" s="13"/>
      <c r="I718" s="1"/>
    </row>
    <row r="719" spans="6:9" x14ac:dyDescent="0.2">
      <c r="F719" s="13"/>
      <c r="I719" s="1"/>
    </row>
    <row r="720" spans="6:9" x14ac:dyDescent="0.2">
      <c r="F720" s="13"/>
      <c r="I720" s="1"/>
    </row>
    <row r="721" spans="6:9" x14ac:dyDescent="0.2">
      <c r="F721" s="13"/>
      <c r="I721" s="1"/>
    </row>
    <row r="722" spans="6:9" x14ac:dyDescent="0.2">
      <c r="F722" s="13"/>
      <c r="I722" s="1"/>
    </row>
    <row r="723" spans="6:9" x14ac:dyDescent="0.2">
      <c r="F723" s="13"/>
      <c r="I723" s="1"/>
    </row>
    <row r="724" spans="6:9" x14ac:dyDescent="0.2">
      <c r="F724" s="13"/>
      <c r="I724" s="1"/>
    </row>
    <row r="725" spans="6:9" x14ac:dyDescent="0.2">
      <c r="F725" s="13"/>
      <c r="I725" s="1"/>
    </row>
    <row r="726" spans="6:9" x14ac:dyDescent="0.2">
      <c r="F726" s="13"/>
      <c r="I726" s="1"/>
    </row>
    <row r="727" spans="6:9" x14ac:dyDescent="0.2">
      <c r="F727" s="13"/>
      <c r="I727" s="1"/>
    </row>
    <row r="728" spans="6:9" x14ac:dyDescent="0.2">
      <c r="F728" s="13"/>
      <c r="I728" s="1"/>
    </row>
    <row r="729" spans="6:9" x14ac:dyDescent="0.2">
      <c r="F729" s="13"/>
      <c r="I729" s="1"/>
    </row>
    <row r="730" spans="6:9" x14ac:dyDescent="0.2">
      <c r="F730" s="13"/>
      <c r="I730" s="1"/>
    </row>
    <row r="731" spans="6:9" x14ac:dyDescent="0.2">
      <c r="F731" s="13"/>
      <c r="I731" s="1"/>
    </row>
    <row r="732" spans="6:9" x14ac:dyDescent="0.2">
      <c r="F732" s="13"/>
      <c r="I732" s="1"/>
    </row>
    <row r="733" spans="6:9" x14ac:dyDescent="0.2">
      <c r="F733" s="13"/>
      <c r="I733" s="1"/>
    </row>
    <row r="734" spans="6:9" x14ac:dyDescent="0.2">
      <c r="F734" s="13"/>
      <c r="I734" s="1"/>
    </row>
    <row r="735" spans="6:9" x14ac:dyDescent="0.2">
      <c r="F735" s="13"/>
      <c r="I735" s="1"/>
    </row>
    <row r="736" spans="6:9" x14ac:dyDescent="0.2">
      <c r="F736" s="13"/>
      <c r="I736" s="1"/>
    </row>
    <row r="737" spans="6:9" x14ac:dyDescent="0.2">
      <c r="F737" s="13"/>
      <c r="I737" s="1"/>
    </row>
    <row r="738" spans="6:9" x14ac:dyDescent="0.2">
      <c r="F738" s="13"/>
      <c r="I738" s="1"/>
    </row>
    <row r="739" spans="6:9" x14ac:dyDescent="0.2">
      <c r="F739" s="13"/>
      <c r="I739" s="1"/>
    </row>
    <row r="740" spans="6:9" x14ac:dyDescent="0.2">
      <c r="F740" s="13"/>
      <c r="I740" s="1"/>
    </row>
    <row r="741" spans="6:9" x14ac:dyDescent="0.2">
      <c r="F741" s="13"/>
      <c r="I741" s="1"/>
    </row>
    <row r="742" spans="6:9" x14ac:dyDescent="0.2">
      <c r="F742" s="13"/>
      <c r="I742" s="1"/>
    </row>
    <row r="743" spans="6:9" x14ac:dyDescent="0.2">
      <c r="F743" s="13"/>
      <c r="I743" s="1"/>
    </row>
    <row r="744" spans="6:9" x14ac:dyDescent="0.2">
      <c r="F744" s="13"/>
      <c r="I744" s="1"/>
    </row>
    <row r="745" spans="6:9" x14ac:dyDescent="0.2">
      <c r="F745" s="13"/>
      <c r="I745" s="1"/>
    </row>
    <row r="746" spans="6:9" x14ac:dyDescent="0.2">
      <c r="F746" s="13"/>
      <c r="I746" s="1"/>
    </row>
    <row r="747" spans="6:9" x14ac:dyDescent="0.2">
      <c r="F747" s="13"/>
      <c r="I747" s="1"/>
    </row>
    <row r="748" spans="6:9" x14ac:dyDescent="0.2">
      <c r="F748" s="13"/>
      <c r="I748" s="1"/>
    </row>
    <row r="749" spans="6:9" x14ac:dyDescent="0.2">
      <c r="F749" s="13"/>
      <c r="I749" s="1"/>
    </row>
    <row r="750" spans="6:9" x14ac:dyDescent="0.2">
      <c r="F750" s="13"/>
      <c r="I750" s="1"/>
    </row>
    <row r="751" spans="6:9" x14ac:dyDescent="0.2">
      <c r="F751" s="13"/>
      <c r="I751" s="1"/>
    </row>
    <row r="752" spans="6:9" x14ac:dyDescent="0.2">
      <c r="F752" s="13"/>
      <c r="I752" s="1"/>
    </row>
    <row r="753" spans="6:9" x14ac:dyDescent="0.2">
      <c r="F753" s="13"/>
      <c r="I753" s="1"/>
    </row>
    <row r="754" spans="6:9" x14ac:dyDescent="0.2">
      <c r="F754" s="13"/>
      <c r="I754" s="1"/>
    </row>
    <row r="755" spans="6:9" x14ac:dyDescent="0.2">
      <c r="F755" s="13"/>
      <c r="I755" s="1"/>
    </row>
    <row r="756" spans="6:9" x14ac:dyDescent="0.2">
      <c r="F756" s="13"/>
      <c r="I756" s="1"/>
    </row>
    <row r="757" spans="6:9" x14ac:dyDescent="0.2">
      <c r="F757" s="13"/>
      <c r="I757" s="1"/>
    </row>
    <row r="758" spans="6:9" x14ac:dyDescent="0.2">
      <c r="F758" s="13"/>
      <c r="I758" s="1"/>
    </row>
    <row r="759" spans="6:9" x14ac:dyDescent="0.2">
      <c r="F759" s="13"/>
      <c r="I759" s="1"/>
    </row>
    <row r="760" spans="6:9" x14ac:dyDescent="0.2">
      <c r="F760" s="13"/>
      <c r="I760" s="1"/>
    </row>
    <row r="761" spans="6:9" x14ac:dyDescent="0.2">
      <c r="F761" s="13"/>
      <c r="I761" s="1"/>
    </row>
    <row r="762" spans="6:9" x14ac:dyDescent="0.2">
      <c r="F762" s="13"/>
      <c r="I762" s="1"/>
    </row>
    <row r="763" spans="6:9" x14ac:dyDescent="0.2">
      <c r="F763" s="13"/>
      <c r="I763" s="1"/>
    </row>
    <row r="764" spans="6:9" x14ac:dyDescent="0.2">
      <c r="F764" s="13"/>
      <c r="I764" s="1"/>
    </row>
    <row r="765" spans="6:9" x14ac:dyDescent="0.2">
      <c r="F765" s="13"/>
      <c r="I765" s="1"/>
    </row>
    <row r="766" spans="6:9" x14ac:dyDescent="0.2">
      <c r="F766" s="13"/>
      <c r="I766" s="1"/>
    </row>
    <row r="767" spans="6:9" x14ac:dyDescent="0.2">
      <c r="F767" s="13"/>
      <c r="I767" s="1"/>
    </row>
    <row r="768" spans="6:9" x14ac:dyDescent="0.2">
      <c r="F768" s="13"/>
      <c r="I768" s="1"/>
    </row>
    <row r="769" spans="6:9" x14ac:dyDescent="0.2">
      <c r="F769" s="13"/>
      <c r="I769" s="1"/>
    </row>
    <row r="770" spans="6:9" x14ac:dyDescent="0.2">
      <c r="F770" s="13"/>
      <c r="I770" s="1"/>
    </row>
    <row r="771" spans="6:9" x14ac:dyDescent="0.2">
      <c r="F771" s="13"/>
      <c r="I771" s="1"/>
    </row>
    <row r="772" spans="6:9" x14ac:dyDescent="0.2">
      <c r="F772" s="13"/>
      <c r="I772" s="1"/>
    </row>
    <row r="773" spans="6:9" x14ac:dyDescent="0.2">
      <c r="F773" s="13"/>
      <c r="I773" s="1"/>
    </row>
    <row r="774" spans="6:9" x14ac:dyDescent="0.2">
      <c r="F774" s="13"/>
      <c r="I774" s="1"/>
    </row>
    <row r="775" spans="6:9" x14ac:dyDescent="0.2">
      <c r="F775" s="13"/>
      <c r="I775" s="1"/>
    </row>
    <row r="776" spans="6:9" x14ac:dyDescent="0.2">
      <c r="F776" s="13"/>
      <c r="I776" s="1"/>
    </row>
    <row r="777" spans="6:9" x14ac:dyDescent="0.2">
      <c r="F777" s="13"/>
      <c r="I777" s="1"/>
    </row>
    <row r="778" spans="6:9" x14ac:dyDescent="0.2">
      <c r="F778" s="13"/>
      <c r="I778" s="1"/>
    </row>
    <row r="779" spans="6:9" x14ac:dyDescent="0.2">
      <c r="F779" s="13"/>
      <c r="I779" s="1"/>
    </row>
    <row r="780" spans="6:9" x14ac:dyDescent="0.2">
      <c r="F780" s="13"/>
      <c r="I780" s="1"/>
    </row>
    <row r="781" spans="6:9" x14ac:dyDescent="0.2">
      <c r="F781" s="13"/>
      <c r="I781" s="1"/>
    </row>
    <row r="782" spans="6:9" x14ac:dyDescent="0.2">
      <c r="F782" s="13"/>
      <c r="I782" s="1"/>
    </row>
    <row r="783" spans="6:9" x14ac:dyDescent="0.2">
      <c r="F783" s="13"/>
      <c r="I783" s="1"/>
    </row>
    <row r="784" spans="6:9" x14ac:dyDescent="0.2">
      <c r="F784" s="13"/>
      <c r="I784" s="1"/>
    </row>
    <row r="785" spans="6:9" x14ac:dyDescent="0.2">
      <c r="F785" s="13"/>
      <c r="I785" s="1"/>
    </row>
    <row r="786" spans="6:9" x14ac:dyDescent="0.2">
      <c r="F786" s="13"/>
      <c r="I786" s="1"/>
    </row>
    <row r="787" spans="6:9" x14ac:dyDescent="0.2">
      <c r="F787" s="13"/>
      <c r="I787" s="1"/>
    </row>
    <row r="788" spans="6:9" x14ac:dyDescent="0.2">
      <c r="F788" s="13"/>
      <c r="I788" s="1"/>
    </row>
    <row r="789" spans="6:9" x14ac:dyDescent="0.2">
      <c r="F789" s="13"/>
      <c r="I789" s="1"/>
    </row>
    <row r="790" spans="6:9" x14ac:dyDescent="0.2">
      <c r="F790" s="13"/>
      <c r="I790" s="1"/>
    </row>
    <row r="791" spans="6:9" x14ac:dyDescent="0.2">
      <c r="F791" s="13"/>
      <c r="I791" s="1"/>
    </row>
    <row r="792" spans="6:9" x14ac:dyDescent="0.2">
      <c r="F792" s="13"/>
      <c r="I792" s="1"/>
    </row>
    <row r="793" spans="6:9" x14ac:dyDescent="0.2">
      <c r="F793" s="13"/>
      <c r="I793" s="1"/>
    </row>
    <row r="794" spans="6:9" x14ac:dyDescent="0.2">
      <c r="F794" s="13"/>
      <c r="I794" s="1"/>
    </row>
    <row r="795" spans="6:9" x14ac:dyDescent="0.2">
      <c r="F795" s="13"/>
      <c r="I795" s="1"/>
    </row>
    <row r="796" spans="6:9" x14ac:dyDescent="0.2">
      <c r="F796" s="13"/>
      <c r="I796" s="1"/>
    </row>
    <row r="797" spans="6:9" x14ac:dyDescent="0.2">
      <c r="F797" s="13"/>
      <c r="I797" s="1"/>
    </row>
    <row r="798" spans="6:9" x14ac:dyDescent="0.2">
      <c r="F798" s="13"/>
      <c r="I798" s="1"/>
    </row>
    <row r="799" spans="6:9" x14ac:dyDescent="0.2">
      <c r="F799" s="13"/>
      <c r="I799" s="1"/>
    </row>
    <row r="800" spans="6:9" x14ac:dyDescent="0.2">
      <c r="F800" s="13"/>
      <c r="I800" s="1"/>
    </row>
    <row r="801" spans="6:9" x14ac:dyDescent="0.2">
      <c r="F801" s="13"/>
      <c r="I801" s="1"/>
    </row>
    <row r="802" spans="6:9" x14ac:dyDescent="0.2">
      <c r="F802" s="13"/>
      <c r="I802" s="1"/>
    </row>
    <row r="803" spans="6:9" x14ac:dyDescent="0.2">
      <c r="F803" s="13"/>
      <c r="I803" s="1"/>
    </row>
    <row r="804" spans="6:9" x14ac:dyDescent="0.2">
      <c r="F804" s="13"/>
      <c r="I804" s="1"/>
    </row>
    <row r="805" spans="6:9" x14ac:dyDescent="0.2">
      <c r="F805" s="13"/>
      <c r="I805" s="1"/>
    </row>
    <row r="806" spans="6:9" x14ac:dyDescent="0.2">
      <c r="F806" s="13"/>
      <c r="I806" s="1"/>
    </row>
    <row r="807" spans="6:9" x14ac:dyDescent="0.2">
      <c r="F807" s="13"/>
      <c r="I807" s="1"/>
    </row>
    <row r="808" spans="6:9" x14ac:dyDescent="0.2">
      <c r="F808" s="13"/>
      <c r="I808" s="1"/>
    </row>
    <row r="809" spans="6:9" x14ac:dyDescent="0.2">
      <c r="F809" s="13"/>
      <c r="I809" s="1"/>
    </row>
    <row r="810" spans="6:9" x14ac:dyDescent="0.2">
      <c r="F810" s="13"/>
      <c r="I810" s="1"/>
    </row>
    <row r="811" spans="6:9" x14ac:dyDescent="0.2">
      <c r="F811" s="13"/>
      <c r="I811" s="1"/>
    </row>
    <row r="812" spans="6:9" x14ac:dyDescent="0.2">
      <c r="F812" s="13"/>
      <c r="I812" s="1"/>
    </row>
    <row r="813" spans="6:9" x14ac:dyDescent="0.2">
      <c r="F813" s="13"/>
      <c r="I813" s="1"/>
    </row>
    <row r="814" spans="6:9" x14ac:dyDescent="0.2">
      <c r="F814" s="13"/>
      <c r="I814" s="1"/>
    </row>
    <row r="815" spans="6:9" x14ac:dyDescent="0.2">
      <c r="F815" s="13"/>
      <c r="I815" s="1"/>
    </row>
    <row r="816" spans="6:9" x14ac:dyDescent="0.2">
      <c r="F816" s="13"/>
      <c r="I816" s="1"/>
    </row>
    <row r="817" spans="6:9" x14ac:dyDescent="0.2">
      <c r="F817" s="13"/>
      <c r="I817" s="1"/>
    </row>
    <row r="818" spans="6:9" x14ac:dyDescent="0.2">
      <c r="F818" s="13"/>
      <c r="I818" s="1"/>
    </row>
    <row r="819" spans="6:9" x14ac:dyDescent="0.2">
      <c r="F819" s="13"/>
      <c r="I819" s="1"/>
    </row>
    <row r="820" spans="6:9" x14ac:dyDescent="0.2">
      <c r="F820" s="13"/>
      <c r="I820" s="1"/>
    </row>
    <row r="821" spans="6:9" x14ac:dyDescent="0.2">
      <c r="F821" s="13"/>
      <c r="I821" s="1"/>
    </row>
    <row r="822" spans="6:9" x14ac:dyDescent="0.2">
      <c r="F822" s="13"/>
      <c r="I822" s="1"/>
    </row>
    <row r="823" spans="6:9" x14ac:dyDescent="0.2">
      <c r="F823" s="13"/>
      <c r="I823" s="1"/>
    </row>
    <row r="824" spans="6:9" x14ac:dyDescent="0.2">
      <c r="F824" s="13"/>
      <c r="I824" s="1"/>
    </row>
    <row r="825" spans="6:9" x14ac:dyDescent="0.2">
      <c r="F825" s="13"/>
      <c r="I825" s="1"/>
    </row>
    <row r="826" spans="6:9" x14ac:dyDescent="0.2">
      <c r="F826" s="13"/>
      <c r="I826" s="1"/>
    </row>
    <row r="827" spans="6:9" x14ac:dyDescent="0.2">
      <c r="F827" s="13"/>
      <c r="I827" s="1"/>
    </row>
    <row r="828" spans="6:9" x14ac:dyDescent="0.2">
      <c r="F828" s="13"/>
      <c r="I828" s="1"/>
    </row>
    <row r="829" spans="6:9" x14ac:dyDescent="0.2">
      <c r="F829" s="13"/>
      <c r="I829" s="1"/>
    </row>
    <row r="830" spans="6:9" x14ac:dyDescent="0.2">
      <c r="F830" s="13"/>
      <c r="I830" s="1"/>
    </row>
    <row r="831" spans="6:9" x14ac:dyDescent="0.2">
      <c r="F831" s="13"/>
      <c r="I831" s="1"/>
    </row>
    <row r="832" spans="6:9" x14ac:dyDescent="0.2">
      <c r="F832" s="13"/>
      <c r="I832" s="1"/>
    </row>
    <row r="833" spans="6:9" x14ac:dyDescent="0.2">
      <c r="F833" s="13"/>
      <c r="I833" s="1"/>
    </row>
    <row r="834" spans="6:9" x14ac:dyDescent="0.2">
      <c r="F834" s="13"/>
      <c r="I834" s="1"/>
    </row>
    <row r="835" spans="6:9" x14ac:dyDescent="0.2">
      <c r="F835" s="13"/>
      <c r="I835" s="1"/>
    </row>
    <row r="836" spans="6:9" x14ac:dyDescent="0.2">
      <c r="F836" s="13"/>
      <c r="I836" s="1"/>
    </row>
    <row r="837" spans="6:9" x14ac:dyDescent="0.2">
      <c r="F837" s="13"/>
      <c r="I837" s="1"/>
    </row>
    <row r="838" spans="6:9" x14ac:dyDescent="0.2">
      <c r="F838" s="13"/>
      <c r="I838" s="1"/>
    </row>
    <row r="839" spans="6:9" x14ac:dyDescent="0.2">
      <c r="F839" s="13"/>
      <c r="I839" s="1"/>
    </row>
    <row r="840" spans="6:9" x14ac:dyDescent="0.2">
      <c r="F840" s="13"/>
      <c r="I840" s="1"/>
    </row>
    <row r="841" spans="6:9" x14ac:dyDescent="0.2">
      <c r="F841" s="13"/>
      <c r="I841" s="1"/>
    </row>
    <row r="842" spans="6:9" x14ac:dyDescent="0.2">
      <c r="F842" s="13"/>
      <c r="I842" s="1"/>
    </row>
    <row r="843" spans="6:9" x14ac:dyDescent="0.2">
      <c r="F843" s="13"/>
      <c r="I843" s="1"/>
    </row>
    <row r="844" spans="6:9" x14ac:dyDescent="0.2">
      <c r="F844" s="13"/>
      <c r="I844" s="1"/>
    </row>
    <row r="845" spans="6:9" x14ac:dyDescent="0.2">
      <c r="F845" s="13"/>
      <c r="I845" s="1"/>
    </row>
    <row r="846" spans="6:9" x14ac:dyDescent="0.2">
      <c r="F846" s="13"/>
      <c r="I846" s="1"/>
    </row>
    <row r="847" spans="6:9" x14ac:dyDescent="0.2">
      <c r="F847" s="13"/>
      <c r="I847" s="1"/>
    </row>
    <row r="848" spans="6:9" x14ac:dyDescent="0.2">
      <c r="F848" s="13"/>
      <c r="I848"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calcularDashboardOrders">
                <anchor moveWithCells="1" sizeWithCells="1">
                  <from>
                    <xdr:col>9</xdr:col>
                    <xdr:colOff>0</xdr:colOff>
                    <xdr:row>1</xdr:row>
                    <xdr:rowOff>215900</xdr:rowOff>
                  </from>
                  <to>
                    <xdr:col>10</xdr:col>
                    <xdr:colOff>0</xdr:colOff>
                    <xdr:row>3</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AA4EB-B6C3-9C4B-98B1-95DEEB689D71}">
  <sheetPr codeName="Hoja14"/>
  <dimension ref="B2:J42"/>
  <sheetViews>
    <sheetView topLeftCell="B1" zoomScale="125" workbookViewId="0">
      <selection activeCell="H18" sqref="H18"/>
    </sheetView>
  </sheetViews>
  <sheetFormatPr baseColWidth="10" defaultRowHeight="16" x14ac:dyDescent="0.2"/>
  <cols>
    <col min="3" max="3" width="29.83203125" bestFit="1" customWidth="1"/>
    <col min="7" max="7" width="16" bestFit="1" customWidth="1"/>
  </cols>
  <sheetData>
    <row r="2" spans="2:9" ht="17" thickBot="1" x14ac:dyDescent="0.25"/>
    <row r="3" spans="2:9" ht="17" thickBot="1" x14ac:dyDescent="0.25">
      <c r="C3" s="28" t="s">
        <v>1477</v>
      </c>
      <c r="E3" s="32" t="s">
        <v>1483</v>
      </c>
      <c r="F3" s="29">
        <v>35250</v>
      </c>
      <c r="G3" s="31" t="s">
        <v>1484</v>
      </c>
      <c r="H3" s="30">
        <v>35947</v>
      </c>
    </row>
    <row r="4" spans="2:9" ht="17" thickBot="1" x14ac:dyDescent="0.25"/>
    <row r="5" spans="2:9" ht="17" thickBot="1" x14ac:dyDescent="0.25">
      <c r="B5" s="32" t="s">
        <v>1478</v>
      </c>
      <c r="C5" s="24"/>
      <c r="D5" s="74">
        <v>830</v>
      </c>
    </row>
    <row r="6" spans="2:9" ht="17" thickBot="1" x14ac:dyDescent="0.25"/>
    <row r="7" spans="2:9" x14ac:dyDescent="0.2">
      <c r="B7" s="33" t="s">
        <v>1479</v>
      </c>
      <c r="C7" s="34" t="s">
        <v>1162</v>
      </c>
      <c r="D7" s="35" t="s">
        <v>1480</v>
      </c>
      <c r="F7" s="33" t="s">
        <v>1481</v>
      </c>
      <c r="G7" s="34" t="s">
        <v>1162</v>
      </c>
      <c r="H7" s="34" t="s">
        <v>1480</v>
      </c>
      <c r="I7" s="35" t="s">
        <v>1482</v>
      </c>
    </row>
    <row r="8" spans="2:9" x14ac:dyDescent="0.2">
      <c r="B8" s="60" t="s">
        <v>1496</v>
      </c>
      <c r="C8" s="61"/>
      <c r="D8" s="62"/>
      <c r="F8" s="65"/>
      <c r="G8" s="63"/>
      <c r="H8" s="63"/>
      <c r="I8" s="64"/>
    </row>
    <row r="9" spans="2:9" x14ac:dyDescent="0.2">
      <c r="B9" s="75" t="s">
        <v>226</v>
      </c>
      <c r="C9" s="76" t="s">
        <v>227</v>
      </c>
      <c r="D9" s="77">
        <v>31</v>
      </c>
      <c r="F9" s="65"/>
      <c r="G9" s="63"/>
      <c r="H9" s="63"/>
      <c r="I9" s="64"/>
    </row>
    <row r="10" spans="2:9" x14ac:dyDescent="0.2">
      <c r="B10" s="75" t="s">
        <v>63</v>
      </c>
      <c r="C10" s="76" t="s">
        <v>64</v>
      </c>
      <c r="D10" s="77">
        <v>30</v>
      </c>
      <c r="F10" s="65"/>
      <c r="G10" s="63"/>
      <c r="H10" s="63"/>
      <c r="I10" s="64"/>
    </row>
    <row r="11" spans="2:9" x14ac:dyDescent="0.2">
      <c r="B11" s="75" t="s">
        <v>121</v>
      </c>
      <c r="C11" s="76" t="s">
        <v>122</v>
      </c>
      <c r="D11" s="77">
        <v>28</v>
      </c>
      <c r="F11" s="65"/>
      <c r="G11" s="63"/>
      <c r="H11" s="63"/>
      <c r="I11" s="64"/>
    </row>
    <row r="12" spans="2:9" x14ac:dyDescent="0.2">
      <c r="B12" s="75" t="s">
        <v>87</v>
      </c>
      <c r="C12" s="76" t="s">
        <v>88</v>
      </c>
      <c r="D12" s="77">
        <v>19</v>
      </c>
      <c r="F12" s="65"/>
      <c r="G12" s="63"/>
      <c r="H12" s="63"/>
      <c r="I12" s="64"/>
    </row>
    <row r="13" spans="2:9" x14ac:dyDescent="0.2">
      <c r="B13" s="75" t="s">
        <v>179</v>
      </c>
      <c r="C13" s="76" t="s">
        <v>180</v>
      </c>
      <c r="D13" s="77">
        <v>19</v>
      </c>
      <c r="E13" t="s">
        <v>1490</v>
      </c>
      <c r="F13" s="65"/>
      <c r="G13" s="63"/>
      <c r="H13" s="63"/>
      <c r="I13" s="64"/>
    </row>
    <row r="14" spans="2:9" x14ac:dyDescent="0.2">
      <c r="B14" s="75" t="s">
        <v>137</v>
      </c>
      <c r="C14" s="76" t="s">
        <v>138</v>
      </c>
      <c r="D14" s="77">
        <v>18</v>
      </c>
      <c r="F14" s="65"/>
      <c r="G14" s="63"/>
      <c r="H14" s="63"/>
      <c r="I14" s="64"/>
    </row>
    <row r="15" spans="2:9" x14ac:dyDescent="0.2">
      <c r="B15" s="75" t="s">
        <v>57</v>
      </c>
      <c r="C15" s="76" t="s">
        <v>58</v>
      </c>
      <c r="D15" s="77">
        <v>18</v>
      </c>
      <c r="F15" s="65"/>
      <c r="G15" s="63"/>
      <c r="H15" s="63"/>
      <c r="I15" s="64"/>
    </row>
    <row r="16" spans="2:9" ht="17" thickBot="1" x14ac:dyDescent="0.25">
      <c r="B16" s="75" t="s">
        <v>81</v>
      </c>
      <c r="C16" s="76" t="s">
        <v>82</v>
      </c>
      <c r="D16" s="77">
        <v>18</v>
      </c>
      <c r="F16" s="73"/>
      <c r="G16" s="66"/>
      <c r="H16" s="66"/>
      <c r="I16" s="67"/>
    </row>
    <row r="17" spans="2:10" ht="17" thickBot="1" x14ac:dyDescent="0.25">
      <c r="B17" s="75" t="s">
        <v>239</v>
      </c>
      <c r="C17" s="76" t="s">
        <v>240</v>
      </c>
      <c r="D17" s="77">
        <v>17</v>
      </c>
    </row>
    <row r="18" spans="2:10" x14ac:dyDescent="0.2">
      <c r="B18" s="75" t="s">
        <v>102</v>
      </c>
      <c r="C18" s="76" t="s">
        <v>103</v>
      </c>
      <c r="D18" s="77">
        <v>15</v>
      </c>
      <c r="F18" s="33" t="s">
        <v>1485</v>
      </c>
      <c r="G18" s="34" t="s">
        <v>1480</v>
      </c>
      <c r="H18" s="34" t="s">
        <v>1487</v>
      </c>
      <c r="I18" s="34" t="s">
        <v>1488</v>
      </c>
      <c r="J18" s="35" t="s">
        <v>1489</v>
      </c>
    </row>
    <row r="19" spans="2:10" x14ac:dyDescent="0.2">
      <c r="B19" s="57" t="s">
        <v>1495</v>
      </c>
      <c r="C19" s="58"/>
      <c r="D19" s="59"/>
      <c r="F19" s="68"/>
      <c r="G19" s="69"/>
      <c r="H19" s="70"/>
      <c r="I19" s="69"/>
      <c r="J19" s="64"/>
    </row>
    <row r="20" spans="2:10" x14ac:dyDescent="0.2">
      <c r="B20" s="78" t="s">
        <v>347</v>
      </c>
      <c r="C20" s="79" t="s">
        <v>348</v>
      </c>
      <c r="D20" s="80">
        <v>3</v>
      </c>
      <c r="F20" s="68"/>
      <c r="G20" s="69"/>
      <c r="H20" s="70"/>
      <c r="I20" s="69"/>
      <c r="J20" s="64"/>
    </row>
    <row r="21" spans="2:10" x14ac:dyDescent="0.2">
      <c r="B21" s="78" t="s">
        <v>405</v>
      </c>
      <c r="C21" s="79" t="s">
        <v>406</v>
      </c>
      <c r="D21" s="80">
        <v>3</v>
      </c>
      <c r="F21" s="68"/>
      <c r="G21" s="69"/>
      <c r="H21" s="70"/>
      <c r="I21" s="69"/>
      <c r="J21" s="64"/>
    </row>
    <row r="22" spans="2:10" x14ac:dyDescent="0.2">
      <c r="B22" s="78" t="s">
        <v>358</v>
      </c>
      <c r="C22" s="79" t="s">
        <v>359</v>
      </c>
      <c r="D22" s="80">
        <v>3</v>
      </c>
      <c r="F22" s="68"/>
      <c r="G22" s="69"/>
      <c r="H22" s="70"/>
      <c r="I22" s="69"/>
      <c r="J22" s="64"/>
    </row>
    <row r="23" spans="2:10" x14ac:dyDescent="0.2">
      <c r="B23" s="78" t="s">
        <v>367</v>
      </c>
      <c r="C23" s="79" t="s">
        <v>368</v>
      </c>
      <c r="D23" s="80">
        <v>3</v>
      </c>
      <c r="F23" s="68"/>
      <c r="G23" s="69"/>
      <c r="H23" s="70"/>
      <c r="I23" s="69"/>
      <c r="J23" s="64"/>
    </row>
    <row r="24" spans="2:10" x14ac:dyDescent="0.2">
      <c r="B24" s="78" t="s">
        <v>396</v>
      </c>
      <c r="C24" s="79" t="s">
        <v>397</v>
      </c>
      <c r="D24" s="80">
        <v>3</v>
      </c>
      <c r="F24" s="68"/>
      <c r="G24" s="69"/>
      <c r="H24" s="70"/>
      <c r="I24" s="69"/>
      <c r="J24" s="64"/>
    </row>
    <row r="25" spans="2:10" x14ac:dyDescent="0.2">
      <c r="B25" s="78" t="s">
        <v>383</v>
      </c>
      <c r="C25" s="79" t="s">
        <v>384</v>
      </c>
      <c r="D25" s="80">
        <v>3</v>
      </c>
      <c r="F25" s="68"/>
      <c r="G25" s="69"/>
      <c r="H25" s="70"/>
      <c r="I25" s="69"/>
      <c r="J25" s="64"/>
    </row>
    <row r="26" spans="2:10" x14ac:dyDescent="0.2">
      <c r="B26" s="78" t="s">
        <v>106</v>
      </c>
      <c r="C26" s="79" t="s">
        <v>107</v>
      </c>
      <c r="D26" s="80">
        <v>2</v>
      </c>
      <c r="F26" s="68"/>
      <c r="G26" s="69"/>
      <c r="H26" s="70"/>
      <c r="I26" s="69"/>
      <c r="J26" s="64"/>
    </row>
    <row r="27" spans="2:10" x14ac:dyDescent="0.2">
      <c r="B27" s="78" t="s">
        <v>354</v>
      </c>
      <c r="C27" s="79" t="s">
        <v>355</v>
      </c>
      <c r="D27" s="80">
        <v>2</v>
      </c>
      <c r="F27" s="68"/>
      <c r="G27" s="69"/>
      <c r="H27" s="70"/>
      <c r="I27" s="69"/>
      <c r="J27" s="64"/>
    </row>
    <row r="28" spans="2:10" x14ac:dyDescent="0.2">
      <c r="B28" s="78" t="s">
        <v>68</v>
      </c>
      <c r="C28" s="79" t="s">
        <v>69</v>
      </c>
      <c r="D28" s="80">
        <v>1</v>
      </c>
      <c r="F28" s="68"/>
      <c r="G28" s="69"/>
      <c r="H28" s="70"/>
      <c r="I28" s="69"/>
      <c r="J28" s="64"/>
    </row>
    <row r="29" spans="2:10" ht="17" thickBot="1" x14ac:dyDescent="0.25">
      <c r="B29" s="81" t="s">
        <v>502</v>
      </c>
      <c r="C29" s="82" t="s">
        <v>503</v>
      </c>
      <c r="D29" s="83">
        <v>0</v>
      </c>
      <c r="F29" s="68"/>
      <c r="G29" s="69"/>
      <c r="H29" s="70"/>
      <c r="I29" s="69"/>
      <c r="J29" s="64"/>
    </row>
    <row r="30" spans="2:10" ht="17" thickBot="1" x14ac:dyDescent="0.25">
      <c r="F30" s="68"/>
      <c r="G30" s="69"/>
      <c r="H30" s="70"/>
      <c r="I30" s="69"/>
      <c r="J30" s="64"/>
    </row>
    <row r="31" spans="2:10" x14ac:dyDescent="0.2">
      <c r="B31" s="33" t="s">
        <v>1486</v>
      </c>
      <c r="C31" s="34" t="s">
        <v>1162</v>
      </c>
      <c r="D31" s="35"/>
      <c r="F31" s="68"/>
      <c r="G31" s="69"/>
      <c r="H31" s="70"/>
      <c r="I31" s="69"/>
      <c r="J31" s="64"/>
    </row>
    <row r="32" spans="2:10" x14ac:dyDescent="0.2">
      <c r="B32" s="65"/>
      <c r="C32" s="63"/>
      <c r="D32" s="64"/>
      <c r="F32" s="68"/>
      <c r="G32" s="69"/>
      <c r="H32" s="70"/>
      <c r="I32" s="69"/>
      <c r="J32" s="64"/>
    </row>
    <row r="33" spans="2:10" x14ac:dyDescent="0.2">
      <c r="B33" s="65"/>
      <c r="C33" s="63"/>
      <c r="D33" s="64"/>
      <c r="F33" s="68"/>
      <c r="G33" s="69"/>
      <c r="H33" s="70"/>
      <c r="I33" s="69"/>
      <c r="J33" s="64"/>
    </row>
    <row r="34" spans="2:10" ht="17" thickBot="1" x14ac:dyDescent="0.25">
      <c r="B34" s="73"/>
      <c r="C34" s="66"/>
      <c r="D34" s="67"/>
      <c r="F34" s="68"/>
      <c r="G34" s="69"/>
      <c r="H34" s="70"/>
      <c r="I34" s="69"/>
      <c r="J34" s="64"/>
    </row>
    <row r="35" spans="2:10" x14ac:dyDescent="0.2">
      <c r="B35" s="12"/>
      <c r="F35" s="68"/>
      <c r="G35" s="69"/>
      <c r="H35" s="70"/>
      <c r="I35" s="69"/>
      <c r="J35" s="64"/>
    </row>
    <row r="36" spans="2:10" x14ac:dyDescent="0.2">
      <c r="B36" s="12"/>
      <c r="F36" s="68"/>
      <c r="G36" s="69"/>
      <c r="H36" s="70"/>
      <c r="I36" s="69"/>
      <c r="J36" s="64"/>
    </row>
    <row r="37" spans="2:10" x14ac:dyDescent="0.2">
      <c r="B37" s="12"/>
      <c r="F37" s="68"/>
      <c r="G37" s="69"/>
      <c r="H37" s="70"/>
      <c r="I37" s="69"/>
      <c r="J37" s="64"/>
    </row>
    <row r="38" spans="2:10" x14ac:dyDescent="0.2">
      <c r="B38" s="12"/>
      <c r="F38" s="68"/>
      <c r="G38" s="69"/>
      <c r="H38" s="70"/>
      <c r="I38" s="69"/>
      <c r="J38" s="64"/>
    </row>
    <row r="39" spans="2:10" x14ac:dyDescent="0.2">
      <c r="B39" s="12"/>
      <c r="F39" s="68"/>
      <c r="G39" s="69"/>
      <c r="H39" s="70"/>
      <c r="I39" s="69"/>
      <c r="J39" s="64"/>
    </row>
    <row r="40" spans="2:10" x14ac:dyDescent="0.2">
      <c r="B40" s="12"/>
      <c r="F40" s="68"/>
      <c r="G40" s="69"/>
      <c r="H40" s="70"/>
      <c r="I40" s="69"/>
      <c r="J40" s="64"/>
    </row>
    <row r="41" spans="2:10" ht="17" thickBot="1" x14ac:dyDescent="0.25">
      <c r="B41" s="12"/>
      <c r="F41" s="71"/>
      <c r="G41" s="66"/>
      <c r="H41" s="72"/>
      <c r="I41" s="66"/>
      <c r="J41" s="67"/>
    </row>
    <row r="42" spans="2:10" x14ac:dyDescent="0.2">
      <c r="B42" s="12"/>
      <c r="F42" s="13"/>
      <c r="I42" s="1"/>
    </row>
  </sheetData>
  <mergeCells count="2">
    <mergeCell ref="B19:D19"/>
    <mergeCell ref="B8:D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10" r:id="rId3" name="Button 2">
              <controlPr defaultSize="0" print="0" autoFill="0" autoPict="0" macro="[0]!calcularDashboard1">
                <anchor moveWithCells="1" sizeWithCells="1">
                  <from>
                    <xdr:col>8</xdr:col>
                    <xdr:colOff>812800</xdr:colOff>
                    <xdr:row>2</xdr:row>
                    <xdr:rowOff>0</xdr:rowOff>
                  </from>
                  <to>
                    <xdr:col>9</xdr:col>
                    <xdr:colOff>800100</xdr:colOff>
                    <xdr:row>3</xdr:row>
                    <xdr:rowOff>0</xdr:rowOff>
                  </to>
                </anchor>
              </controlPr>
            </control>
          </mc:Choice>
        </mc:AlternateContent>
        <mc:AlternateContent xmlns:mc="http://schemas.openxmlformats.org/markup-compatibility/2006">
          <mc:Choice Requires="x14">
            <control shapeId="17411" r:id="rId4" name="Button 3">
              <controlPr defaultSize="0" print="0" autoFill="0" autoPict="0" macro="[0]!borrarDashboard1">
                <anchor moveWithCells="1" sizeWithCells="1">
                  <from>
                    <xdr:col>11</xdr:col>
                    <xdr:colOff>0</xdr:colOff>
                    <xdr:row>1</xdr:row>
                    <xdr:rowOff>203200</xdr:rowOff>
                  </from>
                  <to>
                    <xdr:col>11</xdr:col>
                    <xdr:colOff>800100</xdr:colOff>
                    <xdr:row>2</xdr:row>
                    <xdr:rowOff>203200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B9440-D72E-6448-A150-6B631389C023}">
  <sheetPr codeName="Hoja15"/>
  <dimension ref="B3:Q2160"/>
  <sheetViews>
    <sheetView topLeftCell="D1" zoomScale="173" workbookViewId="0">
      <selection activeCell="B6" sqref="B6"/>
    </sheetView>
  </sheetViews>
  <sheetFormatPr baseColWidth="10" defaultRowHeight="16" x14ac:dyDescent="0.2"/>
  <cols>
    <col min="4" max="4" width="10.83203125" style="84"/>
    <col min="6" max="6" width="10.83203125" style="85"/>
    <col min="10" max="10" width="10.83203125" style="84"/>
    <col min="11" max="11" width="15.5" customWidth="1"/>
    <col min="15" max="15" width="14.1640625" style="84" customWidth="1"/>
    <col min="16" max="16" width="11.5" style="84" bestFit="1" customWidth="1"/>
    <col min="17" max="17" width="11" style="84" bestFit="1" customWidth="1"/>
  </cols>
  <sheetData>
    <row r="3" spans="2:17" x14ac:dyDescent="0.2">
      <c r="C3" t="s">
        <v>1497</v>
      </c>
    </row>
    <row r="5" spans="2:17" x14ac:dyDescent="0.2">
      <c r="B5" t="str" cm="1">
        <f t="array" ref="B5:F5">OrderDetails[#Headers]</f>
        <v>orderID</v>
      </c>
      <c r="C5" t="str">
        <v>productID</v>
      </c>
      <c r="D5" s="84" t="str">
        <v xml:space="preserve"> unitPrice </v>
      </c>
      <c r="E5" t="str">
        <v xml:space="preserve"> quantity </v>
      </c>
      <c r="F5" s="85" t="str">
        <v>discount</v>
      </c>
      <c r="G5" t="s">
        <v>1498</v>
      </c>
      <c r="H5" t="s">
        <v>1499</v>
      </c>
      <c r="I5" t="s">
        <v>1500</v>
      </c>
      <c r="J5" s="84" t="s">
        <v>1501</v>
      </c>
      <c r="K5" t="s">
        <v>1502</v>
      </c>
      <c r="L5" t="s">
        <v>1503</v>
      </c>
      <c r="N5" t="s">
        <v>0</v>
      </c>
      <c r="O5" s="84" t="s">
        <v>1500</v>
      </c>
      <c r="P5" s="84" t="s">
        <v>1502</v>
      </c>
      <c r="Q5" s="84" t="s">
        <v>1503</v>
      </c>
    </row>
    <row r="6" spans="2:17" x14ac:dyDescent="0.2">
      <c r="B6" cm="1">
        <f t="array" ref="B6:F2160">OrderDetails[]</f>
        <v>10248</v>
      </c>
      <c r="C6">
        <v>11</v>
      </c>
      <c r="D6" s="84">
        <v>14</v>
      </c>
      <c r="E6">
        <v>12</v>
      </c>
      <c r="F6" s="85">
        <v>0</v>
      </c>
      <c r="G6" s="86">
        <f>D6*E6</f>
        <v>168</v>
      </c>
      <c r="H6" s="86">
        <f>G6*F6</f>
        <v>0</v>
      </c>
      <c r="I6" s="86">
        <f>G6-H6</f>
        <v>168</v>
      </c>
      <c r="J6" s="84">
        <f>VLOOKUP(C6, Products[], 6)</f>
        <v>21</v>
      </c>
      <c r="K6" s="86">
        <f>J6*E6</f>
        <v>252</v>
      </c>
      <c r="L6" s="86">
        <f>I6-K6</f>
        <v>-84</v>
      </c>
      <c r="N6" cm="1">
        <f t="array" ref="N6:N835">Orders[orderID]</f>
        <v>10248</v>
      </c>
      <c r="O6" s="84" cm="1">
        <f t="array" ref="O6">SUM(INDEX(_xlfn._xlws.FILTER($B$6:$L$2160, $B$6:$B$2160=N6), 0, 8))</f>
        <v>440</v>
      </c>
      <c r="P6" s="84" cm="1">
        <f t="array" ref="P6">SUM(INDEX(_xlfn._xlws.FILTER($B$6:$L$2160, $B$6:$B$2160=N6), 0, 10))</f>
        <v>566</v>
      </c>
      <c r="Q6" s="84" cm="1">
        <f t="array" ref="Q6">SUM(INDEX(_xlfn._xlws.FILTER($B$6:$L$2160, $B$6:$B$2160=N6), 0, 11))</f>
        <v>-126</v>
      </c>
    </row>
    <row r="7" spans="2:17" x14ac:dyDescent="0.2">
      <c r="B7">
        <v>10248</v>
      </c>
      <c r="C7">
        <v>42</v>
      </c>
      <c r="D7" s="84">
        <v>9.8000000000000007</v>
      </c>
      <c r="E7">
        <v>10</v>
      </c>
      <c r="F7" s="85">
        <v>0</v>
      </c>
      <c r="G7" s="86">
        <f t="shared" ref="G7:G70" si="0">D7*E7</f>
        <v>98</v>
      </c>
      <c r="H7" s="86">
        <f t="shared" ref="H7:H70" si="1">G7*F7</f>
        <v>0</v>
      </c>
      <c r="I7" s="86">
        <f t="shared" ref="I7:I70" si="2">G7-H7</f>
        <v>98</v>
      </c>
      <c r="J7" s="84">
        <f>VLOOKUP(C7, Products[], 6)</f>
        <v>14</v>
      </c>
      <c r="K7" s="86">
        <f t="shared" ref="K7:K70" si="3">J7*E7</f>
        <v>140</v>
      </c>
      <c r="L7" s="86">
        <f t="shared" ref="L7:L70" si="4">I7-K7</f>
        <v>-42</v>
      </c>
      <c r="N7">
        <v>10249</v>
      </c>
      <c r="O7" s="84" cm="1">
        <f t="array" ref="O7">SUM(INDEX(_xlfn._xlws.FILTER($B$6:$L$2160, $B$6:$B$2160=N7), 0, 8))</f>
        <v>1863.4</v>
      </c>
      <c r="P7" s="84" cm="1">
        <f t="array" ref="P7">SUM(INDEX(_xlfn._xlws.FILTER($B$6:$L$2160, $B$6:$B$2160=N7), 0, 10))</f>
        <v>2329.25</v>
      </c>
      <c r="Q7" s="84" cm="1">
        <f t="array" ref="Q7">SUM(INDEX(_xlfn._xlws.FILTER($B$6:$L$2160, $B$6:$B$2160=N7), 0, 11))</f>
        <v>-465.85</v>
      </c>
    </row>
    <row r="8" spans="2:17" x14ac:dyDescent="0.2">
      <c r="B8">
        <v>10248</v>
      </c>
      <c r="C8">
        <v>72</v>
      </c>
      <c r="D8" s="84">
        <v>34.799999999999997</v>
      </c>
      <c r="E8">
        <v>5</v>
      </c>
      <c r="F8" s="85">
        <v>0</v>
      </c>
      <c r="G8" s="86">
        <f t="shared" si="0"/>
        <v>174</v>
      </c>
      <c r="H8" s="86">
        <f t="shared" si="1"/>
        <v>0</v>
      </c>
      <c r="I8" s="86">
        <f t="shared" si="2"/>
        <v>174</v>
      </c>
      <c r="J8" s="84">
        <f>VLOOKUP(C8, Products[], 6)</f>
        <v>34.799999999999997</v>
      </c>
      <c r="K8" s="86">
        <f t="shared" si="3"/>
        <v>174</v>
      </c>
      <c r="L8" s="86">
        <f t="shared" si="4"/>
        <v>0</v>
      </c>
      <c r="N8">
        <v>10250</v>
      </c>
      <c r="O8" s="84" cm="1">
        <f t="array" ref="O8">SUM(INDEX(_xlfn._xlws.FILTER($B$6:$L$2160, $B$6:$B$2160=N8), 0, 8))</f>
        <v>1552.6000000000001</v>
      </c>
      <c r="P8" s="84" cm="1">
        <f t="array" ref="P8">SUM(INDEX(_xlfn._xlws.FILTER($B$6:$L$2160, $B$6:$B$2160=N8), 0, 10))</f>
        <v>2267.25</v>
      </c>
      <c r="Q8" s="84" cm="1">
        <f t="array" ref="Q8">SUM(INDEX(_xlfn._xlws.FILTER($B$6:$L$2160, $B$6:$B$2160=N8), 0, 11))</f>
        <v>-714.64999999999986</v>
      </c>
    </row>
    <row r="9" spans="2:17" x14ac:dyDescent="0.2">
      <c r="B9">
        <v>10249</v>
      </c>
      <c r="C9">
        <v>14</v>
      </c>
      <c r="D9" s="84">
        <v>18.600000000000001</v>
      </c>
      <c r="E9">
        <v>9</v>
      </c>
      <c r="F9" s="85">
        <v>0</v>
      </c>
      <c r="G9" s="86">
        <f t="shared" si="0"/>
        <v>167.4</v>
      </c>
      <c r="H9" s="86">
        <f t="shared" si="1"/>
        <v>0</v>
      </c>
      <c r="I9" s="86">
        <f t="shared" si="2"/>
        <v>167.4</v>
      </c>
      <c r="J9" s="84">
        <f>VLOOKUP(C9, Products[], 6)</f>
        <v>23.25</v>
      </c>
      <c r="K9" s="86">
        <f t="shared" si="3"/>
        <v>209.25</v>
      </c>
      <c r="L9" s="86">
        <f t="shared" si="4"/>
        <v>-41.849999999999994</v>
      </c>
      <c r="N9">
        <v>10251</v>
      </c>
      <c r="O9" s="84" cm="1">
        <f t="array" ref="O9">SUM(INDEX(_xlfn._xlws.FILTER($B$6:$L$2160, $B$6:$B$2160=N9), 0, 8))</f>
        <v>654.05999999999995</v>
      </c>
      <c r="P9" s="84" cm="1">
        <f t="array" ref="P9">SUM(INDEX(_xlfn._xlws.FILTER($B$6:$L$2160, $B$6:$B$2160=N9), 0, 10))</f>
        <v>839.5</v>
      </c>
      <c r="Q9" s="84" cm="1">
        <f t="array" ref="Q9">SUM(INDEX(_xlfn._xlws.FILTER($B$6:$L$2160, $B$6:$B$2160=N9), 0, 11))</f>
        <v>-185.44</v>
      </c>
    </row>
    <row r="10" spans="2:17" x14ac:dyDescent="0.2">
      <c r="B10">
        <v>10249</v>
      </c>
      <c r="C10">
        <v>51</v>
      </c>
      <c r="D10" s="84">
        <v>42.4</v>
      </c>
      <c r="E10">
        <v>40</v>
      </c>
      <c r="F10" s="85">
        <v>0</v>
      </c>
      <c r="G10" s="86">
        <f t="shared" si="0"/>
        <v>1696</v>
      </c>
      <c r="H10" s="86">
        <f t="shared" si="1"/>
        <v>0</v>
      </c>
      <c r="I10" s="86">
        <f t="shared" si="2"/>
        <v>1696</v>
      </c>
      <c r="J10" s="84">
        <f>VLOOKUP(C10, Products[], 6)</f>
        <v>53</v>
      </c>
      <c r="K10" s="86">
        <f t="shared" si="3"/>
        <v>2120</v>
      </c>
      <c r="L10" s="86">
        <f t="shared" si="4"/>
        <v>-424</v>
      </c>
      <c r="N10">
        <v>10252</v>
      </c>
      <c r="O10" s="84" cm="1">
        <f t="array" ref="O10">SUM(INDEX(_xlfn._xlws.FILTER($B$6:$L$2160, $B$6:$B$2160=N10), 0, 8))</f>
        <v>3597.9</v>
      </c>
      <c r="P10" s="84" cm="1">
        <f t="array" ref="P10">SUM(INDEX(_xlfn._xlws.FILTER($B$6:$L$2160, $B$6:$B$2160=N10), 0, 10))</f>
        <v>4662.5</v>
      </c>
      <c r="Q10" s="84" cm="1">
        <f t="array" ref="Q10">SUM(INDEX(_xlfn._xlws.FILTER($B$6:$L$2160, $B$6:$B$2160=N10), 0, 11))</f>
        <v>-1064.5999999999999</v>
      </c>
    </row>
    <row r="11" spans="2:17" x14ac:dyDescent="0.2">
      <c r="B11">
        <v>10250</v>
      </c>
      <c r="C11">
        <v>41</v>
      </c>
      <c r="D11" s="84">
        <v>7.7</v>
      </c>
      <c r="E11">
        <v>10</v>
      </c>
      <c r="F11" s="85">
        <v>0</v>
      </c>
      <c r="G11" s="86">
        <f t="shared" si="0"/>
        <v>77</v>
      </c>
      <c r="H11" s="86">
        <f t="shared" si="1"/>
        <v>0</v>
      </c>
      <c r="I11" s="86">
        <f t="shared" si="2"/>
        <v>77</v>
      </c>
      <c r="J11" s="84">
        <f>VLOOKUP(C11, Products[], 6)</f>
        <v>9.65</v>
      </c>
      <c r="K11" s="86">
        <f t="shared" si="3"/>
        <v>96.5</v>
      </c>
      <c r="L11" s="86">
        <f t="shared" si="4"/>
        <v>-19.5</v>
      </c>
      <c r="N11">
        <v>10253</v>
      </c>
      <c r="O11" s="84" cm="1">
        <f t="array" ref="O11">SUM(INDEX(_xlfn._xlws.FILTER($B$6:$L$2160, $B$6:$B$2160=N11), 0, 8))</f>
        <v>1444.8000000000002</v>
      </c>
      <c r="P11" s="84" cm="1">
        <f t="array" ref="P11">SUM(INDEX(_xlfn._xlws.FILTER($B$6:$L$2160, $B$6:$B$2160=N11), 0, 10))</f>
        <v>1806</v>
      </c>
      <c r="Q11" s="84" cm="1">
        <f t="array" ref="Q11">SUM(INDEX(_xlfn._xlws.FILTER($B$6:$L$2160, $B$6:$B$2160=N11), 0, 11))</f>
        <v>-361.19999999999993</v>
      </c>
    </row>
    <row r="12" spans="2:17" x14ac:dyDescent="0.2">
      <c r="B12">
        <v>10250</v>
      </c>
      <c r="C12">
        <v>51</v>
      </c>
      <c r="D12" s="84">
        <v>42.4</v>
      </c>
      <c r="E12">
        <v>35</v>
      </c>
      <c r="F12" s="85">
        <v>0.15</v>
      </c>
      <c r="G12" s="86">
        <f t="shared" si="0"/>
        <v>1484</v>
      </c>
      <c r="H12" s="86">
        <f t="shared" si="1"/>
        <v>222.6</v>
      </c>
      <c r="I12" s="86">
        <f t="shared" si="2"/>
        <v>1261.4000000000001</v>
      </c>
      <c r="J12" s="84">
        <f>VLOOKUP(C12, Products[], 6)</f>
        <v>53</v>
      </c>
      <c r="K12" s="86">
        <f t="shared" si="3"/>
        <v>1855</v>
      </c>
      <c r="L12" s="86">
        <f t="shared" si="4"/>
        <v>-593.59999999999991</v>
      </c>
      <c r="N12">
        <v>10254</v>
      </c>
      <c r="O12" s="84" cm="1">
        <f t="array" ref="O12">SUM(INDEX(_xlfn._xlws.FILTER($B$6:$L$2160, $B$6:$B$2160=N12), 0, 8))</f>
        <v>556.61999999999989</v>
      </c>
      <c r="P12" s="84" cm="1">
        <f t="array" ref="P12">SUM(INDEX(_xlfn._xlws.FILTER($B$6:$L$2160, $B$6:$B$2160=N12), 0, 10))</f>
        <v>781.5</v>
      </c>
      <c r="Q12" s="84" cm="1">
        <f t="array" ref="Q12">SUM(INDEX(_xlfn._xlws.FILTER($B$6:$L$2160, $B$6:$B$2160=N12), 0, 11))</f>
        <v>-224.88000000000002</v>
      </c>
    </row>
    <row r="13" spans="2:17" x14ac:dyDescent="0.2">
      <c r="B13">
        <v>10250</v>
      </c>
      <c r="C13">
        <v>65</v>
      </c>
      <c r="D13" s="84">
        <v>16.8</v>
      </c>
      <c r="E13">
        <v>15</v>
      </c>
      <c r="F13" s="85">
        <v>0.15</v>
      </c>
      <c r="G13" s="86">
        <f t="shared" si="0"/>
        <v>252</v>
      </c>
      <c r="H13" s="86">
        <f t="shared" si="1"/>
        <v>37.799999999999997</v>
      </c>
      <c r="I13" s="86">
        <f t="shared" si="2"/>
        <v>214.2</v>
      </c>
      <c r="J13" s="84">
        <f>VLOOKUP(C13, Products[], 6)</f>
        <v>21.05</v>
      </c>
      <c r="K13" s="86">
        <f t="shared" si="3"/>
        <v>315.75</v>
      </c>
      <c r="L13" s="86">
        <f t="shared" si="4"/>
        <v>-101.55000000000001</v>
      </c>
      <c r="N13">
        <v>10255</v>
      </c>
      <c r="O13" s="84" cm="1">
        <f t="array" ref="O13">SUM(INDEX(_xlfn._xlws.FILTER($B$6:$L$2160, $B$6:$B$2160=N13), 0, 8))</f>
        <v>2490.5</v>
      </c>
      <c r="P13" s="84" cm="1">
        <f t="array" ref="P13">SUM(INDEX(_xlfn._xlws.FILTER($B$6:$L$2160, $B$6:$B$2160=N13), 0, 10))</f>
        <v>3115.75</v>
      </c>
      <c r="Q13" s="84" cm="1">
        <f t="array" ref="Q13">SUM(INDEX(_xlfn._xlws.FILTER($B$6:$L$2160, $B$6:$B$2160=N13), 0, 11))</f>
        <v>-625.25</v>
      </c>
    </row>
    <row r="14" spans="2:17" x14ac:dyDescent="0.2">
      <c r="B14">
        <v>10251</v>
      </c>
      <c r="C14">
        <v>22</v>
      </c>
      <c r="D14" s="84">
        <v>16.8</v>
      </c>
      <c r="E14">
        <v>6</v>
      </c>
      <c r="F14" s="85">
        <v>0.05</v>
      </c>
      <c r="G14" s="86">
        <f t="shared" si="0"/>
        <v>100.80000000000001</v>
      </c>
      <c r="H14" s="86">
        <f t="shared" si="1"/>
        <v>5.0400000000000009</v>
      </c>
      <c r="I14" s="86">
        <f t="shared" si="2"/>
        <v>95.76</v>
      </c>
      <c r="J14" s="84">
        <f>VLOOKUP(C14, Products[], 6)</f>
        <v>21</v>
      </c>
      <c r="K14" s="86">
        <f t="shared" si="3"/>
        <v>126</v>
      </c>
      <c r="L14" s="86">
        <f t="shared" si="4"/>
        <v>-30.239999999999995</v>
      </c>
      <c r="N14">
        <v>10256</v>
      </c>
      <c r="O14" s="84" cm="1">
        <f t="array" ref="O14">SUM(INDEX(_xlfn._xlws.FILTER($B$6:$L$2160, $B$6:$B$2160=N14), 0, 8))</f>
        <v>517.79999999999995</v>
      </c>
      <c r="P14" s="84" cm="1">
        <f t="array" ref="P14">SUM(INDEX(_xlfn._xlws.FILTER($B$6:$L$2160, $B$6:$B$2160=N14), 0, 10))</f>
        <v>648</v>
      </c>
      <c r="Q14" s="84" cm="1">
        <f t="array" ref="Q14">SUM(INDEX(_xlfn._xlws.FILTER($B$6:$L$2160, $B$6:$B$2160=N14), 0, 11))</f>
        <v>-130.19999999999993</v>
      </c>
    </row>
    <row r="15" spans="2:17" x14ac:dyDescent="0.2">
      <c r="B15">
        <v>10251</v>
      </c>
      <c r="C15">
        <v>57</v>
      </c>
      <c r="D15" s="84">
        <v>15.6</v>
      </c>
      <c r="E15">
        <v>15</v>
      </c>
      <c r="F15" s="85">
        <v>0.05</v>
      </c>
      <c r="G15" s="86">
        <f t="shared" si="0"/>
        <v>234</v>
      </c>
      <c r="H15" s="86">
        <f t="shared" si="1"/>
        <v>11.700000000000001</v>
      </c>
      <c r="I15" s="86">
        <f t="shared" si="2"/>
        <v>222.3</v>
      </c>
      <c r="J15" s="84">
        <f>VLOOKUP(C15, Products[], 6)</f>
        <v>19.5</v>
      </c>
      <c r="K15" s="86">
        <f t="shared" si="3"/>
        <v>292.5</v>
      </c>
      <c r="L15" s="86">
        <f t="shared" si="4"/>
        <v>-70.199999999999989</v>
      </c>
      <c r="N15">
        <v>10257</v>
      </c>
      <c r="O15" s="84" cm="1">
        <f t="array" ref="O15">SUM(INDEX(_xlfn._xlws.FILTER($B$6:$L$2160, $B$6:$B$2160=N15), 0, 8))</f>
        <v>1119.9000000000001</v>
      </c>
      <c r="P15" s="84" cm="1">
        <f t="array" ref="P15">SUM(INDEX(_xlfn._xlws.FILTER($B$6:$L$2160, $B$6:$B$2160=N15), 0, 10))</f>
        <v>1400.5</v>
      </c>
      <c r="Q15" s="84" cm="1">
        <f t="array" ref="Q15">SUM(INDEX(_xlfn._xlws.FILTER($B$6:$L$2160, $B$6:$B$2160=N15), 0, 11))</f>
        <v>-280.60000000000002</v>
      </c>
    </row>
    <row r="16" spans="2:17" x14ac:dyDescent="0.2">
      <c r="B16">
        <v>10251</v>
      </c>
      <c r="C16">
        <v>65</v>
      </c>
      <c r="D16" s="84">
        <v>16.8</v>
      </c>
      <c r="E16">
        <v>20</v>
      </c>
      <c r="F16" s="85">
        <v>0</v>
      </c>
      <c r="G16" s="86">
        <f t="shared" si="0"/>
        <v>336</v>
      </c>
      <c r="H16" s="86">
        <f t="shared" si="1"/>
        <v>0</v>
      </c>
      <c r="I16" s="86">
        <f t="shared" si="2"/>
        <v>336</v>
      </c>
      <c r="J16" s="84">
        <f>VLOOKUP(C16, Products[], 6)</f>
        <v>21.05</v>
      </c>
      <c r="K16" s="86">
        <f t="shared" si="3"/>
        <v>421</v>
      </c>
      <c r="L16" s="86">
        <f t="shared" si="4"/>
        <v>-85</v>
      </c>
      <c r="N16">
        <v>10258</v>
      </c>
      <c r="O16" s="84" cm="1">
        <f t="array" ref="O16">SUM(INDEX(_xlfn._xlws.FILTER($B$6:$L$2160, $B$6:$B$2160=N16), 0, 8))</f>
        <v>1614.88</v>
      </c>
      <c r="P16" s="84" cm="1">
        <f t="array" ref="P16">SUM(INDEX(_xlfn._xlws.FILTER($B$6:$L$2160, $B$6:$B$2160=N16), 0, 10))</f>
        <v>2529.75</v>
      </c>
      <c r="Q16" s="84" cm="1">
        <f t="array" ref="Q16">SUM(INDEX(_xlfn._xlws.FILTER($B$6:$L$2160, $B$6:$B$2160=N16), 0, 11))</f>
        <v>-914.87</v>
      </c>
    </row>
    <row r="17" spans="2:17" x14ac:dyDescent="0.2">
      <c r="B17">
        <v>10252</v>
      </c>
      <c r="C17">
        <v>20</v>
      </c>
      <c r="D17" s="84">
        <v>64.8</v>
      </c>
      <c r="E17">
        <v>40</v>
      </c>
      <c r="F17" s="85">
        <v>0.05</v>
      </c>
      <c r="G17" s="86">
        <f t="shared" si="0"/>
        <v>2592</v>
      </c>
      <c r="H17" s="86">
        <f t="shared" si="1"/>
        <v>129.6</v>
      </c>
      <c r="I17" s="86">
        <f t="shared" si="2"/>
        <v>2462.4</v>
      </c>
      <c r="J17" s="84">
        <f>VLOOKUP(C17, Products[], 6)</f>
        <v>81</v>
      </c>
      <c r="K17" s="86">
        <f t="shared" si="3"/>
        <v>3240</v>
      </c>
      <c r="L17" s="86">
        <f t="shared" si="4"/>
        <v>-777.59999999999991</v>
      </c>
      <c r="N17">
        <v>10259</v>
      </c>
      <c r="O17" s="84" cm="1">
        <f t="array" ref="O17">SUM(INDEX(_xlfn._xlws.FILTER($B$6:$L$2160, $B$6:$B$2160=N17), 0, 8))</f>
        <v>100.8</v>
      </c>
      <c r="P17" s="84" cm="1">
        <f t="array" ref="P17">SUM(INDEX(_xlfn._xlws.FILTER($B$6:$L$2160, $B$6:$B$2160=N17), 0, 10))</f>
        <v>126</v>
      </c>
      <c r="Q17" s="84" cm="1">
        <f t="array" ref="Q17">SUM(INDEX(_xlfn._xlws.FILTER($B$6:$L$2160, $B$6:$B$2160=N17), 0, 11))</f>
        <v>-25.2</v>
      </c>
    </row>
    <row r="18" spans="2:17" x14ac:dyDescent="0.2">
      <c r="B18">
        <v>10252</v>
      </c>
      <c r="C18">
        <v>33</v>
      </c>
      <c r="D18" s="84">
        <v>2</v>
      </c>
      <c r="E18">
        <v>25</v>
      </c>
      <c r="F18" s="85">
        <v>0.05</v>
      </c>
      <c r="G18" s="86">
        <f t="shared" si="0"/>
        <v>50</v>
      </c>
      <c r="H18" s="86">
        <f t="shared" si="1"/>
        <v>2.5</v>
      </c>
      <c r="I18" s="86">
        <f t="shared" si="2"/>
        <v>47.5</v>
      </c>
      <c r="J18" s="84">
        <f>VLOOKUP(C18, Products[], 6)</f>
        <v>2.5</v>
      </c>
      <c r="K18" s="86">
        <f t="shared" si="3"/>
        <v>62.5</v>
      </c>
      <c r="L18" s="86">
        <f t="shared" si="4"/>
        <v>-15</v>
      </c>
      <c r="N18">
        <v>10260</v>
      </c>
      <c r="O18" s="84" cm="1">
        <f t="array" ref="O18">SUM(INDEX(_xlfn._xlws.FILTER($B$6:$L$2160, $B$6:$B$2160=N18), 0, 8))</f>
        <v>1504.65</v>
      </c>
      <c r="P18" s="84" cm="1">
        <f t="array" ref="P18">SUM(INDEX(_xlfn._xlws.FILTER($B$6:$L$2160, $B$6:$B$2160=N18), 0, 10))</f>
        <v>2183.9</v>
      </c>
      <c r="Q18" s="84" cm="1">
        <f t="array" ref="Q18">SUM(INDEX(_xlfn._xlws.FILTER($B$6:$L$2160, $B$6:$B$2160=N18), 0, 11))</f>
        <v>-679.25</v>
      </c>
    </row>
    <row r="19" spans="2:17" x14ac:dyDescent="0.2">
      <c r="B19">
        <v>10252</v>
      </c>
      <c r="C19">
        <v>60</v>
      </c>
      <c r="D19" s="84">
        <v>27.2</v>
      </c>
      <c r="E19">
        <v>40</v>
      </c>
      <c r="F19" s="85">
        <v>0</v>
      </c>
      <c r="G19" s="86">
        <f t="shared" si="0"/>
        <v>1088</v>
      </c>
      <c r="H19" s="86">
        <f t="shared" si="1"/>
        <v>0</v>
      </c>
      <c r="I19" s="86">
        <f t="shared" si="2"/>
        <v>1088</v>
      </c>
      <c r="J19" s="84">
        <f>VLOOKUP(C19, Products[], 6)</f>
        <v>34</v>
      </c>
      <c r="K19" s="86">
        <f t="shared" si="3"/>
        <v>1360</v>
      </c>
      <c r="L19" s="86">
        <f t="shared" si="4"/>
        <v>-272</v>
      </c>
      <c r="N19">
        <v>10261</v>
      </c>
      <c r="O19" s="84" cm="1">
        <f t="array" ref="O19">SUM(INDEX(_xlfn._xlws.FILTER($B$6:$L$2160, $B$6:$B$2160=N19), 0, 8))</f>
        <v>448</v>
      </c>
      <c r="P19" s="84" cm="1">
        <f t="array" ref="P19">SUM(INDEX(_xlfn._xlws.FILTER($B$6:$L$2160, $B$6:$B$2160=N19), 0, 10))</f>
        <v>560</v>
      </c>
      <c r="Q19" s="84" cm="1">
        <f t="array" ref="Q19">SUM(INDEX(_xlfn._xlws.FILTER($B$6:$L$2160, $B$6:$B$2160=N19), 0, 11))</f>
        <v>-112</v>
      </c>
    </row>
    <row r="20" spans="2:17" x14ac:dyDescent="0.2">
      <c r="B20">
        <v>10253</v>
      </c>
      <c r="C20">
        <v>31</v>
      </c>
      <c r="D20" s="84">
        <v>10</v>
      </c>
      <c r="E20">
        <v>20</v>
      </c>
      <c r="F20" s="85">
        <v>0</v>
      </c>
      <c r="G20" s="86">
        <f t="shared" si="0"/>
        <v>200</v>
      </c>
      <c r="H20" s="86">
        <f t="shared" si="1"/>
        <v>0</v>
      </c>
      <c r="I20" s="86">
        <f t="shared" si="2"/>
        <v>200</v>
      </c>
      <c r="J20" s="84">
        <f>VLOOKUP(C20, Products[], 6)</f>
        <v>12.5</v>
      </c>
      <c r="K20" s="86">
        <f t="shared" si="3"/>
        <v>250</v>
      </c>
      <c r="L20" s="86">
        <f t="shared" si="4"/>
        <v>-50</v>
      </c>
      <c r="N20">
        <v>10262</v>
      </c>
      <c r="O20" s="84" cm="1">
        <f t="array" ref="O20">SUM(INDEX(_xlfn._xlws.FILTER($B$6:$L$2160, $B$6:$B$2160=N20), 0, 8))</f>
        <v>584</v>
      </c>
      <c r="P20" s="84" cm="1">
        <f t="array" ref="P20">SUM(INDEX(_xlfn._xlws.FILTER($B$6:$L$2160, $B$6:$B$2160=N20), 0, 10))</f>
        <v>782.2</v>
      </c>
      <c r="Q20" s="84" cm="1">
        <f t="array" ref="Q20">SUM(INDEX(_xlfn._xlws.FILTER($B$6:$L$2160, $B$6:$B$2160=N20), 0, 11))</f>
        <v>-198.20000000000005</v>
      </c>
    </row>
    <row r="21" spans="2:17" x14ac:dyDescent="0.2">
      <c r="B21">
        <v>10253</v>
      </c>
      <c r="C21">
        <v>39</v>
      </c>
      <c r="D21" s="84">
        <v>14.4</v>
      </c>
      <c r="E21">
        <v>42</v>
      </c>
      <c r="F21" s="85">
        <v>0</v>
      </c>
      <c r="G21" s="86">
        <f t="shared" si="0"/>
        <v>604.80000000000007</v>
      </c>
      <c r="H21" s="86">
        <f t="shared" si="1"/>
        <v>0</v>
      </c>
      <c r="I21" s="86">
        <f t="shared" si="2"/>
        <v>604.80000000000007</v>
      </c>
      <c r="J21" s="84">
        <f>VLOOKUP(C21, Products[], 6)</f>
        <v>18</v>
      </c>
      <c r="K21" s="86">
        <f t="shared" si="3"/>
        <v>756</v>
      </c>
      <c r="L21" s="86">
        <f t="shared" si="4"/>
        <v>-151.19999999999993</v>
      </c>
      <c r="N21">
        <v>10263</v>
      </c>
      <c r="O21" s="84" cm="1">
        <f t="array" ref="O21">SUM(INDEX(_xlfn._xlws.FILTER($B$6:$L$2160, $B$6:$B$2160=N21), 0, 8))</f>
        <v>1873.8</v>
      </c>
      <c r="P21" s="84" cm="1">
        <f t="array" ref="P21">SUM(INDEX(_xlfn._xlws.FILTER($B$6:$L$2160, $B$6:$B$2160=N21), 0, 10))</f>
        <v>3086.4</v>
      </c>
      <c r="Q21" s="84" cm="1">
        <f t="array" ref="Q21">SUM(INDEX(_xlfn._xlws.FILTER($B$6:$L$2160, $B$6:$B$2160=N21), 0, 11))</f>
        <v>-1212.6000000000001</v>
      </c>
    </row>
    <row r="22" spans="2:17" x14ac:dyDescent="0.2">
      <c r="B22">
        <v>10253</v>
      </c>
      <c r="C22">
        <v>49</v>
      </c>
      <c r="D22" s="84">
        <v>16</v>
      </c>
      <c r="E22">
        <v>40</v>
      </c>
      <c r="F22" s="85">
        <v>0</v>
      </c>
      <c r="G22" s="86">
        <f t="shared" si="0"/>
        <v>640</v>
      </c>
      <c r="H22" s="86">
        <f t="shared" si="1"/>
        <v>0</v>
      </c>
      <c r="I22" s="86">
        <f t="shared" si="2"/>
        <v>640</v>
      </c>
      <c r="J22" s="84">
        <f>VLOOKUP(C22, Products[], 6)</f>
        <v>20</v>
      </c>
      <c r="K22" s="86">
        <f t="shared" si="3"/>
        <v>800</v>
      </c>
      <c r="L22" s="86">
        <f t="shared" si="4"/>
        <v>-160</v>
      </c>
      <c r="N22">
        <v>10264</v>
      </c>
      <c r="O22" s="84" cm="1">
        <f t="array" ref="O22">SUM(INDEX(_xlfn._xlws.FILTER($B$6:$L$2160, $B$6:$B$2160=N22), 0, 8))</f>
        <v>695.625</v>
      </c>
      <c r="P22" s="84" cm="1">
        <f t="array" ref="P22">SUM(INDEX(_xlfn._xlws.FILTER($B$6:$L$2160, $B$6:$B$2160=N22), 0, 10))</f>
        <v>906.25</v>
      </c>
      <c r="Q22" s="84" cm="1">
        <f t="array" ref="Q22">SUM(INDEX(_xlfn._xlws.FILTER($B$6:$L$2160, $B$6:$B$2160=N22), 0, 11))</f>
        <v>-210.625</v>
      </c>
    </row>
    <row r="23" spans="2:17" x14ac:dyDescent="0.2">
      <c r="B23">
        <v>10254</v>
      </c>
      <c r="C23">
        <v>24</v>
      </c>
      <c r="D23" s="84">
        <v>3.6</v>
      </c>
      <c r="E23">
        <v>15</v>
      </c>
      <c r="F23" s="85">
        <v>0.15</v>
      </c>
      <c r="G23" s="86">
        <f t="shared" si="0"/>
        <v>54</v>
      </c>
      <c r="H23" s="86">
        <f t="shared" si="1"/>
        <v>8.1</v>
      </c>
      <c r="I23" s="86">
        <f t="shared" si="2"/>
        <v>45.9</v>
      </c>
      <c r="J23" s="84">
        <f>VLOOKUP(C23, Products[], 6)</f>
        <v>4.5</v>
      </c>
      <c r="K23" s="86">
        <f t="shared" si="3"/>
        <v>67.5</v>
      </c>
      <c r="L23" s="86">
        <f t="shared" si="4"/>
        <v>-21.6</v>
      </c>
      <c r="N23">
        <v>10265</v>
      </c>
      <c r="O23" s="84" cm="1">
        <f t="array" ref="O23">SUM(INDEX(_xlfn._xlws.FILTER($B$6:$L$2160, $B$6:$B$2160=N23), 0, 8))</f>
        <v>1176</v>
      </c>
      <c r="P23" s="84" cm="1">
        <f t="array" ref="P23">SUM(INDEX(_xlfn._xlws.FILTER($B$6:$L$2160, $B$6:$B$2160=N23), 0, 10))</f>
        <v>1470</v>
      </c>
      <c r="Q23" s="84" cm="1">
        <f t="array" ref="Q23">SUM(INDEX(_xlfn._xlws.FILTER($B$6:$L$2160, $B$6:$B$2160=N23), 0, 11))</f>
        <v>-294</v>
      </c>
    </row>
    <row r="24" spans="2:17" x14ac:dyDescent="0.2">
      <c r="B24">
        <v>10254</v>
      </c>
      <c r="C24">
        <v>55</v>
      </c>
      <c r="D24" s="84">
        <v>19.2</v>
      </c>
      <c r="E24">
        <v>21</v>
      </c>
      <c r="F24" s="85">
        <v>0.15</v>
      </c>
      <c r="G24" s="86">
        <f t="shared" si="0"/>
        <v>403.2</v>
      </c>
      <c r="H24" s="86">
        <f t="shared" si="1"/>
        <v>60.48</v>
      </c>
      <c r="I24" s="86">
        <f t="shared" si="2"/>
        <v>342.71999999999997</v>
      </c>
      <c r="J24" s="84">
        <f>VLOOKUP(C24, Products[], 6)</f>
        <v>24</v>
      </c>
      <c r="K24" s="86">
        <f t="shared" si="3"/>
        <v>504</v>
      </c>
      <c r="L24" s="86">
        <f t="shared" si="4"/>
        <v>-161.28000000000003</v>
      </c>
      <c r="N24">
        <v>10266</v>
      </c>
      <c r="O24" s="84" cm="1">
        <f t="array" ref="O24">SUM(INDEX(_xlfn._xlws.FILTER($B$6:$L$2160, $B$6:$B$2160=N24), 0, 8))</f>
        <v>346.55999999999995</v>
      </c>
      <c r="P24" s="84" cm="1">
        <f t="array" ref="P24">SUM(INDEX(_xlfn._xlws.FILTER($B$6:$L$2160, $B$6:$B$2160=N24), 0, 10))</f>
        <v>456</v>
      </c>
      <c r="Q24" s="84" cm="1">
        <f t="array" ref="Q24">SUM(INDEX(_xlfn._xlws.FILTER($B$6:$L$2160, $B$6:$B$2160=N24), 0, 11))</f>
        <v>-109.44000000000005</v>
      </c>
    </row>
    <row r="25" spans="2:17" x14ac:dyDescent="0.2">
      <c r="B25">
        <v>10254</v>
      </c>
      <c r="C25">
        <v>74</v>
      </c>
      <c r="D25" s="84">
        <v>8</v>
      </c>
      <c r="E25">
        <v>21</v>
      </c>
      <c r="F25" s="85">
        <v>0</v>
      </c>
      <c r="G25" s="86">
        <f t="shared" si="0"/>
        <v>168</v>
      </c>
      <c r="H25" s="86">
        <f t="shared" si="1"/>
        <v>0</v>
      </c>
      <c r="I25" s="86">
        <f t="shared" si="2"/>
        <v>168</v>
      </c>
      <c r="J25" s="84">
        <f>VLOOKUP(C25, Products[], 6)</f>
        <v>10</v>
      </c>
      <c r="K25" s="86">
        <f t="shared" si="3"/>
        <v>210</v>
      </c>
      <c r="L25" s="86">
        <f t="shared" si="4"/>
        <v>-42</v>
      </c>
      <c r="N25">
        <v>10267</v>
      </c>
      <c r="O25" s="84" cm="1">
        <f t="array" ref="O25">SUM(INDEX(_xlfn._xlws.FILTER($B$6:$L$2160, $B$6:$B$2160=N25), 0, 8))</f>
        <v>3536.6</v>
      </c>
      <c r="P25" s="84" cm="1">
        <f t="array" ref="P25">SUM(INDEX(_xlfn._xlws.FILTER($B$6:$L$2160, $B$6:$B$2160=N25), 0, 10))</f>
        <v>5040</v>
      </c>
      <c r="Q25" s="84" cm="1">
        <f t="array" ref="Q25">SUM(INDEX(_xlfn._xlws.FILTER($B$6:$L$2160, $B$6:$B$2160=N25), 0, 11))</f>
        <v>-1503.4</v>
      </c>
    </row>
    <row r="26" spans="2:17" x14ac:dyDescent="0.2">
      <c r="B26">
        <v>10255</v>
      </c>
      <c r="C26">
        <v>2</v>
      </c>
      <c r="D26" s="84">
        <v>15.2</v>
      </c>
      <c r="E26">
        <v>20</v>
      </c>
      <c r="F26" s="85">
        <v>0</v>
      </c>
      <c r="G26" s="86">
        <f t="shared" si="0"/>
        <v>304</v>
      </c>
      <c r="H26" s="86">
        <f t="shared" si="1"/>
        <v>0</v>
      </c>
      <c r="I26" s="86">
        <f t="shared" si="2"/>
        <v>304</v>
      </c>
      <c r="J26" s="84">
        <f>VLOOKUP(C26, Products[], 6)</f>
        <v>19</v>
      </c>
      <c r="K26" s="86">
        <f t="shared" si="3"/>
        <v>380</v>
      </c>
      <c r="L26" s="86">
        <f t="shared" si="4"/>
        <v>-76</v>
      </c>
      <c r="N26">
        <v>10268</v>
      </c>
      <c r="O26" s="84" cm="1">
        <f t="array" ref="O26">SUM(INDEX(_xlfn._xlws.FILTER($B$6:$L$2160, $B$6:$B$2160=N26), 0, 8))</f>
        <v>1101.2</v>
      </c>
      <c r="P26" s="84" cm="1">
        <f t="array" ref="P26">SUM(INDEX(_xlfn._xlws.FILTER($B$6:$L$2160, $B$6:$B$2160=N26), 0, 10))</f>
        <v>1377.1000000000001</v>
      </c>
      <c r="Q26" s="84" cm="1">
        <f t="array" ref="Q26">SUM(INDEX(_xlfn._xlws.FILTER($B$6:$L$2160, $B$6:$B$2160=N26), 0, 11))</f>
        <v>-275.90000000000009</v>
      </c>
    </row>
    <row r="27" spans="2:17" x14ac:dyDescent="0.2">
      <c r="B27">
        <v>10255</v>
      </c>
      <c r="C27">
        <v>16</v>
      </c>
      <c r="D27" s="84">
        <v>13.9</v>
      </c>
      <c r="E27">
        <v>35</v>
      </c>
      <c r="F27" s="85">
        <v>0</v>
      </c>
      <c r="G27" s="86">
        <f t="shared" si="0"/>
        <v>486.5</v>
      </c>
      <c r="H27" s="86">
        <f t="shared" si="1"/>
        <v>0</v>
      </c>
      <c r="I27" s="86">
        <f t="shared" si="2"/>
        <v>486.5</v>
      </c>
      <c r="J27" s="84">
        <f>VLOOKUP(C27, Products[], 6)</f>
        <v>17.45</v>
      </c>
      <c r="K27" s="86">
        <f t="shared" si="3"/>
        <v>610.75</v>
      </c>
      <c r="L27" s="86">
        <f t="shared" si="4"/>
        <v>-124.25</v>
      </c>
      <c r="N27">
        <v>10269</v>
      </c>
      <c r="O27" s="84" cm="1">
        <f t="array" ref="O27">SUM(INDEX(_xlfn._xlws.FILTER($B$6:$L$2160, $B$6:$B$2160=N27), 0, 8))</f>
        <v>642.20000000000005</v>
      </c>
      <c r="P27" s="84" cm="1">
        <f t="array" ref="P27">SUM(INDEX(_xlfn._xlws.FILTER($B$6:$L$2160, $B$6:$B$2160=N27), 0, 10))</f>
        <v>846</v>
      </c>
      <c r="Q27" s="84" cm="1">
        <f t="array" ref="Q27">SUM(INDEX(_xlfn._xlws.FILTER($B$6:$L$2160, $B$6:$B$2160=N27), 0, 11))</f>
        <v>-203.79999999999995</v>
      </c>
    </row>
    <row r="28" spans="2:17" x14ac:dyDescent="0.2">
      <c r="B28">
        <v>10255</v>
      </c>
      <c r="C28">
        <v>36</v>
      </c>
      <c r="D28" s="84">
        <v>15.2</v>
      </c>
      <c r="E28">
        <v>25</v>
      </c>
      <c r="F28" s="85">
        <v>0</v>
      </c>
      <c r="G28" s="86">
        <f t="shared" si="0"/>
        <v>380</v>
      </c>
      <c r="H28" s="86">
        <f t="shared" si="1"/>
        <v>0</v>
      </c>
      <c r="I28" s="86">
        <f t="shared" si="2"/>
        <v>380</v>
      </c>
      <c r="J28" s="84">
        <f>VLOOKUP(C28, Products[], 6)</f>
        <v>19</v>
      </c>
      <c r="K28" s="86">
        <f t="shared" si="3"/>
        <v>475</v>
      </c>
      <c r="L28" s="86">
        <f t="shared" si="4"/>
        <v>-95</v>
      </c>
      <c r="N28">
        <v>10270</v>
      </c>
      <c r="O28" s="84" cm="1">
        <f t="array" ref="O28">SUM(INDEX(_xlfn._xlws.FILTER($B$6:$L$2160, $B$6:$B$2160=N28), 0, 8))</f>
        <v>1376</v>
      </c>
      <c r="P28" s="84" cm="1">
        <f t="array" ref="P28">SUM(INDEX(_xlfn._xlws.FILTER($B$6:$L$2160, $B$6:$B$2160=N28), 0, 10))</f>
        <v>1720</v>
      </c>
      <c r="Q28" s="84" cm="1">
        <f t="array" ref="Q28">SUM(INDEX(_xlfn._xlws.FILTER($B$6:$L$2160, $B$6:$B$2160=N28), 0, 11))</f>
        <v>-344.00000000000011</v>
      </c>
    </row>
    <row r="29" spans="2:17" x14ac:dyDescent="0.2">
      <c r="B29">
        <v>10255</v>
      </c>
      <c r="C29">
        <v>59</v>
      </c>
      <c r="D29" s="84">
        <v>44</v>
      </c>
      <c r="E29">
        <v>30</v>
      </c>
      <c r="F29" s="85">
        <v>0</v>
      </c>
      <c r="G29" s="86">
        <f t="shared" si="0"/>
        <v>1320</v>
      </c>
      <c r="H29" s="86">
        <f t="shared" si="1"/>
        <v>0</v>
      </c>
      <c r="I29" s="86">
        <f t="shared" si="2"/>
        <v>1320</v>
      </c>
      <c r="J29" s="84">
        <f>VLOOKUP(C29, Products[], 6)</f>
        <v>55</v>
      </c>
      <c r="K29" s="86">
        <f t="shared" si="3"/>
        <v>1650</v>
      </c>
      <c r="L29" s="86">
        <f t="shared" si="4"/>
        <v>-330</v>
      </c>
      <c r="N29">
        <v>10271</v>
      </c>
      <c r="O29" s="84" cm="1">
        <f t="array" ref="O29">SUM(INDEX(_xlfn._xlws.FILTER($B$6:$L$2160, $B$6:$B$2160=N29), 0, 8))</f>
        <v>48</v>
      </c>
      <c r="P29" s="84" cm="1">
        <f t="array" ref="P29">SUM(INDEX(_xlfn._xlws.FILTER($B$6:$L$2160, $B$6:$B$2160=N29), 0, 10))</f>
        <v>60</v>
      </c>
      <c r="Q29" s="84" cm="1">
        <f t="array" ref="Q29">SUM(INDEX(_xlfn._xlws.FILTER($B$6:$L$2160, $B$6:$B$2160=N29), 0, 11))</f>
        <v>-12</v>
      </c>
    </row>
    <row r="30" spans="2:17" x14ac:dyDescent="0.2">
      <c r="B30">
        <v>10256</v>
      </c>
      <c r="C30">
        <v>53</v>
      </c>
      <c r="D30" s="84">
        <v>26.2</v>
      </c>
      <c r="E30">
        <v>15</v>
      </c>
      <c r="F30" s="85">
        <v>0</v>
      </c>
      <c r="G30" s="86">
        <f t="shared" si="0"/>
        <v>393</v>
      </c>
      <c r="H30" s="86">
        <f t="shared" si="1"/>
        <v>0</v>
      </c>
      <c r="I30" s="86">
        <f t="shared" si="2"/>
        <v>393</v>
      </c>
      <c r="J30" s="84">
        <f>VLOOKUP(C30, Products[], 6)</f>
        <v>32.799999999999997</v>
      </c>
      <c r="K30" s="86">
        <f t="shared" si="3"/>
        <v>491.99999999999994</v>
      </c>
      <c r="L30" s="86">
        <f t="shared" si="4"/>
        <v>-98.999999999999943</v>
      </c>
      <c r="N30">
        <v>10272</v>
      </c>
      <c r="O30" s="84" cm="1">
        <f t="array" ref="O30">SUM(INDEX(_xlfn._xlws.FILTER($B$6:$L$2160, $B$6:$B$2160=N30), 0, 8))</f>
        <v>1456</v>
      </c>
      <c r="P30" s="84" cm="1">
        <f t="array" ref="P30">SUM(INDEX(_xlfn._xlws.FILTER($B$6:$L$2160, $B$6:$B$2160=N30), 0, 10))</f>
        <v>1821.1999999999998</v>
      </c>
      <c r="Q30" s="84" cm="1">
        <f t="array" ref="Q30">SUM(INDEX(_xlfn._xlws.FILTER($B$6:$L$2160, $B$6:$B$2160=N30), 0, 11))</f>
        <v>-365.19999999999993</v>
      </c>
    </row>
    <row r="31" spans="2:17" x14ac:dyDescent="0.2">
      <c r="B31">
        <v>10256</v>
      </c>
      <c r="C31">
        <v>77</v>
      </c>
      <c r="D31" s="84">
        <v>10.4</v>
      </c>
      <c r="E31">
        <v>12</v>
      </c>
      <c r="F31" s="85">
        <v>0</v>
      </c>
      <c r="G31" s="86">
        <f t="shared" si="0"/>
        <v>124.80000000000001</v>
      </c>
      <c r="H31" s="86">
        <f t="shared" si="1"/>
        <v>0</v>
      </c>
      <c r="I31" s="86">
        <f t="shared" si="2"/>
        <v>124.80000000000001</v>
      </c>
      <c r="J31" s="84">
        <f>VLOOKUP(C31, Products[], 6)</f>
        <v>13</v>
      </c>
      <c r="K31" s="86">
        <f t="shared" si="3"/>
        <v>156</v>
      </c>
      <c r="L31" s="86">
        <f t="shared" si="4"/>
        <v>-31.199999999999989</v>
      </c>
      <c r="N31">
        <v>10273</v>
      </c>
      <c r="O31" s="84" cm="1">
        <f t="array" ref="O31">SUM(INDEX(_xlfn._xlws.FILTER($B$6:$L$2160, $B$6:$B$2160=N31), 0, 8))</f>
        <v>2037.2800000000002</v>
      </c>
      <c r="P31" s="84" cm="1">
        <f t="array" ref="P31">SUM(INDEX(_xlfn._xlws.FILTER($B$6:$L$2160, $B$6:$B$2160=N31), 0, 10))</f>
        <v>2679.5</v>
      </c>
      <c r="Q31" s="84" cm="1">
        <f t="array" ref="Q31">SUM(INDEX(_xlfn._xlws.FILTER($B$6:$L$2160, $B$6:$B$2160=N31), 0, 11))</f>
        <v>-642.22</v>
      </c>
    </row>
    <row r="32" spans="2:17" x14ac:dyDescent="0.2">
      <c r="B32">
        <v>10257</v>
      </c>
      <c r="C32">
        <v>27</v>
      </c>
      <c r="D32" s="84">
        <v>35.1</v>
      </c>
      <c r="E32">
        <v>25</v>
      </c>
      <c r="F32" s="85">
        <v>0</v>
      </c>
      <c r="G32" s="86">
        <f t="shared" si="0"/>
        <v>877.5</v>
      </c>
      <c r="H32" s="86">
        <f t="shared" si="1"/>
        <v>0</v>
      </c>
      <c r="I32" s="86">
        <f t="shared" si="2"/>
        <v>877.5</v>
      </c>
      <c r="J32" s="84">
        <f>VLOOKUP(C32, Products[], 6)</f>
        <v>43.9</v>
      </c>
      <c r="K32" s="86">
        <f t="shared" si="3"/>
        <v>1097.5</v>
      </c>
      <c r="L32" s="86">
        <f t="shared" si="4"/>
        <v>-220</v>
      </c>
      <c r="N32">
        <v>10274</v>
      </c>
      <c r="O32" s="84" cm="1">
        <f t="array" ref="O32">SUM(INDEX(_xlfn._xlws.FILTER($B$6:$L$2160, $B$6:$B$2160=N32), 0, 8))</f>
        <v>538.6</v>
      </c>
      <c r="P32" s="84" cm="1">
        <f t="array" ref="P32">SUM(INDEX(_xlfn._xlws.FILTER($B$6:$L$2160, $B$6:$B$2160=N32), 0, 10))</f>
        <v>673.59999999999991</v>
      </c>
      <c r="Q32" s="84" cm="1">
        <f t="array" ref="Q32">SUM(INDEX(_xlfn._xlws.FILTER($B$6:$L$2160, $B$6:$B$2160=N32), 0, 11))</f>
        <v>-134.99999999999997</v>
      </c>
    </row>
    <row r="33" spans="2:17" x14ac:dyDescent="0.2">
      <c r="B33">
        <v>10257</v>
      </c>
      <c r="C33">
        <v>39</v>
      </c>
      <c r="D33" s="84">
        <v>14.4</v>
      </c>
      <c r="E33">
        <v>6</v>
      </c>
      <c r="F33" s="85">
        <v>0</v>
      </c>
      <c r="G33" s="86">
        <f t="shared" si="0"/>
        <v>86.4</v>
      </c>
      <c r="H33" s="86">
        <f t="shared" si="1"/>
        <v>0</v>
      </c>
      <c r="I33" s="86">
        <f t="shared" si="2"/>
        <v>86.4</v>
      </c>
      <c r="J33" s="84">
        <f>VLOOKUP(C33, Products[], 6)</f>
        <v>18</v>
      </c>
      <c r="K33" s="86">
        <f t="shared" si="3"/>
        <v>108</v>
      </c>
      <c r="L33" s="86">
        <f t="shared" si="4"/>
        <v>-21.599999999999994</v>
      </c>
      <c r="N33">
        <v>10275</v>
      </c>
      <c r="O33" s="84" cm="1">
        <f t="array" ref="O33">SUM(INDEX(_xlfn._xlws.FILTER($B$6:$L$2160, $B$6:$B$2160=N33), 0, 8))</f>
        <v>291.84000000000003</v>
      </c>
      <c r="P33" s="84" cm="1">
        <f t="array" ref="P33">SUM(INDEX(_xlfn._xlws.FILTER($B$6:$L$2160, $B$6:$B$2160=N33), 0, 10))</f>
        <v>384</v>
      </c>
      <c r="Q33" s="84" cm="1">
        <f t="array" ref="Q33">SUM(INDEX(_xlfn._xlws.FILTER($B$6:$L$2160, $B$6:$B$2160=N33), 0, 11))</f>
        <v>-92.159999999999982</v>
      </c>
    </row>
    <row r="34" spans="2:17" x14ac:dyDescent="0.2">
      <c r="B34">
        <v>10257</v>
      </c>
      <c r="C34">
        <v>77</v>
      </c>
      <c r="D34" s="84">
        <v>10.4</v>
      </c>
      <c r="E34">
        <v>15</v>
      </c>
      <c r="F34" s="85">
        <v>0</v>
      </c>
      <c r="G34" s="86">
        <f t="shared" si="0"/>
        <v>156</v>
      </c>
      <c r="H34" s="86">
        <f t="shared" si="1"/>
        <v>0</v>
      </c>
      <c r="I34" s="86">
        <f t="shared" si="2"/>
        <v>156</v>
      </c>
      <c r="J34" s="84">
        <f>VLOOKUP(C34, Products[], 6)</f>
        <v>13</v>
      </c>
      <c r="K34" s="86">
        <f t="shared" si="3"/>
        <v>195</v>
      </c>
      <c r="L34" s="86">
        <f t="shared" si="4"/>
        <v>-39</v>
      </c>
      <c r="N34">
        <v>10276</v>
      </c>
      <c r="O34" s="84" cm="1">
        <f t="array" ref="O34">SUM(INDEX(_xlfn._xlws.FILTER($B$6:$L$2160, $B$6:$B$2160=N34), 0, 8))</f>
        <v>420</v>
      </c>
      <c r="P34" s="84" cm="1">
        <f t="array" ref="P34">SUM(INDEX(_xlfn._xlws.FILTER($B$6:$L$2160, $B$6:$B$2160=N34), 0, 10))</f>
        <v>525</v>
      </c>
      <c r="Q34" s="84" cm="1">
        <f t="array" ref="Q34">SUM(INDEX(_xlfn._xlws.FILTER($B$6:$L$2160, $B$6:$B$2160=N34), 0, 11))</f>
        <v>-105</v>
      </c>
    </row>
    <row r="35" spans="2:17" x14ac:dyDescent="0.2">
      <c r="B35">
        <v>10258</v>
      </c>
      <c r="C35">
        <v>2</v>
      </c>
      <c r="D35" s="84">
        <v>15.2</v>
      </c>
      <c r="E35">
        <v>50</v>
      </c>
      <c r="F35" s="85">
        <v>0.2</v>
      </c>
      <c r="G35" s="86">
        <f t="shared" si="0"/>
        <v>760</v>
      </c>
      <c r="H35" s="86">
        <f t="shared" si="1"/>
        <v>152</v>
      </c>
      <c r="I35" s="86">
        <f t="shared" si="2"/>
        <v>608</v>
      </c>
      <c r="J35" s="84">
        <f>VLOOKUP(C35, Products[], 6)</f>
        <v>19</v>
      </c>
      <c r="K35" s="86">
        <f t="shared" si="3"/>
        <v>950</v>
      </c>
      <c r="L35" s="86">
        <f t="shared" si="4"/>
        <v>-342</v>
      </c>
      <c r="N35">
        <v>10277</v>
      </c>
      <c r="O35" s="84" cm="1">
        <f t="array" ref="O35">SUM(INDEX(_xlfn._xlws.FILTER($B$6:$L$2160, $B$6:$B$2160=N35), 0, 8))</f>
        <v>1200.8</v>
      </c>
      <c r="P35" s="84" cm="1">
        <f t="array" ref="P35">SUM(INDEX(_xlfn._xlws.FILTER($B$6:$L$2160, $B$6:$B$2160=N35), 0, 10))</f>
        <v>1503.6</v>
      </c>
      <c r="Q35" s="84" cm="1">
        <f t="array" ref="Q35">SUM(INDEX(_xlfn._xlws.FILTER($B$6:$L$2160, $B$6:$B$2160=N35), 0, 11))</f>
        <v>-302.79999999999995</v>
      </c>
    </row>
    <row r="36" spans="2:17" x14ac:dyDescent="0.2">
      <c r="B36">
        <v>10258</v>
      </c>
      <c r="C36">
        <v>5</v>
      </c>
      <c r="D36" s="84">
        <v>17</v>
      </c>
      <c r="E36">
        <v>65</v>
      </c>
      <c r="F36" s="85">
        <v>0.2</v>
      </c>
      <c r="G36" s="86">
        <f t="shared" si="0"/>
        <v>1105</v>
      </c>
      <c r="H36" s="86">
        <f t="shared" si="1"/>
        <v>221</v>
      </c>
      <c r="I36" s="86">
        <f t="shared" si="2"/>
        <v>884</v>
      </c>
      <c r="J36" s="84">
        <f>VLOOKUP(C36, Products[], 6)</f>
        <v>21.35</v>
      </c>
      <c r="K36" s="86">
        <f t="shared" si="3"/>
        <v>1387.75</v>
      </c>
      <c r="L36" s="86">
        <f t="shared" si="4"/>
        <v>-503.75</v>
      </c>
      <c r="N36">
        <v>10278</v>
      </c>
      <c r="O36" s="84" cm="1">
        <f t="array" ref="O36">SUM(INDEX(_xlfn._xlws.FILTER($B$6:$L$2160, $B$6:$B$2160=N36), 0, 8))</f>
        <v>1488.8</v>
      </c>
      <c r="P36" s="84" cm="1">
        <f t="array" ref="P36">SUM(INDEX(_xlfn._xlws.FILTER($B$6:$L$2160, $B$6:$B$2160=N36), 0, 10))</f>
        <v>1862.4</v>
      </c>
      <c r="Q36" s="84" cm="1">
        <f t="array" ref="Q36">SUM(INDEX(_xlfn._xlws.FILTER($B$6:$L$2160, $B$6:$B$2160=N36), 0, 11))</f>
        <v>-373.59999999999997</v>
      </c>
    </row>
    <row r="37" spans="2:17" x14ac:dyDescent="0.2">
      <c r="B37">
        <v>10258</v>
      </c>
      <c r="C37">
        <v>32</v>
      </c>
      <c r="D37" s="84">
        <v>25.6</v>
      </c>
      <c r="E37">
        <v>6</v>
      </c>
      <c r="F37" s="85">
        <v>0.2</v>
      </c>
      <c r="G37" s="86">
        <f t="shared" si="0"/>
        <v>153.60000000000002</v>
      </c>
      <c r="H37" s="86">
        <f t="shared" si="1"/>
        <v>30.720000000000006</v>
      </c>
      <c r="I37" s="86">
        <f t="shared" si="2"/>
        <v>122.88000000000002</v>
      </c>
      <c r="J37" s="84">
        <f>VLOOKUP(C37, Products[], 6)</f>
        <v>32</v>
      </c>
      <c r="K37" s="86">
        <f t="shared" si="3"/>
        <v>192</v>
      </c>
      <c r="L37" s="86">
        <f t="shared" si="4"/>
        <v>-69.119999999999976</v>
      </c>
      <c r="N37">
        <v>10279</v>
      </c>
      <c r="O37" s="84" cm="1">
        <f t="array" ref="O37">SUM(INDEX(_xlfn._xlws.FILTER($B$6:$L$2160, $B$6:$B$2160=N37), 0, 8))</f>
        <v>351</v>
      </c>
      <c r="P37" s="84" cm="1">
        <f t="array" ref="P37">SUM(INDEX(_xlfn._xlws.FILTER($B$6:$L$2160, $B$6:$B$2160=N37), 0, 10))</f>
        <v>585</v>
      </c>
      <c r="Q37" s="84" cm="1">
        <f t="array" ref="Q37">SUM(INDEX(_xlfn._xlws.FILTER($B$6:$L$2160, $B$6:$B$2160=N37), 0, 11))</f>
        <v>-234</v>
      </c>
    </row>
    <row r="38" spans="2:17" x14ac:dyDescent="0.2">
      <c r="B38">
        <v>10259</v>
      </c>
      <c r="C38">
        <v>21</v>
      </c>
      <c r="D38" s="84">
        <v>8</v>
      </c>
      <c r="E38">
        <v>10</v>
      </c>
      <c r="F38" s="85">
        <v>0</v>
      </c>
      <c r="G38" s="86">
        <f t="shared" si="0"/>
        <v>80</v>
      </c>
      <c r="H38" s="86">
        <f t="shared" si="1"/>
        <v>0</v>
      </c>
      <c r="I38" s="86">
        <f t="shared" si="2"/>
        <v>80</v>
      </c>
      <c r="J38" s="84">
        <f>VLOOKUP(C38, Products[], 6)</f>
        <v>10</v>
      </c>
      <c r="K38" s="86">
        <f t="shared" si="3"/>
        <v>100</v>
      </c>
      <c r="L38" s="86">
        <f t="shared" si="4"/>
        <v>-20</v>
      </c>
      <c r="N38">
        <v>10280</v>
      </c>
      <c r="O38" s="84" cm="1">
        <f t="array" ref="O38">SUM(INDEX(_xlfn._xlws.FILTER($B$6:$L$2160, $B$6:$B$2160=N38), 0, 8))</f>
        <v>613.20000000000005</v>
      </c>
      <c r="P38" s="84" cm="1">
        <f t="array" ref="P38">SUM(INDEX(_xlfn._xlws.FILTER($B$6:$L$2160, $B$6:$B$2160=N38), 0, 10))</f>
        <v>766.5</v>
      </c>
      <c r="Q38" s="84" cm="1">
        <f t="array" ref="Q38">SUM(INDEX(_xlfn._xlws.FILTER($B$6:$L$2160, $B$6:$B$2160=N38), 0, 11))</f>
        <v>-153.30000000000001</v>
      </c>
    </row>
    <row r="39" spans="2:17" x14ac:dyDescent="0.2">
      <c r="B39">
        <v>10259</v>
      </c>
      <c r="C39">
        <v>37</v>
      </c>
      <c r="D39" s="84">
        <v>20.8</v>
      </c>
      <c r="E39">
        <v>1</v>
      </c>
      <c r="F39" s="85">
        <v>0</v>
      </c>
      <c r="G39" s="86">
        <f t="shared" si="0"/>
        <v>20.8</v>
      </c>
      <c r="H39" s="86">
        <f t="shared" si="1"/>
        <v>0</v>
      </c>
      <c r="I39" s="86">
        <f t="shared" si="2"/>
        <v>20.8</v>
      </c>
      <c r="J39" s="84">
        <f>VLOOKUP(C39, Products[], 6)</f>
        <v>26</v>
      </c>
      <c r="K39" s="86">
        <f t="shared" si="3"/>
        <v>26</v>
      </c>
      <c r="L39" s="86">
        <f t="shared" si="4"/>
        <v>-5.1999999999999993</v>
      </c>
      <c r="N39">
        <v>10281</v>
      </c>
      <c r="O39" s="84" cm="1">
        <f t="array" ref="O39">SUM(INDEX(_xlfn._xlws.FILTER($B$6:$L$2160, $B$6:$B$2160=N39), 0, 8))</f>
        <v>86.5</v>
      </c>
      <c r="P39" s="84" cm="1">
        <f t="array" ref="P39">SUM(INDEX(_xlfn._xlws.FILTER($B$6:$L$2160, $B$6:$B$2160=N39), 0, 10))</f>
        <v>108.2</v>
      </c>
      <c r="Q39" s="84" cm="1">
        <f t="array" ref="Q39">SUM(INDEX(_xlfn._xlws.FILTER($B$6:$L$2160, $B$6:$B$2160=N39), 0, 11))</f>
        <v>-21.699999999999996</v>
      </c>
    </row>
    <row r="40" spans="2:17" x14ac:dyDescent="0.2">
      <c r="B40">
        <v>10260</v>
      </c>
      <c r="C40">
        <v>41</v>
      </c>
      <c r="D40" s="84">
        <v>7.7</v>
      </c>
      <c r="E40">
        <v>16</v>
      </c>
      <c r="F40" s="85">
        <v>0.25</v>
      </c>
      <c r="G40" s="86">
        <f t="shared" si="0"/>
        <v>123.2</v>
      </c>
      <c r="H40" s="86">
        <f t="shared" si="1"/>
        <v>30.8</v>
      </c>
      <c r="I40" s="86">
        <f t="shared" si="2"/>
        <v>92.4</v>
      </c>
      <c r="J40" s="84">
        <f>VLOOKUP(C40, Products[], 6)</f>
        <v>9.65</v>
      </c>
      <c r="K40" s="86">
        <f t="shared" si="3"/>
        <v>154.4</v>
      </c>
      <c r="L40" s="86">
        <f t="shared" si="4"/>
        <v>-62</v>
      </c>
      <c r="N40">
        <v>10282</v>
      </c>
      <c r="O40" s="84" cm="1">
        <f t="array" ref="O40">SUM(INDEX(_xlfn._xlws.FILTER($B$6:$L$2160, $B$6:$B$2160=N40), 0, 8))</f>
        <v>155.39999999999998</v>
      </c>
      <c r="P40" s="84" cm="1">
        <f t="array" ref="P40">SUM(INDEX(_xlfn._xlws.FILTER($B$6:$L$2160, $B$6:$B$2160=N40), 0, 10))</f>
        <v>194.34</v>
      </c>
      <c r="Q40" s="84" cm="1">
        <f t="array" ref="Q40">SUM(INDEX(_xlfn._xlws.FILTER($B$6:$L$2160, $B$6:$B$2160=N40), 0, 11))</f>
        <v>-38.940000000000012</v>
      </c>
    </row>
    <row r="41" spans="2:17" x14ac:dyDescent="0.2">
      <c r="B41">
        <v>10260</v>
      </c>
      <c r="C41">
        <v>57</v>
      </c>
      <c r="D41" s="84">
        <v>15.6</v>
      </c>
      <c r="E41">
        <v>50</v>
      </c>
      <c r="F41" s="85">
        <v>0</v>
      </c>
      <c r="G41" s="86">
        <f t="shared" si="0"/>
        <v>780</v>
      </c>
      <c r="H41" s="86">
        <f t="shared" si="1"/>
        <v>0</v>
      </c>
      <c r="I41" s="86">
        <f t="shared" si="2"/>
        <v>780</v>
      </c>
      <c r="J41" s="84">
        <f>VLOOKUP(C41, Products[], 6)</f>
        <v>19.5</v>
      </c>
      <c r="K41" s="86">
        <f t="shared" si="3"/>
        <v>975</v>
      </c>
      <c r="L41" s="86">
        <f t="shared" si="4"/>
        <v>-195</v>
      </c>
      <c r="N41">
        <v>10283</v>
      </c>
      <c r="O41" s="84" cm="1">
        <f t="array" ref="O41">SUM(INDEX(_xlfn._xlws.FILTER($B$6:$L$2160, $B$6:$B$2160=N41), 0, 8))</f>
        <v>1414.8000000000002</v>
      </c>
      <c r="P41" s="84" cm="1">
        <f t="array" ref="P41">SUM(INDEX(_xlfn._xlws.FILTER($B$6:$L$2160, $B$6:$B$2160=N41), 0, 10))</f>
        <v>1770</v>
      </c>
      <c r="Q41" s="84" cm="1">
        <f t="array" ref="Q41">SUM(INDEX(_xlfn._xlws.FILTER($B$6:$L$2160, $B$6:$B$2160=N41), 0, 11))</f>
        <v>-355.2</v>
      </c>
    </row>
    <row r="42" spans="2:17" x14ac:dyDescent="0.2">
      <c r="B42">
        <v>10260</v>
      </c>
      <c r="C42">
        <v>62</v>
      </c>
      <c r="D42" s="84">
        <v>39.4</v>
      </c>
      <c r="E42">
        <v>15</v>
      </c>
      <c r="F42" s="85">
        <v>0.25</v>
      </c>
      <c r="G42" s="86">
        <f t="shared" si="0"/>
        <v>591</v>
      </c>
      <c r="H42" s="86">
        <f t="shared" si="1"/>
        <v>147.75</v>
      </c>
      <c r="I42" s="86">
        <f t="shared" si="2"/>
        <v>443.25</v>
      </c>
      <c r="J42" s="84">
        <f>VLOOKUP(C42, Products[], 6)</f>
        <v>49.3</v>
      </c>
      <c r="K42" s="86">
        <f t="shared" si="3"/>
        <v>739.5</v>
      </c>
      <c r="L42" s="86">
        <f t="shared" si="4"/>
        <v>-296.25</v>
      </c>
      <c r="N42">
        <v>10284</v>
      </c>
      <c r="O42" s="84" cm="1">
        <f t="array" ref="O42">SUM(INDEX(_xlfn._xlws.FILTER($B$6:$L$2160, $B$6:$B$2160=N42), 0, 8))</f>
        <v>1170.375</v>
      </c>
      <c r="P42" s="84" cm="1">
        <f t="array" ref="P42">SUM(INDEX(_xlfn._xlws.FILTER($B$6:$L$2160, $B$6:$B$2160=N42), 0, 10))</f>
        <v>1816.95</v>
      </c>
      <c r="Q42" s="84" cm="1">
        <f t="array" ref="Q42">SUM(INDEX(_xlfn._xlws.FILTER($B$6:$L$2160, $B$6:$B$2160=N42), 0, 11))</f>
        <v>-646.57500000000005</v>
      </c>
    </row>
    <row r="43" spans="2:17" x14ac:dyDescent="0.2">
      <c r="B43">
        <v>10260</v>
      </c>
      <c r="C43">
        <v>70</v>
      </c>
      <c r="D43" s="84">
        <v>12</v>
      </c>
      <c r="E43">
        <v>21</v>
      </c>
      <c r="F43" s="85">
        <v>0.25</v>
      </c>
      <c r="G43" s="86">
        <f t="shared" si="0"/>
        <v>252</v>
      </c>
      <c r="H43" s="86">
        <f t="shared" si="1"/>
        <v>63</v>
      </c>
      <c r="I43" s="86">
        <f t="shared" si="2"/>
        <v>189</v>
      </c>
      <c r="J43" s="84">
        <f>VLOOKUP(C43, Products[], 6)</f>
        <v>15</v>
      </c>
      <c r="K43" s="86">
        <f t="shared" si="3"/>
        <v>315</v>
      </c>
      <c r="L43" s="86">
        <f t="shared" si="4"/>
        <v>-126</v>
      </c>
      <c r="N43">
        <v>10285</v>
      </c>
      <c r="O43" s="84" cm="1">
        <f t="array" ref="O43">SUM(INDEX(_xlfn._xlws.FILTER($B$6:$L$2160, $B$6:$B$2160=N43), 0, 8))</f>
        <v>1743.36</v>
      </c>
      <c r="P43" s="84" cm="1">
        <f t="array" ref="P43">SUM(INDEX(_xlfn._xlws.FILTER($B$6:$L$2160, $B$6:$B$2160=N43), 0, 10))</f>
        <v>2726.8</v>
      </c>
      <c r="Q43" s="84" cm="1">
        <f t="array" ref="Q43">SUM(INDEX(_xlfn._xlws.FILTER($B$6:$L$2160, $B$6:$B$2160=N43), 0, 11))</f>
        <v>-983.44</v>
      </c>
    </row>
    <row r="44" spans="2:17" x14ac:dyDescent="0.2">
      <c r="B44">
        <v>10261</v>
      </c>
      <c r="C44">
        <v>21</v>
      </c>
      <c r="D44" s="84">
        <v>8</v>
      </c>
      <c r="E44">
        <v>20</v>
      </c>
      <c r="F44" s="85">
        <v>0</v>
      </c>
      <c r="G44" s="86">
        <f t="shared" si="0"/>
        <v>160</v>
      </c>
      <c r="H44" s="86">
        <f t="shared" si="1"/>
        <v>0</v>
      </c>
      <c r="I44" s="86">
        <f t="shared" si="2"/>
        <v>160</v>
      </c>
      <c r="J44" s="84">
        <f>VLOOKUP(C44, Products[], 6)</f>
        <v>10</v>
      </c>
      <c r="K44" s="86">
        <f t="shared" si="3"/>
        <v>200</v>
      </c>
      <c r="L44" s="86">
        <f t="shared" si="4"/>
        <v>-40</v>
      </c>
      <c r="N44">
        <v>10286</v>
      </c>
      <c r="O44" s="84" cm="1">
        <f t="array" ref="O44">SUM(INDEX(_xlfn._xlws.FILTER($B$6:$L$2160, $B$6:$B$2160=N44), 0, 8))</f>
        <v>3016</v>
      </c>
      <c r="P44" s="84" cm="1">
        <f t="array" ref="P44">SUM(INDEX(_xlfn._xlws.FILTER($B$6:$L$2160, $B$6:$B$2160=N44), 0, 10))</f>
        <v>3772</v>
      </c>
      <c r="Q44" s="84" cm="1">
        <f t="array" ref="Q44">SUM(INDEX(_xlfn._xlws.FILTER($B$6:$L$2160, $B$6:$B$2160=N44), 0, 11))</f>
        <v>-756</v>
      </c>
    </row>
    <row r="45" spans="2:17" x14ac:dyDescent="0.2">
      <c r="B45">
        <v>10261</v>
      </c>
      <c r="C45">
        <v>35</v>
      </c>
      <c r="D45" s="84">
        <v>14.4</v>
      </c>
      <c r="E45">
        <v>20</v>
      </c>
      <c r="F45" s="85">
        <v>0</v>
      </c>
      <c r="G45" s="86">
        <f t="shared" si="0"/>
        <v>288</v>
      </c>
      <c r="H45" s="86">
        <f t="shared" si="1"/>
        <v>0</v>
      </c>
      <c r="I45" s="86">
        <f t="shared" si="2"/>
        <v>288</v>
      </c>
      <c r="J45" s="84">
        <f>VLOOKUP(C45, Products[], 6)</f>
        <v>18</v>
      </c>
      <c r="K45" s="86">
        <f t="shared" si="3"/>
        <v>360</v>
      </c>
      <c r="L45" s="86">
        <f t="shared" si="4"/>
        <v>-72</v>
      </c>
      <c r="N45">
        <v>10287</v>
      </c>
      <c r="O45" s="84" cm="1">
        <f t="array" ref="O45">SUM(INDEX(_xlfn._xlws.FILTER($B$6:$L$2160, $B$6:$B$2160=N45), 0, 8))</f>
        <v>819</v>
      </c>
      <c r="P45" s="84" cm="1">
        <f t="array" ref="P45">SUM(INDEX(_xlfn._xlws.FILTER($B$6:$L$2160, $B$6:$B$2160=N45), 0, 10))</f>
        <v>1158</v>
      </c>
      <c r="Q45" s="84" cm="1">
        <f t="array" ref="Q45">SUM(INDEX(_xlfn._xlws.FILTER($B$6:$L$2160, $B$6:$B$2160=N45), 0, 11))</f>
        <v>-339</v>
      </c>
    </row>
    <row r="46" spans="2:17" x14ac:dyDescent="0.2">
      <c r="B46">
        <v>10262</v>
      </c>
      <c r="C46">
        <v>5</v>
      </c>
      <c r="D46" s="84">
        <v>17</v>
      </c>
      <c r="E46">
        <v>12</v>
      </c>
      <c r="F46" s="85">
        <v>0.2</v>
      </c>
      <c r="G46" s="86">
        <f t="shared" si="0"/>
        <v>204</v>
      </c>
      <c r="H46" s="86">
        <f t="shared" si="1"/>
        <v>40.800000000000004</v>
      </c>
      <c r="I46" s="86">
        <f t="shared" si="2"/>
        <v>163.19999999999999</v>
      </c>
      <c r="J46" s="84">
        <f>VLOOKUP(C46, Products[], 6)</f>
        <v>21.35</v>
      </c>
      <c r="K46" s="86">
        <f t="shared" si="3"/>
        <v>256.20000000000005</v>
      </c>
      <c r="L46" s="86">
        <f t="shared" si="4"/>
        <v>-93.000000000000057</v>
      </c>
      <c r="N46">
        <v>10288</v>
      </c>
      <c r="O46" s="84" cm="1">
        <f t="array" ref="O46">SUM(INDEX(_xlfn._xlws.FILTER($B$6:$L$2160, $B$6:$B$2160=N46), 0, 8))</f>
        <v>80.099999999999994</v>
      </c>
      <c r="P46" s="84" cm="1">
        <f t="array" ref="P46">SUM(INDEX(_xlfn._xlws.FILTER($B$6:$L$2160, $B$6:$B$2160=N46), 0, 10))</f>
        <v>112</v>
      </c>
      <c r="Q46" s="84" cm="1">
        <f t="array" ref="Q46">SUM(INDEX(_xlfn._xlws.FILTER($B$6:$L$2160, $B$6:$B$2160=N46), 0, 11))</f>
        <v>-31.9</v>
      </c>
    </row>
    <row r="47" spans="2:17" x14ac:dyDescent="0.2">
      <c r="B47">
        <v>10262</v>
      </c>
      <c r="C47">
        <v>7</v>
      </c>
      <c r="D47" s="84">
        <v>24</v>
      </c>
      <c r="E47">
        <v>15</v>
      </c>
      <c r="F47" s="85">
        <v>0</v>
      </c>
      <c r="G47" s="86">
        <f t="shared" si="0"/>
        <v>360</v>
      </c>
      <c r="H47" s="86">
        <f t="shared" si="1"/>
        <v>0</v>
      </c>
      <c r="I47" s="86">
        <f t="shared" si="2"/>
        <v>360</v>
      </c>
      <c r="J47" s="84">
        <f>VLOOKUP(C47, Products[], 6)</f>
        <v>30</v>
      </c>
      <c r="K47" s="86">
        <f t="shared" si="3"/>
        <v>450</v>
      </c>
      <c r="L47" s="86">
        <f t="shared" si="4"/>
        <v>-90</v>
      </c>
      <c r="N47">
        <v>10289</v>
      </c>
      <c r="O47" s="84" cm="1">
        <f t="array" ref="O47">SUM(INDEX(_xlfn._xlws.FILTER($B$6:$L$2160, $B$6:$B$2160=N47), 0, 8))</f>
        <v>479.4</v>
      </c>
      <c r="P47" s="84" cm="1">
        <f t="array" ref="P47">SUM(INDEX(_xlfn._xlws.FILTER($B$6:$L$2160, $B$6:$B$2160=N47), 0, 10))</f>
        <v>599.25</v>
      </c>
      <c r="Q47" s="84" cm="1">
        <f t="array" ref="Q47">SUM(INDEX(_xlfn._xlws.FILTER($B$6:$L$2160, $B$6:$B$2160=N47), 0, 11))</f>
        <v>-119.85</v>
      </c>
    </row>
    <row r="48" spans="2:17" x14ac:dyDescent="0.2">
      <c r="B48">
        <v>10262</v>
      </c>
      <c r="C48">
        <v>56</v>
      </c>
      <c r="D48" s="84">
        <v>30.4</v>
      </c>
      <c r="E48">
        <v>2</v>
      </c>
      <c r="F48" s="85">
        <v>0</v>
      </c>
      <c r="G48" s="86">
        <f t="shared" si="0"/>
        <v>60.8</v>
      </c>
      <c r="H48" s="86">
        <f t="shared" si="1"/>
        <v>0</v>
      </c>
      <c r="I48" s="86">
        <f t="shared" si="2"/>
        <v>60.8</v>
      </c>
      <c r="J48" s="84">
        <f>VLOOKUP(C48, Products[], 6)</f>
        <v>38</v>
      </c>
      <c r="K48" s="86">
        <f t="shared" si="3"/>
        <v>76</v>
      </c>
      <c r="L48" s="86">
        <f t="shared" si="4"/>
        <v>-15.200000000000003</v>
      </c>
      <c r="N48">
        <v>10290</v>
      </c>
      <c r="O48" s="84" cm="1">
        <f t="array" ref="O48">SUM(INDEX(_xlfn._xlws.FILTER($B$6:$L$2160, $B$6:$B$2160=N48), 0, 8))</f>
        <v>2169</v>
      </c>
      <c r="P48" s="84" cm="1">
        <f t="array" ref="P48">SUM(INDEX(_xlfn._xlws.FILTER($B$6:$L$2160, $B$6:$B$2160=N48), 0, 10))</f>
        <v>2713.8500000000004</v>
      </c>
      <c r="Q48" s="84" cm="1">
        <f t="array" ref="Q48">SUM(INDEX(_xlfn._xlws.FILTER($B$6:$L$2160, $B$6:$B$2160=N48), 0, 11))</f>
        <v>-544.85000000000014</v>
      </c>
    </row>
    <row r="49" spans="2:17" x14ac:dyDescent="0.2">
      <c r="B49">
        <v>10263</v>
      </c>
      <c r="C49">
        <v>16</v>
      </c>
      <c r="D49" s="84">
        <v>13.9</v>
      </c>
      <c r="E49">
        <v>60</v>
      </c>
      <c r="F49" s="85">
        <v>0.25</v>
      </c>
      <c r="G49" s="86">
        <f t="shared" si="0"/>
        <v>834</v>
      </c>
      <c r="H49" s="86">
        <f t="shared" si="1"/>
        <v>208.5</v>
      </c>
      <c r="I49" s="86">
        <f t="shared" si="2"/>
        <v>625.5</v>
      </c>
      <c r="J49" s="84">
        <f>VLOOKUP(C49, Products[], 6)</f>
        <v>17.45</v>
      </c>
      <c r="K49" s="86">
        <f t="shared" si="3"/>
        <v>1047</v>
      </c>
      <c r="L49" s="86">
        <f t="shared" si="4"/>
        <v>-421.5</v>
      </c>
      <c r="N49">
        <v>10291</v>
      </c>
      <c r="O49" s="84" cm="1">
        <f t="array" ref="O49">SUM(INDEX(_xlfn._xlws.FILTER($B$6:$L$2160, $B$6:$B$2160=N49), 0, 8))</f>
        <v>497.52000000000004</v>
      </c>
      <c r="P49" s="84" cm="1">
        <f t="array" ref="P49">SUM(INDEX(_xlfn._xlws.FILTER($B$6:$L$2160, $B$6:$B$2160=N49), 0, 10))</f>
        <v>692.8</v>
      </c>
      <c r="Q49" s="84" cm="1">
        <f t="array" ref="Q49">SUM(INDEX(_xlfn._xlws.FILTER($B$6:$L$2160, $B$6:$B$2160=N49), 0, 11))</f>
        <v>-195.27999999999994</v>
      </c>
    </row>
    <row r="50" spans="2:17" x14ac:dyDescent="0.2">
      <c r="B50">
        <v>10263</v>
      </c>
      <c r="C50">
        <v>24</v>
      </c>
      <c r="D50" s="84">
        <v>3.6</v>
      </c>
      <c r="E50">
        <v>28</v>
      </c>
      <c r="F50" s="85">
        <v>0</v>
      </c>
      <c r="G50" s="86">
        <f t="shared" si="0"/>
        <v>100.8</v>
      </c>
      <c r="H50" s="86">
        <f t="shared" si="1"/>
        <v>0</v>
      </c>
      <c r="I50" s="86">
        <f t="shared" si="2"/>
        <v>100.8</v>
      </c>
      <c r="J50" s="84">
        <f>VLOOKUP(C50, Products[], 6)</f>
        <v>4.5</v>
      </c>
      <c r="K50" s="86">
        <f t="shared" si="3"/>
        <v>126</v>
      </c>
      <c r="L50" s="86">
        <f t="shared" si="4"/>
        <v>-25.200000000000003</v>
      </c>
      <c r="N50">
        <v>10292</v>
      </c>
      <c r="O50" s="84" cm="1">
        <f t="array" ref="O50">SUM(INDEX(_xlfn._xlws.FILTER($B$6:$L$2160, $B$6:$B$2160=N50), 0, 8))</f>
        <v>1296</v>
      </c>
      <c r="P50" s="84" cm="1">
        <f t="array" ref="P50">SUM(INDEX(_xlfn._xlws.FILTER($B$6:$L$2160, $B$6:$B$2160=N50), 0, 10))</f>
        <v>1620</v>
      </c>
      <c r="Q50" s="84" cm="1">
        <f t="array" ref="Q50">SUM(INDEX(_xlfn._xlws.FILTER($B$6:$L$2160, $B$6:$B$2160=N50), 0, 11))</f>
        <v>-324</v>
      </c>
    </row>
    <row r="51" spans="2:17" x14ac:dyDescent="0.2">
      <c r="B51">
        <v>10263</v>
      </c>
      <c r="C51">
        <v>30</v>
      </c>
      <c r="D51" s="84">
        <v>20.7</v>
      </c>
      <c r="E51">
        <v>60</v>
      </c>
      <c r="F51" s="85">
        <v>0.25</v>
      </c>
      <c r="G51" s="86">
        <f t="shared" si="0"/>
        <v>1242</v>
      </c>
      <c r="H51" s="86">
        <f t="shared" si="1"/>
        <v>310.5</v>
      </c>
      <c r="I51" s="86">
        <f t="shared" si="2"/>
        <v>931.5</v>
      </c>
      <c r="J51" s="84">
        <f>VLOOKUP(C51, Products[], 6)</f>
        <v>25.89</v>
      </c>
      <c r="K51" s="86">
        <f t="shared" si="3"/>
        <v>1553.4</v>
      </c>
      <c r="L51" s="86">
        <f t="shared" si="4"/>
        <v>-621.90000000000009</v>
      </c>
      <c r="N51">
        <v>10293</v>
      </c>
      <c r="O51" s="84" cm="1">
        <f t="array" ref="O51">SUM(INDEX(_xlfn._xlws.FILTER($B$6:$L$2160, $B$6:$B$2160=N51), 0, 8))</f>
        <v>848.7</v>
      </c>
      <c r="P51" s="84" cm="1">
        <f t="array" ref="P51">SUM(INDEX(_xlfn._xlws.FILTER($B$6:$L$2160, $B$6:$B$2160=N51), 0, 10))</f>
        <v>1061</v>
      </c>
      <c r="Q51" s="84" cm="1">
        <f t="array" ref="Q51">SUM(INDEX(_xlfn._xlws.FILTER($B$6:$L$2160, $B$6:$B$2160=N51), 0, 11))</f>
        <v>-212.3</v>
      </c>
    </row>
    <row r="52" spans="2:17" x14ac:dyDescent="0.2">
      <c r="B52">
        <v>10263</v>
      </c>
      <c r="C52">
        <v>74</v>
      </c>
      <c r="D52" s="84">
        <v>8</v>
      </c>
      <c r="E52">
        <v>36</v>
      </c>
      <c r="F52" s="85">
        <v>0.25</v>
      </c>
      <c r="G52" s="86">
        <f t="shared" si="0"/>
        <v>288</v>
      </c>
      <c r="H52" s="86">
        <f t="shared" si="1"/>
        <v>72</v>
      </c>
      <c r="I52" s="86">
        <f t="shared" si="2"/>
        <v>216</v>
      </c>
      <c r="J52" s="84">
        <f>VLOOKUP(C52, Products[], 6)</f>
        <v>10</v>
      </c>
      <c r="K52" s="86">
        <f t="shared" si="3"/>
        <v>360</v>
      </c>
      <c r="L52" s="86">
        <f t="shared" si="4"/>
        <v>-144</v>
      </c>
      <c r="N52">
        <v>10294</v>
      </c>
      <c r="O52" s="84" cm="1">
        <f t="array" ref="O52">SUM(INDEX(_xlfn._xlws.FILTER($B$6:$L$2160, $B$6:$B$2160=N52), 0, 8))</f>
        <v>1887.6000000000001</v>
      </c>
      <c r="P52" s="84" cm="1">
        <f t="array" ref="P52">SUM(INDEX(_xlfn._xlws.FILTER($B$6:$L$2160, $B$6:$B$2160=N52), 0, 10))</f>
        <v>2359.5</v>
      </c>
      <c r="Q52" s="84" cm="1">
        <f t="array" ref="Q52">SUM(INDEX(_xlfn._xlws.FILTER($B$6:$L$2160, $B$6:$B$2160=N52), 0, 11))</f>
        <v>-471.90000000000009</v>
      </c>
    </row>
    <row r="53" spans="2:17" x14ac:dyDescent="0.2">
      <c r="B53">
        <v>10264</v>
      </c>
      <c r="C53">
        <v>2</v>
      </c>
      <c r="D53" s="84">
        <v>15.2</v>
      </c>
      <c r="E53">
        <v>35</v>
      </c>
      <c r="F53" s="85">
        <v>0</v>
      </c>
      <c r="G53" s="86">
        <f t="shared" si="0"/>
        <v>532</v>
      </c>
      <c r="H53" s="86">
        <f t="shared" si="1"/>
        <v>0</v>
      </c>
      <c r="I53" s="86">
        <f t="shared" si="2"/>
        <v>532</v>
      </c>
      <c r="J53" s="84">
        <f>VLOOKUP(C53, Products[], 6)</f>
        <v>19</v>
      </c>
      <c r="K53" s="86">
        <f t="shared" si="3"/>
        <v>665</v>
      </c>
      <c r="L53" s="86">
        <f t="shared" si="4"/>
        <v>-133</v>
      </c>
      <c r="N53">
        <v>10295</v>
      </c>
      <c r="O53" s="84" cm="1">
        <f t="array" ref="O53">SUM(INDEX(_xlfn._xlws.FILTER($B$6:$L$2160, $B$6:$B$2160=N53), 0, 8))</f>
        <v>121.6</v>
      </c>
      <c r="P53" s="84" cm="1">
        <f t="array" ref="P53">SUM(INDEX(_xlfn._xlws.FILTER($B$6:$L$2160, $B$6:$B$2160=N53), 0, 10))</f>
        <v>152</v>
      </c>
      <c r="Q53" s="84" cm="1">
        <f t="array" ref="Q53">SUM(INDEX(_xlfn._xlws.FILTER($B$6:$L$2160, $B$6:$B$2160=N53), 0, 11))</f>
        <v>-30.400000000000006</v>
      </c>
    </row>
    <row r="54" spans="2:17" x14ac:dyDescent="0.2">
      <c r="B54">
        <v>10264</v>
      </c>
      <c r="C54">
        <v>41</v>
      </c>
      <c r="D54" s="84">
        <v>7.7</v>
      </c>
      <c r="E54">
        <v>25</v>
      </c>
      <c r="F54" s="85">
        <v>0.15</v>
      </c>
      <c r="G54" s="86">
        <f t="shared" si="0"/>
        <v>192.5</v>
      </c>
      <c r="H54" s="86">
        <f t="shared" si="1"/>
        <v>28.875</v>
      </c>
      <c r="I54" s="86">
        <f t="shared" si="2"/>
        <v>163.625</v>
      </c>
      <c r="J54" s="84">
        <f>VLOOKUP(C54, Products[], 6)</f>
        <v>9.65</v>
      </c>
      <c r="K54" s="86">
        <f t="shared" si="3"/>
        <v>241.25</v>
      </c>
      <c r="L54" s="86">
        <f t="shared" si="4"/>
        <v>-77.625</v>
      </c>
      <c r="N54">
        <v>10296</v>
      </c>
      <c r="O54" s="84" cm="1">
        <f t="array" ref="O54">SUM(INDEX(_xlfn._xlws.FILTER($B$6:$L$2160, $B$6:$B$2160=N54), 0, 8))</f>
        <v>1050.5999999999999</v>
      </c>
      <c r="P54" s="84" cm="1">
        <f t="array" ref="P54">SUM(INDEX(_xlfn._xlws.FILTER($B$6:$L$2160, $B$6:$B$2160=N54), 0, 10))</f>
        <v>1315.5</v>
      </c>
      <c r="Q54" s="84" cm="1">
        <f t="array" ref="Q54">SUM(INDEX(_xlfn._xlws.FILTER($B$6:$L$2160, $B$6:$B$2160=N54), 0, 11))</f>
        <v>-264.89999999999998</v>
      </c>
    </row>
    <row r="55" spans="2:17" x14ac:dyDescent="0.2">
      <c r="B55">
        <v>10265</v>
      </c>
      <c r="C55">
        <v>17</v>
      </c>
      <c r="D55" s="84">
        <v>31.2</v>
      </c>
      <c r="E55">
        <v>30</v>
      </c>
      <c r="F55" s="85">
        <v>0</v>
      </c>
      <c r="G55" s="86">
        <f t="shared" si="0"/>
        <v>936</v>
      </c>
      <c r="H55" s="86">
        <f t="shared" si="1"/>
        <v>0</v>
      </c>
      <c r="I55" s="86">
        <f t="shared" si="2"/>
        <v>936</v>
      </c>
      <c r="J55" s="84">
        <f>VLOOKUP(C55, Products[], 6)</f>
        <v>39</v>
      </c>
      <c r="K55" s="86">
        <f t="shared" si="3"/>
        <v>1170</v>
      </c>
      <c r="L55" s="86">
        <f t="shared" si="4"/>
        <v>-234</v>
      </c>
      <c r="N55">
        <v>10297</v>
      </c>
      <c r="O55" s="84" cm="1">
        <f t="array" ref="O55">SUM(INDEX(_xlfn._xlws.FILTER($B$6:$L$2160, $B$6:$B$2160=N55), 0, 8))</f>
        <v>1420</v>
      </c>
      <c r="P55" s="84" cm="1">
        <f t="array" ref="P55">SUM(INDEX(_xlfn._xlws.FILTER($B$6:$L$2160, $B$6:$B$2160=N55), 0, 10))</f>
        <v>1776</v>
      </c>
      <c r="Q55" s="84" cm="1">
        <f t="array" ref="Q55">SUM(INDEX(_xlfn._xlws.FILTER($B$6:$L$2160, $B$6:$B$2160=N55), 0, 11))</f>
        <v>-356</v>
      </c>
    </row>
    <row r="56" spans="2:17" x14ac:dyDescent="0.2">
      <c r="B56">
        <v>10265</v>
      </c>
      <c r="C56">
        <v>70</v>
      </c>
      <c r="D56" s="84">
        <v>12</v>
      </c>
      <c r="E56">
        <v>20</v>
      </c>
      <c r="F56" s="85">
        <v>0</v>
      </c>
      <c r="G56" s="86">
        <f t="shared" si="0"/>
        <v>240</v>
      </c>
      <c r="H56" s="86">
        <f t="shared" si="1"/>
        <v>0</v>
      </c>
      <c r="I56" s="86">
        <f t="shared" si="2"/>
        <v>240</v>
      </c>
      <c r="J56" s="84">
        <f>VLOOKUP(C56, Products[], 6)</f>
        <v>15</v>
      </c>
      <c r="K56" s="86">
        <f t="shared" si="3"/>
        <v>300</v>
      </c>
      <c r="L56" s="86">
        <f t="shared" si="4"/>
        <v>-60</v>
      </c>
      <c r="N56">
        <v>10298</v>
      </c>
      <c r="O56" s="84" cm="1">
        <f t="array" ref="O56">SUM(INDEX(_xlfn._xlws.FILTER($B$6:$L$2160, $B$6:$B$2160=N56), 0, 8))</f>
        <v>2645</v>
      </c>
      <c r="P56" s="84" cm="1">
        <f t="array" ref="P56">SUM(INDEX(_xlfn._xlws.FILTER($B$6:$L$2160, $B$6:$B$2160=N56), 0, 10))</f>
        <v>3909.5</v>
      </c>
      <c r="Q56" s="84" cm="1">
        <f t="array" ref="Q56">SUM(INDEX(_xlfn._xlws.FILTER($B$6:$L$2160, $B$6:$B$2160=N56), 0, 11))</f>
        <v>-1264.5</v>
      </c>
    </row>
    <row r="57" spans="2:17" x14ac:dyDescent="0.2">
      <c r="B57">
        <v>10266</v>
      </c>
      <c r="C57">
        <v>12</v>
      </c>
      <c r="D57" s="84">
        <v>30.4</v>
      </c>
      <c r="E57">
        <v>12</v>
      </c>
      <c r="F57" s="85">
        <v>0.05</v>
      </c>
      <c r="G57" s="86">
        <f t="shared" si="0"/>
        <v>364.79999999999995</v>
      </c>
      <c r="H57" s="86">
        <f t="shared" si="1"/>
        <v>18.239999999999998</v>
      </c>
      <c r="I57" s="86">
        <f t="shared" si="2"/>
        <v>346.55999999999995</v>
      </c>
      <c r="J57" s="84">
        <f>VLOOKUP(C57, Products[], 6)</f>
        <v>38</v>
      </c>
      <c r="K57" s="86">
        <f t="shared" si="3"/>
        <v>456</v>
      </c>
      <c r="L57" s="86">
        <f t="shared" si="4"/>
        <v>-109.44000000000005</v>
      </c>
      <c r="N57">
        <v>10299</v>
      </c>
      <c r="O57" s="84" cm="1">
        <f t="array" ref="O57">SUM(INDEX(_xlfn._xlws.FILTER($B$6:$L$2160, $B$6:$B$2160=N57), 0, 8))</f>
        <v>349.5</v>
      </c>
      <c r="P57" s="84" cm="1">
        <f t="array" ref="P57">SUM(INDEX(_xlfn._xlws.FILTER($B$6:$L$2160, $B$6:$B$2160=N57), 0, 10))</f>
        <v>438</v>
      </c>
      <c r="Q57" s="84" cm="1">
        <f t="array" ref="Q57">SUM(INDEX(_xlfn._xlws.FILTER($B$6:$L$2160, $B$6:$B$2160=N57), 0, 11))</f>
        <v>-88.5</v>
      </c>
    </row>
    <row r="58" spans="2:17" x14ac:dyDescent="0.2">
      <c r="B58">
        <v>10267</v>
      </c>
      <c r="C58">
        <v>40</v>
      </c>
      <c r="D58" s="84">
        <v>14.7</v>
      </c>
      <c r="E58">
        <v>50</v>
      </c>
      <c r="F58" s="85">
        <v>0</v>
      </c>
      <c r="G58" s="86">
        <f t="shared" si="0"/>
        <v>735</v>
      </c>
      <c r="H58" s="86">
        <f t="shared" si="1"/>
        <v>0</v>
      </c>
      <c r="I58" s="86">
        <f t="shared" si="2"/>
        <v>735</v>
      </c>
      <c r="J58" s="84">
        <f>VLOOKUP(C58, Products[], 6)</f>
        <v>18.399999999999999</v>
      </c>
      <c r="K58" s="86">
        <f t="shared" si="3"/>
        <v>919.99999999999989</v>
      </c>
      <c r="L58" s="86">
        <f t="shared" si="4"/>
        <v>-184.99999999999989</v>
      </c>
      <c r="N58">
        <v>10300</v>
      </c>
      <c r="O58" s="84" cm="1">
        <f t="array" ref="O58">SUM(INDEX(_xlfn._xlws.FILTER($B$6:$L$2160, $B$6:$B$2160=N58), 0, 8))</f>
        <v>608</v>
      </c>
      <c r="P58" s="84" cm="1">
        <f t="array" ref="P58">SUM(INDEX(_xlfn._xlws.FILTER($B$6:$L$2160, $B$6:$B$2160=N58), 0, 10))</f>
        <v>760</v>
      </c>
      <c r="Q58" s="84" cm="1">
        <f t="array" ref="Q58">SUM(INDEX(_xlfn._xlws.FILTER($B$6:$L$2160, $B$6:$B$2160=N58), 0, 11))</f>
        <v>-152</v>
      </c>
    </row>
    <row r="59" spans="2:17" x14ac:dyDescent="0.2">
      <c r="B59">
        <v>10267</v>
      </c>
      <c r="C59">
        <v>59</v>
      </c>
      <c r="D59" s="84">
        <v>44</v>
      </c>
      <c r="E59">
        <v>70</v>
      </c>
      <c r="F59" s="85">
        <v>0.15</v>
      </c>
      <c r="G59" s="86">
        <f t="shared" si="0"/>
        <v>3080</v>
      </c>
      <c r="H59" s="86">
        <f t="shared" si="1"/>
        <v>462</v>
      </c>
      <c r="I59" s="86">
        <f t="shared" si="2"/>
        <v>2618</v>
      </c>
      <c r="J59" s="84">
        <f>VLOOKUP(C59, Products[], 6)</f>
        <v>55</v>
      </c>
      <c r="K59" s="86">
        <f t="shared" si="3"/>
        <v>3850</v>
      </c>
      <c r="L59" s="86">
        <f t="shared" si="4"/>
        <v>-1232</v>
      </c>
      <c r="N59">
        <v>10301</v>
      </c>
      <c r="O59" s="84" cm="1">
        <f t="array" ref="O59">SUM(INDEX(_xlfn._xlws.FILTER($B$6:$L$2160, $B$6:$B$2160=N59), 0, 8))</f>
        <v>755</v>
      </c>
      <c r="P59" s="84" cm="1">
        <f t="array" ref="P59">SUM(INDEX(_xlfn._xlws.FILTER($B$6:$L$2160, $B$6:$B$2160=N59), 0, 10))</f>
        <v>944</v>
      </c>
      <c r="Q59" s="84" cm="1">
        <f t="array" ref="Q59">SUM(INDEX(_xlfn._xlws.FILTER($B$6:$L$2160, $B$6:$B$2160=N59), 0, 11))</f>
        <v>-189</v>
      </c>
    </row>
    <row r="60" spans="2:17" x14ac:dyDescent="0.2">
      <c r="B60">
        <v>10267</v>
      </c>
      <c r="C60">
        <v>76</v>
      </c>
      <c r="D60" s="84">
        <v>14.4</v>
      </c>
      <c r="E60">
        <v>15</v>
      </c>
      <c r="F60" s="85">
        <v>0.15</v>
      </c>
      <c r="G60" s="86">
        <f t="shared" si="0"/>
        <v>216</v>
      </c>
      <c r="H60" s="86">
        <f t="shared" si="1"/>
        <v>32.4</v>
      </c>
      <c r="I60" s="86">
        <f t="shared" si="2"/>
        <v>183.6</v>
      </c>
      <c r="J60" s="84">
        <f>VLOOKUP(C60, Products[], 6)</f>
        <v>18</v>
      </c>
      <c r="K60" s="86">
        <f t="shared" si="3"/>
        <v>270</v>
      </c>
      <c r="L60" s="86">
        <f t="shared" si="4"/>
        <v>-86.4</v>
      </c>
      <c r="N60">
        <v>10302</v>
      </c>
      <c r="O60" s="84" cm="1">
        <f t="array" ref="O60">SUM(INDEX(_xlfn._xlws.FILTER($B$6:$L$2160, $B$6:$B$2160=N60), 0, 8))</f>
        <v>2708.7999999999997</v>
      </c>
      <c r="P60" s="84" cm="1">
        <f t="array" ref="P60">SUM(INDEX(_xlfn._xlws.FILTER($B$6:$L$2160, $B$6:$B$2160=N60), 0, 10))</f>
        <v>3388.8</v>
      </c>
      <c r="Q60" s="84" cm="1">
        <f t="array" ref="Q60">SUM(INDEX(_xlfn._xlws.FILTER($B$6:$L$2160, $B$6:$B$2160=N60), 0, 11))</f>
        <v>-680</v>
      </c>
    </row>
    <row r="61" spans="2:17" x14ac:dyDescent="0.2">
      <c r="B61">
        <v>10268</v>
      </c>
      <c r="C61">
        <v>29</v>
      </c>
      <c r="D61" s="84">
        <v>99</v>
      </c>
      <c r="E61">
        <v>10</v>
      </c>
      <c r="F61" s="85">
        <v>0</v>
      </c>
      <c r="G61" s="86">
        <f t="shared" si="0"/>
        <v>990</v>
      </c>
      <c r="H61" s="86">
        <f t="shared" si="1"/>
        <v>0</v>
      </c>
      <c r="I61" s="86">
        <f t="shared" si="2"/>
        <v>990</v>
      </c>
      <c r="J61" s="84">
        <f>VLOOKUP(C61, Products[], 6)</f>
        <v>123.79</v>
      </c>
      <c r="K61" s="86">
        <f t="shared" si="3"/>
        <v>1237.9000000000001</v>
      </c>
      <c r="L61" s="86">
        <f t="shared" si="4"/>
        <v>-247.90000000000009</v>
      </c>
      <c r="N61">
        <v>10303</v>
      </c>
      <c r="O61" s="84" cm="1">
        <f t="array" ref="O61">SUM(INDEX(_xlfn._xlws.FILTER($B$6:$L$2160, $B$6:$B$2160=N61), 0, 8))</f>
        <v>1117.8000000000002</v>
      </c>
      <c r="P61" s="84" cm="1">
        <f t="array" ref="P61">SUM(INDEX(_xlfn._xlws.FILTER($B$6:$L$2160, $B$6:$B$2160=N61), 0, 10))</f>
        <v>1555</v>
      </c>
      <c r="Q61" s="84" cm="1">
        <f t="array" ref="Q61">SUM(INDEX(_xlfn._xlws.FILTER($B$6:$L$2160, $B$6:$B$2160=N61), 0, 11))</f>
        <v>-437.19999999999993</v>
      </c>
    </row>
    <row r="62" spans="2:17" x14ac:dyDescent="0.2">
      <c r="B62">
        <v>10268</v>
      </c>
      <c r="C62">
        <v>72</v>
      </c>
      <c r="D62" s="84">
        <v>27.8</v>
      </c>
      <c r="E62">
        <v>4</v>
      </c>
      <c r="F62" s="85">
        <v>0</v>
      </c>
      <c r="G62" s="86">
        <f t="shared" si="0"/>
        <v>111.2</v>
      </c>
      <c r="H62" s="86">
        <f t="shared" si="1"/>
        <v>0</v>
      </c>
      <c r="I62" s="86">
        <f t="shared" si="2"/>
        <v>111.2</v>
      </c>
      <c r="J62" s="84">
        <f>VLOOKUP(C62, Products[], 6)</f>
        <v>34.799999999999997</v>
      </c>
      <c r="K62" s="86">
        <f t="shared" si="3"/>
        <v>139.19999999999999</v>
      </c>
      <c r="L62" s="86">
        <f t="shared" si="4"/>
        <v>-27.999999999999986</v>
      </c>
      <c r="N62">
        <v>10304</v>
      </c>
      <c r="O62" s="84" cm="1">
        <f t="array" ref="O62">SUM(INDEX(_xlfn._xlws.FILTER($B$6:$L$2160, $B$6:$B$2160=N62), 0, 8))</f>
        <v>954.4</v>
      </c>
      <c r="P62" s="84" cm="1">
        <f t="array" ref="P62">SUM(INDEX(_xlfn._xlws.FILTER($B$6:$L$2160, $B$6:$B$2160=N62), 0, 10))</f>
        <v>1193</v>
      </c>
      <c r="Q62" s="84" cm="1">
        <f t="array" ref="Q62">SUM(INDEX(_xlfn._xlws.FILTER($B$6:$L$2160, $B$6:$B$2160=N62), 0, 11))</f>
        <v>-238.6</v>
      </c>
    </row>
    <row r="63" spans="2:17" x14ac:dyDescent="0.2">
      <c r="B63">
        <v>10269</v>
      </c>
      <c r="C63">
        <v>33</v>
      </c>
      <c r="D63" s="84">
        <v>2</v>
      </c>
      <c r="E63">
        <v>60</v>
      </c>
      <c r="F63" s="85">
        <v>0.05</v>
      </c>
      <c r="G63" s="86">
        <f t="shared" si="0"/>
        <v>120</v>
      </c>
      <c r="H63" s="86">
        <f t="shared" si="1"/>
        <v>6</v>
      </c>
      <c r="I63" s="86">
        <f t="shared" si="2"/>
        <v>114</v>
      </c>
      <c r="J63" s="84">
        <f>VLOOKUP(C63, Products[], 6)</f>
        <v>2.5</v>
      </c>
      <c r="K63" s="86">
        <f t="shared" si="3"/>
        <v>150</v>
      </c>
      <c r="L63" s="86">
        <f t="shared" si="4"/>
        <v>-36</v>
      </c>
      <c r="N63">
        <v>10305</v>
      </c>
      <c r="O63" s="84" cm="1">
        <f t="array" ref="O63">SUM(INDEX(_xlfn._xlws.FILTER($B$6:$L$2160, $B$6:$B$2160=N63), 0, 8))</f>
        <v>3741.3</v>
      </c>
      <c r="P63" s="84" cm="1">
        <f t="array" ref="P63">SUM(INDEX(_xlfn._xlws.FILTER($B$6:$L$2160, $B$6:$B$2160=N63), 0, 10))</f>
        <v>5197.25</v>
      </c>
      <c r="Q63" s="84" cm="1">
        <f t="array" ref="Q63">SUM(INDEX(_xlfn._xlws.FILTER($B$6:$L$2160, $B$6:$B$2160=N63), 0, 11))</f>
        <v>-1455.95</v>
      </c>
    </row>
    <row r="64" spans="2:17" x14ac:dyDescent="0.2">
      <c r="B64">
        <v>10269</v>
      </c>
      <c r="C64">
        <v>72</v>
      </c>
      <c r="D64" s="84">
        <v>27.8</v>
      </c>
      <c r="E64">
        <v>20</v>
      </c>
      <c r="F64" s="85">
        <v>0.05</v>
      </c>
      <c r="G64" s="86">
        <f t="shared" si="0"/>
        <v>556</v>
      </c>
      <c r="H64" s="86">
        <f t="shared" si="1"/>
        <v>27.8</v>
      </c>
      <c r="I64" s="86">
        <f t="shared" si="2"/>
        <v>528.20000000000005</v>
      </c>
      <c r="J64" s="84">
        <f>VLOOKUP(C64, Products[], 6)</f>
        <v>34.799999999999997</v>
      </c>
      <c r="K64" s="86">
        <f t="shared" si="3"/>
        <v>696</v>
      </c>
      <c r="L64" s="86">
        <f t="shared" si="4"/>
        <v>-167.79999999999995</v>
      </c>
      <c r="N64">
        <v>10306</v>
      </c>
      <c r="O64" s="84" cm="1">
        <f t="array" ref="O64">SUM(INDEX(_xlfn._xlws.FILTER($B$6:$L$2160, $B$6:$B$2160=N64), 0, 8))</f>
        <v>498.5</v>
      </c>
      <c r="P64" s="84" cm="1">
        <f t="array" ref="P64">SUM(INDEX(_xlfn._xlws.FILTER($B$6:$L$2160, $B$6:$B$2160=N64), 0, 10))</f>
        <v>624.15</v>
      </c>
      <c r="Q64" s="84" cm="1">
        <f t="array" ref="Q64">SUM(INDEX(_xlfn._xlws.FILTER($B$6:$L$2160, $B$6:$B$2160=N64), 0, 11))</f>
        <v>-125.64999999999998</v>
      </c>
    </row>
    <row r="65" spans="2:17" x14ac:dyDescent="0.2">
      <c r="B65">
        <v>10270</v>
      </c>
      <c r="C65">
        <v>36</v>
      </c>
      <c r="D65" s="84">
        <v>15.2</v>
      </c>
      <c r="E65">
        <v>30</v>
      </c>
      <c r="F65" s="85">
        <v>0</v>
      </c>
      <c r="G65" s="86">
        <f t="shared" si="0"/>
        <v>456</v>
      </c>
      <c r="H65" s="86">
        <f t="shared" si="1"/>
        <v>0</v>
      </c>
      <c r="I65" s="86">
        <f t="shared" si="2"/>
        <v>456</v>
      </c>
      <c r="J65" s="84">
        <f>VLOOKUP(C65, Products[], 6)</f>
        <v>19</v>
      </c>
      <c r="K65" s="86">
        <f t="shared" si="3"/>
        <v>570</v>
      </c>
      <c r="L65" s="86">
        <f t="shared" si="4"/>
        <v>-114</v>
      </c>
      <c r="N65">
        <v>10307</v>
      </c>
      <c r="O65" s="84" cm="1">
        <f t="array" ref="O65">SUM(INDEX(_xlfn._xlws.FILTER($B$6:$L$2160, $B$6:$B$2160=N65), 0, 8))</f>
        <v>424</v>
      </c>
      <c r="P65" s="84" cm="1">
        <f t="array" ref="P65">SUM(INDEX(_xlfn._xlws.FILTER($B$6:$L$2160, $B$6:$B$2160=N65), 0, 10))</f>
        <v>530.5</v>
      </c>
      <c r="Q65" s="84" cm="1">
        <f t="array" ref="Q65">SUM(INDEX(_xlfn._xlws.FILTER($B$6:$L$2160, $B$6:$B$2160=N65), 0, 11))</f>
        <v>-106.5</v>
      </c>
    </row>
    <row r="66" spans="2:17" x14ac:dyDescent="0.2">
      <c r="B66">
        <v>10270</v>
      </c>
      <c r="C66">
        <v>43</v>
      </c>
      <c r="D66" s="84">
        <v>36.799999999999997</v>
      </c>
      <c r="E66">
        <v>25</v>
      </c>
      <c r="F66" s="85">
        <v>0</v>
      </c>
      <c r="G66" s="86">
        <f t="shared" si="0"/>
        <v>919.99999999999989</v>
      </c>
      <c r="H66" s="86">
        <f t="shared" si="1"/>
        <v>0</v>
      </c>
      <c r="I66" s="86">
        <f t="shared" si="2"/>
        <v>919.99999999999989</v>
      </c>
      <c r="J66" s="84">
        <f>VLOOKUP(C66, Products[], 6)</f>
        <v>46</v>
      </c>
      <c r="K66" s="86">
        <f t="shared" si="3"/>
        <v>1150</v>
      </c>
      <c r="L66" s="86">
        <f t="shared" si="4"/>
        <v>-230.00000000000011</v>
      </c>
      <c r="N66">
        <v>10308</v>
      </c>
      <c r="O66" s="84" cm="1">
        <f t="array" ref="O66">SUM(INDEX(_xlfn._xlws.FILTER($B$6:$L$2160, $B$6:$B$2160=N66), 0, 8))</f>
        <v>88.8</v>
      </c>
      <c r="P66" s="84" cm="1">
        <f t="array" ref="P66">SUM(INDEX(_xlfn._xlws.FILTER($B$6:$L$2160, $B$6:$B$2160=N66), 0, 10))</f>
        <v>111</v>
      </c>
      <c r="Q66" s="84" cm="1">
        <f t="array" ref="Q66">SUM(INDEX(_xlfn._xlws.FILTER($B$6:$L$2160, $B$6:$B$2160=N66), 0, 11))</f>
        <v>-22.2</v>
      </c>
    </row>
    <row r="67" spans="2:17" x14ac:dyDescent="0.2">
      <c r="B67">
        <v>10271</v>
      </c>
      <c r="C67">
        <v>33</v>
      </c>
      <c r="D67" s="84">
        <v>2</v>
      </c>
      <c r="E67">
        <v>24</v>
      </c>
      <c r="F67" s="85">
        <v>0</v>
      </c>
      <c r="G67" s="86">
        <f t="shared" si="0"/>
        <v>48</v>
      </c>
      <c r="H67" s="86">
        <f t="shared" si="1"/>
        <v>0</v>
      </c>
      <c r="I67" s="86">
        <f t="shared" si="2"/>
        <v>48</v>
      </c>
      <c r="J67" s="84">
        <f>VLOOKUP(C67, Products[], 6)</f>
        <v>2.5</v>
      </c>
      <c r="K67" s="86">
        <f t="shared" si="3"/>
        <v>60</v>
      </c>
      <c r="L67" s="86">
        <f t="shared" si="4"/>
        <v>-12</v>
      </c>
      <c r="N67">
        <v>10309</v>
      </c>
      <c r="O67" s="84" cm="1">
        <f t="array" ref="O67">SUM(INDEX(_xlfn._xlws.FILTER($B$6:$L$2160, $B$6:$B$2160=N67), 0, 8))</f>
        <v>1762</v>
      </c>
      <c r="P67" s="84" cm="1">
        <f t="array" ref="P67">SUM(INDEX(_xlfn._xlws.FILTER($B$6:$L$2160, $B$6:$B$2160=N67), 0, 10))</f>
        <v>2202.5</v>
      </c>
      <c r="Q67" s="84" cm="1">
        <f t="array" ref="Q67">SUM(INDEX(_xlfn._xlws.FILTER($B$6:$L$2160, $B$6:$B$2160=N67), 0, 11))</f>
        <v>-440.5</v>
      </c>
    </row>
    <row r="68" spans="2:17" x14ac:dyDescent="0.2">
      <c r="B68">
        <v>10272</v>
      </c>
      <c r="C68">
        <v>20</v>
      </c>
      <c r="D68" s="84">
        <v>64.8</v>
      </c>
      <c r="E68">
        <v>6</v>
      </c>
      <c r="F68" s="85">
        <v>0</v>
      </c>
      <c r="G68" s="86">
        <f t="shared" si="0"/>
        <v>388.79999999999995</v>
      </c>
      <c r="H68" s="86">
        <f t="shared" si="1"/>
        <v>0</v>
      </c>
      <c r="I68" s="86">
        <f t="shared" si="2"/>
        <v>388.79999999999995</v>
      </c>
      <c r="J68" s="84">
        <f>VLOOKUP(C68, Products[], 6)</f>
        <v>81</v>
      </c>
      <c r="K68" s="86">
        <f t="shared" si="3"/>
        <v>486</v>
      </c>
      <c r="L68" s="86">
        <f t="shared" si="4"/>
        <v>-97.200000000000045</v>
      </c>
      <c r="N68">
        <v>10310</v>
      </c>
      <c r="O68" s="84" cm="1">
        <f t="array" ref="O68">SUM(INDEX(_xlfn._xlws.FILTER($B$6:$L$2160, $B$6:$B$2160=N68), 0, 8))</f>
        <v>336</v>
      </c>
      <c r="P68" s="84" cm="1">
        <f t="array" ref="P68">SUM(INDEX(_xlfn._xlws.FILTER($B$6:$L$2160, $B$6:$B$2160=N68), 0, 10))</f>
        <v>421</v>
      </c>
      <c r="Q68" s="84" cm="1">
        <f t="array" ref="Q68">SUM(INDEX(_xlfn._xlws.FILTER($B$6:$L$2160, $B$6:$B$2160=N68), 0, 11))</f>
        <v>-85</v>
      </c>
    </row>
    <row r="69" spans="2:17" x14ac:dyDescent="0.2">
      <c r="B69">
        <v>10272</v>
      </c>
      <c r="C69">
        <v>31</v>
      </c>
      <c r="D69" s="84">
        <v>10</v>
      </c>
      <c r="E69">
        <v>40</v>
      </c>
      <c r="F69" s="85">
        <v>0</v>
      </c>
      <c r="G69" s="86">
        <f t="shared" si="0"/>
        <v>400</v>
      </c>
      <c r="H69" s="86">
        <f t="shared" si="1"/>
        <v>0</v>
      </c>
      <c r="I69" s="86">
        <f t="shared" si="2"/>
        <v>400</v>
      </c>
      <c r="J69" s="84">
        <f>VLOOKUP(C69, Products[], 6)</f>
        <v>12.5</v>
      </c>
      <c r="K69" s="86">
        <f t="shared" si="3"/>
        <v>500</v>
      </c>
      <c r="L69" s="86">
        <f t="shared" si="4"/>
        <v>-100</v>
      </c>
      <c r="N69">
        <v>10311</v>
      </c>
      <c r="O69" s="84" cm="1">
        <f t="array" ref="O69">SUM(INDEX(_xlfn._xlws.FILTER($B$6:$L$2160, $B$6:$B$2160=N69), 0, 8))</f>
        <v>268.79999999999995</v>
      </c>
      <c r="P69" s="84" cm="1">
        <f t="array" ref="P69">SUM(INDEX(_xlfn._xlws.FILTER($B$6:$L$2160, $B$6:$B$2160=N69), 0, 10))</f>
        <v>336</v>
      </c>
      <c r="Q69" s="84" cm="1">
        <f t="array" ref="Q69">SUM(INDEX(_xlfn._xlws.FILTER($B$6:$L$2160, $B$6:$B$2160=N69), 0, 11))</f>
        <v>-67.200000000000017</v>
      </c>
    </row>
    <row r="70" spans="2:17" x14ac:dyDescent="0.2">
      <c r="B70">
        <v>10272</v>
      </c>
      <c r="C70">
        <v>72</v>
      </c>
      <c r="D70" s="84">
        <v>27.8</v>
      </c>
      <c r="E70">
        <v>24</v>
      </c>
      <c r="F70" s="85">
        <v>0</v>
      </c>
      <c r="G70" s="86">
        <f t="shared" si="0"/>
        <v>667.2</v>
      </c>
      <c r="H70" s="86">
        <f t="shared" si="1"/>
        <v>0</v>
      </c>
      <c r="I70" s="86">
        <f t="shared" si="2"/>
        <v>667.2</v>
      </c>
      <c r="J70" s="84">
        <f>VLOOKUP(C70, Products[], 6)</f>
        <v>34.799999999999997</v>
      </c>
      <c r="K70" s="86">
        <f t="shared" si="3"/>
        <v>835.19999999999993</v>
      </c>
      <c r="L70" s="86">
        <f t="shared" si="4"/>
        <v>-167.99999999999989</v>
      </c>
      <c r="N70">
        <v>10312</v>
      </c>
      <c r="O70" s="84" cm="1">
        <f t="array" ref="O70">SUM(INDEX(_xlfn._xlws.FILTER($B$6:$L$2160, $B$6:$B$2160=N70), 0, 8))</f>
        <v>1614.8</v>
      </c>
      <c r="P70" s="84" cm="1">
        <f t="array" ref="P70">SUM(INDEX(_xlfn._xlws.FILTER($B$6:$L$2160, $B$6:$B$2160=N70), 0, 10))</f>
        <v>2019.9</v>
      </c>
      <c r="Q70" s="84" cm="1">
        <f t="array" ref="Q70">SUM(INDEX(_xlfn._xlws.FILTER($B$6:$L$2160, $B$6:$B$2160=N70), 0, 11))</f>
        <v>-405.10000000000008</v>
      </c>
    </row>
    <row r="71" spans="2:17" x14ac:dyDescent="0.2">
      <c r="B71">
        <v>10273</v>
      </c>
      <c r="C71">
        <v>10</v>
      </c>
      <c r="D71" s="84">
        <v>24.8</v>
      </c>
      <c r="E71">
        <v>24</v>
      </c>
      <c r="F71" s="85">
        <v>0.05</v>
      </c>
      <c r="G71" s="86">
        <f t="shared" ref="G71:G134" si="5">D71*E71</f>
        <v>595.20000000000005</v>
      </c>
      <c r="H71" s="86">
        <f t="shared" ref="H71:H134" si="6">G71*F71</f>
        <v>29.760000000000005</v>
      </c>
      <c r="I71" s="86">
        <f t="shared" ref="I71:I134" si="7">G71-H71</f>
        <v>565.44000000000005</v>
      </c>
      <c r="J71" s="84">
        <f>VLOOKUP(C71, Products[], 6)</f>
        <v>31</v>
      </c>
      <c r="K71" s="86">
        <f t="shared" ref="K71:K134" si="8">J71*E71</f>
        <v>744</v>
      </c>
      <c r="L71" s="86">
        <f t="shared" ref="L71:L134" si="9">I71-K71</f>
        <v>-178.55999999999995</v>
      </c>
      <c r="N71">
        <v>10313</v>
      </c>
      <c r="O71" s="84" cm="1">
        <f t="array" ref="O71">SUM(INDEX(_xlfn._xlws.FILTER($B$6:$L$2160, $B$6:$B$2160=N71), 0, 8))</f>
        <v>182.39999999999998</v>
      </c>
      <c r="P71" s="84" cm="1">
        <f t="array" ref="P71">SUM(INDEX(_xlfn._xlws.FILTER($B$6:$L$2160, $B$6:$B$2160=N71), 0, 10))</f>
        <v>228</v>
      </c>
      <c r="Q71" s="84" cm="1">
        <f t="array" ref="Q71">SUM(INDEX(_xlfn._xlws.FILTER($B$6:$L$2160, $B$6:$B$2160=N71), 0, 11))</f>
        <v>-45.600000000000023</v>
      </c>
    </row>
    <row r="72" spans="2:17" x14ac:dyDescent="0.2">
      <c r="B72">
        <v>10273</v>
      </c>
      <c r="C72">
        <v>31</v>
      </c>
      <c r="D72" s="84">
        <v>10</v>
      </c>
      <c r="E72">
        <v>15</v>
      </c>
      <c r="F72" s="85">
        <v>0.05</v>
      </c>
      <c r="G72" s="86">
        <f t="shared" si="5"/>
        <v>150</v>
      </c>
      <c r="H72" s="86">
        <f t="shared" si="6"/>
        <v>7.5</v>
      </c>
      <c r="I72" s="86">
        <f t="shared" si="7"/>
        <v>142.5</v>
      </c>
      <c r="J72" s="84">
        <f>VLOOKUP(C72, Products[], 6)</f>
        <v>12.5</v>
      </c>
      <c r="K72" s="86">
        <f t="shared" si="8"/>
        <v>187.5</v>
      </c>
      <c r="L72" s="86">
        <f t="shared" si="9"/>
        <v>-45</v>
      </c>
      <c r="N72">
        <v>10314</v>
      </c>
      <c r="O72" s="84" cm="1">
        <f t="array" ref="O72">SUM(INDEX(_xlfn._xlws.FILTER($B$6:$L$2160, $B$6:$B$2160=N72), 0, 8))</f>
        <v>2094.3000000000002</v>
      </c>
      <c r="P72" s="84" cm="1">
        <f t="array" ref="P72">SUM(INDEX(_xlfn._xlws.FILTER($B$6:$L$2160, $B$6:$B$2160=N72), 0, 10))</f>
        <v>2910</v>
      </c>
      <c r="Q72" s="84" cm="1">
        <f t="array" ref="Q72">SUM(INDEX(_xlfn._xlws.FILTER($B$6:$L$2160, $B$6:$B$2160=N72), 0, 11))</f>
        <v>-815.7</v>
      </c>
    </row>
    <row r="73" spans="2:17" x14ac:dyDescent="0.2">
      <c r="B73">
        <v>10273</v>
      </c>
      <c r="C73">
        <v>33</v>
      </c>
      <c r="D73" s="84">
        <v>2</v>
      </c>
      <c r="E73">
        <v>20</v>
      </c>
      <c r="F73" s="85">
        <v>0</v>
      </c>
      <c r="G73" s="86">
        <f t="shared" si="5"/>
        <v>40</v>
      </c>
      <c r="H73" s="86">
        <f t="shared" si="6"/>
        <v>0</v>
      </c>
      <c r="I73" s="86">
        <f t="shared" si="7"/>
        <v>40</v>
      </c>
      <c r="J73" s="84">
        <f>VLOOKUP(C73, Products[], 6)</f>
        <v>2.5</v>
      </c>
      <c r="K73" s="86">
        <f t="shared" si="8"/>
        <v>50</v>
      </c>
      <c r="L73" s="86">
        <f t="shared" si="9"/>
        <v>-10</v>
      </c>
      <c r="N73">
        <v>10315</v>
      </c>
      <c r="O73" s="84" cm="1">
        <f t="array" ref="O73">SUM(INDEX(_xlfn._xlws.FILTER($B$6:$L$2160, $B$6:$B$2160=N73), 0, 8))</f>
        <v>516.79999999999995</v>
      </c>
      <c r="P73" s="84" cm="1">
        <f t="array" ref="P73">SUM(INDEX(_xlfn._xlws.FILTER($B$6:$L$2160, $B$6:$B$2160=N73), 0, 10))</f>
        <v>646</v>
      </c>
      <c r="Q73" s="84" cm="1">
        <f t="array" ref="Q73">SUM(INDEX(_xlfn._xlws.FILTER($B$6:$L$2160, $B$6:$B$2160=N73), 0, 11))</f>
        <v>-129.20000000000002</v>
      </c>
    </row>
    <row r="74" spans="2:17" x14ac:dyDescent="0.2">
      <c r="B74">
        <v>10273</v>
      </c>
      <c r="C74">
        <v>40</v>
      </c>
      <c r="D74" s="84">
        <v>14.7</v>
      </c>
      <c r="E74">
        <v>60</v>
      </c>
      <c r="F74" s="85">
        <v>0.05</v>
      </c>
      <c r="G74" s="86">
        <f t="shared" si="5"/>
        <v>882</v>
      </c>
      <c r="H74" s="86">
        <f t="shared" si="6"/>
        <v>44.1</v>
      </c>
      <c r="I74" s="86">
        <f t="shared" si="7"/>
        <v>837.9</v>
      </c>
      <c r="J74" s="84">
        <f>VLOOKUP(C74, Products[], 6)</f>
        <v>18.399999999999999</v>
      </c>
      <c r="K74" s="86">
        <f t="shared" si="8"/>
        <v>1104</v>
      </c>
      <c r="L74" s="86">
        <f t="shared" si="9"/>
        <v>-266.10000000000002</v>
      </c>
      <c r="N74">
        <v>10316</v>
      </c>
      <c r="O74" s="84" cm="1">
        <f t="array" ref="O74">SUM(INDEX(_xlfn._xlws.FILTER($B$6:$L$2160, $B$6:$B$2160=N74), 0, 8))</f>
        <v>2835</v>
      </c>
      <c r="P74" s="84" cm="1">
        <f t="array" ref="P74">SUM(INDEX(_xlfn._xlws.FILTER($B$6:$L$2160, $B$6:$B$2160=N74), 0, 10))</f>
        <v>3547.5</v>
      </c>
      <c r="Q74" s="84" cm="1">
        <f t="array" ref="Q74">SUM(INDEX(_xlfn._xlws.FILTER($B$6:$L$2160, $B$6:$B$2160=N74), 0, 11))</f>
        <v>-712.5</v>
      </c>
    </row>
    <row r="75" spans="2:17" x14ac:dyDescent="0.2">
      <c r="B75">
        <v>10273</v>
      </c>
      <c r="C75">
        <v>76</v>
      </c>
      <c r="D75" s="84">
        <v>14.4</v>
      </c>
      <c r="E75">
        <v>33</v>
      </c>
      <c r="F75" s="85">
        <v>0.05</v>
      </c>
      <c r="G75" s="86">
        <f t="shared" si="5"/>
        <v>475.2</v>
      </c>
      <c r="H75" s="86">
        <f t="shared" si="6"/>
        <v>23.76</v>
      </c>
      <c r="I75" s="86">
        <f t="shared" si="7"/>
        <v>451.44</v>
      </c>
      <c r="J75" s="84">
        <f>VLOOKUP(C75, Products[], 6)</f>
        <v>18</v>
      </c>
      <c r="K75" s="86">
        <f t="shared" si="8"/>
        <v>594</v>
      </c>
      <c r="L75" s="86">
        <f t="shared" si="9"/>
        <v>-142.56</v>
      </c>
      <c r="N75">
        <v>10317</v>
      </c>
      <c r="O75" s="84" cm="1">
        <f t="array" ref="O75">SUM(INDEX(_xlfn._xlws.FILTER($B$6:$L$2160, $B$6:$B$2160=N75), 0, 8))</f>
        <v>288</v>
      </c>
      <c r="P75" s="84" cm="1">
        <f t="array" ref="P75">SUM(INDEX(_xlfn._xlws.FILTER($B$6:$L$2160, $B$6:$B$2160=N75), 0, 10))</f>
        <v>360</v>
      </c>
      <c r="Q75" s="84" cm="1">
        <f t="array" ref="Q75">SUM(INDEX(_xlfn._xlws.FILTER($B$6:$L$2160, $B$6:$B$2160=N75), 0, 11))</f>
        <v>-72</v>
      </c>
    </row>
    <row r="76" spans="2:17" x14ac:dyDescent="0.2">
      <c r="B76">
        <v>10274</v>
      </c>
      <c r="C76">
        <v>71</v>
      </c>
      <c r="D76" s="84">
        <v>17.2</v>
      </c>
      <c r="E76">
        <v>20</v>
      </c>
      <c r="F76" s="85">
        <v>0</v>
      </c>
      <c r="G76" s="86">
        <f t="shared" si="5"/>
        <v>344</v>
      </c>
      <c r="H76" s="86">
        <f t="shared" si="6"/>
        <v>0</v>
      </c>
      <c r="I76" s="86">
        <f t="shared" si="7"/>
        <v>344</v>
      </c>
      <c r="J76" s="84">
        <f>VLOOKUP(C76, Products[], 6)</f>
        <v>21.5</v>
      </c>
      <c r="K76" s="86">
        <f t="shared" si="8"/>
        <v>430</v>
      </c>
      <c r="L76" s="86">
        <f t="shared" si="9"/>
        <v>-86</v>
      </c>
      <c r="N76">
        <v>10318</v>
      </c>
      <c r="O76" s="84" cm="1">
        <f t="array" ref="O76">SUM(INDEX(_xlfn._xlws.FILTER($B$6:$L$2160, $B$6:$B$2160=N76), 0, 8))</f>
        <v>240.4</v>
      </c>
      <c r="P76" s="84" cm="1">
        <f t="array" ref="P76">SUM(INDEX(_xlfn._xlws.FILTER($B$6:$L$2160, $B$6:$B$2160=N76), 0, 10))</f>
        <v>301</v>
      </c>
      <c r="Q76" s="84" cm="1">
        <f t="array" ref="Q76">SUM(INDEX(_xlfn._xlws.FILTER($B$6:$L$2160, $B$6:$B$2160=N76), 0, 11))</f>
        <v>-60.599999999999994</v>
      </c>
    </row>
    <row r="77" spans="2:17" x14ac:dyDescent="0.2">
      <c r="B77">
        <v>10274</v>
      </c>
      <c r="C77">
        <v>72</v>
      </c>
      <c r="D77" s="84">
        <v>27.8</v>
      </c>
      <c r="E77">
        <v>7</v>
      </c>
      <c r="F77" s="85">
        <v>0</v>
      </c>
      <c r="G77" s="86">
        <f t="shared" si="5"/>
        <v>194.6</v>
      </c>
      <c r="H77" s="86">
        <f t="shared" si="6"/>
        <v>0</v>
      </c>
      <c r="I77" s="86">
        <f t="shared" si="7"/>
        <v>194.6</v>
      </c>
      <c r="J77" s="84">
        <f>VLOOKUP(C77, Products[], 6)</f>
        <v>34.799999999999997</v>
      </c>
      <c r="K77" s="86">
        <f t="shared" si="8"/>
        <v>243.59999999999997</v>
      </c>
      <c r="L77" s="86">
        <f t="shared" si="9"/>
        <v>-48.999999999999972</v>
      </c>
      <c r="N77">
        <v>10319</v>
      </c>
      <c r="O77" s="84" cm="1">
        <f t="array" ref="O77">SUM(INDEX(_xlfn._xlws.FILTER($B$6:$L$2160, $B$6:$B$2160=N77), 0, 8))</f>
        <v>1191.1999999999998</v>
      </c>
      <c r="P77" s="84" cm="1">
        <f t="array" ref="P77">SUM(INDEX(_xlfn._xlws.FILTER($B$6:$L$2160, $B$6:$B$2160=N77), 0, 10))</f>
        <v>1490.4</v>
      </c>
      <c r="Q77" s="84" cm="1">
        <f t="array" ref="Q77">SUM(INDEX(_xlfn._xlws.FILTER($B$6:$L$2160, $B$6:$B$2160=N77), 0, 11))</f>
        <v>-299.20000000000005</v>
      </c>
    </row>
    <row r="78" spans="2:17" x14ac:dyDescent="0.2">
      <c r="B78">
        <v>10275</v>
      </c>
      <c r="C78">
        <v>24</v>
      </c>
      <c r="D78" s="84">
        <v>3.6</v>
      </c>
      <c r="E78">
        <v>12</v>
      </c>
      <c r="F78" s="85">
        <v>0.05</v>
      </c>
      <c r="G78" s="86">
        <f t="shared" si="5"/>
        <v>43.2</v>
      </c>
      <c r="H78" s="86">
        <f t="shared" si="6"/>
        <v>2.16</v>
      </c>
      <c r="I78" s="86">
        <f t="shared" si="7"/>
        <v>41.040000000000006</v>
      </c>
      <c r="J78" s="84">
        <f>VLOOKUP(C78, Products[], 6)</f>
        <v>4.5</v>
      </c>
      <c r="K78" s="86">
        <f t="shared" si="8"/>
        <v>54</v>
      </c>
      <c r="L78" s="86">
        <f t="shared" si="9"/>
        <v>-12.959999999999994</v>
      </c>
      <c r="N78">
        <v>10320</v>
      </c>
      <c r="O78" s="84" cm="1">
        <f t="array" ref="O78">SUM(INDEX(_xlfn._xlws.FILTER($B$6:$L$2160, $B$6:$B$2160=N78), 0, 8))</f>
        <v>516</v>
      </c>
      <c r="P78" s="84" cm="1">
        <f t="array" ref="P78">SUM(INDEX(_xlfn._xlws.FILTER($B$6:$L$2160, $B$6:$B$2160=N78), 0, 10))</f>
        <v>645</v>
      </c>
      <c r="Q78" s="84" cm="1">
        <f t="array" ref="Q78">SUM(INDEX(_xlfn._xlws.FILTER($B$6:$L$2160, $B$6:$B$2160=N78), 0, 11))</f>
        <v>-129</v>
      </c>
    </row>
    <row r="79" spans="2:17" x14ac:dyDescent="0.2">
      <c r="B79">
        <v>10275</v>
      </c>
      <c r="C79">
        <v>59</v>
      </c>
      <c r="D79" s="84">
        <v>44</v>
      </c>
      <c r="E79">
        <v>6</v>
      </c>
      <c r="F79" s="85">
        <v>0.05</v>
      </c>
      <c r="G79" s="86">
        <f t="shared" si="5"/>
        <v>264</v>
      </c>
      <c r="H79" s="86">
        <f t="shared" si="6"/>
        <v>13.200000000000001</v>
      </c>
      <c r="I79" s="86">
        <f t="shared" si="7"/>
        <v>250.8</v>
      </c>
      <c r="J79" s="84">
        <f>VLOOKUP(C79, Products[], 6)</f>
        <v>55</v>
      </c>
      <c r="K79" s="86">
        <f t="shared" si="8"/>
        <v>330</v>
      </c>
      <c r="L79" s="86">
        <f t="shared" si="9"/>
        <v>-79.199999999999989</v>
      </c>
      <c r="N79">
        <v>10321</v>
      </c>
      <c r="O79" s="84" cm="1">
        <f t="array" ref="O79">SUM(INDEX(_xlfn._xlws.FILTER($B$6:$L$2160, $B$6:$B$2160=N79), 0, 8))</f>
        <v>144</v>
      </c>
      <c r="P79" s="84" cm="1">
        <f t="array" ref="P79">SUM(INDEX(_xlfn._xlws.FILTER($B$6:$L$2160, $B$6:$B$2160=N79), 0, 10))</f>
        <v>180</v>
      </c>
      <c r="Q79" s="84" cm="1">
        <f t="array" ref="Q79">SUM(INDEX(_xlfn._xlws.FILTER($B$6:$L$2160, $B$6:$B$2160=N79), 0, 11))</f>
        <v>-36</v>
      </c>
    </row>
    <row r="80" spans="2:17" x14ac:dyDescent="0.2">
      <c r="B80">
        <v>10276</v>
      </c>
      <c r="C80">
        <v>10</v>
      </c>
      <c r="D80" s="84">
        <v>24.8</v>
      </c>
      <c r="E80">
        <v>15</v>
      </c>
      <c r="F80" s="85">
        <v>0</v>
      </c>
      <c r="G80" s="86">
        <f t="shared" si="5"/>
        <v>372</v>
      </c>
      <c r="H80" s="86">
        <f t="shared" si="6"/>
        <v>0</v>
      </c>
      <c r="I80" s="86">
        <f t="shared" si="7"/>
        <v>372</v>
      </c>
      <c r="J80" s="84">
        <f>VLOOKUP(C80, Products[], 6)</f>
        <v>31</v>
      </c>
      <c r="K80" s="86">
        <f t="shared" si="8"/>
        <v>465</v>
      </c>
      <c r="L80" s="86">
        <f t="shared" si="9"/>
        <v>-93</v>
      </c>
      <c r="N80">
        <v>10322</v>
      </c>
      <c r="O80" s="84" cm="1">
        <f t="array" ref="O80">SUM(INDEX(_xlfn._xlws.FILTER($B$6:$L$2160, $B$6:$B$2160=N80), 0, 8))</f>
        <v>112</v>
      </c>
      <c r="P80" s="84" cm="1">
        <f t="array" ref="P80">SUM(INDEX(_xlfn._xlws.FILTER($B$6:$L$2160, $B$6:$B$2160=N80), 0, 10))</f>
        <v>140</v>
      </c>
      <c r="Q80" s="84" cm="1">
        <f t="array" ref="Q80">SUM(INDEX(_xlfn._xlws.FILTER($B$6:$L$2160, $B$6:$B$2160=N80), 0, 11))</f>
        <v>-28</v>
      </c>
    </row>
    <row r="81" spans="2:17" x14ac:dyDescent="0.2">
      <c r="B81">
        <v>10276</v>
      </c>
      <c r="C81">
        <v>13</v>
      </c>
      <c r="D81" s="84">
        <v>4.8</v>
      </c>
      <c r="E81">
        <v>10</v>
      </c>
      <c r="F81" s="85">
        <v>0</v>
      </c>
      <c r="G81" s="86">
        <f t="shared" si="5"/>
        <v>48</v>
      </c>
      <c r="H81" s="86">
        <f t="shared" si="6"/>
        <v>0</v>
      </c>
      <c r="I81" s="86">
        <f t="shared" si="7"/>
        <v>48</v>
      </c>
      <c r="J81" s="84">
        <f>VLOOKUP(C81, Products[], 6)</f>
        <v>6</v>
      </c>
      <c r="K81" s="86">
        <f t="shared" si="8"/>
        <v>60</v>
      </c>
      <c r="L81" s="86">
        <f t="shared" si="9"/>
        <v>-12</v>
      </c>
      <c r="N81">
        <v>10323</v>
      </c>
      <c r="O81" s="84" cm="1">
        <f t="array" ref="O81">SUM(INDEX(_xlfn._xlws.FILTER($B$6:$L$2160, $B$6:$B$2160=N81), 0, 8))</f>
        <v>164.4</v>
      </c>
      <c r="P81" s="84" cm="1">
        <f t="array" ref="P81">SUM(INDEX(_xlfn._xlws.FILTER($B$6:$L$2160, $B$6:$B$2160=N81), 0, 10))</f>
        <v>205.5</v>
      </c>
      <c r="Q81" s="84" cm="1">
        <f t="array" ref="Q81">SUM(INDEX(_xlfn._xlws.FILTER($B$6:$L$2160, $B$6:$B$2160=N81), 0, 11))</f>
        <v>-41.1</v>
      </c>
    </row>
    <row r="82" spans="2:17" x14ac:dyDescent="0.2">
      <c r="B82">
        <v>10277</v>
      </c>
      <c r="C82">
        <v>28</v>
      </c>
      <c r="D82" s="84">
        <v>36.4</v>
      </c>
      <c r="E82">
        <v>20</v>
      </c>
      <c r="F82" s="85">
        <v>0</v>
      </c>
      <c r="G82" s="86">
        <f t="shared" si="5"/>
        <v>728</v>
      </c>
      <c r="H82" s="86">
        <f t="shared" si="6"/>
        <v>0</v>
      </c>
      <c r="I82" s="86">
        <f t="shared" si="7"/>
        <v>728</v>
      </c>
      <c r="J82" s="84">
        <f>VLOOKUP(C82, Products[], 6)</f>
        <v>45.6</v>
      </c>
      <c r="K82" s="86">
        <f t="shared" si="8"/>
        <v>912</v>
      </c>
      <c r="L82" s="86">
        <f t="shared" si="9"/>
        <v>-184</v>
      </c>
      <c r="N82">
        <v>10324</v>
      </c>
      <c r="O82" s="84" cm="1">
        <f t="array" ref="O82">SUM(INDEX(_xlfn._xlws.FILTER($B$6:$L$2160, $B$6:$B$2160=N82), 0, 8))</f>
        <v>5275.7150000000001</v>
      </c>
      <c r="P82" s="84" cm="1">
        <f t="array" ref="P82">SUM(INDEX(_xlfn._xlws.FILTER($B$6:$L$2160, $B$6:$B$2160=N82), 0, 10))</f>
        <v>7698.45</v>
      </c>
      <c r="Q82" s="84" cm="1">
        <f t="array" ref="Q82">SUM(INDEX(_xlfn._xlws.FILTER($B$6:$L$2160, $B$6:$B$2160=N82), 0, 11))</f>
        <v>-2422.7349999999997</v>
      </c>
    </row>
    <row r="83" spans="2:17" x14ac:dyDescent="0.2">
      <c r="B83">
        <v>10277</v>
      </c>
      <c r="C83">
        <v>62</v>
      </c>
      <c r="D83" s="84">
        <v>39.4</v>
      </c>
      <c r="E83">
        <v>12</v>
      </c>
      <c r="F83" s="85">
        <v>0</v>
      </c>
      <c r="G83" s="86">
        <f t="shared" si="5"/>
        <v>472.79999999999995</v>
      </c>
      <c r="H83" s="86">
        <f t="shared" si="6"/>
        <v>0</v>
      </c>
      <c r="I83" s="86">
        <f t="shared" si="7"/>
        <v>472.79999999999995</v>
      </c>
      <c r="J83" s="84">
        <f>VLOOKUP(C83, Products[], 6)</f>
        <v>49.3</v>
      </c>
      <c r="K83" s="86">
        <f t="shared" si="8"/>
        <v>591.59999999999991</v>
      </c>
      <c r="L83" s="86">
        <f t="shared" si="9"/>
        <v>-118.79999999999995</v>
      </c>
      <c r="N83">
        <v>10325</v>
      </c>
      <c r="O83" s="84" cm="1">
        <f t="array" ref="O83">SUM(INDEX(_xlfn._xlws.FILTER($B$6:$L$2160, $B$6:$B$2160=N83), 0, 8))</f>
        <v>1497</v>
      </c>
      <c r="P83" s="84" cm="1">
        <f t="array" ref="P83">SUM(INDEX(_xlfn._xlws.FILTER($B$6:$L$2160, $B$6:$B$2160=N83), 0, 10))</f>
        <v>1873.25</v>
      </c>
      <c r="Q83" s="84" cm="1">
        <f t="array" ref="Q83">SUM(INDEX(_xlfn._xlws.FILTER($B$6:$L$2160, $B$6:$B$2160=N83), 0, 11))</f>
        <v>-376.25</v>
      </c>
    </row>
    <row r="84" spans="2:17" x14ac:dyDescent="0.2">
      <c r="B84">
        <v>10278</v>
      </c>
      <c r="C84">
        <v>44</v>
      </c>
      <c r="D84" s="84">
        <v>15.5</v>
      </c>
      <c r="E84">
        <v>16</v>
      </c>
      <c r="F84" s="85">
        <v>0</v>
      </c>
      <c r="G84" s="86">
        <f t="shared" si="5"/>
        <v>248</v>
      </c>
      <c r="H84" s="86">
        <f t="shared" si="6"/>
        <v>0</v>
      </c>
      <c r="I84" s="86">
        <f t="shared" si="7"/>
        <v>248</v>
      </c>
      <c r="J84" s="84">
        <f>VLOOKUP(C84, Products[], 6)</f>
        <v>19.45</v>
      </c>
      <c r="K84" s="86">
        <f t="shared" si="8"/>
        <v>311.2</v>
      </c>
      <c r="L84" s="86">
        <f t="shared" si="9"/>
        <v>-63.199999999999989</v>
      </c>
      <c r="N84">
        <v>10326</v>
      </c>
      <c r="O84" s="84" cm="1">
        <f t="array" ref="O84">SUM(INDEX(_xlfn._xlws.FILTER($B$6:$L$2160, $B$6:$B$2160=N84), 0, 8))</f>
        <v>982</v>
      </c>
      <c r="P84" s="84" cm="1">
        <f t="array" ref="P84">SUM(INDEX(_xlfn._xlws.FILTER($B$6:$L$2160, $B$6:$B$2160=N84), 0, 10))</f>
        <v>1227.5</v>
      </c>
      <c r="Q84" s="84" cm="1">
        <f t="array" ref="Q84">SUM(INDEX(_xlfn._xlws.FILTER($B$6:$L$2160, $B$6:$B$2160=N84), 0, 11))</f>
        <v>-245.49999999999997</v>
      </c>
    </row>
    <row r="85" spans="2:17" x14ac:dyDescent="0.2">
      <c r="B85">
        <v>10278</v>
      </c>
      <c r="C85">
        <v>59</v>
      </c>
      <c r="D85" s="84">
        <v>44</v>
      </c>
      <c r="E85">
        <v>15</v>
      </c>
      <c r="F85" s="85">
        <v>0</v>
      </c>
      <c r="G85" s="86">
        <f t="shared" si="5"/>
        <v>660</v>
      </c>
      <c r="H85" s="86">
        <f t="shared" si="6"/>
        <v>0</v>
      </c>
      <c r="I85" s="86">
        <f t="shared" si="7"/>
        <v>660</v>
      </c>
      <c r="J85" s="84">
        <f>VLOOKUP(C85, Products[], 6)</f>
        <v>55</v>
      </c>
      <c r="K85" s="86">
        <f t="shared" si="8"/>
        <v>825</v>
      </c>
      <c r="L85" s="86">
        <f t="shared" si="9"/>
        <v>-165</v>
      </c>
      <c r="N85">
        <v>10327</v>
      </c>
      <c r="O85" s="84" cm="1">
        <f t="array" ref="O85">SUM(INDEX(_xlfn._xlws.FILTER($B$6:$L$2160, $B$6:$B$2160=N85), 0, 8))</f>
        <v>1810</v>
      </c>
      <c r="P85" s="84" cm="1">
        <f t="array" ref="P85">SUM(INDEX(_xlfn._xlws.FILTER($B$6:$L$2160, $B$6:$B$2160=N85), 0, 10))</f>
        <v>2828.65</v>
      </c>
      <c r="Q85" s="84" cm="1">
        <f t="array" ref="Q85">SUM(INDEX(_xlfn._xlws.FILTER($B$6:$L$2160, $B$6:$B$2160=N85), 0, 11))</f>
        <v>-1018.65</v>
      </c>
    </row>
    <row r="86" spans="2:17" x14ac:dyDescent="0.2">
      <c r="B86">
        <v>10278</v>
      </c>
      <c r="C86">
        <v>63</v>
      </c>
      <c r="D86" s="84">
        <v>35.1</v>
      </c>
      <c r="E86">
        <v>8</v>
      </c>
      <c r="F86" s="85">
        <v>0</v>
      </c>
      <c r="G86" s="86">
        <f t="shared" si="5"/>
        <v>280.8</v>
      </c>
      <c r="H86" s="86">
        <f t="shared" si="6"/>
        <v>0</v>
      </c>
      <c r="I86" s="86">
        <f t="shared" si="7"/>
        <v>280.8</v>
      </c>
      <c r="J86" s="84">
        <f>VLOOKUP(C86, Products[], 6)</f>
        <v>43.9</v>
      </c>
      <c r="K86" s="86">
        <f t="shared" si="8"/>
        <v>351.2</v>
      </c>
      <c r="L86" s="86">
        <f t="shared" si="9"/>
        <v>-70.399999999999977</v>
      </c>
      <c r="N86">
        <v>10328</v>
      </c>
      <c r="O86" s="84" cm="1">
        <f t="array" ref="O86">SUM(INDEX(_xlfn._xlws.FILTER($B$6:$L$2160, $B$6:$B$2160=N86), 0, 8))</f>
        <v>1168</v>
      </c>
      <c r="P86" s="84" cm="1">
        <f t="array" ref="P86">SUM(INDEX(_xlfn._xlws.FILTER($B$6:$L$2160, $B$6:$B$2160=N86), 0, 10))</f>
        <v>1462</v>
      </c>
      <c r="Q86" s="84" cm="1">
        <f t="array" ref="Q86">SUM(INDEX(_xlfn._xlws.FILTER($B$6:$L$2160, $B$6:$B$2160=N86), 0, 11))</f>
        <v>-294</v>
      </c>
    </row>
    <row r="87" spans="2:17" x14ac:dyDescent="0.2">
      <c r="B87">
        <v>10278</v>
      </c>
      <c r="C87">
        <v>73</v>
      </c>
      <c r="D87" s="84">
        <v>12</v>
      </c>
      <c r="E87">
        <v>25</v>
      </c>
      <c r="F87" s="85">
        <v>0</v>
      </c>
      <c r="G87" s="86">
        <f t="shared" si="5"/>
        <v>300</v>
      </c>
      <c r="H87" s="86">
        <f t="shared" si="6"/>
        <v>0</v>
      </c>
      <c r="I87" s="86">
        <f t="shared" si="7"/>
        <v>300</v>
      </c>
      <c r="J87" s="84">
        <f>VLOOKUP(C87, Products[], 6)</f>
        <v>15</v>
      </c>
      <c r="K87" s="86">
        <f t="shared" si="8"/>
        <v>375</v>
      </c>
      <c r="L87" s="86">
        <f t="shared" si="9"/>
        <v>-75</v>
      </c>
      <c r="N87">
        <v>10329</v>
      </c>
      <c r="O87" s="84" cm="1">
        <f t="array" ref="O87">SUM(INDEX(_xlfn._xlws.FILTER($B$6:$L$2160, $B$6:$B$2160=N87), 0, 8))</f>
        <v>4578.43</v>
      </c>
      <c r="P87" s="84" cm="1">
        <f t="array" ref="P87">SUM(INDEX(_xlfn._xlws.FILTER($B$6:$L$2160, $B$6:$B$2160=N87), 0, 10))</f>
        <v>6025.12</v>
      </c>
      <c r="Q87" s="84" cm="1">
        <f t="array" ref="Q87">SUM(INDEX(_xlfn._xlws.FILTER($B$6:$L$2160, $B$6:$B$2160=N87), 0, 11))</f>
        <v>-1446.6900000000003</v>
      </c>
    </row>
    <row r="88" spans="2:17" x14ac:dyDescent="0.2">
      <c r="B88">
        <v>10279</v>
      </c>
      <c r="C88">
        <v>17</v>
      </c>
      <c r="D88" s="84">
        <v>31.2</v>
      </c>
      <c r="E88">
        <v>15</v>
      </c>
      <c r="F88" s="85">
        <v>0.25</v>
      </c>
      <c r="G88" s="86">
        <f t="shared" si="5"/>
        <v>468</v>
      </c>
      <c r="H88" s="86">
        <f t="shared" si="6"/>
        <v>117</v>
      </c>
      <c r="I88" s="86">
        <f t="shared" si="7"/>
        <v>351</v>
      </c>
      <c r="J88" s="84">
        <f>VLOOKUP(C88, Products[], 6)</f>
        <v>39</v>
      </c>
      <c r="K88" s="86">
        <f t="shared" si="8"/>
        <v>585</v>
      </c>
      <c r="L88" s="86">
        <f t="shared" si="9"/>
        <v>-234</v>
      </c>
      <c r="N88">
        <v>10330</v>
      </c>
      <c r="O88" s="84" cm="1">
        <f t="array" ref="O88">SUM(INDEX(_xlfn._xlws.FILTER($B$6:$L$2160, $B$6:$B$2160=N88), 0, 8))</f>
        <v>1649</v>
      </c>
      <c r="P88" s="84" cm="1">
        <f t="array" ref="P88">SUM(INDEX(_xlfn._xlws.FILTER($B$6:$L$2160, $B$6:$B$2160=N88), 0, 10))</f>
        <v>2431.5</v>
      </c>
      <c r="Q88" s="84" cm="1">
        <f t="array" ref="Q88">SUM(INDEX(_xlfn._xlws.FILTER($B$6:$L$2160, $B$6:$B$2160=N88), 0, 11))</f>
        <v>-782.49999999999989</v>
      </c>
    </row>
    <row r="89" spans="2:17" x14ac:dyDescent="0.2">
      <c r="B89">
        <v>10280</v>
      </c>
      <c r="C89">
        <v>24</v>
      </c>
      <c r="D89" s="84">
        <v>3.6</v>
      </c>
      <c r="E89">
        <v>12</v>
      </c>
      <c r="F89" s="85">
        <v>0</v>
      </c>
      <c r="G89" s="86">
        <f t="shared" si="5"/>
        <v>43.2</v>
      </c>
      <c r="H89" s="86">
        <f t="shared" si="6"/>
        <v>0</v>
      </c>
      <c r="I89" s="86">
        <f t="shared" si="7"/>
        <v>43.2</v>
      </c>
      <c r="J89" s="84">
        <f>VLOOKUP(C89, Products[], 6)</f>
        <v>4.5</v>
      </c>
      <c r="K89" s="86">
        <f t="shared" si="8"/>
        <v>54</v>
      </c>
      <c r="L89" s="86">
        <f t="shared" si="9"/>
        <v>-10.799999999999997</v>
      </c>
      <c r="N89">
        <v>10331</v>
      </c>
      <c r="O89" s="84" cm="1">
        <f t="array" ref="O89">SUM(INDEX(_xlfn._xlws.FILTER($B$6:$L$2160, $B$6:$B$2160=N89), 0, 8))</f>
        <v>88.5</v>
      </c>
      <c r="P89" s="84" cm="1">
        <f t="array" ref="P89">SUM(INDEX(_xlfn._xlws.FILTER($B$6:$L$2160, $B$6:$B$2160=N89), 0, 10))</f>
        <v>111.75</v>
      </c>
      <c r="Q89" s="84" cm="1">
        <f t="array" ref="Q89">SUM(INDEX(_xlfn._xlws.FILTER($B$6:$L$2160, $B$6:$B$2160=N89), 0, 11))</f>
        <v>-23.25</v>
      </c>
    </row>
    <row r="90" spans="2:17" x14ac:dyDescent="0.2">
      <c r="B90">
        <v>10280</v>
      </c>
      <c r="C90">
        <v>55</v>
      </c>
      <c r="D90" s="84">
        <v>19.2</v>
      </c>
      <c r="E90">
        <v>20</v>
      </c>
      <c r="F90" s="85">
        <v>0</v>
      </c>
      <c r="G90" s="86">
        <f t="shared" si="5"/>
        <v>384</v>
      </c>
      <c r="H90" s="86">
        <f t="shared" si="6"/>
        <v>0</v>
      </c>
      <c r="I90" s="86">
        <f t="shared" si="7"/>
        <v>384</v>
      </c>
      <c r="J90" s="84">
        <f>VLOOKUP(C90, Products[], 6)</f>
        <v>24</v>
      </c>
      <c r="K90" s="86">
        <f t="shared" si="8"/>
        <v>480</v>
      </c>
      <c r="L90" s="86">
        <f t="shared" si="9"/>
        <v>-96</v>
      </c>
      <c r="N90">
        <v>10332</v>
      </c>
      <c r="O90" s="84" cm="1">
        <f t="array" ref="O90">SUM(INDEX(_xlfn._xlws.FILTER($B$6:$L$2160, $B$6:$B$2160=N90), 0, 8))</f>
        <v>1786.8799999999999</v>
      </c>
      <c r="P90" s="84" cm="1">
        <f t="array" ref="P90">SUM(INDEX(_xlfn._xlws.FILTER($B$6:$L$2160, $B$6:$B$2160=N90), 0, 10))</f>
        <v>2792</v>
      </c>
      <c r="Q90" s="84" cm="1">
        <f t="array" ref="Q90">SUM(INDEX(_xlfn._xlws.FILTER($B$6:$L$2160, $B$6:$B$2160=N90), 0, 11))</f>
        <v>-1005.12</v>
      </c>
    </row>
    <row r="91" spans="2:17" x14ac:dyDescent="0.2">
      <c r="B91">
        <v>10280</v>
      </c>
      <c r="C91">
        <v>75</v>
      </c>
      <c r="D91" s="84">
        <v>6.2</v>
      </c>
      <c r="E91">
        <v>30</v>
      </c>
      <c r="F91" s="85">
        <v>0</v>
      </c>
      <c r="G91" s="86">
        <f t="shared" si="5"/>
        <v>186</v>
      </c>
      <c r="H91" s="86">
        <f t="shared" si="6"/>
        <v>0</v>
      </c>
      <c r="I91" s="86">
        <f t="shared" si="7"/>
        <v>186</v>
      </c>
      <c r="J91" s="84">
        <f>VLOOKUP(C91, Products[], 6)</f>
        <v>7.75</v>
      </c>
      <c r="K91" s="86">
        <f t="shared" si="8"/>
        <v>232.5</v>
      </c>
      <c r="L91" s="86">
        <f t="shared" si="9"/>
        <v>-46.5</v>
      </c>
      <c r="N91">
        <v>10333</v>
      </c>
      <c r="O91" s="84" cm="1">
        <f t="array" ref="O91">SUM(INDEX(_xlfn._xlws.FILTER($B$6:$L$2160, $B$6:$B$2160=N91), 0, 8))</f>
        <v>877.2</v>
      </c>
      <c r="P91" s="84" cm="1">
        <f t="array" ref="P91">SUM(INDEX(_xlfn._xlws.FILTER($B$6:$L$2160, $B$6:$B$2160=N91), 0, 10))</f>
        <v>1192.5</v>
      </c>
      <c r="Q91" s="84" cm="1">
        <f t="array" ref="Q91">SUM(INDEX(_xlfn._xlws.FILTER($B$6:$L$2160, $B$6:$B$2160=N91), 0, 11))</f>
        <v>-315.29999999999995</v>
      </c>
    </row>
    <row r="92" spans="2:17" x14ac:dyDescent="0.2">
      <c r="B92">
        <v>10281</v>
      </c>
      <c r="C92">
        <v>19</v>
      </c>
      <c r="D92" s="84">
        <v>7.3</v>
      </c>
      <c r="E92">
        <v>1</v>
      </c>
      <c r="F92" s="85">
        <v>0</v>
      </c>
      <c r="G92" s="86">
        <f t="shared" si="5"/>
        <v>7.3</v>
      </c>
      <c r="H92" s="86">
        <f t="shared" si="6"/>
        <v>0</v>
      </c>
      <c r="I92" s="86">
        <f t="shared" si="7"/>
        <v>7.3</v>
      </c>
      <c r="J92" s="84">
        <f>VLOOKUP(C92, Products[], 6)</f>
        <v>9.1999999999999993</v>
      </c>
      <c r="K92" s="86">
        <f t="shared" si="8"/>
        <v>9.1999999999999993</v>
      </c>
      <c r="L92" s="86">
        <f t="shared" si="9"/>
        <v>-1.8999999999999995</v>
      </c>
      <c r="N92">
        <v>10334</v>
      </c>
      <c r="O92" s="84" cm="1">
        <f t="array" ref="O92">SUM(INDEX(_xlfn._xlws.FILTER($B$6:$L$2160, $B$6:$B$2160=N92), 0, 8))</f>
        <v>144.80000000000001</v>
      </c>
      <c r="P92" s="84" cm="1">
        <f t="array" ref="P92">SUM(INDEX(_xlfn._xlws.FILTER($B$6:$L$2160, $B$6:$B$2160=N92), 0, 10))</f>
        <v>181</v>
      </c>
      <c r="Q92" s="84" cm="1">
        <f t="array" ref="Q92">SUM(INDEX(_xlfn._xlws.FILTER($B$6:$L$2160, $B$6:$B$2160=N92), 0, 11))</f>
        <v>-36.200000000000003</v>
      </c>
    </row>
    <row r="93" spans="2:17" x14ac:dyDescent="0.2">
      <c r="B93">
        <v>10281</v>
      </c>
      <c r="C93">
        <v>24</v>
      </c>
      <c r="D93" s="84">
        <v>3.6</v>
      </c>
      <c r="E93">
        <v>6</v>
      </c>
      <c r="F93" s="85">
        <v>0</v>
      </c>
      <c r="G93" s="86">
        <f t="shared" si="5"/>
        <v>21.6</v>
      </c>
      <c r="H93" s="86">
        <f t="shared" si="6"/>
        <v>0</v>
      </c>
      <c r="I93" s="86">
        <f t="shared" si="7"/>
        <v>21.6</v>
      </c>
      <c r="J93" s="84">
        <f>VLOOKUP(C93, Products[], 6)</f>
        <v>4.5</v>
      </c>
      <c r="K93" s="86">
        <f t="shared" si="8"/>
        <v>27</v>
      </c>
      <c r="L93" s="86">
        <f t="shared" si="9"/>
        <v>-5.3999999999999986</v>
      </c>
      <c r="N93">
        <v>10335</v>
      </c>
      <c r="O93" s="84" cm="1">
        <f t="array" ref="O93">SUM(INDEX(_xlfn._xlws.FILTER($B$6:$L$2160, $B$6:$B$2160=N93), 0, 8))</f>
        <v>2036.1599999999999</v>
      </c>
      <c r="P93" s="84" cm="1">
        <f t="array" ref="P93">SUM(INDEX(_xlfn._xlws.FILTER($B$6:$L$2160, $B$6:$B$2160=N93), 0, 10))</f>
        <v>3181.5</v>
      </c>
      <c r="Q93" s="84" cm="1">
        <f t="array" ref="Q93">SUM(INDEX(_xlfn._xlws.FILTER($B$6:$L$2160, $B$6:$B$2160=N93), 0, 11))</f>
        <v>-1145.3400000000001</v>
      </c>
    </row>
    <row r="94" spans="2:17" x14ac:dyDescent="0.2">
      <c r="B94">
        <v>10281</v>
      </c>
      <c r="C94">
        <v>35</v>
      </c>
      <c r="D94" s="84">
        <v>14.4</v>
      </c>
      <c r="E94">
        <v>4</v>
      </c>
      <c r="F94" s="85">
        <v>0</v>
      </c>
      <c r="G94" s="86">
        <f t="shared" si="5"/>
        <v>57.6</v>
      </c>
      <c r="H94" s="86">
        <f t="shared" si="6"/>
        <v>0</v>
      </c>
      <c r="I94" s="86">
        <f t="shared" si="7"/>
        <v>57.6</v>
      </c>
      <c r="J94" s="84">
        <f>VLOOKUP(C94, Products[], 6)</f>
        <v>18</v>
      </c>
      <c r="K94" s="86">
        <f t="shared" si="8"/>
        <v>72</v>
      </c>
      <c r="L94" s="86">
        <f t="shared" si="9"/>
        <v>-14.399999999999999</v>
      </c>
      <c r="N94">
        <v>10336</v>
      </c>
      <c r="O94" s="84" cm="1">
        <f t="array" ref="O94">SUM(INDEX(_xlfn._xlws.FILTER($B$6:$L$2160, $B$6:$B$2160=N94), 0, 8))</f>
        <v>285.12</v>
      </c>
      <c r="P94" s="84" cm="1">
        <f t="array" ref="P94">SUM(INDEX(_xlfn._xlws.FILTER($B$6:$L$2160, $B$6:$B$2160=N94), 0, 10))</f>
        <v>396</v>
      </c>
      <c r="Q94" s="84" cm="1">
        <f t="array" ref="Q94">SUM(INDEX(_xlfn._xlws.FILTER($B$6:$L$2160, $B$6:$B$2160=N94), 0, 11))</f>
        <v>-110.88</v>
      </c>
    </row>
    <row r="95" spans="2:17" x14ac:dyDescent="0.2">
      <c r="B95">
        <v>10282</v>
      </c>
      <c r="C95">
        <v>30</v>
      </c>
      <c r="D95" s="84">
        <v>20.7</v>
      </c>
      <c r="E95">
        <v>6</v>
      </c>
      <c r="F95" s="85">
        <v>0</v>
      </c>
      <c r="G95" s="86">
        <f t="shared" si="5"/>
        <v>124.19999999999999</v>
      </c>
      <c r="H95" s="86">
        <f t="shared" si="6"/>
        <v>0</v>
      </c>
      <c r="I95" s="86">
        <f t="shared" si="7"/>
        <v>124.19999999999999</v>
      </c>
      <c r="J95" s="84">
        <f>VLOOKUP(C95, Products[], 6)</f>
        <v>25.89</v>
      </c>
      <c r="K95" s="86">
        <f t="shared" si="8"/>
        <v>155.34</v>
      </c>
      <c r="L95" s="86">
        <f t="shared" si="9"/>
        <v>-31.140000000000015</v>
      </c>
      <c r="N95">
        <v>10337</v>
      </c>
      <c r="O95" s="84" cm="1">
        <f t="array" ref="O95">SUM(INDEX(_xlfn._xlws.FILTER($B$6:$L$2160, $B$6:$B$2160=N95), 0, 8))</f>
        <v>2467</v>
      </c>
      <c r="P95" s="84" cm="1">
        <f t="array" ref="P95">SUM(INDEX(_xlfn._xlws.FILTER($B$6:$L$2160, $B$6:$B$2160=N95), 0, 10))</f>
        <v>3087.52</v>
      </c>
      <c r="Q95" s="84" cm="1">
        <f t="array" ref="Q95">SUM(INDEX(_xlfn._xlws.FILTER($B$6:$L$2160, $B$6:$B$2160=N95), 0, 11))</f>
        <v>-620.52</v>
      </c>
    </row>
    <row r="96" spans="2:17" x14ac:dyDescent="0.2">
      <c r="B96">
        <v>10282</v>
      </c>
      <c r="C96">
        <v>57</v>
      </c>
      <c r="D96" s="84">
        <v>15.6</v>
      </c>
      <c r="E96">
        <v>2</v>
      </c>
      <c r="F96" s="85">
        <v>0</v>
      </c>
      <c r="G96" s="86">
        <f t="shared" si="5"/>
        <v>31.2</v>
      </c>
      <c r="H96" s="86">
        <f t="shared" si="6"/>
        <v>0</v>
      </c>
      <c r="I96" s="86">
        <f t="shared" si="7"/>
        <v>31.2</v>
      </c>
      <c r="J96" s="84">
        <f>VLOOKUP(C96, Products[], 6)</f>
        <v>19.5</v>
      </c>
      <c r="K96" s="86">
        <f t="shared" si="8"/>
        <v>39</v>
      </c>
      <c r="L96" s="86">
        <f t="shared" si="9"/>
        <v>-7.8000000000000007</v>
      </c>
      <c r="N96">
        <v>10338</v>
      </c>
      <c r="O96" s="84" cm="1">
        <f t="array" ref="O96">SUM(INDEX(_xlfn._xlws.FILTER($B$6:$L$2160, $B$6:$B$2160=N96), 0, 8))</f>
        <v>934.5</v>
      </c>
      <c r="P96" s="84" cm="1">
        <f t="array" ref="P96">SUM(INDEX(_xlfn._xlws.FILTER($B$6:$L$2160, $B$6:$B$2160=N96), 0, 10))</f>
        <v>1168.3499999999999</v>
      </c>
      <c r="Q96" s="84" cm="1">
        <f t="array" ref="Q96">SUM(INDEX(_xlfn._xlws.FILTER($B$6:$L$2160, $B$6:$B$2160=N96), 0, 11))</f>
        <v>-233.85000000000002</v>
      </c>
    </row>
    <row r="97" spans="2:17" x14ac:dyDescent="0.2">
      <c r="B97">
        <v>10283</v>
      </c>
      <c r="C97">
        <v>15</v>
      </c>
      <c r="D97" s="84">
        <v>12.4</v>
      </c>
      <c r="E97">
        <v>20</v>
      </c>
      <c r="F97" s="85">
        <v>0</v>
      </c>
      <c r="G97" s="86">
        <f t="shared" si="5"/>
        <v>248</v>
      </c>
      <c r="H97" s="86">
        <f t="shared" si="6"/>
        <v>0</v>
      </c>
      <c r="I97" s="86">
        <f t="shared" si="7"/>
        <v>248</v>
      </c>
      <c r="J97" s="84">
        <f>VLOOKUP(C97, Products[], 6)</f>
        <v>15.5</v>
      </c>
      <c r="K97" s="86">
        <f t="shared" si="8"/>
        <v>310</v>
      </c>
      <c r="L97" s="86">
        <f t="shared" si="9"/>
        <v>-62</v>
      </c>
      <c r="N97">
        <v>10339</v>
      </c>
      <c r="O97" s="84" cm="1">
        <f t="array" ref="O97">SUM(INDEX(_xlfn._xlws.FILTER($B$6:$L$2160, $B$6:$B$2160=N97), 0, 8))</f>
        <v>3354</v>
      </c>
      <c r="P97" s="84" cm="1">
        <f t="array" ref="P97">SUM(INDEX(_xlfn._xlws.FILTER($B$6:$L$2160, $B$6:$B$2160=N97), 0, 10))</f>
        <v>4330.3999999999996</v>
      </c>
      <c r="Q97" s="84" cm="1">
        <f t="array" ref="Q97">SUM(INDEX(_xlfn._xlws.FILTER($B$6:$L$2160, $B$6:$B$2160=N97), 0, 11))</f>
        <v>-976.39999999999964</v>
      </c>
    </row>
    <row r="98" spans="2:17" x14ac:dyDescent="0.2">
      <c r="B98">
        <v>10283</v>
      </c>
      <c r="C98">
        <v>19</v>
      </c>
      <c r="D98" s="84">
        <v>7.3</v>
      </c>
      <c r="E98">
        <v>18</v>
      </c>
      <c r="F98" s="85">
        <v>0</v>
      </c>
      <c r="G98" s="86">
        <f t="shared" si="5"/>
        <v>131.4</v>
      </c>
      <c r="H98" s="86">
        <f t="shared" si="6"/>
        <v>0</v>
      </c>
      <c r="I98" s="86">
        <f t="shared" si="7"/>
        <v>131.4</v>
      </c>
      <c r="J98" s="84">
        <f>VLOOKUP(C98, Products[], 6)</f>
        <v>9.1999999999999993</v>
      </c>
      <c r="K98" s="86">
        <f t="shared" si="8"/>
        <v>165.6</v>
      </c>
      <c r="L98" s="86">
        <f t="shared" si="9"/>
        <v>-34.199999999999989</v>
      </c>
      <c r="N98">
        <v>10340</v>
      </c>
      <c r="O98" s="84" cm="1">
        <f t="array" ref="O98">SUM(INDEX(_xlfn._xlws.FILTER($B$6:$L$2160, $B$6:$B$2160=N98), 0, 8))</f>
        <v>2436.1800000000003</v>
      </c>
      <c r="P98" s="84" cm="1">
        <f t="array" ref="P98">SUM(INDEX(_xlfn._xlws.FILTER($B$6:$L$2160, $B$6:$B$2160=N98), 0, 10))</f>
        <v>3205.8</v>
      </c>
      <c r="Q98" s="84" cm="1">
        <f t="array" ref="Q98">SUM(INDEX(_xlfn._xlws.FILTER($B$6:$L$2160, $B$6:$B$2160=N98), 0, 11))</f>
        <v>-769.61999999999989</v>
      </c>
    </row>
    <row r="99" spans="2:17" x14ac:dyDescent="0.2">
      <c r="B99">
        <v>10283</v>
      </c>
      <c r="C99">
        <v>60</v>
      </c>
      <c r="D99" s="84">
        <v>27.2</v>
      </c>
      <c r="E99">
        <v>35</v>
      </c>
      <c r="F99" s="85">
        <v>0</v>
      </c>
      <c r="G99" s="86">
        <f t="shared" si="5"/>
        <v>952</v>
      </c>
      <c r="H99" s="86">
        <f t="shared" si="6"/>
        <v>0</v>
      </c>
      <c r="I99" s="86">
        <f t="shared" si="7"/>
        <v>952</v>
      </c>
      <c r="J99" s="84">
        <f>VLOOKUP(C99, Products[], 6)</f>
        <v>34</v>
      </c>
      <c r="K99" s="86">
        <f t="shared" si="8"/>
        <v>1190</v>
      </c>
      <c r="L99" s="86">
        <f t="shared" si="9"/>
        <v>-238</v>
      </c>
      <c r="N99">
        <v>10341</v>
      </c>
      <c r="O99" s="84" cm="1">
        <f t="array" ref="O99">SUM(INDEX(_xlfn._xlws.FILTER($B$6:$L$2160, $B$6:$B$2160=N99), 0, 8))</f>
        <v>352.6</v>
      </c>
      <c r="P99" s="84" cm="1">
        <f t="array" ref="P99">SUM(INDEX(_xlfn._xlws.FILTER($B$6:$L$2160, $B$6:$B$2160=N99), 0, 10))</f>
        <v>515</v>
      </c>
      <c r="Q99" s="84" cm="1">
        <f t="array" ref="Q99">SUM(INDEX(_xlfn._xlws.FILTER($B$6:$L$2160, $B$6:$B$2160=N99), 0, 11))</f>
        <v>-162.39999999999998</v>
      </c>
    </row>
    <row r="100" spans="2:17" x14ac:dyDescent="0.2">
      <c r="B100">
        <v>10283</v>
      </c>
      <c r="C100">
        <v>72</v>
      </c>
      <c r="D100" s="84">
        <v>27.8</v>
      </c>
      <c r="E100">
        <v>3</v>
      </c>
      <c r="F100" s="85">
        <v>0</v>
      </c>
      <c r="G100" s="86">
        <f t="shared" si="5"/>
        <v>83.4</v>
      </c>
      <c r="H100" s="86">
        <f t="shared" si="6"/>
        <v>0</v>
      </c>
      <c r="I100" s="86">
        <f t="shared" si="7"/>
        <v>83.4</v>
      </c>
      <c r="J100" s="84">
        <f>VLOOKUP(C100, Products[], 6)</f>
        <v>34.799999999999997</v>
      </c>
      <c r="K100" s="86">
        <f t="shared" si="8"/>
        <v>104.39999999999999</v>
      </c>
      <c r="L100" s="86">
        <f t="shared" si="9"/>
        <v>-20.999999999999986</v>
      </c>
      <c r="N100">
        <v>10342</v>
      </c>
      <c r="O100" s="84" cm="1">
        <f t="array" ref="O100">SUM(INDEX(_xlfn._xlws.FILTER($B$6:$L$2160, $B$6:$B$2160=N100), 0, 8))</f>
        <v>1840.6399999999999</v>
      </c>
      <c r="P100" s="84" cm="1">
        <f t="array" ref="P100">SUM(INDEX(_xlfn._xlws.FILTER($B$6:$L$2160, $B$6:$B$2160=N100), 0, 10))</f>
        <v>2876</v>
      </c>
      <c r="Q100" s="84" cm="1">
        <f t="array" ref="Q100">SUM(INDEX(_xlfn._xlws.FILTER($B$6:$L$2160, $B$6:$B$2160=N100), 0, 11))</f>
        <v>-1035.3600000000001</v>
      </c>
    </row>
    <row r="101" spans="2:17" x14ac:dyDescent="0.2">
      <c r="B101">
        <v>10284</v>
      </c>
      <c r="C101">
        <v>27</v>
      </c>
      <c r="D101" s="84">
        <v>35.1</v>
      </c>
      <c r="E101">
        <v>15</v>
      </c>
      <c r="F101" s="85">
        <v>0.25</v>
      </c>
      <c r="G101" s="86">
        <f t="shared" si="5"/>
        <v>526.5</v>
      </c>
      <c r="H101" s="86">
        <f t="shared" si="6"/>
        <v>131.625</v>
      </c>
      <c r="I101" s="86">
        <f t="shared" si="7"/>
        <v>394.875</v>
      </c>
      <c r="J101" s="84">
        <f>VLOOKUP(C101, Products[], 6)</f>
        <v>43.9</v>
      </c>
      <c r="K101" s="86">
        <f t="shared" si="8"/>
        <v>658.5</v>
      </c>
      <c r="L101" s="86">
        <f t="shared" si="9"/>
        <v>-263.625</v>
      </c>
      <c r="N101">
        <v>10343</v>
      </c>
      <c r="O101" s="84" cm="1">
        <f t="array" ref="O101">SUM(INDEX(_xlfn._xlws.FILTER($B$6:$L$2160, $B$6:$B$2160=N101), 0, 8))</f>
        <v>1584</v>
      </c>
      <c r="P101" s="84" cm="1">
        <f t="array" ref="P101">SUM(INDEX(_xlfn._xlws.FILTER($B$6:$L$2160, $B$6:$B$2160=N101), 0, 10))</f>
        <v>1982.5</v>
      </c>
      <c r="Q101" s="84" cm="1">
        <f t="array" ref="Q101">SUM(INDEX(_xlfn._xlws.FILTER($B$6:$L$2160, $B$6:$B$2160=N101), 0, 11))</f>
        <v>-398.5</v>
      </c>
    </row>
    <row r="102" spans="2:17" x14ac:dyDescent="0.2">
      <c r="B102">
        <v>10284</v>
      </c>
      <c r="C102">
        <v>44</v>
      </c>
      <c r="D102" s="84">
        <v>15.5</v>
      </c>
      <c r="E102">
        <v>21</v>
      </c>
      <c r="F102" s="85">
        <v>0</v>
      </c>
      <c r="G102" s="86">
        <f t="shared" si="5"/>
        <v>325.5</v>
      </c>
      <c r="H102" s="86">
        <f t="shared" si="6"/>
        <v>0</v>
      </c>
      <c r="I102" s="86">
        <f t="shared" si="7"/>
        <v>325.5</v>
      </c>
      <c r="J102" s="84">
        <f>VLOOKUP(C102, Products[], 6)</f>
        <v>19.45</v>
      </c>
      <c r="K102" s="86">
        <f t="shared" si="8"/>
        <v>408.45</v>
      </c>
      <c r="L102" s="86">
        <f t="shared" si="9"/>
        <v>-82.949999999999989</v>
      </c>
      <c r="N102">
        <v>10344</v>
      </c>
      <c r="O102" s="84" cm="1">
        <f t="array" ref="O102">SUM(INDEX(_xlfn._xlws.FILTER($B$6:$L$2160, $B$6:$B$2160=N102), 0, 8))</f>
        <v>2296</v>
      </c>
      <c r="P102" s="84" cm="1">
        <f t="array" ref="P102">SUM(INDEX(_xlfn._xlws.FILTER($B$6:$L$2160, $B$6:$B$2160=N102), 0, 10))</f>
        <v>3570</v>
      </c>
      <c r="Q102" s="84" cm="1">
        <f t="array" ref="Q102">SUM(INDEX(_xlfn._xlws.FILTER($B$6:$L$2160, $B$6:$B$2160=N102), 0, 11))</f>
        <v>-1274</v>
      </c>
    </row>
    <row r="103" spans="2:17" x14ac:dyDescent="0.2">
      <c r="B103">
        <v>10284</v>
      </c>
      <c r="C103">
        <v>60</v>
      </c>
      <c r="D103" s="84">
        <v>27.2</v>
      </c>
      <c r="E103">
        <v>20</v>
      </c>
      <c r="F103" s="85">
        <v>0.25</v>
      </c>
      <c r="G103" s="86">
        <f t="shared" si="5"/>
        <v>544</v>
      </c>
      <c r="H103" s="86">
        <f t="shared" si="6"/>
        <v>136</v>
      </c>
      <c r="I103" s="86">
        <f t="shared" si="7"/>
        <v>408</v>
      </c>
      <c r="J103" s="84">
        <f>VLOOKUP(C103, Products[], 6)</f>
        <v>34</v>
      </c>
      <c r="K103" s="86">
        <f t="shared" si="8"/>
        <v>680</v>
      </c>
      <c r="L103" s="86">
        <f t="shared" si="9"/>
        <v>-272</v>
      </c>
      <c r="N103">
        <v>10345</v>
      </c>
      <c r="O103" s="84" cm="1">
        <f t="array" ref="O103">SUM(INDEX(_xlfn._xlws.FILTER($B$6:$L$2160, $B$6:$B$2160=N103), 0, 8))</f>
        <v>2924.8</v>
      </c>
      <c r="P103" s="84" cm="1">
        <f t="array" ref="P103">SUM(INDEX(_xlfn._xlws.FILTER($B$6:$L$2160, $B$6:$B$2160=N103), 0, 10))</f>
        <v>3662</v>
      </c>
      <c r="Q103" s="84" cm="1">
        <f t="array" ref="Q103">SUM(INDEX(_xlfn._xlws.FILTER($B$6:$L$2160, $B$6:$B$2160=N103), 0, 11))</f>
        <v>-737.2</v>
      </c>
    </row>
    <row r="104" spans="2:17" x14ac:dyDescent="0.2">
      <c r="B104">
        <v>10284</v>
      </c>
      <c r="C104">
        <v>67</v>
      </c>
      <c r="D104" s="84">
        <v>11.2</v>
      </c>
      <c r="E104">
        <v>5</v>
      </c>
      <c r="F104" s="85">
        <v>0.25</v>
      </c>
      <c r="G104" s="86">
        <f t="shared" si="5"/>
        <v>56</v>
      </c>
      <c r="H104" s="86">
        <f t="shared" si="6"/>
        <v>14</v>
      </c>
      <c r="I104" s="86">
        <f t="shared" si="7"/>
        <v>42</v>
      </c>
      <c r="J104" s="84">
        <f>VLOOKUP(C104, Products[], 6)</f>
        <v>14</v>
      </c>
      <c r="K104" s="86">
        <f t="shared" si="8"/>
        <v>70</v>
      </c>
      <c r="L104" s="86">
        <f t="shared" si="9"/>
        <v>-28</v>
      </c>
      <c r="N104">
        <v>10346</v>
      </c>
      <c r="O104" s="84" cm="1">
        <f t="array" ref="O104">SUM(INDEX(_xlfn._xlws.FILTER($B$6:$L$2160, $B$6:$B$2160=N104), 0, 8))</f>
        <v>1618.88</v>
      </c>
      <c r="P104" s="84" cm="1">
        <f t="array" ref="P104">SUM(INDEX(_xlfn._xlws.FILTER($B$6:$L$2160, $B$6:$B$2160=N104), 0, 10))</f>
        <v>2164</v>
      </c>
      <c r="Q104" s="84" cm="1">
        <f t="array" ref="Q104">SUM(INDEX(_xlfn._xlws.FILTER($B$6:$L$2160, $B$6:$B$2160=N104), 0, 11))</f>
        <v>-545.12</v>
      </c>
    </row>
    <row r="105" spans="2:17" x14ac:dyDescent="0.2">
      <c r="B105">
        <v>10285</v>
      </c>
      <c r="C105">
        <v>1</v>
      </c>
      <c r="D105" s="84">
        <v>14.4</v>
      </c>
      <c r="E105">
        <v>45</v>
      </c>
      <c r="F105" s="85">
        <v>0.2</v>
      </c>
      <c r="G105" s="86">
        <f t="shared" si="5"/>
        <v>648</v>
      </c>
      <c r="H105" s="86">
        <f t="shared" si="6"/>
        <v>129.6</v>
      </c>
      <c r="I105" s="86">
        <f t="shared" si="7"/>
        <v>518.4</v>
      </c>
      <c r="J105" s="84">
        <f>VLOOKUP(C105, Products[], 6)</f>
        <v>18</v>
      </c>
      <c r="K105" s="86">
        <f t="shared" si="8"/>
        <v>810</v>
      </c>
      <c r="L105" s="86">
        <f t="shared" si="9"/>
        <v>-291.60000000000002</v>
      </c>
      <c r="N105">
        <v>10347</v>
      </c>
      <c r="O105" s="84" cm="1">
        <f t="array" ref="O105">SUM(INDEX(_xlfn._xlws.FILTER($B$6:$L$2160, $B$6:$B$2160=N105), 0, 8))</f>
        <v>814.42</v>
      </c>
      <c r="P105" s="84" cm="1">
        <f t="array" ref="P105">SUM(INDEX(_xlfn._xlws.FILTER($B$6:$L$2160, $B$6:$B$2160=N105), 0, 10))</f>
        <v>1160.0999999999999</v>
      </c>
      <c r="Q105" s="84" cm="1">
        <f t="array" ref="Q105">SUM(INDEX(_xlfn._xlws.FILTER($B$6:$L$2160, $B$6:$B$2160=N105), 0, 11))</f>
        <v>-345.68</v>
      </c>
    </row>
    <row r="106" spans="2:17" x14ac:dyDescent="0.2">
      <c r="B106">
        <v>10285</v>
      </c>
      <c r="C106">
        <v>40</v>
      </c>
      <c r="D106" s="84">
        <v>14.7</v>
      </c>
      <c r="E106">
        <v>40</v>
      </c>
      <c r="F106" s="85">
        <v>0.2</v>
      </c>
      <c r="G106" s="86">
        <f t="shared" si="5"/>
        <v>588</v>
      </c>
      <c r="H106" s="86">
        <f t="shared" si="6"/>
        <v>117.60000000000001</v>
      </c>
      <c r="I106" s="86">
        <f t="shared" si="7"/>
        <v>470.4</v>
      </c>
      <c r="J106" s="84">
        <f>VLOOKUP(C106, Products[], 6)</f>
        <v>18.399999999999999</v>
      </c>
      <c r="K106" s="86">
        <f t="shared" si="8"/>
        <v>736</v>
      </c>
      <c r="L106" s="86">
        <f t="shared" si="9"/>
        <v>-265.60000000000002</v>
      </c>
      <c r="N106">
        <v>10348</v>
      </c>
      <c r="O106" s="84" cm="1">
        <f t="array" ref="O106">SUM(INDEX(_xlfn._xlws.FILTER($B$6:$L$2160, $B$6:$B$2160=N106), 0, 8))</f>
        <v>363.6</v>
      </c>
      <c r="P106" s="84" cm="1">
        <f t="array" ref="P106">SUM(INDEX(_xlfn._xlws.FILTER($B$6:$L$2160, $B$6:$B$2160=N106), 0, 10))</f>
        <v>495</v>
      </c>
      <c r="Q106" s="84" cm="1">
        <f t="array" ref="Q106">SUM(INDEX(_xlfn._xlws.FILTER($B$6:$L$2160, $B$6:$B$2160=N106), 0, 11))</f>
        <v>-131.4</v>
      </c>
    </row>
    <row r="107" spans="2:17" x14ac:dyDescent="0.2">
      <c r="B107">
        <v>10285</v>
      </c>
      <c r="C107">
        <v>53</v>
      </c>
      <c r="D107" s="84">
        <v>26.2</v>
      </c>
      <c r="E107">
        <v>36</v>
      </c>
      <c r="F107" s="85">
        <v>0.2</v>
      </c>
      <c r="G107" s="86">
        <f t="shared" si="5"/>
        <v>943.19999999999993</v>
      </c>
      <c r="H107" s="86">
        <f t="shared" si="6"/>
        <v>188.64</v>
      </c>
      <c r="I107" s="86">
        <f t="shared" si="7"/>
        <v>754.56</v>
      </c>
      <c r="J107" s="84">
        <f>VLOOKUP(C107, Products[], 6)</f>
        <v>32.799999999999997</v>
      </c>
      <c r="K107" s="86">
        <f t="shared" si="8"/>
        <v>1180.8</v>
      </c>
      <c r="L107" s="86">
        <f t="shared" si="9"/>
        <v>-426.24</v>
      </c>
      <c r="N107">
        <v>10349</v>
      </c>
      <c r="O107" s="84" cm="1">
        <f t="array" ref="O107">SUM(INDEX(_xlfn._xlws.FILTER($B$6:$L$2160, $B$6:$B$2160=N107), 0, 8))</f>
        <v>141.60000000000002</v>
      </c>
      <c r="P107" s="84" cm="1">
        <f t="array" ref="P107">SUM(INDEX(_xlfn._xlws.FILTER($B$6:$L$2160, $B$6:$B$2160=N107), 0, 10))</f>
        <v>178.8</v>
      </c>
      <c r="Q107" s="84" cm="1">
        <f t="array" ref="Q107">SUM(INDEX(_xlfn._xlws.FILTER($B$6:$L$2160, $B$6:$B$2160=N107), 0, 11))</f>
        <v>-37.199999999999989</v>
      </c>
    </row>
    <row r="108" spans="2:17" x14ac:dyDescent="0.2">
      <c r="B108">
        <v>10286</v>
      </c>
      <c r="C108">
        <v>35</v>
      </c>
      <c r="D108" s="84">
        <v>14.4</v>
      </c>
      <c r="E108">
        <v>100</v>
      </c>
      <c r="F108" s="85">
        <v>0</v>
      </c>
      <c r="G108" s="86">
        <f t="shared" si="5"/>
        <v>1440</v>
      </c>
      <c r="H108" s="86">
        <f t="shared" si="6"/>
        <v>0</v>
      </c>
      <c r="I108" s="86">
        <f t="shared" si="7"/>
        <v>1440</v>
      </c>
      <c r="J108" s="84">
        <f>VLOOKUP(C108, Products[], 6)</f>
        <v>18</v>
      </c>
      <c r="K108" s="86">
        <f t="shared" si="8"/>
        <v>1800</v>
      </c>
      <c r="L108" s="86">
        <f t="shared" si="9"/>
        <v>-360</v>
      </c>
      <c r="N108">
        <v>10350</v>
      </c>
      <c r="O108" s="84" cm="1">
        <f t="array" ref="O108">SUM(INDEX(_xlfn._xlws.FILTER($B$6:$L$2160, $B$6:$B$2160=N108), 0, 8))</f>
        <v>642.05999999999995</v>
      </c>
      <c r="P108" s="84" cm="1">
        <f t="array" ref="P108">SUM(INDEX(_xlfn._xlws.FILTER($B$6:$L$2160, $B$6:$B$2160=N108), 0, 10))</f>
        <v>891.75</v>
      </c>
      <c r="Q108" s="84" cm="1">
        <f t="array" ref="Q108">SUM(INDEX(_xlfn._xlws.FILTER($B$6:$L$2160, $B$6:$B$2160=N108), 0, 11))</f>
        <v>-249.69000000000005</v>
      </c>
    </row>
    <row r="109" spans="2:17" x14ac:dyDescent="0.2">
      <c r="B109">
        <v>10286</v>
      </c>
      <c r="C109">
        <v>62</v>
      </c>
      <c r="D109" s="84">
        <v>39.4</v>
      </c>
      <c r="E109">
        <v>40</v>
      </c>
      <c r="F109" s="85">
        <v>0</v>
      </c>
      <c r="G109" s="86">
        <f t="shared" si="5"/>
        <v>1576</v>
      </c>
      <c r="H109" s="86">
        <f t="shared" si="6"/>
        <v>0</v>
      </c>
      <c r="I109" s="86">
        <f t="shared" si="7"/>
        <v>1576</v>
      </c>
      <c r="J109" s="84">
        <f>VLOOKUP(C109, Products[], 6)</f>
        <v>49.3</v>
      </c>
      <c r="K109" s="86">
        <f t="shared" si="8"/>
        <v>1972</v>
      </c>
      <c r="L109" s="86">
        <f t="shared" si="9"/>
        <v>-396</v>
      </c>
      <c r="N109">
        <v>10351</v>
      </c>
      <c r="O109" s="84" cm="1">
        <f t="array" ref="O109">SUM(INDEX(_xlfn._xlws.FILTER($B$6:$L$2160, $B$6:$B$2160=N109), 0, 8))</f>
        <v>5398.7250000000004</v>
      </c>
      <c r="P109" s="84" cm="1">
        <f t="array" ref="P109">SUM(INDEX(_xlfn._xlws.FILTER($B$6:$L$2160, $B$6:$B$2160=N109), 0, 10))</f>
        <v>7103.5999999999995</v>
      </c>
      <c r="Q109" s="84" cm="1">
        <f t="array" ref="Q109">SUM(INDEX(_xlfn._xlws.FILTER($B$6:$L$2160, $B$6:$B$2160=N109), 0, 11))</f>
        <v>-1704.875</v>
      </c>
    </row>
    <row r="110" spans="2:17" x14ac:dyDescent="0.2">
      <c r="B110">
        <v>10287</v>
      </c>
      <c r="C110">
        <v>16</v>
      </c>
      <c r="D110" s="84">
        <v>13.9</v>
      </c>
      <c r="E110">
        <v>40</v>
      </c>
      <c r="F110" s="85">
        <v>0.15</v>
      </c>
      <c r="G110" s="86">
        <f t="shared" si="5"/>
        <v>556</v>
      </c>
      <c r="H110" s="86">
        <f t="shared" si="6"/>
        <v>83.399999999999991</v>
      </c>
      <c r="I110" s="86">
        <f t="shared" si="7"/>
        <v>472.6</v>
      </c>
      <c r="J110" s="84">
        <f>VLOOKUP(C110, Products[], 6)</f>
        <v>17.45</v>
      </c>
      <c r="K110" s="86">
        <f t="shared" si="8"/>
        <v>698</v>
      </c>
      <c r="L110" s="86">
        <f t="shared" si="9"/>
        <v>-225.39999999999998</v>
      </c>
      <c r="N110">
        <v>10352</v>
      </c>
      <c r="O110" s="84" cm="1">
        <f t="array" ref="O110">SUM(INDEX(_xlfn._xlws.FILTER($B$6:$L$2160, $B$6:$B$2160=N110), 0, 8))</f>
        <v>136.30000000000001</v>
      </c>
      <c r="P110" s="84" cm="1">
        <f t="array" ref="P110">SUM(INDEX(_xlfn._xlws.FILTER($B$6:$L$2160, $B$6:$B$2160=N110), 0, 10))</f>
        <v>194</v>
      </c>
      <c r="Q110" s="84" cm="1">
        <f t="array" ref="Q110">SUM(INDEX(_xlfn._xlws.FILTER($B$6:$L$2160, $B$6:$B$2160=N110), 0, 11))</f>
        <v>-57.7</v>
      </c>
    </row>
    <row r="111" spans="2:17" x14ac:dyDescent="0.2">
      <c r="B111">
        <v>10287</v>
      </c>
      <c r="C111">
        <v>34</v>
      </c>
      <c r="D111" s="84">
        <v>11.2</v>
      </c>
      <c r="E111">
        <v>20</v>
      </c>
      <c r="F111" s="85">
        <v>0</v>
      </c>
      <c r="G111" s="86">
        <f t="shared" si="5"/>
        <v>224</v>
      </c>
      <c r="H111" s="86">
        <f t="shared" si="6"/>
        <v>0</v>
      </c>
      <c r="I111" s="86">
        <f t="shared" si="7"/>
        <v>224</v>
      </c>
      <c r="J111" s="84">
        <f>VLOOKUP(C111, Products[], 6)</f>
        <v>14</v>
      </c>
      <c r="K111" s="86">
        <f t="shared" si="8"/>
        <v>280</v>
      </c>
      <c r="L111" s="86">
        <f t="shared" si="9"/>
        <v>-56</v>
      </c>
      <c r="N111">
        <v>10353</v>
      </c>
      <c r="O111" s="84" cm="1">
        <f t="array" ref="O111">SUM(INDEX(_xlfn._xlws.FILTER($B$6:$L$2160, $B$6:$B$2160=N111), 0, 8))</f>
        <v>8593.2800000000007</v>
      </c>
      <c r="P111" s="84" cm="1">
        <f t="array" ref="P111">SUM(INDEX(_xlfn._xlws.FILTER($B$6:$L$2160, $B$6:$B$2160=N111), 0, 10))</f>
        <v>13427</v>
      </c>
      <c r="Q111" s="84" cm="1">
        <f t="array" ref="Q111">SUM(INDEX(_xlfn._xlws.FILTER($B$6:$L$2160, $B$6:$B$2160=N111), 0, 11))</f>
        <v>-4833.72</v>
      </c>
    </row>
    <row r="112" spans="2:17" x14ac:dyDescent="0.2">
      <c r="B112">
        <v>10287</v>
      </c>
      <c r="C112">
        <v>46</v>
      </c>
      <c r="D112" s="84">
        <v>9.6</v>
      </c>
      <c r="E112">
        <v>15</v>
      </c>
      <c r="F112" s="85">
        <v>0.15</v>
      </c>
      <c r="G112" s="86">
        <f t="shared" si="5"/>
        <v>144</v>
      </c>
      <c r="H112" s="86">
        <f t="shared" si="6"/>
        <v>21.599999999999998</v>
      </c>
      <c r="I112" s="86">
        <f t="shared" si="7"/>
        <v>122.4</v>
      </c>
      <c r="J112" s="84">
        <f>VLOOKUP(C112, Products[], 6)</f>
        <v>12</v>
      </c>
      <c r="K112" s="86">
        <f t="shared" si="8"/>
        <v>180</v>
      </c>
      <c r="L112" s="86">
        <f t="shared" si="9"/>
        <v>-57.599999999999994</v>
      </c>
      <c r="N112">
        <v>10354</v>
      </c>
      <c r="O112" s="84" cm="1">
        <f t="array" ref="O112">SUM(INDEX(_xlfn._xlws.FILTER($B$6:$L$2160, $B$6:$B$2160=N112), 0, 8))</f>
        <v>568.79999999999995</v>
      </c>
      <c r="P112" s="84" cm="1">
        <f t="array" ref="P112">SUM(INDEX(_xlfn._xlws.FILTER($B$6:$L$2160, $B$6:$B$2160=N112), 0, 10))</f>
        <v>711.16000000000008</v>
      </c>
      <c r="Q112" s="84" cm="1">
        <f t="array" ref="Q112">SUM(INDEX(_xlfn._xlws.FILTER($B$6:$L$2160, $B$6:$B$2160=N112), 0, 11))</f>
        <v>-142.36000000000001</v>
      </c>
    </row>
    <row r="113" spans="2:17" x14ac:dyDescent="0.2">
      <c r="B113">
        <v>10288</v>
      </c>
      <c r="C113">
        <v>54</v>
      </c>
      <c r="D113" s="84">
        <v>5.9</v>
      </c>
      <c r="E113">
        <v>10</v>
      </c>
      <c r="F113" s="85">
        <v>0.1</v>
      </c>
      <c r="G113" s="86">
        <f t="shared" si="5"/>
        <v>59</v>
      </c>
      <c r="H113" s="86">
        <f t="shared" si="6"/>
        <v>5.9</v>
      </c>
      <c r="I113" s="86">
        <f t="shared" si="7"/>
        <v>53.1</v>
      </c>
      <c r="J113" s="84">
        <f>VLOOKUP(C113, Products[], 6)</f>
        <v>7.45</v>
      </c>
      <c r="K113" s="86">
        <f t="shared" si="8"/>
        <v>74.5</v>
      </c>
      <c r="L113" s="86">
        <f t="shared" si="9"/>
        <v>-21.4</v>
      </c>
      <c r="N113">
        <v>10355</v>
      </c>
      <c r="O113" s="84" cm="1">
        <f t="array" ref="O113">SUM(INDEX(_xlfn._xlws.FILTER($B$6:$L$2160, $B$6:$B$2160=N113), 0, 8))</f>
        <v>480</v>
      </c>
      <c r="P113" s="84" cm="1">
        <f t="array" ref="P113">SUM(INDEX(_xlfn._xlws.FILTER($B$6:$L$2160, $B$6:$B$2160=N113), 0, 10))</f>
        <v>600</v>
      </c>
      <c r="Q113" s="84" cm="1">
        <f t="array" ref="Q113">SUM(INDEX(_xlfn._xlws.FILTER($B$6:$L$2160, $B$6:$B$2160=N113), 0, 11))</f>
        <v>-120</v>
      </c>
    </row>
    <row r="114" spans="2:17" x14ac:dyDescent="0.2">
      <c r="B114">
        <v>10288</v>
      </c>
      <c r="C114">
        <v>68</v>
      </c>
      <c r="D114" s="84">
        <v>10</v>
      </c>
      <c r="E114">
        <v>3</v>
      </c>
      <c r="F114" s="85">
        <v>0.1</v>
      </c>
      <c r="G114" s="86">
        <f t="shared" si="5"/>
        <v>30</v>
      </c>
      <c r="H114" s="86">
        <f t="shared" si="6"/>
        <v>3</v>
      </c>
      <c r="I114" s="86">
        <f t="shared" si="7"/>
        <v>27</v>
      </c>
      <c r="J114" s="84">
        <f>VLOOKUP(C114, Products[], 6)</f>
        <v>12.5</v>
      </c>
      <c r="K114" s="86">
        <f t="shared" si="8"/>
        <v>37.5</v>
      </c>
      <c r="L114" s="86">
        <f t="shared" si="9"/>
        <v>-10.5</v>
      </c>
      <c r="N114">
        <v>10356</v>
      </c>
      <c r="O114" s="84" cm="1">
        <f t="array" ref="O114">SUM(INDEX(_xlfn._xlws.FILTER($B$6:$L$2160, $B$6:$B$2160=N114), 0, 8))</f>
        <v>1106.4000000000001</v>
      </c>
      <c r="P114" s="84" cm="1">
        <f t="array" ref="P114">SUM(INDEX(_xlfn._xlws.FILTER($B$6:$L$2160, $B$6:$B$2160=N114), 0, 10))</f>
        <v>1383</v>
      </c>
      <c r="Q114" s="84" cm="1">
        <f t="array" ref="Q114">SUM(INDEX(_xlfn._xlws.FILTER($B$6:$L$2160, $B$6:$B$2160=N114), 0, 11))</f>
        <v>-276.60000000000002</v>
      </c>
    </row>
    <row r="115" spans="2:17" x14ac:dyDescent="0.2">
      <c r="B115">
        <v>10289</v>
      </c>
      <c r="C115">
        <v>3</v>
      </c>
      <c r="D115" s="84">
        <v>8</v>
      </c>
      <c r="E115">
        <v>30</v>
      </c>
      <c r="F115" s="85">
        <v>0</v>
      </c>
      <c r="G115" s="86">
        <f t="shared" si="5"/>
        <v>240</v>
      </c>
      <c r="H115" s="86">
        <f t="shared" si="6"/>
        <v>0</v>
      </c>
      <c r="I115" s="86">
        <f t="shared" si="7"/>
        <v>240</v>
      </c>
      <c r="J115" s="84">
        <f>VLOOKUP(C115, Products[], 6)</f>
        <v>10</v>
      </c>
      <c r="K115" s="86">
        <f t="shared" si="8"/>
        <v>300</v>
      </c>
      <c r="L115" s="86">
        <f t="shared" si="9"/>
        <v>-60</v>
      </c>
      <c r="N115">
        <v>10357</v>
      </c>
      <c r="O115" s="84" cm="1">
        <f t="array" ref="O115">SUM(INDEX(_xlfn._xlws.FILTER($B$6:$L$2160, $B$6:$B$2160=N115), 0, 8))</f>
        <v>1167.68</v>
      </c>
      <c r="P115" s="84" cm="1">
        <f t="array" ref="P115">SUM(INDEX(_xlfn._xlws.FILTER($B$6:$L$2160, $B$6:$B$2160=N115), 0, 10))</f>
        <v>1701.68</v>
      </c>
      <c r="Q115" s="84" cm="1">
        <f t="array" ref="Q115">SUM(INDEX(_xlfn._xlws.FILTER($B$6:$L$2160, $B$6:$B$2160=N115), 0, 11))</f>
        <v>-534</v>
      </c>
    </row>
    <row r="116" spans="2:17" x14ac:dyDescent="0.2">
      <c r="B116">
        <v>10289</v>
      </c>
      <c r="C116">
        <v>64</v>
      </c>
      <c r="D116" s="84">
        <v>26.6</v>
      </c>
      <c r="E116">
        <v>9</v>
      </c>
      <c r="F116" s="85">
        <v>0</v>
      </c>
      <c r="G116" s="86">
        <f t="shared" si="5"/>
        <v>239.4</v>
      </c>
      <c r="H116" s="86">
        <f t="shared" si="6"/>
        <v>0</v>
      </c>
      <c r="I116" s="86">
        <f t="shared" si="7"/>
        <v>239.4</v>
      </c>
      <c r="J116" s="84">
        <f>VLOOKUP(C116, Products[], 6)</f>
        <v>33.25</v>
      </c>
      <c r="K116" s="86">
        <f t="shared" si="8"/>
        <v>299.25</v>
      </c>
      <c r="L116" s="86">
        <f t="shared" si="9"/>
        <v>-59.849999999999994</v>
      </c>
      <c r="N116">
        <v>10358</v>
      </c>
      <c r="O116" s="84" cm="1">
        <f t="array" ref="O116">SUM(INDEX(_xlfn._xlws.FILTER($B$6:$L$2160, $B$6:$B$2160=N116), 0, 8))</f>
        <v>429.40000000000003</v>
      </c>
      <c r="P116" s="84" cm="1">
        <f t="array" ref="P116">SUM(INDEX(_xlfn._xlws.FILTER($B$6:$L$2160, $B$6:$B$2160=N116), 0, 10))</f>
        <v>565</v>
      </c>
      <c r="Q116" s="84" cm="1">
        <f t="array" ref="Q116">SUM(INDEX(_xlfn._xlws.FILTER($B$6:$L$2160, $B$6:$B$2160=N116), 0, 11))</f>
        <v>-135.59999999999997</v>
      </c>
    </row>
    <row r="117" spans="2:17" x14ac:dyDescent="0.2">
      <c r="B117">
        <v>10290</v>
      </c>
      <c r="C117">
        <v>5</v>
      </c>
      <c r="D117" s="84">
        <v>17</v>
      </c>
      <c r="E117">
        <v>20</v>
      </c>
      <c r="F117" s="85">
        <v>0</v>
      </c>
      <c r="G117" s="86">
        <f t="shared" si="5"/>
        <v>340</v>
      </c>
      <c r="H117" s="86">
        <f t="shared" si="6"/>
        <v>0</v>
      </c>
      <c r="I117" s="86">
        <f t="shared" si="7"/>
        <v>340</v>
      </c>
      <c r="J117" s="84">
        <f>VLOOKUP(C117, Products[], 6)</f>
        <v>21.35</v>
      </c>
      <c r="K117" s="86">
        <f t="shared" si="8"/>
        <v>427</v>
      </c>
      <c r="L117" s="86">
        <f t="shared" si="9"/>
        <v>-87</v>
      </c>
      <c r="N117">
        <v>10359</v>
      </c>
      <c r="O117" s="84" cm="1">
        <f t="array" ref="O117">SUM(INDEX(_xlfn._xlws.FILTER($B$6:$L$2160, $B$6:$B$2160=N117), 0, 8))</f>
        <v>3471.68</v>
      </c>
      <c r="P117" s="84" cm="1">
        <f t="array" ref="P117">SUM(INDEX(_xlfn._xlws.FILTER($B$6:$L$2160, $B$6:$B$2160=N117), 0, 10))</f>
        <v>4572.2</v>
      </c>
      <c r="Q117" s="84" cm="1">
        <f t="array" ref="Q117">SUM(INDEX(_xlfn._xlws.FILTER($B$6:$L$2160, $B$6:$B$2160=N117), 0, 11))</f>
        <v>-1100.52</v>
      </c>
    </row>
    <row r="118" spans="2:17" x14ac:dyDescent="0.2">
      <c r="B118">
        <v>10290</v>
      </c>
      <c r="C118">
        <v>29</v>
      </c>
      <c r="D118" s="84">
        <v>99</v>
      </c>
      <c r="E118">
        <v>15</v>
      </c>
      <c r="F118" s="85">
        <v>0</v>
      </c>
      <c r="G118" s="86">
        <f t="shared" si="5"/>
        <v>1485</v>
      </c>
      <c r="H118" s="86">
        <f t="shared" si="6"/>
        <v>0</v>
      </c>
      <c r="I118" s="86">
        <f t="shared" si="7"/>
        <v>1485</v>
      </c>
      <c r="J118" s="84">
        <f>VLOOKUP(C118, Products[], 6)</f>
        <v>123.79</v>
      </c>
      <c r="K118" s="86">
        <f t="shared" si="8"/>
        <v>1856.8500000000001</v>
      </c>
      <c r="L118" s="86">
        <f t="shared" si="9"/>
        <v>-371.85000000000014</v>
      </c>
      <c r="N118">
        <v>10360</v>
      </c>
      <c r="O118" s="84" cm="1">
        <f t="array" ref="O118">SUM(INDEX(_xlfn._xlws.FILTER($B$6:$L$2160, $B$6:$B$2160=N118), 0, 8))</f>
        <v>7390.2</v>
      </c>
      <c r="P118" s="84" cm="1">
        <f t="array" ref="P118">SUM(INDEX(_xlfn._xlws.FILTER($B$6:$L$2160, $B$6:$B$2160=N118), 0, 10))</f>
        <v>9244.2500000000018</v>
      </c>
      <c r="Q118" s="84" cm="1">
        <f t="array" ref="Q118">SUM(INDEX(_xlfn._xlws.FILTER($B$6:$L$2160, $B$6:$B$2160=N118), 0, 11))</f>
        <v>-1854.0500000000006</v>
      </c>
    </row>
    <row r="119" spans="2:17" x14ac:dyDescent="0.2">
      <c r="B119">
        <v>10290</v>
      </c>
      <c r="C119">
        <v>49</v>
      </c>
      <c r="D119" s="84">
        <v>16</v>
      </c>
      <c r="E119">
        <v>15</v>
      </c>
      <c r="F119" s="85">
        <v>0</v>
      </c>
      <c r="G119" s="86">
        <f t="shared" si="5"/>
        <v>240</v>
      </c>
      <c r="H119" s="86">
        <f t="shared" si="6"/>
        <v>0</v>
      </c>
      <c r="I119" s="86">
        <f t="shared" si="7"/>
        <v>240</v>
      </c>
      <c r="J119" s="84">
        <f>VLOOKUP(C119, Products[], 6)</f>
        <v>20</v>
      </c>
      <c r="K119" s="86">
        <f t="shared" si="8"/>
        <v>300</v>
      </c>
      <c r="L119" s="86">
        <f t="shared" si="9"/>
        <v>-60</v>
      </c>
      <c r="N119">
        <v>10361</v>
      </c>
      <c r="O119" s="84" cm="1">
        <f t="array" ref="O119">SUM(INDEX(_xlfn._xlws.FILTER($B$6:$L$2160, $B$6:$B$2160=N119), 0, 8))</f>
        <v>2046.2400000000002</v>
      </c>
      <c r="P119" s="84" cm="1">
        <f t="array" ref="P119">SUM(INDEX(_xlfn._xlws.FILTER($B$6:$L$2160, $B$6:$B$2160=N119), 0, 10))</f>
        <v>2842</v>
      </c>
      <c r="Q119" s="84" cm="1">
        <f t="array" ref="Q119">SUM(INDEX(_xlfn._xlws.FILTER($B$6:$L$2160, $B$6:$B$2160=N119), 0, 11))</f>
        <v>-795.75999999999988</v>
      </c>
    </row>
    <row r="120" spans="2:17" x14ac:dyDescent="0.2">
      <c r="B120">
        <v>10290</v>
      </c>
      <c r="C120">
        <v>77</v>
      </c>
      <c r="D120" s="84">
        <v>10.4</v>
      </c>
      <c r="E120">
        <v>10</v>
      </c>
      <c r="F120" s="85">
        <v>0</v>
      </c>
      <c r="G120" s="86">
        <f t="shared" si="5"/>
        <v>104</v>
      </c>
      <c r="H120" s="86">
        <f t="shared" si="6"/>
        <v>0</v>
      </c>
      <c r="I120" s="86">
        <f t="shared" si="7"/>
        <v>104</v>
      </c>
      <c r="J120" s="84">
        <f>VLOOKUP(C120, Products[], 6)</f>
        <v>13</v>
      </c>
      <c r="K120" s="86">
        <f t="shared" si="8"/>
        <v>130</v>
      </c>
      <c r="L120" s="86">
        <f t="shared" si="9"/>
        <v>-26</v>
      </c>
      <c r="N120">
        <v>10362</v>
      </c>
      <c r="O120" s="84" cm="1">
        <f t="array" ref="O120">SUM(INDEX(_xlfn._xlws.FILTER($B$6:$L$2160, $B$6:$B$2160=N120), 0, 8))</f>
        <v>1549.6</v>
      </c>
      <c r="P120" s="84" cm="1">
        <f t="array" ref="P120">SUM(INDEX(_xlfn._xlws.FILTER($B$6:$L$2160, $B$6:$B$2160=N120), 0, 10))</f>
        <v>1938.8</v>
      </c>
      <c r="Q120" s="84" cm="1">
        <f t="array" ref="Q120">SUM(INDEX(_xlfn._xlws.FILTER($B$6:$L$2160, $B$6:$B$2160=N120), 0, 11))</f>
        <v>-389.2</v>
      </c>
    </row>
    <row r="121" spans="2:17" x14ac:dyDescent="0.2">
      <c r="B121">
        <v>10291</v>
      </c>
      <c r="C121">
        <v>13</v>
      </c>
      <c r="D121" s="84">
        <v>4.8</v>
      </c>
      <c r="E121">
        <v>20</v>
      </c>
      <c r="F121" s="85">
        <v>0.1</v>
      </c>
      <c r="G121" s="86">
        <f t="shared" si="5"/>
        <v>96</v>
      </c>
      <c r="H121" s="86">
        <f t="shared" si="6"/>
        <v>9.6000000000000014</v>
      </c>
      <c r="I121" s="86">
        <f t="shared" si="7"/>
        <v>86.4</v>
      </c>
      <c r="J121" s="84">
        <f>VLOOKUP(C121, Products[], 6)</f>
        <v>6</v>
      </c>
      <c r="K121" s="86">
        <f t="shared" si="8"/>
        <v>120</v>
      </c>
      <c r="L121" s="86">
        <f t="shared" si="9"/>
        <v>-33.599999999999994</v>
      </c>
      <c r="N121">
        <v>10363</v>
      </c>
      <c r="O121" s="84" cm="1">
        <f t="array" ref="O121">SUM(INDEX(_xlfn._xlws.FILTER($B$6:$L$2160, $B$6:$B$2160=N121), 0, 8))</f>
        <v>447.2</v>
      </c>
      <c r="P121" s="84" cm="1">
        <f t="array" ref="P121">SUM(INDEX(_xlfn._xlws.FILTER($B$6:$L$2160, $B$6:$B$2160=N121), 0, 10))</f>
        <v>559</v>
      </c>
      <c r="Q121" s="84" cm="1">
        <f t="array" ref="Q121">SUM(INDEX(_xlfn._xlws.FILTER($B$6:$L$2160, $B$6:$B$2160=N121), 0, 11))</f>
        <v>-111.79999999999998</v>
      </c>
    </row>
    <row r="122" spans="2:17" x14ac:dyDescent="0.2">
      <c r="B122">
        <v>10291</v>
      </c>
      <c r="C122">
        <v>44</v>
      </c>
      <c r="D122" s="84">
        <v>15.5</v>
      </c>
      <c r="E122">
        <v>24</v>
      </c>
      <c r="F122" s="85">
        <v>0.1</v>
      </c>
      <c r="G122" s="86">
        <f t="shared" si="5"/>
        <v>372</v>
      </c>
      <c r="H122" s="86">
        <f t="shared" si="6"/>
        <v>37.200000000000003</v>
      </c>
      <c r="I122" s="86">
        <f t="shared" si="7"/>
        <v>334.8</v>
      </c>
      <c r="J122" s="84">
        <f>VLOOKUP(C122, Products[], 6)</f>
        <v>19.45</v>
      </c>
      <c r="K122" s="86">
        <f t="shared" si="8"/>
        <v>466.79999999999995</v>
      </c>
      <c r="L122" s="86">
        <f t="shared" si="9"/>
        <v>-131.99999999999994</v>
      </c>
      <c r="N122">
        <v>10364</v>
      </c>
      <c r="O122" s="84" cm="1">
        <f t="array" ref="O122">SUM(INDEX(_xlfn._xlws.FILTER($B$6:$L$2160, $B$6:$B$2160=N122), 0, 8))</f>
        <v>950</v>
      </c>
      <c r="P122" s="84" cm="1">
        <f t="array" ref="P122">SUM(INDEX(_xlfn._xlws.FILTER($B$6:$L$2160, $B$6:$B$2160=N122), 0, 10))</f>
        <v>1187.5</v>
      </c>
      <c r="Q122" s="84" cm="1">
        <f t="array" ref="Q122">SUM(INDEX(_xlfn._xlws.FILTER($B$6:$L$2160, $B$6:$B$2160=N122), 0, 11))</f>
        <v>-237.5</v>
      </c>
    </row>
    <row r="123" spans="2:17" x14ac:dyDescent="0.2">
      <c r="B123">
        <v>10291</v>
      </c>
      <c r="C123">
        <v>51</v>
      </c>
      <c r="D123" s="84">
        <v>42.4</v>
      </c>
      <c r="E123">
        <v>2</v>
      </c>
      <c r="F123" s="85">
        <v>0.1</v>
      </c>
      <c r="G123" s="86">
        <f t="shared" si="5"/>
        <v>84.8</v>
      </c>
      <c r="H123" s="86">
        <f t="shared" si="6"/>
        <v>8.48</v>
      </c>
      <c r="I123" s="86">
        <f t="shared" si="7"/>
        <v>76.319999999999993</v>
      </c>
      <c r="J123" s="84">
        <f>VLOOKUP(C123, Products[], 6)</f>
        <v>53</v>
      </c>
      <c r="K123" s="86">
        <f t="shared" si="8"/>
        <v>106</v>
      </c>
      <c r="L123" s="86">
        <f t="shared" si="9"/>
        <v>-29.680000000000007</v>
      </c>
      <c r="N123">
        <v>10365</v>
      </c>
      <c r="O123" s="84" cm="1">
        <f t="array" ref="O123">SUM(INDEX(_xlfn._xlws.FILTER($B$6:$L$2160, $B$6:$B$2160=N123), 0, 8))</f>
        <v>403.20000000000005</v>
      </c>
      <c r="P123" s="84" cm="1">
        <f t="array" ref="P123">SUM(INDEX(_xlfn._xlws.FILTER($B$6:$L$2160, $B$6:$B$2160=N123), 0, 10))</f>
        <v>504</v>
      </c>
      <c r="Q123" s="84" cm="1">
        <f t="array" ref="Q123">SUM(INDEX(_xlfn._xlws.FILTER($B$6:$L$2160, $B$6:$B$2160=N123), 0, 11))</f>
        <v>-100.79999999999995</v>
      </c>
    </row>
    <row r="124" spans="2:17" x14ac:dyDescent="0.2">
      <c r="B124">
        <v>10292</v>
      </c>
      <c r="C124">
        <v>20</v>
      </c>
      <c r="D124" s="84">
        <v>64.8</v>
      </c>
      <c r="E124">
        <v>20</v>
      </c>
      <c r="F124" s="85">
        <v>0</v>
      </c>
      <c r="G124" s="86">
        <f t="shared" si="5"/>
        <v>1296</v>
      </c>
      <c r="H124" s="86">
        <f t="shared" si="6"/>
        <v>0</v>
      </c>
      <c r="I124" s="86">
        <f t="shared" si="7"/>
        <v>1296</v>
      </c>
      <c r="J124" s="84">
        <f>VLOOKUP(C124, Products[], 6)</f>
        <v>81</v>
      </c>
      <c r="K124" s="86">
        <f t="shared" si="8"/>
        <v>1620</v>
      </c>
      <c r="L124" s="86">
        <f t="shared" si="9"/>
        <v>-324</v>
      </c>
      <c r="N124">
        <v>10366</v>
      </c>
      <c r="O124" s="84" cm="1">
        <f t="array" ref="O124">SUM(INDEX(_xlfn._xlws.FILTER($B$6:$L$2160, $B$6:$B$2160=N124), 0, 8))</f>
        <v>136</v>
      </c>
      <c r="P124" s="84" cm="1">
        <f t="array" ref="P124">SUM(INDEX(_xlfn._xlws.FILTER($B$6:$L$2160, $B$6:$B$2160=N124), 0, 10))</f>
        <v>170.25</v>
      </c>
      <c r="Q124" s="84" cm="1">
        <f t="array" ref="Q124">SUM(INDEX(_xlfn._xlws.FILTER($B$6:$L$2160, $B$6:$B$2160=N124), 0, 11))</f>
        <v>-34.25</v>
      </c>
    </row>
    <row r="125" spans="2:17" x14ac:dyDescent="0.2">
      <c r="B125">
        <v>10293</v>
      </c>
      <c r="C125">
        <v>18</v>
      </c>
      <c r="D125" s="84">
        <v>50</v>
      </c>
      <c r="E125">
        <v>12</v>
      </c>
      <c r="F125" s="85">
        <v>0</v>
      </c>
      <c r="G125" s="86">
        <f t="shared" si="5"/>
        <v>600</v>
      </c>
      <c r="H125" s="86">
        <f t="shared" si="6"/>
        <v>0</v>
      </c>
      <c r="I125" s="86">
        <f t="shared" si="7"/>
        <v>600</v>
      </c>
      <c r="J125" s="84">
        <f>VLOOKUP(C125, Products[], 6)</f>
        <v>62.5</v>
      </c>
      <c r="K125" s="86">
        <f t="shared" si="8"/>
        <v>750</v>
      </c>
      <c r="L125" s="86">
        <f t="shared" si="9"/>
        <v>-150</v>
      </c>
      <c r="N125">
        <v>10367</v>
      </c>
      <c r="O125" s="84" cm="1">
        <f t="array" ref="O125">SUM(INDEX(_xlfn._xlws.FILTER($B$6:$L$2160, $B$6:$B$2160=N125), 0, 8))</f>
        <v>834.19999999999993</v>
      </c>
      <c r="P125" s="84" cm="1">
        <f t="array" ref="P125">SUM(INDEX(_xlfn._xlws.FILTER($B$6:$L$2160, $B$6:$B$2160=N125), 0, 10))</f>
        <v>1044.8499999999999</v>
      </c>
      <c r="Q125" s="84" cm="1">
        <f t="array" ref="Q125">SUM(INDEX(_xlfn._xlws.FILTER($B$6:$L$2160, $B$6:$B$2160=N125), 0, 11))</f>
        <v>-210.64999999999998</v>
      </c>
    </row>
    <row r="126" spans="2:17" x14ac:dyDescent="0.2">
      <c r="B126">
        <v>10293</v>
      </c>
      <c r="C126">
        <v>24</v>
      </c>
      <c r="D126" s="84">
        <v>3.6</v>
      </c>
      <c r="E126">
        <v>10</v>
      </c>
      <c r="F126" s="85">
        <v>0</v>
      </c>
      <c r="G126" s="86">
        <f t="shared" si="5"/>
        <v>36</v>
      </c>
      <c r="H126" s="86">
        <f t="shared" si="6"/>
        <v>0</v>
      </c>
      <c r="I126" s="86">
        <f t="shared" si="7"/>
        <v>36</v>
      </c>
      <c r="J126" s="84">
        <f>VLOOKUP(C126, Products[], 6)</f>
        <v>4.5</v>
      </c>
      <c r="K126" s="86">
        <f t="shared" si="8"/>
        <v>45</v>
      </c>
      <c r="L126" s="86">
        <f t="shared" si="9"/>
        <v>-9</v>
      </c>
      <c r="N126">
        <v>10368</v>
      </c>
      <c r="O126" s="84" cm="1">
        <f t="array" ref="O126">SUM(INDEX(_xlfn._xlws.FILTER($B$6:$L$2160, $B$6:$B$2160=N126), 0, 8))</f>
        <v>1689.78</v>
      </c>
      <c r="P126" s="84" cm="1">
        <f t="array" ref="P126">SUM(INDEX(_xlfn._xlws.FILTER($B$6:$L$2160, $B$6:$B$2160=N126), 0, 10))</f>
        <v>2294.0500000000002</v>
      </c>
      <c r="Q126" s="84" cm="1">
        <f t="array" ref="Q126">SUM(INDEX(_xlfn._xlws.FILTER($B$6:$L$2160, $B$6:$B$2160=N126), 0, 11))</f>
        <v>-604.2700000000001</v>
      </c>
    </row>
    <row r="127" spans="2:17" x14ac:dyDescent="0.2">
      <c r="B127">
        <v>10293</v>
      </c>
      <c r="C127">
        <v>63</v>
      </c>
      <c r="D127" s="84">
        <v>35.1</v>
      </c>
      <c r="E127">
        <v>5</v>
      </c>
      <c r="F127" s="85">
        <v>0</v>
      </c>
      <c r="G127" s="86">
        <f t="shared" si="5"/>
        <v>175.5</v>
      </c>
      <c r="H127" s="86">
        <f t="shared" si="6"/>
        <v>0</v>
      </c>
      <c r="I127" s="86">
        <f t="shared" si="7"/>
        <v>175.5</v>
      </c>
      <c r="J127" s="84">
        <f>VLOOKUP(C127, Products[], 6)</f>
        <v>43.9</v>
      </c>
      <c r="K127" s="86">
        <f t="shared" si="8"/>
        <v>219.5</v>
      </c>
      <c r="L127" s="86">
        <f t="shared" si="9"/>
        <v>-44</v>
      </c>
      <c r="N127">
        <v>10369</v>
      </c>
      <c r="O127" s="84" cm="1">
        <f t="array" ref="O127">SUM(INDEX(_xlfn._xlws.FILTER($B$6:$L$2160, $B$6:$B$2160=N127), 0, 8))</f>
        <v>2390.4</v>
      </c>
      <c r="P127" s="84" cm="1">
        <f t="array" ref="P127">SUM(INDEX(_xlfn._xlws.FILTER($B$6:$L$2160, $B$6:$B$2160=N127), 0, 10))</f>
        <v>3159.8</v>
      </c>
      <c r="Q127" s="84" cm="1">
        <f t="array" ref="Q127">SUM(INDEX(_xlfn._xlws.FILTER($B$6:$L$2160, $B$6:$B$2160=N127), 0, 11))</f>
        <v>-769.4000000000002</v>
      </c>
    </row>
    <row r="128" spans="2:17" x14ac:dyDescent="0.2">
      <c r="B128">
        <v>10293</v>
      </c>
      <c r="C128">
        <v>75</v>
      </c>
      <c r="D128" s="84">
        <v>6.2</v>
      </c>
      <c r="E128">
        <v>6</v>
      </c>
      <c r="F128" s="85">
        <v>0</v>
      </c>
      <c r="G128" s="86">
        <f t="shared" si="5"/>
        <v>37.200000000000003</v>
      </c>
      <c r="H128" s="86">
        <f t="shared" si="6"/>
        <v>0</v>
      </c>
      <c r="I128" s="86">
        <f t="shared" si="7"/>
        <v>37.200000000000003</v>
      </c>
      <c r="J128" s="84">
        <f>VLOOKUP(C128, Products[], 6)</f>
        <v>7.75</v>
      </c>
      <c r="K128" s="86">
        <f t="shared" si="8"/>
        <v>46.5</v>
      </c>
      <c r="L128" s="86">
        <f t="shared" si="9"/>
        <v>-9.2999999999999972</v>
      </c>
      <c r="N128">
        <v>10370</v>
      </c>
      <c r="O128" s="84" cm="1">
        <f t="array" ref="O128">SUM(INDEX(_xlfn._xlws.FILTER($B$6:$L$2160, $B$6:$B$2160=N128), 0, 8))</f>
        <v>1117.5999999999999</v>
      </c>
      <c r="P128" s="84" cm="1">
        <f t="array" ref="P128">SUM(INDEX(_xlfn._xlws.FILTER($B$6:$L$2160, $B$6:$B$2160=N128), 0, 10))</f>
        <v>1467.5</v>
      </c>
      <c r="Q128" s="84" cm="1">
        <f t="array" ref="Q128">SUM(INDEX(_xlfn._xlws.FILTER($B$6:$L$2160, $B$6:$B$2160=N128), 0, 11))</f>
        <v>-349.9</v>
      </c>
    </row>
    <row r="129" spans="2:17" x14ac:dyDescent="0.2">
      <c r="B129">
        <v>10294</v>
      </c>
      <c r="C129">
        <v>1</v>
      </c>
      <c r="D129" s="84">
        <v>14.4</v>
      </c>
      <c r="E129">
        <v>18</v>
      </c>
      <c r="F129" s="85">
        <v>0</v>
      </c>
      <c r="G129" s="86">
        <f t="shared" si="5"/>
        <v>259.2</v>
      </c>
      <c r="H129" s="86">
        <f t="shared" si="6"/>
        <v>0</v>
      </c>
      <c r="I129" s="86">
        <f t="shared" si="7"/>
        <v>259.2</v>
      </c>
      <c r="J129" s="84">
        <f>VLOOKUP(C129, Products[], 6)</f>
        <v>18</v>
      </c>
      <c r="K129" s="86">
        <f t="shared" si="8"/>
        <v>324</v>
      </c>
      <c r="L129" s="86">
        <f t="shared" si="9"/>
        <v>-64.800000000000011</v>
      </c>
      <c r="N129">
        <v>10371</v>
      </c>
      <c r="O129" s="84" cm="1">
        <f t="array" ref="O129">SUM(INDEX(_xlfn._xlws.FILTER($B$6:$L$2160, $B$6:$B$2160=N129), 0, 8))</f>
        <v>72.959999999999994</v>
      </c>
      <c r="P129" s="84" cm="1">
        <f t="array" ref="P129">SUM(INDEX(_xlfn._xlws.FILTER($B$6:$L$2160, $B$6:$B$2160=N129), 0, 10))</f>
        <v>114</v>
      </c>
      <c r="Q129" s="84" cm="1">
        <f t="array" ref="Q129">SUM(INDEX(_xlfn._xlws.FILTER($B$6:$L$2160, $B$6:$B$2160=N129), 0, 11))</f>
        <v>-41.040000000000006</v>
      </c>
    </row>
    <row r="130" spans="2:17" x14ac:dyDescent="0.2">
      <c r="B130">
        <v>10294</v>
      </c>
      <c r="C130">
        <v>17</v>
      </c>
      <c r="D130" s="84">
        <v>31.2</v>
      </c>
      <c r="E130">
        <v>15</v>
      </c>
      <c r="F130" s="85">
        <v>0</v>
      </c>
      <c r="G130" s="86">
        <f t="shared" si="5"/>
        <v>468</v>
      </c>
      <c r="H130" s="86">
        <f t="shared" si="6"/>
        <v>0</v>
      </c>
      <c r="I130" s="86">
        <f t="shared" si="7"/>
        <v>468</v>
      </c>
      <c r="J130" s="84">
        <f>VLOOKUP(C130, Products[], 6)</f>
        <v>39</v>
      </c>
      <c r="K130" s="86">
        <f t="shared" si="8"/>
        <v>585</v>
      </c>
      <c r="L130" s="86">
        <f t="shared" si="9"/>
        <v>-117</v>
      </c>
      <c r="N130">
        <v>10372</v>
      </c>
      <c r="O130" s="84" cm="1">
        <f t="array" ref="O130">SUM(INDEX(_xlfn._xlws.FILTER($B$6:$L$2160, $B$6:$B$2160=N130), 0, 8))</f>
        <v>9210.9000000000015</v>
      </c>
      <c r="P130" s="84" cm="1">
        <f t="array" ref="P130">SUM(INDEX(_xlfn._xlws.FILTER($B$6:$L$2160, $B$6:$B$2160=N130), 0, 10))</f>
        <v>15353.6</v>
      </c>
      <c r="Q130" s="84" cm="1">
        <f t="array" ref="Q130">SUM(INDEX(_xlfn._xlws.FILTER($B$6:$L$2160, $B$6:$B$2160=N130), 0, 11))</f>
        <v>-6142.7</v>
      </c>
    </row>
    <row r="131" spans="2:17" x14ac:dyDescent="0.2">
      <c r="B131">
        <v>10294</v>
      </c>
      <c r="C131">
        <v>43</v>
      </c>
      <c r="D131" s="84">
        <v>36.799999999999997</v>
      </c>
      <c r="E131">
        <v>15</v>
      </c>
      <c r="F131" s="85">
        <v>0</v>
      </c>
      <c r="G131" s="86">
        <f t="shared" si="5"/>
        <v>552</v>
      </c>
      <c r="H131" s="86">
        <f t="shared" si="6"/>
        <v>0</v>
      </c>
      <c r="I131" s="86">
        <f t="shared" si="7"/>
        <v>552</v>
      </c>
      <c r="J131" s="84">
        <f>VLOOKUP(C131, Products[], 6)</f>
        <v>46</v>
      </c>
      <c r="K131" s="86">
        <f t="shared" si="8"/>
        <v>690</v>
      </c>
      <c r="L131" s="86">
        <f t="shared" si="9"/>
        <v>-138</v>
      </c>
      <c r="N131">
        <v>10373</v>
      </c>
      <c r="O131" s="84" cm="1">
        <f t="array" ref="O131">SUM(INDEX(_xlfn._xlws.FILTER($B$6:$L$2160, $B$6:$B$2160=N131), 0, 8))</f>
        <v>1366.4</v>
      </c>
      <c r="P131" s="84" cm="1">
        <f t="array" ref="P131">SUM(INDEX(_xlfn._xlws.FILTER($B$6:$L$2160, $B$6:$B$2160=N131), 0, 10))</f>
        <v>2135</v>
      </c>
      <c r="Q131" s="84" cm="1">
        <f t="array" ref="Q131">SUM(INDEX(_xlfn._xlws.FILTER($B$6:$L$2160, $B$6:$B$2160=N131), 0, 11))</f>
        <v>-768.6</v>
      </c>
    </row>
    <row r="132" spans="2:17" x14ac:dyDescent="0.2">
      <c r="B132">
        <v>10294</v>
      </c>
      <c r="C132">
        <v>60</v>
      </c>
      <c r="D132" s="84">
        <v>27.2</v>
      </c>
      <c r="E132">
        <v>21</v>
      </c>
      <c r="F132" s="85">
        <v>0</v>
      </c>
      <c r="G132" s="86">
        <f t="shared" si="5"/>
        <v>571.19999999999993</v>
      </c>
      <c r="H132" s="86">
        <f t="shared" si="6"/>
        <v>0</v>
      </c>
      <c r="I132" s="86">
        <f t="shared" si="7"/>
        <v>571.19999999999993</v>
      </c>
      <c r="J132" s="84">
        <f>VLOOKUP(C132, Products[], 6)</f>
        <v>34</v>
      </c>
      <c r="K132" s="86">
        <f t="shared" si="8"/>
        <v>714</v>
      </c>
      <c r="L132" s="86">
        <f t="shared" si="9"/>
        <v>-142.80000000000007</v>
      </c>
      <c r="N132">
        <v>10374</v>
      </c>
      <c r="O132" s="84" cm="1">
        <f t="array" ref="O132">SUM(INDEX(_xlfn._xlws.FILTER($B$6:$L$2160, $B$6:$B$2160=N132), 0, 8))</f>
        <v>459</v>
      </c>
      <c r="P132" s="84" cm="1">
        <f t="array" ref="P132">SUM(INDEX(_xlfn._xlws.FILTER($B$6:$L$2160, $B$6:$B$2160=N132), 0, 10))</f>
        <v>573.75</v>
      </c>
      <c r="Q132" s="84" cm="1">
        <f t="array" ref="Q132">SUM(INDEX(_xlfn._xlws.FILTER($B$6:$L$2160, $B$6:$B$2160=N132), 0, 11))</f>
        <v>-114.75</v>
      </c>
    </row>
    <row r="133" spans="2:17" x14ac:dyDescent="0.2">
      <c r="B133">
        <v>10294</v>
      </c>
      <c r="C133">
        <v>75</v>
      </c>
      <c r="D133" s="84">
        <v>6.2</v>
      </c>
      <c r="E133">
        <v>6</v>
      </c>
      <c r="F133" s="85">
        <v>0</v>
      </c>
      <c r="G133" s="86">
        <f t="shared" si="5"/>
        <v>37.200000000000003</v>
      </c>
      <c r="H133" s="86">
        <f t="shared" si="6"/>
        <v>0</v>
      </c>
      <c r="I133" s="86">
        <f t="shared" si="7"/>
        <v>37.200000000000003</v>
      </c>
      <c r="J133" s="84">
        <f>VLOOKUP(C133, Products[], 6)</f>
        <v>7.75</v>
      </c>
      <c r="K133" s="86">
        <f t="shared" si="8"/>
        <v>46.5</v>
      </c>
      <c r="L133" s="86">
        <f t="shared" si="9"/>
        <v>-9.2999999999999972</v>
      </c>
      <c r="N133">
        <v>10375</v>
      </c>
      <c r="O133" s="84" cm="1">
        <f t="array" ref="O133">SUM(INDEX(_xlfn._xlws.FILTER($B$6:$L$2160, $B$6:$B$2160=N133), 0, 8))</f>
        <v>338</v>
      </c>
      <c r="P133" s="84" cm="1">
        <f t="array" ref="P133">SUM(INDEX(_xlfn._xlws.FILTER($B$6:$L$2160, $B$6:$B$2160=N133), 0, 10))</f>
        <v>423.25</v>
      </c>
      <c r="Q133" s="84" cm="1">
        <f t="array" ref="Q133">SUM(INDEX(_xlfn._xlws.FILTER($B$6:$L$2160, $B$6:$B$2160=N133), 0, 11))</f>
        <v>-85.25</v>
      </c>
    </row>
    <row r="134" spans="2:17" x14ac:dyDescent="0.2">
      <c r="B134">
        <v>10295</v>
      </c>
      <c r="C134">
        <v>56</v>
      </c>
      <c r="D134" s="84">
        <v>30.4</v>
      </c>
      <c r="E134">
        <v>4</v>
      </c>
      <c r="F134" s="85">
        <v>0</v>
      </c>
      <c r="G134" s="86">
        <f t="shared" si="5"/>
        <v>121.6</v>
      </c>
      <c r="H134" s="86">
        <f t="shared" si="6"/>
        <v>0</v>
      </c>
      <c r="I134" s="86">
        <f t="shared" si="7"/>
        <v>121.6</v>
      </c>
      <c r="J134" s="84">
        <f>VLOOKUP(C134, Products[], 6)</f>
        <v>38</v>
      </c>
      <c r="K134" s="86">
        <f t="shared" si="8"/>
        <v>152</v>
      </c>
      <c r="L134" s="86">
        <f t="shared" si="9"/>
        <v>-30.400000000000006</v>
      </c>
      <c r="N134">
        <v>10376</v>
      </c>
      <c r="O134" s="84" cm="1">
        <f t="array" ref="O134">SUM(INDEX(_xlfn._xlws.FILTER($B$6:$L$2160, $B$6:$B$2160=N134), 0, 8))</f>
        <v>399</v>
      </c>
      <c r="P134" s="84" cm="1">
        <f t="array" ref="P134">SUM(INDEX(_xlfn._xlws.FILTER($B$6:$L$2160, $B$6:$B$2160=N134), 0, 10))</f>
        <v>525</v>
      </c>
      <c r="Q134" s="84" cm="1">
        <f t="array" ref="Q134">SUM(INDEX(_xlfn._xlws.FILTER($B$6:$L$2160, $B$6:$B$2160=N134), 0, 11))</f>
        <v>-126</v>
      </c>
    </row>
    <row r="135" spans="2:17" x14ac:dyDescent="0.2">
      <c r="B135">
        <v>10296</v>
      </c>
      <c r="C135">
        <v>11</v>
      </c>
      <c r="D135" s="84">
        <v>16.8</v>
      </c>
      <c r="E135">
        <v>12</v>
      </c>
      <c r="F135" s="85">
        <v>0</v>
      </c>
      <c r="G135" s="86">
        <f t="shared" ref="G135:G198" si="10">D135*E135</f>
        <v>201.60000000000002</v>
      </c>
      <c r="H135" s="86">
        <f t="shared" ref="H135:H198" si="11">G135*F135</f>
        <v>0</v>
      </c>
      <c r="I135" s="86">
        <f t="shared" ref="I135:I198" si="12">G135-H135</f>
        <v>201.60000000000002</v>
      </c>
      <c r="J135" s="84">
        <f>VLOOKUP(C135, Products[], 6)</f>
        <v>21</v>
      </c>
      <c r="K135" s="86">
        <f t="shared" ref="K135:K198" si="13">J135*E135</f>
        <v>252</v>
      </c>
      <c r="L135" s="86">
        <f t="shared" ref="L135:L198" si="14">I135-K135</f>
        <v>-50.399999999999977</v>
      </c>
      <c r="N135">
        <v>10377</v>
      </c>
      <c r="O135" s="84" cm="1">
        <f t="array" ref="O135">SUM(INDEX(_xlfn._xlws.FILTER($B$6:$L$2160, $B$6:$B$2160=N135), 0, 8))</f>
        <v>863.59999999999991</v>
      </c>
      <c r="P135" s="84" cm="1">
        <f t="array" ref="P135">SUM(INDEX(_xlfn._xlws.FILTER($B$6:$L$2160, $B$6:$B$2160=N135), 0, 10))</f>
        <v>1272</v>
      </c>
      <c r="Q135" s="84" cm="1">
        <f t="array" ref="Q135">SUM(INDEX(_xlfn._xlws.FILTER($B$6:$L$2160, $B$6:$B$2160=N135), 0, 11))</f>
        <v>-408.40000000000003</v>
      </c>
    </row>
    <row r="136" spans="2:17" x14ac:dyDescent="0.2">
      <c r="B136">
        <v>10296</v>
      </c>
      <c r="C136">
        <v>16</v>
      </c>
      <c r="D136" s="84">
        <v>13.9</v>
      </c>
      <c r="E136">
        <v>30</v>
      </c>
      <c r="F136" s="85">
        <v>0</v>
      </c>
      <c r="G136" s="86">
        <f t="shared" si="10"/>
        <v>417</v>
      </c>
      <c r="H136" s="86">
        <f t="shared" si="11"/>
        <v>0</v>
      </c>
      <c r="I136" s="86">
        <f t="shared" si="12"/>
        <v>417</v>
      </c>
      <c r="J136" s="84">
        <f>VLOOKUP(C136, Products[], 6)</f>
        <v>17.45</v>
      </c>
      <c r="K136" s="86">
        <f t="shared" si="13"/>
        <v>523.5</v>
      </c>
      <c r="L136" s="86">
        <f t="shared" si="14"/>
        <v>-106.5</v>
      </c>
      <c r="N136">
        <v>10378</v>
      </c>
      <c r="O136" s="84" cm="1">
        <f t="array" ref="O136">SUM(INDEX(_xlfn._xlws.FILTER($B$6:$L$2160, $B$6:$B$2160=N136), 0, 8))</f>
        <v>103.19999999999999</v>
      </c>
      <c r="P136" s="84" cm="1">
        <f t="array" ref="P136">SUM(INDEX(_xlfn._xlws.FILTER($B$6:$L$2160, $B$6:$B$2160=N136), 0, 10))</f>
        <v>129</v>
      </c>
      <c r="Q136" s="84" cm="1">
        <f t="array" ref="Q136">SUM(INDEX(_xlfn._xlws.FILTER($B$6:$L$2160, $B$6:$B$2160=N136), 0, 11))</f>
        <v>-25.800000000000011</v>
      </c>
    </row>
    <row r="137" spans="2:17" x14ac:dyDescent="0.2">
      <c r="B137">
        <v>10296</v>
      </c>
      <c r="C137">
        <v>69</v>
      </c>
      <c r="D137" s="84">
        <v>28.8</v>
      </c>
      <c r="E137">
        <v>15</v>
      </c>
      <c r="F137" s="85">
        <v>0</v>
      </c>
      <c r="G137" s="86">
        <f t="shared" si="10"/>
        <v>432</v>
      </c>
      <c r="H137" s="86">
        <f t="shared" si="11"/>
        <v>0</v>
      </c>
      <c r="I137" s="86">
        <f t="shared" si="12"/>
        <v>432</v>
      </c>
      <c r="J137" s="84">
        <f>VLOOKUP(C137, Products[], 6)</f>
        <v>36</v>
      </c>
      <c r="K137" s="86">
        <f t="shared" si="13"/>
        <v>540</v>
      </c>
      <c r="L137" s="86">
        <f t="shared" si="14"/>
        <v>-108</v>
      </c>
      <c r="N137">
        <v>10379</v>
      </c>
      <c r="O137" s="84" cm="1">
        <f t="array" ref="O137">SUM(INDEX(_xlfn._xlws.FILTER($B$6:$L$2160, $B$6:$B$2160=N137), 0, 8))</f>
        <v>863.28</v>
      </c>
      <c r="P137" s="84" cm="1">
        <f t="array" ref="P137">SUM(INDEX(_xlfn._xlws.FILTER($B$6:$L$2160, $B$6:$B$2160=N137), 0, 10))</f>
        <v>1200.5999999999999</v>
      </c>
      <c r="Q137" s="84" cm="1">
        <f t="array" ref="Q137">SUM(INDEX(_xlfn._xlws.FILTER($B$6:$L$2160, $B$6:$B$2160=N137), 0, 11))</f>
        <v>-337.32</v>
      </c>
    </row>
    <row r="138" spans="2:17" x14ac:dyDescent="0.2">
      <c r="B138">
        <v>10297</v>
      </c>
      <c r="C138">
        <v>39</v>
      </c>
      <c r="D138" s="84">
        <v>14.4</v>
      </c>
      <c r="E138">
        <v>60</v>
      </c>
      <c r="F138" s="85">
        <v>0</v>
      </c>
      <c r="G138" s="86">
        <f t="shared" si="10"/>
        <v>864</v>
      </c>
      <c r="H138" s="86">
        <f t="shared" si="11"/>
        <v>0</v>
      </c>
      <c r="I138" s="86">
        <f t="shared" si="12"/>
        <v>864</v>
      </c>
      <c r="J138" s="84">
        <f>VLOOKUP(C138, Products[], 6)</f>
        <v>18</v>
      </c>
      <c r="K138" s="86">
        <f t="shared" si="13"/>
        <v>1080</v>
      </c>
      <c r="L138" s="86">
        <f t="shared" si="14"/>
        <v>-216</v>
      </c>
      <c r="N138">
        <v>10380</v>
      </c>
      <c r="O138" s="84" cm="1">
        <f t="array" ref="O138">SUM(INDEX(_xlfn._xlws.FILTER($B$6:$L$2160, $B$6:$B$2160=N138), 0, 8))</f>
        <v>1313.8200000000002</v>
      </c>
      <c r="P138" s="84" cm="1">
        <f t="array" ref="P138">SUM(INDEX(_xlfn._xlws.FILTER($B$6:$L$2160, $B$6:$B$2160=N138), 0, 10))</f>
        <v>1776.02</v>
      </c>
      <c r="Q138" s="84" cm="1">
        <f t="array" ref="Q138">SUM(INDEX(_xlfn._xlws.FILTER($B$6:$L$2160, $B$6:$B$2160=N138), 0, 11))</f>
        <v>-462.2</v>
      </c>
    </row>
    <row r="139" spans="2:17" x14ac:dyDescent="0.2">
      <c r="B139">
        <v>10297</v>
      </c>
      <c r="C139">
        <v>72</v>
      </c>
      <c r="D139" s="84">
        <v>27.8</v>
      </c>
      <c r="E139">
        <v>20</v>
      </c>
      <c r="F139" s="85">
        <v>0</v>
      </c>
      <c r="G139" s="86">
        <f t="shared" si="10"/>
        <v>556</v>
      </c>
      <c r="H139" s="86">
        <f t="shared" si="11"/>
        <v>0</v>
      </c>
      <c r="I139" s="86">
        <f t="shared" si="12"/>
        <v>556</v>
      </c>
      <c r="J139" s="84">
        <f>VLOOKUP(C139, Products[], 6)</f>
        <v>34.799999999999997</v>
      </c>
      <c r="K139" s="86">
        <f t="shared" si="13"/>
        <v>696</v>
      </c>
      <c r="L139" s="86">
        <f t="shared" si="14"/>
        <v>-140</v>
      </c>
      <c r="N139">
        <v>10381</v>
      </c>
      <c r="O139" s="84" cm="1">
        <f t="array" ref="O139">SUM(INDEX(_xlfn._xlws.FILTER($B$6:$L$2160, $B$6:$B$2160=N139), 0, 8))</f>
        <v>112</v>
      </c>
      <c r="P139" s="84" cm="1">
        <f t="array" ref="P139">SUM(INDEX(_xlfn._xlws.FILTER($B$6:$L$2160, $B$6:$B$2160=N139), 0, 10))</f>
        <v>140</v>
      </c>
      <c r="Q139" s="84" cm="1">
        <f t="array" ref="Q139">SUM(INDEX(_xlfn._xlws.FILTER($B$6:$L$2160, $B$6:$B$2160=N139), 0, 11))</f>
        <v>-28</v>
      </c>
    </row>
    <row r="140" spans="2:17" x14ac:dyDescent="0.2">
      <c r="B140">
        <v>10298</v>
      </c>
      <c r="C140">
        <v>2</v>
      </c>
      <c r="D140" s="84">
        <v>15.2</v>
      </c>
      <c r="E140">
        <v>40</v>
      </c>
      <c r="F140" s="85">
        <v>0</v>
      </c>
      <c r="G140" s="86">
        <f t="shared" si="10"/>
        <v>608</v>
      </c>
      <c r="H140" s="86">
        <f t="shared" si="11"/>
        <v>0</v>
      </c>
      <c r="I140" s="86">
        <f t="shared" si="12"/>
        <v>608</v>
      </c>
      <c r="J140" s="84">
        <f>VLOOKUP(C140, Products[], 6)</f>
        <v>19</v>
      </c>
      <c r="K140" s="86">
        <f t="shared" si="13"/>
        <v>760</v>
      </c>
      <c r="L140" s="86">
        <f t="shared" si="14"/>
        <v>-152</v>
      </c>
      <c r="N140">
        <v>10382</v>
      </c>
      <c r="O140" s="84" cm="1">
        <f t="array" ref="O140">SUM(INDEX(_xlfn._xlws.FILTER($B$6:$L$2160, $B$6:$B$2160=N140), 0, 8))</f>
        <v>2900</v>
      </c>
      <c r="P140" s="84" cm="1">
        <f t="array" ref="P140">SUM(INDEX(_xlfn._xlws.FILTER($B$6:$L$2160, $B$6:$B$2160=N140), 0, 10))</f>
        <v>3628.76</v>
      </c>
      <c r="Q140" s="84" cm="1">
        <f t="array" ref="Q140">SUM(INDEX(_xlfn._xlws.FILTER($B$6:$L$2160, $B$6:$B$2160=N140), 0, 11))</f>
        <v>-728.76000000000022</v>
      </c>
    </row>
    <row r="141" spans="2:17" x14ac:dyDescent="0.2">
      <c r="B141">
        <v>10298</v>
      </c>
      <c r="C141">
        <v>36</v>
      </c>
      <c r="D141" s="84">
        <v>15.2</v>
      </c>
      <c r="E141">
        <v>40</v>
      </c>
      <c r="F141" s="85">
        <v>0.25</v>
      </c>
      <c r="G141" s="86">
        <f t="shared" si="10"/>
        <v>608</v>
      </c>
      <c r="H141" s="86">
        <f t="shared" si="11"/>
        <v>152</v>
      </c>
      <c r="I141" s="86">
        <f t="shared" si="12"/>
        <v>456</v>
      </c>
      <c r="J141" s="84">
        <f>VLOOKUP(C141, Products[], 6)</f>
        <v>19</v>
      </c>
      <c r="K141" s="86">
        <f t="shared" si="13"/>
        <v>760</v>
      </c>
      <c r="L141" s="86">
        <f t="shared" si="14"/>
        <v>-304</v>
      </c>
      <c r="N141">
        <v>10383</v>
      </c>
      <c r="O141" s="84" cm="1">
        <f t="array" ref="O141">SUM(INDEX(_xlfn._xlws.FILTER($B$6:$L$2160, $B$6:$B$2160=N141), 0, 8))</f>
        <v>899</v>
      </c>
      <c r="P141" s="84" cm="1">
        <f t="array" ref="P141">SUM(INDEX(_xlfn._xlws.FILTER($B$6:$L$2160, $B$6:$B$2160=N141), 0, 10))</f>
        <v>1123.75</v>
      </c>
      <c r="Q141" s="84" cm="1">
        <f t="array" ref="Q141">SUM(INDEX(_xlfn._xlws.FILTER($B$6:$L$2160, $B$6:$B$2160=N141), 0, 11))</f>
        <v>-224.75</v>
      </c>
    </row>
    <row r="142" spans="2:17" x14ac:dyDescent="0.2">
      <c r="B142">
        <v>10298</v>
      </c>
      <c r="C142">
        <v>59</v>
      </c>
      <c r="D142" s="84">
        <v>44</v>
      </c>
      <c r="E142">
        <v>30</v>
      </c>
      <c r="F142" s="85">
        <v>0.25</v>
      </c>
      <c r="G142" s="86">
        <f t="shared" si="10"/>
        <v>1320</v>
      </c>
      <c r="H142" s="86">
        <f t="shared" si="11"/>
        <v>330</v>
      </c>
      <c r="I142" s="86">
        <f t="shared" si="12"/>
        <v>990</v>
      </c>
      <c r="J142" s="84">
        <f>VLOOKUP(C142, Products[], 6)</f>
        <v>55</v>
      </c>
      <c r="K142" s="86">
        <f t="shared" si="13"/>
        <v>1650</v>
      </c>
      <c r="L142" s="86">
        <f t="shared" si="14"/>
        <v>-660</v>
      </c>
      <c r="N142">
        <v>10384</v>
      </c>
      <c r="O142" s="84" cm="1">
        <f t="array" ref="O142">SUM(INDEX(_xlfn._xlws.FILTER($B$6:$L$2160, $B$6:$B$2160=N142), 0, 8))</f>
        <v>2222.3999999999996</v>
      </c>
      <c r="P142" s="84" cm="1">
        <f t="array" ref="P142">SUM(INDEX(_xlfn._xlws.FILTER($B$6:$L$2160, $B$6:$B$2160=N142), 0, 10))</f>
        <v>2778</v>
      </c>
      <c r="Q142" s="84" cm="1">
        <f t="array" ref="Q142">SUM(INDEX(_xlfn._xlws.FILTER($B$6:$L$2160, $B$6:$B$2160=N142), 0, 11))</f>
        <v>-555.60000000000014</v>
      </c>
    </row>
    <row r="143" spans="2:17" x14ac:dyDescent="0.2">
      <c r="B143">
        <v>10298</v>
      </c>
      <c r="C143">
        <v>62</v>
      </c>
      <c r="D143" s="84">
        <v>39.4</v>
      </c>
      <c r="E143">
        <v>15</v>
      </c>
      <c r="F143" s="85">
        <v>0</v>
      </c>
      <c r="G143" s="86">
        <f t="shared" si="10"/>
        <v>591</v>
      </c>
      <c r="H143" s="86">
        <f t="shared" si="11"/>
        <v>0</v>
      </c>
      <c r="I143" s="86">
        <f t="shared" si="12"/>
        <v>591</v>
      </c>
      <c r="J143" s="84">
        <f>VLOOKUP(C143, Products[], 6)</f>
        <v>49.3</v>
      </c>
      <c r="K143" s="86">
        <f t="shared" si="13"/>
        <v>739.5</v>
      </c>
      <c r="L143" s="86">
        <f t="shared" si="14"/>
        <v>-148.5</v>
      </c>
      <c r="N143">
        <v>10385</v>
      </c>
      <c r="O143" s="84" cm="1">
        <f t="array" ref="O143">SUM(INDEX(_xlfn._xlws.FILTER($B$6:$L$2160, $B$6:$B$2160=N143), 0, 8))</f>
        <v>691.2</v>
      </c>
      <c r="P143" s="84" cm="1">
        <f t="array" ref="P143">SUM(INDEX(_xlfn._xlws.FILTER($B$6:$L$2160, $B$6:$B$2160=N143), 0, 10))</f>
        <v>1080</v>
      </c>
      <c r="Q143" s="84" cm="1">
        <f t="array" ref="Q143">SUM(INDEX(_xlfn._xlws.FILTER($B$6:$L$2160, $B$6:$B$2160=N143), 0, 11))</f>
        <v>-388.8</v>
      </c>
    </row>
    <row r="144" spans="2:17" x14ac:dyDescent="0.2">
      <c r="B144">
        <v>10299</v>
      </c>
      <c r="C144">
        <v>19</v>
      </c>
      <c r="D144" s="84">
        <v>7.3</v>
      </c>
      <c r="E144">
        <v>15</v>
      </c>
      <c r="F144" s="85">
        <v>0</v>
      </c>
      <c r="G144" s="86">
        <f t="shared" si="10"/>
        <v>109.5</v>
      </c>
      <c r="H144" s="86">
        <f t="shared" si="11"/>
        <v>0</v>
      </c>
      <c r="I144" s="86">
        <f t="shared" si="12"/>
        <v>109.5</v>
      </c>
      <c r="J144" s="84">
        <f>VLOOKUP(C144, Products[], 6)</f>
        <v>9.1999999999999993</v>
      </c>
      <c r="K144" s="86">
        <f t="shared" si="13"/>
        <v>138</v>
      </c>
      <c r="L144" s="86">
        <f t="shared" si="14"/>
        <v>-28.5</v>
      </c>
      <c r="N144">
        <v>10386</v>
      </c>
      <c r="O144" s="84" cm="1">
        <f t="array" ref="O144">SUM(INDEX(_xlfn._xlws.FILTER($B$6:$L$2160, $B$6:$B$2160=N144), 0, 8))</f>
        <v>166</v>
      </c>
      <c r="P144" s="84" cm="1">
        <f t="array" ref="P144">SUM(INDEX(_xlfn._xlws.FILTER($B$6:$L$2160, $B$6:$B$2160=N144), 0, 10))</f>
        <v>207.5</v>
      </c>
      <c r="Q144" s="84" cm="1">
        <f t="array" ref="Q144">SUM(INDEX(_xlfn._xlws.FILTER($B$6:$L$2160, $B$6:$B$2160=N144), 0, 11))</f>
        <v>-41.5</v>
      </c>
    </row>
    <row r="145" spans="2:17" x14ac:dyDescent="0.2">
      <c r="B145">
        <v>10299</v>
      </c>
      <c r="C145">
        <v>70</v>
      </c>
      <c r="D145" s="84">
        <v>12</v>
      </c>
      <c r="E145">
        <v>20</v>
      </c>
      <c r="F145" s="85">
        <v>0</v>
      </c>
      <c r="G145" s="86">
        <f t="shared" si="10"/>
        <v>240</v>
      </c>
      <c r="H145" s="86">
        <f t="shared" si="11"/>
        <v>0</v>
      </c>
      <c r="I145" s="86">
        <f t="shared" si="12"/>
        <v>240</v>
      </c>
      <c r="J145" s="84">
        <f>VLOOKUP(C145, Products[], 6)</f>
        <v>15</v>
      </c>
      <c r="K145" s="86">
        <f t="shared" si="13"/>
        <v>300</v>
      </c>
      <c r="L145" s="86">
        <f t="shared" si="14"/>
        <v>-60</v>
      </c>
      <c r="N145">
        <v>10387</v>
      </c>
      <c r="O145" s="84" cm="1">
        <f t="array" ref="O145">SUM(INDEX(_xlfn._xlws.FILTER($B$6:$L$2160, $B$6:$B$2160=N145), 0, 8))</f>
        <v>1058.4000000000001</v>
      </c>
      <c r="P145" s="84" cm="1">
        <f t="array" ref="P145">SUM(INDEX(_xlfn._xlws.FILTER($B$6:$L$2160, $B$6:$B$2160=N145), 0, 10))</f>
        <v>1323.6</v>
      </c>
      <c r="Q145" s="84" cm="1">
        <f t="array" ref="Q145">SUM(INDEX(_xlfn._xlws.FILTER($B$6:$L$2160, $B$6:$B$2160=N145), 0, 11))</f>
        <v>-265.20000000000005</v>
      </c>
    </row>
    <row r="146" spans="2:17" x14ac:dyDescent="0.2">
      <c r="B146">
        <v>10300</v>
      </c>
      <c r="C146">
        <v>66</v>
      </c>
      <c r="D146" s="84">
        <v>13.6</v>
      </c>
      <c r="E146">
        <v>30</v>
      </c>
      <c r="F146" s="85">
        <v>0</v>
      </c>
      <c r="G146" s="86">
        <f t="shared" si="10"/>
        <v>408</v>
      </c>
      <c r="H146" s="86">
        <f t="shared" si="11"/>
        <v>0</v>
      </c>
      <c r="I146" s="86">
        <f t="shared" si="12"/>
        <v>408</v>
      </c>
      <c r="J146" s="84">
        <f>VLOOKUP(C146, Products[], 6)</f>
        <v>17</v>
      </c>
      <c r="K146" s="86">
        <f t="shared" si="13"/>
        <v>510</v>
      </c>
      <c r="L146" s="86">
        <f t="shared" si="14"/>
        <v>-102</v>
      </c>
      <c r="N146">
        <v>10388</v>
      </c>
      <c r="O146" s="84" cm="1">
        <f t="array" ref="O146">SUM(INDEX(_xlfn._xlws.FILTER($B$6:$L$2160, $B$6:$B$2160=N146), 0, 8))</f>
        <v>1228.8</v>
      </c>
      <c r="P146" s="84" cm="1">
        <f t="array" ref="P146">SUM(INDEX(_xlfn._xlws.FILTER($B$6:$L$2160, $B$6:$B$2160=N146), 0, 10))</f>
        <v>1594.5</v>
      </c>
      <c r="Q146" s="84" cm="1">
        <f t="array" ref="Q146">SUM(INDEX(_xlfn._xlws.FILTER($B$6:$L$2160, $B$6:$B$2160=N146), 0, 11))</f>
        <v>-365.7</v>
      </c>
    </row>
    <row r="147" spans="2:17" x14ac:dyDescent="0.2">
      <c r="B147">
        <v>10300</v>
      </c>
      <c r="C147">
        <v>68</v>
      </c>
      <c r="D147" s="84">
        <v>10</v>
      </c>
      <c r="E147">
        <v>20</v>
      </c>
      <c r="F147" s="85">
        <v>0</v>
      </c>
      <c r="G147" s="86">
        <f t="shared" si="10"/>
        <v>200</v>
      </c>
      <c r="H147" s="86">
        <f t="shared" si="11"/>
        <v>0</v>
      </c>
      <c r="I147" s="86">
        <f t="shared" si="12"/>
        <v>200</v>
      </c>
      <c r="J147" s="84">
        <f>VLOOKUP(C147, Products[], 6)</f>
        <v>12.5</v>
      </c>
      <c r="K147" s="86">
        <f t="shared" si="13"/>
        <v>250</v>
      </c>
      <c r="L147" s="86">
        <f t="shared" si="14"/>
        <v>-50</v>
      </c>
      <c r="N147">
        <v>10389</v>
      </c>
      <c r="O147" s="84" cm="1">
        <f t="array" ref="O147">SUM(INDEX(_xlfn._xlws.FILTER($B$6:$L$2160, $B$6:$B$2160=N147), 0, 8))</f>
        <v>1832.8</v>
      </c>
      <c r="P147" s="84" cm="1">
        <f t="array" ref="P147">SUM(INDEX(_xlfn._xlws.FILTER($B$6:$L$2160, $B$6:$B$2160=N147), 0, 10))</f>
        <v>2292</v>
      </c>
      <c r="Q147" s="84" cm="1">
        <f t="array" ref="Q147">SUM(INDEX(_xlfn._xlws.FILTER($B$6:$L$2160, $B$6:$B$2160=N147), 0, 11))</f>
        <v>-459.2</v>
      </c>
    </row>
    <row r="148" spans="2:17" x14ac:dyDescent="0.2">
      <c r="B148">
        <v>10301</v>
      </c>
      <c r="C148">
        <v>40</v>
      </c>
      <c r="D148" s="84">
        <v>14.7</v>
      </c>
      <c r="E148">
        <v>10</v>
      </c>
      <c r="F148" s="85">
        <v>0</v>
      </c>
      <c r="G148" s="86">
        <f t="shared" si="10"/>
        <v>147</v>
      </c>
      <c r="H148" s="86">
        <f t="shared" si="11"/>
        <v>0</v>
      </c>
      <c r="I148" s="86">
        <f t="shared" si="12"/>
        <v>147</v>
      </c>
      <c r="J148" s="84">
        <f>VLOOKUP(C148, Products[], 6)</f>
        <v>18.399999999999999</v>
      </c>
      <c r="K148" s="86">
        <f t="shared" si="13"/>
        <v>184</v>
      </c>
      <c r="L148" s="86">
        <f t="shared" si="14"/>
        <v>-37</v>
      </c>
      <c r="N148">
        <v>10390</v>
      </c>
      <c r="O148" s="84" cm="1">
        <f t="array" ref="O148">SUM(INDEX(_xlfn._xlws.FILTER($B$6:$L$2160, $B$6:$B$2160=N148), 0, 8))</f>
        <v>2090.88</v>
      </c>
      <c r="P148" s="84" cm="1">
        <f t="array" ref="P148">SUM(INDEX(_xlfn._xlws.FILTER($B$6:$L$2160, $B$6:$B$2160=N148), 0, 10))</f>
        <v>2845.2</v>
      </c>
      <c r="Q148" s="84" cm="1">
        <f t="array" ref="Q148">SUM(INDEX(_xlfn._xlws.FILTER($B$6:$L$2160, $B$6:$B$2160=N148), 0, 11))</f>
        <v>-754.31999999999994</v>
      </c>
    </row>
    <row r="149" spans="2:17" x14ac:dyDescent="0.2">
      <c r="B149">
        <v>10301</v>
      </c>
      <c r="C149">
        <v>56</v>
      </c>
      <c r="D149" s="84">
        <v>30.4</v>
      </c>
      <c r="E149">
        <v>20</v>
      </c>
      <c r="F149" s="85">
        <v>0</v>
      </c>
      <c r="G149" s="86">
        <f t="shared" si="10"/>
        <v>608</v>
      </c>
      <c r="H149" s="86">
        <f t="shared" si="11"/>
        <v>0</v>
      </c>
      <c r="I149" s="86">
        <f t="shared" si="12"/>
        <v>608</v>
      </c>
      <c r="J149" s="84">
        <f>VLOOKUP(C149, Products[], 6)</f>
        <v>38</v>
      </c>
      <c r="K149" s="86">
        <f t="shared" si="13"/>
        <v>760</v>
      </c>
      <c r="L149" s="86">
        <f t="shared" si="14"/>
        <v>-152</v>
      </c>
      <c r="N149">
        <v>10391</v>
      </c>
      <c r="O149" s="84" cm="1">
        <f t="array" ref="O149">SUM(INDEX(_xlfn._xlws.FILTER($B$6:$L$2160, $B$6:$B$2160=N149), 0, 8))</f>
        <v>86.399999999999991</v>
      </c>
      <c r="P149" s="84" cm="1">
        <f t="array" ref="P149">SUM(INDEX(_xlfn._xlws.FILTER($B$6:$L$2160, $B$6:$B$2160=N149), 0, 10))</f>
        <v>108</v>
      </c>
      <c r="Q149" s="84" cm="1">
        <f t="array" ref="Q149">SUM(INDEX(_xlfn._xlws.FILTER($B$6:$L$2160, $B$6:$B$2160=N149), 0, 11))</f>
        <v>-21.600000000000009</v>
      </c>
    </row>
    <row r="150" spans="2:17" x14ac:dyDescent="0.2">
      <c r="B150">
        <v>10302</v>
      </c>
      <c r="C150">
        <v>17</v>
      </c>
      <c r="D150" s="84">
        <v>31.2</v>
      </c>
      <c r="E150">
        <v>40</v>
      </c>
      <c r="F150" s="85">
        <v>0</v>
      </c>
      <c r="G150" s="86">
        <f t="shared" si="10"/>
        <v>1248</v>
      </c>
      <c r="H150" s="86">
        <f t="shared" si="11"/>
        <v>0</v>
      </c>
      <c r="I150" s="86">
        <f t="shared" si="12"/>
        <v>1248</v>
      </c>
      <c r="J150" s="84">
        <f>VLOOKUP(C150, Products[], 6)</f>
        <v>39</v>
      </c>
      <c r="K150" s="86">
        <f t="shared" si="13"/>
        <v>1560</v>
      </c>
      <c r="L150" s="86">
        <f t="shared" si="14"/>
        <v>-312</v>
      </c>
      <c r="N150">
        <v>10392</v>
      </c>
      <c r="O150" s="84" cm="1">
        <f t="array" ref="O150">SUM(INDEX(_xlfn._xlws.FILTER($B$6:$L$2160, $B$6:$B$2160=N150), 0, 8))</f>
        <v>1440</v>
      </c>
      <c r="P150" s="84" cm="1">
        <f t="array" ref="P150">SUM(INDEX(_xlfn._xlws.FILTER($B$6:$L$2160, $B$6:$B$2160=N150), 0, 10))</f>
        <v>1800</v>
      </c>
      <c r="Q150" s="84" cm="1">
        <f t="array" ref="Q150">SUM(INDEX(_xlfn._xlws.FILTER($B$6:$L$2160, $B$6:$B$2160=N150), 0, 11))</f>
        <v>-360</v>
      </c>
    </row>
    <row r="151" spans="2:17" x14ac:dyDescent="0.2">
      <c r="B151">
        <v>10302</v>
      </c>
      <c r="C151">
        <v>28</v>
      </c>
      <c r="D151" s="84">
        <v>36.4</v>
      </c>
      <c r="E151">
        <v>28</v>
      </c>
      <c r="F151" s="85">
        <v>0</v>
      </c>
      <c r="G151" s="86">
        <f t="shared" si="10"/>
        <v>1019.1999999999999</v>
      </c>
      <c r="H151" s="86">
        <f t="shared" si="11"/>
        <v>0</v>
      </c>
      <c r="I151" s="86">
        <f t="shared" si="12"/>
        <v>1019.1999999999999</v>
      </c>
      <c r="J151" s="84">
        <f>VLOOKUP(C151, Products[], 6)</f>
        <v>45.6</v>
      </c>
      <c r="K151" s="86">
        <f t="shared" si="13"/>
        <v>1276.8</v>
      </c>
      <c r="L151" s="86">
        <f t="shared" si="14"/>
        <v>-257.60000000000002</v>
      </c>
      <c r="N151">
        <v>10393</v>
      </c>
      <c r="O151" s="84" cm="1">
        <f t="array" ref="O151">SUM(INDEX(_xlfn._xlws.FILTER($B$6:$L$2160, $B$6:$B$2160=N151), 0, 8))</f>
        <v>2556.9499999999998</v>
      </c>
      <c r="P151" s="84" cm="1">
        <f t="array" ref="P151">SUM(INDEX(_xlfn._xlws.FILTER($B$6:$L$2160, $B$6:$B$2160=N151), 0, 10))</f>
        <v>4135.6000000000004</v>
      </c>
      <c r="Q151" s="84" cm="1">
        <f t="array" ref="Q151">SUM(INDEX(_xlfn._xlws.FILTER($B$6:$L$2160, $B$6:$B$2160=N151), 0, 11))</f>
        <v>-1578.6499999999999</v>
      </c>
    </row>
    <row r="152" spans="2:17" x14ac:dyDescent="0.2">
      <c r="B152">
        <v>10302</v>
      </c>
      <c r="C152">
        <v>43</v>
      </c>
      <c r="D152" s="84">
        <v>36.799999999999997</v>
      </c>
      <c r="E152">
        <v>12</v>
      </c>
      <c r="F152" s="85">
        <v>0</v>
      </c>
      <c r="G152" s="86">
        <f t="shared" si="10"/>
        <v>441.59999999999997</v>
      </c>
      <c r="H152" s="86">
        <f t="shared" si="11"/>
        <v>0</v>
      </c>
      <c r="I152" s="86">
        <f t="shared" si="12"/>
        <v>441.59999999999997</v>
      </c>
      <c r="J152" s="84">
        <f>VLOOKUP(C152, Products[], 6)</f>
        <v>46</v>
      </c>
      <c r="K152" s="86">
        <f t="shared" si="13"/>
        <v>552</v>
      </c>
      <c r="L152" s="86">
        <f t="shared" si="14"/>
        <v>-110.40000000000003</v>
      </c>
      <c r="N152">
        <v>10394</v>
      </c>
      <c r="O152" s="84" cm="1">
        <f t="array" ref="O152">SUM(INDEX(_xlfn._xlws.FILTER($B$6:$L$2160, $B$6:$B$2160=N152), 0, 8))</f>
        <v>442</v>
      </c>
      <c r="P152" s="84" cm="1">
        <f t="array" ref="P152">SUM(INDEX(_xlfn._xlws.FILTER($B$6:$L$2160, $B$6:$B$2160=N152), 0, 10))</f>
        <v>553</v>
      </c>
      <c r="Q152" s="84" cm="1">
        <f t="array" ref="Q152">SUM(INDEX(_xlfn._xlws.FILTER($B$6:$L$2160, $B$6:$B$2160=N152), 0, 11))</f>
        <v>-111</v>
      </c>
    </row>
    <row r="153" spans="2:17" x14ac:dyDescent="0.2">
      <c r="B153">
        <v>10303</v>
      </c>
      <c r="C153">
        <v>40</v>
      </c>
      <c r="D153" s="84">
        <v>14.7</v>
      </c>
      <c r="E153">
        <v>40</v>
      </c>
      <c r="F153" s="85">
        <v>0.1</v>
      </c>
      <c r="G153" s="86">
        <f t="shared" si="10"/>
        <v>588</v>
      </c>
      <c r="H153" s="86">
        <f t="shared" si="11"/>
        <v>58.800000000000004</v>
      </c>
      <c r="I153" s="86">
        <f t="shared" si="12"/>
        <v>529.20000000000005</v>
      </c>
      <c r="J153" s="84">
        <f>VLOOKUP(C153, Products[], 6)</f>
        <v>18.399999999999999</v>
      </c>
      <c r="K153" s="86">
        <f t="shared" si="13"/>
        <v>736</v>
      </c>
      <c r="L153" s="86">
        <f t="shared" si="14"/>
        <v>-206.79999999999995</v>
      </c>
      <c r="N153">
        <v>10395</v>
      </c>
      <c r="O153" s="84" cm="1">
        <f t="array" ref="O153">SUM(INDEX(_xlfn._xlws.FILTER($B$6:$L$2160, $B$6:$B$2160=N153), 0, 8))</f>
        <v>2122.92</v>
      </c>
      <c r="P153" s="84" cm="1">
        <f t="array" ref="P153">SUM(INDEX(_xlfn._xlws.FILTER($B$6:$L$2160, $B$6:$B$2160=N153), 0, 10))</f>
        <v>2920</v>
      </c>
      <c r="Q153" s="84" cm="1">
        <f t="array" ref="Q153">SUM(INDEX(_xlfn._xlws.FILTER($B$6:$L$2160, $B$6:$B$2160=N153), 0, 11))</f>
        <v>-797.08</v>
      </c>
    </row>
    <row r="154" spans="2:17" x14ac:dyDescent="0.2">
      <c r="B154">
        <v>10303</v>
      </c>
      <c r="C154">
        <v>65</v>
      </c>
      <c r="D154" s="84">
        <v>16.8</v>
      </c>
      <c r="E154">
        <v>30</v>
      </c>
      <c r="F154" s="85">
        <v>0.1</v>
      </c>
      <c r="G154" s="86">
        <f t="shared" si="10"/>
        <v>504</v>
      </c>
      <c r="H154" s="86">
        <f t="shared" si="11"/>
        <v>50.400000000000006</v>
      </c>
      <c r="I154" s="86">
        <f t="shared" si="12"/>
        <v>453.6</v>
      </c>
      <c r="J154" s="84">
        <f>VLOOKUP(C154, Products[], 6)</f>
        <v>21.05</v>
      </c>
      <c r="K154" s="86">
        <f t="shared" si="13"/>
        <v>631.5</v>
      </c>
      <c r="L154" s="86">
        <f t="shared" si="14"/>
        <v>-177.89999999999998</v>
      </c>
      <c r="N154">
        <v>10396</v>
      </c>
      <c r="O154" s="84" cm="1">
        <f t="array" ref="O154">SUM(INDEX(_xlfn._xlws.FILTER($B$6:$L$2160, $B$6:$B$2160=N154), 0, 8))</f>
        <v>1903.8000000000002</v>
      </c>
      <c r="P154" s="84" cm="1">
        <f t="array" ref="P154">SUM(INDEX(_xlfn._xlws.FILTER($B$6:$L$2160, $B$6:$B$2160=N154), 0, 10))</f>
        <v>2380.8000000000002</v>
      </c>
      <c r="Q154" s="84" cm="1">
        <f t="array" ref="Q154">SUM(INDEX(_xlfn._xlws.FILTER($B$6:$L$2160, $B$6:$B$2160=N154), 0, 11))</f>
        <v>-476.99999999999989</v>
      </c>
    </row>
    <row r="155" spans="2:17" x14ac:dyDescent="0.2">
      <c r="B155">
        <v>10303</v>
      </c>
      <c r="C155">
        <v>68</v>
      </c>
      <c r="D155" s="84">
        <v>10</v>
      </c>
      <c r="E155">
        <v>15</v>
      </c>
      <c r="F155" s="85">
        <v>0.1</v>
      </c>
      <c r="G155" s="86">
        <f t="shared" si="10"/>
        <v>150</v>
      </c>
      <c r="H155" s="86">
        <f t="shared" si="11"/>
        <v>15</v>
      </c>
      <c r="I155" s="86">
        <f t="shared" si="12"/>
        <v>135</v>
      </c>
      <c r="J155" s="84">
        <f>VLOOKUP(C155, Products[], 6)</f>
        <v>12.5</v>
      </c>
      <c r="K155" s="86">
        <f t="shared" si="13"/>
        <v>187.5</v>
      </c>
      <c r="L155" s="86">
        <f t="shared" si="14"/>
        <v>-52.5</v>
      </c>
      <c r="N155">
        <v>10397</v>
      </c>
      <c r="O155" s="84" cm="1">
        <f t="array" ref="O155">SUM(INDEX(_xlfn._xlws.FILTER($B$6:$L$2160, $B$6:$B$2160=N155), 0, 8))</f>
        <v>716.71999999999991</v>
      </c>
      <c r="P155" s="84" cm="1">
        <f t="array" ref="P155">SUM(INDEX(_xlfn._xlws.FILTER($B$6:$L$2160, $B$6:$B$2160=N155), 0, 10))</f>
        <v>1054</v>
      </c>
      <c r="Q155" s="84" cm="1">
        <f t="array" ref="Q155">SUM(INDEX(_xlfn._xlws.FILTER($B$6:$L$2160, $B$6:$B$2160=N155), 0, 11))</f>
        <v>-337.28000000000009</v>
      </c>
    </row>
    <row r="156" spans="2:17" x14ac:dyDescent="0.2">
      <c r="B156">
        <v>10304</v>
      </c>
      <c r="C156">
        <v>49</v>
      </c>
      <c r="D156" s="84">
        <v>16</v>
      </c>
      <c r="E156">
        <v>30</v>
      </c>
      <c r="F156" s="85">
        <v>0</v>
      </c>
      <c r="G156" s="86">
        <f t="shared" si="10"/>
        <v>480</v>
      </c>
      <c r="H156" s="86">
        <f t="shared" si="11"/>
        <v>0</v>
      </c>
      <c r="I156" s="86">
        <f t="shared" si="12"/>
        <v>480</v>
      </c>
      <c r="J156" s="84">
        <f>VLOOKUP(C156, Products[], 6)</f>
        <v>20</v>
      </c>
      <c r="K156" s="86">
        <f t="shared" si="13"/>
        <v>600</v>
      </c>
      <c r="L156" s="86">
        <f t="shared" si="14"/>
        <v>-120</v>
      </c>
      <c r="N156">
        <v>10398</v>
      </c>
      <c r="O156" s="84" cm="1">
        <f t="array" ref="O156">SUM(INDEX(_xlfn._xlws.FILTER($B$6:$L$2160, $B$6:$B$2160=N156), 0, 8))</f>
        <v>2505.6</v>
      </c>
      <c r="P156" s="84" cm="1">
        <f t="array" ref="P156">SUM(INDEX(_xlfn._xlws.FILTER($B$6:$L$2160, $B$6:$B$2160=N156), 0, 10))</f>
        <v>3420</v>
      </c>
      <c r="Q156" s="84" cm="1">
        <f t="array" ref="Q156">SUM(INDEX(_xlfn._xlws.FILTER($B$6:$L$2160, $B$6:$B$2160=N156), 0, 11))</f>
        <v>-914.40000000000009</v>
      </c>
    </row>
    <row r="157" spans="2:17" x14ac:dyDescent="0.2">
      <c r="B157">
        <v>10304</v>
      </c>
      <c r="C157">
        <v>59</v>
      </c>
      <c r="D157" s="84">
        <v>44</v>
      </c>
      <c r="E157">
        <v>10</v>
      </c>
      <c r="F157" s="85">
        <v>0</v>
      </c>
      <c r="G157" s="86">
        <f t="shared" si="10"/>
        <v>440</v>
      </c>
      <c r="H157" s="86">
        <f t="shared" si="11"/>
        <v>0</v>
      </c>
      <c r="I157" s="86">
        <f t="shared" si="12"/>
        <v>440</v>
      </c>
      <c r="J157" s="84">
        <f>VLOOKUP(C157, Products[], 6)</f>
        <v>55</v>
      </c>
      <c r="K157" s="86">
        <f t="shared" si="13"/>
        <v>550</v>
      </c>
      <c r="L157" s="86">
        <f t="shared" si="14"/>
        <v>-110</v>
      </c>
      <c r="N157">
        <v>10399</v>
      </c>
      <c r="O157" s="84" cm="1">
        <f t="array" ref="O157">SUM(INDEX(_xlfn._xlws.FILTER($B$6:$L$2160, $B$6:$B$2160=N157), 0, 8))</f>
        <v>1765.6</v>
      </c>
      <c r="P157" s="84" cm="1">
        <f t="array" ref="P157">SUM(INDEX(_xlfn._xlws.FILTER($B$6:$L$2160, $B$6:$B$2160=N157), 0, 10))</f>
        <v>2207</v>
      </c>
      <c r="Q157" s="84" cm="1">
        <f t="array" ref="Q157">SUM(INDEX(_xlfn._xlws.FILTER($B$6:$L$2160, $B$6:$B$2160=N157), 0, 11))</f>
        <v>-441.4</v>
      </c>
    </row>
    <row r="158" spans="2:17" x14ac:dyDescent="0.2">
      <c r="B158">
        <v>10304</v>
      </c>
      <c r="C158">
        <v>71</v>
      </c>
      <c r="D158" s="84">
        <v>17.2</v>
      </c>
      <c r="E158">
        <v>2</v>
      </c>
      <c r="F158" s="85">
        <v>0</v>
      </c>
      <c r="G158" s="86">
        <f t="shared" si="10"/>
        <v>34.4</v>
      </c>
      <c r="H158" s="86">
        <f t="shared" si="11"/>
        <v>0</v>
      </c>
      <c r="I158" s="86">
        <f t="shared" si="12"/>
        <v>34.4</v>
      </c>
      <c r="J158" s="84">
        <f>VLOOKUP(C158, Products[], 6)</f>
        <v>21.5</v>
      </c>
      <c r="K158" s="86">
        <f t="shared" si="13"/>
        <v>43</v>
      </c>
      <c r="L158" s="86">
        <f t="shared" si="14"/>
        <v>-8.6000000000000014</v>
      </c>
      <c r="N158">
        <v>10400</v>
      </c>
      <c r="O158" s="84" cm="1">
        <f t="array" ref="O158">SUM(INDEX(_xlfn._xlws.FILTER($B$6:$L$2160, $B$6:$B$2160=N158), 0, 8))</f>
        <v>3063</v>
      </c>
      <c r="P158" s="84" cm="1">
        <f t="array" ref="P158">SUM(INDEX(_xlfn._xlws.FILTER($B$6:$L$2160, $B$6:$B$2160=N158), 0, 10))</f>
        <v>3829.59</v>
      </c>
      <c r="Q158" s="84" cm="1">
        <f t="array" ref="Q158">SUM(INDEX(_xlfn._xlws.FILTER($B$6:$L$2160, $B$6:$B$2160=N158), 0, 11))</f>
        <v>-766.59000000000015</v>
      </c>
    </row>
    <row r="159" spans="2:17" x14ac:dyDescent="0.2">
      <c r="B159">
        <v>10305</v>
      </c>
      <c r="C159">
        <v>18</v>
      </c>
      <c r="D159" s="84">
        <v>50</v>
      </c>
      <c r="E159">
        <v>25</v>
      </c>
      <c r="F159" s="85">
        <v>0.1</v>
      </c>
      <c r="G159" s="86">
        <f t="shared" si="10"/>
        <v>1250</v>
      </c>
      <c r="H159" s="86">
        <f t="shared" si="11"/>
        <v>125</v>
      </c>
      <c r="I159" s="86">
        <f t="shared" si="12"/>
        <v>1125</v>
      </c>
      <c r="J159" s="84">
        <f>VLOOKUP(C159, Products[], 6)</f>
        <v>62.5</v>
      </c>
      <c r="K159" s="86">
        <f t="shared" si="13"/>
        <v>1562.5</v>
      </c>
      <c r="L159" s="86">
        <f t="shared" si="14"/>
        <v>-437.5</v>
      </c>
      <c r="N159">
        <v>10401</v>
      </c>
      <c r="O159" s="84" cm="1">
        <f t="array" ref="O159">SUM(INDEX(_xlfn._xlws.FILTER($B$6:$L$2160, $B$6:$B$2160=N159), 0, 8))</f>
        <v>3868.6</v>
      </c>
      <c r="P159" s="84" cm="1">
        <f t="array" ref="P159">SUM(INDEX(_xlfn._xlws.FILTER($B$6:$L$2160, $B$6:$B$2160=N159), 0, 10))</f>
        <v>4837.0200000000004</v>
      </c>
      <c r="Q159" s="84" cm="1">
        <f t="array" ref="Q159">SUM(INDEX(_xlfn._xlws.FILTER($B$6:$L$2160, $B$6:$B$2160=N159), 0, 11))</f>
        <v>-968.42000000000007</v>
      </c>
    </row>
    <row r="160" spans="2:17" x14ac:dyDescent="0.2">
      <c r="B160">
        <v>10305</v>
      </c>
      <c r="C160">
        <v>29</v>
      </c>
      <c r="D160" s="84">
        <v>99</v>
      </c>
      <c r="E160">
        <v>25</v>
      </c>
      <c r="F160" s="85">
        <v>0.1</v>
      </c>
      <c r="G160" s="86">
        <f t="shared" si="10"/>
        <v>2475</v>
      </c>
      <c r="H160" s="86">
        <f t="shared" si="11"/>
        <v>247.5</v>
      </c>
      <c r="I160" s="86">
        <f t="shared" si="12"/>
        <v>2227.5</v>
      </c>
      <c r="J160" s="84">
        <f>VLOOKUP(C160, Products[], 6)</f>
        <v>123.79</v>
      </c>
      <c r="K160" s="86">
        <f t="shared" si="13"/>
        <v>3094.75</v>
      </c>
      <c r="L160" s="86">
        <f t="shared" si="14"/>
        <v>-867.25</v>
      </c>
      <c r="N160">
        <v>10402</v>
      </c>
      <c r="O160" s="84" cm="1">
        <f t="array" ref="O160">SUM(INDEX(_xlfn._xlws.FILTER($B$6:$L$2160, $B$6:$B$2160=N160), 0, 8))</f>
        <v>2713.5</v>
      </c>
      <c r="P160" s="84" cm="1">
        <f t="array" ref="P160">SUM(INDEX(_xlfn._xlws.FILTER($B$6:$L$2160, $B$6:$B$2160=N160), 0, 10))</f>
        <v>3393.5</v>
      </c>
      <c r="Q160" s="84" cm="1">
        <f t="array" ref="Q160">SUM(INDEX(_xlfn._xlws.FILTER($B$6:$L$2160, $B$6:$B$2160=N160), 0, 11))</f>
        <v>-680</v>
      </c>
    </row>
    <row r="161" spans="2:17" x14ac:dyDescent="0.2">
      <c r="B161">
        <v>10305</v>
      </c>
      <c r="C161">
        <v>39</v>
      </c>
      <c r="D161" s="84">
        <v>14.4</v>
      </c>
      <c r="E161">
        <v>30</v>
      </c>
      <c r="F161" s="85">
        <v>0.1</v>
      </c>
      <c r="G161" s="86">
        <f t="shared" si="10"/>
        <v>432</v>
      </c>
      <c r="H161" s="86">
        <f t="shared" si="11"/>
        <v>43.2</v>
      </c>
      <c r="I161" s="86">
        <f t="shared" si="12"/>
        <v>388.8</v>
      </c>
      <c r="J161" s="84">
        <f>VLOOKUP(C161, Products[], 6)</f>
        <v>18</v>
      </c>
      <c r="K161" s="86">
        <f t="shared" si="13"/>
        <v>540</v>
      </c>
      <c r="L161" s="86">
        <f t="shared" si="14"/>
        <v>-151.19999999999999</v>
      </c>
      <c r="N161">
        <v>10403</v>
      </c>
      <c r="O161" s="84" cm="1">
        <f t="array" ref="O161">SUM(INDEX(_xlfn._xlws.FILTER($B$6:$L$2160, $B$6:$B$2160=N161), 0, 8))</f>
        <v>855.01499999999999</v>
      </c>
      <c r="P161" s="84" cm="1">
        <f t="array" ref="P161">SUM(INDEX(_xlfn._xlws.FILTER($B$6:$L$2160, $B$6:$B$2160=N161), 0, 10))</f>
        <v>1258.95</v>
      </c>
      <c r="Q161" s="84" cm="1">
        <f t="array" ref="Q161">SUM(INDEX(_xlfn._xlws.FILTER($B$6:$L$2160, $B$6:$B$2160=N161), 0, 11))</f>
        <v>-403.93499999999995</v>
      </c>
    </row>
    <row r="162" spans="2:17" x14ac:dyDescent="0.2">
      <c r="B162">
        <v>10306</v>
      </c>
      <c r="C162">
        <v>30</v>
      </c>
      <c r="D162" s="84">
        <v>20.7</v>
      </c>
      <c r="E162">
        <v>10</v>
      </c>
      <c r="F162" s="85">
        <v>0</v>
      </c>
      <c r="G162" s="86">
        <f t="shared" si="10"/>
        <v>207</v>
      </c>
      <c r="H162" s="86">
        <f t="shared" si="11"/>
        <v>0</v>
      </c>
      <c r="I162" s="86">
        <f t="shared" si="12"/>
        <v>207</v>
      </c>
      <c r="J162" s="84">
        <f>VLOOKUP(C162, Products[], 6)</f>
        <v>25.89</v>
      </c>
      <c r="K162" s="86">
        <f t="shared" si="13"/>
        <v>258.89999999999998</v>
      </c>
      <c r="L162" s="86">
        <f t="shared" si="14"/>
        <v>-51.899999999999977</v>
      </c>
      <c r="N162">
        <v>10404</v>
      </c>
      <c r="O162" s="84" cm="1">
        <f t="array" ref="O162">SUM(INDEX(_xlfn._xlws.FILTER($B$6:$L$2160, $B$6:$B$2160=N162), 0, 8))</f>
        <v>1591.25</v>
      </c>
      <c r="P162" s="84" cm="1">
        <f t="array" ref="P162">SUM(INDEX(_xlfn._xlws.FILTER($B$6:$L$2160, $B$6:$B$2160=N162), 0, 10))</f>
        <v>2096.9</v>
      </c>
      <c r="Q162" s="84" cm="1">
        <f t="array" ref="Q162">SUM(INDEX(_xlfn._xlws.FILTER($B$6:$L$2160, $B$6:$B$2160=N162), 0, 11))</f>
        <v>-505.65</v>
      </c>
    </row>
    <row r="163" spans="2:17" x14ac:dyDescent="0.2">
      <c r="B163">
        <v>10306</v>
      </c>
      <c r="C163">
        <v>53</v>
      </c>
      <c r="D163" s="84">
        <v>26.2</v>
      </c>
      <c r="E163">
        <v>10</v>
      </c>
      <c r="F163" s="85">
        <v>0</v>
      </c>
      <c r="G163" s="86">
        <f t="shared" si="10"/>
        <v>262</v>
      </c>
      <c r="H163" s="86">
        <f t="shared" si="11"/>
        <v>0</v>
      </c>
      <c r="I163" s="86">
        <f t="shared" si="12"/>
        <v>262</v>
      </c>
      <c r="J163" s="84">
        <f>VLOOKUP(C163, Products[], 6)</f>
        <v>32.799999999999997</v>
      </c>
      <c r="K163" s="86">
        <f t="shared" si="13"/>
        <v>328</v>
      </c>
      <c r="L163" s="86">
        <f t="shared" si="14"/>
        <v>-66</v>
      </c>
      <c r="N163">
        <v>10405</v>
      </c>
      <c r="O163" s="84" cm="1">
        <f t="array" ref="O163">SUM(INDEX(_xlfn._xlws.FILTER($B$6:$L$2160, $B$6:$B$2160=N163), 0, 8))</f>
        <v>400</v>
      </c>
      <c r="P163" s="84" cm="1">
        <f t="array" ref="P163">SUM(INDEX(_xlfn._xlws.FILTER($B$6:$L$2160, $B$6:$B$2160=N163), 0, 10))</f>
        <v>500</v>
      </c>
      <c r="Q163" s="84" cm="1">
        <f t="array" ref="Q163">SUM(INDEX(_xlfn._xlws.FILTER($B$6:$L$2160, $B$6:$B$2160=N163), 0, 11))</f>
        <v>-100</v>
      </c>
    </row>
    <row r="164" spans="2:17" x14ac:dyDescent="0.2">
      <c r="B164">
        <v>10306</v>
      </c>
      <c r="C164">
        <v>54</v>
      </c>
      <c r="D164" s="84">
        <v>5.9</v>
      </c>
      <c r="E164">
        <v>5</v>
      </c>
      <c r="F164" s="85">
        <v>0</v>
      </c>
      <c r="G164" s="86">
        <f t="shared" si="10"/>
        <v>29.5</v>
      </c>
      <c r="H164" s="86">
        <f t="shared" si="11"/>
        <v>0</v>
      </c>
      <c r="I164" s="86">
        <f t="shared" si="12"/>
        <v>29.5</v>
      </c>
      <c r="J164" s="84">
        <f>VLOOKUP(C164, Products[], 6)</f>
        <v>7.45</v>
      </c>
      <c r="K164" s="86">
        <f t="shared" si="13"/>
        <v>37.25</v>
      </c>
      <c r="L164" s="86">
        <f t="shared" si="14"/>
        <v>-7.75</v>
      </c>
      <c r="N164">
        <v>10406</v>
      </c>
      <c r="O164" s="84" cm="1">
        <f t="array" ref="O164">SUM(INDEX(_xlfn._xlws.FILTER($B$6:$L$2160, $B$6:$B$2160=N164), 0, 8))</f>
        <v>1830.7800000000002</v>
      </c>
      <c r="P164" s="84" cm="1">
        <f t="array" ref="P164">SUM(INDEX(_xlfn._xlws.FILTER($B$6:$L$2160, $B$6:$B$2160=N164), 0, 10))</f>
        <v>2527</v>
      </c>
      <c r="Q164" s="84" cm="1">
        <f t="array" ref="Q164">SUM(INDEX(_xlfn._xlws.FILTER($B$6:$L$2160, $B$6:$B$2160=N164), 0, 11))</f>
        <v>-696.22</v>
      </c>
    </row>
    <row r="165" spans="2:17" x14ac:dyDescent="0.2">
      <c r="B165">
        <v>10307</v>
      </c>
      <c r="C165">
        <v>62</v>
      </c>
      <c r="D165" s="84">
        <v>39.4</v>
      </c>
      <c r="E165">
        <v>10</v>
      </c>
      <c r="F165" s="85">
        <v>0</v>
      </c>
      <c r="G165" s="86">
        <f t="shared" si="10"/>
        <v>394</v>
      </c>
      <c r="H165" s="86">
        <f t="shared" si="11"/>
        <v>0</v>
      </c>
      <c r="I165" s="86">
        <f t="shared" si="12"/>
        <v>394</v>
      </c>
      <c r="J165" s="84">
        <f>VLOOKUP(C165, Products[], 6)</f>
        <v>49.3</v>
      </c>
      <c r="K165" s="86">
        <f t="shared" si="13"/>
        <v>493</v>
      </c>
      <c r="L165" s="86">
        <f t="shared" si="14"/>
        <v>-99</v>
      </c>
      <c r="N165">
        <v>10407</v>
      </c>
      <c r="O165" s="84" cm="1">
        <f t="array" ref="O165">SUM(INDEX(_xlfn._xlws.FILTER($B$6:$L$2160, $B$6:$B$2160=N165), 0, 8))</f>
        <v>1194</v>
      </c>
      <c r="P165" s="84" cm="1">
        <f t="array" ref="P165">SUM(INDEX(_xlfn._xlws.FILTER($B$6:$L$2160, $B$6:$B$2160=N165), 0, 10))</f>
        <v>1492.5</v>
      </c>
      <c r="Q165" s="84" cm="1">
        <f t="array" ref="Q165">SUM(INDEX(_xlfn._xlws.FILTER($B$6:$L$2160, $B$6:$B$2160=N165), 0, 11))</f>
        <v>-298.5</v>
      </c>
    </row>
    <row r="166" spans="2:17" x14ac:dyDescent="0.2">
      <c r="B166">
        <v>10307</v>
      </c>
      <c r="C166">
        <v>68</v>
      </c>
      <c r="D166" s="84">
        <v>10</v>
      </c>
      <c r="E166">
        <v>3</v>
      </c>
      <c r="F166" s="85">
        <v>0</v>
      </c>
      <c r="G166" s="86">
        <f t="shared" si="10"/>
        <v>30</v>
      </c>
      <c r="H166" s="86">
        <f t="shared" si="11"/>
        <v>0</v>
      </c>
      <c r="I166" s="86">
        <f t="shared" si="12"/>
        <v>30</v>
      </c>
      <c r="J166" s="84">
        <f>VLOOKUP(C166, Products[], 6)</f>
        <v>12.5</v>
      </c>
      <c r="K166" s="86">
        <f t="shared" si="13"/>
        <v>37.5</v>
      </c>
      <c r="L166" s="86">
        <f t="shared" si="14"/>
        <v>-7.5</v>
      </c>
      <c r="N166">
        <v>10408</v>
      </c>
      <c r="O166" s="84" cm="1">
        <f t="array" ref="O166">SUM(INDEX(_xlfn._xlws.FILTER($B$6:$L$2160, $B$6:$B$2160=N166), 0, 8))</f>
        <v>1622.4</v>
      </c>
      <c r="P166" s="84" cm="1">
        <f t="array" ref="P166">SUM(INDEX(_xlfn._xlws.FILTER($B$6:$L$2160, $B$6:$B$2160=N166), 0, 10))</f>
        <v>2030.2</v>
      </c>
      <c r="Q166" s="84" cm="1">
        <f t="array" ref="Q166">SUM(INDEX(_xlfn._xlws.FILTER($B$6:$L$2160, $B$6:$B$2160=N166), 0, 11))</f>
        <v>-407.8</v>
      </c>
    </row>
    <row r="167" spans="2:17" x14ac:dyDescent="0.2">
      <c r="B167">
        <v>10308</v>
      </c>
      <c r="C167">
        <v>69</v>
      </c>
      <c r="D167" s="84">
        <v>28.8</v>
      </c>
      <c r="E167">
        <v>1</v>
      </c>
      <c r="F167" s="85">
        <v>0</v>
      </c>
      <c r="G167" s="86">
        <f t="shared" si="10"/>
        <v>28.8</v>
      </c>
      <c r="H167" s="86">
        <f t="shared" si="11"/>
        <v>0</v>
      </c>
      <c r="I167" s="86">
        <f t="shared" si="12"/>
        <v>28.8</v>
      </c>
      <c r="J167" s="84">
        <f>VLOOKUP(C167, Products[], 6)</f>
        <v>36</v>
      </c>
      <c r="K167" s="86">
        <f t="shared" si="13"/>
        <v>36</v>
      </c>
      <c r="L167" s="86">
        <f t="shared" si="14"/>
        <v>-7.1999999999999993</v>
      </c>
      <c r="N167">
        <v>10409</v>
      </c>
      <c r="O167" s="84" cm="1">
        <f t="array" ref="O167">SUM(INDEX(_xlfn._xlws.FILTER($B$6:$L$2160, $B$6:$B$2160=N167), 0, 8))</f>
        <v>319.20000000000005</v>
      </c>
      <c r="P167" s="84" cm="1">
        <f t="array" ref="P167">SUM(INDEX(_xlfn._xlws.FILTER($B$6:$L$2160, $B$6:$B$2160=N167), 0, 10))</f>
        <v>399</v>
      </c>
      <c r="Q167" s="84" cm="1">
        <f t="array" ref="Q167">SUM(INDEX(_xlfn._xlws.FILTER($B$6:$L$2160, $B$6:$B$2160=N167), 0, 11))</f>
        <v>-79.799999999999983</v>
      </c>
    </row>
    <row r="168" spans="2:17" x14ac:dyDescent="0.2">
      <c r="B168">
        <v>10308</v>
      </c>
      <c r="C168">
        <v>70</v>
      </c>
      <c r="D168" s="84">
        <v>12</v>
      </c>
      <c r="E168">
        <v>5</v>
      </c>
      <c r="F168" s="85">
        <v>0</v>
      </c>
      <c r="G168" s="86">
        <f t="shared" si="10"/>
        <v>60</v>
      </c>
      <c r="H168" s="86">
        <f t="shared" si="11"/>
        <v>0</v>
      </c>
      <c r="I168" s="86">
        <f t="shared" si="12"/>
        <v>60</v>
      </c>
      <c r="J168" s="84">
        <f>VLOOKUP(C168, Products[], 6)</f>
        <v>15</v>
      </c>
      <c r="K168" s="86">
        <f t="shared" si="13"/>
        <v>75</v>
      </c>
      <c r="L168" s="86">
        <f t="shared" si="14"/>
        <v>-15</v>
      </c>
      <c r="N168">
        <v>10410</v>
      </c>
      <c r="O168" s="84" cm="1">
        <f t="array" ref="O168">SUM(INDEX(_xlfn._xlws.FILTER($B$6:$L$2160, $B$6:$B$2160=N168), 0, 8))</f>
        <v>802</v>
      </c>
      <c r="P168" s="84" cm="1">
        <f t="array" ref="P168">SUM(INDEX(_xlfn._xlws.FILTER($B$6:$L$2160, $B$6:$B$2160=N168), 0, 10))</f>
        <v>1002.5</v>
      </c>
      <c r="Q168" s="84" cm="1">
        <f t="array" ref="Q168">SUM(INDEX(_xlfn._xlws.FILTER($B$6:$L$2160, $B$6:$B$2160=N168), 0, 11))</f>
        <v>-200.5</v>
      </c>
    </row>
    <row r="169" spans="2:17" x14ac:dyDescent="0.2">
      <c r="B169">
        <v>10309</v>
      </c>
      <c r="C169">
        <v>4</v>
      </c>
      <c r="D169" s="84">
        <v>17.600000000000001</v>
      </c>
      <c r="E169">
        <v>20</v>
      </c>
      <c r="F169" s="85">
        <v>0</v>
      </c>
      <c r="G169" s="86">
        <f t="shared" si="10"/>
        <v>352</v>
      </c>
      <c r="H169" s="86">
        <f t="shared" si="11"/>
        <v>0</v>
      </c>
      <c r="I169" s="86">
        <f t="shared" si="12"/>
        <v>352</v>
      </c>
      <c r="J169" s="84">
        <f>VLOOKUP(C169, Products[], 6)</f>
        <v>22</v>
      </c>
      <c r="K169" s="86">
        <f t="shared" si="13"/>
        <v>440</v>
      </c>
      <c r="L169" s="86">
        <f t="shared" si="14"/>
        <v>-88</v>
      </c>
      <c r="N169">
        <v>10411</v>
      </c>
      <c r="O169" s="84" cm="1">
        <f t="array" ref="O169">SUM(INDEX(_xlfn._xlws.FILTER($B$6:$L$2160, $B$6:$B$2160=N169), 0, 8))</f>
        <v>966.8</v>
      </c>
      <c r="P169" s="84" cm="1">
        <f t="array" ref="P169">SUM(INDEX(_xlfn._xlws.FILTER($B$6:$L$2160, $B$6:$B$2160=N169), 0, 10))</f>
        <v>1514.25</v>
      </c>
      <c r="Q169" s="84" cm="1">
        <f t="array" ref="Q169">SUM(INDEX(_xlfn._xlws.FILTER($B$6:$L$2160, $B$6:$B$2160=N169), 0, 11))</f>
        <v>-547.45000000000005</v>
      </c>
    </row>
    <row r="170" spans="2:17" x14ac:dyDescent="0.2">
      <c r="B170">
        <v>10309</v>
      </c>
      <c r="C170">
        <v>6</v>
      </c>
      <c r="D170" s="84">
        <v>20</v>
      </c>
      <c r="E170">
        <v>30</v>
      </c>
      <c r="F170" s="85">
        <v>0</v>
      </c>
      <c r="G170" s="86">
        <f t="shared" si="10"/>
        <v>600</v>
      </c>
      <c r="H170" s="86">
        <f t="shared" si="11"/>
        <v>0</v>
      </c>
      <c r="I170" s="86">
        <f t="shared" si="12"/>
        <v>600</v>
      </c>
      <c r="J170" s="84">
        <f>VLOOKUP(C170, Products[], 6)</f>
        <v>25</v>
      </c>
      <c r="K170" s="86">
        <f t="shared" si="13"/>
        <v>750</v>
      </c>
      <c r="L170" s="86">
        <f t="shared" si="14"/>
        <v>-150</v>
      </c>
      <c r="N170">
        <v>10412</v>
      </c>
      <c r="O170" s="84" cm="1">
        <f t="array" ref="O170">SUM(INDEX(_xlfn._xlws.FILTER($B$6:$L$2160, $B$6:$B$2160=N170), 0, 8))</f>
        <v>334.8</v>
      </c>
      <c r="P170" s="84" cm="1">
        <f t="array" ref="P170">SUM(INDEX(_xlfn._xlws.FILTER($B$6:$L$2160, $B$6:$B$2160=N170), 0, 10))</f>
        <v>465</v>
      </c>
      <c r="Q170" s="84" cm="1">
        <f t="array" ref="Q170">SUM(INDEX(_xlfn._xlws.FILTER($B$6:$L$2160, $B$6:$B$2160=N170), 0, 11))</f>
        <v>-130.19999999999999</v>
      </c>
    </row>
    <row r="171" spans="2:17" x14ac:dyDescent="0.2">
      <c r="B171">
        <v>10309</v>
      </c>
      <c r="C171">
        <v>42</v>
      </c>
      <c r="D171" s="84">
        <v>11.2</v>
      </c>
      <c r="E171">
        <v>2</v>
      </c>
      <c r="F171" s="85">
        <v>0</v>
      </c>
      <c r="G171" s="86">
        <f t="shared" si="10"/>
        <v>22.4</v>
      </c>
      <c r="H171" s="86">
        <f t="shared" si="11"/>
        <v>0</v>
      </c>
      <c r="I171" s="86">
        <f t="shared" si="12"/>
        <v>22.4</v>
      </c>
      <c r="J171" s="84">
        <f>VLOOKUP(C171, Products[], 6)</f>
        <v>14</v>
      </c>
      <c r="K171" s="86">
        <f t="shared" si="13"/>
        <v>28</v>
      </c>
      <c r="L171" s="86">
        <f t="shared" si="14"/>
        <v>-5.6000000000000014</v>
      </c>
      <c r="N171">
        <v>10413</v>
      </c>
      <c r="O171" s="84" cm="1">
        <f t="array" ref="O171">SUM(INDEX(_xlfn._xlws.FILTER($B$6:$L$2160, $B$6:$B$2160=N171), 0, 8))</f>
        <v>2123.1999999999998</v>
      </c>
      <c r="P171" s="84" cm="1">
        <f t="array" ref="P171">SUM(INDEX(_xlfn._xlws.FILTER($B$6:$L$2160, $B$6:$B$2160=N171), 0, 10))</f>
        <v>2656</v>
      </c>
      <c r="Q171" s="84" cm="1">
        <f t="array" ref="Q171">SUM(INDEX(_xlfn._xlws.FILTER($B$6:$L$2160, $B$6:$B$2160=N171), 0, 11))</f>
        <v>-532.79999999999995</v>
      </c>
    </row>
    <row r="172" spans="2:17" x14ac:dyDescent="0.2">
      <c r="B172">
        <v>10309</v>
      </c>
      <c r="C172">
        <v>43</v>
      </c>
      <c r="D172" s="84">
        <v>36.799999999999997</v>
      </c>
      <c r="E172">
        <v>20</v>
      </c>
      <c r="F172" s="85">
        <v>0</v>
      </c>
      <c r="G172" s="86">
        <f t="shared" si="10"/>
        <v>736</v>
      </c>
      <c r="H172" s="86">
        <f t="shared" si="11"/>
        <v>0</v>
      </c>
      <c r="I172" s="86">
        <f t="shared" si="12"/>
        <v>736</v>
      </c>
      <c r="J172" s="84">
        <f>VLOOKUP(C172, Products[], 6)</f>
        <v>46</v>
      </c>
      <c r="K172" s="86">
        <f t="shared" si="13"/>
        <v>920</v>
      </c>
      <c r="L172" s="86">
        <f t="shared" si="14"/>
        <v>-184</v>
      </c>
      <c r="N172">
        <v>10414</v>
      </c>
      <c r="O172" s="84" cm="1">
        <f t="array" ref="O172">SUM(INDEX(_xlfn._xlws.FILTER($B$6:$L$2160, $B$6:$B$2160=N172), 0, 8))</f>
        <v>224.83</v>
      </c>
      <c r="P172" s="84" cm="1">
        <f t="array" ref="P172">SUM(INDEX(_xlfn._xlws.FILTER($B$6:$L$2160, $B$6:$B$2160=N172), 0, 10))</f>
        <v>290.60000000000002</v>
      </c>
      <c r="Q172" s="84" cm="1">
        <f t="array" ref="Q172">SUM(INDEX(_xlfn._xlws.FILTER($B$6:$L$2160, $B$6:$B$2160=N172), 0, 11))</f>
        <v>-65.769999999999982</v>
      </c>
    </row>
    <row r="173" spans="2:17" x14ac:dyDescent="0.2">
      <c r="B173">
        <v>10309</v>
      </c>
      <c r="C173">
        <v>71</v>
      </c>
      <c r="D173" s="84">
        <v>17.2</v>
      </c>
      <c r="E173">
        <v>3</v>
      </c>
      <c r="F173" s="85">
        <v>0</v>
      </c>
      <c r="G173" s="86">
        <f t="shared" si="10"/>
        <v>51.599999999999994</v>
      </c>
      <c r="H173" s="86">
        <f t="shared" si="11"/>
        <v>0</v>
      </c>
      <c r="I173" s="86">
        <f t="shared" si="12"/>
        <v>51.599999999999994</v>
      </c>
      <c r="J173" s="84">
        <f>VLOOKUP(C173, Products[], 6)</f>
        <v>21.5</v>
      </c>
      <c r="K173" s="86">
        <f t="shared" si="13"/>
        <v>64.5</v>
      </c>
      <c r="L173" s="86">
        <f t="shared" si="14"/>
        <v>-12.900000000000006</v>
      </c>
      <c r="N173">
        <v>10415</v>
      </c>
      <c r="O173" s="84" cm="1">
        <f t="array" ref="O173">SUM(INDEX(_xlfn._xlws.FILTER($B$6:$L$2160, $B$6:$B$2160=N173), 0, 8))</f>
        <v>102.4</v>
      </c>
      <c r="P173" s="84" cm="1">
        <f t="array" ref="P173">SUM(INDEX(_xlfn._xlws.FILTER($B$6:$L$2160, $B$6:$B$2160=N173), 0, 10))</f>
        <v>128</v>
      </c>
      <c r="Q173" s="84" cm="1">
        <f t="array" ref="Q173">SUM(INDEX(_xlfn._xlws.FILTER($B$6:$L$2160, $B$6:$B$2160=N173), 0, 11))</f>
        <v>-25.6</v>
      </c>
    </row>
    <row r="174" spans="2:17" x14ac:dyDescent="0.2">
      <c r="B174">
        <v>10310</v>
      </c>
      <c r="C174">
        <v>16</v>
      </c>
      <c r="D174" s="84">
        <v>13.9</v>
      </c>
      <c r="E174">
        <v>10</v>
      </c>
      <c r="F174" s="85">
        <v>0</v>
      </c>
      <c r="G174" s="86">
        <f t="shared" si="10"/>
        <v>139</v>
      </c>
      <c r="H174" s="86">
        <f t="shared" si="11"/>
        <v>0</v>
      </c>
      <c r="I174" s="86">
        <f t="shared" si="12"/>
        <v>139</v>
      </c>
      <c r="J174" s="84">
        <f>VLOOKUP(C174, Products[], 6)</f>
        <v>17.45</v>
      </c>
      <c r="K174" s="86">
        <f t="shared" si="13"/>
        <v>174.5</v>
      </c>
      <c r="L174" s="86">
        <f t="shared" si="14"/>
        <v>-35.5</v>
      </c>
      <c r="N174">
        <v>10416</v>
      </c>
      <c r="O174" s="84" cm="1">
        <f t="array" ref="O174">SUM(INDEX(_xlfn._xlws.FILTER($B$6:$L$2160, $B$6:$B$2160=N174), 0, 8))</f>
        <v>720</v>
      </c>
      <c r="P174" s="84" cm="1">
        <f t="array" ref="P174">SUM(INDEX(_xlfn._xlws.FILTER($B$6:$L$2160, $B$6:$B$2160=N174), 0, 10))</f>
        <v>902</v>
      </c>
      <c r="Q174" s="84" cm="1">
        <f t="array" ref="Q174">SUM(INDEX(_xlfn._xlws.FILTER($B$6:$L$2160, $B$6:$B$2160=N174), 0, 11))</f>
        <v>-182</v>
      </c>
    </row>
    <row r="175" spans="2:17" x14ac:dyDescent="0.2">
      <c r="B175">
        <v>10310</v>
      </c>
      <c r="C175">
        <v>62</v>
      </c>
      <c r="D175" s="84">
        <v>39.4</v>
      </c>
      <c r="E175">
        <v>5</v>
      </c>
      <c r="F175" s="85">
        <v>0</v>
      </c>
      <c r="G175" s="86">
        <f t="shared" si="10"/>
        <v>197</v>
      </c>
      <c r="H175" s="86">
        <f t="shared" si="11"/>
        <v>0</v>
      </c>
      <c r="I175" s="86">
        <f t="shared" si="12"/>
        <v>197</v>
      </c>
      <c r="J175" s="84">
        <f>VLOOKUP(C175, Products[], 6)</f>
        <v>49.3</v>
      </c>
      <c r="K175" s="86">
        <f t="shared" si="13"/>
        <v>246.5</v>
      </c>
      <c r="L175" s="86">
        <f t="shared" si="14"/>
        <v>-49.5</v>
      </c>
      <c r="N175">
        <v>10417</v>
      </c>
      <c r="O175" s="84" cm="1">
        <f t="array" ref="O175">SUM(INDEX(_xlfn._xlws.FILTER($B$6:$L$2160, $B$6:$B$2160=N175), 0, 8))</f>
        <v>11188.4</v>
      </c>
      <c r="P175" s="84" cm="1">
        <f t="array" ref="P175">SUM(INDEX(_xlfn._xlws.FILTER($B$6:$L$2160, $B$6:$B$2160=N175), 0, 10))</f>
        <v>14104</v>
      </c>
      <c r="Q175" s="84" cm="1">
        <f t="array" ref="Q175">SUM(INDEX(_xlfn._xlws.FILTER($B$6:$L$2160, $B$6:$B$2160=N175), 0, 11))</f>
        <v>-2915.6</v>
      </c>
    </row>
    <row r="176" spans="2:17" x14ac:dyDescent="0.2">
      <c r="B176">
        <v>10311</v>
      </c>
      <c r="C176">
        <v>42</v>
      </c>
      <c r="D176" s="84">
        <v>11.2</v>
      </c>
      <c r="E176">
        <v>6</v>
      </c>
      <c r="F176" s="85">
        <v>0</v>
      </c>
      <c r="G176" s="86">
        <f t="shared" si="10"/>
        <v>67.199999999999989</v>
      </c>
      <c r="H176" s="86">
        <f t="shared" si="11"/>
        <v>0</v>
      </c>
      <c r="I176" s="86">
        <f t="shared" si="12"/>
        <v>67.199999999999989</v>
      </c>
      <c r="J176" s="84">
        <f>VLOOKUP(C176, Products[], 6)</f>
        <v>14</v>
      </c>
      <c r="K176" s="86">
        <f t="shared" si="13"/>
        <v>84</v>
      </c>
      <c r="L176" s="86">
        <f t="shared" si="14"/>
        <v>-16.800000000000011</v>
      </c>
      <c r="N176">
        <v>10418</v>
      </c>
      <c r="O176" s="84" cm="1">
        <f t="array" ref="O176">SUM(INDEX(_xlfn._xlws.FILTER($B$6:$L$2160, $B$6:$B$2160=N176), 0, 8))</f>
        <v>1814.8</v>
      </c>
      <c r="P176" s="84" cm="1">
        <f t="array" ref="P176">SUM(INDEX(_xlfn._xlws.FILTER($B$6:$L$2160, $B$6:$B$2160=N176), 0, 10))</f>
        <v>2268.5</v>
      </c>
      <c r="Q176" s="84" cm="1">
        <f t="array" ref="Q176">SUM(INDEX(_xlfn._xlws.FILTER($B$6:$L$2160, $B$6:$B$2160=N176), 0, 11))</f>
        <v>-453.7</v>
      </c>
    </row>
    <row r="177" spans="2:17" x14ac:dyDescent="0.2">
      <c r="B177">
        <v>10311</v>
      </c>
      <c r="C177">
        <v>69</v>
      </c>
      <c r="D177" s="84">
        <v>28.8</v>
      </c>
      <c r="E177">
        <v>7</v>
      </c>
      <c r="F177" s="85">
        <v>0</v>
      </c>
      <c r="G177" s="86">
        <f t="shared" si="10"/>
        <v>201.6</v>
      </c>
      <c r="H177" s="86">
        <f t="shared" si="11"/>
        <v>0</v>
      </c>
      <c r="I177" s="86">
        <f t="shared" si="12"/>
        <v>201.6</v>
      </c>
      <c r="J177" s="84">
        <f>VLOOKUP(C177, Products[], 6)</f>
        <v>36</v>
      </c>
      <c r="K177" s="86">
        <f t="shared" si="13"/>
        <v>252</v>
      </c>
      <c r="L177" s="86">
        <f t="shared" si="14"/>
        <v>-50.400000000000006</v>
      </c>
      <c r="N177">
        <v>10419</v>
      </c>
      <c r="O177" s="84" cm="1">
        <f t="array" ref="O177">SUM(INDEX(_xlfn._xlws.FILTER($B$6:$L$2160, $B$6:$B$2160=N177), 0, 8))</f>
        <v>2097.6000000000004</v>
      </c>
      <c r="P177" s="84" cm="1">
        <f t="array" ref="P177">SUM(INDEX(_xlfn._xlws.FILTER($B$6:$L$2160, $B$6:$B$2160=N177), 0, 10))</f>
        <v>2760</v>
      </c>
      <c r="Q177" s="84" cm="1">
        <f t="array" ref="Q177">SUM(INDEX(_xlfn._xlws.FILTER($B$6:$L$2160, $B$6:$B$2160=N177), 0, 11))</f>
        <v>-662.39999999999986</v>
      </c>
    </row>
    <row r="178" spans="2:17" x14ac:dyDescent="0.2">
      <c r="B178">
        <v>10312</v>
      </c>
      <c r="C178">
        <v>28</v>
      </c>
      <c r="D178" s="84">
        <v>36.4</v>
      </c>
      <c r="E178">
        <v>4</v>
      </c>
      <c r="F178" s="85">
        <v>0</v>
      </c>
      <c r="G178" s="86">
        <f t="shared" si="10"/>
        <v>145.6</v>
      </c>
      <c r="H178" s="86">
        <f t="shared" si="11"/>
        <v>0</v>
      </c>
      <c r="I178" s="86">
        <f t="shared" si="12"/>
        <v>145.6</v>
      </c>
      <c r="J178" s="84">
        <f>VLOOKUP(C178, Products[], 6)</f>
        <v>45.6</v>
      </c>
      <c r="K178" s="86">
        <f t="shared" si="13"/>
        <v>182.4</v>
      </c>
      <c r="L178" s="86">
        <f t="shared" si="14"/>
        <v>-36.800000000000011</v>
      </c>
      <c r="N178">
        <v>10420</v>
      </c>
      <c r="O178" s="84" cm="1">
        <f t="array" ref="O178">SUM(INDEX(_xlfn._xlws.FILTER($B$6:$L$2160, $B$6:$B$2160=N178), 0, 8))</f>
        <v>1707.8400000000001</v>
      </c>
      <c r="P178" s="84" cm="1">
        <f t="array" ref="P178">SUM(INDEX(_xlfn._xlws.FILTER($B$6:$L$2160, $B$6:$B$2160=N178), 0, 10))</f>
        <v>2372</v>
      </c>
      <c r="Q178" s="84" cm="1">
        <f t="array" ref="Q178">SUM(INDEX(_xlfn._xlws.FILTER($B$6:$L$2160, $B$6:$B$2160=N178), 0, 11))</f>
        <v>-664.16000000000008</v>
      </c>
    </row>
    <row r="179" spans="2:17" x14ac:dyDescent="0.2">
      <c r="B179">
        <v>10312</v>
      </c>
      <c r="C179">
        <v>43</v>
      </c>
      <c r="D179" s="84">
        <v>36.799999999999997</v>
      </c>
      <c r="E179">
        <v>24</v>
      </c>
      <c r="F179" s="85">
        <v>0</v>
      </c>
      <c r="G179" s="86">
        <f t="shared" si="10"/>
        <v>883.19999999999993</v>
      </c>
      <c r="H179" s="86">
        <f t="shared" si="11"/>
        <v>0</v>
      </c>
      <c r="I179" s="86">
        <f t="shared" si="12"/>
        <v>883.19999999999993</v>
      </c>
      <c r="J179" s="84">
        <f>VLOOKUP(C179, Products[], 6)</f>
        <v>46</v>
      </c>
      <c r="K179" s="86">
        <f t="shared" si="13"/>
        <v>1104</v>
      </c>
      <c r="L179" s="86">
        <f t="shared" si="14"/>
        <v>-220.80000000000007</v>
      </c>
      <c r="N179">
        <v>10421</v>
      </c>
      <c r="O179" s="84" cm="1">
        <f t="array" ref="O179">SUM(INDEX(_xlfn._xlws.FILTER($B$6:$L$2160, $B$6:$B$2160=N179), 0, 8))</f>
        <v>1194.2700000000002</v>
      </c>
      <c r="P179" s="84" cm="1">
        <f t="array" ref="P179">SUM(INDEX(_xlfn._xlws.FILTER($B$6:$L$2160, $B$6:$B$2160=N179), 0, 10))</f>
        <v>1595.6999999999998</v>
      </c>
      <c r="Q179" s="84" cm="1">
        <f t="array" ref="Q179">SUM(INDEX(_xlfn._xlws.FILTER($B$6:$L$2160, $B$6:$B$2160=N179), 0, 11))</f>
        <v>-401.42999999999995</v>
      </c>
    </row>
    <row r="180" spans="2:17" x14ac:dyDescent="0.2">
      <c r="B180">
        <v>10312</v>
      </c>
      <c r="C180">
        <v>53</v>
      </c>
      <c r="D180" s="84">
        <v>26.2</v>
      </c>
      <c r="E180">
        <v>20</v>
      </c>
      <c r="F180" s="85">
        <v>0</v>
      </c>
      <c r="G180" s="86">
        <f t="shared" si="10"/>
        <v>524</v>
      </c>
      <c r="H180" s="86">
        <f t="shared" si="11"/>
        <v>0</v>
      </c>
      <c r="I180" s="86">
        <f t="shared" si="12"/>
        <v>524</v>
      </c>
      <c r="J180" s="84">
        <f>VLOOKUP(C180, Products[], 6)</f>
        <v>32.799999999999997</v>
      </c>
      <c r="K180" s="86">
        <f t="shared" si="13"/>
        <v>656</v>
      </c>
      <c r="L180" s="86">
        <f t="shared" si="14"/>
        <v>-132</v>
      </c>
      <c r="N180">
        <v>10422</v>
      </c>
      <c r="O180" s="84" cm="1">
        <f t="array" ref="O180">SUM(INDEX(_xlfn._xlws.FILTER($B$6:$L$2160, $B$6:$B$2160=N180), 0, 8))</f>
        <v>49.8</v>
      </c>
      <c r="P180" s="84" cm="1">
        <f t="array" ref="P180">SUM(INDEX(_xlfn._xlws.FILTER($B$6:$L$2160, $B$6:$B$2160=N180), 0, 10))</f>
        <v>62.46</v>
      </c>
      <c r="Q180" s="84" cm="1">
        <f t="array" ref="Q180">SUM(INDEX(_xlfn._xlws.FILTER($B$6:$L$2160, $B$6:$B$2160=N180), 0, 11))</f>
        <v>-12.660000000000004</v>
      </c>
    </row>
    <row r="181" spans="2:17" x14ac:dyDescent="0.2">
      <c r="B181">
        <v>10312</v>
      </c>
      <c r="C181">
        <v>75</v>
      </c>
      <c r="D181" s="84">
        <v>6.2</v>
      </c>
      <c r="E181">
        <v>10</v>
      </c>
      <c r="F181" s="85">
        <v>0</v>
      </c>
      <c r="G181" s="86">
        <f t="shared" si="10"/>
        <v>62</v>
      </c>
      <c r="H181" s="86">
        <f t="shared" si="11"/>
        <v>0</v>
      </c>
      <c r="I181" s="86">
        <f t="shared" si="12"/>
        <v>62</v>
      </c>
      <c r="J181" s="84">
        <f>VLOOKUP(C181, Products[], 6)</f>
        <v>7.75</v>
      </c>
      <c r="K181" s="86">
        <f t="shared" si="13"/>
        <v>77.5</v>
      </c>
      <c r="L181" s="86">
        <f t="shared" si="14"/>
        <v>-15.5</v>
      </c>
      <c r="N181">
        <v>10423</v>
      </c>
      <c r="O181" s="84" cm="1">
        <f t="array" ref="O181">SUM(INDEX(_xlfn._xlws.FILTER($B$6:$L$2160, $B$6:$B$2160=N181), 0, 8))</f>
        <v>1020</v>
      </c>
      <c r="P181" s="84" cm="1">
        <f t="array" ref="P181">SUM(INDEX(_xlfn._xlws.FILTER($B$6:$L$2160, $B$6:$B$2160=N181), 0, 10))</f>
        <v>1275</v>
      </c>
      <c r="Q181" s="84" cm="1">
        <f t="array" ref="Q181">SUM(INDEX(_xlfn._xlws.FILTER($B$6:$L$2160, $B$6:$B$2160=N181), 0, 11))</f>
        <v>-255</v>
      </c>
    </row>
    <row r="182" spans="2:17" x14ac:dyDescent="0.2">
      <c r="B182">
        <v>10313</v>
      </c>
      <c r="C182">
        <v>36</v>
      </c>
      <c r="D182" s="84">
        <v>15.2</v>
      </c>
      <c r="E182">
        <v>12</v>
      </c>
      <c r="F182" s="85">
        <v>0</v>
      </c>
      <c r="G182" s="86">
        <f t="shared" si="10"/>
        <v>182.39999999999998</v>
      </c>
      <c r="H182" s="86">
        <f t="shared" si="11"/>
        <v>0</v>
      </c>
      <c r="I182" s="86">
        <f t="shared" si="12"/>
        <v>182.39999999999998</v>
      </c>
      <c r="J182" s="84">
        <f>VLOOKUP(C182, Products[], 6)</f>
        <v>19</v>
      </c>
      <c r="K182" s="86">
        <f t="shared" si="13"/>
        <v>228</v>
      </c>
      <c r="L182" s="86">
        <f t="shared" si="14"/>
        <v>-45.600000000000023</v>
      </c>
      <c r="N182">
        <v>10424</v>
      </c>
      <c r="O182" s="84" cm="1">
        <f t="array" ref="O182">SUM(INDEX(_xlfn._xlws.FILTER($B$6:$L$2160, $B$6:$B$2160=N182), 0, 8))</f>
        <v>9194.5600000000013</v>
      </c>
      <c r="P182" s="84" cm="1">
        <f t="array" ref="P182">SUM(INDEX(_xlfn._xlws.FILTER($B$6:$L$2160, $B$6:$B$2160=N182), 0, 10))</f>
        <v>14366.5</v>
      </c>
      <c r="Q182" s="84" cm="1">
        <f t="array" ref="Q182">SUM(INDEX(_xlfn._xlws.FILTER($B$6:$L$2160, $B$6:$B$2160=N182), 0, 11))</f>
        <v>-5171.9399999999996</v>
      </c>
    </row>
    <row r="183" spans="2:17" x14ac:dyDescent="0.2">
      <c r="B183">
        <v>10314</v>
      </c>
      <c r="C183">
        <v>32</v>
      </c>
      <c r="D183" s="84">
        <v>25.6</v>
      </c>
      <c r="E183">
        <v>40</v>
      </c>
      <c r="F183" s="85">
        <v>0.1</v>
      </c>
      <c r="G183" s="86">
        <f t="shared" si="10"/>
        <v>1024</v>
      </c>
      <c r="H183" s="86">
        <f t="shared" si="11"/>
        <v>102.4</v>
      </c>
      <c r="I183" s="86">
        <f t="shared" si="12"/>
        <v>921.6</v>
      </c>
      <c r="J183" s="84">
        <f>VLOOKUP(C183, Products[], 6)</f>
        <v>32</v>
      </c>
      <c r="K183" s="86">
        <f t="shared" si="13"/>
        <v>1280</v>
      </c>
      <c r="L183" s="86">
        <f t="shared" si="14"/>
        <v>-358.4</v>
      </c>
      <c r="N183">
        <v>10425</v>
      </c>
      <c r="O183" s="84" cm="1">
        <f t="array" ref="O183">SUM(INDEX(_xlfn._xlws.FILTER($B$6:$L$2160, $B$6:$B$2160=N183), 0, 8))</f>
        <v>360</v>
      </c>
      <c r="P183" s="84" cm="1">
        <f t="array" ref="P183">SUM(INDEX(_xlfn._xlws.FILTER($B$6:$L$2160, $B$6:$B$2160=N183), 0, 10))</f>
        <v>600</v>
      </c>
      <c r="Q183" s="84" cm="1">
        <f t="array" ref="Q183">SUM(INDEX(_xlfn._xlws.FILTER($B$6:$L$2160, $B$6:$B$2160=N183), 0, 11))</f>
        <v>-240</v>
      </c>
    </row>
    <row r="184" spans="2:17" x14ac:dyDescent="0.2">
      <c r="B184">
        <v>10314</v>
      </c>
      <c r="C184">
        <v>58</v>
      </c>
      <c r="D184" s="84">
        <v>10.6</v>
      </c>
      <c r="E184">
        <v>30</v>
      </c>
      <c r="F184" s="85">
        <v>0.1</v>
      </c>
      <c r="G184" s="86">
        <f t="shared" si="10"/>
        <v>318</v>
      </c>
      <c r="H184" s="86">
        <f t="shared" si="11"/>
        <v>31.8</v>
      </c>
      <c r="I184" s="86">
        <f t="shared" si="12"/>
        <v>286.2</v>
      </c>
      <c r="J184" s="84">
        <f>VLOOKUP(C184, Products[], 6)</f>
        <v>13.25</v>
      </c>
      <c r="K184" s="86">
        <f t="shared" si="13"/>
        <v>397.5</v>
      </c>
      <c r="L184" s="86">
        <f t="shared" si="14"/>
        <v>-111.30000000000001</v>
      </c>
      <c r="N184">
        <v>10426</v>
      </c>
      <c r="O184" s="84" cm="1">
        <f t="array" ref="O184">SUM(INDEX(_xlfn._xlws.FILTER($B$6:$L$2160, $B$6:$B$2160=N184), 0, 8))</f>
        <v>338.20000000000005</v>
      </c>
      <c r="P184" s="84" cm="1">
        <f t="array" ref="P184">SUM(INDEX(_xlfn._xlws.FILTER($B$6:$L$2160, $B$6:$B$2160=N184), 0, 10))</f>
        <v>422.75</v>
      </c>
      <c r="Q184" s="84" cm="1">
        <f t="array" ref="Q184">SUM(INDEX(_xlfn._xlws.FILTER($B$6:$L$2160, $B$6:$B$2160=N184), 0, 11))</f>
        <v>-84.549999999999983</v>
      </c>
    </row>
    <row r="185" spans="2:17" x14ac:dyDescent="0.2">
      <c r="B185">
        <v>10314</v>
      </c>
      <c r="C185">
        <v>62</v>
      </c>
      <c r="D185" s="84">
        <v>39.4</v>
      </c>
      <c r="E185">
        <v>25</v>
      </c>
      <c r="F185" s="85">
        <v>0.1</v>
      </c>
      <c r="G185" s="86">
        <f t="shared" si="10"/>
        <v>985</v>
      </c>
      <c r="H185" s="86">
        <f t="shared" si="11"/>
        <v>98.5</v>
      </c>
      <c r="I185" s="86">
        <f t="shared" si="12"/>
        <v>886.5</v>
      </c>
      <c r="J185" s="84">
        <f>VLOOKUP(C185, Products[], 6)</f>
        <v>49.3</v>
      </c>
      <c r="K185" s="86">
        <f t="shared" si="13"/>
        <v>1232.5</v>
      </c>
      <c r="L185" s="86">
        <f t="shared" si="14"/>
        <v>-346</v>
      </c>
      <c r="N185">
        <v>10427</v>
      </c>
      <c r="O185" s="84" cm="1">
        <f t="array" ref="O185">SUM(INDEX(_xlfn._xlws.FILTER($B$6:$L$2160, $B$6:$B$2160=N185), 0, 8))</f>
        <v>651</v>
      </c>
      <c r="P185" s="84" cm="1">
        <f t="array" ref="P185">SUM(INDEX(_xlfn._xlws.FILTER($B$6:$L$2160, $B$6:$B$2160=N185), 0, 10))</f>
        <v>813.75</v>
      </c>
      <c r="Q185" s="84" cm="1">
        <f t="array" ref="Q185">SUM(INDEX(_xlfn._xlws.FILTER($B$6:$L$2160, $B$6:$B$2160=N185), 0, 11))</f>
        <v>-162.75</v>
      </c>
    </row>
    <row r="186" spans="2:17" x14ac:dyDescent="0.2">
      <c r="B186">
        <v>10315</v>
      </c>
      <c r="C186">
        <v>34</v>
      </c>
      <c r="D186" s="84">
        <v>11.2</v>
      </c>
      <c r="E186">
        <v>14</v>
      </c>
      <c r="F186" s="85">
        <v>0</v>
      </c>
      <c r="G186" s="86">
        <f t="shared" si="10"/>
        <v>156.79999999999998</v>
      </c>
      <c r="H186" s="86">
        <f t="shared" si="11"/>
        <v>0</v>
      </c>
      <c r="I186" s="86">
        <f t="shared" si="12"/>
        <v>156.79999999999998</v>
      </c>
      <c r="J186" s="84">
        <f>VLOOKUP(C186, Products[], 6)</f>
        <v>14</v>
      </c>
      <c r="K186" s="86">
        <f t="shared" si="13"/>
        <v>196</v>
      </c>
      <c r="L186" s="86">
        <f t="shared" si="14"/>
        <v>-39.200000000000017</v>
      </c>
      <c r="N186">
        <v>10428</v>
      </c>
      <c r="O186" s="84" cm="1">
        <f t="array" ref="O186">SUM(INDEX(_xlfn._xlws.FILTER($B$6:$L$2160, $B$6:$B$2160=N186), 0, 8))</f>
        <v>192</v>
      </c>
      <c r="P186" s="84" cm="1">
        <f t="array" ref="P186">SUM(INDEX(_xlfn._xlws.FILTER($B$6:$L$2160, $B$6:$B$2160=N186), 0, 10))</f>
        <v>240</v>
      </c>
      <c r="Q186" s="84" cm="1">
        <f t="array" ref="Q186">SUM(INDEX(_xlfn._xlws.FILTER($B$6:$L$2160, $B$6:$B$2160=N186), 0, 11))</f>
        <v>-48</v>
      </c>
    </row>
    <row r="187" spans="2:17" x14ac:dyDescent="0.2">
      <c r="B187">
        <v>10315</v>
      </c>
      <c r="C187">
        <v>70</v>
      </c>
      <c r="D187" s="84">
        <v>12</v>
      </c>
      <c r="E187">
        <v>30</v>
      </c>
      <c r="F187" s="85">
        <v>0</v>
      </c>
      <c r="G187" s="86">
        <f t="shared" si="10"/>
        <v>360</v>
      </c>
      <c r="H187" s="86">
        <f t="shared" si="11"/>
        <v>0</v>
      </c>
      <c r="I187" s="86">
        <f t="shared" si="12"/>
        <v>360</v>
      </c>
      <c r="J187" s="84">
        <f>VLOOKUP(C187, Products[], 6)</f>
        <v>15</v>
      </c>
      <c r="K187" s="86">
        <f t="shared" si="13"/>
        <v>450</v>
      </c>
      <c r="L187" s="86">
        <f t="shared" si="14"/>
        <v>-90</v>
      </c>
      <c r="N187">
        <v>10429</v>
      </c>
      <c r="O187" s="84" cm="1">
        <f t="array" ref="O187">SUM(INDEX(_xlfn._xlws.FILTER($B$6:$L$2160, $B$6:$B$2160=N187), 0, 8))</f>
        <v>1441.375</v>
      </c>
      <c r="P187" s="84" cm="1">
        <f t="array" ref="P187">SUM(INDEX(_xlfn._xlws.FILTER($B$6:$L$2160, $B$6:$B$2160=N187), 0, 10))</f>
        <v>2186.5</v>
      </c>
      <c r="Q187" s="84" cm="1">
        <f t="array" ref="Q187">SUM(INDEX(_xlfn._xlws.FILTER($B$6:$L$2160, $B$6:$B$2160=N187), 0, 11))</f>
        <v>-745.125</v>
      </c>
    </row>
    <row r="188" spans="2:17" x14ac:dyDescent="0.2">
      <c r="B188">
        <v>10316</v>
      </c>
      <c r="C188">
        <v>41</v>
      </c>
      <c r="D188" s="84">
        <v>7.7</v>
      </c>
      <c r="E188">
        <v>10</v>
      </c>
      <c r="F188" s="85">
        <v>0</v>
      </c>
      <c r="G188" s="86">
        <f t="shared" si="10"/>
        <v>77</v>
      </c>
      <c r="H188" s="86">
        <f t="shared" si="11"/>
        <v>0</v>
      </c>
      <c r="I188" s="86">
        <f t="shared" si="12"/>
        <v>77</v>
      </c>
      <c r="J188" s="84">
        <f>VLOOKUP(C188, Products[], 6)</f>
        <v>9.65</v>
      </c>
      <c r="K188" s="86">
        <f t="shared" si="13"/>
        <v>96.5</v>
      </c>
      <c r="L188" s="86">
        <f t="shared" si="14"/>
        <v>-19.5</v>
      </c>
      <c r="N188">
        <v>10430</v>
      </c>
      <c r="O188" s="84" cm="1">
        <f t="array" ref="O188">SUM(INDEX(_xlfn._xlws.FILTER($B$6:$L$2160, $B$6:$B$2160=N188), 0, 8))</f>
        <v>4899.2</v>
      </c>
      <c r="P188" s="84" cm="1">
        <f t="array" ref="P188">SUM(INDEX(_xlfn._xlws.FILTER($B$6:$L$2160, $B$6:$B$2160=N188), 0, 10))</f>
        <v>7245</v>
      </c>
      <c r="Q188" s="84" cm="1">
        <f t="array" ref="Q188">SUM(INDEX(_xlfn._xlws.FILTER($B$6:$L$2160, $B$6:$B$2160=N188), 0, 11))</f>
        <v>-2345.8000000000002</v>
      </c>
    </row>
    <row r="189" spans="2:17" x14ac:dyDescent="0.2">
      <c r="B189">
        <v>10316</v>
      </c>
      <c r="C189">
        <v>62</v>
      </c>
      <c r="D189" s="84">
        <v>39.4</v>
      </c>
      <c r="E189">
        <v>70</v>
      </c>
      <c r="F189" s="85">
        <v>0</v>
      </c>
      <c r="G189" s="86">
        <f t="shared" si="10"/>
        <v>2758</v>
      </c>
      <c r="H189" s="86">
        <f t="shared" si="11"/>
        <v>0</v>
      </c>
      <c r="I189" s="86">
        <f t="shared" si="12"/>
        <v>2758</v>
      </c>
      <c r="J189" s="84">
        <f>VLOOKUP(C189, Products[], 6)</f>
        <v>49.3</v>
      </c>
      <c r="K189" s="86">
        <f t="shared" si="13"/>
        <v>3451</v>
      </c>
      <c r="L189" s="86">
        <f t="shared" si="14"/>
        <v>-693</v>
      </c>
      <c r="N189">
        <v>10431</v>
      </c>
      <c r="O189" s="84" cm="1">
        <f t="array" ref="O189">SUM(INDEX(_xlfn._xlws.FILTER($B$6:$L$2160, $B$6:$B$2160=N189), 0, 8))</f>
        <v>1892.25</v>
      </c>
      <c r="P189" s="84" cm="1">
        <f t="array" ref="P189">SUM(INDEX(_xlfn._xlws.FILTER($B$6:$L$2160, $B$6:$B$2160=N189), 0, 10))</f>
        <v>3155</v>
      </c>
      <c r="Q189" s="84" cm="1">
        <f t="array" ref="Q189">SUM(INDEX(_xlfn._xlws.FILTER($B$6:$L$2160, $B$6:$B$2160=N189), 0, 11))</f>
        <v>-1262.75</v>
      </c>
    </row>
    <row r="190" spans="2:17" x14ac:dyDescent="0.2">
      <c r="B190">
        <v>10317</v>
      </c>
      <c r="C190">
        <v>1</v>
      </c>
      <c r="D190" s="84">
        <v>14.4</v>
      </c>
      <c r="E190">
        <v>20</v>
      </c>
      <c r="F190" s="85">
        <v>0</v>
      </c>
      <c r="G190" s="86">
        <f t="shared" si="10"/>
        <v>288</v>
      </c>
      <c r="H190" s="86">
        <f t="shared" si="11"/>
        <v>0</v>
      </c>
      <c r="I190" s="86">
        <f t="shared" si="12"/>
        <v>288</v>
      </c>
      <c r="J190" s="84">
        <f>VLOOKUP(C190, Products[], 6)</f>
        <v>18</v>
      </c>
      <c r="K190" s="86">
        <f t="shared" si="13"/>
        <v>360</v>
      </c>
      <c r="L190" s="86">
        <f t="shared" si="14"/>
        <v>-72</v>
      </c>
      <c r="N190">
        <v>10432</v>
      </c>
      <c r="O190" s="84" cm="1">
        <f t="array" ref="O190">SUM(INDEX(_xlfn._xlws.FILTER($B$6:$L$2160, $B$6:$B$2160=N190), 0, 8))</f>
        <v>485</v>
      </c>
      <c r="P190" s="84" cm="1">
        <f t="array" ref="P190">SUM(INDEX(_xlfn._xlws.FILTER($B$6:$L$2160, $B$6:$B$2160=N190), 0, 10))</f>
        <v>610.29999999999995</v>
      </c>
      <c r="Q190" s="84" cm="1">
        <f t="array" ref="Q190">SUM(INDEX(_xlfn._xlws.FILTER($B$6:$L$2160, $B$6:$B$2160=N190), 0, 11))</f>
        <v>-125.30000000000001</v>
      </c>
    </row>
    <row r="191" spans="2:17" x14ac:dyDescent="0.2">
      <c r="B191">
        <v>10318</v>
      </c>
      <c r="C191">
        <v>41</v>
      </c>
      <c r="D191" s="84">
        <v>7.7</v>
      </c>
      <c r="E191">
        <v>20</v>
      </c>
      <c r="F191" s="85">
        <v>0</v>
      </c>
      <c r="G191" s="86">
        <f t="shared" si="10"/>
        <v>154</v>
      </c>
      <c r="H191" s="86">
        <f t="shared" si="11"/>
        <v>0</v>
      </c>
      <c r="I191" s="86">
        <f t="shared" si="12"/>
        <v>154</v>
      </c>
      <c r="J191" s="84">
        <f>VLOOKUP(C191, Products[], 6)</f>
        <v>9.65</v>
      </c>
      <c r="K191" s="86">
        <f t="shared" si="13"/>
        <v>193</v>
      </c>
      <c r="L191" s="86">
        <f t="shared" si="14"/>
        <v>-39</v>
      </c>
      <c r="N191">
        <v>10433</v>
      </c>
      <c r="O191" s="84" cm="1">
        <f t="array" ref="O191">SUM(INDEX(_xlfn._xlws.FILTER($B$6:$L$2160, $B$6:$B$2160=N191), 0, 8))</f>
        <v>851.19999999999993</v>
      </c>
      <c r="P191" s="84" cm="1">
        <f t="array" ref="P191">SUM(INDEX(_xlfn._xlws.FILTER($B$6:$L$2160, $B$6:$B$2160=N191), 0, 10))</f>
        <v>1064</v>
      </c>
      <c r="Q191" s="84" cm="1">
        <f t="array" ref="Q191">SUM(INDEX(_xlfn._xlws.FILTER($B$6:$L$2160, $B$6:$B$2160=N191), 0, 11))</f>
        <v>-212.80000000000007</v>
      </c>
    </row>
    <row r="192" spans="2:17" x14ac:dyDescent="0.2">
      <c r="B192">
        <v>10318</v>
      </c>
      <c r="C192">
        <v>76</v>
      </c>
      <c r="D192" s="84">
        <v>14.4</v>
      </c>
      <c r="E192">
        <v>6</v>
      </c>
      <c r="F192" s="85">
        <v>0</v>
      </c>
      <c r="G192" s="86">
        <f t="shared" si="10"/>
        <v>86.4</v>
      </c>
      <c r="H192" s="86">
        <f t="shared" si="11"/>
        <v>0</v>
      </c>
      <c r="I192" s="86">
        <f t="shared" si="12"/>
        <v>86.4</v>
      </c>
      <c r="J192" s="84">
        <f>VLOOKUP(C192, Products[], 6)</f>
        <v>18</v>
      </c>
      <c r="K192" s="86">
        <f t="shared" si="13"/>
        <v>108</v>
      </c>
      <c r="L192" s="86">
        <f t="shared" si="14"/>
        <v>-21.599999999999994</v>
      </c>
      <c r="N192">
        <v>10434</v>
      </c>
      <c r="O192" s="84" cm="1">
        <f t="array" ref="O192">SUM(INDEX(_xlfn._xlws.FILTER($B$6:$L$2160, $B$6:$B$2160=N192), 0, 8))</f>
        <v>321.12</v>
      </c>
      <c r="P192" s="84" cm="1">
        <f t="array" ref="P192">SUM(INDEX(_xlfn._xlws.FILTER($B$6:$L$2160, $B$6:$B$2160=N192), 0, 10))</f>
        <v>450</v>
      </c>
      <c r="Q192" s="84" cm="1">
        <f t="array" ref="Q192">SUM(INDEX(_xlfn._xlws.FILTER($B$6:$L$2160, $B$6:$B$2160=N192), 0, 11))</f>
        <v>-128.88</v>
      </c>
    </row>
    <row r="193" spans="2:17" x14ac:dyDescent="0.2">
      <c r="B193">
        <v>10319</v>
      </c>
      <c r="C193">
        <v>17</v>
      </c>
      <c r="D193" s="84">
        <v>31.2</v>
      </c>
      <c r="E193">
        <v>8</v>
      </c>
      <c r="F193" s="85">
        <v>0</v>
      </c>
      <c r="G193" s="86">
        <f t="shared" si="10"/>
        <v>249.6</v>
      </c>
      <c r="H193" s="86">
        <f t="shared" si="11"/>
        <v>0</v>
      </c>
      <c r="I193" s="86">
        <f t="shared" si="12"/>
        <v>249.6</v>
      </c>
      <c r="J193" s="84">
        <f>VLOOKUP(C193, Products[], 6)</f>
        <v>39</v>
      </c>
      <c r="K193" s="86">
        <f t="shared" si="13"/>
        <v>312</v>
      </c>
      <c r="L193" s="86">
        <f t="shared" si="14"/>
        <v>-62.400000000000006</v>
      </c>
      <c r="N193">
        <v>10435</v>
      </c>
      <c r="O193" s="84" cm="1">
        <f t="array" ref="O193">SUM(INDEX(_xlfn._xlws.FILTER($B$6:$L$2160, $B$6:$B$2160=N193), 0, 8))</f>
        <v>631.6</v>
      </c>
      <c r="P193" s="84" cm="1">
        <f t="array" ref="P193">SUM(INDEX(_xlfn._xlws.FILTER($B$6:$L$2160, $B$6:$B$2160=N193), 0, 10))</f>
        <v>790</v>
      </c>
      <c r="Q193" s="84" cm="1">
        <f t="array" ref="Q193">SUM(INDEX(_xlfn._xlws.FILTER($B$6:$L$2160, $B$6:$B$2160=N193), 0, 11))</f>
        <v>-158.39999999999998</v>
      </c>
    </row>
    <row r="194" spans="2:17" x14ac:dyDescent="0.2">
      <c r="B194">
        <v>10319</v>
      </c>
      <c r="C194">
        <v>28</v>
      </c>
      <c r="D194" s="84">
        <v>36.4</v>
      </c>
      <c r="E194">
        <v>14</v>
      </c>
      <c r="F194" s="85">
        <v>0</v>
      </c>
      <c r="G194" s="86">
        <f t="shared" si="10"/>
        <v>509.59999999999997</v>
      </c>
      <c r="H194" s="86">
        <f t="shared" si="11"/>
        <v>0</v>
      </c>
      <c r="I194" s="86">
        <f t="shared" si="12"/>
        <v>509.59999999999997</v>
      </c>
      <c r="J194" s="84">
        <f>VLOOKUP(C194, Products[], 6)</f>
        <v>45.6</v>
      </c>
      <c r="K194" s="86">
        <f t="shared" si="13"/>
        <v>638.4</v>
      </c>
      <c r="L194" s="86">
        <f t="shared" si="14"/>
        <v>-128.80000000000001</v>
      </c>
      <c r="N194">
        <v>10436</v>
      </c>
      <c r="O194" s="84" cm="1">
        <f t="array" ref="O194">SUM(INDEX(_xlfn._xlws.FILTER($B$6:$L$2160, $B$6:$B$2160=N194), 0, 8))</f>
        <v>1994.5200000000002</v>
      </c>
      <c r="P194" s="84" cm="1">
        <f t="array" ref="P194">SUM(INDEX(_xlfn._xlws.FILTER($B$6:$L$2160, $B$6:$B$2160=N194), 0, 10))</f>
        <v>2763.5</v>
      </c>
      <c r="Q194" s="84" cm="1">
        <f t="array" ref="Q194">SUM(INDEX(_xlfn._xlws.FILTER($B$6:$L$2160, $B$6:$B$2160=N194), 0, 11))</f>
        <v>-768.97999999999979</v>
      </c>
    </row>
    <row r="195" spans="2:17" x14ac:dyDescent="0.2">
      <c r="B195">
        <v>10319</v>
      </c>
      <c r="C195">
        <v>76</v>
      </c>
      <c r="D195" s="84">
        <v>14.4</v>
      </c>
      <c r="E195">
        <v>30</v>
      </c>
      <c r="F195" s="85">
        <v>0</v>
      </c>
      <c r="G195" s="86">
        <f t="shared" si="10"/>
        <v>432</v>
      </c>
      <c r="H195" s="86">
        <f t="shared" si="11"/>
        <v>0</v>
      </c>
      <c r="I195" s="86">
        <f t="shared" si="12"/>
        <v>432</v>
      </c>
      <c r="J195" s="84">
        <f>VLOOKUP(C195, Products[], 6)</f>
        <v>18</v>
      </c>
      <c r="K195" s="86">
        <f t="shared" si="13"/>
        <v>540</v>
      </c>
      <c r="L195" s="86">
        <f t="shared" si="14"/>
        <v>-108</v>
      </c>
      <c r="N195">
        <v>10437</v>
      </c>
      <c r="O195" s="84" cm="1">
        <f t="array" ref="O195">SUM(INDEX(_xlfn._xlws.FILTER($B$6:$L$2160, $B$6:$B$2160=N195), 0, 8))</f>
        <v>393</v>
      </c>
      <c r="P195" s="84" cm="1">
        <f t="array" ref="P195">SUM(INDEX(_xlfn._xlws.FILTER($B$6:$L$2160, $B$6:$B$2160=N195), 0, 10))</f>
        <v>491.99999999999994</v>
      </c>
      <c r="Q195" s="84" cm="1">
        <f t="array" ref="Q195">SUM(INDEX(_xlfn._xlws.FILTER($B$6:$L$2160, $B$6:$B$2160=N195), 0, 11))</f>
        <v>-98.999999999999943</v>
      </c>
    </row>
    <row r="196" spans="2:17" x14ac:dyDescent="0.2">
      <c r="B196">
        <v>10320</v>
      </c>
      <c r="C196">
        <v>71</v>
      </c>
      <c r="D196" s="84">
        <v>17.2</v>
      </c>
      <c r="E196">
        <v>30</v>
      </c>
      <c r="F196" s="85">
        <v>0</v>
      </c>
      <c r="G196" s="86">
        <f t="shared" si="10"/>
        <v>516</v>
      </c>
      <c r="H196" s="86">
        <f t="shared" si="11"/>
        <v>0</v>
      </c>
      <c r="I196" s="86">
        <f t="shared" si="12"/>
        <v>516</v>
      </c>
      <c r="J196" s="84">
        <f>VLOOKUP(C196, Products[], 6)</f>
        <v>21.5</v>
      </c>
      <c r="K196" s="86">
        <f t="shared" si="13"/>
        <v>645</v>
      </c>
      <c r="L196" s="86">
        <f t="shared" si="14"/>
        <v>-129</v>
      </c>
      <c r="N196">
        <v>10438</v>
      </c>
      <c r="O196" s="84" cm="1">
        <f t="array" ref="O196">SUM(INDEX(_xlfn._xlws.FILTER($B$6:$L$2160, $B$6:$B$2160=N196), 0, 8))</f>
        <v>453.99999999999994</v>
      </c>
      <c r="P196" s="84" cm="1">
        <f t="array" ref="P196">SUM(INDEX(_xlfn._xlws.FILTER($B$6:$L$2160, $B$6:$B$2160=N196), 0, 10))</f>
        <v>710.5</v>
      </c>
      <c r="Q196" s="84" cm="1">
        <f t="array" ref="Q196">SUM(INDEX(_xlfn._xlws.FILTER($B$6:$L$2160, $B$6:$B$2160=N196), 0, 11))</f>
        <v>-256.5</v>
      </c>
    </row>
    <row r="197" spans="2:17" x14ac:dyDescent="0.2">
      <c r="B197">
        <v>10321</v>
      </c>
      <c r="C197">
        <v>35</v>
      </c>
      <c r="D197" s="84">
        <v>14.4</v>
      </c>
      <c r="E197">
        <v>10</v>
      </c>
      <c r="F197" s="85">
        <v>0</v>
      </c>
      <c r="G197" s="86">
        <f t="shared" si="10"/>
        <v>144</v>
      </c>
      <c r="H197" s="86">
        <f t="shared" si="11"/>
        <v>0</v>
      </c>
      <c r="I197" s="86">
        <f t="shared" si="12"/>
        <v>144</v>
      </c>
      <c r="J197" s="84">
        <f>VLOOKUP(C197, Products[], 6)</f>
        <v>18</v>
      </c>
      <c r="K197" s="86">
        <f t="shared" si="13"/>
        <v>180</v>
      </c>
      <c r="L197" s="86">
        <f t="shared" si="14"/>
        <v>-36</v>
      </c>
      <c r="N197">
        <v>10439</v>
      </c>
      <c r="O197" s="84" cm="1">
        <f t="array" ref="O197">SUM(INDEX(_xlfn._xlws.FILTER($B$6:$L$2160, $B$6:$B$2160=N197), 0, 8))</f>
        <v>1078</v>
      </c>
      <c r="P197" s="84" cm="1">
        <f t="array" ref="P197">SUM(INDEX(_xlfn._xlws.FILTER($B$6:$L$2160, $B$6:$B$2160=N197), 0, 10))</f>
        <v>1348.7</v>
      </c>
      <c r="Q197" s="84" cm="1">
        <f t="array" ref="Q197">SUM(INDEX(_xlfn._xlws.FILTER($B$6:$L$2160, $B$6:$B$2160=N197), 0, 11))</f>
        <v>-270.69999999999993</v>
      </c>
    </row>
    <row r="198" spans="2:17" x14ac:dyDescent="0.2">
      <c r="B198">
        <v>10322</v>
      </c>
      <c r="C198">
        <v>52</v>
      </c>
      <c r="D198" s="84">
        <v>5.6</v>
      </c>
      <c r="E198">
        <v>20</v>
      </c>
      <c r="F198" s="85">
        <v>0</v>
      </c>
      <c r="G198" s="86">
        <f t="shared" si="10"/>
        <v>112</v>
      </c>
      <c r="H198" s="86">
        <f t="shared" si="11"/>
        <v>0</v>
      </c>
      <c r="I198" s="86">
        <f t="shared" si="12"/>
        <v>112</v>
      </c>
      <c r="J198" s="84">
        <f>VLOOKUP(C198, Products[], 6)</f>
        <v>7</v>
      </c>
      <c r="K198" s="86">
        <f t="shared" si="13"/>
        <v>140</v>
      </c>
      <c r="L198" s="86">
        <f t="shared" si="14"/>
        <v>-28</v>
      </c>
      <c r="N198">
        <v>10440</v>
      </c>
      <c r="O198" s="84" cm="1">
        <f t="array" ref="O198">SUM(INDEX(_xlfn._xlws.FILTER($B$6:$L$2160, $B$6:$B$2160=N198), 0, 8))</f>
        <v>4924.1350000000002</v>
      </c>
      <c r="P198" s="84" cm="1">
        <f t="array" ref="P198">SUM(INDEX(_xlfn._xlws.FILTER($B$6:$L$2160, $B$6:$B$2160=N198), 0, 10))</f>
        <v>7246.01</v>
      </c>
      <c r="Q198" s="84" cm="1">
        <f t="array" ref="Q198">SUM(INDEX(_xlfn._xlws.FILTER($B$6:$L$2160, $B$6:$B$2160=N198), 0, 11))</f>
        <v>-2321.875</v>
      </c>
    </row>
    <row r="199" spans="2:17" x14ac:dyDescent="0.2">
      <c r="B199">
        <v>10323</v>
      </c>
      <c r="C199">
        <v>15</v>
      </c>
      <c r="D199" s="84">
        <v>12.4</v>
      </c>
      <c r="E199">
        <v>5</v>
      </c>
      <c r="F199" s="85">
        <v>0</v>
      </c>
      <c r="G199" s="86">
        <f t="shared" ref="G199:G262" si="15">D199*E199</f>
        <v>62</v>
      </c>
      <c r="H199" s="86">
        <f t="shared" ref="H199:H262" si="16">G199*F199</f>
        <v>0</v>
      </c>
      <c r="I199" s="86">
        <f t="shared" ref="I199:I262" si="17">G199-H199</f>
        <v>62</v>
      </c>
      <c r="J199" s="84">
        <f>VLOOKUP(C199, Products[], 6)</f>
        <v>15.5</v>
      </c>
      <c r="K199" s="86">
        <f t="shared" ref="K199:K262" si="18">J199*E199</f>
        <v>77.5</v>
      </c>
      <c r="L199" s="86">
        <f t="shared" ref="L199:L262" si="19">I199-K199</f>
        <v>-15.5</v>
      </c>
      <c r="N199">
        <v>10441</v>
      </c>
      <c r="O199" s="84" cm="1">
        <f t="array" ref="O199">SUM(INDEX(_xlfn._xlws.FILTER($B$6:$L$2160, $B$6:$B$2160=N199), 0, 8))</f>
        <v>1755</v>
      </c>
      <c r="P199" s="84" cm="1">
        <f t="array" ref="P199">SUM(INDEX(_xlfn._xlws.FILTER($B$6:$L$2160, $B$6:$B$2160=N199), 0, 10))</f>
        <v>2195</v>
      </c>
      <c r="Q199" s="84" cm="1">
        <f t="array" ref="Q199">SUM(INDEX(_xlfn._xlws.FILTER($B$6:$L$2160, $B$6:$B$2160=N199), 0, 11))</f>
        <v>-440</v>
      </c>
    </row>
    <row r="200" spans="2:17" x14ac:dyDescent="0.2">
      <c r="B200">
        <v>10323</v>
      </c>
      <c r="C200">
        <v>25</v>
      </c>
      <c r="D200" s="84">
        <v>11.2</v>
      </c>
      <c r="E200">
        <v>4</v>
      </c>
      <c r="F200" s="85">
        <v>0</v>
      </c>
      <c r="G200" s="86">
        <f t="shared" si="15"/>
        <v>44.8</v>
      </c>
      <c r="H200" s="86">
        <f t="shared" si="16"/>
        <v>0</v>
      </c>
      <c r="I200" s="86">
        <f t="shared" si="17"/>
        <v>44.8</v>
      </c>
      <c r="J200" s="84">
        <f>VLOOKUP(C200, Products[], 6)</f>
        <v>14</v>
      </c>
      <c r="K200" s="86">
        <f t="shared" si="18"/>
        <v>56</v>
      </c>
      <c r="L200" s="86">
        <f t="shared" si="19"/>
        <v>-11.200000000000003</v>
      </c>
      <c r="N200">
        <v>10442</v>
      </c>
      <c r="O200" s="84" cm="1">
        <f t="array" ref="O200">SUM(INDEX(_xlfn._xlws.FILTER($B$6:$L$2160, $B$6:$B$2160=N200), 0, 8))</f>
        <v>1792</v>
      </c>
      <c r="P200" s="84" cm="1">
        <f t="array" ref="P200">SUM(INDEX(_xlfn._xlws.FILTER($B$6:$L$2160, $B$6:$B$2160=N200), 0, 10))</f>
        <v>2246</v>
      </c>
      <c r="Q200" s="84" cm="1">
        <f t="array" ref="Q200">SUM(INDEX(_xlfn._xlws.FILTER($B$6:$L$2160, $B$6:$B$2160=N200), 0, 11))</f>
        <v>-454</v>
      </c>
    </row>
    <row r="201" spans="2:17" x14ac:dyDescent="0.2">
      <c r="B201">
        <v>10323</v>
      </c>
      <c r="C201">
        <v>39</v>
      </c>
      <c r="D201" s="84">
        <v>14.4</v>
      </c>
      <c r="E201">
        <v>4</v>
      </c>
      <c r="F201" s="85">
        <v>0</v>
      </c>
      <c r="G201" s="86">
        <f t="shared" si="15"/>
        <v>57.6</v>
      </c>
      <c r="H201" s="86">
        <f t="shared" si="16"/>
        <v>0</v>
      </c>
      <c r="I201" s="86">
        <f t="shared" si="17"/>
        <v>57.6</v>
      </c>
      <c r="J201" s="84">
        <f>VLOOKUP(C201, Products[], 6)</f>
        <v>18</v>
      </c>
      <c r="K201" s="86">
        <f t="shared" si="18"/>
        <v>72</v>
      </c>
      <c r="L201" s="86">
        <f t="shared" si="19"/>
        <v>-14.399999999999999</v>
      </c>
      <c r="N201">
        <v>10443</v>
      </c>
      <c r="O201" s="84" cm="1">
        <f t="array" ref="O201">SUM(INDEX(_xlfn._xlws.FILTER($B$6:$L$2160, $B$6:$B$2160=N201), 0, 8))</f>
        <v>517.43999999999994</v>
      </c>
      <c r="P201" s="84" cm="1">
        <f t="array" ref="P201">SUM(INDEX(_xlfn._xlws.FILTER($B$6:$L$2160, $B$6:$B$2160=N201), 0, 10))</f>
        <v>673.2</v>
      </c>
      <c r="Q201" s="84" cm="1">
        <f t="array" ref="Q201">SUM(INDEX(_xlfn._xlws.FILTER($B$6:$L$2160, $B$6:$B$2160=N201), 0, 11))</f>
        <v>-155.76000000000008</v>
      </c>
    </row>
    <row r="202" spans="2:17" x14ac:dyDescent="0.2">
      <c r="B202">
        <v>10324</v>
      </c>
      <c r="C202">
        <v>16</v>
      </c>
      <c r="D202" s="84">
        <v>13.9</v>
      </c>
      <c r="E202">
        <v>21</v>
      </c>
      <c r="F202" s="85">
        <v>0.15</v>
      </c>
      <c r="G202" s="86">
        <f t="shared" si="15"/>
        <v>291.90000000000003</v>
      </c>
      <c r="H202" s="86">
        <f t="shared" si="16"/>
        <v>43.785000000000004</v>
      </c>
      <c r="I202" s="86">
        <f t="shared" si="17"/>
        <v>248.11500000000004</v>
      </c>
      <c r="J202" s="84">
        <f>VLOOKUP(C202, Products[], 6)</f>
        <v>17.45</v>
      </c>
      <c r="K202" s="86">
        <f t="shared" si="18"/>
        <v>366.45</v>
      </c>
      <c r="L202" s="86">
        <f t="shared" si="19"/>
        <v>-118.33499999999995</v>
      </c>
      <c r="N202">
        <v>10444</v>
      </c>
      <c r="O202" s="84" cm="1">
        <f t="array" ref="O202">SUM(INDEX(_xlfn._xlws.FILTER($B$6:$L$2160, $B$6:$B$2160=N202), 0, 8))</f>
        <v>1031.7</v>
      </c>
      <c r="P202" s="84" cm="1">
        <f t="array" ref="P202">SUM(INDEX(_xlfn._xlws.FILTER($B$6:$L$2160, $B$6:$B$2160=N202), 0, 10))</f>
        <v>1291.95</v>
      </c>
      <c r="Q202" s="84" cm="1">
        <f t="array" ref="Q202">SUM(INDEX(_xlfn._xlws.FILTER($B$6:$L$2160, $B$6:$B$2160=N202), 0, 11))</f>
        <v>-260.25</v>
      </c>
    </row>
    <row r="203" spans="2:17" x14ac:dyDescent="0.2">
      <c r="B203">
        <v>10324</v>
      </c>
      <c r="C203">
        <v>35</v>
      </c>
      <c r="D203" s="84">
        <v>14.4</v>
      </c>
      <c r="E203">
        <v>70</v>
      </c>
      <c r="F203" s="85">
        <v>0.15</v>
      </c>
      <c r="G203" s="86">
        <f t="shared" si="15"/>
        <v>1008</v>
      </c>
      <c r="H203" s="86">
        <f t="shared" si="16"/>
        <v>151.19999999999999</v>
      </c>
      <c r="I203" s="86">
        <f t="shared" si="17"/>
        <v>856.8</v>
      </c>
      <c r="J203" s="84">
        <f>VLOOKUP(C203, Products[], 6)</f>
        <v>18</v>
      </c>
      <c r="K203" s="86">
        <f t="shared" si="18"/>
        <v>1260</v>
      </c>
      <c r="L203" s="86">
        <f t="shared" si="19"/>
        <v>-403.20000000000005</v>
      </c>
      <c r="N203">
        <v>10445</v>
      </c>
      <c r="O203" s="84" cm="1">
        <f t="array" ref="O203">SUM(INDEX(_xlfn._xlws.FILTER($B$6:$L$2160, $B$6:$B$2160=N203), 0, 8))</f>
        <v>174.9</v>
      </c>
      <c r="P203" s="84" cm="1">
        <f t="array" ref="P203">SUM(INDEX(_xlfn._xlws.FILTER($B$6:$L$2160, $B$6:$B$2160=N203), 0, 10))</f>
        <v>219.75</v>
      </c>
      <c r="Q203" s="84" cm="1">
        <f t="array" ref="Q203">SUM(INDEX(_xlfn._xlws.FILTER($B$6:$L$2160, $B$6:$B$2160=N203), 0, 11))</f>
        <v>-44.849999999999994</v>
      </c>
    </row>
    <row r="204" spans="2:17" x14ac:dyDescent="0.2">
      <c r="B204">
        <v>10324</v>
      </c>
      <c r="C204">
        <v>46</v>
      </c>
      <c r="D204" s="84">
        <v>9.6</v>
      </c>
      <c r="E204">
        <v>30</v>
      </c>
      <c r="F204" s="85">
        <v>0</v>
      </c>
      <c r="G204" s="86">
        <f t="shared" si="15"/>
        <v>288</v>
      </c>
      <c r="H204" s="86">
        <f t="shared" si="16"/>
        <v>0</v>
      </c>
      <c r="I204" s="86">
        <f t="shared" si="17"/>
        <v>288</v>
      </c>
      <c r="J204" s="84">
        <f>VLOOKUP(C204, Products[], 6)</f>
        <v>12</v>
      </c>
      <c r="K204" s="86">
        <f t="shared" si="18"/>
        <v>360</v>
      </c>
      <c r="L204" s="86">
        <f t="shared" si="19"/>
        <v>-72</v>
      </c>
      <c r="N204">
        <v>10446</v>
      </c>
      <c r="O204" s="84" cm="1">
        <f t="array" ref="O204">SUM(INDEX(_xlfn._xlws.FILTER($B$6:$L$2160, $B$6:$B$2160=N204), 0, 8))</f>
        <v>246.23999999999998</v>
      </c>
      <c r="P204" s="84" cm="1">
        <f t="array" ref="P204">SUM(INDEX(_xlfn._xlws.FILTER($B$6:$L$2160, $B$6:$B$2160=N204), 0, 10))</f>
        <v>342.9</v>
      </c>
      <c r="Q204" s="84" cm="1">
        <f t="array" ref="Q204">SUM(INDEX(_xlfn._xlws.FILTER($B$6:$L$2160, $B$6:$B$2160=N204), 0, 11))</f>
        <v>-96.660000000000011</v>
      </c>
    </row>
    <row r="205" spans="2:17" x14ac:dyDescent="0.2">
      <c r="B205">
        <v>10324</v>
      </c>
      <c r="C205">
        <v>59</v>
      </c>
      <c r="D205" s="84">
        <v>44</v>
      </c>
      <c r="E205">
        <v>40</v>
      </c>
      <c r="F205" s="85">
        <v>0.15</v>
      </c>
      <c r="G205" s="86">
        <f t="shared" si="15"/>
        <v>1760</v>
      </c>
      <c r="H205" s="86">
        <f t="shared" si="16"/>
        <v>264</v>
      </c>
      <c r="I205" s="86">
        <f t="shared" si="17"/>
        <v>1496</v>
      </c>
      <c r="J205" s="84">
        <f>VLOOKUP(C205, Products[], 6)</f>
        <v>55</v>
      </c>
      <c r="K205" s="86">
        <f t="shared" si="18"/>
        <v>2200</v>
      </c>
      <c r="L205" s="86">
        <f t="shared" si="19"/>
        <v>-704</v>
      </c>
      <c r="N205">
        <v>10447</v>
      </c>
      <c r="O205" s="84" cm="1">
        <f t="array" ref="O205">SUM(INDEX(_xlfn._xlws.FILTER($B$6:$L$2160, $B$6:$B$2160=N205), 0, 8))</f>
        <v>914.4</v>
      </c>
      <c r="P205" s="84" cm="1">
        <f t="array" ref="P205">SUM(INDEX(_xlfn._xlws.FILTER($B$6:$L$2160, $B$6:$B$2160=N205), 0, 10))</f>
        <v>1147.75</v>
      </c>
      <c r="Q205" s="84" cm="1">
        <f t="array" ref="Q205">SUM(INDEX(_xlfn._xlws.FILTER($B$6:$L$2160, $B$6:$B$2160=N205), 0, 11))</f>
        <v>-233.35</v>
      </c>
    </row>
    <row r="206" spans="2:17" x14ac:dyDescent="0.2">
      <c r="B206">
        <v>10324</v>
      </c>
      <c r="C206">
        <v>63</v>
      </c>
      <c r="D206" s="84">
        <v>35.1</v>
      </c>
      <c r="E206">
        <v>80</v>
      </c>
      <c r="F206" s="85">
        <v>0.15</v>
      </c>
      <c r="G206" s="86">
        <f t="shared" si="15"/>
        <v>2808</v>
      </c>
      <c r="H206" s="86">
        <f t="shared" si="16"/>
        <v>421.2</v>
      </c>
      <c r="I206" s="86">
        <f t="shared" si="17"/>
        <v>2386.8000000000002</v>
      </c>
      <c r="J206" s="84">
        <f>VLOOKUP(C206, Products[], 6)</f>
        <v>43.9</v>
      </c>
      <c r="K206" s="86">
        <f t="shared" si="18"/>
        <v>3512</v>
      </c>
      <c r="L206" s="86">
        <f t="shared" si="19"/>
        <v>-1125.1999999999998</v>
      </c>
      <c r="N206">
        <v>10448</v>
      </c>
      <c r="O206" s="84" cm="1">
        <f t="array" ref="O206">SUM(INDEX(_xlfn._xlws.FILTER($B$6:$L$2160, $B$6:$B$2160=N206), 0, 8))</f>
        <v>443.4</v>
      </c>
      <c r="P206" s="84" cm="1">
        <f t="array" ref="P206">SUM(INDEX(_xlfn._xlws.FILTER($B$6:$L$2160, $B$6:$B$2160=N206), 0, 10))</f>
        <v>555.38</v>
      </c>
      <c r="Q206" s="84" cm="1">
        <f t="array" ref="Q206">SUM(INDEX(_xlfn._xlws.FILTER($B$6:$L$2160, $B$6:$B$2160=N206), 0, 11))</f>
        <v>-111.98000000000002</v>
      </c>
    </row>
    <row r="207" spans="2:17" x14ac:dyDescent="0.2">
      <c r="B207">
        <v>10325</v>
      </c>
      <c r="C207">
        <v>6</v>
      </c>
      <c r="D207" s="84">
        <v>20</v>
      </c>
      <c r="E207">
        <v>6</v>
      </c>
      <c r="F207" s="85">
        <v>0</v>
      </c>
      <c r="G207" s="86">
        <f t="shared" si="15"/>
        <v>120</v>
      </c>
      <c r="H207" s="86">
        <f t="shared" si="16"/>
        <v>0</v>
      </c>
      <c r="I207" s="86">
        <f t="shared" si="17"/>
        <v>120</v>
      </c>
      <c r="J207" s="84">
        <f>VLOOKUP(C207, Products[], 6)</f>
        <v>25</v>
      </c>
      <c r="K207" s="86">
        <f t="shared" si="18"/>
        <v>150</v>
      </c>
      <c r="L207" s="86">
        <f t="shared" si="19"/>
        <v>-30</v>
      </c>
      <c r="N207">
        <v>10449</v>
      </c>
      <c r="O207" s="84" cm="1">
        <f t="array" ref="O207">SUM(INDEX(_xlfn._xlws.FILTER($B$6:$L$2160, $B$6:$B$2160=N207), 0, 8))</f>
        <v>1838.2</v>
      </c>
      <c r="P207" s="84" cm="1">
        <f t="array" ref="P207">SUM(INDEX(_xlfn._xlws.FILTER($B$6:$L$2160, $B$6:$B$2160=N207), 0, 10))</f>
        <v>2299.5</v>
      </c>
      <c r="Q207" s="84" cm="1">
        <f t="array" ref="Q207">SUM(INDEX(_xlfn._xlws.FILTER($B$6:$L$2160, $B$6:$B$2160=N207), 0, 11))</f>
        <v>-461.3</v>
      </c>
    </row>
    <row r="208" spans="2:17" x14ac:dyDescent="0.2">
      <c r="B208">
        <v>10325</v>
      </c>
      <c r="C208">
        <v>13</v>
      </c>
      <c r="D208" s="84">
        <v>4.8</v>
      </c>
      <c r="E208">
        <v>12</v>
      </c>
      <c r="F208" s="85">
        <v>0</v>
      </c>
      <c r="G208" s="86">
        <f t="shared" si="15"/>
        <v>57.599999999999994</v>
      </c>
      <c r="H208" s="86">
        <f t="shared" si="16"/>
        <v>0</v>
      </c>
      <c r="I208" s="86">
        <f t="shared" si="17"/>
        <v>57.599999999999994</v>
      </c>
      <c r="J208" s="84">
        <f>VLOOKUP(C208, Products[], 6)</f>
        <v>6</v>
      </c>
      <c r="K208" s="86">
        <f t="shared" si="18"/>
        <v>72</v>
      </c>
      <c r="L208" s="86">
        <f t="shared" si="19"/>
        <v>-14.400000000000006</v>
      </c>
      <c r="N208">
        <v>10450</v>
      </c>
      <c r="O208" s="84" cm="1">
        <f t="array" ref="O208">SUM(INDEX(_xlfn._xlws.FILTER($B$6:$L$2160, $B$6:$B$2160=N208), 0, 8))</f>
        <v>425.12</v>
      </c>
      <c r="P208" s="84" cm="1">
        <f t="array" ref="P208">SUM(INDEX(_xlfn._xlws.FILTER($B$6:$L$2160, $B$6:$B$2160=N208), 0, 10))</f>
        <v>664.7</v>
      </c>
      <c r="Q208" s="84" cm="1">
        <f t="array" ref="Q208">SUM(INDEX(_xlfn._xlws.FILTER($B$6:$L$2160, $B$6:$B$2160=N208), 0, 11))</f>
        <v>-239.57999999999998</v>
      </c>
    </row>
    <row r="209" spans="2:17" x14ac:dyDescent="0.2">
      <c r="B209">
        <v>10325</v>
      </c>
      <c r="C209">
        <v>14</v>
      </c>
      <c r="D209" s="84">
        <v>18.600000000000001</v>
      </c>
      <c r="E209">
        <v>9</v>
      </c>
      <c r="F209" s="85">
        <v>0</v>
      </c>
      <c r="G209" s="86">
        <f t="shared" si="15"/>
        <v>167.4</v>
      </c>
      <c r="H209" s="86">
        <f t="shared" si="16"/>
        <v>0</v>
      </c>
      <c r="I209" s="86">
        <f t="shared" si="17"/>
        <v>167.4</v>
      </c>
      <c r="J209" s="84">
        <f>VLOOKUP(C209, Products[], 6)</f>
        <v>23.25</v>
      </c>
      <c r="K209" s="86">
        <f t="shared" si="18"/>
        <v>209.25</v>
      </c>
      <c r="L209" s="86">
        <f t="shared" si="19"/>
        <v>-41.849999999999994</v>
      </c>
      <c r="N209">
        <v>10451</v>
      </c>
      <c r="O209" s="84" cm="1">
        <f t="array" ref="O209">SUM(INDEX(_xlfn._xlws.FILTER($B$6:$L$2160, $B$6:$B$2160=N209), 0, 8))</f>
        <v>3849.66</v>
      </c>
      <c r="P209" s="84" cm="1">
        <f t="array" ref="P209">SUM(INDEX(_xlfn._xlws.FILTER($B$6:$L$2160, $B$6:$B$2160=N209), 0, 10))</f>
        <v>5348.15</v>
      </c>
      <c r="Q209" s="84" cm="1">
        <f t="array" ref="Q209">SUM(INDEX(_xlfn._xlws.FILTER($B$6:$L$2160, $B$6:$B$2160=N209), 0, 11))</f>
        <v>-1498.49</v>
      </c>
    </row>
    <row r="210" spans="2:17" x14ac:dyDescent="0.2">
      <c r="B210">
        <v>10325</v>
      </c>
      <c r="C210">
        <v>31</v>
      </c>
      <c r="D210" s="84">
        <v>10</v>
      </c>
      <c r="E210">
        <v>4</v>
      </c>
      <c r="F210" s="85">
        <v>0</v>
      </c>
      <c r="G210" s="86">
        <f t="shared" si="15"/>
        <v>40</v>
      </c>
      <c r="H210" s="86">
        <f t="shared" si="16"/>
        <v>0</v>
      </c>
      <c r="I210" s="86">
        <f t="shared" si="17"/>
        <v>40</v>
      </c>
      <c r="J210" s="84">
        <f>VLOOKUP(C210, Products[], 6)</f>
        <v>12.5</v>
      </c>
      <c r="K210" s="86">
        <f t="shared" si="18"/>
        <v>50</v>
      </c>
      <c r="L210" s="86">
        <f t="shared" si="19"/>
        <v>-10</v>
      </c>
      <c r="N210">
        <v>10452</v>
      </c>
      <c r="O210" s="84" cm="1">
        <f t="array" ref="O210">SUM(INDEX(_xlfn._xlws.FILTER($B$6:$L$2160, $B$6:$B$2160=N210), 0, 8))</f>
        <v>2018.5</v>
      </c>
      <c r="P210" s="84" cm="1">
        <f t="array" ref="P210">SUM(INDEX(_xlfn._xlws.FILTER($B$6:$L$2160, $B$6:$B$2160=N210), 0, 10))</f>
        <v>2629</v>
      </c>
      <c r="Q210" s="84" cm="1">
        <f t="array" ref="Q210">SUM(INDEX(_xlfn._xlws.FILTER($B$6:$L$2160, $B$6:$B$2160=N210), 0, 11))</f>
        <v>-610.5</v>
      </c>
    </row>
    <row r="211" spans="2:17" x14ac:dyDescent="0.2">
      <c r="B211">
        <v>10325</v>
      </c>
      <c r="C211">
        <v>72</v>
      </c>
      <c r="D211" s="84">
        <v>27.8</v>
      </c>
      <c r="E211">
        <v>40</v>
      </c>
      <c r="F211" s="85">
        <v>0</v>
      </c>
      <c r="G211" s="86">
        <f t="shared" si="15"/>
        <v>1112</v>
      </c>
      <c r="H211" s="86">
        <f t="shared" si="16"/>
        <v>0</v>
      </c>
      <c r="I211" s="86">
        <f t="shared" si="17"/>
        <v>1112</v>
      </c>
      <c r="J211" s="84">
        <f>VLOOKUP(C211, Products[], 6)</f>
        <v>34.799999999999997</v>
      </c>
      <c r="K211" s="86">
        <f t="shared" si="18"/>
        <v>1392</v>
      </c>
      <c r="L211" s="86">
        <f t="shared" si="19"/>
        <v>-280</v>
      </c>
      <c r="N211">
        <v>10453</v>
      </c>
      <c r="O211" s="84" cm="1">
        <f t="array" ref="O211">SUM(INDEX(_xlfn._xlws.FILTER($B$6:$L$2160, $B$6:$B$2160=N211), 0, 8))</f>
        <v>407.7</v>
      </c>
      <c r="P211" s="84" cm="1">
        <f t="array" ref="P211">SUM(INDEX(_xlfn._xlws.FILTER($B$6:$L$2160, $B$6:$B$2160=N211), 0, 10))</f>
        <v>566.25</v>
      </c>
      <c r="Q211" s="84" cm="1">
        <f t="array" ref="Q211">SUM(INDEX(_xlfn._xlws.FILTER($B$6:$L$2160, $B$6:$B$2160=N211), 0, 11))</f>
        <v>-158.55000000000001</v>
      </c>
    </row>
    <row r="212" spans="2:17" x14ac:dyDescent="0.2">
      <c r="B212">
        <v>10326</v>
      </c>
      <c r="C212">
        <v>4</v>
      </c>
      <c r="D212" s="84">
        <v>17.600000000000001</v>
      </c>
      <c r="E212">
        <v>24</v>
      </c>
      <c r="F212" s="85">
        <v>0</v>
      </c>
      <c r="G212" s="86">
        <f t="shared" si="15"/>
        <v>422.40000000000003</v>
      </c>
      <c r="H212" s="86">
        <f t="shared" si="16"/>
        <v>0</v>
      </c>
      <c r="I212" s="86">
        <f t="shared" si="17"/>
        <v>422.40000000000003</v>
      </c>
      <c r="J212" s="84">
        <f>VLOOKUP(C212, Products[], 6)</f>
        <v>22</v>
      </c>
      <c r="K212" s="86">
        <f t="shared" si="18"/>
        <v>528</v>
      </c>
      <c r="L212" s="86">
        <f t="shared" si="19"/>
        <v>-105.59999999999997</v>
      </c>
      <c r="N212">
        <v>10454</v>
      </c>
      <c r="O212" s="84" cm="1">
        <f t="array" ref="O212">SUM(INDEX(_xlfn._xlws.FILTER($B$6:$L$2160, $B$6:$B$2160=N212), 0, 8))</f>
        <v>331.2</v>
      </c>
      <c r="P212" s="84" cm="1">
        <f t="array" ref="P212">SUM(INDEX(_xlfn._xlws.FILTER($B$6:$L$2160, $B$6:$B$2160=N212), 0, 10))</f>
        <v>519</v>
      </c>
      <c r="Q212" s="84" cm="1">
        <f t="array" ref="Q212">SUM(INDEX(_xlfn._xlws.FILTER($B$6:$L$2160, $B$6:$B$2160=N212), 0, 11))</f>
        <v>-187.8</v>
      </c>
    </row>
    <row r="213" spans="2:17" x14ac:dyDescent="0.2">
      <c r="B213">
        <v>10326</v>
      </c>
      <c r="C213">
        <v>57</v>
      </c>
      <c r="D213" s="84">
        <v>15.6</v>
      </c>
      <c r="E213">
        <v>16</v>
      </c>
      <c r="F213" s="85">
        <v>0</v>
      </c>
      <c r="G213" s="86">
        <f t="shared" si="15"/>
        <v>249.6</v>
      </c>
      <c r="H213" s="86">
        <f t="shared" si="16"/>
        <v>0</v>
      </c>
      <c r="I213" s="86">
        <f t="shared" si="17"/>
        <v>249.6</v>
      </c>
      <c r="J213" s="84">
        <f>VLOOKUP(C213, Products[], 6)</f>
        <v>19.5</v>
      </c>
      <c r="K213" s="86">
        <f t="shared" si="18"/>
        <v>312</v>
      </c>
      <c r="L213" s="86">
        <f t="shared" si="19"/>
        <v>-62.400000000000006</v>
      </c>
      <c r="N213">
        <v>10455</v>
      </c>
      <c r="O213" s="84" cm="1">
        <f t="array" ref="O213">SUM(INDEX(_xlfn._xlws.FILTER($B$6:$L$2160, $B$6:$B$2160=N213), 0, 8))</f>
        <v>2684</v>
      </c>
      <c r="P213" s="84" cm="1">
        <f t="array" ref="P213">SUM(INDEX(_xlfn._xlws.FILTER($B$6:$L$2160, $B$6:$B$2160=N213), 0, 10))</f>
        <v>3357.5</v>
      </c>
      <c r="Q213" s="84" cm="1">
        <f t="array" ref="Q213">SUM(INDEX(_xlfn._xlws.FILTER($B$6:$L$2160, $B$6:$B$2160=N213), 0, 11))</f>
        <v>-673.49999999999977</v>
      </c>
    </row>
    <row r="214" spans="2:17" x14ac:dyDescent="0.2">
      <c r="B214">
        <v>10326</v>
      </c>
      <c r="C214">
        <v>75</v>
      </c>
      <c r="D214" s="84">
        <v>6.2</v>
      </c>
      <c r="E214">
        <v>50</v>
      </c>
      <c r="F214" s="85">
        <v>0</v>
      </c>
      <c r="G214" s="86">
        <f t="shared" si="15"/>
        <v>310</v>
      </c>
      <c r="H214" s="86">
        <f t="shared" si="16"/>
        <v>0</v>
      </c>
      <c r="I214" s="86">
        <f t="shared" si="17"/>
        <v>310</v>
      </c>
      <c r="J214" s="84">
        <f>VLOOKUP(C214, Products[], 6)</f>
        <v>7.75</v>
      </c>
      <c r="K214" s="86">
        <f t="shared" si="18"/>
        <v>387.5</v>
      </c>
      <c r="L214" s="86">
        <f t="shared" si="19"/>
        <v>-77.5</v>
      </c>
      <c r="N214">
        <v>10456</v>
      </c>
      <c r="O214" s="84" cm="1">
        <f t="array" ref="O214">SUM(INDEX(_xlfn._xlws.FILTER($B$6:$L$2160, $B$6:$B$2160=N214), 0, 8))</f>
        <v>557.6</v>
      </c>
      <c r="P214" s="84" cm="1">
        <f t="array" ref="P214">SUM(INDEX(_xlfn._xlws.FILTER($B$6:$L$2160, $B$6:$B$2160=N214), 0, 10))</f>
        <v>820</v>
      </c>
      <c r="Q214" s="84" cm="1">
        <f t="array" ref="Q214">SUM(INDEX(_xlfn._xlws.FILTER($B$6:$L$2160, $B$6:$B$2160=N214), 0, 11))</f>
        <v>-262.39999999999998</v>
      </c>
    </row>
    <row r="215" spans="2:17" x14ac:dyDescent="0.2">
      <c r="B215">
        <v>10327</v>
      </c>
      <c r="C215">
        <v>2</v>
      </c>
      <c r="D215" s="84">
        <v>15.2</v>
      </c>
      <c r="E215">
        <v>25</v>
      </c>
      <c r="F215" s="85">
        <v>0.2</v>
      </c>
      <c r="G215" s="86">
        <f t="shared" si="15"/>
        <v>380</v>
      </c>
      <c r="H215" s="86">
        <f t="shared" si="16"/>
        <v>76</v>
      </c>
      <c r="I215" s="86">
        <f t="shared" si="17"/>
        <v>304</v>
      </c>
      <c r="J215" s="84">
        <f>VLOOKUP(C215, Products[], 6)</f>
        <v>19</v>
      </c>
      <c r="K215" s="86">
        <f t="shared" si="18"/>
        <v>475</v>
      </c>
      <c r="L215" s="86">
        <f t="shared" si="19"/>
        <v>-171</v>
      </c>
      <c r="N215">
        <v>10457</v>
      </c>
      <c r="O215" s="84" cm="1">
        <f t="array" ref="O215">SUM(INDEX(_xlfn._xlws.FILTER($B$6:$L$2160, $B$6:$B$2160=N215), 0, 8))</f>
        <v>1584</v>
      </c>
      <c r="P215" s="84" cm="1">
        <f t="array" ref="P215">SUM(INDEX(_xlfn._xlws.FILTER($B$6:$L$2160, $B$6:$B$2160=N215), 0, 10))</f>
        <v>1980</v>
      </c>
      <c r="Q215" s="84" cm="1">
        <f t="array" ref="Q215">SUM(INDEX(_xlfn._xlws.FILTER($B$6:$L$2160, $B$6:$B$2160=N215), 0, 11))</f>
        <v>-396</v>
      </c>
    </row>
    <row r="216" spans="2:17" x14ac:dyDescent="0.2">
      <c r="B216">
        <v>10327</v>
      </c>
      <c r="C216">
        <v>11</v>
      </c>
      <c r="D216" s="84">
        <v>16.8</v>
      </c>
      <c r="E216">
        <v>50</v>
      </c>
      <c r="F216" s="85">
        <v>0.2</v>
      </c>
      <c r="G216" s="86">
        <f t="shared" si="15"/>
        <v>840</v>
      </c>
      <c r="H216" s="86">
        <f t="shared" si="16"/>
        <v>168</v>
      </c>
      <c r="I216" s="86">
        <f t="shared" si="17"/>
        <v>672</v>
      </c>
      <c r="J216" s="84">
        <f>VLOOKUP(C216, Products[], 6)</f>
        <v>21</v>
      </c>
      <c r="K216" s="86">
        <f t="shared" si="18"/>
        <v>1050</v>
      </c>
      <c r="L216" s="86">
        <f t="shared" si="19"/>
        <v>-378</v>
      </c>
      <c r="N216">
        <v>10458</v>
      </c>
      <c r="O216" s="84" cm="1">
        <f t="array" ref="O216">SUM(INDEX(_xlfn._xlws.FILTER($B$6:$L$2160, $B$6:$B$2160=N216), 0, 8))</f>
        <v>3891</v>
      </c>
      <c r="P216" s="84" cm="1">
        <f t="array" ref="P216">SUM(INDEX(_xlfn._xlws.FILTER($B$6:$L$2160, $B$6:$B$2160=N216), 0, 10))</f>
        <v>4869.8999999999996</v>
      </c>
      <c r="Q216" s="84" cm="1">
        <f t="array" ref="Q216">SUM(INDEX(_xlfn._xlws.FILTER($B$6:$L$2160, $B$6:$B$2160=N216), 0, 11))</f>
        <v>-978.9</v>
      </c>
    </row>
    <row r="217" spans="2:17" x14ac:dyDescent="0.2">
      <c r="B217">
        <v>10327</v>
      </c>
      <c r="C217">
        <v>30</v>
      </c>
      <c r="D217" s="84">
        <v>20.7</v>
      </c>
      <c r="E217">
        <v>35</v>
      </c>
      <c r="F217" s="85">
        <v>0.2</v>
      </c>
      <c r="G217" s="86">
        <f t="shared" si="15"/>
        <v>724.5</v>
      </c>
      <c r="H217" s="86">
        <f t="shared" si="16"/>
        <v>144.9</v>
      </c>
      <c r="I217" s="86">
        <f t="shared" si="17"/>
        <v>579.6</v>
      </c>
      <c r="J217" s="84">
        <f>VLOOKUP(C217, Products[], 6)</f>
        <v>25.89</v>
      </c>
      <c r="K217" s="86">
        <f t="shared" si="18"/>
        <v>906.15</v>
      </c>
      <c r="L217" s="86">
        <f t="shared" si="19"/>
        <v>-326.54999999999995</v>
      </c>
      <c r="N217">
        <v>10459</v>
      </c>
      <c r="O217" s="84" cm="1">
        <f t="array" ref="O217">SUM(INDEX(_xlfn._xlws.FILTER($B$6:$L$2160, $B$6:$B$2160=N217), 0, 8))</f>
        <v>1659.2</v>
      </c>
      <c r="P217" s="84" cm="1">
        <f t="array" ref="P217">SUM(INDEX(_xlfn._xlws.FILTER($B$6:$L$2160, $B$6:$B$2160=N217), 0, 10))</f>
        <v>2112</v>
      </c>
      <c r="Q217" s="84" cm="1">
        <f t="array" ref="Q217">SUM(INDEX(_xlfn._xlws.FILTER($B$6:$L$2160, $B$6:$B$2160=N217), 0, 11))</f>
        <v>-452.79999999999995</v>
      </c>
    </row>
    <row r="218" spans="2:17" x14ac:dyDescent="0.2">
      <c r="B218">
        <v>10327</v>
      </c>
      <c r="C218">
        <v>58</v>
      </c>
      <c r="D218" s="84">
        <v>10.6</v>
      </c>
      <c r="E218">
        <v>30</v>
      </c>
      <c r="F218" s="85">
        <v>0.2</v>
      </c>
      <c r="G218" s="86">
        <f t="shared" si="15"/>
        <v>318</v>
      </c>
      <c r="H218" s="86">
        <f t="shared" si="16"/>
        <v>63.6</v>
      </c>
      <c r="I218" s="86">
        <f t="shared" si="17"/>
        <v>254.4</v>
      </c>
      <c r="J218" s="84">
        <f>VLOOKUP(C218, Products[], 6)</f>
        <v>13.25</v>
      </c>
      <c r="K218" s="86">
        <f t="shared" si="18"/>
        <v>397.5</v>
      </c>
      <c r="L218" s="86">
        <f t="shared" si="19"/>
        <v>-143.1</v>
      </c>
      <c r="N218">
        <v>10460</v>
      </c>
      <c r="O218" s="84" cm="1">
        <f t="array" ref="O218">SUM(INDEX(_xlfn._xlws.FILTER($B$6:$L$2160, $B$6:$B$2160=N218), 0, 8))</f>
        <v>176.1</v>
      </c>
      <c r="P218" s="84" cm="1">
        <f t="array" ref="P218">SUM(INDEX(_xlfn._xlws.FILTER($B$6:$L$2160, $B$6:$B$2160=N218), 0, 10))</f>
        <v>293.5</v>
      </c>
      <c r="Q218" s="84" cm="1">
        <f t="array" ref="Q218">SUM(INDEX(_xlfn._xlws.FILTER($B$6:$L$2160, $B$6:$B$2160=N218), 0, 11))</f>
        <v>-117.4</v>
      </c>
    </row>
    <row r="219" spans="2:17" x14ac:dyDescent="0.2">
      <c r="B219">
        <v>10328</v>
      </c>
      <c r="C219">
        <v>59</v>
      </c>
      <c r="D219" s="84">
        <v>44</v>
      </c>
      <c r="E219">
        <v>9</v>
      </c>
      <c r="F219" s="85">
        <v>0</v>
      </c>
      <c r="G219" s="86">
        <f t="shared" si="15"/>
        <v>396</v>
      </c>
      <c r="H219" s="86">
        <f t="shared" si="16"/>
        <v>0</v>
      </c>
      <c r="I219" s="86">
        <f t="shared" si="17"/>
        <v>396</v>
      </c>
      <c r="J219" s="84">
        <f>VLOOKUP(C219, Products[], 6)</f>
        <v>55</v>
      </c>
      <c r="K219" s="86">
        <f t="shared" si="18"/>
        <v>495</v>
      </c>
      <c r="L219" s="86">
        <f t="shared" si="19"/>
        <v>-99</v>
      </c>
      <c r="N219">
        <v>10461</v>
      </c>
      <c r="O219" s="84" cm="1">
        <f t="array" ref="O219">SUM(INDEX(_xlfn._xlws.FILTER($B$6:$L$2160, $B$6:$B$2160=N219), 0, 8))</f>
        <v>1538.7</v>
      </c>
      <c r="P219" s="84" cm="1">
        <f t="array" ref="P219">SUM(INDEX(_xlfn._xlws.FILTER($B$6:$L$2160, $B$6:$B$2160=N219), 0, 10))</f>
        <v>2564.92</v>
      </c>
      <c r="Q219" s="84" cm="1">
        <f t="array" ref="Q219">SUM(INDEX(_xlfn._xlws.FILTER($B$6:$L$2160, $B$6:$B$2160=N219), 0, 11))</f>
        <v>-1026.22</v>
      </c>
    </row>
    <row r="220" spans="2:17" x14ac:dyDescent="0.2">
      <c r="B220">
        <v>10328</v>
      </c>
      <c r="C220">
        <v>65</v>
      </c>
      <c r="D220" s="84">
        <v>16.8</v>
      </c>
      <c r="E220">
        <v>40</v>
      </c>
      <c r="F220" s="85">
        <v>0</v>
      </c>
      <c r="G220" s="86">
        <f t="shared" si="15"/>
        <v>672</v>
      </c>
      <c r="H220" s="86">
        <f t="shared" si="16"/>
        <v>0</v>
      </c>
      <c r="I220" s="86">
        <f t="shared" si="17"/>
        <v>672</v>
      </c>
      <c r="J220" s="84">
        <f>VLOOKUP(C220, Products[], 6)</f>
        <v>21.05</v>
      </c>
      <c r="K220" s="86">
        <f t="shared" si="18"/>
        <v>842</v>
      </c>
      <c r="L220" s="86">
        <f t="shared" si="19"/>
        <v>-170</v>
      </c>
      <c r="N220">
        <v>10462</v>
      </c>
      <c r="O220" s="84" cm="1">
        <f t="array" ref="O220">SUM(INDEX(_xlfn._xlws.FILTER($B$6:$L$2160, $B$6:$B$2160=N220), 0, 8))</f>
        <v>156.00000000000003</v>
      </c>
      <c r="P220" s="84" cm="1">
        <f t="array" ref="P220">SUM(INDEX(_xlfn._xlws.FILTER($B$6:$L$2160, $B$6:$B$2160=N220), 0, 10))</f>
        <v>195</v>
      </c>
      <c r="Q220" s="84" cm="1">
        <f t="array" ref="Q220">SUM(INDEX(_xlfn._xlws.FILTER($B$6:$L$2160, $B$6:$B$2160=N220), 0, 11))</f>
        <v>-38.999999999999986</v>
      </c>
    </row>
    <row r="221" spans="2:17" x14ac:dyDescent="0.2">
      <c r="B221">
        <v>10328</v>
      </c>
      <c r="C221">
        <v>68</v>
      </c>
      <c r="D221" s="84">
        <v>10</v>
      </c>
      <c r="E221">
        <v>10</v>
      </c>
      <c r="F221" s="85">
        <v>0</v>
      </c>
      <c r="G221" s="86">
        <f t="shared" si="15"/>
        <v>100</v>
      </c>
      <c r="H221" s="86">
        <f t="shared" si="16"/>
        <v>0</v>
      </c>
      <c r="I221" s="86">
        <f t="shared" si="17"/>
        <v>100</v>
      </c>
      <c r="J221" s="84">
        <f>VLOOKUP(C221, Products[], 6)</f>
        <v>12.5</v>
      </c>
      <c r="K221" s="86">
        <f t="shared" si="18"/>
        <v>125</v>
      </c>
      <c r="L221" s="86">
        <f t="shared" si="19"/>
        <v>-25</v>
      </c>
      <c r="N221">
        <v>10463</v>
      </c>
      <c r="O221" s="84" cm="1">
        <f t="array" ref="O221">SUM(INDEX(_xlfn._xlws.FILTER($B$6:$L$2160, $B$6:$B$2160=N221), 0, 8))</f>
        <v>713.3</v>
      </c>
      <c r="P221" s="84" cm="1">
        <f t="array" ref="P221">SUM(INDEX(_xlfn._xlws.FILTER($B$6:$L$2160, $B$6:$B$2160=N221), 0, 10))</f>
        <v>893.2</v>
      </c>
      <c r="Q221" s="84" cm="1">
        <f t="array" ref="Q221">SUM(INDEX(_xlfn._xlws.FILTER($B$6:$L$2160, $B$6:$B$2160=N221), 0, 11))</f>
        <v>-179.9</v>
      </c>
    </row>
    <row r="222" spans="2:17" x14ac:dyDescent="0.2">
      <c r="B222">
        <v>10329</v>
      </c>
      <c r="C222">
        <v>19</v>
      </c>
      <c r="D222" s="84">
        <v>7.3</v>
      </c>
      <c r="E222">
        <v>10</v>
      </c>
      <c r="F222" s="85">
        <v>0.05</v>
      </c>
      <c r="G222" s="86">
        <f t="shared" si="15"/>
        <v>73</v>
      </c>
      <c r="H222" s="86">
        <f t="shared" si="16"/>
        <v>3.6500000000000004</v>
      </c>
      <c r="I222" s="86">
        <f t="shared" si="17"/>
        <v>69.349999999999994</v>
      </c>
      <c r="J222" s="84">
        <f>VLOOKUP(C222, Products[], 6)</f>
        <v>9.1999999999999993</v>
      </c>
      <c r="K222" s="86">
        <f t="shared" si="18"/>
        <v>92</v>
      </c>
      <c r="L222" s="86">
        <f t="shared" si="19"/>
        <v>-22.650000000000006</v>
      </c>
      <c r="N222">
        <v>10464</v>
      </c>
      <c r="O222" s="84" cm="1">
        <f t="array" ref="O222">SUM(INDEX(_xlfn._xlws.FILTER($B$6:$L$2160, $B$6:$B$2160=N222), 0, 8))</f>
        <v>1609.28</v>
      </c>
      <c r="P222" s="84" cm="1">
        <f t="array" ref="P222">SUM(INDEX(_xlfn._xlws.FILTER($B$6:$L$2160, $B$6:$B$2160=N222), 0, 10))</f>
        <v>2310</v>
      </c>
      <c r="Q222" s="84" cm="1">
        <f t="array" ref="Q222">SUM(INDEX(_xlfn._xlws.FILTER($B$6:$L$2160, $B$6:$B$2160=N222), 0, 11))</f>
        <v>-700.72</v>
      </c>
    </row>
    <row r="223" spans="2:17" x14ac:dyDescent="0.2">
      <c r="B223">
        <v>10329</v>
      </c>
      <c r="C223">
        <v>30</v>
      </c>
      <c r="D223" s="84">
        <v>20.7</v>
      </c>
      <c r="E223">
        <v>8</v>
      </c>
      <c r="F223" s="85">
        <v>0.05</v>
      </c>
      <c r="G223" s="86">
        <f t="shared" si="15"/>
        <v>165.6</v>
      </c>
      <c r="H223" s="86">
        <f t="shared" si="16"/>
        <v>8.2799999999999994</v>
      </c>
      <c r="I223" s="86">
        <f t="shared" si="17"/>
        <v>157.32</v>
      </c>
      <c r="J223" s="84">
        <f>VLOOKUP(C223, Products[], 6)</f>
        <v>25.89</v>
      </c>
      <c r="K223" s="86">
        <f t="shared" si="18"/>
        <v>207.12</v>
      </c>
      <c r="L223" s="86">
        <f t="shared" si="19"/>
        <v>-49.800000000000011</v>
      </c>
      <c r="N223">
        <v>10465</v>
      </c>
      <c r="O223" s="84" cm="1">
        <f t="array" ref="O223">SUM(INDEX(_xlfn._xlws.FILTER($B$6:$L$2160, $B$6:$B$2160=N223), 0, 8))</f>
        <v>2518</v>
      </c>
      <c r="P223" s="84" cm="1">
        <f t="array" ref="P223">SUM(INDEX(_xlfn._xlws.FILTER($B$6:$L$2160, $B$6:$B$2160=N223), 0, 10))</f>
        <v>3399.9700000000003</v>
      </c>
      <c r="Q223" s="84" cm="1">
        <f t="array" ref="Q223">SUM(INDEX(_xlfn._xlws.FILTER($B$6:$L$2160, $B$6:$B$2160=N223), 0, 11))</f>
        <v>-881.97000000000025</v>
      </c>
    </row>
    <row r="224" spans="2:17" x14ac:dyDescent="0.2">
      <c r="B224">
        <v>10329</v>
      </c>
      <c r="C224">
        <v>38</v>
      </c>
      <c r="D224" s="84">
        <v>210.8</v>
      </c>
      <c r="E224">
        <v>20</v>
      </c>
      <c r="F224" s="85">
        <v>0.05</v>
      </c>
      <c r="G224" s="86">
        <f t="shared" si="15"/>
        <v>4216</v>
      </c>
      <c r="H224" s="86">
        <f t="shared" si="16"/>
        <v>210.8</v>
      </c>
      <c r="I224" s="86">
        <f t="shared" si="17"/>
        <v>4005.2</v>
      </c>
      <c r="J224" s="84">
        <f>VLOOKUP(C224, Products[], 6)</f>
        <v>263.5</v>
      </c>
      <c r="K224" s="86">
        <f t="shared" si="18"/>
        <v>5270</v>
      </c>
      <c r="L224" s="86">
        <f t="shared" si="19"/>
        <v>-1264.8000000000002</v>
      </c>
      <c r="N224">
        <v>10466</v>
      </c>
      <c r="O224" s="84" cm="1">
        <f t="array" ref="O224">SUM(INDEX(_xlfn._xlws.FILTER($B$6:$L$2160, $B$6:$B$2160=N224), 0, 8))</f>
        <v>216</v>
      </c>
      <c r="P224" s="84" cm="1">
        <f t="array" ref="P224">SUM(INDEX(_xlfn._xlws.FILTER($B$6:$L$2160, $B$6:$B$2160=N224), 0, 10))</f>
        <v>270</v>
      </c>
      <c r="Q224" s="84" cm="1">
        <f t="array" ref="Q224">SUM(INDEX(_xlfn._xlws.FILTER($B$6:$L$2160, $B$6:$B$2160=N224), 0, 11))</f>
        <v>-54</v>
      </c>
    </row>
    <row r="225" spans="2:17" x14ac:dyDescent="0.2">
      <c r="B225">
        <v>10329</v>
      </c>
      <c r="C225">
        <v>56</v>
      </c>
      <c r="D225" s="84">
        <v>30.4</v>
      </c>
      <c r="E225">
        <v>12</v>
      </c>
      <c r="F225" s="85">
        <v>0.05</v>
      </c>
      <c r="G225" s="86">
        <f t="shared" si="15"/>
        <v>364.79999999999995</v>
      </c>
      <c r="H225" s="86">
        <f t="shared" si="16"/>
        <v>18.239999999999998</v>
      </c>
      <c r="I225" s="86">
        <f t="shared" si="17"/>
        <v>346.55999999999995</v>
      </c>
      <c r="J225" s="84">
        <f>VLOOKUP(C225, Products[], 6)</f>
        <v>38</v>
      </c>
      <c r="K225" s="86">
        <f t="shared" si="18"/>
        <v>456</v>
      </c>
      <c r="L225" s="86">
        <f t="shared" si="19"/>
        <v>-109.44000000000005</v>
      </c>
      <c r="N225">
        <v>10467</v>
      </c>
      <c r="O225" s="84" cm="1">
        <f t="array" ref="O225">SUM(INDEX(_xlfn._xlws.FILTER($B$6:$L$2160, $B$6:$B$2160=N225), 0, 8))</f>
        <v>235.2</v>
      </c>
      <c r="P225" s="84" cm="1">
        <f t="array" ref="P225">SUM(INDEX(_xlfn._xlws.FILTER($B$6:$L$2160, $B$6:$B$2160=N225), 0, 10))</f>
        <v>294</v>
      </c>
      <c r="Q225" s="84" cm="1">
        <f t="array" ref="Q225">SUM(INDEX(_xlfn._xlws.FILTER($B$6:$L$2160, $B$6:$B$2160=N225), 0, 11))</f>
        <v>-58.800000000000026</v>
      </c>
    </row>
    <row r="226" spans="2:17" x14ac:dyDescent="0.2">
      <c r="B226">
        <v>10330</v>
      </c>
      <c r="C226">
        <v>26</v>
      </c>
      <c r="D226" s="84">
        <v>24.9</v>
      </c>
      <c r="E226">
        <v>50</v>
      </c>
      <c r="F226" s="85">
        <v>0.15</v>
      </c>
      <c r="G226" s="86">
        <f t="shared" si="15"/>
        <v>1245</v>
      </c>
      <c r="H226" s="86">
        <f t="shared" si="16"/>
        <v>186.75</v>
      </c>
      <c r="I226" s="86">
        <f t="shared" si="17"/>
        <v>1058.25</v>
      </c>
      <c r="J226" s="84">
        <f>VLOOKUP(C226, Products[], 6)</f>
        <v>31.23</v>
      </c>
      <c r="K226" s="86">
        <f t="shared" si="18"/>
        <v>1561.5</v>
      </c>
      <c r="L226" s="86">
        <f t="shared" si="19"/>
        <v>-503.25</v>
      </c>
      <c r="N226">
        <v>10468</v>
      </c>
      <c r="O226" s="84" cm="1">
        <f t="array" ref="O226">SUM(INDEX(_xlfn._xlws.FILTER($B$6:$L$2160, $B$6:$B$2160=N226), 0, 8))</f>
        <v>717.6</v>
      </c>
      <c r="P226" s="84" cm="1">
        <f t="array" ref="P226">SUM(INDEX(_xlfn._xlws.FILTER($B$6:$L$2160, $B$6:$B$2160=N226), 0, 10))</f>
        <v>897.12</v>
      </c>
      <c r="Q226" s="84" cm="1">
        <f t="array" ref="Q226">SUM(INDEX(_xlfn._xlws.FILTER($B$6:$L$2160, $B$6:$B$2160=N226), 0, 11))</f>
        <v>-179.52</v>
      </c>
    </row>
    <row r="227" spans="2:17" x14ac:dyDescent="0.2">
      <c r="B227">
        <v>10330</v>
      </c>
      <c r="C227">
        <v>72</v>
      </c>
      <c r="D227" s="84">
        <v>27.8</v>
      </c>
      <c r="E227">
        <v>25</v>
      </c>
      <c r="F227" s="85">
        <v>0.15</v>
      </c>
      <c r="G227" s="86">
        <f t="shared" si="15"/>
        <v>695</v>
      </c>
      <c r="H227" s="86">
        <f t="shared" si="16"/>
        <v>104.25</v>
      </c>
      <c r="I227" s="86">
        <f t="shared" si="17"/>
        <v>590.75</v>
      </c>
      <c r="J227" s="84">
        <f>VLOOKUP(C227, Products[], 6)</f>
        <v>34.799999999999997</v>
      </c>
      <c r="K227" s="86">
        <f t="shared" si="18"/>
        <v>869.99999999999989</v>
      </c>
      <c r="L227" s="86">
        <f t="shared" si="19"/>
        <v>-279.24999999999989</v>
      </c>
      <c r="N227">
        <v>10469</v>
      </c>
      <c r="O227" s="84" cm="1">
        <f t="array" ref="O227">SUM(INDEX(_xlfn._xlws.FILTER($B$6:$L$2160, $B$6:$B$2160=N227), 0, 8))</f>
        <v>956.67499999999995</v>
      </c>
      <c r="P227" s="84" cm="1">
        <f t="array" ref="P227">SUM(INDEX(_xlfn._xlws.FILTER($B$6:$L$2160, $B$6:$B$2160=N227), 0, 10))</f>
        <v>1409.65</v>
      </c>
      <c r="Q227" s="84" cm="1">
        <f t="array" ref="Q227">SUM(INDEX(_xlfn._xlws.FILTER($B$6:$L$2160, $B$6:$B$2160=N227), 0, 11))</f>
        <v>-452.97500000000008</v>
      </c>
    </row>
    <row r="228" spans="2:17" x14ac:dyDescent="0.2">
      <c r="B228">
        <v>10331</v>
      </c>
      <c r="C228">
        <v>54</v>
      </c>
      <c r="D228" s="84">
        <v>5.9</v>
      </c>
      <c r="E228">
        <v>15</v>
      </c>
      <c r="F228" s="85">
        <v>0</v>
      </c>
      <c r="G228" s="86">
        <f t="shared" si="15"/>
        <v>88.5</v>
      </c>
      <c r="H228" s="86">
        <f t="shared" si="16"/>
        <v>0</v>
      </c>
      <c r="I228" s="86">
        <f t="shared" si="17"/>
        <v>88.5</v>
      </c>
      <c r="J228" s="84">
        <f>VLOOKUP(C228, Products[], 6)</f>
        <v>7.45</v>
      </c>
      <c r="K228" s="86">
        <f t="shared" si="18"/>
        <v>111.75</v>
      </c>
      <c r="L228" s="86">
        <f t="shared" si="19"/>
        <v>-23.25</v>
      </c>
      <c r="N228">
        <v>10470</v>
      </c>
      <c r="O228" s="84" cm="1">
        <f t="array" ref="O228">SUM(INDEX(_xlfn._xlws.FILTER($B$6:$L$2160, $B$6:$B$2160=N228), 0, 8))</f>
        <v>1820.8</v>
      </c>
      <c r="P228" s="84" cm="1">
        <f t="array" ref="P228">SUM(INDEX(_xlfn._xlws.FILTER($B$6:$L$2160, $B$6:$B$2160=N228), 0, 10))</f>
        <v>2276</v>
      </c>
      <c r="Q228" s="84" cm="1">
        <f t="array" ref="Q228">SUM(INDEX(_xlfn._xlws.FILTER($B$6:$L$2160, $B$6:$B$2160=N228), 0, 11))</f>
        <v>-455.2</v>
      </c>
    </row>
    <row r="229" spans="2:17" x14ac:dyDescent="0.2">
      <c r="B229">
        <v>10332</v>
      </c>
      <c r="C229">
        <v>18</v>
      </c>
      <c r="D229" s="84">
        <v>50</v>
      </c>
      <c r="E229">
        <v>40</v>
      </c>
      <c r="F229" s="85">
        <v>0.2</v>
      </c>
      <c r="G229" s="86">
        <f t="shared" si="15"/>
        <v>2000</v>
      </c>
      <c r="H229" s="86">
        <f t="shared" si="16"/>
        <v>400</v>
      </c>
      <c r="I229" s="86">
        <f t="shared" si="17"/>
        <v>1600</v>
      </c>
      <c r="J229" s="84">
        <f>VLOOKUP(C229, Products[], 6)</f>
        <v>62.5</v>
      </c>
      <c r="K229" s="86">
        <f t="shared" si="18"/>
        <v>2500</v>
      </c>
      <c r="L229" s="86">
        <f t="shared" si="19"/>
        <v>-900</v>
      </c>
      <c r="N229">
        <v>10471</v>
      </c>
      <c r="O229" s="84" cm="1">
        <f t="array" ref="O229">SUM(INDEX(_xlfn._xlws.FILTER($B$6:$L$2160, $B$6:$B$2160=N229), 0, 8))</f>
        <v>1328</v>
      </c>
      <c r="P229" s="84" cm="1">
        <f t="array" ref="P229">SUM(INDEX(_xlfn._xlws.FILTER($B$6:$L$2160, $B$6:$B$2160=N229), 0, 10))</f>
        <v>1660</v>
      </c>
      <c r="Q229" s="84" cm="1">
        <f t="array" ref="Q229">SUM(INDEX(_xlfn._xlws.FILTER($B$6:$L$2160, $B$6:$B$2160=N229), 0, 11))</f>
        <v>-332</v>
      </c>
    </row>
    <row r="230" spans="2:17" x14ac:dyDescent="0.2">
      <c r="B230">
        <v>10332</v>
      </c>
      <c r="C230">
        <v>42</v>
      </c>
      <c r="D230" s="84">
        <v>11.2</v>
      </c>
      <c r="E230">
        <v>10</v>
      </c>
      <c r="F230" s="85">
        <v>0.2</v>
      </c>
      <c r="G230" s="86">
        <f t="shared" si="15"/>
        <v>112</v>
      </c>
      <c r="H230" s="86">
        <f t="shared" si="16"/>
        <v>22.400000000000002</v>
      </c>
      <c r="I230" s="86">
        <f t="shared" si="17"/>
        <v>89.6</v>
      </c>
      <c r="J230" s="84">
        <f>VLOOKUP(C230, Products[], 6)</f>
        <v>14</v>
      </c>
      <c r="K230" s="86">
        <f t="shared" si="18"/>
        <v>140</v>
      </c>
      <c r="L230" s="86">
        <f t="shared" si="19"/>
        <v>-50.400000000000006</v>
      </c>
      <c r="N230">
        <v>10472</v>
      </c>
      <c r="O230" s="84" cm="1">
        <f t="array" ref="O230">SUM(INDEX(_xlfn._xlws.FILTER($B$6:$L$2160, $B$6:$B$2160=N230), 0, 8))</f>
        <v>1036.8</v>
      </c>
      <c r="P230" s="84" cm="1">
        <f t="array" ref="P230">SUM(INDEX(_xlfn._xlws.FILTER($B$6:$L$2160, $B$6:$B$2160=N230), 0, 10))</f>
        <v>1314</v>
      </c>
      <c r="Q230" s="84" cm="1">
        <f t="array" ref="Q230">SUM(INDEX(_xlfn._xlws.FILTER($B$6:$L$2160, $B$6:$B$2160=N230), 0, 11))</f>
        <v>-277.20000000000005</v>
      </c>
    </row>
    <row r="231" spans="2:17" x14ac:dyDescent="0.2">
      <c r="B231">
        <v>10332</v>
      </c>
      <c r="C231">
        <v>47</v>
      </c>
      <c r="D231" s="84">
        <v>7.6</v>
      </c>
      <c r="E231">
        <v>16</v>
      </c>
      <c r="F231" s="85">
        <v>0.2</v>
      </c>
      <c r="G231" s="86">
        <f t="shared" si="15"/>
        <v>121.6</v>
      </c>
      <c r="H231" s="86">
        <f t="shared" si="16"/>
        <v>24.32</v>
      </c>
      <c r="I231" s="86">
        <f t="shared" si="17"/>
        <v>97.28</v>
      </c>
      <c r="J231" s="84">
        <f>VLOOKUP(C231, Products[], 6)</f>
        <v>9.5</v>
      </c>
      <c r="K231" s="86">
        <f t="shared" si="18"/>
        <v>152</v>
      </c>
      <c r="L231" s="86">
        <f t="shared" si="19"/>
        <v>-54.72</v>
      </c>
      <c r="N231">
        <v>10473</v>
      </c>
      <c r="O231" s="84" cm="1">
        <f t="array" ref="O231">SUM(INDEX(_xlfn._xlws.FILTER($B$6:$L$2160, $B$6:$B$2160=N231), 0, 8))</f>
        <v>230.39999999999998</v>
      </c>
      <c r="P231" s="84" cm="1">
        <f t="array" ref="P231">SUM(INDEX(_xlfn._xlws.FILTER($B$6:$L$2160, $B$6:$B$2160=N231), 0, 10))</f>
        <v>288</v>
      </c>
      <c r="Q231" s="84" cm="1">
        <f t="array" ref="Q231">SUM(INDEX(_xlfn._xlws.FILTER($B$6:$L$2160, $B$6:$B$2160=N231), 0, 11))</f>
        <v>-57.600000000000023</v>
      </c>
    </row>
    <row r="232" spans="2:17" x14ac:dyDescent="0.2">
      <c r="B232">
        <v>10333</v>
      </c>
      <c r="C232">
        <v>14</v>
      </c>
      <c r="D232" s="84">
        <v>18.600000000000001</v>
      </c>
      <c r="E232">
        <v>10</v>
      </c>
      <c r="F232" s="85">
        <v>0</v>
      </c>
      <c r="G232" s="86">
        <f t="shared" si="15"/>
        <v>186</v>
      </c>
      <c r="H232" s="86">
        <f t="shared" si="16"/>
        <v>0</v>
      </c>
      <c r="I232" s="86">
        <f t="shared" si="17"/>
        <v>186</v>
      </c>
      <c r="J232" s="84">
        <f>VLOOKUP(C232, Products[], 6)</f>
        <v>23.25</v>
      </c>
      <c r="K232" s="86">
        <f t="shared" si="18"/>
        <v>232.5</v>
      </c>
      <c r="L232" s="86">
        <f t="shared" si="19"/>
        <v>-46.5</v>
      </c>
      <c r="N232">
        <v>10474</v>
      </c>
      <c r="O232" s="84" cm="1">
        <f t="array" ref="O232">SUM(INDEX(_xlfn._xlws.FILTER($B$6:$L$2160, $B$6:$B$2160=N232), 0, 8))</f>
        <v>1249.0999999999999</v>
      </c>
      <c r="P232" s="84" cm="1">
        <f t="array" ref="P232">SUM(INDEX(_xlfn._xlws.FILTER($B$6:$L$2160, $B$6:$B$2160=N232), 0, 10))</f>
        <v>1563.7000000000003</v>
      </c>
      <c r="Q232" s="84" cm="1">
        <f t="array" ref="Q232">SUM(INDEX(_xlfn._xlws.FILTER($B$6:$L$2160, $B$6:$B$2160=N232), 0, 11))</f>
        <v>-314.60000000000014</v>
      </c>
    </row>
    <row r="233" spans="2:17" x14ac:dyDescent="0.2">
      <c r="B233">
        <v>10333</v>
      </c>
      <c r="C233">
        <v>21</v>
      </c>
      <c r="D233" s="84">
        <v>8</v>
      </c>
      <c r="E233">
        <v>10</v>
      </c>
      <c r="F233" s="85">
        <v>0.1</v>
      </c>
      <c r="G233" s="86">
        <f t="shared" si="15"/>
        <v>80</v>
      </c>
      <c r="H233" s="86">
        <f t="shared" si="16"/>
        <v>8</v>
      </c>
      <c r="I233" s="86">
        <f t="shared" si="17"/>
        <v>72</v>
      </c>
      <c r="J233" s="84">
        <f>VLOOKUP(C233, Products[], 6)</f>
        <v>10</v>
      </c>
      <c r="K233" s="86">
        <f t="shared" si="18"/>
        <v>100</v>
      </c>
      <c r="L233" s="86">
        <f t="shared" si="19"/>
        <v>-28</v>
      </c>
      <c r="N233">
        <v>10475</v>
      </c>
      <c r="O233" s="84" cm="1">
        <f t="array" ref="O233">SUM(INDEX(_xlfn._xlws.FILTER($B$6:$L$2160, $B$6:$B$2160=N233), 0, 8))</f>
        <v>1505.18</v>
      </c>
      <c r="P233" s="84" cm="1">
        <f t="array" ref="P233">SUM(INDEX(_xlfn._xlws.FILTER($B$6:$L$2160, $B$6:$B$2160=N233), 0, 10))</f>
        <v>2213.5</v>
      </c>
      <c r="Q233" s="84" cm="1">
        <f t="array" ref="Q233">SUM(INDEX(_xlfn._xlws.FILTER($B$6:$L$2160, $B$6:$B$2160=N233), 0, 11))</f>
        <v>-708.31999999999994</v>
      </c>
    </row>
    <row r="234" spans="2:17" x14ac:dyDescent="0.2">
      <c r="B234">
        <v>10333</v>
      </c>
      <c r="C234">
        <v>71</v>
      </c>
      <c r="D234" s="84">
        <v>17.2</v>
      </c>
      <c r="E234">
        <v>40</v>
      </c>
      <c r="F234" s="85">
        <v>0.1</v>
      </c>
      <c r="G234" s="86">
        <f t="shared" si="15"/>
        <v>688</v>
      </c>
      <c r="H234" s="86">
        <f t="shared" si="16"/>
        <v>68.8</v>
      </c>
      <c r="I234" s="86">
        <f t="shared" si="17"/>
        <v>619.20000000000005</v>
      </c>
      <c r="J234" s="84">
        <f>VLOOKUP(C234, Products[], 6)</f>
        <v>21.5</v>
      </c>
      <c r="K234" s="86">
        <f t="shared" si="18"/>
        <v>860</v>
      </c>
      <c r="L234" s="86">
        <f t="shared" si="19"/>
        <v>-240.79999999999995</v>
      </c>
      <c r="N234">
        <v>10476</v>
      </c>
      <c r="O234" s="84" cm="1">
        <f t="array" ref="O234">SUM(INDEX(_xlfn._xlws.FILTER($B$6:$L$2160, $B$6:$B$2160=N234), 0, 8))</f>
        <v>180.48</v>
      </c>
      <c r="P234" s="84" cm="1">
        <f t="array" ref="P234">SUM(INDEX(_xlfn._xlws.FILTER($B$6:$L$2160, $B$6:$B$2160=N234), 0, 10))</f>
        <v>228</v>
      </c>
      <c r="Q234" s="84" cm="1">
        <f t="array" ref="Q234">SUM(INDEX(_xlfn._xlws.FILTER($B$6:$L$2160, $B$6:$B$2160=N234), 0, 11))</f>
        <v>-47.52</v>
      </c>
    </row>
    <row r="235" spans="2:17" x14ac:dyDescent="0.2">
      <c r="B235">
        <v>10334</v>
      </c>
      <c r="C235">
        <v>52</v>
      </c>
      <c r="D235" s="84">
        <v>5.6</v>
      </c>
      <c r="E235">
        <v>8</v>
      </c>
      <c r="F235" s="85">
        <v>0</v>
      </c>
      <c r="G235" s="86">
        <f t="shared" si="15"/>
        <v>44.8</v>
      </c>
      <c r="H235" s="86">
        <f t="shared" si="16"/>
        <v>0</v>
      </c>
      <c r="I235" s="86">
        <f t="shared" si="17"/>
        <v>44.8</v>
      </c>
      <c r="J235" s="84">
        <f>VLOOKUP(C235, Products[], 6)</f>
        <v>7</v>
      </c>
      <c r="K235" s="86">
        <f t="shared" si="18"/>
        <v>56</v>
      </c>
      <c r="L235" s="86">
        <f t="shared" si="19"/>
        <v>-11.200000000000003</v>
      </c>
      <c r="N235">
        <v>10477</v>
      </c>
      <c r="O235" s="84" cm="1">
        <f t="array" ref="O235">SUM(INDEX(_xlfn._xlws.FILTER($B$6:$L$2160, $B$6:$B$2160=N235), 0, 8))</f>
        <v>558</v>
      </c>
      <c r="P235" s="84" cm="1">
        <f t="array" ref="P235">SUM(INDEX(_xlfn._xlws.FILTER($B$6:$L$2160, $B$6:$B$2160=N235), 0, 10))</f>
        <v>840</v>
      </c>
      <c r="Q235" s="84" cm="1">
        <f t="array" ref="Q235">SUM(INDEX(_xlfn._xlws.FILTER($B$6:$L$2160, $B$6:$B$2160=N235), 0, 11))</f>
        <v>-282</v>
      </c>
    </row>
    <row r="236" spans="2:17" x14ac:dyDescent="0.2">
      <c r="B236">
        <v>10334</v>
      </c>
      <c r="C236">
        <v>68</v>
      </c>
      <c r="D236" s="84">
        <v>10</v>
      </c>
      <c r="E236">
        <v>10</v>
      </c>
      <c r="F236" s="85">
        <v>0</v>
      </c>
      <c r="G236" s="86">
        <f t="shared" si="15"/>
        <v>100</v>
      </c>
      <c r="H236" s="86">
        <f t="shared" si="16"/>
        <v>0</v>
      </c>
      <c r="I236" s="86">
        <f t="shared" si="17"/>
        <v>100</v>
      </c>
      <c r="J236" s="84">
        <f>VLOOKUP(C236, Products[], 6)</f>
        <v>12.5</v>
      </c>
      <c r="K236" s="86">
        <f t="shared" si="18"/>
        <v>125</v>
      </c>
      <c r="L236" s="86">
        <f t="shared" si="19"/>
        <v>-25</v>
      </c>
      <c r="N236">
        <v>10478</v>
      </c>
      <c r="O236" s="84" cm="1">
        <f t="array" ref="O236">SUM(INDEX(_xlfn._xlws.FILTER($B$6:$L$2160, $B$6:$B$2160=N236), 0, 8))</f>
        <v>471.2</v>
      </c>
      <c r="P236" s="84" cm="1">
        <f t="array" ref="P236">SUM(INDEX(_xlfn._xlws.FILTER($B$6:$L$2160, $B$6:$B$2160=N236), 0, 10))</f>
        <v>620</v>
      </c>
      <c r="Q236" s="84" cm="1">
        <f t="array" ref="Q236">SUM(INDEX(_xlfn._xlws.FILTER($B$6:$L$2160, $B$6:$B$2160=N236), 0, 11))</f>
        <v>-148.80000000000001</v>
      </c>
    </row>
    <row r="237" spans="2:17" x14ac:dyDescent="0.2">
      <c r="B237">
        <v>10335</v>
      </c>
      <c r="C237">
        <v>2</v>
      </c>
      <c r="D237" s="84">
        <v>15.2</v>
      </c>
      <c r="E237">
        <v>7</v>
      </c>
      <c r="F237" s="85">
        <v>0.2</v>
      </c>
      <c r="G237" s="86">
        <f t="shared" si="15"/>
        <v>106.39999999999999</v>
      </c>
      <c r="H237" s="86">
        <f t="shared" si="16"/>
        <v>21.28</v>
      </c>
      <c r="I237" s="86">
        <f t="shared" si="17"/>
        <v>85.11999999999999</v>
      </c>
      <c r="J237" s="84">
        <f>VLOOKUP(C237, Products[], 6)</f>
        <v>19</v>
      </c>
      <c r="K237" s="86">
        <f t="shared" si="18"/>
        <v>133</v>
      </c>
      <c r="L237" s="86">
        <f t="shared" si="19"/>
        <v>-47.88000000000001</v>
      </c>
      <c r="N237">
        <v>10479</v>
      </c>
      <c r="O237" s="84" cm="1">
        <f t="array" ref="O237">SUM(INDEX(_xlfn._xlws.FILTER($B$6:$L$2160, $B$6:$B$2160=N237), 0, 8))</f>
        <v>10495.6</v>
      </c>
      <c r="P237" s="84" cm="1">
        <f t="array" ref="P237">SUM(INDEX(_xlfn._xlws.FILTER($B$6:$L$2160, $B$6:$B$2160=N237), 0, 10))</f>
        <v>13120.9</v>
      </c>
      <c r="Q237" s="84" cm="1">
        <f t="array" ref="Q237">SUM(INDEX(_xlfn._xlws.FILTER($B$6:$L$2160, $B$6:$B$2160=N237), 0, 11))</f>
        <v>-2625.2999999999997</v>
      </c>
    </row>
    <row r="238" spans="2:17" x14ac:dyDescent="0.2">
      <c r="B238">
        <v>10335</v>
      </c>
      <c r="C238">
        <v>31</v>
      </c>
      <c r="D238" s="84">
        <v>10</v>
      </c>
      <c r="E238">
        <v>25</v>
      </c>
      <c r="F238" s="85">
        <v>0.2</v>
      </c>
      <c r="G238" s="86">
        <f t="shared" si="15"/>
        <v>250</v>
      </c>
      <c r="H238" s="86">
        <f t="shared" si="16"/>
        <v>50</v>
      </c>
      <c r="I238" s="86">
        <f t="shared" si="17"/>
        <v>200</v>
      </c>
      <c r="J238" s="84">
        <f>VLOOKUP(C238, Products[], 6)</f>
        <v>12.5</v>
      </c>
      <c r="K238" s="86">
        <f t="shared" si="18"/>
        <v>312.5</v>
      </c>
      <c r="L238" s="86">
        <f t="shared" si="19"/>
        <v>-112.5</v>
      </c>
      <c r="N238">
        <v>10480</v>
      </c>
      <c r="O238" s="84" cm="1">
        <f t="array" ref="O238">SUM(INDEX(_xlfn._xlws.FILTER($B$6:$L$2160, $B$6:$B$2160=N238), 0, 8))</f>
        <v>756</v>
      </c>
      <c r="P238" s="84" cm="1">
        <f t="array" ref="P238">SUM(INDEX(_xlfn._xlws.FILTER($B$6:$L$2160, $B$6:$B$2160=N238), 0, 10))</f>
        <v>945</v>
      </c>
      <c r="Q238" s="84" cm="1">
        <f t="array" ref="Q238">SUM(INDEX(_xlfn._xlws.FILTER($B$6:$L$2160, $B$6:$B$2160=N238), 0, 11))</f>
        <v>-189</v>
      </c>
    </row>
    <row r="239" spans="2:17" x14ac:dyDescent="0.2">
      <c r="B239">
        <v>10335</v>
      </c>
      <c r="C239">
        <v>32</v>
      </c>
      <c r="D239" s="84">
        <v>25.6</v>
      </c>
      <c r="E239">
        <v>6</v>
      </c>
      <c r="F239" s="85">
        <v>0.2</v>
      </c>
      <c r="G239" s="86">
        <f t="shared" si="15"/>
        <v>153.60000000000002</v>
      </c>
      <c r="H239" s="86">
        <f t="shared" si="16"/>
        <v>30.720000000000006</v>
      </c>
      <c r="I239" s="86">
        <f t="shared" si="17"/>
        <v>122.88000000000002</v>
      </c>
      <c r="J239" s="84">
        <f>VLOOKUP(C239, Products[], 6)</f>
        <v>32</v>
      </c>
      <c r="K239" s="86">
        <f t="shared" si="18"/>
        <v>192</v>
      </c>
      <c r="L239" s="86">
        <f t="shared" si="19"/>
        <v>-69.119999999999976</v>
      </c>
      <c r="N239">
        <v>10481</v>
      </c>
      <c r="O239" s="84" cm="1">
        <f t="array" ref="O239">SUM(INDEX(_xlfn._xlws.FILTER($B$6:$L$2160, $B$6:$B$2160=N239), 0, 8))</f>
        <v>1472</v>
      </c>
      <c r="P239" s="84" cm="1">
        <f t="array" ref="P239">SUM(INDEX(_xlfn._xlws.FILTER($B$6:$L$2160, $B$6:$B$2160=N239), 0, 10))</f>
        <v>1840</v>
      </c>
      <c r="Q239" s="84" cm="1">
        <f t="array" ref="Q239">SUM(INDEX(_xlfn._xlws.FILTER($B$6:$L$2160, $B$6:$B$2160=N239), 0, 11))</f>
        <v>-368</v>
      </c>
    </row>
    <row r="240" spans="2:17" x14ac:dyDescent="0.2">
      <c r="B240">
        <v>10335</v>
      </c>
      <c r="C240">
        <v>51</v>
      </c>
      <c r="D240" s="84">
        <v>42.4</v>
      </c>
      <c r="E240">
        <v>48</v>
      </c>
      <c r="F240" s="85">
        <v>0.2</v>
      </c>
      <c r="G240" s="86">
        <f t="shared" si="15"/>
        <v>2035.1999999999998</v>
      </c>
      <c r="H240" s="86">
        <f t="shared" si="16"/>
        <v>407.03999999999996</v>
      </c>
      <c r="I240" s="86">
        <f t="shared" si="17"/>
        <v>1628.1599999999999</v>
      </c>
      <c r="J240" s="84">
        <f>VLOOKUP(C240, Products[], 6)</f>
        <v>53</v>
      </c>
      <c r="K240" s="86">
        <f t="shared" si="18"/>
        <v>2544</v>
      </c>
      <c r="L240" s="86">
        <f t="shared" si="19"/>
        <v>-915.84000000000015</v>
      </c>
      <c r="N240">
        <v>10482</v>
      </c>
      <c r="O240" s="84" cm="1">
        <f t="array" ref="O240">SUM(INDEX(_xlfn._xlws.FILTER($B$6:$L$2160, $B$6:$B$2160=N240), 0, 8))</f>
        <v>147</v>
      </c>
      <c r="P240" s="84" cm="1">
        <f t="array" ref="P240">SUM(INDEX(_xlfn._xlws.FILTER($B$6:$L$2160, $B$6:$B$2160=N240), 0, 10))</f>
        <v>184</v>
      </c>
      <c r="Q240" s="84" cm="1">
        <f t="array" ref="Q240">SUM(INDEX(_xlfn._xlws.FILTER($B$6:$L$2160, $B$6:$B$2160=N240), 0, 11))</f>
        <v>-37</v>
      </c>
    </row>
    <row r="241" spans="2:17" x14ac:dyDescent="0.2">
      <c r="B241">
        <v>10336</v>
      </c>
      <c r="C241">
        <v>4</v>
      </c>
      <c r="D241" s="84">
        <v>17.600000000000001</v>
      </c>
      <c r="E241">
        <v>18</v>
      </c>
      <c r="F241" s="85">
        <v>0.1</v>
      </c>
      <c r="G241" s="86">
        <f t="shared" si="15"/>
        <v>316.8</v>
      </c>
      <c r="H241" s="86">
        <f t="shared" si="16"/>
        <v>31.680000000000003</v>
      </c>
      <c r="I241" s="86">
        <f t="shared" si="17"/>
        <v>285.12</v>
      </c>
      <c r="J241" s="84">
        <f>VLOOKUP(C241, Products[], 6)</f>
        <v>22</v>
      </c>
      <c r="K241" s="86">
        <f t="shared" si="18"/>
        <v>396</v>
      </c>
      <c r="L241" s="86">
        <f t="shared" si="19"/>
        <v>-110.88</v>
      </c>
      <c r="N241">
        <v>10483</v>
      </c>
      <c r="O241" s="84" cm="1">
        <f t="array" ref="O241">SUM(INDEX(_xlfn._xlws.FILTER($B$6:$L$2160, $B$6:$B$2160=N241), 0, 8))</f>
        <v>668.8</v>
      </c>
      <c r="P241" s="84" cm="1">
        <f t="array" ref="P241">SUM(INDEX(_xlfn._xlws.FILTER($B$6:$L$2160, $B$6:$B$2160=N241), 0, 10))</f>
        <v>880</v>
      </c>
      <c r="Q241" s="84" cm="1">
        <f t="array" ref="Q241">SUM(INDEX(_xlfn._xlws.FILTER($B$6:$L$2160, $B$6:$B$2160=N241), 0, 11))</f>
        <v>-211.20000000000005</v>
      </c>
    </row>
    <row r="242" spans="2:17" x14ac:dyDescent="0.2">
      <c r="B242">
        <v>10337</v>
      </c>
      <c r="C242">
        <v>23</v>
      </c>
      <c r="D242" s="84">
        <v>7.2</v>
      </c>
      <c r="E242">
        <v>40</v>
      </c>
      <c r="F242" s="85">
        <v>0</v>
      </c>
      <c r="G242" s="86">
        <f t="shared" si="15"/>
        <v>288</v>
      </c>
      <c r="H242" s="86">
        <f t="shared" si="16"/>
        <v>0</v>
      </c>
      <c r="I242" s="86">
        <f t="shared" si="17"/>
        <v>288</v>
      </c>
      <c r="J242" s="84">
        <f>VLOOKUP(C242, Products[], 6)</f>
        <v>9</v>
      </c>
      <c r="K242" s="86">
        <f t="shared" si="18"/>
        <v>360</v>
      </c>
      <c r="L242" s="86">
        <f t="shared" si="19"/>
        <v>-72</v>
      </c>
      <c r="N242">
        <v>10484</v>
      </c>
      <c r="O242" s="84" cm="1">
        <f t="array" ref="O242">SUM(INDEX(_xlfn._xlws.FILTER($B$6:$L$2160, $B$6:$B$2160=N242), 0, 8))</f>
        <v>386.2</v>
      </c>
      <c r="P242" s="84" cm="1">
        <f t="array" ref="P242">SUM(INDEX(_xlfn._xlws.FILTER($B$6:$L$2160, $B$6:$B$2160=N242), 0, 10))</f>
        <v>483</v>
      </c>
      <c r="Q242" s="84" cm="1">
        <f t="array" ref="Q242">SUM(INDEX(_xlfn._xlws.FILTER($B$6:$L$2160, $B$6:$B$2160=N242), 0, 11))</f>
        <v>-96.800000000000011</v>
      </c>
    </row>
    <row r="243" spans="2:17" x14ac:dyDescent="0.2">
      <c r="B243">
        <v>10337</v>
      </c>
      <c r="C243">
        <v>26</v>
      </c>
      <c r="D243" s="84">
        <v>24.9</v>
      </c>
      <c r="E243">
        <v>24</v>
      </c>
      <c r="F243" s="85">
        <v>0</v>
      </c>
      <c r="G243" s="86">
        <f t="shared" si="15"/>
        <v>597.59999999999991</v>
      </c>
      <c r="H243" s="86">
        <f t="shared" si="16"/>
        <v>0</v>
      </c>
      <c r="I243" s="86">
        <f t="shared" si="17"/>
        <v>597.59999999999991</v>
      </c>
      <c r="J243" s="84">
        <f>VLOOKUP(C243, Products[], 6)</f>
        <v>31.23</v>
      </c>
      <c r="K243" s="86">
        <f t="shared" si="18"/>
        <v>749.52</v>
      </c>
      <c r="L243" s="86">
        <f t="shared" si="19"/>
        <v>-151.92000000000007</v>
      </c>
      <c r="N243">
        <v>10485</v>
      </c>
      <c r="O243" s="84" cm="1">
        <f t="array" ref="O243">SUM(INDEX(_xlfn._xlws.FILTER($B$6:$L$2160, $B$6:$B$2160=N243), 0, 8))</f>
        <v>1584</v>
      </c>
      <c r="P243" s="84" cm="1">
        <f t="array" ref="P243">SUM(INDEX(_xlfn._xlws.FILTER($B$6:$L$2160, $B$6:$B$2160=N243), 0, 10))</f>
        <v>2200</v>
      </c>
      <c r="Q243" s="84" cm="1">
        <f t="array" ref="Q243">SUM(INDEX(_xlfn._xlws.FILTER($B$6:$L$2160, $B$6:$B$2160=N243), 0, 11))</f>
        <v>-616</v>
      </c>
    </row>
    <row r="244" spans="2:17" x14ac:dyDescent="0.2">
      <c r="B244">
        <v>10337</v>
      </c>
      <c r="C244">
        <v>36</v>
      </c>
      <c r="D244" s="84">
        <v>15.2</v>
      </c>
      <c r="E244">
        <v>20</v>
      </c>
      <c r="F244" s="85">
        <v>0</v>
      </c>
      <c r="G244" s="86">
        <f t="shared" si="15"/>
        <v>304</v>
      </c>
      <c r="H244" s="86">
        <f t="shared" si="16"/>
        <v>0</v>
      </c>
      <c r="I244" s="86">
        <f t="shared" si="17"/>
        <v>304</v>
      </c>
      <c r="J244" s="84">
        <f>VLOOKUP(C244, Products[], 6)</f>
        <v>19</v>
      </c>
      <c r="K244" s="86">
        <f t="shared" si="18"/>
        <v>380</v>
      </c>
      <c r="L244" s="86">
        <f t="shared" si="19"/>
        <v>-76</v>
      </c>
      <c r="N244">
        <v>10486</v>
      </c>
      <c r="O244" s="84" cm="1">
        <f t="array" ref="O244">SUM(INDEX(_xlfn._xlws.FILTER($B$6:$L$2160, $B$6:$B$2160=N244), 0, 8))</f>
        <v>1272</v>
      </c>
      <c r="P244" s="84" cm="1">
        <f t="array" ref="P244">SUM(INDEX(_xlfn._xlws.FILTER($B$6:$L$2160, $B$6:$B$2160=N244), 0, 10))</f>
        <v>1590</v>
      </c>
      <c r="Q244" s="84" cm="1">
        <f t="array" ref="Q244">SUM(INDEX(_xlfn._xlws.FILTER($B$6:$L$2160, $B$6:$B$2160=N244), 0, 11))</f>
        <v>-318</v>
      </c>
    </row>
    <row r="245" spans="2:17" x14ac:dyDescent="0.2">
      <c r="B245">
        <v>10337</v>
      </c>
      <c r="C245">
        <v>37</v>
      </c>
      <c r="D245" s="84">
        <v>20.8</v>
      </c>
      <c r="E245">
        <v>28</v>
      </c>
      <c r="F245" s="85">
        <v>0</v>
      </c>
      <c r="G245" s="86">
        <f t="shared" si="15"/>
        <v>582.4</v>
      </c>
      <c r="H245" s="86">
        <f t="shared" si="16"/>
        <v>0</v>
      </c>
      <c r="I245" s="86">
        <f t="shared" si="17"/>
        <v>582.4</v>
      </c>
      <c r="J245" s="84">
        <f>VLOOKUP(C245, Products[], 6)</f>
        <v>26</v>
      </c>
      <c r="K245" s="86">
        <f t="shared" si="18"/>
        <v>728</v>
      </c>
      <c r="L245" s="86">
        <f t="shared" si="19"/>
        <v>-145.60000000000002</v>
      </c>
      <c r="N245">
        <v>10487</v>
      </c>
      <c r="O245" s="84" cm="1">
        <f t="array" ref="O245">SUM(INDEX(_xlfn._xlws.FILTER($B$6:$L$2160, $B$6:$B$2160=N245), 0, 8))</f>
        <v>889.7</v>
      </c>
      <c r="P245" s="84" cm="1">
        <f t="array" ref="P245">SUM(INDEX(_xlfn._xlws.FILTER($B$6:$L$2160, $B$6:$B$2160=N245), 0, 10))</f>
        <v>1161.7</v>
      </c>
      <c r="Q245" s="84" cm="1">
        <f t="array" ref="Q245">SUM(INDEX(_xlfn._xlws.FILTER($B$6:$L$2160, $B$6:$B$2160=N245), 0, 11))</f>
        <v>-272</v>
      </c>
    </row>
    <row r="246" spans="2:17" x14ac:dyDescent="0.2">
      <c r="B246">
        <v>10337</v>
      </c>
      <c r="C246">
        <v>72</v>
      </c>
      <c r="D246" s="84">
        <v>27.8</v>
      </c>
      <c r="E246">
        <v>25</v>
      </c>
      <c r="F246" s="85">
        <v>0</v>
      </c>
      <c r="G246" s="86">
        <f t="shared" si="15"/>
        <v>695</v>
      </c>
      <c r="H246" s="86">
        <f t="shared" si="16"/>
        <v>0</v>
      </c>
      <c r="I246" s="86">
        <f t="shared" si="17"/>
        <v>695</v>
      </c>
      <c r="J246" s="84">
        <f>VLOOKUP(C246, Products[], 6)</f>
        <v>34.799999999999997</v>
      </c>
      <c r="K246" s="86">
        <f t="shared" si="18"/>
        <v>869.99999999999989</v>
      </c>
      <c r="L246" s="86">
        <f t="shared" si="19"/>
        <v>-174.99999999999989</v>
      </c>
      <c r="N246">
        <v>10488</v>
      </c>
      <c r="O246" s="84" cm="1">
        <f t="array" ref="O246">SUM(INDEX(_xlfn._xlws.FILTER($B$6:$L$2160, $B$6:$B$2160=N246), 0, 8))</f>
        <v>1512</v>
      </c>
      <c r="P246" s="84" cm="1">
        <f t="array" ref="P246">SUM(INDEX(_xlfn._xlws.FILTER($B$6:$L$2160, $B$6:$B$2160=N246), 0, 10))</f>
        <v>1950</v>
      </c>
      <c r="Q246" s="84" cm="1">
        <f t="array" ref="Q246">SUM(INDEX(_xlfn._xlws.FILTER($B$6:$L$2160, $B$6:$B$2160=N246), 0, 11))</f>
        <v>-438</v>
      </c>
    </row>
    <row r="247" spans="2:17" x14ac:dyDescent="0.2">
      <c r="B247">
        <v>10338</v>
      </c>
      <c r="C247">
        <v>17</v>
      </c>
      <c r="D247" s="84">
        <v>31.2</v>
      </c>
      <c r="E247">
        <v>20</v>
      </c>
      <c r="F247" s="85">
        <v>0</v>
      </c>
      <c r="G247" s="86">
        <f t="shared" si="15"/>
        <v>624</v>
      </c>
      <c r="H247" s="86">
        <f t="shared" si="16"/>
        <v>0</v>
      </c>
      <c r="I247" s="86">
        <f t="shared" si="17"/>
        <v>624</v>
      </c>
      <c r="J247" s="84">
        <f>VLOOKUP(C247, Products[], 6)</f>
        <v>39</v>
      </c>
      <c r="K247" s="86">
        <f t="shared" si="18"/>
        <v>780</v>
      </c>
      <c r="L247" s="86">
        <f t="shared" si="19"/>
        <v>-156</v>
      </c>
      <c r="N247">
        <v>10489</v>
      </c>
      <c r="O247" s="84" cm="1">
        <f t="array" ref="O247">SUM(INDEX(_xlfn._xlws.FILTER($B$6:$L$2160, $B$6:$B$2160=N247), 0, 8))</f>
        <v>439.20000000000005</v>
      </c>
      <c r="P247" s="84" cm="1">
        <f t="array" ref="P247">SUM(INDEX(_xlfn._xlws.FILTER($B$6:$L$2160, $B$6:$B$2160=N247), 0, 10))</f>
        <v>629.09999999999991</v>
      </c>
      <c r="Q247" s="84" cm="1">
        <f t="array" ref="Q247">SUM(INDEX(_xlfn._xlws.FILTER($B$6:$L$2160, $B$6:$B$2160=N247), 0, 11))</f>
        <v>-189.89999999999995</v>
      </c>
    </row>
    <row r="248" spans="2:17" x14ac:dyDescent="0.2">
      <c r="B248">
        <v>10338</v>
      </c>
      <c r="C248">
        <v>30</v>
      </c>
      <c r="D248" s="84">
        <v>20.7</v>
      </c>
      <c r="E248">
        <v>15</v>
      </c>
      <c r="F248" s="85">
        <v>0</v>
      </c>
      <c r="G248" s="86">
        <f t="shared" si="15"/>
        <v>310.5</v>
      </c>
      <c r="H248" s="86">
        <f t="shared" si="16"/>
        <v>0</v>
      </c>
      <c r="I248" s="86">
        <f t="shared" si="17"/>
        <v>310.5</v>
      </c>
      <c r="J248" s="84">
        <f>VLOOKUP(C248, Products[], 6)</f>
        <v>25.89</v>
      </c>
      <c r="K248" s="86">
        <f t="shared" si="18"/>
        <v>388.35</v>
      </c>
      <c r="L248" s="86">
        <f t="shared" si="19"/>
        <v>-77.850000000000023</v>
      </c>
      <c r="N248">
        <v>10490</v>
      </c>
      <c r="O248" s="84" cm="1">
        <f t="array" ref="O248">SUM(INDEX(_xlfn._xlws.FILTER($B$6:$L$2160, $B$6:$B$2160=N248), 0, 8))</f>
        <v>3163.2</v>
      </c>
      <c r="P248" s="84" cm="1">
        <f t="array" ref="P248">SUM(INDEX(_xlfn._xlws.FILTER($B$6:$L$2160, $B$6:$B$2160=N248), 0, 10))</f>
        <v>3954</v>
      </c>
      <c r="Q248" s="84" cm="1">
        <f t="array" ref="Q248">SUM(INDEX(_xlfn._xlws.FILTER($B$6:$L$2160, $B$6:$B$2160=N248), 0, 11))</f>
        <v>-790.8</v>
      </c>
    </row>
    <row r="249" spans="2:17" x14ac:dyDescent="0.2">
      <c r="B249">
        <v>10339</v>
      </c>
      <c r="C249">
        <v>4</v>
      </c>
      <c r="D249" s="84">
        <v>17.600000000000001</v>
      </c>
      <c r="E249">
        <v>10</v>
      </c>
      <c r="F249" s="85">
        <v>0</v>
      </c>
      <c r="G249" s="86">
        <f t="shared" si="15"/>
        <v>176</v>
      </c>
      <c r="H249" s="86">
        <f t="shared" si="16"/>
        <v>0</v>
      </c>
      <c r="I249" s="86">
        <f t="shared" si="17"/>
        <v>176</v>
      </c>
      <c r="J249" s="84">
        <f>VLOOKUP(C249, Products[], 6)</f>
        <v>22</v>
      </c>
      <c r="K249" s="86">
        <f t="shared" si="18"/>
        <v>220</v>
      </c>
      <c r="L249" s="86">
        <f t="shared" si="19"/>
        <v>-44</v>
      </c>
      <c r="N249">
        <v>10491</v>
      </c>
      <c r="O249" s="84" cm="1">
        <f t="array" ref="O249">SUM(INDEX(_xlfn._xlws.FILTER($B$6:$L$2160, $B$6:$B$2160=N249), 0, 8))</f>
        <v>259.505</v>
      </c>
      <c r="P249" s="84" cm="1">
        <f t="array" ref="P249">SUM(INDEX(_xlfn._xlws.FILTER($B$6:$L$2160, $B$6:$B$2160=N249), 0, 10))</f>
        <v>382.75</v>
      </c>
      <c r="Q249" s="84" cm="1">
        <f t="array" ref="Q249">SUM(INDEX(_xlfn._xlws.FILTER($B$6:$L$2160, $B$6:$B$2160=N249), 0, 11))</f>
        <v>-123.245</v>
      </c>
    </row>
    <row r="250" spans="2:17" x14ac:dyDescent="0.2">
      <c r="B250">
        <v>10339</v>
      </c>
      <c r="C250">
        <v>17</v>
      </c>
      <c r="D250" s="84">
        <v>31.2</v>
      </c>
      <c r="E250">
        <v>70</v>
      </c>
      <c r="F250" s="85">
        <v>0.05</v>
      </c>
      <c r="G250" s="86">
        <f t="shared" si="15"/>
        <v>2184</v>
      </c>
      <c r="H250" s="86">
        <f t="shared" si="16"/>
        <v>109.2</v>
      </c>
      <c r="I250" s="86">
        <f t="shared" si="17"/>
        <v>2074.8000000000002</v>
      </c>
      <c r="J250" s="84">
        <f>VLOOKUP(C250, Products[], 6)</f>
        <v>39</v>
      </c>
      <c r="K250" s="86">
        <f t="shared" si="18"/>
        <v>2730</v>
      </c>
      <c r="L250" s="86">
        <f t="shared" si="19"/>
        <v>-655.19999999999982</v>
      </c>
      <c r="N250">
        <v>10492</v>
      </c>
      <c r="O250" s="84" cm="1">
        <f t="array" ref="O250">SUM(INDEX(_xlfn._xlws.FILTER($B$6:$L$2160, $B$6:$B$2160=N250), 0, 8))</f>
        <v>851.2</v>
      </c>
      <c r="P250" s="84" cm="1">
        <f t="array" ref="P250">SUM(INDEX(_xlfn._xlws.FILTER($B$6:$L$2160, $B$6:$B$2160=N250), 0, 10))</f>
        <v>1120</v>
      </c>
      <c r="Q250" s="84" cm="1">
        <f t="array" ref="Q250">SUM(INDEX(_xlfn._xlws.FILTER($B$6:$L$2160, $B$6:$B$2160=N250), 0, 11))</f>
        <v>-268.8</v>
      </c>
    </row>
    <row r="251" spans="2:17" x14ac:dyDescent="0.2">
      <c r="B251">
        <v>10339</v>
      </c>
      <c r="C251">
        <v>62</v>
      </c>
      <c r="D251" s="84">
        <v>39.4</v>
      </c>
      <c r="E251">
        <v>28</v>
      </c>
      <c r="F251" s="85">
        <v>0</v>
      </c>
      <c r="G251" s="86">
        <f t="shared" si="15"/>
        <v>1103.2</v>
      </c>
      <c r="H251" s="86">
        <f t="shared" si="16"/>
        <v>0</v>
      </c>
      <c r="I251" s="86">
        <f t="shared" si="17"/>
        <v>1103.2</v>
      </c>
      <c r="J251" s="84">
        <f>VLOOKUP(C251, Products[], 6)</f>
        <v>49.3</v>
      </c>
      <c r="K251" s="86">
        <f t="shared" si="18"/>
        <v>1380.3999999999999</v>
      </c>
      <c r="L251" s="86">
        <f t="shared" si="19"/>
        <v>-277.19999999999982</v>
      </c>
      <c r="N251">
        <v>10493</v>
      </c>
      <c r="O251" s="84" cm="1">
        <f t="array" ref="O251">SUM(INDEX(_xlfn._xlws.FILTER($B$6:$L$2160, $B$6:$B$2160=N251), 0, 8))</f>
        <v>608.40000000000009</v>
      </c>
      <c r="P251" s="84" cm="1">
        <f t="array" ref="P251">SUM(INDEX(_xlfn._xlws.FILTER($B$6:$L$2160, $B$6:$B$2160=N251), 0, 10))</f>
        <v>845.75</v>
      </c>
      <c r="Q251" s="84" cm="1">
        <f t="array" ref="Q251">SUM(INDEX(_xlfn._xlws.FILTER($B$6:$L$2160, $B$6:$B$2160=N251), 0, 11))</f>
        <v>-237.35</v>
      </c>
    </row>
    <row r="252" spans="2:17" x14ac:dyDescent="0.2">
      <c r="B252">
        <v>10340</v>
      </c>
      <c r="C252">
        <v>18</v>
      </c>
      <c r="D252" s="84">
        <v>50</v>
      </c>
      <c r="E252">
        <v>20</v>
      </c>
      <c r="F252" s="85">
        <v>0.05</v>
      </c>
      <c r="G252" s="86">
        <f t="shared" si="15"/>
        <v>1000</v>
      </c>
      <c r="H252" s="86">
        <f t="shared" si="16"/>
        <v>50</v>
      </c>
      <c r="I252" s="86">
        <f t="shared" si="17"/>
        <v>950</v>
      </c>
      <c r="J252" s="84">
        <f>VLOOKUP(C252, Products[], 6)</f>
        <v>62.5</v>
      </c>
      <c r="K252" s="86">
        <f t="shared" si="18"/>
        <v>1250</v>
      </c>
      <c r="L252" s="86">
        <f t="shared" si="19"/>
        <v>-300</v>
      </c>
      <c r="N252">
        <v>10494</v>
      </c>
      <c r="O252" s="84" cm="1">
        <f t="array" ref="O252">SUM(INDEX(_xlfn._xlws.FILTER($B$6:$L$2160, $B$6:$B$2160=N252), 0, 8))</f>
        <v>912</v>
      </c>
      <c r="P252" s="84" cm="1">
        <f t="array" ref="P252">SUM(INDEX(_xlfn._xlws.FILTER($B$6:$L$2160, $B$6:$B$2160=N252), 0, 10))</f>
        <v>1140</v>
      </c>
      <c r="Q252" s="84" cm="1">
        <f t="array" ref="Q252">SUM(INDEX(_xlfn._xlws.FILTER($B$6:$L$2160, $B$6:$B$2160=N252), 0, 11))</f>
        <v>-228</v>
      </c>
    </row>
    <row r="253" spans="2:17" x14ac:dyDescent="0.2">
      <c r="B253">
        <v>10340</v>
      </c>
      <c r="C253">
        <v>41</v>
      </c>
      <c r="D253" s="84">
        <v>7.7</v>
      </c>
      <c r="E253">
        <v>12</v>
      </c>
      <c r="F253" s="85">
        <v>0.05</v>
      </c>
      <c r="G253" s="86">
        <f t="shared" si="15"/>
        <v>92.4</v>
      </c>
      <c r="H253" s="86">
        <f t="shared" si="16"/>
        <v>4.62</v>
      </c>
      <c r="I253" s="86">
        <f t="shared" si="17"/>
        <v>87.78</v>
      </c>
      <c r="J253" s="84">
        <f>VLOOKUP(C253, Products[], 6)</f>
        <v>9.65</v>
      </c>
      <c r="K253" s="86">
        <f t="shared" si="18"/>
        <v>115.80000000000001</v>
      </c>
      <c r="L253" s="86">
        <f t="shared" si="19"/>
        <v>-28.02000000000001</v>
      </c>
      <c r="N253">
        <v>10495</v>
      </c>
      <c r="O253" s="84" cm="1">
        <f t="array" ref="O253">SUM(INDEX(_xlfn._xlws.FILTER($B$6:$L$2160, $B$6:$B$2160=N253), 0, 8))</f>
        <v>278</v>
      </c>
      <c r="P253" s="84" cm="1">
        <f t="array" ref="P253">SUM(INDEX(_xlfn._xlws.FILTER($B$6:$L$2160, $B$6:$B$2160=N253), 0, 10))</f>
        <v>348</v>
      </c>
      <c r="Q253" s="84" cm="1">
        <f t="array" ref="Q253">SUM(INDEX(_xlfn._xlws.FILTER($B$6:$L$2160, $B$6:$B$2160=N253), 0, 11))</f>
        <v>-70</v>
      </c>
    </row>
    <row r="254" spans="2:17" x14ac:dyDescent="0.2">
      <c r="B254">
        <v>10340</v>
      </c>
      <c r="C254">
        <v>43</v>
      </c>
      <c r="D254" s="84">
        <v>36.799999999999997</v>
      </c>
      <c r="E254">
        <v>40</v>
      </c>
      <c r="F254" s="85">
        <v>0.05</v>
      </c>
      <c r="G254" s="86">
        <f t="shared" si="15"/>
        <v>1472</v>
      </c>
      <c r="H254" s="86">
        <f t="shared" si="16"/>
        <v>73.600000000000009</v>
      </c>
      <c r="I254" s="86">
        <f t="shared" si="17"/>
        <v>1398.4</v>
      </c>
      <c r="J254" s="84">
        <f>VLOOKUP(C254, Products[], 6)</f>
        <v>46</v>
      </c>
      <c r="K254" s="86">
        <f t="shared" si="18"/>
        <v>1840</v>
      </c>
      <c r="L254" s="86">
        <f t="shared" si="19"/>
        <v>-441.59999999999991</v>
      </c>
      <c r="N254">
        <v>10496</v>
      </c>
      <c r="O254" s="84" cm="1">
        <f t="array" ref="O254">SUM(INDEX(_xlfn._xlws.FILTER($B$6:$L$2160, $B$6:$B$2160=N254), 0, 8))</f>
        <v>190</v>
      </c>
      <c r="P254" s="84" cm="1">
        <f t="array" ref="P254">SUM(INDEX(_xlfn._xlws.FILTER($B$6:$L$2160, $B$6:$B$2160=N254), 0, 10))</f>
        <v>250</v>
      </c>
      <c r="Q254" s="84" cm="1">
        <f t="array" ref="Q254">SUM(INDEX(_xlfn._xlws.FILTER($B$6:$L$2160, $B$6:$B$2160=N254), 0, 11))</f>
        <v>-60</v>
      </c>
    </row>
    <row r="255" spans="2:17" x14ac:dyDescent="0.2">
      <c r="B255">
        <v>10341</v>
      </c>
      <c r="C255">
        <v>33</v>
      </c>
      <c r="D255" s="84">
        <v>2</v>
      </c>
      <c r="E255">
        <v>8</v>
      </c>
      <c r="F255" s="85">
        <v>0</v>
      </c>
      <c r="G255" s="86">
        <f t="shared" si="15"/>
        <v>16</v>
      </c>
      <c r="H255" s="86">
        <f t="shared" si="16"/>
        <v>0</v>
      </c>
      <c r="I255" s="86">
        <f t="shared" si="17"/>
        <v>16</v>
      </c>
      <c r="J255" s="84">
        <f>VLOOKUP(C255, Products[], 6)</f>
        <v>2.5</v>
      </c>
      <c r="K255" s="86">
        <f t="shared" si="18"/>
        <v>20</v>
      </c>
      <c r="L255" s="86">
        <f t="shared" si="19"/>
        <v>-4</v>
      </c>
      <c r="N255">
        <v>10497</v>
      </c>
      <c r="O255" s="84" cm="1">
        <f t="array" ref="O255">SUM(INDEX(_xlfn._xlws.FILTER($B$6:$L$2160, $B$6:$B$2160=N255), 0, 8))</f>
        <v>1380.6</v>
      </c>
      <c r="P255" s="84" cm="1">
        <f t="array" ref="P255">SUM(INDEX(_xlfn._xlws.FILTER($B$6:$L$2160, $B$6:$B$2160=N255), 0, 10))</f>
        <v>1727</v>
      </c>
      <c r="Q255" s="84" cm="1">
        <f t="array" ref="Q255">SUM(INDEX(_xlfn._xlws.FILTER($B$6:$L$2160, $B$6:$B$2160=N255), 0, 11))</f>
        <v>-346.39999999999992</v>
      </c>
    </row>
    <row r="256" spans="2:17" x14ac:dyDescent="0.2">
      <c r="B256">
        <v>10341</v>
      </c>
      <c r="C256">
        <v>59</v>
      </c>
      <c r="D256" s="84">
        <v>44</v>
      </c>
      <c r="E256">
        <v>9</v>
      </c>
      <c r="F256" s="85">
        <v>0.15</v>
      </c>
      <c r="G256" s="86">
        <f t="shared" si="15"/>
        <v>396</v>
      </c>
      <c r="H256" s="86">
        <f t="shared" si="16"/>
        <v>59.4</v>
      </c>
      <c r="I256" s="86">
        <f t="shared" si="17"/>
        <v>336.6</v>
      </c>
      <c r="J256" s="84">
        <f>VLOOKUP(C256, Products[], 6)</f>
        <v>55</v>
      </c>
      <c r="K256" s="86">
        <f t="shared" si="18"/>
        <v>495</v>
      </c>
      <c r="L256" s="86">
        <f t="shared" si="19"/>
        <v>-158.39999999999998</v>
      </c>
      <c r="N256">
        <v>10498</v>
      </c>
      <c r="O256" s="84" cm="1">
        <f t="array" ref="O256">SUM(INDEX(_xlfn._xlws.FILTER($B$6:$L$2160, $B$6:$B$2160=N256), 0, 8))</f>
        <v>575</v>
      </c>
      <c r="P256" s="84" cm="1">
        <f t="array" ref="P256">SUM(INDEX(_xlfn._xlws.FILTER($B$6:$L$2160, $B$6:$B$2160=N256), 0, 10))</f>
        <v>575</v>
      </c>
      <c r="Q256" s="84" cm="1">
        <f t="array" ref="Q256">SUM(INDEX(_xlfn._xlws.FILTER($B$6:$L$2160, $B$6:$B$2160=N256), 0, 11))</f>
        <v>0</v>
      </c>
    </row>
    <row r="257" spans="2:17" x14ac:dyDescent="0.2">
      <c r="B257">
        <v>10342</v>
      </c>
      <c r="C257">
        <v>2</v>
      </c>
      <c r="D257" s="84">
        <v>15.2</v>
      </c>
      <c r="E257">
        <v>24</v>
      </c>
      <c r="F257" s="85">
        <v>0.2</v>
      </c>
      <c r="G257" s="86">
        <f t="shared" si="15"/>
        <v>364.79999999999995</v>
      </c>
      <c r="H257" s="86">
        <f t="shared" si="16"/>
        <v>72.959999999999994</v>
      </c>
      <c r="I257" s="86">
        <f t="shared" si="17"/>
        <v>291.83999999999997</v>
      </c>
      <c r="J257" s="84">
        <f>VLOOKUP(C257, Products[], 6)</f>
        <v>19</v>
      </c>
      <c r="K257" s="86">
        <f t="shared" si="18"/>
        <v>456</v>
      </c>
      <c r="L257" s="86">
        <f t="shared" si="19"/>
        <v>-164.16000000000003</v>
      </c>
      <c r="N257">
        <v>10499</v>
      </c>
      <c r="O257" s="84" cm="1">
        <f t="array" ref="O257">SUM(INDEX(_xlfn._xlws.FILTER($B$6:$L$2160, $B$6:$B$2160=N257), 0, 8))</f>
        <v>1412</v>
      </c>
      <c r="P257" s="84" cm="1">
        <f t="array" ref="P257">SUM(INDEX(_xlfn._xlws.FILTER($B$6:$L$2160, $B$6:$B$2160=N257), 0, 10))</f>
        <v>1412</v>
      </c>
      <c r="Q257" s="84" cm="1">
        <f t="array" ref="Q257">SUM(INDEX(_xlfn._xlws.FILTER($B$6:$L$2160, $B$6:$B$2160=N257), 0, 11))</f>
        <v>0</v>
      </c>
    </row>
    <row r="258" spans="2:17" x14ac:dyDescent="0.2">
      <c r="B258">
        <v>10342</v>
      </c>
      <c r="C258">
        <v>31</v>
      </c>
      <c r="D258" s="84">
        <v>10</v>
      </c>
      <c r="E258">
        <v>56</v>
      </c>
      <c r="F258" s="85">
        <v>0.2</v>
      </c>
      <c r="G258" s="86">
        <f t="shared" si="15"/>
        <v>560</v>
      </c>
      <c r="H258" s="86">
        <f t="shared" si="16"/>
        <v>112</v>
      </c>
      <c r="I258" s="86">
        <f t="shared" si="17"/>
        <v>448</v>
      </c>
      <c r="J258" s="84">
        <f>VLOOKUP(C258, Products[], 6)</f>
        <v>12.5</v>
      </c>
      <c r="K258" s="86">
        <f t="shared" si="18"/>
        <v>700</v>
      </c>
      <c r="L258" s="86">
        <f t="shared" si="19"/>
        <v>-252</v>
      </c>
      <c r="N258">
        <v>10500</v>
      </c>
      <c r="O258" s="84" cm="1">
        <f t="array" ref="O258">SUM(INDEX(_xlfn._xlws.FILTER($B$6:$L$2160, $B$6:$B$2160=N258), 0, 8))</f>
        <v>523.26</v>
      </c>
      <c r="P258" s="84" cm="1">
        <f t="array" ref="P258">SUM(INDEX(_xlfn._xlws.FILTER($B$6:$L$2160, $B$6:$B$2160=N258), 0, 10))</f>
        <v>550.79999999999995</v>
      </c>
      <c r="Q258" s="84" cm="1">
        <f t="array" ref="Q258">SUM(INDEX(_xlfn._xlws.FILTER($B$6:$L$2160, $B$6:$B$2160=N258), 0, 11))</f>
        <v>-27.54000000000002</v>
      </c>
    </row>
    <row r="259" spans="2:17" x14ac:dyDescent="0.2">
      <c r="B259">
        <v>10342</v>
      </c>
      <c r="C259">
        <v>36</v>
      </c>
      <c r="D259" s="84">
        <v>15.2</v>
      </c>
      <c r="E259">
        <v>40</v>
      </c>
      <c r="F259" s="85">
        <v>0.2</v>
      </c>
      <c r="G259" s="86">
        <f t="shared" si="15"/>
        <v>608</v>
      </c>
      <c r="H259" s="86">
        <f t="shared" si="16"/>
        <v>121.60000000000001</v>
      </c>
      <c r="I259" s="86">
        <f t="shared" si="17"/>
        <v>486.4</v>
      </c>
      <c r="J259" s="84">
        <f>VLOOKUP(C259, Products[], 6)</f>
        <v>19</v>
      </c>
      <c r="K259" s="86">
        <f t="shared" si="18"/>
        <v>760</v>
      </c>
      <c r="L259" s="86">
        <f t="shared" si="19"/>
        <v>-273.60000000000002</v>
      </c>
      <c r="N259">
        <v>10501</v>
      </c>
      <c r="O259" s="84" cm="1">
        <f t="array" ref="O259">SUM(INDEX(_xlfn._xlws.FILTER($B$6:$L$2160, $B$6:$B$2160=N259), 0, 8))</f>
        <v>149</v>
      </c>
      <c r="P259" s="84" cm="1">
        <f t="array" ref="P259">SUM(INDEX(_xlfn._xlws.FILTER($B$6:$L$2160, $B$6:$B$2160=N259), 0, 10))</f>
        <v>149</v>
      </c>
      <c r="Q259" s="84" cm="1">
        <f t="array" ref="Q259">SUM(INDEX(_xlfn._xlws.FILTER($B$6:$L$2160, $B$6:$B$2160=N259), 0, 11))</f>
        <v>0</v>
      </c>
    </row>
    <row r="260" spans="2:17" x14ac:dyDescent="0.2">
      <c r="B260">
        <v>10342</v>
      </c>
      <c r="C260">
        <v>55</v>
      </c>
      <c r="D260" s="84">
        <v>19.2</v>
      </c>
      <c r="E260">
        <v>40</v>
      </c>
      <c r="F260" s="85">
        <v>0.2</v>
      </c>
      <c r="G260" s="86">
        <f t="shared" si="15"/>
        <v>768</v>
      </c>
      <c r="H260" s="86">
        <f t="shared" si="16"/>
        <v>153.60000000000002</v>
      </c>
      <c r="I260" s="86">
        <f t="shared" si="17"/>
        <v>614.4</v>
      </c>
      <c r="J260" s="84">
        <f>VLOOKUP(C260, Products[], 6)</f>
        <v>24</v>
      </c>
      <c r="K260" s="86">
        <f t="shared" si="18"/>
        <v>960</v>
      </c>
      <c r="L260" s="86">
        <f t="shared" si="19"/>
        <v>-345.6</v>
      </c>
      <c r="N260">
        <v>10502</v>
      </c>
      <c r="O260" s="84" cm="1">
        <f t="array" ref="O260">SUM(INDEX(_xlfn._xlws.FILTER($B$6:$L$2160, $B$6:$B$2160=N260), 0, 8))</f>
        <v>816.3</v>
      </c>
      <c r="P260" s="84" cm="1">
        <f t="array" ref="P260">SUM(INDEX(_xlfn._xlws.FILTER($B$6:$L$2160, $B$6:$B$2160=N260), 0, 10))</f>
        <v>816.3</v>
      </c>
      <c r="Q260" s="84" cm="1">
        <f t="array" ref="Q260">SUM(INDEX(_xlfn._xlws.FILTER($B$6:$L$2160, $B$6:$B$2160=N260), 0, 11))</f>
        <v>0</v>
      </c>
    </row>
    <row r="261" spans="2:17" x14ac:dyDescent="0.2">
      <c r="B261">
        <v>10343</v>
      </c>
      <c r="C261">
        <v>64</v>
      </c>
      <c r="D261" s="84">
        <v>26.6</v>
      </c>
      <c r="E261">
        <v>50</v>
      </c>
      <c r="F261" s="85">
        <v>0</v>
      </c>
      <c r="G261" s="86">
        <f t="shared" si="15"/>
        <v>1330</v>
      </c>
      <c r="H261" s="86">
        <f t="shared" si="16"/>
        <v>0</v>
      </c>
      <c r="I261" s="86">
        <f t="shared" si="17"/>
        <v>1330</v>
      </c>
      <c r="J261" s="84">
        <f>VLOOKUP(C261, Products[], 6)</f>
        <v>33.25</v>
      </c>
      <c r="K261" s="86">
        <f t="shared" si="18"/>
        <v>1662.5</v>
      </c>
      <c r="L261" s="86">
        <f t="shared" si="19"/>
        <v>-332.5</v>
      </c>
      <c r="N261">
        <v>10503</v>
      </c>
      <c r="O261" s="84" cm="1">
        <f t="array" ref="O261">SUM(INDEX(_xlfn._xlws.FILTER($B$6:$L$2160, $B$6:$B$2160=N261), 0, 8))</f>
        <v>2048.5</v>
      </c>
      <c r="P261" s="84" cm="1">
        <f t="array" ref="P261">SUM(INDEX(_xlfn._xlws.FILTER($B$6:$L$2160, $B$6:$B$2160=N261), 0, 10))</f>
        <v>2048.5</v>
      </c>
      <c r="Q261" s="84" cm="1">
        <f t="array" ref="Q261">SUM(INDEX(_xlfn._xlws.FILTER($B$6:$L$2160, $B$6:$B$2160=N261), 0, 11))</f>
        <v>0</v>
      </c>
    </row>
    <row r="262" spans="2:17" x14ac:dyDescent="0.2">
      <c r="B262">
        <v>10343</v>
      </c>
      <c r="C262">
        <v>68</v>
      </c>
      <c r="D262" s="84">
        <v>10</v>
      </c>
      <c r="E262">
        <v>4</v>
      </c>
      <c r="F262" s="85">
        <v>0.05</v>
      </c>
      <c r="G262" s="86">
        <f t="shared" si="15"/>
        <v>40</v>
      </c>
      <c r="H262" s="86">
        <f t="shared" si="16"/>
        <v>2</v>
      </c>
      <c r="I262" s="86">
        <f t="shared" si="17"/>
        <v>38</v>
      </c>
      <c r="J262" s="84">
        <f>VLOOKUP(C262, Products[], 6)</f>
        <v>12.5</v>
      </c>
      <c r="K262" s="86">
        <f t="shared" si="18"/>
        <v>50</v>
      </c>
      <c r="L262" s="86">
        <f t="shared" si="19"/>
        <v>-12</v>
      </c>
      <c r="N262">
        <v>10504</v>
      </c>
      <c r="O262" s="84" cm="1">
        <f t="array" ref="O262">SUM(INDEX(_xlfn._xlws.FILTER($B$6:$L$2160, $B$6:$B$2160=N262), 0, 8))</f>
        <v>1388.5</v>
      </c>
      <c r="P262" s="84" cm="1">
        <f t="array" ref="P262">SUM(INDEX(_xlfn._xlws.FILTER($B$6:$L$2160, $B$6:$B$2160=N262), 0, 10))</f>
        <v>1388.5</v>
      </c>
      <c r="Q262" s="84" cm="1">
        <f t="array" ref="Q262">SUM(INDEX(_xlfn._xlws.FILTER($B$6:$L$2160, $B$6:$B$2160=N262), 0, 11))</f>
        <v>0</v>
      </c>
    </row>
    <row r="263" spans="2:17" x14ac:dyDescent="0.2">
      <c r="B263">
        <v>10343</v>
      </c>
      <c r="C263">
        <v>76</v>
      </c>
      <c r="D263" s="84">
        <v>14.4</v>
      </c>
      <c r="E263">
        <v>15</v>
      </c>
      <c r="F263" s="85">
        <v>0</v>
      </c>
      <c r="G263" s="86">
        <f t="shared" ref="G263:G326" si="20">D263*E263</f>
        <v>216</v>
      </c>
      <c r="H263" s="86">
        <f t="shared" ref="H263:H326" si="21">G263*F263</f>
        <v>0</v>
      </c>
      <c r="I263" s="86">
        <f t="shared" ref="I263:I326" si="22">G263-H263</f>
        <v>216</v>
      </c>
      <c r="J263" s="84">
        <f>VLOOKUP(C263, Products[], 6)</f>
        <v>18</v>
      </c>
      <c r="K263" s="86">
        <f t="shared" ref="K263:K326" si="23">J263*E263</f>
        <v>270</v>
      </c>
      <c r="L263" s="86">
        <f t="shared" ref="L263:L326" si="24">I263-K263</f>
        <v>-54</v>
      </c>
      <c r="N263">
        <v>10505</v>
      </c>
      <c r="O263" s="84" cm="1">
        <f t="array" ref="O263">SUM(INDEX(_xlfn._xlws.FILTER($B$6:$L$2160, $B$6:$B$2160=N263), 0, 8))</f>
        <v>147.89999999999998</v>
      </c>
      <c r="P263" s="84" cm="1">
        <f t="array" ref="P263">SUM(INDEX(_xlfn._xlws.FILTER($B$6:$L$2160, $B$6:$B$2160=N263), 0, 10))</f>
        <v>147.89999999999998</v>
      </c>
      <c r="Q263" s="84" cm="1">
        <f t="array" ref="Q263">SUM(INDEX(_xlfn._xlws.FILTER($B$6:$L$2160, $B$6:$B$2160=N263), 0, 11))</f>
        <v>0</v>
      </c>
    </row>
    <row r="264" spans="2:17" x14ac:dyDescent="0.2">
      <c r="B264">
        <v>10344</v>
      </c>
      <c r="C264">
        <v>4</v>
      </c>
      <c r="D264" s="84">
        <v>17.600000000000001</v>
      </c>
      <c r="E264">
        <v>35</v>
      </c>
      <c r="F264" s="85">
        <v>0</v>
      </c>
      <c r="G264" s="86">
        <f t="shared" si="20"/>
        <v>616</v>
      </c>
      <c r="H264" s="86">
        <f t="shared" si="21"/>
        <v>0</v>
      </c>
      <c r="I264" s="86">
        <f t="shared" si="22"/>
        <v>616</v>
      </c>
      <c r="J264" s="84">
        <f>VLOOKUP(C264, Products[], 6)</f>
        <v>22</v>
      </c>
      <c r="K264" s="86">
        <f t="shared" si="23"/>
        <v>770</v>
      </c>
      <c r="L264" s="86">
        <f t="shared" si="24"/>
        <v>-154</v>
      </c>
      <c r="N264">
        <v>10506</v>
      </c>
      <c r="O264" s="84" cm="1">
        <f t="array" ref="O264">SUM(INDEX(_xlfn._xlws.FILTER($B$6:$L$2160, $B$6:$B$2160=N264), 0, 8))</f>
        <v>415.8</v>
      </c>
      <c r="P264" s="84" cm="1">
        <f t="array" ref="P264">SUM(INDEX(_xlfn._xlws.FILTER($B$6:$L$2160, $B$6:$B$2160=N264), 0, 10))</f>
        <v>462</v>
      </c>
      <c r="Q264" s="84" cm="1">
        <f t="array" ref="Q264">SUM(INDEX(_xlfn._xlws.FILTER($B$6:$L$2160, $B$6:$B$2160=N264), 0, 11))</f>
        <v>-46.199999999999989</v>
      </c>
    </row>
    <row r="265" spans="2:17" x14ac:dyDescent="0.2">
      <c r="B265">
        <v>10344</v>
      </c>
      <c r="C265">
        <v>8</v>
      </c>
      <c r="D265" s="84">
        <v>32</v>
      </c>
      <c r="E265">
        <v>70</v>
      </c>
      <c r="F265" s="85">
        <v>0.25</v>
      </c>
      <c r="G265" s="86">
        <f t="shared" si="20"/>
        <v>2240</v>
      </c>
      <c r="H265" s="86">
        <f t="shared" si="21"/>
        <v>560</v>
      </c>
      <c r="I265" s="86">
        <f t="shared" si="22"/>
        <v>1680</v>
      </c>
      <c r="J265" s="84">
        <f>VLOOKUP(C265, Products[], 6)</f>
        <v>40</v>
      </c>
      <c r="K265" s="86">
        <f t="shared" si="23"/>
        <v>2800</v>
      </c>
      <c r="L265" s="86">
        <f t="shared" si="24"/>
        <v>-1120</v>
      </c>
      <c r="N265">
        <v>10507</v>
      </c>
      <c r="O265" s="84" cm="1">
        <f t="array" ref="O265">SUM(INDEX(_xlfn._xlws.FILTER($B$6:$L$2160, $B$6:$B$2160=N265), 0, 8))</f>
        <v>749.0625</v>
      </c>
      <c r="P265" s="84" cm="1">
        <f t="array" ref="P265">SUM(INDEX(_xlfn._xlws.FILTER($B$6:$L$2160, $B$6:$B$2160=N265), 0, 10))</f>
        <v>881.25</v>
      </c>
      <c r="Q265" s="84" cm="1">
        <f t="array" ref="Q265">SUM(INDEX(_xlfn._xlws.FILTER($B$6:$L$2160, $B$6:$B$2160=N265), 0, 11))</f>
        <v>-132.1875</v>
      </c>
    </row>
    <row r="266" spans="2:17" x14ac:dyDescent="0.2">
      <c r="B266">
        <v>10345</v>
      </c>
      <c r="C266">
        <v>8</v>
      </c>
      <c r="D266" s="84">
        <v>32</v>
      </c>
      <c r="E266">
        <v>70</v>
      </c>
      <c r="F266" s="85">
        <v>0</v>
      </c>
      <c r="G266" s="86">
        <f t="shared" si="20"/>
        <v>2240</v>
      </c>
      <c r="H266" s="86">
        <f t="shared" si="21"/>
        <v>0</v>
      </c>
      <c r="I266" s="86">
        <f t="shared" si="22"/>
        <v>2240</v>
      </c>
      <c r="J266" s="84">
        <f>VLOOKUP(C266, Products[], 6)</f>
        <v>40</v>
      </c>
      <c r="K266" s="86">
        <f t="shared" si="23"/>
        <v>2800</v>
      </c>
      <c r="L266" s="86">
        <f t="shared" si="24"/>
        <v>-560</v>
      </c>
      <c r="N266">
        <v>10508</v>
      </c>
      <c r="O266" s="84" cm="1">
        <f t="array" ref="O266">SUM(INDEX(_xlfn._xlws.FILTER($B$6:$L$2160, $B$6:$B$2160=N266), 0, 8))</f>
        <v>240</v>
      </c>
      <c r="P266" s="84" cm="1">
        <f t="array" ref="P266">SUM(INDEX(_xlfn._xlws.FILTER($B$6:$L$2160, $B$6:$B$2160=N266), 0, 10))</f>
        <v>240</v>
      </c>
      <c r="Q266" s="84" cm="1">
        <f t="array" ref="Q266">SUM(INDEX(_xlfn._xlws.FILTER($B$6:$L$2160, $B$6:$B$2160=N266), 0, 11))</f>
        <v>0</v>
      </c>
    </row>
    <row r="267" spans="2:17" x14ac:dyDescent="0.2">
      <c r="B267">
        <v>10345</v>
      </c>
      <c r="C267">
        <v>19</v>
      </c>
      <c r="D267" s="84">
        <v>7.3</v>
      </c>
      <c r="E267">
        <v>80</v>
      </c>
      <c r="F267" s="85">
        <v>0</v>
      </c>
      <c r="G267" s="86">
        <f t="shared" si="20"/>
        <v>584</v>
      </c>
      <c r="H267" s="86">
        <f t="shared" si="21"/>
        <v>0</v>
      </c>
      <c r="I267" s="86">
        <f t="shared" si="22"/>
        <v>584</v>
      </c>
      <c r="J267" s="84">
        <f>VLOOKUP(C267, Products[], 6)</f>
        <v>9.1999999999999993</v>
      </c>
      <c r="K267" s="86">
        <f t="shared" si="23"/>
        <v>736</v>
      </c>
      <c r="L267" s="86">
        <f t="shared" si="24"/>
        <v>-152</v>
      </c>
      <c r="N267">
        <v>10509</v>
      </c>
      <c r="O267" s="84" cm="1">
        <f t="array" ref="O267">SUM(INDEX(_xlfn._xlws.FILTER($B$6:$L$2160, $B$6:$B$2160=N267), 0, 8))</f>
        <v>136.80000000000001</v>
      </c>
      <c r="P267" s="84" cm="1">
        <f t="array" ref="P267">SUM(INDEX(_xlfn._xlws.FILTER($B$6:$L$2160, $B$6:$B$2160=N267), 0, 10))</f>
        <v>136.80000000000001</v>
      </c>
      <c r="Q267" s="84" cm="1">
        <f t="array" ref="Q267">SUM(INDEX(_xlfn._xlws.FILTER($B$6:$L$2160, $B$6:$B$2160=N267), 0, 11))</f>
        <v>0</v>
      </c>
    </row>
    <row r="268" spans="2:17" x14ac:dyDescent="0.2">
      <c r="B268">
        <v>10345</v>
      </c>
      <c r="C268">
        <v>42</v>
      </c>
      <c r="D268" s="84">
        <v>11.2</v>
      </c>
      <c r="E268">
        <v>9</v>
      </c>
      <c r="F268" s="85">
        <v>0</v>
      </c>
      <c r="G268" s="86">
        <f t="shared" si="20"/>
        <v>100.8</v>
      </c>
      <c r="H268" s="86">
        <f t="shared" si="21"/>
        <v>0</v>
      </c>
      <c r="I268" s="86">
        <f t="shared" si="22"/>
        <v>100.8</v>
      </c>
      <c r="J268" s="84">
        <f>VLOOKUP(C268, Products[], 6)</f>
        <v>14</v>
      </c>
      <c r="K268" s="86">
        <f t="shared" si="23"/>
        <v>126</v>
      </c>
      <c r="L268" s="86">
        <f t="shared" si="24"/>
        <v>-25.200000000000003</v>
      </c>
      <c r="N268">
        <v>10510</v>
      </c>
      <c r="O268" s="84" cm="1">
        <f t="array" ref="O268">SUM(INDEX(_xlfn._xlws.FILTER($B$6:$L$2160, $B$6:$B$2160=N268), 0, 8))</f>
        <v>4707.5400000000009</v>
      </c>
      <c r="P268" s="84" cm="1">
        <f t="array" ref="P268">SUM(INDEX(_xlfn._xlws.FILTER($B$6:$L$2160, $B$6:$B$2160=N268), 0, 10))</f>
        <v>4735.4400000000005</v>
      </c>
      <c r="Q268" s="84" cm="1">
        <f t="array" ref="Q268">SUM(INDEX(_xlfn._xlws.FILTER($B$6:$L$2160, $B$6:$B$2160=N268), 0, 11))</f>
        <v>-27.900000000000006</v>
      </c>
    </row>
    <row r="269" spans="2:17" x14ac:dyDescent="0.2">
      <c r="B269">
        <v>10346</v>
      </c>
      <c r="C269">
        <v>17</v>
      </c>
      <c r="D269" s="84">
        <v>31.2</v>
      </c>
      <c r="E269">
        <v>36</v>
      </c>
      <c r="F269" s="85">
        <v>0.1</v>
      </c>
      <c r="G269" s="86">
        <f t="shared" si="20"/>
        <v>1123.2</v>
      </c>
      <c r="H269" s="86">
        <f t="shared" si="21"/>
        <v>112.32000000000001</v>
      </c>
      <c r="I269" s="86">
        <f t="shared" si="22"/>
        <v>1010.88</v>
      </c>
      <c r="J269" s="84">
        <f>VLOOKUP(C269, Products[], 6)</f>
        <v>39</v>
      </c>
      <c r="K269" s="86">
        <f t="shared" si="23"/>
        <v>1404</v>
      </c>
      <c r="L269" s="86">
        <f t="shared" si="24"/>
        <v>-393.12</v>
      </c>
      <c r="N269">
        <v>10511</v>
      </c>
      <c r="O269" s="84" cm="1">
        <f t="array" ref="O269">SUM(INDEX(_xlfn._xlws.FILTER($B$6:$L$2160, $B$6:$B$2160=N269), 0, 8))</f>
        <v>2550</v>
      </c>
      <c r="P269" s="84" cm="1">
        <f t="array" ref="P269">SUM(INDEX(_xlfn._xlws.FILTER($B$6:$L$2160, $B$6:$B$2160=N269), 0, 10))</f>
        <v>3000</v>
      </c>
      <c r="Q269" s="84" cm="1">
        <f t="array" ref="Q269">SUM(INDEX(_xlfn._xlws.FILTER($B$6:$L$2160, $B$6:$B$2160=N269), 0, 11))</f>
        <v>-450</v>
      </c>
    </row>
    <row r="270" spans="2:17" x14ac:dyDescent="0.2">
      <c r="B270">
        <v>10346</v>
      </c>
      <c r="C270">
        <v>56</v>
      </c>
      <c r="D270" s="84">
        <v>30.4</v>
      </c>
      <c r="E270">
        <v>20</v>
      </c>
      <c r="F270" s="85">
        <v>0</v>
      </c>
      <c r="G270" s="86">
        <f t="shared" si="20"/>
        <v>608</v>
      </c>
      <c r="H270" s="86">
        <f t="shared" si="21"/>
        <v>0</v>
      </c>
      <c r="I270" s="86">
        <f t="shared" si="22"/>
        <v>608</v>
      </c>
      <c r="J270" s="84">
        <f>VLOOKUP(C270, Products[], 6)</f>
        <v>38</v>
      </c>
      <c r="K270" s="86">
        <f t="shared" si="23"/>
        <v>760</v>
      </c>
      <c r="L270" s="86">
        <f t="shared" si="24"/>
        <v>-152</v>
      </c>
      <c r="N270">
        <v>10512</v>
      </c>
      <c r="O270" s="84" cm="1">
        <f t="array" ref="O270">SUM(INDEX(_xlfn._xlws.FILTER($B$6:$L$2160, $B$6:$B$2160=N270), 0, 8))</f>
        <v>525.29999999999995</v>
      </c>
      <c r="P270" s="84" cm="1">
        <f t="array" ref="P270">SUM(INDEX(_xlfn._xlws.FILTER($B$6:$L$2160, $B$6:$B$2160=N270), 0, 10))</f>
        <v>618</v>
      </c>
      <c r="Q270" s="84" cm="1">
        <f t="array" ref="Q270">SUM(INDEX(_xlfn._xlws.FILTER($B$6:$L$2160, $B$6:$B$2160=N270), 0, 11))</f>
        <v>-92.699999999999989</v>
      </c>
    </row>
    <row r="271" spans="2:17" x14ac:dyDescent="0.2">
      <c r="B271">
        <v>10347</v>
      </c>
      <c r="C271">
        <v>25</v>
      </c>
      <c r="D271" s="84">
        <v>11.2</v>
      </c>
      <c r="E271">
        <v>10</v>
      </c>
      <c r="F271" s="85">
        <v>0</v>
      </c>
      <c r="G271" s="86">
        <f t="shared" si="20"/>
        <v>112</v>
      </c>
      <c r="H271" s="86">
        <f t="shared" si="21"/>
        <v>0</v>
      </c>
      <c r="I271" s="86">
        <f t="shared" si="22"/>
        <v>112</v>
      </c>
      <c r="J271" s="84">
        <f>VLOOKUP(C271, Products[], 6)</f>
        <v>14</v>
      </c>
      <c r="K271" s="86">
        <f t="shared" si="23"/>
        <v>140</v>
      </c>
      <c r="L271" s="86">
        <f t="shared" si="24"/>
        <v>-28</v>
      </c>
      <c r="N271">
        <v>10513</v>
      </c>
      <c r="O271" s="84" cm="1">
        <f t="array" ref="O271">SUM(INDEX(_xlfn._xlws.FILTER($B$6:$L$2160, $B$6:$B$2160=N271), 0, 8))</f>
        <v>1942</v>
      </c>
      <c r="P271" s="84" cm="1">
        <f t="array" ref="P271">SUM(INDEX(_xlfn._xlws.FILTER($B$6:$L$2160, $B$6:$B$2160=N271), 0, 10))</f>
        <v>2427.5</v>
      </c>
      <c r="Q271" s="84" cm="1">
        <f t="array" ref="Q271">SUM(INDEX(_xlfn._xlws.FILTER($B$6:$L$2160, $B$6:$B$2160=N271), 0, 11))</f>
        <v>-485.5</v>
      </c>
    </row>
    <row r="272" spans="2:17" x14ac:dyDescent="0.2">
      <c r="B272">
        <v>10347</v>
      </c>
      <c r="C272">
        <v>39</v>
      </c>
      <c r="D272" s="84">
        <v>14.4</v>
      </c>
      <c r="E272">
        <v>50</v>
      </c>
      <c r="F272" s="85">
        <v>0.15</v>
      </c>
      <c r="G272" s="86">
        <f t="shared" si="20"/>
        <v>720</v>
      </c>
      <c r="H272" s="86">
        <f t="shared" si="21"/>
        <v>108</v>
      </c>
      <c r="I272" s="86">
        <f t="shared" si="22"/>
        <v>612</v>
      </c>
      <c r="J272" s="84">
        <f>VLOOKUP(C272, Products[], 6)</f>
        <v>18</v>
      </c>
      <c r="K272" s="86">
        <f t="shared" si="23"/>
        <v>900</v>
      </c>
      <c r="L272" s="86">
        <f t="shared" si="24"/>
        <v>-288</v>
      </c>
      <c r="N272">
        <v>10514</v>
      </c>
      <c r="O272" s="84" cm="1">
        <f t="array" ref="O272">SUM(INDEX(_xlfn._xlws.FILTER($B$6:$L$2160, $B$6:$B$2160=N272), 0, 8))</f>
        <v>8623.4500000000007</v>
      </c>
      <c r="P272" s="84" cm="1">
        <f t="array" ref="P272">SUM(INDEX(_xlfn._xlws.FILTER($B$6:$L$2160, $B$6:$B$2160=N272), 0, 10))</f>
        <v>8623.4500000000007</v>
      </c>
      <c r="Q272" s="84" cm="1">
        <f t="array" ref="Q272">SUM(INDEX(_xlfn._xlws.FILTER($B$6:$L$2160, $B$6:$B$2160=N272), 0, 11))</f>
        <v>0</v>
      </c>
    </row>
    <row r="273" spans="2:17" x14ac:dyDescent="0.2">
      <c r="B273">
        <v>10347</v>
      </c>
      <c r="C273">
        <v>40</v>
      </c>
      <c r="D273" s="84">
        <v>14.7</v>
      </c>
      <c r="E273">
        <v>4</v>
      </c>
      <c r="F273" s="85">
        <v>0</v>
      </c>
      <c r="G273" s="86">
        <f t="shared" si="20"/>
        <v>58.8</v>
      </c>
      <c r="H273" s="86">
        <f t="shared" si="21"/>
        <v>0</v>
      </c>
      <c r="I273" s="86">
        <f t="shared" si="22"/>
        <v>58.8</v>
      </c>
      <c r="J273" s="84">
        <f>VLOOKUP(C273, Products[], 6)</f>
        <v>18.399999999999999</v>
      </c>
      <c r="K273" s="86">
        <f t="shared" si="23"/>
        <v>73.599999999999994</v>
      </c>
      <c r="L273" s="86">
        <f t="shared" si="24"/>
        <v>-14.799999999999997</v>
      </c>
      <c r="N273">
        <v>10515</v>
      </c>
      <c r="O273" s="84" cm="1">
        <f t="array" ref="O273">SUM(INDEX(_xlfn._xlws.FILTER($B$6:$L$2160, $B$6:$B$2160=N273), 0, 8))</f>
        <v>9921.2999999999993</v>
      </c>
      <c r="P273" s="84" cm="1">
        <f t="array" ref="P273">SUM(INDEX(_xlfn._xlws.FILTER($B$6:$L$2160, $B$6:$B$2160=N273), 0, 10))</f>
        <v>10588.5</v>
      </c>
      <c r="Q273" s="84" cm="1">
        <f t="array" ref="Q273">SUM(INDEX(_xlfn._xlws.FILTER($B$6:$L$2160, $B$6:$B$2160=N273), 0, 11))</f>
        <v>-667.2</v>
      </c>
    </row>
    <row r="274" spans="2:17" x14ac:dyDescent="0.2">
      <c r="B274">
        <v>10347</v>
      </c>
      <c r="C274">
        <v>75</v>
      </c>
      <c r="D274" s="84">
        <v>6.2</v>
      </c>
      <c r="E274">
        <v>6</v>
      </c>
      <c r="F274" s="85">
        <v>0.15</v>
      </c>
      <c r="G274" s="86">
        <f t="shared" si="20"/>
        <v>37.200000000000003</v>
      </c>
      <c r="H274" s="86">
        <f t="shared" si="21"/>
        <v>5.58</v>
      </c>
      <c r="I274" s="86">
        <f t="shared" si="22"/>
        <v>31.620000000000005</v>
      </c>
      <c r="J274" s="84">
        <f>VLOOKUP(C274, Products[], 6)</f>
        <v>7.75</v>
      </c>
      <c r="K274" s="86">
        <f t="shared" si="23"/>
        <v>46.5</v>
      </c>
      <c r="L274" s="86">
        <f t="shared" si="24"/>
        <v>-14.879999999999995</v>
      </c>
      <c r="N274">
        <v>10516</v>
      </c>
      <c r="O274" s="84" cm="1">
        <f t="array" ref="O274">SUM(INDEX(_xlfn._xlws.FILTER($B$6:$L$2160, $B$6:$B$2160=N274), 0, 8))</f>
        <v>2381.0500000000002</v>
      </c>
      <c r="P274" s="84" cm="1">
        <f t="array" ref="P274">SUM(INDEX(_xlfn._xlws.FILTER($B$6:$L$2160, $B$6:$B$2160=N274), 0, 10))</f>
        <v>2614.5</v>
      </c>
      <c r="Q274" s="84" cm="1">
        <f t="array" ref="Q274">SUM(INDEX(_xlfn._xlws.FILTER($B$6:$L$2160, $B$6:$B$2160=N274), 0, 11))</f>
        <v>-233.45000000000005</v>
      </c>
    </row>
    <row r="275" spans="2:17" x14ac:dyDescent="0.2">
      <c r="B275">
        <v>10348</v>
      </c>
      <c r="C275">
        <v>1</v>
      </c>
      <c r="D275" s="84">
        <v>14.4</v>
      </c>
      <c r="E275">
        <v>15</v>
      </c>
      <c r="F275" s="85">
        <v>0.15</v>
      </c>
      <c r="G275" s="86">
        <f t="shared" si="20"/>
        <v>216</v>
      </c>
      <c r="H275" s="86">
        <f t="shared" si="21"/>
        <v>32.4</v>
      </c>
      <c r="I275" s="86">
        <f t="shared" si="22"/>
        <v>183.6</v>
      </c>
      <c r="J275" s="84">
        <f>VLOOKUP(C275, Products[], 6)</f>
        <v>18</v>
      </c>
      <c r="K275" s="86">
        <f t="shared" si="23"/>
        <v>270</v>
      </c>
      <c r="L275" s="86">
        <f t="shared" si="24"/>
        <v>-86.4</v>
      </c>
      <c r="N275">
        <v>10517</v>
      </c>
      <c r="O275" s="84" cm="1">
        <f t="array" ref="O275">SUM(INDEX(_xlfn._xlws.FILTER($B$6:$L$2160, $B$6:$B$2160=N275), 0, 8))</f>
        <v>352</v>
      </c>
      <c r="P275" s="84" cm="1">
        <f t="array" ref="P275">SUM(INDEX(_xlfn._xlws.FILTER($B$6:$L$2160, $B$6:$B$2160=N275), 0, 10))</f>
        <v>352</v>
      </c>
      <c r="Q275" s="84" cm="1">
        <f t="array" ref="Q275">SUM(INDEX(_xlfn._xlws.FILTER($B$6:$L$2160, $B$6:$B$2160=N275), 0, 11))</f>
        <v>0</v>
      </c>
    </row>
    <row r="276" spans="2:17" x14ac:dyDescent="0.2">
      <c r="B276">
        <v>10348</v>
      </c>
      <c r="C276">
        <v>23</v>
      </c>
      <c r="D276" s="84">
        <v>7.2</v>
      </c>
      <c r="E276">
        <v>25</v>
      </c>
      <c r="F276" s="85">
        <v>0</v>
      </c>
      <c r="G276" s="86">
        <f t="shared" si="20"/>
        <v>180</v>
      </c>
      <c r="H276" s="86">
        <f t="shared" si="21"/>
        <v>0</v>
      </c>
      <c r="I276" s="86">
        <f t="shared" si="22"/>
        <v>180</v>
      </c>
      <c r="J276" s="84">
        <f>VLOOKUP(C276, Products[], 6)</f>
        <v>9</v>
      </c>
      <c r="K276" s="86">
        <f t="shared" si="23"/>
        <v>225</v>
      </c>
      <c r="L276" s="86">
        <f t="shared" si="24"/>
        <v>-45</v>
      </c>
      <c r="N276">
        <v>10518</v>
      </c>
      <c r="O276" s="84" cm="1">
        <f t="array" ref="O276">SUM(INDEX(_xlfn._xlws.FILTER($B$6:$L$2160, $B$6:$B$2160=N276), 0, 8))</f>
        <v>4150.05</v>
      </c>
      <c r="P276" s="84" cm="1">
        <f t="array" ref="P276">SUM(INDEX(_xlfn._xlws.FILTER($B$6:$L$2160, $B$6:$B$2160=N276), 0, 10))</f>
        <v>4150.05</v>
      </c>
      <c r="Q276" s="84" cm="1">
        <f t="array" ref="Q276">SUM(INDEX(_xlfn._xlws.FILTER($B$6:$L$2160, $B$6:$B$2160=N276), 0, 11))</f>
        <v>0</v>
      </c>
    </row>
    <row r="277" spans="2:17" x14ac:dyDescent="0.2">
      <c r="B277">
        <v>10349</v>
      </c>
      <c r="C277">
        <v>54</v>
      </c>
      <c r="D277" s="84">
        <v>5.9</v>
      </c>
      <c r="E277">
        <v>24</v>
      </c>
      <c r="F277" s="85">
        <v>0</v>
      </c>
      <c r="G277" s="86">
        <f t="shared" si="20"/>
        <v>141.60000000000002</v>
      </c>
      <c r="H277" s="86">
        <f t="shared" si="21"/>
        <v>0</v>
      </c>
      <c r="I277" s="86">
        <f t="shared" si="22"/>
        <v>141.60000000000002</v>
      </c>
      <c r="J277" s="84">
        <f>VLOOKUP(C277, Products[], 6)</f>
        <v>7.45</v>
      </c>
      <c r="K277" s="86">
        <f t="shared" si="23"/>
        <v>178.8</v>
      </c>
      <c r="L277" s="86">
        <f t="shared" si="24"/>
        <v>-37.199999999999989</v>
      </c>
      <c r="N277">
        <v>10519</v>
      </c>
      <c r="O277" s="84" cm="1">
        <f t="array" ref="O277">SUM(INDEX(_xlfn._xlws.FILTER($B$6:$L$2160, $B$6:$B$2160=N277), 0, 8))</f>
        <v>2314.1999999999998</v>
      </c>
      <c r="P277" s="84" cm="1">
        <f t="array" ref="P277">SUM(INDEX(_xlfn._xlws.FILTER($B$6:$L$2160, $B$6:$B$2160=N277), 0, 10))</f>
        <v>2356</v>
      </c>
      <c r="Q277" s="84" cm="1">
        <f t="array" ref="Q277">SUM(INDEX(_xlfn._xlws.FILTER($B$6:$L$2160, $B$6:$B$2160=N277), 0, 11))</f>
        <v>-41.800000000000011</v>
      </c>
    </row>
    <row r="278" spans="2:17" x14ac:dyDescent="0.2">
      <c r="B278">
        <v>10350</v>
      </c>
      <c r="C278">
        <v>50</v>
      </c>
      <c r="D278" s="84">
        <v>13</v>
      </c>
      <c r="E278">
        <v>15</v>
      </c>
      <c r="F278" s="85">
        <v>0.1</v>
      </c>
      <c r="G278" s="86">
        <f t="shared" si="20"/>
        <v>195</v>
      </c>
      <c r="H278" s="86">
        <f t="shared" si="21"/>
        <v>19.5</v>
      </c>
      <c r="I278" s="86">
        <f t="shared" si="22"/>
        <v>175.5</v>
      </c>
      <c r="J278" s="84">
        <f>VLOOKUP(C278, Products[], 6)</f>
        <v>16.25</v>
      </c>
      <c r="K278" s="86">
        <f t="shared" si="23"/>
        <v>243.75</v>
      </c>
      <c r="L278" s="86">
        <f t="shared" si="24"/>
        <v>-68.25</v>
      </c>
      <c r="N278">
        <v>10520</v>
      </c>
      <c r="O278" s="84" cm="1">
        <f t="array" ref="O278">SUM(INDEX(_xlfn._xlws.FILTER($B$6:$L$2160, $B$6:$B$2160=N278), 0, 8))</f>
        <v>200</v>
      </c>
      <c r="P278" s="84" cm="1">
        <f t="array" ref="P278">SUM(INDEX(_xlfn._xlws.FILTER($B$6:$L$2160, $B$6:$B$2160=N278), 0, 10))</f>
        <v>200</v>
      </c>
      <c r="Q278" s="84" cm="1">
        <f t="array" ref="Q278">SUM(INDEX(_xlfn._xlws.FILTER($B$6:$L$2160, $B$6:$B$2160=N278), 0, 11))</f>
        <v>0</v>
      </c>
    </row>
    <row r="279" spans="2:17" x14ac:dyDescent="0.2">
      <c r="B279">
        <v>10350</v>
      </c>
      <c r="C279">
        <v>69</v>
      </c>
      <c r="D279" s="84">
        <v>28.8</v>
      </c>
      <c r="E279">
        <v>18</v>
      </c>
      <c r="F279" s="85">
        <v>0.1</v>
      </c>
      <c r="G279" s="86">
        <f t="shared" si="20"/>
        <v>518.4</v>
      </c>
      <c r="H279" s="86">
        <f t="shared" si="21"/>
        <v>51.84</v>
      </c>
      <c r="I279" s="86">
        <f t="shared" si="22"/>
        <v>466.55999999999995</v>
      </c>
      <c r="J279" s="84">
        <f>VLOOKUP(C279, Products[], 6)</f>
        <v>36</v>
      </c>
      <c r="K279" s="86">
        <f t="shared" si="23"/>
        <v>648</v>
      </c>
      <c r="L279" s="86">
        <f t="shared" si="24"/>
        <v>-181.44000000000005</v>
      </c>
      <c r="N279">
        <v>10521</v>
      </c>
      <c r="O279" s="84" cm="1">
        <f t="array" ref="O279">SUM(INDEX(_xlfn._xlws.FILTER($B$6:$L$2160, $B$6:$B$2160=N279), 0, 8))</f>
        <v>225.5</v>
      </c>
      <c r="P279" s="84" cm="1">
        <f t="array" ref="P279">SUM(INDEX(_xlfn._xlws.FILTER($B$6:$L$2160, $B$6:$B$2160=N279), 0, 10))</f>
        <v>225.5</v>
      </c>
      <c r="Q279" s="84" cm="1">
        <f t="array" ref="Q279">SUM(INDEX(_xlfn._xlws.FILTER($B$6:$L$2160, $B$6:$B$2160=N279), 0, 11))</f>
        <v>0</v>
      </c>
    </row>
    <row r="280" spans="2:17" x14ac:dyDescent="0.2">
      <c r="B280">
        <v>10351</v>
      </c>
      <c r="C280">
        <v>38</v>
      </c>
      <c r="D280" s="84">
        <v>210.8</v>
      </c>
      <c r="E280">
        <v>20</v>
      </c>
      <c r="F280" s="85">
        <v>0.05</v>
      </c>
      <c r="G280" s="86">
        <f t="shared" si="20"/>
        <v>4216</v>
      </c>
      <c r="H280" s="86">
        <f t="shared" si="21"/>
        <v>210.8</v>
      </c>
      <c r="I280" s="86">
        <f t="shared" si="22"/>
        <v>4005.2</v>
      </c>
      <c r="J280" s="84">
        <f>VLOOKUP(C280, Products[], 6)</f>
        <v>263.5</v>
      </c>
      <c r="K280" s="86">
        <f t="shared" si="23"/>
        <v>5270</v>
      </c>
      <c r="L280" s="86">
        <f t="shared" si="24"/>
        <v>-1264.8000000000002</v>
      </c>
      <c r="N280">
        <v>10522</v>
      </c>
      <c r="O280" s="84" cm="1">
        <f t="array" ref="O280">SUM(INDEX(_xlfn._xlws.FILTER($B$6:$L$2160, $B$6:$B$2160=N280), 0, 8))</f>
        <v>2318.2399999999998</v>
      </c>
      <c r="P280" s="84" cm="1">
        <f t="array" ref="P280">SUM(INDEX(_xlfn._xlws.FILTER($B$6:$L$2160, $B$6:$B$2160=N280), 0, 10))</f>
        <v>2657.8</v>
      </c>
      <c r="Q280" s="84" cm="1">
        <f t="array" ref="Q280">SUM(INDEX(_xlfn._xlws.FILTER($B$6:$L$2160, $B$6:$B$2160=N280), 0, 11))</f>
        <v>-339.56</v>
      </c>
    </row>
    <row r="281" spans="2:17" x14ac:dyDescent="0.2">
      <c r="B281">
        <v>10351</v>
      </c>
      <c r="C281">
        <v>41</v>
      </c>
      <c r="D281" s="84">
        <v>7.7</v>
      </c>
      <c r="E281">
        <v>13</v>
      </c>
      <c r="F281" s="85">
        <v>0</v>
      </c>
      <c r="G281" s="86">
        <f t="shared" si="20"/>
        <v>100.10000000000001</v>
      </c>
      <c r="H281" s="86">
        <f t="shared" si="21"/>
        <v>0</v>
      </c>
      <c r="I281" s="86">
        <f t="shared" si="22"/>
        <v>100.10000000000001</v>
      </c>
      <c r="J281" s="84">
        <f>VLOOKUP(C281, Products[], 6)</f>
        <v>9.65</v>
      </c>
      <c r="K281" s="86">
        <f t="shared" si="23"/>
        <v>125.45</v>
      </c>
      <c r="L281" s="86">
        <f t="shared" si="24"/>
        <v>-25.349999999999994</v>
      </c>
      <c r="N281">
        <v>10523</v>
      </c>
      <c r="O281" s="84" cm="1">
        <f t="array" ref="O281">SUM(INDEX(_xlfn._xlws.FILTER($B$6:$L$2160, $B$6:$B$2160=N281), 0, 8))</f>
        <v>2444.31</v>
      </c>
      <c r="P281" s="84" cm="1">
        <f t="array" ref="P281">SUM(INDEX(_xlfn._xlws.FILTER($B$6:$L$2160, $B$6:$B$2160=N281), 0, 10))</f>
        <v>2715.9</v>
      </c>
      <c r="Q281" s="84" cm="1">
        <f t="array" ref="Q281">SUM(INDEX(_xlfn._xlws.FILTER($B$6:$L$2160, $B$6:$B$2160=N281), 0, 11))</f>
        <v>-271.59000000000003</v>
      </c>
    </row>
    <row r="282" spans="2:17" x14ac:dyDescent="0.2">
      <c r="B282">
        <v>10351</v>
      </c>
      <c r="C282">
        <v>44</v>
      </c>
      <c r="D282" s="84">
        <v>15.5</v>
      </c>
      <c r="E282">
        <v>77</v>
      </c>
      <c r="F282" s="85">
        <v>0.05</v>
      </c>
      <c r="G282" s="86">
        <f t="shared" si="20"/>
        <v>1193.5</v>
      </c>
      <c r="H282" s="86">
        <f t="shared" si="21"/>
        <v>59.675000000000004</v>
      </c>
      <c r="I282" s="86">
        <f t="shared" si="22"/>
        <v>1133.825</v>
      </c>
      <c r="J282" s="84">
        <f>VLOOKUP(C282, Products[], 6)</f>
        <v>19.45</v>
      </c>
      <c r="K282" s="86">
        <f t="shared" si="23"/>
        <v>1497.6499999999999</v>
      </c>
      <c r="L282" s="86">
        <f t="shared" si="24"/>
        <v>-363.82499999999982</v>
      </c>
      <c r="N282">
        <v>10524</v>
      </c>
      <c r="O282" s="84" cm="1">
        <f t="array" ref="O282">SUM(INDEX(_xlfn._xlws.FILTER($B$6:$L$2160, $B$6:$B$2160=N282), 0, 8))</f>
        <v>3192.65</v>
      </c>
      <c r="P282" s="84" cm="1">
        <f t="array" ref="P282">SUM(INDEX(_xlfn._xlws.FILTER($B$6:$L$2160, $B$6:$B$2160=N282), 0, 10))</f>
        <v>3192.65</v>
      </c>
      <c r="Q282" s="84" cm="1">
        <f t="array" ref="Q282">SUM(INDEX(_xlfn._xlws.FILTER($B$6:$L$2160, $B$6:$B$2160=N282), 0, 11))</f>
        <v>0</v>
      </c>
    </row>
    <row r="283" spans="2:17" x14ac:dyDescent="0.2">
      <c r="B283">
        <v>10351</v>
      </c>
      <c r="C283">
        <v>65</v>
      </c>
      <c r="D283" s="84">
        <v>16.8</v>
      </c>
      <c r="E283">
        <v>10</v>
      </c>
      <c r="F283" s="85">
        <v>0.05</v>
      </c>
      <c r="G283" s="86">
        <f t="shared" si="20"/>
        <v>168</v>
      </c>
      <c r="H283" s="86">
        <f t="shared" si="21"/>
        <v>8.4</v>
      </c>
      <c r="I283" s="86">
        <f t="shared" si="22"/>
        <v>159.6</v>
      </c>
      <c r="J283" s="84">
        <f>VLOOKUP(C283, Products[], 6)</f>
        <v>21.05</v>
      </c>
      <c r="K283" s="86">
        <f t="shared" si="23"/>
        <v>210.5</v>
      </c>
      <c r="L283" s="86">
        <f t="shared" si="24"/>
        <v>-50.900000000000006</v>
      </c>
      <c r="N283">
        <v>10525</v>
      </c>
      <c r="O283" s="84" cm="1">
        <f t="array" ref="O283">SUM(INDEX(_xlfn._xlws.FILTER($B$6:$L$2160, $B$6:$B$2160=N283), 0, 8))</f>
        <v>818.4</v>
      </c>
      <c r="P283" s="84" cm="1">
        <f t="array" ref="P283">SUM(INDEX(_xlfn._xlws.FILTER($B$6:$L$2160, $B$6:$B$2160=N283), 0, 10))</f>
        <v>846</v>
      </c>
      <c r="Q283" s="84" cm="1">
        <f t="array" ref="Q283">SUM(INDEX(_xlfn._xlws.FILTER($B$6:$L$2160, $B$6:$B$2160=N283), 0, 11))</f>
        <v>-27.599999999999994</v>
      </c>
    </row>
    <row r="284" spans="2:17" x14ac:dyDescent="0.2">
      <c r="B284">
        <v>10352</v>
      </c>
      <c r="C284">
        <v>24</v>
      </c>
      <c r="D284" s="84">
        <v>3.6</v>
      </c>
      <c r="E284">
        <v>10</v>
      </c>
      <c r="F284" s="85">
        <v>0</v>
      </c>
      <c r="G284" s="86">
        <f t="shared" si="20"/>
        <v>36</v>
      </c>
      <c r="H284" s="86">
        <f t="shared" si="21"/>
        <v>0</v>
      </c>
      <c r="I284" s="86">
        <f t="shared" si="22"/>
        <v>36</v>
      </c>
      <c r="J284" s="84">
        <f>VLOOKUP(C284, Products[], 6)</f>
        <v>4.5</v>
      </c>
      <c r="K284" s="86">
        <f t="shared" si="23"/>
        <v>45</v>
      </c>
      <c r="L284" s="86">
        <f t="shared" si="24"/>
        <v>-9</v>
      </c>
      <c r="N284">
        <v>10526</v>
      </c>
      <c r="O284" s="84" cm="1">
        <f t="array" ref="O284">SUM(INDEX(_xlfn._xlws.FILTER($B$6:$L$2160, $B$6:$B$2160=N284), 0, 8))</f>
        <v>1151.4000000000001</v>
      </c>
      <c r="P284" s="84" cm="1">
        <f t="array" ref="P284">SUM(INDEX(_xlfn._xlws.FILTER($B$6:$L$2160, $B$6:$B$2160=N284), 0, 10))</f>
        <v>1344</v>
      </c>
      <c r="Q284" s="84" cm="1">
        <f t="array" ref="Q284">SUM(INDEX(_xlfn._xlws.FILTER($B$6:$L$2160, $B$6:$B$2160=N284), 0, 11))</f>
        <v>-192.6</v>
      </c>
    </row>
    <row r="285" spans="2:17" x14ac:dyDescent="0.2">
      <c r="B285">
        <v>10352</v>
      </c>
      <c r="C285">
        <v>54</v>
      </c>
      <c r="D285" s="84">
        <v>5.9</v>
      </c>
      <c r="E285">
        <v>20</v>
      </c>
      <c r="F285" s="85">
        <v>0.15</v>
      </c>
      <c r="G285" s="86">
        <f t="shared" si="20"/>
        <v>118</v>
      </c>
      <c r="H285" s="86">
        <f t="shared" si="21"/>
        <v>17.7</v>
      </c>
      <c r="I285" s="86">
        <f t="shared" si="22"/>
        <v>100.3</v>
      </c>
      <c r="J285" s="84">
        <f>VLOOKUP(C285, Products[], 6)</f>
        <v>7.45</v>
      </c>
      <c r="K285" s="86">
        <f t="shared" si="23"/>
        <v>149</v>
      </c>
      <c r="L285" s="86">
        <f t="shared" si="24"/>
        <v>-48.7</v>
      </c>
      <c r="N285">
        <v>10527</v>
      </c>
      <c r="O285" s="84" cm="1">
        <f t="array" ref="O285">SUM(INDEX(_xlfn._xlws.FILTER($B$6:$L$2160, $B$6:$B$2160=N285), 0, 8))</f>
        <v>1503</v>
      </c>
      <c r="P285" s="84" cm="1">
        <f t="array" ref="P285">SUM(INDEX(_xlfn._xlws.FILTER($B$6:$L$2160, $B$6:$B$2160=N285), 0, 10))</f>
        <v>1670</v>
      </c>
      <c r="Q285" s="84" cm="1">
        <f t="array" ref="Q285">SUM(INDEX(_xlfn._xlws.FILTER($B$6:$L$2160, $B$6:$B$2160=N285), 0, 11))</f>
        <v>-167</v>
      </c>
    </row>
    <row r="286" spans="2:17" x14ac:dyDescent="0.2">
      <c r="B286">
        <v>10353</v>
      </c>
      <c r="C286">
        <v>11</v>
      </c>
      <c r="D286" s="84">
        <v>16.8</v>
      </c>
      <c r="E286">
        <v>12</v>
      </c>
      <c r="F286" s="85">
        <v>0.2</v>
      </c>
      <c r="G286" s="86">
        <f t="shared" si="20"/>
        <v>201.60000000000002</v>
      </c>
      <c r="H286" s="86">
        <f t="shared" si="21"/>
        <v>40.320000000000007</v>
      </c>
      <c r="I286" s="86">
        <f t="shared" si="22"/>
        <v>161.28000000000003</v>
      </c>
      <c r="J286" s="84">
        <f>VLOOKUP(C286, Products[], 6)</f>
        <v>21</v>
      </c>
      <c r="K286" s="86">
        <f t="shared" si="23"/>
        <v>252</v>
      </c>
      <c r="L286" s="86">
        <f t="shared" si="24"/>
        <v>-90.71999999999997</v>
      </c>
      <c r="N286">
        <v>10528</v>
      </c>
      <c r="O286" s="84" cm="1">
        <f t="array" ref="O286">SUM(INDEX(_xlfn._xlws.FILTER($B$6:$L$2160, $B$6:$B$2160=N286), 0, 8))</f>
        <v>392.2</v>
      </c>
      <c r="P286" s="84" cm="1">
        <f t="array" ref="P286">SUM(INDEX(_xlfn._xlws.FILTER($B$6:$L$2160, $B$6:$B$2160=N286), 0, 10))</f>
        <v>396.2</v>
      </c>
      <c r="Q286" s="84" cm="1">
        <f t="array" ref="Q286">SUM(INDEX(_xlfn._xlws.FILTER($B$6:$L$2160, $B$6:$B$2160=N286), 0, 11))</f>
        <v>-4</v>
      </c>
    </row>
    <row r="287" spans="2:17" x14ac:dyDescent="0.2">
      <c r="B287">
        <v>10353</v>
      </c>
      <c r="C287">
        <v>38</v>
      </c>
      <c r="D287" s="84">
        <v>210.8</v>
      </c>
      <c r="E287">
        <v>50</v>
      </c>
      <c r="F287" s="85">
        <v>0.2</v>
      </c>
      <c r="G287" s="86">
        <f t="shared" si="20"/>
        <v>10540</v>
      </c>
      <c r="H287" s="86">
        <f t="shared" si="21"/>
        <v>2108</v>
      </c>
      <c r="I287" s="86">
        <f t="shared" si="22"/>
        <v>8432</v>
      </c>
      <c r="J287" s="84">
        <f>VLOOKUP(C287, Products[], 6)</f>
        <v>263.5</v>
      </c>
      <c r="K287" s="86">
        <f t="shared" si="23"/>
        <v>13175</v>
      </c>
      <c r="L287" s="86">
        <f t="shared" si="24"/>
        <v>-4743</v>
      </c>
      <c r="N287">
        <v>10529</v>
      </c>
      <c r="O287" s="84" cm="1">
        <f t="array" ref="O287">SUM(INDEX(_xlfn._xlws.FILTER($B$6:$L$2160, $B$6:$B$2160=N287), 0, 8))</f>
        <v>946</v>
      </c>
      <c r="P287" s="84" cm="1">
        <f t="array" ref="P287">SUM(INDEX(_xlfn._xlws.FILTER($B$6:$L$2160, $B$6:$B$2160=N287), 0, 10))</f>
        <v>946</v>
      </c>
      <c r="Q287" s="84" cm="1">
        <f t="array" ref="Q287">SUM(INDEX(_xlfn._xlws.FILTER($B$6:$L$2160, $B$6:$B$2160=N287), 0, 11))</f>
        <v>0</v>
      </c>
    </row>
    <row r="288" spans="2:17" x14ac:dyDescent="0.2">
      <c r="B288">
        <v>10354</v>
      </c>
      <c r="C288">
        <v>1</v>
      </c>
      <c r="D288" s="84">
        <v>14.4</v>
      </c>
      <c r="E288">
        <v>12</v>
      </c>
      <c r="F288" s="85">
        <v>0</v>
      </c>
      <c r="G288" s="86">
        <f t="shared" si="20"/>
        <v>172.8</v>
      </c>
      <c r="H288" s="86">
        <f t="shared" si="21"/>
        <v>0</v>
      </c>
      <c r="I288" s="86">
        <f t="shared" si="22"/>
        <v>172.8</v>
      </c>
      <c r="J288" s="84">
        <f>VLOOKUP(C288, Products[], 6)</f>
        <v>18</v>
      </c>
      <c r="K288" s="86">
        <f t="shared" si="23"/>
        <v>216</v>
      </c>
      <c r="L288" s="86">
        <f t="shared" si="24"/>
        <v>-43.199999999999989</v>
      </c>
      <c r="N288">
        <v>10530</v>
      </c>
      <c r="O288" s="84" cm="1">
        <f t="array" ref="O288">SUM(INDEX(_xlfn._xlws.FILTER($B$6:$L$2160, $B$6:$B$2160=N288), 0, 8))</f>
        <v>4180</v>
      </c>
      <c r="P288" s="84" cm="1">
        <f t="array" ref="P288">SUM(INDEX(_xlfn._xlws.FILTER($B$6:$L$2160, $B$6:$B$2160=N288), 0, 10))</f>
        <v>4180</v>
      </c>
      <c r="Q288" s="84" cm="1">
        <f t="array" ref="Q288">SUM(INDEX(_xlfn._xlws.FILTER($B$6:$L$2160, $B$6:$B$2160=N288), 0, 11))</f>
        <v>0</v>
      </c>
    </row>
    <row r="289" spans="2:17" x14ac:dyDescent="0.2">
      <c r="B289">
        <v>10354</v>
      </c>
      <c r="C289">
        <v>29</v>
      </c>
      <c r="D289" s="84">
        <v>99</v>
      </c>
      <c r="E289">
        <v>4</v>
      </c>
      <c r="F289" s="85">
        <v>0</v>
      </c>
      <c r="G289" s="86">
        <f t="shared" si="20"/>
        <v>396</v>
      </c>
      <c r="H289" s="86">
        <f t="shared" si="21"/>
        <v>0</v>
      </c>
      <c r="I289" s="86">
        <f t="shared" si="22"/>
        <v>396</v>
      </c>
      <c r="J289" s="84">
        <f>VLOOKUP(C289, Products[], 6)</f>
        <v>123.79</v>
      </c>
      <c r="K289" s="86">
        <f t="shared" si="23"/>
        <v>495.16</v>
      </c>
      <c r="L289" s="86">
        <f t="shared" si="24"/>
        <v>-99.160000000000025</v>
      </c>
      <c r="N289">
        <v>10531</v>
      </c>
      <c r="O289" s="84" cm="1">
        <f t="array" ref="O289">SUM(INDEX(_xlfn._xlws.FILTER($B$6:$L$2160, $B$6:$B$2160=N289), 0, 8))</f>
        <v>110</v>
      </c>
      <c r="P289" s="84" cm="1">
        <f t="array" ref="P289">SUM(INDEX(_xlfn._xlws.FILTER($B$6:$L$2160, $B$6:$B$2160=N289), 0, 10))</f>
        <v>110</v>
      </c>
      <c r="Q289" s="84" cm="1">
        <f t="array" ref="Q289">SUM(INDEX(_xlfn._xlws.FILTER($B$6:$L$2160, $B$6:$B$2160=N289), 0, 11))</f>
        <v>0</v>
      </c>
    </row>
    <row r="290" spans="2:17" x14ac:dyDescent="0.2">
      <c r="B290">
        <v>10355</v>
      </c>
      <c r="C290">
        <v>24</v>
      </c>
      <c r="D290" s="84">
        <v>3.6</v>
      </c>
      <c r="E290">
        <v>25</v>
      </c>
      <c r="F290" s="85">
        <v>0</v>
      </c>
      <c r="G290" s="86">
        <f t="shared" si="20"/>
        <v>90</v>
      </c>
      <c r="H290" s="86">
        <f t="shared" si="21"/>
        <v>0</v>
      </c>
      <c r="I290" s="86">
        <f t="shared" si="22"/>
        <v>90</v>
      </c>
      <c r="J290" s="84">
        <f>VLOOKUP(C290, Products[], 6)</f>
        <v>4.5</v>
      </c>
      <c r="K290" s="86">
        <f t="shared" si="23"/>
        <v>112.5</v>
      </c>
      <c r="L290" s="86">
        <f t="shared" si="24"/>
        <v>-22.5</v>
      </c>
      <c r="N290">
        <v>10532</v>
      </c>
      <c r="O290" s="84" cm="1">
        <f t="array" ref="O290">SUM(INDEX(_xlfn._xlws.FILTER($B$6:$L$2160, $B$6:$B$2160=N290), 0, 8))</f>
        <v>796.35</v>
      </c>
      <c r="P290" s="84" cm="1">
        <f t="array" ref="P290">SUM(INDEX(_xlfn._xlws.FILTER($B$6:$L$2160, $B$6:$B$2160=N290), 0, 10))</f>
        <v>796.35</v>
      </c>
      <c r="Q290" s="84" cm="1">
        <f t="array" ref="Q290">SUM(INDEX(_xlfn._xlws.FILTER($B$6:$L$2160, $B$6:$B$2160=N290), 0, 11))</f>
        <v>0</v>
      </c>
    </row>
    <row r="291" spans="2:17" x14ac:dyDescent="0.2">
      <c r="B291">
        <v>10355</v>
      </c>
      <c r="C291">
        <v>57</v>
      </c>
      <c r="D291" s="84">
        <v>15.6</v>
      </c>
      <c r="E291">
        <v>25</v>
      </c>
      <c r="F291" s="85">
        <v>0</v>
      </c>
      <c r="G291" s="86">
        <f t="shared" si="20"/>
        <v>390</v>
      </c>
      <c r="H291" s="86">
        <f t="shared" si="21"/>
        <v>0</v>
      </c>
      <c r="I291" s="86">
        <f t="shared" si="22"/>
        <v>390</v>
      </c>
      <c r="J291" s="84">
        <f>VLOOKUP(C291, Products[], 6)</f>
        <v>19.5</v>
      </c>
      <c r="K291" s="86">
        <f t="shared" si="23"/>
        <v>487.5</v>
      </c>
      <c r="L291" s="86">
        <f t="shared" si="24"/>
        <v>-97.5</v>
      </c>
      <c r="N291">
        <v>10533</v>
      </c>
      <c r="O291" s="84" cm="1">
        <f t="array" ref="O291">SUM(INDEX(_xlfn._xlws.FILTER($B$6:$L$2160, $B$6:$B$2160=N291), 0, 8))</f>
        <v>2222.1999999999998</v>
      </c>
      <c r="P291" s="84" cm="1">
        <f t="array" ref="P291">SUM(INDEX(_xlfn._xlws.FILTER($B$6:$L$2160, $B$6:$B$2160=N291), 0, 10))</f>
        <v>2295.1999999999998</v>
      </c>
      <c r="Q291" s="84" cm="1">
        <f t="array" ref="Q291">SUM(INDEX(_xlfn._xlws.FILTER($B$6:$L$2160, $B$6:$B$2160=N291), 0, 11))</f>
        <v>-73</v>
      </c>
    </row>
    <row r="292" spans="2:17" x14ac:dyDescent="0.2">
      <c r="B292">
        <v>10356</v>
      </c>
      <c r="C292">
        <v>31</v>
      </c>
      <c r="D292" s="84">
        <v>10</v>
      </c>
      <c r="E292">
        <v>30</v>
      </c>
      <c r="F292" s="85">
        <v>0</v>
      </c>
      <c r="G292" s="86">
        <f t="shared" si="20"/>
        <v>300</v>
      </c>
      <c r="H292" s="86">
        <f t="shared" si="21"/>
        <v>0</v>
      </c>
      <c r="I292" s="86">
        <f t="shared" si="22"/>
        <v>300</v>
      </c>
      <c r="J292" s="84">
        <f>VLOOKUP(C292, Products[], 6)</f>
        <v>12.5</v>
      </c>
      <c r="K292" s="86">
        <f t="shared" si="23"/>
        <v>375</v>
      </c>
      <c r="L292" s="86">
        <f t="shared" si="24"/>
        <v>-75</v>
      </c>
      <c r="N292">
        <v>10534</v>
      </c>
      <c r="O292" s="84" cm="1">
        <f t="array" ref="O292">SUM(INDEX(_xlfn._xlws.FILTER($B$6:$L$2160, $B$6:$B$2160=N292), 0, 8))</f>
        <v>465.7</v>
      </c>
      <c r="P292" s="84" cm="1">
        <f t="array" ref="P292">SUM(INDEX(_xlfn._xlws.FILTER($B$6:$L$2160, $B$6:$B$2160=N292), 0, 10))</f>
        <v>517.4</v>
      </c>
      <c r="Q292" s="84" cm="1">
        <f t="array" ref="Q292">SUM(INDEX(_xlfn._xlws.FILTER($B$6:$L$2160, $B$6:$B$2160=N292), 0, 11))</f>
        <v>-51.70000000000001</v>
      </c>
    </row>
    <row r="293" spans="2:17" x14ac:dyDescent="0.2">
      <c r="B293">
        <v>10356</v>
      </c>
      <c r="C293">
        <v>55</v>
      </c>
      <c r="D293" s="84">
        <v>19.2</v>
      </c>
      <c r="E293">
        <v>12</v>
      </c>
      <c r="F293" s="85">
        <v>0</v>
      </c>
      <c r="G293" s="86">
        <f t="shared" si="20"/>
        <v>230.39999999999998</v>
      </c>
      <c r="H293" s="86">
        <f t="shared" si="21"/>
        <v>0</v>
      </c>
      <c r="I293" s="86">
        <f t="shared" si="22"/>
        <v>230.39999999999998</v>
      </c>
      <c r="J293" s="84">
        <f>VLOOKUP(C293, Products[], 6)</f>
        <v>24</v>
      </c>
      <c r="K293" s="86">
        <f t="shared" si="23"/>
        <v>288</v>
      </c>
      <c r="L293" s="86">
        <f t="shared" si="24"/>
        <v>-57.600000000000023</v>
      </c>
      <c r="N293">
        <v>10535</v>
      </c>
      <c r="O293" s="84" cm="1">
        <f t="array" ref="O293">SUM(INDEX(_xlfn._xlws.FILTER($B$6:$L$2160, $B$6:$B$2160=N293), 0, 8))</f>
        <v>1940.85</v>
      </c>
      <c r="P293" s="84" cm="1">
        <f t="array" ref="P293">SUM(INDEX(_xlfn._xlws.FILTER($B$6:$L$2160, $B$6:$B$2160=N293), 0, 10))</f>
        <v>2156.5</v>
      </c>
      <c r="Q293" s="84" cm="1">
        <f t="array" ref="Q293">SUM(INDEX(_xlfn._xlws.FILTER($B$6:$L$2160, $B$6:$B$2160=N293), 0, 11))</f>
        <v>-215.65</v>
      </c>
    </row>
    <row r="294" spans="2:17" x14ac:dyDescent="0.2">
      <c r="B294">
        <v>10356</v>
      </c>
      <c r="C294">
        <v>69</v>
      </c>
      <c r="D294" s="84">
        <v>28.8</v>
      </c>
      <c r="E294">
        <v>20</v>
      </c>
      <c r="F294" s="85">
        <v>0</v>
      </c>
      <c r="G294" s="86">
        <f t="shared" si="20"/>
        <v>576</v>
      </c>
      <c r="H294" s="86">
        <f t="shared" si="21"/>
        <v>0</v>
      </c>
      <c r="I294" s="86">
        <f t="shared" si="22"/>
        <v>576</v>
      </c>
      <c r="J294" s="84">
        <f>VLOOKUP(C294, Products[], 6)</f>
        <v>36</v>
      </c>
      <c r="K294" s="86">
        <f t="shared" si="23"/>
        <v>720</v>
      </c>
      <c r="L294" s="86">
        <f t="shared" si="24"/>
        <v>-144</v>
      </c>
      <c r="N294">
        <v>10536</v>
      </c>
      <c r="O294" s="84" cm="1">
        <f t="array" ref="O294">SUM(INDEX(_xlfn._xlws.FILTER($B$6:$L$2160, $B$6:$B$2160=N294), 0, 8))</f>
        <v>1645</v>
      </c>
      <c r="P294" s="84" cm="1">
        <f t="array" ref="P294">SUM(INDEX(_xlfn._xlws.FILTER($B$6:$L$2160, $B$6:$B$2160=N294), 0, 10))</f>
        <v>2085</v>
      </c>
      <c r="Q294" s="84" cm="1">
        <f t="array" ref="Q294">SUM(INDEX(_xlfn._xlws.FILTER($B$6:$L$2160, $B$6:$B$2160=N294), 0, 11))</f>
        <v>-440</v>
      </c>
    </row>
    <row r="295" spans="2:17" x14ac:dyDescent="0.2">
      <c r="B295">
        <v>10357</v>
      </c>
      <c r="C295">
        <v>10</v>
      </c>
      <c r="D295" s="84">
        <v>24.8</v>
      </c>
      <c r="E295">
        <v>30</v>
      </c>
      <c r="F295" s="85">
        <v>0.2</v>
      </c>
      <c r="G295" s="86">
        <f t="shared" si="20"/>
        <v>744</v>
      </c>
      <c r="H295" s="86">
        <f t="shared" si="21"/>
        <v>148.80000000000001</v>
      </c>
      <c r="I295" s="86">
        <f t="shared" si="22"/>
        <v>595.20000000000005</v>
      </c>
      <c r="J295" s="84">
        <f>VLOOKUP(C295, Products[], 6)</f>
        <v>31</v>
      </c>
      <c r="K295" s="86">
        <f t="shared" si="23"/>
        <v>930</v>
      </c>
      <c r="L295" s="86">
        <f t="shared" si="24"/>
        <v>-334.79999999999995</v>
      </c>
      <c r="N295">
        <v>10537</v>
      </c>
      <c r="O295" s="84" cm="1">
        <f t="array" ref="O295">SUM(INDEX(_xlfn._xlws.FILTER($B$6:$L$2160, $B$6:$B$2160=N295), 0, 8))</f>
        <v>1823.8</v>
      </c>
      <c r="P295" s="84" cm="1">
        <f t="array" ref="P295">SUM(INDEX(_xlfn._xlws.FILTER($B$6:$L$2160, $B$6:$B$2160=N295), 0, 10))</f>
        <v>1823.8</v>
      </c>
      <c r="Q295" s="84" cm="1">
        <f t="array" ref="Q295">SUM(INDEX(_xlfn._xlws.FILTER($B$6:$L$2160, $B$6:$B$2160=N295), 0, 11))</f>
        <v>0</v>
      </c>
    </row>
    <row r="296" spans="2:17" x14ac:dyDescent="0.2">
      <c r="B296">
        <v>10357</v>
      </c>
      <c r="C296">
        <v>26</v>
      </c>
      <c r="D296" s="84">
        <v>24.9</v>
      </c>
      <c r="E296">
        <v>16</v>
      </c>
      <c r="F296" s="85">
        <v>0</v>
      </c>
      <c r="G296" s="86">
        <f t="shared" si="20"/>
        <v>398.4</v>
      </c>
      <c r="H296" s="86">
        <f t="shared" si="21"/>
        <v>0</v>
      </c>
      <c r="I296" s="86">
        <f t="shared" si="22"/>
        <v>398.4</v>
      </c>
      <c r="J296" s="84">
        <f>VLOOKUP(C296, Products[], 6)</f>
        <v>31.23</v>
      </c>
      <c r="K296" s="86">
        <f t="shared" si="23"/>
        <v>499.68</v>
      </c>
      <c r="L296" s="86">
        <f t="shared" si="24"/>
        <v>-101.28000000000003</v>
      </c>
      <c r="N296">
        <v>10538</v>
      </c>
      <c r="O296" s="84" cm="1">
        <f t="array" ref="O296">SUM(INDEX(_xlfn._xlws.FILTER($B$6:$L$2160, $B$6:$B$2160=N296), 0, 8))</f>
        <v>139.80000000000001</v>
      </c>
      <c r="P296" s="84" cm="1">
        <f t="array" ref="P296">SUM(INDEX(_xlfn._xlws.FILTER($B$6:$L$2160, $B$6:$B$2160=N296), 0, 10))</f>
        <v>139.80000000000001</v>
      </c>
      <c r="Q296" s="84" cm="1">
        <f t="array" ref="Q296">SUM(INDEX(_xlfn._xlws.FILTER($B$6:$L$2160, $B$6:$B$2160=N296), 0, 11))</f>
        <v>0</v>
      </c>
    </row>
    <row r="297" spans="2:17" x14ac:dyDescent="0.2">
      <c r="B297">
        <v>10357</v>
      </c>
      <c r="C297">
        <v>60</v>
      </c>
      <c r="D297" s="84">
        <v>27.2</v>
      </c>
      <c r="E297">
        <v>8</v>
      </c>
      <c r="F297" s="85">
        <v>0.2</v>
      </c>
      <c r="G297" s="86">
        <f t="shared" si="20"/>
        <v>217.6</v>
      </c>
      <c r="H297" s="86">
        <f t="shared" si="21"/>
        <v>43.52</v>
      </c>
      <c r="I297" s="86">
        <f t="shared" si="22"/>
        <v>174.07999999999998</v>
      </c>
      <c r="J297" s="84">
        <f>VLOOKUP(C297, Products[], 6)</f>
        <v>34</v>
      </c>
      <c r="K297" s="86">
        <f t="shared" si="23"/>
        <v>272</v>
      </c>
      <c r="L297" s="86">
        <f t="shared" si="24"/>
        <v>-97.920000000000016</v>
      </c>
      <c r="N297">
        <v>10539</v>
      </c>
      <c r="O297" s="84" cm="1">
        <f t="array" ref="O297">SUM(INDEX(_xlfn._xlws.FILTER($B$6:$L$2160, $B$6:$B$2160=N297), 0, 8))</f>
        <v>355.5</v>
      </c>
      <c r="P297" s="84" cm="1">
        <f t="array" ref="P297">SUM(INDEX(_xlfn._xlws.FILTER($B$6:$L$2160, $B$6:$B$2160=N297), 0, 10))</f>
        <v>355.5</v>
      </c>
      <c r="Q297" s="84" cm="1">
        <f t="array" ref="Q297">SUM(INDEX(_xlfn._xlws.FILTER($B$6:$L$2160, $B$6:$B$2160=N297), 0, 11))</f>
        <v>0</v>
      </c>
    </row>
    <row r="298" spans="2:17" x14ac:dyDescent="0.2">
      <c r="B298">
        <v>10358</v>
      </c>
      <c r="C298">
        <v>24</v>
      </c>
      <c r="D298" s="84">
        <v>3.6</v>
      </c>
      <c r="E298">
        <v>10</v>
      </c>
      <c r="F298" s="85">
        <v>0.05</v>
      </c>
      <c r="G298" s="86">
        <f t="shared" si="20"/>
        <v>36</v>
      </c>
      <c r="H298" s="86">
        <f t="shared" si="21"/>
        <v>1.8</v>
      </c>
      <c r="I298" s="86">
        <f t="shared" si="22"/>
        <v>34.200000000000003</v>
      </c>
      <c r="J298" s="84">
        <f>VLOOKUP(C298, Products[], 6)</f>
        <v>4.5</v>
      </c>
      <c r="K298" s="86">
        <f t="shared" si="23"/>
        <v>45</v>
      </c>
      <c r="L298" s="86">
        <f t="shared" si="24"/>
        <v>-10.799999999999997</v>
      </c>
      <c r="N298">
        <v>10540</v>
      </c>
      <c r="O298" s="84" cm="1">
        <f t="array" ref="O298">SUM(INDEX(_xlfn._xlws.FILTER($B$6:$L$2160, $B$6:$B$2160=N298), 0, 8))</f>
        <v>10191.700000000001</v>
      </c>
      <c r="P298" s="84" cm="1">
        <f t="array" ref="P298">SUM(INDEX(_xlfn._xlws.FILTER($B$6:$L$2160, $B$6:$B$2160=N298), 0, 10))</f>
        <v>10191.700000000001</v>
      </c>
      <c r="Q298" s="84" cm="1">
        <f t="array" ref="Q298">SUM(INDEX(_xlfn._xlws.FILTER($B$6:$L$2160, $B$6:$B$2160=N298), 0, 11))</f>
        <v>0</v>
      </c>
    </row>
    <row r="299" spans="2:17" x14ac:dyDescent="0.2">
      <c r="B299">
        <v>10358</v>
      </c>
      <c r="C299">
        <v>34</v>
      </c>
      <c r="D299" s="84">
        <v>11.2</v>
      </c>
      <c r="E299">
        <v>10</v>
      </c>
      <c r="F299" s="85">
        <v>0.05</v>
      </c>
      <c r="G299" s="86">
        <f t="shared" si="20"/>
        <v>112</v>
      </c>
      <c r="H299" s="86">
        <f t="shared" si="21"/>
        <v>5.6000000000000005</v>
      </c>
      <c r="I299" s="86">
        <f t="shared" si="22"/>
        <v>106.4</v>
      </c>
      <c r="J299" s="84">
        <f>VLOOKUP(C299, Products[], 6)</f>
        <v>14</v>
      </c>
      <c r="K299" s="86">
        <f t="shared" si="23"/>
        <v>140</v>
      </c>
      <c r="L299" s="86">
        <f t="shared" si="24"/>
        <v>-33.599999999999994</v>
      </c>
      <c r="N299">
        <v>10541</v>
      </c>
      <c r="O299" s="84" cm="1">
        <f t="array" ref="O299">SUM(INDEX(_xlfn._xlws.FILTER($B$6:$L$2160, $B$6:$B$2160=N299), 0, 8))</f>
        <v>1946.52</v>
      </c>
      <c r="P299" s="84" cm="1">
        <f t="array" ref="P299">SUM(INDEX(_xlfn._xlws.FILTER($B$6:$L$2160, $B$6:$B$2160=N299), 0, 10))</f>
        <v>2162.8000000000002</v>
      </c>
      <c r="Q299" s="84" cm="1">
        <f t="array" ref="Q299">SUM(INDEX(_xlfn._xlws.FILTER($B$6:$L$2160, $B$6:$B$2160=N299), 0, 11))</f>
        <v>-216.27999999999994</v>
      </c>
    </row>
    <row r="300" spans="2:17" x14ac:dyDescent="0.2">
      <c r="B300">
        <v>10358</v>
      </c>
      <c r="C300">
        <v>36</v>
      </c>
      <c r="D300" s="84">
        <v>15.2</v>
      </c>
      <c r="E300">
        <v>20</v>
      </c>
      <c r="F300" s="85">
        <v>0.05</v>
      </c>
      <c r="G300" s="86">
        <f t="shared" si="20"/>
        <v>304</v>
      </c>
      <c r="H300" s="86">
        <f t="shared" si="21"/>
        <v>15.200000000000001</v>
      </c>
      <c r="I300" s="86">
        <f t="shared" si="22"/>
        <v>288.8</v>
      </c>
      <c r="J300" s="84">
        <f>VLOOKUP(C300, Products[], 6)</f>
        <v>19</v>
      </c>
      <c r="K300" s="86">
        <f t="shared" si="23"/>
        <v>380</v>
      </c>
      <c r="L300" s="86">
        <f t="shared" si="24"/>
        <v>-91.199999999999989</v>
      </c>
      <c r="N300">
        <v>10542</v>
      </c>
      <c r="O300" s="84" cm="1">
        <f t="array" ref="O300">SUM(INDEX(_xlfn._xlws.FILTER($B$6:$L$2160, $B$6:$B$2160=N300), 0, 8))</f>
        <v>469.11</v>
      </c>
      <c r="P300" s="84" cm="1">
        <f t="array" ref="P300">SUM(INDEX(_xlfn._xlws.FILTER($B$6:$L$2160, $B$6:$B$2160=N300), 0, 10))</f>
        <v>493.8</v>
      </c>
      <c r="Q300" s="84" cm="1">
        <f t="array" ref="Q300">SUM(INDEX(_xlfn._xlws.FILTER($B$6:$L$2160, $B$6:$B$2160=N300), 0, 11))</f>
        <v>-24.689999999999998</v>
      </c>
    </row>
    <row r="301" spans="2:17" x14ac:dyDescent="0.2">
      <c r="B301">
        <v>10359</v>
      </c>
      <c r="C301">
        <v>16</v>
      </c>
      <c r="D301" s="84">
        <v>13.9</v>
      </c>
      <c r="E301">
        <v>56</v>
      </c>
      <c r="F301" s="85">
        <v>0.05</v>
      </c>
      <c r="G301" s="86">
        <f t="shared" si="20"/>
        <v>778.4</v>
      </c>
      <c r="H301" s="86">
        <f t="shared" si="21"/>
        <v>38.92</v>
      </c>
      <c r="I301" s="86">
        <f t="shared" si="22"/>
        <v>739.48</v>
      </c>
      <c r="J301" s="84">
        <f>VLOOKUP(C301, Products[], 6)</f>
        <v>17.45</v>
      </c>
      <c r="K301" s="86">
        <f t="shared" si="23"/>
        <v>977.19999999999993</v>
      </c>
      <c r="L301" s="86">
        <f t="shared" si="24"/>
        <v>-237.71999999999991</v>
      </c>
      <c r="N301">
        <v>10543</v>
      </c>
      <c r="O301" s="84" cm="1">
        <f t="array" ref="O301">SUM(INDEX(_xlfn._xlws.FILTER($B$6:$L$2160, $B$6:$B$2160=N301), 0, 8))</f>
        <v>1504.5</v>
      </c>
      <c r="P301" s="84" cm="1">
        <f t="array" ref="P301">SUM(INDEX(_xlfn._xlws.FILTER($B$6:$L$2160, $B$6:$B$2160=N301), 0, 10))</f>
        <v>1770</v>
      </c>
      <c r="Q301" s="84" cm="1">
        <f t="array" ref="Q301">SUM(INDEX(_xlfn._xlws.FILTER($B$6:$L$2160, $B$6:$B$2160=N301), 0, 11))</f>
        <v>-265.5</v>
      </c>
    </row>
    <row r="302" spans="2:17" x14ac:dyDescent="0.2">
      <c r="B302">
        <v>10359</v>
      </c>
      <c r="C302">
        <v>31</v>
      </c>
      <c r="D302" s="84">
        <v>10</v>
      </c>
      <c r="E302">
        <v>70</v>
      </c>
      <c r="F302" s="85">
        <v>0.05</v>
      </c>
      <c r="G302" s="86">
        <f t="shared" si="20"/>
        <v>700</v>
      </c>
      <c r="H302" s="86">
        <f t="shared" si="21"/>
        <v>35</v>
      </c>
      <c r="I302" s="86">
        <f t="shared" si="22"/>
        <v>665</v>
      </c>
      <c r="J302" s="84">
        <f>VLOOKUP(C302, Products[], 6)</f>
        <v>12.5</v>
      </c>
      <c r="K302" s="86">
        <f t="shared" si="23"/>
        <v>875</v>
      </c>
      <c r="L302" s="86">
        <f t="shared" si="24"/>
        <v>-210</v>
      </c>
      <c r="N302">
        <v>10544</v>
      </c>
      <c r="O302" s="84" cm="1">
        <f t="array" ref="O302">SUM(INDEX(_xlfn._xlws.FILTER($B$6:$L$2160, $B$6:$B$2160=N302), 0, 8))</f>
        <v>417.2</v>
      </c>
      <c r="P302" s="84" cm="1">
        <f t="array" ref="P302">SUM(INDEX(_xlfn._xlws.FILTER($B$6:$L$2160, $B$6:$B$2160=N302), 0, 10))</f>
        <v>417.2</v>
      </c>
      <c r="Q302" s="84" cm="1">
        <f t="array" ref="Q302">SUM(INDEX(_xlfn._xlws.FILTER($B$6:$L$2160, $B$6:$B$2160=N302), 0, 11))</f>
        <v>0</v>
      </c>
    </row>
    <row r="303" spans="2:17" x14ac:dyDescent="0.2">
      <c r="B303">
        <v>10359</v>
      </c>
      <c r="C303">
        <v>60</v>
      </c>
      <c r="D303" s="84">
        <v>27.2</v>
      </c>
      <c r="E303">
        <v>80</v>
      </c>
      <c r="F303" s="85">
        <v>0.05</v>
      </c>
      <c r="G303" s="86">
        <f t="shared" si="20"/>
        <v>2176</v>
      </c>
      <c r="H303" s="86">
        <f t="shared" si="21"/>
        <v>108.80000000000001</v>
      </c>
      <c r="I303" s="86">
        <f t="shared" si="22"/>
        <v>2067.1999999999998</v>
      </c>
      <c r="J303" s="84">
        <f>VLOOKUP(C303, Products[], 6)</f>
        <v>34</v>
      </c>
      <c r="K303" s="86">
        <f t="shared" si="23"/>
        <v>2720</v>
      </c>
      <c r="L303" s="86">
        <f t="shared" si="24"/>
        <v>-652.80000000000018</v>
      </c>
      <c r="N303">
        <v>10545</v>
      </c>
      <c r="O303" s="84" cm="1">
        <f t="array" ref="O303">SUM(INDEX(_xlfn._xlws.FILTER($B$6:$L$2160, $B$6:$B$2160=N303), 0, 8))</f>
        <v>210</v>
      </c>
      <c r="P303" s="84" cm="1">
        <f t="array" ref="P303">SUM(INDEX(_xlfn._xlws.FILTER($B$6:$L$2160, $B$6:$B$2160=N303), 0, 10))</f>
        <v>210</v>
      </c>
      <c r="Q303" s="84" cm="1">
        <f t="array" ref="Q303">SUM(INDEX(_xlfn._xlws.FILTER($B$6:$L$2160, $B$6:$B$2160=N303), 0, 11))</f>
        <v>0</v>
      </c>
    </row>
    <row r="304" spans="2:17" x14ac:dyDescent="0.2">
      <c r="B304">
        <v>10360</v>
      </c>
      <c r="C304">
        <v>28</v>
      </c>
      <c r="D304" s="84">
        <v>36.4</v>
      </c>
      <c r="E304">
        <v>30</v>
      </c>
      <c r="F304" s="85">
        <v>0</v>
      </c>
      <c r="G304" s="86">
        <f t="shared" si="20"/>
        <v>1092</v>
      </c>
      <c r="H304" s="86">
        <f t="shared" si="21"/>
        <v>0</v>
      </c>
      <c r="I304" s="86">
        <f t="shared" si="22"/>
        <v>1092</v>
      </c>
      <c r="J304" s="84">
        <f>VLOOKUP(C304, Products[], 6)</f>
        <v>45.6</v>
      </c>
      <c r="K304" s="86">
        <f t="shared" si="23"/>
        <v>1368</v>
      </c>
      <c r="L304" s="86">
        <f t="shared" si="24"/>
        <v>-276</v>
      </c>
      <c r="N304">
        <v>10546</v>
      </c>
      <c r="O304" s="84" cm="1">
        <f t="array" ref="O304">SUM(INDEX(_xlfn._xlws.FILTER($B$6:$L$2160, $B$6:$B$2160=N304), 0, 8))</f>
        <v>2812</v>
      </c>
      <c r="P304" s="84" cm="1">
        <f t="array" ref="P304">SUM(INDEX(_xlfn._xlws.FILTER($B$6:$L$2160, $B$6:$B$2160=N304), 0, 10))</f>
        <v>2812</v>
      </c>
      <c r="Q304" s="84" cm="1">
        <f t="array" ref="Q304">SUM(INDEX(_xlfn._xlws.FILTER($B$6:$L$2160, $B$6:$B$2160=N304), 0, 11))</f>
        <v>0</v>
      </c>
    </row>
    <row r="305" spans="2:17" x14ac:dyDescent="0.2">
      <c r="B305">
        <v>10360</v>
      </c>
      <c r="C305">
        <v>29</v>
      </c>
      <c r="D305" s="84">
        <v>99</v>
      </c>
      <c r="E305">
        <v>35</v>
      </c>
      <c r="F305" s="85">
        <v>0</v>
      </c>
      <c r="G305" s="86">
        <f t="shared" si="20"/>
        <v>3465</v>
      </c>
      <c r="H305" s="86">
        <f t="shared" si="21"/>
        <v>0</v>
      </c>
      <c r="I305" s="86">
        <f t="shared" si="22"/>
        <v>3465</v>
      </c>
      <c r="J305" s="84">
        <f>VLOOKUP(C305, Products[], 6)</f>
        <v>123.79</v>
      </c>
      <c r="K305" s="86">
        <f t="shared" si="23"/>
        <v>4332.6500000000005</v>
      </c>
      <c r="L305" s="86">
        <f t="shared" si="24"/>
        <v>-867.65000000000055</v>
      </c>
      <c r="N305">
        <v>10547</v>
      </c>
      <c r="O305" s="84" cm="1">
        <f t="array" ref="O305">SUM(INDEX(_xlfn._xlws.FILTER($B$6:$L$2160, $B$6:$B$2160=N305), 0, 8))</f>
        <v>1792.8</v>
      </c>
      <c r="P305" s="84" cm="1">
        <f t="array" ref="P305">SUM(INDEX(_xlfn._xlws.FILTER($B$6:$L$2160, $B$6:$B$2160=N305), 0, 10))</f>
        <v>1908</v>
      </c>
      <c r="Q305" s="84" cm="1">
        <f t="array" ref="Q305">SUM(INDEX(_xlfn._xlws.FILTER($B$6:$L$2160, $B$6:$B$2160=N305), 0, 11))</f>
        <v>-115.20000000000005</v>
      </c>
    </row>
    <row r="306" spans="2:17" x14ac:dyDescent="0.2">
      <c r="B306">
        <v>10360</v>
      </c>
      <c r="C306">
        <v>38</v>
      </c>
      <c r="D306" s="84">
        <v>210.8</v>
      </c>
      <c r="E306">
        <v>10</v>
      </c>
      <c r="F306" s="85">
        <v>0</v>
      </c>
      <c r="G306" s="86">
        <f t="shared" si="20"/>
        <v>2108</v>
      </c>
      <c r="H306" s="86">
        <f t="shared" si="21"/>
        <v>0</v>
      </c>
      <c r="I306" s="86">
        <f t="shared" si="22"/>
        <v>2108</v>
      </c>
      <c r="J306" s="84">
        <f>VLOOKUP(C306, Products[], 6)</f>
        <v>263.5</v>
      </c>
      <c r="K306" s="86">
        <f t="shared" si="23"/>
        <v>2635</v>
      </c>
      <c r="L306" s="86">
        <f t="shared" si="24"/>
        <v>-527</v>
      </c>
      <c r="N306">
        <v>10548</v>
      </c>
      <c r="O306" s="84" cm="1">
        <f t="array" ref="O306">SUM(INDEX(_xlfn._xlws.FILTER($B$6:$L$2160, $B$6:$B$2160=N306), 0, 8))</f>
        <v>240.1</v>
      </c>
      <c r="P306" s="84" cm="1">
        <f t="array" ref="P306">SUM(INDEX(_xlfn._xlws.FILTER($B$6:$L$2160, $B$6:$B$2160=N306), 0, 10))</f>
        <v>275.10000000000002</v>
      </c>
      <c r="Q306" s="84" cm="1">
        <f t="array" ref="Q306">SUM(INDEX(_xlfn._xlws.FILTER($B$6:$L$2160, $B$6:$B$2160=N306), 0, 11))</f>
        <v>-35</v>
      </c>
    </row>
    <row r="307" spans="2:17" x14ac:dyDescent="0.2">
      <c r="B307">
        <v>10360</v>
      </c>
      <c r="C307">
        <v>49</v>
      </c>
      <c r="D307" s="84">
        <v>16</v>
      </c>
      <c r="E307">
        <v>35</v>
      </c>
      <c r="F307" s="85">
        <v>0</v>
      </c>
      <c r="G307" s="86">
        <f t="shared" si="20"/>
        <v>560</v>
      </c>
      <c r="H307" s="86">
        <f t="shared" si="21"/>
        <v>0</v>
      </c>
      <c r="I307" s="86">
        <f t="shared" si="22"/>
        <v>560</v>
      </c>
      <c r="J307" s="84">
        <f>VLOOKUP(C307, Products[], 6)</f>
        <v>20</v>
      </c>
      <c r="K307" s="86">
        <f t="shared" si="23"/>
        <v>700</v>
      </c>
      <c r="L307" s="86">
        <f t="shared" si="24"/>
        <v>-140</v>
      </c>
      <c r="N307">
        <v>10549</v>
      </c>
      <c r="O307" s="84" cm="1">
        <f t="array" ref="O307">SUM(INDEX(_xlfn._xlws.FILTER($B$6:$L$2160, $B$6:$B$2160=N307), 0, 8))</f>
        <v>3554.2750000000001</v>
      </c>
      <c r="P307" s="84" cm="1">
        <f t="array" ref="P307">SUM(INDEX(_xlfn._xlws.FILTER($B$6:$L$2160, $B$6:$B$2160=N307), 0, 10))</f>
        <v>4181.5</v>
      </c>
      <c r="Q307" s="84" cm="1">
        <f t="array" ref="Q307">SUM(INDEX(_xlfn._xlws.FILTER($B$6:$L$2160, $B$6:$B$2160=N307), 0, 11))</f>
        <v>-627.22499999999991</v>
      </c>
    </row>
    <row r="308" spans="2:17" x14ac:dyDescent="0.2">
      <c r="B308">
        <v>10360</v>
      </c>
      <c r="C308">
        <v>54</v>
      </c>
      <c r="D308" s="84">
        <v>5.9</v>
      </c>
      <c r="E308">
        <v>28</v>
      </c>
      <c r="F308" s="85">
        <v>0</v>
      </c>
      <c r="G308" s="86">
        <f t="shared" si="20"/>
        <v>165.20000000000002</v>
      </c>
      <c r="H308" s="86">
        <f t="shared" si="21"/>
        <v>0</v>
      </c>
      <c r="I308" s="86">
        <f t="shared" si="22"/>
        <v>165.20000000000002</v>
      </c>
      <c r="J308" s="84">
        <f>VLOOKUP(C308, Products[], 6)</f>
        <v>7.45</v>
      </c>
      <c r="K308" s="86">
        <f t="shared" si="23"/>
        <v>208.6</v>
      </c>
      <c r="L308" s="86">
        <f t="shared" si="24"/>
        <v>-43.399999999999977</v>
      </c>
      <c r="N308">
        <v>10550</v>
      </c>
      <c r="O308" s="84" cm="1">
        <f t="array" ref="O308">SUM(INDEX(_xlfn._xlws.FILTER($B$6:$L$2160, $B$6:$B$2160=N308), 0, 8))</f>
        <v>683.3</v>
      </c>
      <c r="P308" s="84" cm="1">
        <f t="array" ref="P308">SUM(INDEX(_xlfn._xlws.FILTER($B$6:$L$2160, $B$6:$B$2160=N308), 0, 10))</f>
        <v>749</v>
      </c>
      <c r="Q308" s="84" cm="1">
        <f t="array" ref="Q308">SUM(INDEX(_xlfn._xlws.FILTER($B$6:$L$2160, $B$6:$B$2160=N308), 0, 11))</f>
        <v>-65.699999999999989</v>
      </c>
    </row>
    <row r="309" spans="2:17" x14ac:dyDescent="0.2">
      <c r="B309">
        <v>10361</v>
      </c>
      <c r="C309">
        <v>39</v>
      </c>
      <c r="D309" s="84">
        <v>14.4</v>
      </c>
      <c r="E309">
        <v>54</v>
      </c>
      <c r="F309" s="85">
        <v>0.1</v>
      </c>
      <c r="G309" s="86">
        <f t="shared" si="20"/>
        <v>777.6</v>
      </c>
      <c r="H309" s="86">
        <f t="shared" si="21"/>
        <v>77.760000000000005</v>
      </c>
      <c r="I309" s="86">
        <f t="shared" si="22"/>
        <v>699.84</v>
      </c>
      <c r="J309" s="84">
        <f>VLOOKUP(C309, Products[], 6)</f>
        <v>18</v>
      </c>
      <c r="K309" s="86">
        <f t="shared" si="23"/>
        <v>972</v>
      </c>
      <c r="L309" s="86">
        <f t="shared" si="24"/>
        <v>-272.15999999999997</v>
      </c>
      <c r="N309">
        <v>10551</v>
      </c>
      <c r="O309" s="84" cm="1">
        <f t="array" ref="O309">SUM(INDEX(_xlfn._xlws.FILTER($B$6:$L$2160, $B$6:$B$2160=N309), 0, 8))</f>
        <v>1677.3</v>
      </c>
      <c r="P309" s="84" cm="1">
        <f t="array" ref="P309">SUM(INDEX(_xlfn._xlws.FILTER($B$6:$L$2160, $B$6:$B$2160=N309), 0, 10))</f>
        <v>1836</v>
      </c>
      <c r="Q309" s="84" cm="1">
        <f t="array" ref="Q309">SUM(INDEX(_xlfn._xlws.FILTER($B$6:$L$2160, $B$6:$B$2160=N309), 0, 11))</f>
        <v>-158.70000000000005</v>
      </c>
    </row>
    <row r="310" spans="2:17" x14ac:dyDescent="0.2">
      <c r="B310">
        <v>10361</v>
      </c>
      <c r="C310">
        <v>60</v>
      </c>
      <c r="D310" s="84">
        <v>27.2</v>
      </c>
      <c r="E310">
        <v>55</v>
      </c>
      <c r="F310" s="85">
        <v>0.1</v>
      </c>
      <c r="G310" s="86">
        <f t="shared" si="20"/>
        <v>1496</v>
      </c>
      <c r="H310" s="86">
        <f t="shared" si="21"/>
        <v>149.6</v>
      </c>
      <c r="I310" s="86">
        <f t="shared" si="22"/>
        <v>1346.4</v>
      </c>
      <c r="J310" s="84">
        <f>VLOOKUP(C310, Products[], 6)</f>
        <v>34</v>
      </c>
      <c r="K310" s="86">
        <f t="shared" si="23"/>
        <v>1870</v>
      </c>
      <c r="L310" s="86">
        <f t="shared" si="24"/>
        <v>-523.59999999999991</v>
      </c>
      <c r="N310">
        <v>10552</v>
      </c>
      <c r="O310" s="84" cm="1">
        <f t="array" ref="O310">SUM(INDEX(_xlfn._xlws.FILTER($B$6:$L$2160, $B$6:$B$2160=N310), 0, 8))</f>
        <v>880.5</v>
      </c>
      <c r="P310" s="84" cm="1">
        <f t="array" ref="P310">SUM(INDEX(_xlfn._xlws.FILTER($B$6:$L$2160, $B$6:$B$2160=N310), 0, 10))</f>
        <v>880.5</v>
      </c>
      <c r="Q310" s="84" cm="1">
        <f t="array" ref="Q310">SUM(INDEX(_xlfn._xlws.FILTER($B$6:$L$2160, $B$6:$B$2160=N310), 0, 11))</f>
        <v>0</v>
      </c>
    </row>
    <row r="311" spans="2:17" x14ac:dyDescent="0.2">
      <c r="B311">
        <v>10362</v>
      </c>
      <c r="C311">
        <v>25</v>
      </c>
      <c r="D311" s="84">
        <v>11.2</v>
      </c>
      <c r="E311">
        <v>50</v>
      </c>
      <c r="F311" s="85">
        <v>0</v>
      </c>
      <c r="G311" s="86">
        <f t="shared" si="20"/>
        <v>560</v>
      </c>
      <c r="H311" s="86">
        <f t="shared" si="21"/>
        <v>0</v>
      </c>
      <c r="I311" s="86">
        <f t="shared" si="22"/>
        <v>560</v>
      </c>
      <c r="J311" s="84">
        <f>VLOOKUP(C311, Products[], 6)</f>
        <v>14</v>
      </c>
      <c r="K311" s="86">
        <f t="shared" si="23"/>
        <v>700</v>
      </c>
      <c r="L311" s="86">
        <f t="shared" si="24"/>
        <v>-140</v>
      </c>
      <c r="N311">
        <v>10553</v>
      </c>
      <c r="O311" s="84" cm="1">
        <f t="array" ref="O311">SUM(INDEX(_xlfn._xlws.FILTER($B$6:$L$2160, $B$6:$B$2160=N311), 0, 8))</f>
        <v>1546.3</v>
      </c>
      <c r="P311" s="84" cm="1">
        <f t="array" ref="P311">SUM(INDEX(_xlfn._xlws.FILTER($B$6:$L$2160, $B$6:$B$2160=N311), 0, 10))</f>
        <v>1546.3</v>
      </c>
      <c r="Q311" s="84" cm="1">
        <f t="array" ref="Q311">SUM(INDEX(_xlfn._xlws.FILTER($B$6:$L$2160, $B$6:$B$2160=N311), 0, 11))</f>
        <v>0</v>
      </c>
    </row>
    <row r="312" spans="2:17" x14ac:dyDescent="0.2">
      <c r="B312">
        <v>10362</v>
      </c>
      <c r="C312">
        <v>51</v>
      </c>
      <c r="D312" s="84">
        <v>42.4</v>
      </c>
      <c r="E312">
        <v>20</v>
      </c>
      <c r="F312" s="85">
        <v>0</v>
      </c>
      <c r="G312" s="86">
        <f t="shared" si="20"/>
        <v>848</v>
      </c>
      <c r="H312" s="86">
        <f t="shared" si="21"/>
        <v>0</v>
      </c>
      <c r="I312" s="86">
        <f t="shared" si="22"/>
        <v>848</v>
      </c>
      <c r="J312" s="84">
        <f>VLOOKUP(C312, Products[], 6)</f>
        <v>53</v>
      </c>
      <c r="K312" s="86">
        <f t="shared" si="23"/>
        <v>1060</v>
      </c>
      <c r="L312" s="86">
        <f t="shared" si="24"/>
        <v>-212</v>
      </c>
      <c r="N312">
        <v>10554</v>
      </c>
      <c r="O312" s="84" cm="1">
        <f t="array" ref="O312">SUM(INDEX(_xlfn._xlws.FILTER($B$6:$L$2160, $B$6:$B$2160=N312), 0, 8))</f>
        <v>1728.5250000000001</v>
      </c>
      <c r="P312" s="84" cm="1">
        <f t="array" ref="P312">SUM(INDEX(_xlfn._xlws.FILTER($B$6:$L$2160, $B$6:$B$2160=N312), 0, 10))</f>
        <v>1819.5</v>
      </c>
      <c r="Q312" s="84" cm="1">
        <f t="array" ref="Q312">SUM(INDEX(_xlfn._xlws.FILTER($B$6:$L$2160, $B$6:$B$2160=N312), 0, 11))</f>
        <v>-90.974999999999966</v>
      </c>
    </row>
    <row r="313" spans="2:17" x14ac:dyDescent="0.2">
      <c r="B313">
        <v>10362</v>
      </c>
      <c r="C313">
        <v>54</v>
      </c>
      <c r="D313" s="84">
        <v>5.9</v>
      </c>
      <c r="E313">
        <v>24</v>
      </c>
      <c r="F313" s="85">
        <v>0</v>
      </c>
      <c r="G313" s="86">
        <f t="shared" si="20"/>
        <v>141.60000000000002</v>
      </c>
      <c r="H313" s="86">
        <f t="shared" si="21"/>
        <v>0</v>
      </c>
      <c r="I313" s="86">
        <f t="shared" si="22"/>
        <v>141.60000000000002</v>
      </c>
      <c r="J313" s="84">
        <f>VLOOKUP(C313, Products[], 6)</f>
        <v>7.45</v>
      </c>
      <c r="K313" s="86">
        <f t="shared" si="23"/>
        <v>178.8</v>
      </c>
      <c r="L313" s="86">
        <f t="shared" si="24"/>
        <v>-37.199999999999989</v>
      </c>
      <c r="N313">
        <v>10555</v>
      </c>
      <c r="O313" s="84" cm="1">
        <f t="array" ref="O313">SUM(INDEX(_xlfn._xlws.FILTER($B$6:$L$2160, $B$6:$B$2160=N313), 0, 8))</f>
        <v>2944.4</v>
      </c>
      <c r="P313" s="84" cm="1">
        <f t="array" ref="P313">SUM(INDEX(_xlfn._xlws.FILTER($B$6:$L$2160, $B$6:$B$2160=N313), 0, 10))</f>
        <v>3680.5</v>
      </c>
      <c r="Q313" s="84" cm="1">
        <f t="array" ref="Q313">SUM(INDEX(_xlfn._xlws.FILTER($B$6:$L$2160, $B$6:$B$2160=N313), 0, 11))</f>
        <v>-736.09999999999991</v>
      </c>
    </row>
    <row r="314" spans="2:17" x14ac:dyDescent="0.2">
      <c r="B314">
        <v>10363</v>
      </c>
      <c r="C314">
        <v>31</v>
      </c>
      <c r="D314" s="84">
        <v>10</v>
      </c>
      <c r="E314">
        <v>20</v>
      </c>
      <c r="F314" s="85">
        <v>0</v>
      </c>
      <c r="G314" s="86">
        <f t="shared" si="20"/>
        <v>200</v>
      </c>
      <c r="H314" s="86">
        <f t="shared" si="21"/>
        <v>0</v>
      </c>
      <c r="I314" s="86">
        <f t="shared" si="22"/>
        <v>200</v>
      </c>
      <c r="J314" s="84">
        <f>VLOOKUP(C314, Products[], 6)</f>
        <v>12.5</v>
      </c>
      <c r="K314" s="86">
        <f t="shared" si="23"/>
        <v>250</v>
      </c>
      <c r="L314" s="86">
        <f t="shared" si="24"/>
        <v>-50</v>
      </c>
      <c r="N314">
        <v>10556</v>
      </c>
      <c r="O314" s="84" cm="1">
        <f t="array" ref="O314">SUM(INDEX(_xlfn._xlws.FILTER($B$6:$L$2160, $B$6:$B$2160=N314), 0, 8))</f>
        <v>835.19999999999993</v>
      </c>
      <c r="P314" s="84" cm="1">
        <f t="array" ref="P314">SUM(INDEX(_xlfn._xlws.FILTER($B$6:$L$2160, $B$6:$B$2160=N314), 0, 10))</f>
        <v>835.19999999999993</v>
      </c>
      <c r="Q314" s="84" cm="1">
        <f t="array" ref="Q314">SUM(INDEX(_xlfn._xlws.FILTER($B$6:$L$2160, $B$6:$B$2160=N314), 0, 11))</f>
        <v>0</v>
      </c>
    </row>
    <row r="315" spans="2:17" x14ac:dyDescent="0.2">
      <c r="B315">
        <v>10363</v>
      </c>
      <c r="C315">
        <v>75</v>
      </c>
      <c r="D315" s="84">
        <v>6.2</v>
      </c>
      <c r="E315">
        <v>12</v>
      </c>
      <c r="F315" s="85">
        <v>0</v>
      </c>
      <c r="G315" s="86">
        <f t="shared" si="20"/>
        <v>74.400000000000006</v>
      </c>
      <c r="H315" s="86">
        <f t="shared" si="21"/>
        <v>0</v>
      </c>
      <c r="I315" s="86">
        <f t="shared" si="22"/>
        <v>74.400000000000006</v>
      </c>
      <c r="J315" s="84">
        <f>VLOOKUP(C315, Products[], 6)</f>
        <v>7.75</v>
      </c>
      <c r="K315" s="86">
        <f t="shared" si="23"/>
        <v>93</v>
      </c>
      <c r="L315" s="86">
        <f t="shared" si="24"/>
        <v>-18.599999999999994</v>
      </c>
      <c r="N315">
        <v>10557</v>
      </c>
      <c r="O315" s="84" cm="1">
        <f t="array" ref="O315">SUM(INDEX(_xlfn._xlws.FILTER($B$6:$L$2160, $B$6:$B$2160=N315), 0, 8))</f>
        <v>1152.5</v>
      </c>
      <c r="P315" s="84" cm="1">
        <f t="array" ref="P315">SUM(INDEX(_xlfn._xlws.FILTER($B$6:$L$2160, $B$6:$B$2160=N315), 0, 10))</f>
        <v>1152.5</v>
      </c>
      <c r="Q315" s="84" cm="1">
        <f t="array" ref="Q315">SUM(INDEX(_xlfn._xlws.FILTER($B$6:$L$2160, $B$6:$B$2160=N315), 0, 11))</f>
        <v>0</v>
      </c>
    </row>
    <row r="316" spans="2:17" x14ac:dyDescent="0.2">
      <c r="B316">
        <v>10363</v>
      </c>
      <c r="C316">
        <v>76</v>
      </c>
      <c r="D316" s="84">
        <v>14.4</v>
      </c>
      <c r="E316">
        <v>12</v>
      </c>
      <c r="F316" s="85">
        <v>0</v>
      </c>
      <c r="G316" s="86">
        <f t="shared" si="20"/>
        <v>172.8</v>
      </c>
      <c r="H316" s="86">
        <f t="shared" si="21"/>
        <v>0</v>
      </c>
      <c r="I316" s="86">
        <f t="shared" si="22"/>
        <v>172.8</v>
      </c>
      <c r="J316" s="84">
        <f>VLOOKUP(C316, Products[], 6)</f>
        <v>18</v>
      </c>
      <c r="K316" s="86">
        <f t="shared" si="23"/>
        <v>216</v>
      </c>
      <c r="L316" s="86">
        <f t="shared" si="24"/>
        <v>-43.199999999999989</v>
      </c>
      <c r="N316">
        <v>10558</v>
      </c>
      <c r="O316" s="84" cm="1">
        <f t="array" ref="O316">SUM(INDEX(_xlfn._xlws.FILTER($B$6:$L$2160, $B$6:$B$2160=N316), 0, 8))</f>
        <v>2142.9</v>
      </c>
      <c r="P316" s="84" cm="1">
        <f t="array" ref="P316">SUM(INDEX(_xlfn._xlws.FILTER($B$6:$L$2160, $B$6:$B$2160=N316), 0, 10))</f>
        <v>2142.9</v>
      </c>
      <c r="Q316" s="84" cm="1">
        <f t="array" ref="Q316">SUM(INDEX(_xlfn._xlws.FILTER($B$6:$L$2160, $B$6:$B$2160=N316), 0, 11))</f>
        <v>0</v>
      </c>
    </row>
    <row r="317" spans="2:17" x14ac:dyDescent="0.2">
      <c r="B317">
        <v>10364</v>
      </c>
      <c r="C317">
        <v>69</v>
      </c>
      <c r="D317" s="84">
        <v>28.8</v>
      </c>
      <c r="E317">
        <v>30</v>
      </c>
      <c r="F317" s="85">
        <v>0</v>
      </c>
      <c r="G317" s="86">
        <f t="shared" si="20"/>
        <v>864</v>
      </c>
      <c r="H317" s="86">
        <f t="shared" si="21"/>
        <v>0</v>
      </c>
      <c r="I317" s="86">
        <f t="shared" si="22"/>
        <v>864</v>
      </c>
      <c r="J317" s="84">
        <f>VLOOKUP(C317, Products[], 6)</f>
        <v>36</v>
      </c>
      <c r="K317" s="86">
        <f t="shared" si="23"/>
        <v>1080</v>
      </c>
      <c r="L317" s="86">
        <f t="shared" si="24"/>
        <v>-216</v>
      </c>
      <c r="N317">
        <v>10559</v>
      </c>
      <c r="O317" s="84" cm="1">
        <f t="array" ref="O317">SUM(INDEX(_xlfn._xlws.FILTER($B$6:$L$2160, $B$6:$B$2160=N317), 0, 8))</f>
        <v>520.41</v>
      </c>
      <c r="P317" s="84" cm="1">
        <f t="array" ref="P317">SUM(INDEX(_xlfn._xlws.FILTER($B$6:$L$2160, $B$6:$B$2160=N317), 0, 10))</f>
        <v>547.79999999999995</v>
      </c>
      <c r="Q317" s="84" cm="1">
        <f t="array" ref="Q317">SUM(INDEX(_xlfn._xlws.FILTER($B$6:$L$2160, $B$6:$B$2160=N317), 0, 11))</f>
        <v>-27.390000000000029</v>
      </c>
    </row>
    <row r="318" spans="2:17" x14ac:dyDescent="0.2">
      <c r="B318">
        <v>10364</v>
      </c>
      <c r="C318">
        <v>71</v>
      </c>
      <c r="D318" s="84">
        <v>17.2</v>
      </c>
      <c r="E318">
        <v>5</v>
      </c>
      <c r="F318" s="85">
        <v>0</v>
      </c>
      <c r="G318" s="86">
        <f t="shared" si="20"/>
        <v>86</v>
      </c>
      <c r="H318" s="86">
        <f t="shared" si="21"/>
        <v>0</v>
      </c>
      <c r="I318" s="86">
        <f t="shared" si="22"/>
        <v>86</v>
      </c>
      <c r="J318" s="84">
        <f>VLOOKUP(C318, Products[], 6)</f>
        <v>21.5</v>
      </c>
      <c r="K318" s="86">
        <f t="shared" si="23"/>
        <v>107.5</v>
      </c>
      <c r="L318" s="86">
        <f t="shared" si="24"/>
        <v>-21.5</v>
      </c>
      <c r="N318">
        <v>10560</v>
      </c>
      <c r="O318" s="84" cm="1">
        <f t="array" ref="O318">SUM(INDEX(_xlfn._xlws.FILTER($B$6:$L$2160, $B$6:$B$2160=N318), 0, 8))</f>
        <v>1072.425</v>
      </c>
      <c r="P318" s="84" cm="1">
        <f t="array" ref="P318">SUM(INDEX(_xlfn._xlws.FILTER($B$6:$L$2160, $B$6:$B$2160=N318), 0, 10))</f>
        <v>1257.3</v>
      </c>
      <c r="Q318" s="84" cm="1">
        <f t="array" ref="Q318">SUM(INDEX(_xlfn._xlws.FILTER($B$6:$L$2160, $B$6:$B$2160=N318), 0, 11))</f>
        <v>-184.875</v>
      </c>
    </row>
    <row r="319" spans="2:17" x14ac:dyDescent="0.2">
      <c r="B319">
        <v>10365</v>
      </c>
      <c r="C319">
        <v>11</v>
      </c>
      <c r="D319" s="84">
        <v>16.8</v>
      </c>
      <c r="E319">
        <v>24</v>
      </c>
      <c r="F319" s="85">
        <v>0</v>
      </c>
      <c r="G319" s="86">
        <f t="shared" si="20"/>
        <v>403.20000000000005</v>
      </c>
      <c r="H319" s="86">
        <f t="shared" si="21"/>
        <v>0</v>
      </c>
      <c r="I319" s="86">
        <f t="shared" si="22"/>
        <v>403.20000000000005</v>
      </c>
      <c r="J319" s="84">
        <f>VLOOKUP(C319, Products[], 6)</f>
        <v>21</v>
      </c>
      <c r="K319" s="86">
        <f t="shared" si="23"/>
        <v>504</v>
      </c>
      <c r="L319" s="86">
        <f t="shared" si="24"/>
        <v>-100.79999999999995</v>
      </c>
      <c r="N319">
        <v>10561</v>
      </c>
      <c r="O319" s="84" cm="1">
        <f t="array" ref="O319">SUM(INDEX(_xlfn._xlws.FILTER($B$6:$L$2160, $B$6:$B$2160=N319), 0, 8))</f>
        <v>2844.5</v>
      </c>
      <c r="P319" s="84" cm="1">
        <f t="array" ref="P319">SUM(INDEX(_xlfn._xlws.FILTER($B$6:$L$2160, $B$6:$B$2160=N319), 0, 10))</f>
        <v>2844.5</v>
      </c>
      <c r="Q319" s="84" cm="1">
        <f t="array" ref="Q319">SUM(INDEX(_xlfn._xlws.FILTER($B$6:$L$2160, $B$6:$B$2160=N319), 0, 11))</f>
        <v>0</v>
      </c>
    </row>
    <row r="320" spans="2:17" x14ac:dyDescent="0.2">
      <c r="B320">
        <v>10366</v>
      </c>
      <c r="C320">
        <v>65</v>
      </c>
      <c r="D320" s="84">
        <v>16.8</v>
      </c>
      <c r="E320">
        <v>5</v>
      </c>
      <c r="F320" s="85">
        <v>0</v>
      </c>
      <c r="G320" s="86">
        <f t="shared" si="20"/>
        <v>84</v>
      </c>
      <c r="H320" s="86">
        <f t="shared" si="21"/>
        <v>0</v>
      </c>
      <c r="I320" s="86">
        <f t="shared" si="22"/>
        <v>84</v>
      </c>
      <c r="J320" s="84">
        <f>VLOOKUP(C320, Products[], 6)</f>
        <v>21.05</v>
      </c>
      <c r="K320" s="86">
        <f t="shared" si="23"/>
        <v>105.25</v>
      </c>
      <c r="L320" s="86">
        <f t="shared" si="24"/>
        <v>-21.25</v>
      </c>
      <c r="N320">
        <v>10562</v>
      </c>
      <c r="O320" s="84" cm="1">
        <f t="array" ref="O320">SUM(INDEX(_xlfn._xlws.FILTER($B$6:$L$2160, $B$6:$B$2160=N320), 0, 8))</f>
        <v>488.7</v>
      </c>
      <c r="P320" s="84" cm="1">
        <f t="array" ref="P320">SUM(INDEX(_xlfn._xlws.FILTER($B$6:$L$2160, $B$6:$B$2160=N320), 0, 10))</f>
        <v>543</v>
      </c>
      <c r="Q320" s="84" cm="1">
        <f t="array" ref="Q320">SUM(INDEX(_xlfn._xlws.FILTER($B$6:$L$2160, $B$6:$B$2160=N320), 0, 11))</f>
        <v>-54.300000000000011</v>
      </c>
    </row>
    <row r="321" spans="2:17" x14ac:dyDescent="0.2">
      <c r="B321">
        <v>10366</v>
      </c>
      <c r="C321">
        <v>77</v>
      </c>
      <c r="D321" s="84">
        <v>10.4</v>
      </c>
      <c r="E321">
        <v>5</v>
      </c>
      <c r="F321" s="85">
        <v>0</v>
      </c>
      <c r="G321" s="86">
        <f t="shared" si="20"/>
        <v>52</v>
      </c>
      <c r="H321" s="86">
        <f t="shared" si="21"/>
        <v>0</v>
      </c>
      <c r="I321" s="86">
        <f t="shared" si="22"/>
        <v>52</v>
      </c>
      <c r="J321" s="84">
        <f>VLOOKUP(C321, Products[], 6)</f>
        <v>13</v>
      </c>
      <c r="K321" s="86">
        <f t="shared" si="23"/>
        <v>65</v>
      </c>
      <c r="L321" s="86">
        <f t="shared" si="24"/>
        <v>-13</v>
      </c>
      <c r="N321">
        <v>10563</v>
      </c>
      <c r="O321" s="84" cm="1">
        <f t="array" ref="O321">SUM(INDEX(_xlfn._xlws.FILTER($B$6:$L$2160, $B$6:$B$2160=N321), 0, 8))</f>
        <v>965</v>
      </c>
      <c r="P321" s="84" cm="1">
        <f t="array" ref="P321">SUM(INDEX(_xlfn._xlws.FILTER($B$6:$L$2160, $B$6:$B$2160=N321), 0, 10))</f>
        <v>965</v>
      </c>
      <c r="Q321" s="84" cm="1">
        <f t="array" ref="Q321">SUM(INDEX(_xlfn._xlws.FILTER($B$6:$L$2160, $B$6:$B$2160=N321), 0, 11))</f>
        <v>0</v>
      </c>
    </row>
    <row r="322" spans="2:17" x14ac:dyDescent="0.2">
      <c r="B322">
        <v>10367</v>
      </c>
      <c r="C322">
        <v>34</v>
      </c>
      <c r="D322" s="84">
        <v>11.2</v>
      </c>
      <c r="E322">
        <v>36</v>
      </c>
      <c r="F322" s="85">
        <v>0</v>
      </c>
      <c r="G322" s="86">
        <f t="shared" si="20"/>
        <v>403.2</v>
      </c>
      <c r="H322" s="86">
        <f t="shared" si="21"/>
        <v>0</v>
      </c>
      <c r="I322" s="86">
        <f t="shared" si="22"/>
        <v>403.2</v>
      </c>
      <c r="J322" s="84">
        <f>VLOOKUP(C322, Products[], 6)</f>
        <v>14</v>
      </c>
      <c r="K322" s="86">
        <f t="shared" si="23"/>
        <v>504</v>
      </c>
      <c r="L322" s="86">
        <f t="shared" si="24"/>
        <v>-100.80000000000001</v>
      </c>
      <c r="N322">
        <v>10564</v>
      </c>
      <c r="O322" s="84" cm="1">
        <f t="array" ref="O322">SUM(INDEX(_xlfn._xlws.FILTER($B$6:$L$2160, $B$6:$B$2160=N322), 0, 8))</f>
        <v>1234.05</v>
      </c>
      <c r="P322" s="84" cm="1">
        <f t="array" ref="P322">SUM(INDEX(_xlfn._xlws.FILTER($B$6:$L$2160, $B$6:$B$2160=N322), 0, 10))</f>
        <v>1299</v>
      </c>
      <c r="Q322" s="84" cm="1">
        <f t="array" ref="Q322">SUM(INDEX(_xlfn._xlws.FILTER($B$6:$L$2160, $B$6:$B$2160=N322), 0, 11))</f>
        <v>-64.950000000000045</v>
      </c>
    </row>
    <row r="323" spans="2:17" x14ac:dyDescent="0.2">
      <c r="B323">
        <v>10367</v>
      </c>
      <c r="C323">
        <v>54</v>
      </c>
      <c r="D323" s="84">
        <v>5.9</v>
      </c>
      <c r="E323">
        <v>18</v>
      </c>
      <c r="F323" s="85">
        <v>0</v>
      </c>
      <c r="G323" s="86">
        <f t="shared" si="20"/>
        <v>106.2</v>
      </c>
      <c r="H323" s="86">
        <f t="shared" si="21"/>
        <v>0</v>
      </c>
      <c r="I323" s="86">
        <f t="shared" si="22"/>
        <v>106.2</v>
      </c>
      <c r="J323" s="84">
        <f>VLOOKUP(C323, Products[], 6)</f>
        <v>7.45</v>
      </c>
      <c r="K323" s="86">
        <f t="shared" si="23"/>
        <v>134.1</v>
      </c>
      <c r="L323" s="86">
        <f t="shared" si="24"/>
        <v>-27.899999999999991</v>
      </c>
      <c r="N323">
        <v>10565</v>
      </c>
      <c r="O323" s="84" cm="1">
        <f t="array" ref="O323">SUM(INDEX(_xlfn._xlws.FILTER($B$6:$L$2160, $B$6:$B$2160=N323), 0, 8))</f>
        <v>639.9</v>
      </c>
      <c r="P323" s="84" cm="1">
        <f t="array" ref="P323">SUM(INDEX(_xlfn._xlws.FILTER($B$6:$L$2160, $B$6:$B$2160=N323), 0, 10))</f>
        <v>711</v>
      </c>
      <c r="Q323" s="84" cm="1">
        <f t="array" ref="Q323">SUM(INDEX(_xlfn._xlws.FILTER($B$6:$L$2160, $B$6:$B$2160=N323), 0, 11))</f>
        <v>-71.100000000000023</v>
      </c>
    </row>
    <row r="324" spans="2:17" x14ac:dyDescent="0.2">
      <c r="B324">
        <v>10367</v>
      </c>
      <c r="C324">
        <v>65</v>
      </c>
      <c r="D324" s="84">
        <v>16.8</v>
      </c>
      <c r="E324">
        <v>15</v>
      </c>
      <c r="F324" s="85">
        <v>0</v>
      </c>
      <c r="G324" s="86">
        <f t="shared" si="20"/>
        <v>252</v>
      </c>
      <c r="H324" s="86">
        <f t="shared" si="21"/>
        <v>0</v>
      </c>
      <c r="I324" s="86">
        <f t="shared" si="22"/>
        <v>252</v>
      </c>
      <c r="J324" s="84">
        <f>VLOOKUP(C324, Products[], 6)</f>
        <v>21.05</v>
      </c>
      <c r="K324" s="86">
        <f t="shared" si="23"/>
        <v>315.75</v>
      </c>
      <c r="L324" s="86">
        <f t="shared" si="24"/>
        <v>-63.75</v>
      </c>
      <c r="N324">
        <v>10566</v>
      </c>
      <c r="O324" s="84" cm="1">
        <f t="array" ref="O324">SUM(INDEX(_xlfn._xlws.FILTER($B$6:$L$2160, $B$6:$B$2160=N324), 0, 8))</f>
        <v>1761</v>
      </c>
      <c r="P324" s="84" cm="1">
        <f t="array" ref="P324">SUM(INDEX(_xlfn._xlws.FILTER($B$6:$L$2160, $B$6:$B$2160=N324), 0, 10))</f>
        <v>2040</v>
      </c>
      <c r="Q324" s="84" cm="1">
        <f t="array" ref="Q324">SUM(INDEX(_xlfn._xlws.FILTER($B$6:$L$2160, $B$6:$B$2160=N324), 0, 11))</f>
        <v>-279</v>
      </c>
    </row>
    <row r="325" spans="2:17" x14ac:dyDescent="0.2">
      <c r="B325">
        <v>10367</v>
      </c>
      <c r="C325">
        <v>77</v>
      </c>
      <c r="D325" s="84">
        <v>10.4</v>
      </c>
      <c r="E325">
        <v>7</v>
      </c>
      <c r="F325" s="85">
        <v>0</v>
      </c>
      <c r="G325" s="86">
        <f t="shared" si="20"/>
        <v>72.8</v>
      </c>
      <c r="H325" s="86">
        <f t="shared" si="21"/>
        <v>0</v>
      </c>
      <c r="I325" s="86">
        <f t="shared" si="22"/>
        <v>72.8</v>
      </c>
      <c r="J325" s="84">
        <f>VLOOKUP(C325, Products[], 6)</f>
        <v>13</v>
      </c>
      <c r="K325" s="86">
        <f t="shared" si="23"/>
        <v>91</v>
      </c>
      <c r="L325" s="86">
        <f t="shared" si="24"/>
        <v>-18.200000000000003</v>
      </c>
      <c r="N325">
        <v>10567</v>
      </c>
      <c r="O325" s="84" cm="1">
        <f t="array" ref="O325">SUM(INDEX(_xlfn._xlws.FILTER($B$6:$L$2160, $B$6:$B$2160=N325), 0, 8))</f>
        <v>2519</v>
      </c>
      <c r="P325" s="84" cm="1">
        <f t="array" ref="P325">SUM(INDEX(_xlfn._xlws.FILTER($B$6:$L$2160, $B$6:$B$2160=N325), 0, 10))</f>
        <v>3109</v>
      </c>
      <c r="Q325" s="84" cm="1">
        <f t="array" ref="Q325">SUM(INDEX(_xlfn._xlws.FILTER($B$6:$L$2160, $B$6:$B$2160=N325), 0, 11))</f>
        <v>-590</v>
      </c>
    </row>
    <row r="326" spans="2:17" x14ac:dyDescent="0.2">
      <c r="B326">
        <v>10368</v>
      </c>
      <c r="C326">
        <v>21</v>
      </c>
      <c r="D326" s="84">
        <v>8</v>
      </c>
      <c r="E326">
        <v>5</v>
      </c>
      <c r="F326" s="85">
        <v>0.1</v>
      </c>
      <c r="G326" s="86">
        <f t="shared" si="20"/>
        <v>40</v>
      </c>
      <c r="H326" s="86">
        <f t="shared" si="21"/>
        <v>4</v>
      </c>
      <c r="I326" s="86">
        <f t="shared" si="22"/>
        <v>36</v>
      </c>
      <c r="J326" s="84">
        <f>VLOOKUP(C326, Products[], 6)</f>
        <v>10</v>
      </c>
      <c r="K326" s="86">
        <f t="shared" si="23"/>
        <v>50</v>
      </c>
      <c r="L326" s="86">
        <f t="shared" si="24"/>
        <v>-14</v>
      </c>
      <c r="N326">
        <v>10568</v>
      </c>
      <c r="O326" s="84" cm="1">
        <f t="array" ref="O326">SUM(INDEX(_xlfn._xlws.FILTER($B$6:$L$2160, $B$6:$B$2160=N326), 0, 8))</f>
        <v>155</v>
      </c>
      <c r="P326" s="84" cm="1">
        <f t="array" ref="P326">SUM(INDEX(_xlfn._xlws.FILTER($B$6:$L$2160, $B$6:$B$2160=N326), 0, 10))</f>
        <v>155</v>
      </c>
      <c r="Q326" s="84" cm="1">
        <f t="array" ref="Q326">SUM(INDEX(_xlfn._xlws.FILTER($B$6:$L$2160, $B$6:$B$2160=N326), 0, 11))</f>
        <v>0</v>
      </c>
    </row>
    <row r="327" spans="2:17" x14ac:dyDescent="0.2">
      <c r="B327">
        <v>10368</v>
      </c>
      <c r="C327">
        <v>28</v>
      </c>
      <c r="D327" s="84">
        <v>36.4</v>
      </c>
      <c r="E327">
        <v>13</v>
      </c>
      <c r="F327" s="85">
        <v>0.1</v>
      </c>
      <c r="G327" s="86">
        <f t="shared" ref="G327:G390" si="25">D327*E327</f>
        <v>473.2</v>
      </c>
      <c r="H327" s="86">
        <f t="shared" ref="H327:H390" si="26">G327*F327</f>
        <v>47.32</v>
      </c>
      <c r="I327" s="86">
        <f t="shared" ref="I327:I390" si="27">G327-H327</f>
        <v>425.88</v>
      </c>
      <c r="J327" s="84">
        <f>VLOOKUP(C327, Products[], 6)</f>
        <v>45.6</v>
      </c>
      <c r="K327" s="86">
        <f t="shared" ref="K327:K390" si="28">J327*E327</f>
        <v>592.80000000000007</v>
      </c>
      <c r="L327" s="86">
        <f t="shared" ref="L327:L390" si="29">I327-K327</f>
        <v>-166.92000000000007</v>
      </c>
      <c r="N327">
        <v>10569</v>
      </c>
      <c r="O327" s="84" cm="1">
        <f t="array" ref="O327">SUM(INDEX(_xlfn._xlws.FILTER($B$6:$L$2160, $B$6:$B$2160=N327), 0, 8))</f>
        <v>890</v>
      </c>
      <c r="P327" s="84" cm="1">
        <f t="array" ref="P327">SUM(INDEX(_xlfn._xlws.FILTER($B$6:$L$2160, $B$6:$B$2160=N327), 0, 10))</f>
        <v>977.5</v>
      </c>
      <c r="Q327" s="84" cm="1">
        <f t="array" ref="Q327">SUM(INDEX(_xlfn._xlws.FILTER($B$6:$L$2160, $B$6:$B$2160=N327), 0, 11))</f>
        <v>-87.5</v>
      </c>
    </row>
    <row r="328" spans="2:17" x14ac:dyDescent="0.2">
      <c r="B328">
        <v>10368</v>
      </c>
      <c r="C328">
        <v>57</v>
      </c>
      <c r="D328" s="84">
        <v>15.6</v>
      </c>
      <c r="E328">
        <v>25</v>
      </c>
      <c r="F328" s="85">
        <v>0</v>
      </c>
      <c r="G328" s="86">
        <f t="shared" si="25"/>
        <v>390</v>
      </c>
      <c r="H328" s="86">
        <f t="shared" si="26"/>
        <v>0</v>
      </c>
      <c r="I328" s="86">
        <f t="shared" si="27"/>
        <v>390</v>
      </c>
      <c r="J328" s="84">
        <f>VLOOKUP(C328, Products[], 6)</f>
        <v>19.5</v>
      </c>
      <c r="K328" s="86">
        <f t="shared" si="28"/>
        <v>487.5</v>
      </c>
      <c r="L328" s="86">
        <f t="shared" si="29"/>
        <v>-97.5</v>
      </c>
      <c r="N328">
        <v>10570</v>
      </c>
      <c r="O328" s="84" cm="1">
        <f t="array" ref="O328">SUM(INDEX(_xlfn._xlws.FILTER($B$6:$L$2160, $B$6:$B$2160=N328), 0, 8))</f>
        <v>2465.25</v>
      </c>
      <c r="P328" s="84" cm="1">
        <f t="array" ref="P328">SUM(INDEX(_xlfn._xlws.FILTER($B$6:$L$2160, $B$6:$B$2160=N328), 0, 10))</f>
        <v>2595</v>
      </c>
      <c r="Q328" s="84" cm="1">
        <f t="array" ref="Q328">SUM(INDEX(_xlfn._xlws.FILTER($B$6:$L$2160, $B$6:$B$2160=N328), 0, 11))</f>
        <v>-129.75</v>
      </c>
    </row>
    <row r="329" spans="2:17" x14ac:dyDescent="0.2">
      <c r="B329">
        <v>10368</v>
      </c>
      <c r="C329">
        <v>64</v>
      </c>
      <c r="D329" s="84">
        <v>26.6</v>
      </c>
      <c r="E329">
        <v>35</v>
      </c>
      <c r="F329" s="85">
        <v>0.1</v>
      </c>
      <c r="G329" s="86">
        <f t="shared" si="25"/>
        <v>931</v>
      </c>
      <c r="H329" s="86">
        <f t="shared" si="26"/>
        <v>93.100000000000009</v>
      </c>
      <c r="I329" s="86">
        <f t="shared" si="27"/>
        <v>837.9</v>
      </c>
      <c r="J329" s="84">
        <f>VLOOKUP(C329, Products[], 6)</f>
        <v>33.25</v>
      </c>
      <c r="K329" s="86">
        <f t="shared" si="28"/>
        <v>1163.75</v>
      </c>
      <c r="L329" s="86">
        <f t="shared" si="29"/>
        <v>-325.85000000000002</v>
      </c>
      <c r="N329">
        <v>10571</v>
      </c>
      <c r="O329" s="84" cm="1">
        <f t="array" ref="O329">SUM(INDEX(_xlfn._xlws.FILTER($B$6:$L$2160, $B$6:$B$2160=N329), 0, 8))</f>
        <v>550.58749999999998</v>
      </c>
      <c r="P329" s="84" cm="1">
        <f t="array" ref="P329">SUM(INDEX(_xlfn._xlws.FILTER($B$6:$L$2160, $B$6:$B$2160=N329), 0, 10))</f>
        <v>647.75</v>
      </c>
      <c r="Q329" s="84" cm="1">
        <f t="array" ref="Q329">SUM(INDEX(_xlfn._xlws.FILTER($B$6:$L$2160, $B$6:$B$2160=N329), 0, 11))</f>
        <v>-97.162500000000023</v>
      </c>
    </row>
    <row r="330" spans="2:17" x14ac:dyDescent="0.2">
      <c r="B330">
        <v>10369</v>
      </c>
      <c r="C330">
        <v>29</v>
      </c>
      <c r="D330" s="84">
        <v>99</v>
      </c>
      <c r="E330">
        <v>20</v>
      </c>
      <c r="F330" s="85">
        <v>0</v>
      </c>
      <c r="G330" s="86">
        <f t="shared" si="25"/>
        <v>1980</v>
      </c>
      <c r="H330" s="86">
        <f t="shared" si="26"/>
        <v>0</v>
      </c>
      <c r="I330" s="86">
        <f t="shared" si="27"/>
        <v>1980</v>
      </c>
      <c r="J330" s="84">
        <f>VLOOKUP(C330, Products[], 6)</f>
        <v>123.79</v>
      </c>
      <c r="K330" s="86">
        <f t="shared" si="28"/>
        <v>2475.8000000000002</v>
      </c>
      <c r="L330" s="86">
        <f t="shared" si="29"/>
        <v>-495.80000000000018</v>
      </c>
      <c r="N330">
        <v>10572</v>
      </c>
      <c r="O330" s="84" cm="1">
        <f t="array" ref="O330">SUM(INDEX(_xlfn._xlws.FILTER($B$6:$L$2160, $B$6:$B$2160=N330), 0, 8))</f>
        <v>1501.0849999999998</v>
      </c>
      <c r="P330" s="84" cm="1">
        <f t="array" ref="P330">SUM(INDEX(_xlfn._xlws.FILTER($B$6:$L$2160, $B$6:$B$2160=N330), 0, 10))</f>
        <v>1565.6499999999999</v>
      </c>
      <c r="Q330" s="84" cm="1">
        <f t="array" ref="Q330">SUM(INDEX(_xlfn._xlws.FILTER($B$6:$L$2160, $B$6:$B$2160=N330), 0, 11))</f>
        <v>-64.564999999999998</v>
      </c>
    </row>
    <row r="331" spans="2:17" x14ac:dyDescent="0.2">
      <c r="B331">
        <v>10369</v>
      </c>
      <c r="C331">
        <v>56</v>
      </c>
      <c r="D331" s="84">
        <v>30.4</v>
      </c>
      <c r="E331">
        <v>18</v>
      </c>
      <c r="F331" s="85">
        <v>0.25</v>
      </c>
      <c r="G331" s="86">
        <f t="shared" si="25"/>
        <v>547.19999999999993</v>
      </c>
      <c r="H331" s="86">
        <f t="shared" si="26"/>
        <v>136.79999999999998</v>
      </c>
      <c r="I331" s="86">
        <f t="shared" si="27"/>
        <v>410.4</v>
      </c>
      <c r="J331" s="84">
        <f>VLOOKUP(C331, Products[], 6)</f>
        <v>38</v>
      </c>
      <c r="K331" s="86">
        <f t="shared" si="28"/>
        <v>684</v>
      </c>
      <c r="L331" s="86">
        <f t="shared" si="29"/>
        <v>-273.60000000000002</v>
      </c>
      <c r="N331">
        <v>10573</v>
      </c>
      <c r="O331" s="84" cm="1">
        <f t="array" ref="O331">SUM(INDEX(_xlfn._xlws.FILTER($B$6:$L$2160, $B$6:$B$2160=N331), 0, 8))</f>
        <v>2082</v>
      </c>
      <c r="P331" s="84" cm="1">
        <f t="array" ref="P331">SUM(INDEX(_xlfn._xlws.FILTER($B$6:$L$2160, $B$6:$B$2160=N331), 0, 10))</f>
        <v>2082</v>
      </c>
      <c r="Q331" s="84" cm="1">
        <f t="array" ref="Q331">SUM(INDEX(_xlfn._xlws.FILTER($B$6:$L$2160, $B$6:$B$2160=N331), 0, 11))</f>
        <v>0</v>
      </c>
    </row>
    <row r="332" spans="2:17" x14ac:dyDescent="0.2">
      <c r="B332">
        <v>10370</v>
      </c>
      <c r="C332">
        <v>1</v>
      </c>
      <c r="D332" s="84">
        <v>14.4</v>
      </c>
      <c r="E332">
        <v>15</v>
      </c>
      <c r="F332" s="85">
        <v>0.15</v>
      </c>
      <c r="G332" s="86">
        <f t="shared" si="25"/>
        <v>216</v>
      </c>
      <c r="H332" s="86">
        <f t="shared" si="26"/>
        <v>32.4</v>
      </c>
      <c r="I332" s="86">
        <f t="shared" si="27"/>
        <v>183.6</v>
      </c>
      <c r="J332" s="84">
        <f>VLOOKUP(C332, Products[], 6)</f>
        <v>18</v>
      </c>
      <c r="K332" s="86">
        <f t="shared" si="28"/>
        <v>270</v>
      </c>
      <c r="L332" s="86">
        <f t="shared" si="29"/>
        <v>-86.4</v>
      </c>
      <c r="N332">
        <v>10574</v>
      </c>
      <c r="O332" s="84" cm="1">
        <f t="array" ref="O332">SUM(INDEX(_xlfn._xlws.FILTER($B$6:$L$2160, $B$6:$B$2160=N332), 0, 8))</f>
        <v>764.3</v>
      </c>
      <c r="P332" s="84" cm="1">
        <f t="array" ref="P332">SUM(INDEX(_xlfn._xlws.FILTER($B$6:$L$2160, $B$6:$B$2160=N332), 0, 10))</f>
        <v>764.3</v>
      </c>
      <c r="Q332" s="84" cm="1">
        <f t="array" ref="Q332">SUM(INDEX(_xlfn._xlws.FILTER($B$6:$L$2160, $B$6:$B$2160=N332), 0, 11))</f>
        <v>0</v>
      </c>
    </row>
    <row r="333" spans="2:17" x14ac:dyDescent="0.2">
      <c r="B333">
        <v>10370</v>
      </c>
      <c r="C333">
        <v>64</v>
      </c>
      <c r="D333" s="84">
        <v>26.6</v>
      </c>
      <c r="E333">
        <v>30</v>
      </c>
      <c r="F333" s="85">
        <v>0</v>
      </c>
      <c r="G333" s="86">
        <f t="shared" si="25"/>
        <v>798</v>
      </c>
      <c r="H333" s="86">
        <f t="shared" si="26"/>
        <v>0</v>
      </c>
      <c r="I333" s="86">
        <f t="shared" si="27"/>
        <v>798</v>
      </c>
      <c r="J333" s="84">
        <f>VLOOKUP(C333, Products[], 6)</f>
        <v>33.25</v>
      </c>
      <c r="K333" s="86">
        <f t="shared" si="28"/>
        <v>997.5</v>
      </c>
      <c r="L333" s="86">
        <f t="shared" si="29"/>
        <v>-199.5</v>
      </c>
      <c r="N333">
        <v>10575</v>
      </c>
      <c r="O333" s="84" cm="1">
        <f t="array" ref="O333">SUM(INDEX(_xlfn._xlws.FILTER($B$6:$L$2160, $B$6:$B$2160=N333), 0, 8))</f>
        <v>2147.4</v>
      </c>
      <c r="P333" s="84" cm="1">
        <f t="array" ref="P333">SUM(INDEX(_xlfn._xlws.FILTER($B$6:$L$2160, $B$6:$B$2160=N333), 0, 10))</f>
        <v>2147.4</v>
      </c>
      <c r="Q333" s="84" cm="1">
        <f t="array" ref="Q333">SUM(INDEX(_xlfn._xlws.FILTER($B$6:$L$2160, $B$6:$B$2160=N333), 0, 11))</f>
        <v>0</v>
      </c>
    </row>
    <row r="334" spans="2:17" x14ac:dyDescent="0.2">
      <c r="B334">
        <v>10370</v>
      </c>
      <c r="C334">
        <v>74</v>
      </c>
      <c r="D334" s="84">
        <v>8</v>
      </c>
      <c r="E334">
        <v>20</v>
      </c>
      <c r="F334" s="85">
        <v>0.15</v>
      </c>
      <c r="G334" s="86">
        <f t="shared" si="25"/>
        <v>160</v>
      </c>
      <c r="H334" s="86">
        <f t="shared" si="26"/>
        <v>24</v>
      </c>
      <c r="I334" s="86">
        <f t="shared" si="27"/>
        <v>136</v>
      </c>
      <c r="J334" s="84">
        <f>VLOOKUP(C334, Products[], 6)</f>
        <v>10</v>
      </c>
      <c r="K334" s="86">
        <f t="shared" si="28"/>
        <v>200</v>
      </c>
      <c r="L334" s="86">
        <f t="shared" si="29"/>
        <v>-64</v>
      </c>
      <c r="N334">
        <v>10576</v>
      </c>
      <c r="O334" s="84" cm="1">
        <f t="array" ref="O334">SUM(INDEX(_xlfn._xlws.FILTER($B$6:$L$2160, $B$6:$B$2160=N334), 0, 8))</f>
        <v>838.45</v>
      </c>
      <c r="P334" s="84" cm="1">
        <f t="array" ref="P334">SUM(INDEX(_xlfn._xlws.FILTER($B$6:$L$2160, $B$6:$B$2160=N334), 0, 10))</f>
        <v>838.45</v>
      </c>
      <c r="Q334" s="84" cm="1">
        <f t="array" ref="Q334">SUM(INDEX(_xlfn._xlws.FILTER($B$6:$L$2160, $B$6:$B$2160=N334), 0, 11))</f>
        <v>0</v>
      </c>
    </row>
    <row r="335" spans="2:17" x14ac:dyDescent="0.2">
      <c r="B335">
        <v>10371</v>
      </c>
      <c r="C335">
        <v>36</v>
      </c>
      <c r="D335" s="84">
        <v>15.2</v>
      </c>
      <c r="E335">
        <v>6</v>
      </c>
      <c r="F335" s="85">
        <v>0.2</v>
      </c>
      <c r="G335" s="86">
        <f t="shared" si="25"/>
        <v>91.199999999999989</v>
      </c>
      <c r="H335" s="86">
        <f t="shared" si="26"/>
        <v>18.239999999999998</v>
      </c>
      <c r="I335" s="86">
        <f t="shared" si="27"/>
        <v>72.959999999999994</v>
      </c>
      <c r="J335" s="84">
        <f>VLOOKUP(C335, Products[], 6)</f>
        <v>19</v>
      </c>
      <c r="K335" s="86">
        <f t="shared" si="28"/>
        <v>114</v>
      </c>
      <c r="L335" s="86">
        <f t="shared" si="29"/>
        <v>-41.040000000000006</v>
      </c>
      <c r="N335">
        <v>10577</v>
      </c>
      <c r="O335" s="84" cm="1">
        <f t="array" ref="O335">SUM(INDEX(_xlfn._xlws.FILTER($B$6:$L$2160, $B$6:$B$2160=N335), 0, 8))</f>
        <v>569</v>
      </c>
      <c r="P335" s="84" cm="1">
        <f t="array" ref="P335">SUM(INDEX(_xlfn._xlws.FILTER($B$6:$L$2160, $B$6:$B$2160=N335), 0, 10))</f>
        <v>569</v>
      </c>
      <c r="Q335" s="84" cm="1">
        <f t="array" ref="Q335">SUM(INDEX(_xlfn._xlws.FILTER($B$6:$L$2160, $B$6:$B$2160=N335), 0, 11))</f>
        <v>0</v>
      </c>
    </row>
    <row r="336" spans="2:17" x14ac:dyDescent="0.2">
      <c r="B336">
        <v>10372</v>
      </c>
      <c r="C336">
        <v>20</v>
      </c>
      <c r="D336" s="84">
        <v>64.8</v>
      </c>
      <c r="E336">
        <v>12</v>
      </c>
      <c r="F336" s="85">
        <v>0.25</v>
      </c>
      <c r="G336" s="86">
        <f t="shared" si="25"/>
        <v>777.59999999999991</v>
      </c>
      <c r="H336" s="86">
        <f t="shared" si="26"/>
        <v>194.39999999999998</v>
      </c>
      <c r="I336" s="86">
        <f t="shared" si="27"/>
        <v>583.19999999999993</v>
      </c>
      <c r="J336" s="84">
        <f>VLOOKUP(C336, Products[], 6)</f>
        <v>81</v>
      </c>
      <c r="K336" s="86">
        <f t="shared" si="28"/>
        <v>972</v>
      </c>
      <c r="L336" s="86">
        <f t="shared" si="29"/>
        <v>-388.80000000000007</v>
      </c>
      <c r="N336">
        <v>10578</v>
      </c>
      <c r="O336" s="84" cm="1">
        <f t="array" ref="O336">SUM(INDEX(_xlfn._xlws.FILTER($B$6:$L$2160, $B$6:$B$2160=N336), 0, 8))</f>
        <v>477</v>
      </c>
      <c r="P336" s="84" cm="1">
        <f t="array" ref="P336">SUM(INDEX(_xlfn._xlws.FILTER($B$6:$L$2160, $B$6:$B$2160=N336), 0, 10))</f>
        <v>477</v>
      </c>
      <c r="Q336" s="84" cm="1">
        <f t="array" ref="Q336">SUM(INDEX(_xlfn._xlws.FILTER($B$6:$L$2160, $B$6:$B$2160=N336), 0, 11))</f>
        <v>0</v>
      </c>
    </row>
    <row r="337" spans="2:17" x14ac:dyDescent="0.2">
      <c r="B337">
        <v>10372</v>
      </c>
      <c r="C337">
        <v>38</v>
      </c>
      <c r="D337" s="84">
        <v>210.8</v>
      </c>
      <c r="E337">
        <v>40</v>
      </c>
      <c r="F337" s="85">
        <v>0.25</v>
      </c>
      <c r="G337" s="86">
        <f t="shared" si="25"/>
        <v>8432</v>
      </c>
      <c r="H337" s="86">
        <f t="shared" si="26"/>
        <v>2108</v>
      </c>
      <c r="I337" s="86">
        <f t="shared" si="27"/>
        <v>6324</v>
      </c>
      <c r="J337" s="84">
        <f>VLOOKUP(C337, Products[], 6)</f>
        <v>263.5</v>
      </c>
      <c r="K337" s="86">
        <f t="shared" si="28"/>
        <v>10540</v>
      </c>
      <c r="L337" s="86">
        <f t="shared" si="29"/>
        <v>-4216</v>
      </c>
      <c r="N337">
        <v>10579</v>
      </c>
      <c r="O337" s="84" cm="1">
        <f t="array" ref="O337">SUM(INDEX(_xlfn._xlws.FILTER($B$6:$L$2160, $B$6:$B$2160=N337), 0, 8))</f>
        <v>317.75</v>
      </c>
      <c r="P337" s="84" cm="1">
        <f t="array" ref="P337">SUM(INDEX(_xlfn._xlws.FILTER($B$6:$L$2160, $B$6:$B$2160=N337), 0, 10))</f>
        <v>317.75</v>
      </c>
      <c r="Q337" s="84" cm="1">
        <f t="array" ref="Q337">SUM(INDEX(_xlfn._xlws.FILTER($B$6:$L$2160, $B$6:$B$2160=N337), 0, 11))</f>
        <v>0</v>
      </c>
    </row>
    <row r="338" spans="2:17" x14ac:dyDescent="0.2">
      <c r="B338">
        <v>10372</v>
      </c>
      <c r="C338">
        <v>60</v>
      </c>
      <c r="D338" s="84">
        <v>27.2</v>
      </c>
      <c r="E338">
        <v>70</v>
      </c>
      <c r="F338" s="85">
        <v>0.25</v>
      </c>
      <c r="G338" s="86">
        <f t="shared" si="25"/>
        <v>1904</v>
      </c>
      <c r="H338" s="86">
        <f t="shared" si="26"/>
        <v>476</v>
      </c>
      <c r="I338" s="86">
        <f t="shared" si="27"/>
        <v>1428</v>
      </c>
      <c r="J338" s="84">
        <f>VLOOKUP(C338, Products[], 6)</f>
        <v>34</v>
      </c>
      <c r="K338" s="86">
        <f t="shared" si="28"/>
        <v>2380</v>
      </c>
      <c r="L338" s="86">
        <f t="shared" si="29"/>
        <v>-952</v>
      </c>
      <c r="N338">
        <v>10580</v>
      </c>
      <c r="O338" s="84" cm="1">
        <f t="array" ref="O338">SUM(INDEX(_xlfn._xlws.FILTER($B$6:$L$2160, $B$6:$B$2160=N338), 0, 8))</f>
        <v>1013.7449999999999</v>
      </c>
      <c r="P338" s="84" cm="1">
        <f t="array" ref="P338">SUM(INDEX(_xlfn._xlws.FILTER($B$6:$L$2160, $B$6:$B$2160=N338), 0, 10))</f>
        <v>1067.0999999999999</v>
      </c>
      <c r="Q338" s="84" cm="1">
        <f t="array" ref="Q338">SUM(INDEX(_xlfn._xlws.FILTER($B$6:$L$2160, $B$6:$B$2160=N338), 0, 11))</f>
        <v>-53.355000000000047</v>
      </c>
    </row>
    <row r="339" spans="2:17" x14ac:dyDescent="0.2">
      <c r="B339">
        <v>10372</v>
      </c>
      <c r="C339">
        <v>72</v>
      </c>
      <c r="D339" s="84">
        <v>27.8</v>
      </c>
      <c r="E339">
        <v>42</v>
      </c>
      <c r="F339" s="85">
        <v>0.25</v>
      </c>
      <c r="G339" s="86">
        <f t="shared" si="25"/>
        <v>1167.6000000000001</v>
      </c>
      <c r="H339" s="86">
        <f t="shared" si="26"/>
        <v>291.90000000000003</v>
      </c>
      <c r="I339" s="86">
        <f t="shared" si="27"/>
        <v>875.7</v>
      </c>
      <c r="J339" s="84">
        <f>VLOOKUP(C339, Products[], 6)</f>
        <v>34.799999999999997</v>
      </c>
      <c r="K339" s="86">
        <f t="shared" si="28"/>
        <v>1461.6</v>
      </c>
      <c r="L339" s="86">
        <f t="shared" si="29"/>
        <v>-585.89999999999986</v>
      </c>
      <c r="N339">
        <v>10581</v>
      </c>
      <c r="O339" s="84" cm="1">
        <f t="array" ref="O339">SUM(INDEX(_xlfn._xlws.FILTER($B$6:$L$2160, $B$6:$B$2160=N339), 0, 8))</f>
        <v>310</v>
      </c>
      <c r="P339" s="84" cm="1">
        <f t="array" ref="P339">SUM(INDEX(_xlfn._xlws.FILTER($B$6:$L$2160, $B$6:$B$2160=N339), 0, 10))</f>
        <v>387.5</v>
      </c>
      <c r="Q339" s="84" cm="1">
        <f t="array" ref="Q339">SUM(INDEX(_xlfn._xlws.FILTER($B$6:$L$2160, $B$6:$B$2160=N339), 0, 11))</f>
        <v>-77.5</v>
      </c>
    </row>
    <row r="340" spans="2:17" x14ac:dyDescent="0.2">
      <c r="B340">
        <v>10373</v>
      </c>
      <c r="C340">
        <v>58</v>
      </c>
      <c r="D340" s="84">
        <v>10.6</v>
      </c>
      <c r="E340">
        <v>80</v>
      </c>
      <c r="F340" s="85">
        <v>0.2</v>
      </c>
      <c r="G340" s="86">
        <f t="shared" si="25"/>
        <v>848</v>
      </c>
      <c r="H340" s="86">
        <f t="shared" si="26"/>
        <v>169.60000000000002</v>
      </c>
      <c r="I340" s="86">
        <f t="shared" si="27"/>
        <v>678.4</v>
      </c>
      <c r="J340" s="84">
        <f>VLOOKUP(C340, Products[], 6)</f>
        <v>13.25</v>
      </c>
      <c r="K340" s="86">
        <f t="shared" si="28"/>
        <v>1060</v>
      </c>
      <c r="L340" s="86">
        <f t="shared" si="29"/>
        <v>-381.6</v>
      </c>
      <c r="N340">
        <v>10582</v>
      </c>
      <c r="O340" s="84" cm="1">
        <f t="array" ref="O340">SUM(INDEX(_xlfn._xlws.FILTER($B$6:$L$2160, $B$6:$B$2160=N340), 0, 8))</f>
        <v>330</v>
      </c>
      <c r="P340" s="84" cm="1">
        <f t="array" ref="P340">SUM(INDEX(_xlfn._xlws.FILTER($B$6:$L$2160, $B$6:$B$2160=N340), 0, 10))</f>
        <v>330</v>
      </c>
      <c r="Q340" s="84" cm="1">
        <f t="array" ref="Q340">SUM(INDEX(_xlfn._xlws.FILTER($B$6:$L$2160, $B$6:$B$2160=N340), 0, 11))</f>
        <v>0</v>
      </c>
    </row>
    <row r="341" spans="2:17" x14ac:dyDescent="0.2">
      <c r="B341">
        <v>10373</v>
      </c>
      <c r="C341">
        <v>71</v>
      </c>
      <c r="D341" s="84">
        <v>17.2</v>
      </c>
      <c r="E341">
        <v>50</v>
      </c>
      <c r="F341" s="85">
        <v>0.2</v>
      </c>
      <c r="G341" s="86">
        <f t="shared" si="25"/>
        <v>860</v>
      </c>
      <c r="H341" s="86">
        <f t="shared" si="26"/>
        <v>172</v>
      </c>
      <c r="I341" s="86">
        <f t="shared" si="27"/>
        <v>688</v>
      </c>
      <c r="J341" s="84">
        <f>VLOOKUP(C341, Products[], 6)</f>
        <v>21.5</v>
      </c>
      <c r="K341" s="86">
        <f t="shared" si="28"/>
        <v>1075</v>
      </c>
      <c r="L341" s="86">
        <f t="shared" si="29"/>
        <v>-387</v>
      </c>
      <c r="N341">
        <v>10583</v>
      </c>
      <c r="O341" s="84" cm="1">
        <f t="array" ref="O341">SUM(INDEX(_xlfn._xlws.FILTER($B$6:$L$2160, $B$6:$B$2160=N341), 0, 8))</f>
        <v>2237.5</v>
      </c>
      <c r="P341" s="84" cm="1">
        <f t="array" ref="P341">SUM(INDEX(_xlfn._xlws.FILTER($B$6:$L$2160, $B$6:$B$2160=N341), 0, 10))</f>
        <v>2413.9</v>
      </c>
      <c r="Q341" s="84" cm="1">
        <f t="array" ref="Q341">SUM(INDEX(_xlfn._xlws.FILTER($B$6:$L$2160, $B$6:$B$2160=N341), 0, 11))</f>
        <v>-176.39999999999998</v>
      </c>
    </row>
    <row r="342" spans="2:17" x14ac:dyDescent="0.2">
      <c r="B342">
        <v>10374</v>
      </c>
      <c r="C342">
        <v>31</v>
      </c>
      <c r="D342" s="84">
        <v>10</v>
      </c>
      <c r="E342">
        <v>30</v>
      </c>
      <c r="F342" s="85">
        <v>0</v>
      </c>
      <c r="G342" s="86">
        <f t="shared" si="25"/>
        <v>300</v>
      </c>
      <c r="H342" s="86">
        <f t="shared" si="26"/>
        <v>0</v>
      </c>
      <c r="I342" s="86">
        <f t="shared" si="27"/>
        <v>300</v>
      </c>
      <c r="J342" s="84">
        <f>VLOOKUP(C342, Products[], 6)</f>
        <v>12.5</v>
      </c>
      <c r="K342" s="86">
        <f t="shared" si="28"/>
        <v>375</v>
      </c>
      <c r="L342" s="86">
        <f t="shared" si="29"/>
        <v>-75</v>
      </c>
      <c r="N342">
        <v>10584</v>
      </c>
      <c r="O342" s="84" cm="1">
        <f t="array" ref="O342">SUM(INDEX(_xlfn._xlws.FILTER($B$6:$L$2160, $B$6:$B$2160=N342), 0, 8))</f>
        <v>593.75</v>
      </c>
      <c r="P342" s="84" cm="1">
        <f t="array" ref="P342">SUM(INDEX(_xlfn._xlws.FILTER($B$6:$L$2160, $B$6:$B$2160=N342), 0, 10))</f>
        <v>625</v>
      </c>
      <c r="Q342" s="84" cm="1">
        <f t="array" ref="Q342">SUM(INDEX(_xlfn._xlws.FILTER($B$6:$L$2160, $B$6:$B$2160=N342), 0, 11))</f>
        <v>-31.25</v>
      </c>
    </row>
    <row r="343" spans="2:17" x14ac:dyDescent="0.2">
      <c r="B343">
        <v>10374</v>
      </c>
      <c r="C343">
        <v>58</v>
      </c>
      <c r="D343" s="84">
        <v>10.6</v>
      </c>
      <c r="E343">
        <v>15</v>
      </c>
      <c r="F343" s="85">
        <v>0</v>
      </c>
      <c r="G343" s="86">
        <f t="shared" si="25"/>
        <v>159</v>
      </c>
      <c r="H343" s="86">
        <f t="shared" si="26"/>
        <v>0</v>
      </c>
      <c r="I343" s="86">
        <f t="shared" si="27"/>
        <v>159</v>
      </c>
      <c r="J343" s="84">
        <f>VLOOKUP(C343, Products[], 6)</f>
        <v>13.25</v>
      </c>
      <c r="K343" s="86">
        <f t="shared" si="28"/>
        <v>198.75</v>
      </c>
      <c r="L343" s="86">
        <f t="shared" si="29"/>
        <v>-39.75</v>
      </c>
      <c r="N343">
        <v>10585</v>
      </c>
      <c r="O343" s="84" cm="1">
        <f t="array" ref="O343">SUM(INDEX(_xlfn._xlws.FILTER($B$6:$L$2160, $B$6:$B$2160=N343), 0, 8))</f>
        <v>142.5</v>
      </c>
      <c r="P343" s="84" cm="1">
        <f t="array" ref="P343">SUM(INDEX(_xlfn._xlws.FILTER($B$6:$L$2160, $B$6:$B$2160=N343), 0, 10))</f>
        <v>142.5</v>
      </c>
      <c r="Q343" s="84" cm="1">
        <f t="array" ref="Q343">SUM(INDEX(_xlfn._xlws.FILTER($B$6:$L$2160, $B$6:$B$2160=N343), 0, 11))</f>
        <v>0</v>
      </c>
    </row>
    <row r="344" spans="2:17" x14ac:dyDescent="0.2">
      <c r="B344">
        <v>10375</v>
      </c>
      <c r="C344">
        <v>14</v>
      </c>
      <c r="D344" s="84">
        <v>18.600000000000001</v>
      </c>
      <c r="E344">
        <v>15</v>
      </c>
      <c r="F344" s="85">
        <v>0</v>
      </c>
      <c r="G344" s="86">
        <f t="shared" si="25"/>
        <v>279</v>
      </c>
      <c r="H344" s="86">
        <f t="shared" si="26"/>
        <v>0</v>
      </c>
      <c r="I344" s="86">
        <f t="shared" si="27"/>
        <v>279</v>
      </c>
      <c r="J344" s="84">
        <f>VLOOKUP(C344, Products[], 6)</f>
        <v>23.25</v>
      </c>
      <c r="K344" s="86">
        <f t="shared" si="28"/>
        <v>348.75</v>
      </c>
      <c r="L344" s="86">
        <f t="shared" si="29"/>
        <v>-69.75</v>
      </c>
      <c r="N344">
        <v>10586</v>
      </c>
      <c r="O344" s="84" cm="1">
        <f t="array" ref="O344">SUM(INDEX(_xlfn._xlws.FILTER($B$6:$L$2160, $B$6:$B$2160=N344), 0, 8))</f>
        <v>23.8</v>
      </c>
      <c r="P344" s="84" cm="1">
        <f t="array" ref="P344">SUM(INDEX(_xlfn._xlws.FILTER($B$6:$L$2160, $B$6:$B$2160=N344), 0, 10))</f>
        <v>28</v>
      </c>
      <c r="Q344" s="84" cm="1">
        <f t="array" ref="Q344">SUM(INDEX(_xlfn._xlws.FILTER($B$6:$L$2160, $B$6:$B$2160=N344), 0, 11))</f>
        <v>-4.1999999999999993</v>
      </c>
    </row>
    <row r="345" spans="2:17" x14ac:dyDescent="0.2">
      <c r="B345">
        <v>10375</v>
      </c>
      <c r="C345">
        <v>54</v>
      </c>
      <c r="D345" s="84">
        <v>5.9</v>
      </c>
      <c r="E345">
        <v>10</v>
      </c>
      <c r="F345" s="85">
        <v>0</v>
      </c>
      <c r="G345" s="86">
        <f t="shared" si="25"/>
        <v>59</v>
      </c>
      <c r="H345" s="86">
        <f t="shared" si="26"/>
        <v>0</v>
      </c>
      <c r="I345" s="86">
        <f t="shared" si="27"/>
        <v>59</v>
      </c>
      <c r="J345" s="84">
        <f>VLOOKUP(C345, Products[], 6)</f>
        <v>7.45</v>
      </c>
      <c r="K345" s="86">
        <f t="shared" si="28"/>
        <v>74.5</v>
      </c>
      <c r="L345" s="86">
        <f t="shared" si="29"/>
        <v>-15.5</v>
      </c>
      <c r="N345">
        <v>10587</v>
      </c>
      <c r="O345" s="84" cm="1">
        <f t="array" ref="O345">SUM(INDEX(_xlfn._xlws.FILTER($B$6:$L$2160, $B$6:$B$2160=N345), 0, 8))</f>
        <v>807.38</v>
      </c>
      <c r="P345" s="84" cm="1">
        <f t="array" ref="P345">SUM(INDEX(_xlfn._xlws.FILTER($B$6:$L$2160, $B$6:$B$2160=N345), 0, 10))</f>
        <v>807.38</v>
      </c>
      <c r="Q345" s="84" cm="1">
        <f t="array" ref="Q345">SUM(INDEX(_xlfn._xlws.FILTER($B$6:$L$2160, $B$6:$B$2160=N345), 0, 11))</f>
        <v>0</v>
      </c>
    </row>
    <row r="346" spans="2:17" x14ac:dyDescent="0.2">
      <c r="B346">
        <v>10376</v>
      </c>
      <c r="C346">
        <v>31</v>
      </c>
      <c r="D346" s="84">
        <v>10</v>
      </c>
      <c r="E346">
        <v>42</v>
      </c>
      <c r="F346" s="85">
        <v>0.05</v>
      </c>
      <c r="G346" s="86">
        <f t="shared" si="25"/>
        <v>420</v>
      </c>
      <c r="H346" s="86">
        <f t="shared" si="26"/>
        <v>21</v>
      </c>
      <c r="I346" s="86">
        <f t="shared" si="27"/>
        <v>399</v>
      </c>
      <c r="J346" s="84">
        <f>VLOOKUP(C346, Products[], 6)</f>
        <v>12.5</v>
      </c>
      <c r="K346" s="86">
        <f t="shared" si="28"/>
        <v>525</v>
      </c>
      <c r="L346" s="86">
        <f t="shared" si="29"/>
        <v>-126</v>
      </c>
      <c r="N346">
        <v>10588</v>
      </c>
      <c r="O346" s="84" cm="1">
        <f t="array" ref="O346">SUM(INDEX(_xlfn._xlws.FILTER($B$6:$L$2160, $B$6:$B$2160=N346), 0, 8))</f>
        <v>3120</v>
      </c>
      <c r="P346" s="84" cm="1">
        <f t="array" ref="P346">SUM(INDEX(_xlfn._xlws.FILTER($B$6:$L$2160, $B$6:$B$2160=N346), 0, 10))</f>
        <v>3900</v>
      </c>
      <c r="Q346" s="84" cm="1">
        <f t="array" ref="Q346">SUM(INDEX(_xlfn._xlws.FILTER($B$6:$L$2160, $B$6:$B$2160=N346), 0, 11))</f>
        <v>-780</v>
      </c>
    </row>
    <row r="347" spans="2:17" x14ac:dyDescent="0.2">
      <c r="B347">
        <v>10377</v>
      </c>
      <c r="C347">
        <v>28</v>
      </c>
      <c r="D347" s="84">
        <v>36.4</v>
      </c>
      <c r="E347">
        <v>20</v>
      </c>
      <c r="F347" s="85">
        <v>0.15</v>
      </c>
      <c r="G347" s="86">
        <f t="shared" si="25"/>
        <v>728</v>
      </c>
      <c r="H347" s="86">
        <f t="shared" si="26"/>
        <v>109.2</v>
      </c>
      <c r="I347" s="86">
        <f t="shared" si="27"/>
        <v>618.79999999999995</v>
      </c>
      <c r="J347" s="84">
        <f>VLOOKUP(C347, Products[], 6)</f>
        <v>45.6</v>
      </c>
      <c r="K347" s="86">
        <f t="shared" si="28"/>
        <v>912</v>
      </c>
      <c r="L347" s="86">
        <f t="shared" si="29"/>
        <v>-293.20000000000005</v>
      </c>
      <c r="N347">
        <v>10589</v>
      </c>
      <c r="O347" s="84" cm="1">
        <f t="array" ref="O347">SUM(INDEX(_xlfn._xlws.FILTER($B$6:$L$2160, $B$6:$B$2160=N347), 0, 8))</f>
        <v>72</v>
      </c>
      <c r="P347" s="84" cm="1">
        <f t="array" ref="P347">SUM(INDEX(_xlfn._xlws.FILTER($B$6:$L$2160, $B$6:$B$2160=N347), 0, 10))</f>
        <v>72</v>
      </c>
      <c r="Q347" s="84" cm="1">
        <f t="array" ref="Q347">SUM(INDEX(_xlfn._xlws.FILTER($B$6:$L$2160, $B$6:$B$2160=N347), 0, 11))</f>
        <v>0</v>
      </c>
    </row>
    <row r="348" spans="2:17" x14ac:dyDescent="0.2">
      <c r="B348">
        <v>10377</v>
      </c>
      <c r="C348">
        <v>39</v>
      </c>
      <c r="D348" s="84">
        <v>14.4</v>
      </c>
      <c r="E348">
        <v>20</v>
      </c>
      <c r="F348" s="85">
        <v>0.15</v>
      </c>
      <c r="G348" s="86">
        <f t="shared" si="25"/>
        <v>288</v>
      </c>
      <c r="H348" s="86">
        <f t="shared" si="26"/>
        <v>43.199999999999996</v>
      </c>
      <c r="I348" s="86">
        <f t="shared" si="27"/>
        <v>244.8</v>
      </c>
      <c r="J348" s="84">
        <f>VLOOKUP(C348, Products[], 6)</f>
        <v>18</v>
      </c>
      <c r="K348" s="86">
        <f t="shared" si="28"/>
        <v>360</v>
      </c>
      <c r="L348" s="86">
        <f t="shared" si="29"/>
        <v>-115.19999999999999</v>
      </c>
      <c r="N348">
        <v>10590</v>
      </c>
      <c r="O348" s="84" cm="1">
        <f t="array" ref="O348">SUM(INDEX(_xlfn._xlws.FILTER($B$6:$L$2160, $B$6:$B$2160=N348), 0, 8))</f>
        <v>1101</v>
      </c>
      <c r="P348" s="84" cm="1">
        <f t="array" ref="P348">SUM(INDEX(_xlfn._xlws.FILTER($B$6:$L$2160, $B$6:$B$2160=N348), 0, 10))</f>
        <v>1140</v>
      </c>
      <c r="Q348" s="84" cm="1">
        <f t="array" ref="Q348">SUM(INDEX(_xlfn._xlws.FILTER($B$6:$L$2160, $B$6:$B$2160=N348), 0, 11))</f>
        <v>-39</v>
      </c>
    </row>
    <row r="349" spans="2:17" x14ac:dyDescent="0.2">
      <c r="B349">
        <v>10378</v>
      </c>
      <c r="C349">
        <v>71</v>
      </c>
      <c r="D349" s="84">
        <v>17.2</v>
      </c>
      <c r="E349">
        <v>6</v>
      </c>
      <c r="F349" s="85">
        <v>0</v>
      </c>
      <c r="G349" s="86">
        <f t="shared" si="25"/>
        <v>103.19999999999999</v>
      </c>
      <c r="H349" s="86">
        <f t="shared" si="26"/>
        <v>0</v>
      </c>
      <c r="I349" s="86">
        <f t="shared" si="27"/>
        <v>103.19999999999999</v>
      </c>
      <c r="J349" s="84">
        <f>VLOOKUP(C349, Products[], 6)</f>
        <v>21.5</v>
      </c>
      <c r="K349" s="86">
        <f t="shared" si="28"/>
        <v>129</v>
      </c>
      <c r="L349" s="86">
        <f t="shared" si="29"/>
        <v>-25.800000000000011</v>
      </c>
      <c r="N349">
        <v>10591</v>
      </c>
      <c r="O349" s="84" cm="1">
        <f t="array" ref="O349">SUM(INDEX(_xlfn._xlws.FILTER($B$6:$L$2160, $B$6:$B$2160=N349), 0, 8))</f>
        <v>812.5</v>
      </c>
      <c r="P349" s="84" cm="1">
        <f t="array" ref="P349">SUM(INDEX(_xlfn._xlws.FILTER($B$6:$L$2160, $B$6:$B$2160=N349), 0, 10))</f>
        <v>812.5</v>
      </c>
      <c r="Q349" s="84" cm="1">
        <f t="array" ref="Q349">SUM(INDEX(_xlfn._xlws.FILTER($B$6:$L$2160, $B$6:$B$2160=N349), 0, 11))</f>
        <v>0</v>
      </c>
    </row>
    <row r="350" spans="2:17" x14ac:dyDescent="0.2">
      <c r="B350">
        <v>10379</v>
      </c>
      <c r="C350">
        <v>41</v>
      </c>
      <c r="D350" s="84">
        <v>7.7</v>
      </c>
      <c r="E350">
        <v>8</v>
      </c>
      <c r="F350" s="85">
        <v>0.1</v>
      </c>
      <c r="G350" s="86">
        <f t="shared" si="25"/>
        <v>61.6</v>
      </c>
      <c r="H350" s="86">
        <f t="shared" si="26"/>
        <v>6.16</v>
      </c>
      <c r="I350" s="86">
        <f t="shared" si="27"/>
        <v>55.44</v>
      </c>
      <c r="J350" s="84">
        <f>VLOOKUP(C350, Products[], 6)</f>
        <v>9.65</v>
      </c>
      <c r="K350" s="86">
        <f t="shared" si="28"/>
        <v>77.2</v>
      </c>
      <c r="L350" s="86">
        <f t="shared" si="29"/>
        <v>-21.760000000000005</v>
      </c>
      <c r="N350">
        <v>10592</v>
      </c>
      <c r="O350" s="84" cm="1">
        <f t="array" ref="O350">SUM(INDEX(_xlfn._xlws.FILTER($B$6:$L$2160, $B$6:$B$2160=N350), 0, 8))</f>
        <v>516.46749999999997</v>
      </c>
      <c r="P350" s="84" cm="1">
        <f t="array" ref="P350">SUM(INDEX(_xlfn._xlws.FILTER($B$6:$L$2160, $B$6:$B$2160=N350), 0, 10))</f>
        <v>543.65</v>
      </c>
      <c r="Q350" s="84" cm="1">
        <f t="array" ref="Q350">SUM(INDEX(_xlfn._xlws.FILTER($B$6:$L$2160, $B$6:$B$2160=N350), 0, 11))</f>
        <v>-27.182500000000005</v>
      </c>
    </row>
    <row r="351" spans="2:17" x14ac:dyDescent="0.2">
      <c r="B351">
        <v>10379</v>
      </c>
      <c r="C351">
        <v>63</v>
      </c>
      <c r="D351" s="84">
        <v>35.1</v>
      </c>
      <c r="E351">
        <v>16</v>
      </c>
      <c r="F351" s="85">
        <v>0.1</v>
      </c>
      <c r="G351" s="86">
        <f t="shared" si="25"/>
        <v>561.6</v>
      </c>
      <c r="H351" s="86">
        <f t="shared" si="26"/>
        <v>56.160000000000004</v>
      </c>
      <c r="I351" s="86">
        <f t="shared" si="27"/>
        <v>505.44</v>
      </c>
      <c r="J351" s="84">
        <f>VLOOKUP(C351, Products[], 6)</f>
        <v>43.9</v>
      </c>
      <c r="K351" s="86">
        <f t="shared" si="28"/>
        <v>702.4</v>
      </c>
      <c r="L351" s="86">
        <f t="shared" si="29"/>
        <v>-196.95999999999998</v>
      </c>
      <c r="N351">
        <v>10593</v>
      </c>
      <c r="O351" s="84" cm="1">
        <f t="array" ref="O351">SUM(INDEX(_xlfn._xlws.FILTER($B$6:$L$2160, $B$6:$B$2160=N351), 0, 8))</f>
        <v>1994.3999999999999</v>
      </c>
      <c r="P351" s="84" cm="1">
        <f t="array" ref="P351">SUM(INDEX(_xlfn._xlws.FILTER($B$6:$L$2160, $B$6:$B$2160=N351), 0, 10))</f>
        <v>2493</v>
      </c>
      <c r="Q351" s="84" cm="1">
        <f t="array" ref="Q351">SUM(INDEX(_xlfn._xlws.FILTER($B$6:$L$2160, $B$6:$B$2160=N351), 0, 11))</f>
        <v>-498.6</v>
      </c>
    </row>
    <row r="352" spans="2:17" x14ac:dyDescent="0.2">
      <c r="B352">
        <v>10379</v>
      </c>
      <c r="C352">
        <v>65</v>
      </c>
      <c r="D352" s="84">
        <v>16.8</v>
      </c>
      <c r="E352">
        <v>20</v>
      </c>
      <c r="F352" s="85">
        <v>0.1</v>
      </c>
      <c r="G352" s="86">
        <f t="shared" si="25"/>
        <v>336</v>
      </c>
      <c r="H352" s="86">
        <f t="shared" si="26"/>
        <v>33.6</v>
      </c>
      <c r="I352" s="86">
        <f t="shared" si="27"/>
        <v>302.39999999999998</v>
      </c>
      <c r="J352" s="84">
        <f>VLOOKUP(C352, Products[], 6)</f>
        <v>21.05</v>
      </c>
      <c r="K352" s="86">
        <f t="shared" si="28"/>
        <v>421</v>
      </c>
      <c r="L352" s="86">
        <f t="shared" si="29"/>
        <v>-118.60000000000002</v>
      </c>
      <c r="N352">
        <v>10594</v>
      </c>
      <c r="O352" s="84" cm="1">
        <f t="array" ref="O352">SUM(INDEX(_xlfn._xlws.FILTER($B$6:$L$2160, $B$6:$B$2160=N352), 0, 8))</f>
        <v>565.5</v>
      </c>
      <c r="P352" s="84" cm="1">
        <f t="array" ref="P352">SUM(INDEX(_xlfn._xlws.FILTER($B$6:$L$2160, $B$6:$B$2160=N352), 0, 10))</f>
        <v>565.5</v>
      </c>
      <c r="Q352" s="84" cm="1">
        <f t="array" ref="Q352">SUM(INDEX(_xlfn._xlws.FILTER($B$6:$L$2160, $B$6:$B$2160=N352), 0, 11))</f>
        <v>0</v>
      </c>
    </row>
    <row r="353" spans="2:17" x14ac:dyDescent="0.2">
      <c r="B353">
        <v>10380</v>
      </c>
      <c r="C353">
        <v>30</v>
      </c>
      <c r="D353" s="84">
        <v>20.7</v>
      </c>
      <c r="E353">
        <v>18</v>
      </c>
      <c r="F353" s="85">
        <v>0.1</v>
      </c>
      <c r="G353" s="86">
        <f t="shared" si="25"/>
        <v>372.59999999999997</v>
      </c>
      <c r="H353" s="86">
        <f t="shared" si="26"/>
        <v>37.26</v>
      </c>
      <c r="I353" s="86">
        <f t="shared" si="27"/>
        <v>335.34</v>
      </c>
      <c r="J353" s="84">
        <f>VLOOKUP(C353, Products[], 6)</f>
        <v>25.89</v>
      </c>
      <c r="K353" s="86">
        <f t="shared" si="28"/>
        <v>466.02</v>
      </c>
      <c r="L353" s="86">
        <f t="shared" si="29"/>
        <v>-130.68</v>
      </c>
      <c r="N353">
        <v>10595</v>
      </c>
      <c r="O353" s="84" cm="1">
        <f t="array" ref="O353">SUM(INDEX(_xlfn._xlws.FILTER($B$6:$L$2160, $B$6:$B$2160=N353), 0, 8))</f>
        <v>4725</v>
      </c>
      <c r="P353" s="84" cm="1">
        <f t="array" ref="P353">SUM(INDEX(_xlfn._xlws.FILTER($B$6:$L$2160, $B$6:$B$2160=N353), 0, 10))</f>
        <v>6300</v>
      </c>
      <c r="Q353" s="84" cm="1">
        <f t="array" ref="Q353">SUM(INDEX(_xlfn._xlws.FILTER($B$6:$L$2160, $B$6:$B$2160=N353), 0, 11))</f>
        <v>-1575</v>
      </c>
    </row>
    <row r="354" spans="2:17" x14ac:dyDescent="0.2">
      <c r="B354">
        <v>10380</v>
      </c>
      <c r="C354">
        <v>53</v>
      </c>
      <c r="D354" s="84">
        <v>26.2</v>
      </c>
      <c r="E354">
        <v>20</v>
      </c>
      <c r="F354" s="85">
        <v>0.1</v>
      </c>
      <c r="G354" s="86">
        <f t="shared" si="25"/>
        <v>524</v>
      </c>
      <c r="H354" s="86">
        <f t="shared" si="26"/>
        <v>52.400000000000006</v>
      </c>
      <c r="I354" s="86">
        <f t="shared" si="27"/>
        <v>471.6</v>
      </c>
      <c r="J354" s="84">
        <f>VLOOKUP(C354, Products[], 6)</f>
        <v>32.799999999999997</v>
      </c>
      <c r="K354" s="86">
        <f t="shared" si="28"/>
        <v>656</v>
      </c>
      <c r="L354" s="86">
        <f t="shared" si="29"/>
        <v>-184.39999999999998</v>
      </c>
      <c r="N354">
        <v>10596</v>
      </c>
      <c r="O354" s="84" cm="1">
        <f t="array" ref="O354">SUM(INDEX(_xlfn._xlws.FILTER($B$6:$L$2160, $B$6:$B$2160=N354), 0, 8))</f>
        <v>1180.8799999999999</v>
      </c>
      <c r="P354" s="84" cm="1">
        <f t="array" ref="P354">SUM(INDEX(_xlfn._xlws.FILTER($B$6:$L$2160, $B$6:$B$2160=N354), 0, 10))</f>
        <v>1476.1</v>
      </c>
      <c r="Q354" s="84" cm="1">
        <f t="array" ref="Q354">SUM(INDEX(_xlfn._xlws.FILTER($B$6:$L$2160, $B$6:$B$2160=N354), 0, 11))</f>
        <v>-295.22000000000003</v>
      </c>
    </row>
    <row r="355" spans="2:17" x14ac:dyDescent="0.2">
      <c r="B355">
        <v>10380</v>
      </c>
      <c r="C355">
        <v>60</v>
      </c>
      <c r="D355" s="84">
        <v>27.2</v>
      </c>
      <c r="E355">
        <v>6</v>
      </c>
      <c r="F355" s="85">
        <v>0.1</v>
      </c>
      <c r="G355" s="86">
        <f t="shared" si="25"/>
        <v>163.19999999999999</v>
      </c>
      <c r="H355" s="86">
        <f t="shared" si="26"/>
        <v>16.32</v>
      </c>
      <c r="I355" s="86">
        <f t="shared" si="27"/>
        <v>146.88</v>
      </c>
      <c r="J355" s="84">
        <f>VLOOKUP(C355, Products[], 6)</f>
        <v>34</v>
      </c>
      <c r="K355" s="86">
        <f t="shared" si="28"/>
        <v>204</v>
      </c>
      <c r="L355" s="86">
        <f t="shared" si="29"/>
        <v>-57.120000000000005</v>
      </c>
      <c r="N355">
        <v>10597</v>
      </c>
      <c r="O355" s="84" cm="1">
        <f t="array" ref="O355">SUM(INDEX(_xlfn._xlws.FILTER($B$6:$L$2160, $B$6:$B$2160=N355), 0, 8))</f>
        <v>718.08</v>
      </c>
      <c r="P355" s="84" cm="1">
        <f t="array" ref="P355">SUM(INDEX(_xlfn._xlws.FILTER($B$6:$L$2160, $B$6:$B$2160=N355), 0, 10))</f>
        <v>800.1</v>
      </c>
      <c r="Q355" s="84" cm="1">
        <f t="array" ref="Q355">SUM(INDEX(_xlfn._xlws.FILTER($B$6:$L$2160, $B$6:$B$2160=N355), 0, 11))</f>
        <v>-82.02000000000001</v>
      </c>
    </row>
    <row r="356" spans="2:17" x14ac:dyDescent="0.2">
      <c r="B356">
        <v>10380</v>
      </c>
      <c r="C356">
        <v>70</v>
      </c>
      <c r="D356" s="84">
        <v>12</v>
      </c>
      <c r="E356">
        <v>30</v>
      </c>
      <c r="F356" s="85">
        <v>0</v>
      </c>
      <c r="G356" s="86">
        <f t="shared" si="25"/>
        <v>360</v>
      </c>
      <c r="H356" s="86">
        <f t="shared" si="26"/>
        <v>0</v>
      </c>
      <c r="I356" s="86">
        <f t="shared" si="27"/>
        <v>360</v>
      </c>
      <c r="J356" s="84">
        <f>VLOOKUP(C356, Products[], 6)</f>
        <v>15</v>
      </c>
      <c r="K356" s="86">
        <f t="shared" si="28"/>
        <v>450</v>
      </c>
      <c r="L356" s="86">
        <f t="shared" si="29"/>
        <v>-90</v>
      </c>
      <c r="N356">
        <v>10598</v>
      </c>
      <c r="O356" s="84" cm="1">
        <f t="array" ref="O356">SUM(INDEX(_xlfn._xlws.FILTER($B$6:$L$2160, $B$6:$B$2160=N356), 0, 8))</f>
        <v>2388.5</v>
      </c>
      <c r="P356" s="84" cm="1">
        <f t="array" ref="P356">SUM(INDEX(_xlfn._xlws.FILTER($B$6:$L$2160, $B$6:$B$2160=N356), 0, 10))</f>
        <v>2388.5</v>
      </c>
      <c r="Q356" s="84" cm="1">
        <f t="array" ref="Q356">SUM(INDEX(_xlfn._xlws.FILTER($B$6:$L$2160, $B$6:$B$2160=N356), 0, 11))</f>
        <v>0</v>
      </c>
    </row>
    <row r="357" spans="2:17" x14ac:dyDescent="0.2">
      <c r="B357">
        <v>10381</v>
      </c>
      <c r="C357">
        <v>74</v>
      </c>
      <c r="D357" s="84">
        <v>8</v>
      </c>
      <c r="E357">
        <v>14</v>
      </c>
      <c r="F357" s="85">
        <v>0</v>
      </c>
      <c r="G357" s="86">
        <f t="shared" si="25"/>
        <v>112</v>
      </c>
      <c r="H357" s="86">
        <f t="shared" si="26"/>
        <v>0</v>
      </c>
      <c r="I357" s="86">
        <f t="shared" si="27"/>
        <v>112</v>
      </c>
      <c r="J357" s="84">
        <f>VLOOKUP(C357, Products[], 6)</f>
        <v>10</v>
      </c>
      <c r="K357" s="86">
        <f t="shared" si="28"/>
        <v>140</v>
      </c>
      <c r="L357" s="86">
        <f t="shared" si="29"/>
        <v>-28</v>
      </c>
      <c r="N357">
        <v>10599</v>
      </c>
      <c r="O357" s="84" cm="1">
        <f t="array" ref="O357">SUM(INDEX(_xlfn._xlws.FILTER($B$6:$L$2160, $B$6:$B$2160=N357), 0, 8))</f>
        <v>493</v>
      </c>
      <c r="P357" s="84" cm="1">
        <f t="array" ref="P357">SUM(INDEX(_xlfn._xlws.FILTER($B$6:$L$2160, $B$6:$B$2160=N357), 0, 10))</f>
        <v>493</v>
      </c>
      <c r="Q357" s="84" cm="1">
        <f t="array" ref="Q357">SUM(INDEX(_xlfn._xlws.FILTER($B$6:$L$2160, $B$6:$B$2160=N357), 0, 11))</f>
        <v>0</v>
      </c>
    </row>
    <row r="358" spans="2:17" x14ac:dyDescent="0.2">
      <c r="B358">
        <v>10382</v>
      </c>
      <c r="C358">
        <v>5</v>
      </c>
      <c r="D358" s="84">
        <v>17</v>
      </c>
      <c r="E358">
        <v>32</v>
      </c>
      <c r="F358" s="85">
        <v>0</v>
      </c>
      <c r="G358" s="86">
        <f t="shared" si="25"/>
        <v>544</v>
      </c>
      <c r="H358" s="86">
        <f t="shared" si="26"/>
        <v>0</v>
      </c>
      <c r="I358" s="86">
        <f t="shared" si="27"/>
        <v>544</v>
      </c>
      <c r="J358" s="84">
        <f>VLOOKUP(C358, Products[], 6)</f>
        <v>21.35</v>
      </c>
      <c r="K358" s="86">
        <f t="shared" si="28"/>
        <v>683.2</v>
      </c>
      <c r="L358" s="86">
        <f t="shared" si="29"/>
        <v>-139.20000000000005</v>
      </c>
      <c r="N358">
        <v>10600</v>
      </c>
      <c r="O358" s="84" cm="1">
        <f t="array" ref="O358">SUM(INDEX(_xlfn._xlws.FILTER($B$6:$L$2160, $B$6:$B$2160=N358), 0, 8))</f>
        <v>479.8</v>
      </c>
      <c r="P358" s="84" cm="1">
        <f t="array" ref="P358">SUM(INDEX(_xlfn._xlws.FILTER($B$6:$L$2160, $B$6:$B$2160=N358), 0, 10))</f>
        <v>479.8</v>
      </c>
      <c r="Q358" s="84" cm="1">
        <f t="array" ref="Q358">SUM(INDEX(_xlfn._xlws.FILTER($B$6:$L$2160, $B$6:$B$2160=N358), 0, 11))</f>
        <v>0</v>
      </c>
    </row>
    <row r="359" spans="2:17" x14ac:dyDescent="0.2">
      <c r="B359">
        <v>10382</v>
      </c>
      <c r="C359">
        <v>18</v>
      </c>
      <c r="D359" s="84">
        <v>50</v>
      </c>
      <c r="E359">
        <v>9</v>
      </c>
      <c r="F359" s="85">
        <v>0</v>
      </c>
      <c r="G359" s="86">
        <f t="shared" si="25"/>
        <v>450</v>
      </c>
      <c r="H359" s="86">
        <f t="shared" si="26"/>
        <v>0</v>
      </c>
      <c r="I359" s="86">
        <f t="shared" si="27"/>
        <v>450</v>
      </c>
      <c r="J359" s="84">
        <f>VLOOKUP(C359, Products[], 6)</f>
        <v>62.5</v>
      </c>
      <c r="K359" s="86">
        <f t="shared" si="28"/>
        <v>562.5</v>
      </c>
      <c r="L359" s="86">
        <f t="shared" si="29"/>
        <v>-112.5</v>
      </c>
      <c r="N359">
        <v>10601</v>
      </c>
      <c r="O359" s="84" cm="1">
        <f t="array" ref="O359">SUM(INDEX(_xlfn._xlws.FILTER($B$6:$L$2160, $B$6:$B$2160=N359), 0, 8))</f>
        <v>2285</v>
      </c>
      <c r="P359" s="84" cm="1">
        <f t="array" ref="P359">SUM(INDEX(_xlfn._xlws.FILTER($B$6:$L$2160, $B$6:$B$2160=N359), 0, 10))</f>
        <v>2285</v>
      </c>
      <c r="Q359" s="84" cm="1">
        <f t="array" ref="Q359">SUM(INDEX(_xlfn._xlws.FILTER($B$6:$L$2160, $B$6:$B$2160=N359), 0, 11))</f>
        <v>0</v>
      </c>
    </row>
    <row r="360" spans="2:17" x14ac:dyDescent="0.2">
      <c r="B360">
        <v>10382</v>
      </c>
      <c r="C360">
        <v>29</v>
      </c>
      <c r="D360" s="84">
        <v>99</v>
      </c>
      <c r="E360">
        <v>14</v>
      </c>
      <c r="F360" s="85">
        <v>0</v>
      </c>
      <c r="G360" s="86">
        <f t="shared" si="25"/>
        <v>1386</v>
      </c>
      <c r="H360" s="86">
        <f t="shared" si="26"/>
        <v>0</v>
      </c>
      <c r="I360" s="86">
        <f t="shared" si="27"/>
        <v>1386</v>
      </c>
      <c r="J360" s="84">
        <f>VLOOKUP(C360, Products[], 6)</f>
        <v>123.79</v>
      </c>
      <c r="K360" s="86">
        <f t="shared" si="28"/>
        <v>1733.0600000000002</v>
      </c>
      <c r="L360" s="86">
        <f t="shared" si="29"/>
        <v>-347.06000000000017</v>
      </c>
      <c r="N360">
        <v>10602</v>
      </c>
      <c r="O360" s="84" cm="1">
        <f t="array" ref="O360">SUM(INDEX(_xlfn._xlws.FILTER($B$6:$L$2160, $B$6:$B$2160=N360), 0, 8))</f>
        <v>48.75</v>
      </c>
      <c r="P360" s="84" cm="1">
        <f t="array" ref="P360">SUM(INDEX(_xlfn._xlws.FILTER($B$6:$L$2160, $B$6:$B$2160=N360), 0, 10))</f>
        <v>65</v>
      </c>
      <c r="Q360" s="84" cm="1">
        <f t="array" ref="Q360">SUM(INDEX(_xlfn._xlws.FILTER($B$6:$L$2160, $B$6:$B$2160=N360), 0, 11))</f>
        <v>-16.25</v>
      </c>
    </row>
    <row r="361" spans="2:17" x14ac:dyDescent="0.2">
      <c r="B361">
        <v>10382</v>
      </c>
      <c r="C361">
        <v>33</v>
      </c>
      <c r="D361" s="84">
        <v>2</v>
      </c>
      <c r="E361">
        <v>60</v>
      </c>
      <c r="F361" s="85">
        <v>0</v>
      </c>
      <c r="G361" s="86">
        <f t="shared" si="25"/>
        <v>120</v>
      </c>
      <c r="H361" s="86">
        <f t="shared" si="26"/>
        <v>0</v>
      </c>
      <c r="I361" s="86">
        <f t="shared" si="27"/>
        <v>120</v>
      </c>
      <c r="J361" s="84">
        <f>VLOOKUP(C361, Products[], 6)</f>
        <v>2.5</v>
      </c>
      <c r="K361" s="86">
        <f t="shared" si="28"/>
        <v>150</v>
      </c>
      <c r="L361" s="86">
        <f t="shared" si="29"/>
        <v>-30</v>
      </c>
      <c r="N361">
        <v>10603</v>
      </c>
      <c r="O361" s="84" cm="1">
        <f t="array" ref="O361">SUM(INDEX(_xlfn._xlws.FILTER($B$6:$L$2160, $B$6:$B$2160=N361), 0, 8))</f>
        <v>1483</v>
      </c>
      <c r="P361" s="84" cm="1">
        <f t="array" ref="P361">SUM(INDEX(_xlfn._xlws.FILTER($B$6:$L$2160, $B$6:$B$2160=N361), 0, 10))</f>
        <v>1508</v>
      </c>
      <c r="Q361" s="84" cm="1">
        <f t="array" ref="Q361">SUM(INDEX(_xlfn._xlws.FILTER($B$6:$L$2160, $B$6:$B$2160=N361), 0, 11))</f>
        <v>-25</v>
      </c>
    </row>
    <row r="362" spans="2:17" x14ac:dyDescent="0.2">
      <c r="B362">
        <v>10382</v>
      </c>
      <c r="C362">
        <v>74</v>
      </c>
      <c r="D362" s="84">
        <v>8</v>
      </c>
      <c r="E362">
        <v>50</v>
      </c>
      <c r="F362" s="85">
        <v>0</v>
      </c>
      <c r="G362" s="86">
        <f t="shared" si="25"/>
        <v>400</v>
      </c>
      <c r="H362" s="86">
        <f t="shared" si="26"/>
        <v>0</v>
      </c>
      <c r="I362" s="86">
        <f t="shared" si="27"/>
        <v>400</v>
      </c>
      <c r="J362" s="84">
        <f>VLOOKUP(C362, Products[], 6)</f>
        <v>10</v>
      </c>
      <c r="K362" s="86">
        <f t="shared" si="28"/>
        <v>500</v>
      </c>
      <c r="L362" s="86">
        <f t="shared" si="29"/>
        <v>-100</v>
      </c>
      <c r="N362">
        <v>10604</v>
      </c>
      <c r="O362" s="84" cm="1">
        <f t="array" ref="O362">SUM(INDEX(_xlfn._xlws.FILTER($B$6:$L$2160, $B$6:$B$2160=N362), 0, 8))</f>
        <v>230.85</v>
      </c>
      <c r="P362" s="84" cm="1">
        <f t="array" ref="P362">SUM(INDEX(_xlfn._xlws.FILTER($B$6:$L$2160, $B$6:$B$2160=N362), 0, 10))</f>
        <v>256.5</v>
      </c>
      <c r="Q362" s="84" cm="1">
        <f t="array" ref="Q362">SUM(INDEX(_xlfn._xlws.FILTER($B$6:$L$2160, $B$6:$B$2160=N362), 0, 11))</f>
        <v>-25.650000000000006</v>
      </c>
    </row>
    <row r="363" spans="2:17" x14ac:dyDescent="0.2">
      <c r="B363">
        <v>10383</v>
      </c>
      <c r="C363">
        <v>13</v>
      </c>
      <c r="D363" s="84">
        <v>4.8</v>
      </c>
      <c r="E363">
        <v>20</v>
      </c>
      <c r="F363" s="85">
        <v>0</v>
      </c>
      <c r="G363" s="86">
        <f t="shared" si="25"/>
        <v>96</v>
      </c>
      <c r="H363" s="86">
        <f t="shared" si="26"/>
        <v>0</v>
      </c>
      <c r="I363" s="86">
        <f t="shared" si="27"/>
        <v>96</v>
      </c>
      <c r="J363" s="84">
        <f>VLOOKUP(C363, Products[], 6)</f>
        <v>6</v>
      </c>
      <c r="K363" s="86">
        <f t="shared" si="28"/>
        <v>120</v>
      </c>
      <c r="L363" s="86">
        <f t="shared" si="29"/>
        <v>-24</v>
      </c>
      <c r="N363">
        <v>10605</v>
      </c>
      <c r="O363" s="84" cm="1">
        <f t="array" ref="O363">SUM(INDEX(_xlfn._xlws.FILTER($B$6:$L$2160, $B$6:$B$2160=N363), 0, 8))</f>
        <v>4109.7</v>
      </c>
      <c r="P363" s="84" cm="1">
        <f t="array" ref="P363">SUM(INDEX(_xlfn._xlws.FILTER($B$6:$L$2160, $B$6:$B$2160=N363), 0, 10))</f>
        <v>4326</v>
      </c>
      <c r="Q363" s="84" cm="1">
        <f t="array" ref="Q363">SUM(INDEX(_xlfn._xlws.FILTER($B$6:$L$2160, $B$6:$B$2160=N363), 0, 11))</f>
        <v>-216.3</v>
      </c>
    </row>
    <row r="364" spans="2:17" x14ac:dyDescent="0.2">
      <c r="B364">
        <v>10383</v>
      </c>
      <c r="C364">
        <v>50</v>
      </c>
      <c r="D364" s="84">
        <v>13</v>
      </c>
      <c r="E364">
        <v>15</v>
      </c>
      <c r="F364" s="85">
        <v>0</v>
      </c>
      <c r="G364" s="86">
        <f t="shared" si="25"/>
        <v>195</v>
      </c>
      <c r="H364" s="86">
        <f t="shared" si="26"/>
        <v>0</v>
      </c>
      <c r="I364" s="86">
        <f t="shared" si="27"/>
        <v>195</v>
      </c>
      <c r="J364" s="84">
        <f>VLOOKUP(C364, Products[], 6)</f>
        <v>16.25</v>
      </c>
      <c r="K364" s="86">
        <f t="shared" si="28"/>
        <v>243.75</v>
      </c>
      <c r="L364" s="86">
        <f t="shared" si="29"/>
        <v>-48.75</v>
      </c>
      <c r="N364">
        <v>10606</v>
      </c>
      <c r="O364" s="84" cm="1">
        <f t="array" ref="O364">SUM(INDEX(_xlfn._xlws.FILTER($B$6:$L$2160, $B$6:$B$2160=N364), 0, 8))</f>
        <v>1130.4000000000001</v>
      </c>
      <c r="P364" s="84" cm="1">
        <f t="array" ref="P364">SUM(INDEX(_xlfn._xlws.FILTER($B$6:$L$2160, $B$6:$B$2160=N364), 0, 10))</f>
        <v>1413</v>
      </c>
      <c r="Q364" s="84" cm="1">
        <f t="array" ref="Q364">SUM(INDEX(_xlfn._xlws.FILTER($B$6:$L$2160, $B$6:$B$2160=N364), 0, 11))</f>
        <v>-282.60000000000002</v>
      </c>
    </row>
    <row r="365" spans="2:17" x14ac:dyDescent="0.2">
      <c r="B365">
        <v>10383</v>
      </c>
      <c r="C365">
        <v>56</v>
      </c>
      <c r="D365" s="84">
        <v>30.4</v>
      </c>
      <c r="E365">
        <v>20</v>
      </c>
      <c r="F365" s="85">
        <v>0</v>
      </c>
      <c r="G365" s="86">
        <f t="shared" si="25"/>
        <v>608</v>
      </c>
      <c r="H365" s="86">
        <f t="shared" si="26"/>
        <v>0</v>
      </c>
      <c r="I365" s="86">
        <f t="shared" si="27"/>
        <v>608</v>
      </c>
      <c r="J365" s="84">
        <f>VLOOKUP(C365, Products[], 6)</f>
        <v>38</v>
      </c>
      <c r="K365" s="86">
        <f t="shared" si="28"/>
        <v>760</v>
      </c>
      <c r="L365" s="86">
        <f t="shared" si="29"/>
        <v>-152</v>
      </c>
      <c r="N365">
        <v>10607</v>
      </c>
      <c r="O365" s="84" cm="1">
        <f t="array" ref="O365">SUM(INDEX(_xlfn._xlws.FILTER($B$6:$L$2160, $B$6:$B$2160=N365), 0, 8))</f>
        <v>6475.4000000000005</v>
      </c>
      <c r="P365" s="84" cm="1">
        <f t="array" ref="P365">SUM(INDEX(_xlfn._xlws.FILTER($B$6:$L$2160, $B$6:$B$2160=N365), 0, 10))</f>
        <v>6475.4000000000005</v>
      </c>
      <c r="Q365" s="84" cm="1">
        <f t="array" ref="Q365">SUM(INDEX(_xlfn._xlws.FILTER($B$6:$L$2160, $B$6:$B$2160=N365), 0, 11))</f>
        <v>0</v>
      </c>
    </row>
    <row r="366" spans="2:17" x14ac:dyDescent="0.2">
      <c r="B366">
        <v>10384</v>
      </c>
      <c r="C366">
        <v>20</v>
      </c>
      <c r="D366" s="84">
        <v>64.8</v>
      </c>
      <c r="E366">
        <v>28</v>
      </c>
      <c r="F366" s="85">
        <v>0</v>
      </c>
      <c r="G366" s="86">
        <f t="shared" si="25"/>
        <v>1814.3999999999999</v>
      </c>
      <c r="H366" s="86">
        <f t="shared" si="26"/>
        <v>0</v>
      </c>
      <c r="I366" s="86">
        <f t="shared" si="27"/>
        <v>1814.3999999999999</v>
      </c>
      <c r="J366" s="84">
        <f>VLOOKUP(C366, Products[], 6)</f>
        <v>81</v>
      </c>
      <c r="K366" s="86">
        <f t="shared" si="28"/>
        <v>2268</v>
      </c>
      <c r="L366" s="86">
        <f t="shared" si="29"/>
        <v>-453.60000000000014</v>
      </c>
      <c r="N366">
        <v>10608</v>
      </c>
      <c r="O366" s="84" cm="1">
        <f t="array" ref="O366">SUM(INDEX(_xlfn._xlws.FILTER($B$6:$L$2160, $B$6:$B$2160=N366), 0, 8))</f>
        <v>1064</v>
      </c>
      <c r="P366" s="84" cm="1">
        <f t="array" ref="P366">SUM(INDEX(_xlfn._xlws.FILTER($B$6:$L$2160, $B$6:$B$2160=N366), 0, 10))</f>
        <v>1064</v>
      </c>
      <c r="Q366" s="84" cm="1">
        <f t="array" ref="Q366">SUM(INDEX(_xlfn._xlws.FILTER($B$6:$L$2160, $B$6:$B$2160=N366), 0, 11))</f>
        <v>0</v>
      </c>
    </row>
    <row r="367" spans="2:17" x14ac:dyDescent="0.2">
      <c r="B367">
        <v>10384</v>
      </c>
      <c r="C367">
        <v>60</v>
      </c>
      <c r="D367" s="84">
        <v>27.2</v>
      </c>
      <c r="E367">
        <v>15</v>
      </c>
      <c r="F367" s="85">
        <v>0</v>
      </c>
      <c r="G367" s="86">
        <f t="shared" si="25"/>
        <v>408</v>
      </c>
      <c r="H367" s="86">
        <f t="shared" si="26"/>
        <v>0</v>
      </c>
      <c r="I367" s="86">
        <f t="shared" si="27"/>
        <v>408</v>
      </c>
      <c r="J367" s="84">
        <f>VLOOKUP(C367, Products[], 6)</f>
        <v>34</v>
      </c>
      <c r="K367" s="86">
        <f t="shared" si="28"/>
        <v>510</v>
      </c>
      <c r="L367" s="86">
        <f t="shared" si="29"/>
        <v>-102</v>
      </c>
      <c r="N367">
        <v>10609</v>
      </c>
      <c r="O367" s="84" cm="1">
        <f t="array" ref="O367">SUM(INDEX(_xlfn._xlws.FILTER($B$6:$L$2160, $B$6:$B$2160=N367), 0, 8))</f>
        <v>424</v>
      </c>
      <c r="P367" s="84" cm="1">
        <f t="array" ref="P367">SUM(INDEX(_xlfn._xlws.FILTER($B$6:$L$2160, $B$6:$B$2160=N367), 0, 10))</f>
        <v>424</v>
      </c>
      <c r="Q367" s="84" cm="1">
        <f t="array" ref="Q367">SUM(INDEX(_xlfn._xlws.FILTER($B$6:$L$2160, $B$6:$B$2160=N367), 0, 11))</f>
        <v>0</v>
      </c>
    </row>
    <row r="368" spans="2:17" x14ac:dyDescent="0.2">
      <c r="B368">
        <v>10385</v>
      </c>
      <c r="C368">
        <v>7</v>
      </c>
      <c r="D368" s="84">
        <v>24</v>
      </c>
      <c r="E368">
        <v>10</v>
      </c>
      <c r="F368" s="85">
        <v>0.2</v>
      </c>
      <c r="G368" s="86">
        <f t="shared" si="25"/>
        <v>240</v>
      </c>
      <c r="H368" s="86">
        <f t="shared" si="26"/>
        <v>48</v>
      </c>
      <c r="I368" s="86">
        <f t="shared" si="27"/>
        <v>192</v>
      </c>
      <c r="J368" s="84">
        <f>VLOOKUP(C368, Products[], 6)</f>
        <v>30</v>
      </c>
      <c r="K368" s="86">
        <f t="shared" si="28"/>
        <v>300</v>
      </c>
      <c r="L368" s="86">
        <f t="shared" si="29"/>
        <v>-108</v>
      </c>
      <c r="N368">
        <v>10610</v>
      </c>
      <c r="O368" s="84" cm="1">
        <f t="array" ref="O368">SUM(INDEX(_xlfn._xlws.FILTER($B$6:$L$2160, $B$6:$B$2160=N368), 0, 8))</f>
        <v>299.25</v>
      </c>
      <c r="P368" s="84" cm="1">
        <f t="array" ref="P368">SUM(INDEX(_xlfn._xlws.FILTER($B$6:$L$2160, $B$6:$B$2160=N368), 0, 10))</f>
        <v>399</v>
      </c>
      <c r="Q368" s="84" cm="1">
        <f t="array" ref="Q368">SUM(INDEX(_xlfn._xlws.FILTER($B$6:$L$2160, $B$6:$B$2160=N368), 0, 11))</f>
        <v>-99.75</v>
      </c>
    </row>
    <row r="369" spans="2:17" x14ac:dyDescent="0.2">
      <c r="B369">
        <v>10385</v>
      </c>
      <c r="C369">
        <v>60</v>
      </c>
      <c r="D369" s="84">
        <v>27.2</v>
      </c>
      <c r="E369">
        <v>20</v>
      </c>
      <c r="F369" s="85">
        <v>0.2</v>
      </c>
      <c r="G369" s="86">
        <f t="shared" si="25"/>
        <v>544</v>
      </c>
      <c r="H369" s="86">
        <f t="shared" si="26"/>
        <v>108.80000000000001</v>
      </c>
      <c r="I369" s="86">
        <f t="shared" si="27"/>
        <v>435.2</v>
      </c>
      <c r="J369" s="84">
        <f>VLOOKUP(C369, Products[], 6)</f>
        <v>34</v>
      </c>
      <c r="K369" s="86">
        <f t="shared" si="28"/>
        <v>680</v>
      </c>
      <c r="L369" s="86">
        <f t="shared" si="29"/>
        <v>-244.8</v>
      </c>
      <c r="N369">
        <v>10611</v>
      </c>
      <c r="O369" s="84" cm="1">
        <f t="array" ref="O369">SUM(INDEX(_xlfn._xlws.FILTER($B$6:$L$2160, $B$6:$B$2160=N369), 0, 8))</f>
        <v>808</v>
      </c>
      <c r="P369" s="84" cm="1">
        <f t="array" ref="P369">SUM(INDEX(_xlfn._xlws.FILTER($B$6:$L$2160, $B$6:$B$2160=N369), 0, 10))</f>
        <v>808</v>
      </c>
      <c r="Q369" s="84" cm="1">
        <f t="array" ref="Q369">SUM(INDEX(_xlfn._xlws.FILTER($B$6:$L$2160, $B$6:$B$2160=N369), 0, 11))</f>
        <v>0</v>
      </c>
    </row>
    <row r="370" spans="2:17" x14ac:dyDescent="0.2">
      <c r="B370">
        <v>10385</v>
      </c>
      <c r="C370">
        <v>68</v>
      </c>
      <c r="D370" s="84">
        <v>10</v>
      </c>
      <c r="E370">
        <v>8</v>
      </c>
      <c r="F370" s="85">
        <v>0.2</v>
      </c>
      <c r="G370" s="86">
        <f t="shared" si="25"/>
        <v>80</v>
      </c>
      <c r="H370" s="86">
        <f t="shared" si="26"/>
        <v>16</v>
      </c>
      <c r="I370" s="86">
        <f t="shared" si="27"/>
        <v>64</v>
      </c>
      <c r="J370" s="84">
        <f>VLOOKUP(C370, Products[], 6)</f>
        <v>12.5</v>
      </c>
      <c r="K370" s="86">
        <f t="shared" si="28"/>
        <v>100</v>
      </c>
      <c r="L370" s="86">
        <f t="shared" si="29"/>
        <v>-36</v>
      </c>
      <c r="N370">
        <v>10612</v>
      </c>
      <c r="O370" s="84" cm="1">
        <f t="array" ref="O370">SUM(INDEX(_xlfn._xlws.FILTER($B$6:$L$2160, $B$6:$B$2160=N370), 0, 8))</f>
        <v>6375</v>
      </c>
      <c r="P370" s="84" cm="1">
        <f t="array" ref="P370">SUM(INDEX(_xlfn._xlws.FILTER($B$6:$L$2160, $B$6:$B$2160=N370), 0, 10))</f>
        <v>6375</v>
      </c>
      <c r="Q370" s="84" cm="1">
        <f t="array" ref="Q370">SUM(INDEX(_xlfn._xlws.FILTER($B$6:$L$2160, $B$6:$B$2160=N370), 0, 11))</f>
        <v>0</v>
      </c>
    </row>
    <row r="371" spans="2:17" x14ac:dyDescent="0.2">
      <c r="B371">
        <v>10386</v>
      </c>
      <c r="C371">
        <v>24</v>
      </c>
      <c r="D371" s="84">
        <v>3.6</v>
      </c>
      <c r="E371">
        <v>15</v>
      </c>
      <c r="F371" s="85">
        <v>0</v>
      </c>
      <c r="G371" s="86">
        <f t="shared" si="25"/>
        <v>54</v>
      </c>
      <c r="H371" s="86">
        <f t="shared" si="26"/>
        <v>0</v>
      </c>
      <c r="I371" s="86">
        <f t="shared" si="27"/>
        <v>54</v>
      </c>
      <c r="J371" s="84">
        <f>VLOOKUP(C371, Products[], 6)</f>
        <v>4.5</v>
      </c>
      <c r="K371" s="86">
        <f t="shared" si="28"/>
        <v>67.5</v>
      </c>
      <c r="L371" s="86">
        <f t="shared" si="29"/>
        <v>-13.5</v>
      </c>
      <c r="N371">
        <v>10613</v>
      </c>
      <c r="O371" s="84" cm="1">
        <f t="array" ref="O371">SUM(INDEX(_xlfn._xlws.FILTER($B$6:$L$2160, $B$6:$B$2160=N371), 0, 8))</f>
        <v>353.2</v>
      </c>
      <c r="P371" s="84" cm="1">
        <f t="array" ref="P371">SUM(INDEX(_xlfn._xlws.FILTER($B$6:$L$2160, $B$6:$B$2160=N371), 0, 10))</f>
        <v>358</v>
      </c>
      <c r="Q371" s="84" cm="1">
        <f t="array" ref="Q371">SUM(INDEX(_xlfn._xlws.FILTER($B$6:$L$2160, $B$6:$B$2160=N371), 0, 11))</f>
        <v>-4.7999999999999972</v>
      </c>
    </row>
    <row r="372" spans="2:17" x14ac:dyDescent="0.2">
      <c r="B372">
        <v>10386</v>
      </c>
      <c r="C372">
        <v>34</v>
      </c>
      <c r="D372" s="84">
        <v>11.2</v>
      </c>
      <c r="E372">
        <v>10</v>
      </c>
      <c r="F372" s="85">
        <v>0</v>
      </c>
      <c r="G372" s="86">
        <f t="shared" si="25"/>
        <v>112</v>
      </c>
      <c r="H372" s="86">
        <f t="shared" si="26"/>
        <v>0</v>
      </c>
      <c r="I372" s="86">
        <f t="shared" si="27"/>
        <v>112</v>
      </c>
      <c r="J372" s="84">
        <f>VLOOKUP(C372, Products[], 6)</f>
        <v>14</v>
      </c>
      <c r="K372" s="86">
        <f t="shared" si="28"/>
        <v>140</v>
      </c>
      <c r="L372" s="86">
        <f t="shared" si="29"/>
        <v>-28</v>
      </c>
      <c r="N372">
        <v>10614</v>
      </c>
      <c r="O372" s="84" cm="1">
        <f t="array" ref="O372">SUM(INDEX(_xlfn._xlws.FILTER($B$6:$L$2160, $B$6:$B$2160=N372), 0, 8))</f>
        <v>464</v>
      </c>
      <c r="P372" s="84" cm="1">
        <f t="array" ref="P372">SUM(INDEX(_xlfn._xlws.FILTER($B$6:$L$2160, $B$6:$B$2160=N372), 0, 10))</f>
        <v>464</v>
      </c>
      <c r="Q372" s="84" cm="1">
        <f t="array" ref="Q372">SUM(INDEX(_xlfn._xlws.FILTER($B$6:$L$2160, $B$6:$B$2160=N372), 0, 11))</f>
        <v>0</v>
      </c>
    </row>
    <row r="373" spans="2:17" x14ac:dyDescent="0.2">
      <c r="B373">
        <v>10387</v>
      </c>
      <c r="C373">
        <v>24</v>
      </c>
      <c r="D373" s="84">
        <v>3.6</v>
      </c>
      <c r="E373">
        <v>15</v>
      </c>
      <c r="F373" s="85">
        <v>0</v>
      </c>
      <c r="G373" s="86">
        <f t="shared" si="25"/>
        <v>54</v>
      </c>
      <c r="H373" s="86">
        <f t="shared" si="26"/>
        <v>0</v>
      </c>
      <c r="I373" s="86">
        <f t="shared" si="27"/>
        <v>54</v>
      </c>
      <c r="J373" s="84">
        <f>VLOOKUP(C373, Products[], 6)</f>
        <v>4.5</v>
      </c>
      <c r="K373" s="86">
        <f t="shared" si="28"/>
        <v>67.5</v>
      </c>
      <c r="L373" s="86">
        <f t="shared" si="29"/>
        <v>-13.5</v>
      </c>
      <c r="N373">
        <v>10615</v>
      </c>
      <c r="O373" s="84" cm="1">
        <f t="array" ref="O373">SUM(INDEX(_xlfn._xlws.FILTER($B$6:$L$2160, $B$6:$B$2160=N373), 0, 8))</f>
        <v>120</v>
      </c>
      <c r="P373" s="84" cm="1">
        <f t="array" ref="P373">SUM(INDEX(_xlfn._xlws.FILTER($B$6:$L$2160, $B$6:$B$2160=N373), 0, 10))</f>
        <v>120</v>
      </c>
      <c r="Q373" s="84" cm="1">
        <f t="array" ref="Q373">SUM(INDEX(_xlfn._xlws.FILTER($B$6:$L$2160, $B$6:$B$2160=N373), 0, 11))</f>
        <v>0</v>
      </c>
    </row>
    <row r="374" spans="2:17" x14ac:dyDescent="0.2">
      <c r="B374">
        <v>10387</v>
      </c>
      <c r="C374">
        <v>28</v>
      </c>
      <c r="D374" s="84">
        <v>36.4</v>
      </c>
      <c r="E374">
        <v>6</v>
      </c>
      <c r="F374" s="85">
        <v>0</v>
      </c>
      <c r="G374" s="86">
        <f t="shared" si="25"/>
        <v>218.39999999999998</v>
      </c>
      <c r="H374" s="86">
        <f t="shared" si="26"/>
        <v>0</v>
      </c>
      <c r="I374" s="86">
        <f t="shared" si="27"/>
        <v>218.39999999999998</v>
      </c>
      <c r="J374" s="84">
        <f>VLOOKUP(C374, Products[], 6)</f>
        <v>45.6</v>
      </c>
      <c r="K374" s="86">
        <f t="shared" si="28"/>
        <v>273.60000000000002</v>
      </c>
      <c r="L374" s="86">
        <f t="shared" si="29"/>
        <v>-55.200000000000045</v>
      </c>
      <c r="N374">
        <v>10616</v>
      </c>
      <c r="O374" s="84" cm="1">
        <f t="array" ref="O374">SUM(INDEX(_xlfn._xlws.FILTER($B$6:$L$2160, $B$6:$B$2160=N374), 0, 8))</f>
        <v>4807</v>
      </c>
      <c r="P374" s="84" cm="1">
        <f t="array" ref="P374">SUM(INDEX(_xlfn._xlws.FILTER($B$6:$L$2160, $B$6:$B$2160=N374), 0, 10))</f>
        <v>5032</v>
      </c>
      <c r="Q374" s="84" cm="1">
        <f t="array" ref="Q374">SUM(INDEX(_xlfn._xlws.FILTER($B$6:$L$2160, $B$6:$B$2160=N374), 0, 11))</f>
        <v>-225</v>
      </c>
    </row>
    <row r="375" spans="2:17" x14ac:dyDescent="0.2">
      <c r="B375">
        <v>10387</v>
      </c>
      <c r="C375">
        <v>59</v>
      </c>
      <c r="D375" s="84">
        <v>44</v>
      </c>
      <c r="E375">
        <v>12</v>
      </c>
      <c r="F375" s="85">
        <v>0</v>
      </c>
      <c r="G375" s="86">
        <f t="shared" si="25"/>
        <v>528</v>
      </c>
      <c r="H375" s="86">
        <f t="shared" si="26"/>
        <v>0</v>
      </c>
      <c r="I375" s="86">
        <f t="shared" si="27"/>
        <v>528</v>
      </c>
      <c r="J375" s="84">
        <f>VLOOKUP(C375, Products[], 6)</f>
        <v>55</v>
      </c>
      <c r="K375" s="86">
        <f t="shared" si="28"/>
        <v>660</v>
      </c>
      <c r="L375" s="86">
        <f t="shared" si="29"/>
        <v>-132</v>
      </c>
      <c r="N375">
        <v>10617</v>
      </c>
      <c r="O375" s="84" cm="1">
        <f t="array" ref="O375">SUM(INDEX(_xlfn._xlws.FILTER($B$6:$L$2160, $B$6:$B$2160=N375), 0, 8))</f>
        <v>1402.5</v>
      </c>
      <c r="P375" s="84" cm="1">
        <f t="array" ref="P375">SUM(INDEX(_xlfn._xlws.FILTER($B$6:$L$2160, $B$6:$B$2160=N375), 0, 10))</f>
        <v>1650</v>
      </c>
      <c r="Q375" s="84" cm="1">
        <f t="array" ref="Q375">SUM(INDEX(_xlfn._xlws.FILTER($B$6:$L$2160, $B$6:$B$2160=N375), 0, 11))</f>
        <v>-247.5</v>
      </c>
    </row>
    <row r="376" spans="2:17" x14ac:dyDescent="0.2">
      <c r="B376">
        <v>10387</v>
      </c>
      <c r="C376">
        <v>71</v>
      </c>
      <c r="D376" s="84">
        <v>17.2</v>
      </c>
      <c r="E376">
        <v>15</v>
      </c>
      <c r="F376" s="85">
        <v>0</v>
      </c>
      <c r="G376" s="86">
        <f t="shared" si="25"/>
        <v>258</v>
      </c>
      <c r="H376" s="86">
        <f t="shared" si="26"/>
        <v>0</v>
      </c>
      <c r="I376" s="86">
        <f t="shared" si="27"/>
        <v>258</v>
      </c>
      <c r="J376" s="84">
        <f>VLOOKUP(C376, Products[], 6)</f>
        <v>21.5</v>
      </c>
      <c r="K376" s="86">
        <f t="shared" si="28"/>
        <v>322.5</v>
      </c>
      <c r="L376" s="86">
        <f t="shared" si="29"/>
        <v>-64.5</v>
      </c>
      <c r="N376">
        <v>10618</v>
      </c>
      <c r="O376" s="84" cm="1">
        <f t="array" ref="O376">SUM(INDEX(_xlfn._xlws.FILTER($B$6:$L$2160, $B$6:$B$2160=N376), 0, 8))</f>
        <v>2697.5</v>
      </c>
      <c r="P376" s="84" cm="1">
        <f t="array" ref="P376">SUM(INDEX(_xlfn._xlws.FILTER($B$6:$L$2160, $B$6:$B$2160=N376), 0, 10))</f>
        <v>2697.5</v>
      </c>
      <c r="Q376" s="84" cm="1">
        <f t="array" ref="Q376">SUM(INDEX(_xlfn._xlws.FILTER($B$6:$L$2160, $B$6:$B$2160=N376), 0, 11))</f>
        <v>0</v>
      </c>
    </row>
    <row r="377" spans="2:17" x14ac:dyDescent="0.2">
      <c r="B377">
        <v>10388</v>
      </c>
      <c r="C377">
        <v>45</v>
      </c>
      <c r="D377" s="84">
        <v>7.6</v>
      </c>
      <c r="E377">
        <v>15</v>
      </c>
      <c r="F377" s="85">
        <v>0.2</v>
      </c>
      <c r="G377" s="86">
        <f t="shared" si="25"/>
        <v>114</v>
      </c>
      <c r="H377" s="86">
        <f t="shared" si="26"/>
        <v>22.8</v>
      </c>
      <c r="I377" s="86">
        <f t="shared" si="27"/>
        <v>91.2</v>
      </c>
      <c r="J377" s="84">
        <f>VLOOKUP(C377, Products[], 6)</f>
        <v>9.5</v>
      </c>
      <c r="K377" s="86">
        <f t="shared" si="28"/>
        <v>142.5</v>
      </c>
      <c r="L377" s="86">
        <f t="shared" si="29"/>
        <v>-51.3</v>
      </c>
      <c r="N377">
        <v>10619</v>
      </c>
      <c r="O377" s="84" cm="1">
        <f t="array" ref="O377">SUM(INDEX(_xlfn._xlws.FILTER($B$6:$L$2160, $B$6:$B$2160=N377), 0, 8))</f>
        <v>1260</v>
      </c>
      <c r="P377" s="84" cm="1">
        <f t="array" ref="P377">SUM(INDEX(_xlfn._xlws.FILTER($B$6:$L$2160, $B$6:$B$2160=N377), 0, 10))</f>
        <v>1260</v>
      </c>
      <c r="Q377" s="84" cm="1">
        <f t="array" ref="Q377">SUM(INDEX(_xlfn._xlws.FILTER($B$6:$L$2160, $B$6:$B$2160=N377), 0, 11))</f>
        <v>0</v>
      </c>
    </row>
    <row r="378" spans="2:17" x14ac:dyDescent="0.2">
      <c r="B378">
        <v>10388</v>
      </c>
      <c r="C378">
        <v>52</v>
      </c>
      <c r="D378" s="84">
        <v>5.6</v>
      </c>
      <c r="E378">
        <v>20</v>
      </c>
      <c r="F378" s="85">
        <v>0.2</v>
      </c>
      <c r="G378" s="86">
        <f t="shared" si="25"/>
        <v>112</v>
      </c>
      <c r="H378" s="86">
        <f t="shared" si="26"/>
        <v>22.400000000000002</v>
      </c>
      <c r="I378" s="86">
        <f t="shared" si="27"/>
        <v>89.6</v>
      </c>
      <c r="J378" s="84">
        <f>VLOOKUP(C378, Products[], 6)</f>
        <v>7</v>
      </c>
      <c r="K378" s="86">
        <f t="shared" si="28"/>
        <v>140</v>
      </c>
      <c r="L378" s="86">
        <f t="shared" si="29"/>
        <v>-50.400000000000006</v>
      </c>
      <c r="N378">
        <v>10620</v>
      </c>
      <c r="O378" s="84" cm="1">
        <f t="array" ref="O378">SUM(INDEX(_xlfn._xlws.FILTER($B$6:$L$2160, $B$6:$B$2160=N378), 0, 8))</f>
        <v>57.5</v>
      </c>
      <c r="P378" s="84" cm="1">
        <f t="array" ref="P378">SUM(INDEX(_xlfn._xlws.FILTER($B$6:$L$2160, $B$6:$B$2160=N378), 0, 10))</f>
        <v>57.5</v>
      </c>
      <c r="Q378" s="84" cm="1">
        <f t="array" ref="Q378">SUM(INDEX(_xlfn._xlws.FILTER($B$6:$L$2160, $B$6:$B$2160=N378), 0, 11))</f>
        <v>0</v>
      </c>
    </row>
    <row r="379" spans="2:17" x14ac:dyDescent="0.2">
      <c r="B379">
        <v>10388</v>
      </c>
      <c r="C379">
        <v>53</v>
      </c>
      <c r="D379" s="84">
        <v>26.2</v>
      </c>
      <c r="E379">
        <v>40</v>
      </c>
      <c r="F379" s="85">
        <v>0</v>
      </c>
      <c r="G379" s="86">
        <f t="shared" si="25"/>
        <v>1048</v>
      </c>
      <c r="H379" s="86">
        <f t="shared" si="26"/>
        <v>0</v>
      </c>
      <c r="I379" s="86">
        <f t="shared" si="27"/>
        <v>1048</v>
      </c>
      <c r="J379" s="84">
        <f>VLOOKUP(C379, Products[], 6)</f>
        <v>32.799999999999997</v>
      </c>
      <c r="K379" s="86">
        <f t="shared" si="28"/>
        <v>1312</v>
      </c>
      <c r="L379" s="86">
        <f t="shared" si="29"/>
        <v>-264</v>
      </c>
      <c r="N379">
        <v>10621</v>
      </c>
      <c r="O379" s="84" cm="1">
        <f t="array" ref="O379">SUM(INDEX(_xlfn._xlws.FILTER($B$6:$L$2160, $B$6:$B$2160=N379), 0, 8))</f>
        <v>758.5</v>
      </c>
      <c r="P379" s="84" cm="1">
        <f t="array" ref="P379">SUM(INDEX(_xlfn._xlws.FILTER($B$6:$L$2160, $B$6:$B$2160=N379), 0, 10))</f>
        <v>758.5</v>
      </c>
      <c r="Q379" s="84" cm="1">
        <f t="array" ref="Q379">SUM(INDEX(_xlfn._xlws.FILTER($B$6:$L$2160, $B$6:$B$2160=N379), 0, 11))</f>
        <v>0</v>
      </c>
    </row>
    <row r="380" spans="2:17" x14ac:dyDescent="0.2">
      <c r="B380">
        <v>10389</v>
      </c>
      <c r="C380">
        <v>10</v>
      </c>
      <c r="D380" s="84">
        <v>24.8</v>
      </c>
      <c r="E380">
        <v>16</v>
      </c>
      <c r="F380" s="85">
        <v>0</v>
      </c>
      <c r="G380" s="86">
        <f t="shared" si="25"/>
        <v>396.8</v>
      </c>
      <c r="H380" s="86">
        <f t="shared" si="26"/>
        <v>0</v>
      </c>
      <c r="I380" s="86">
        <f t="shared" si="27"/>
        <v>396.8</v>
      </c>
      <c r="J380" s="84">
        <f>VLOOKUP(C380, Products[], 6)</f>
        <v>31</v>
      </c>
      <c r="K380" s="86">
        <f t="shared" si="28"/>
        <v>496</v>
      </c>
      <c r="L380" s="86">
        <f t="shared" si="29"/>
        <v>-99.199999999999989</v>
      </c>
      <c r="N380">
        <v>10622</v>
      </c>
      <c r="O380" s="84" cm="1">
        <f t="array" ref="O380">SUM(INDEX(_xlfn._xlws.FILTER($B$6:$L$2160, $B$6:$B$2160=N380), 0, 8))</f>
        <v>560</v>
      </c>
      <c r="P380" s="84" cm="1">
        <f t="array" ref="P380">SUM(INDEX(_xlfn._xlws.FILTER($B$6:$L$2160, $B$6:$B$2160=N380), 0, 10))</f>
        <v>605</v>
      </c>
      <c r="Q380" s="84" cm="1">
        <f t="array" ref="Q380">SUM(INDEX(_xlfn._xlws.FILTER($B$6:$L$2160, $B$6:$B$2160=N380), 0, 11))</f>
        <v>-45</v>
      </c>
    </row>
    <row r="381" spans="2:17" x14ac:dyDescent="0.2">
      <c r="B381">
        <v>10389</v>
      </c>
      <c r="C381">
        <v>55</v>
      </c>
      <c r="D381" s="84">
        <v>19.2</v>
      </c>
      <c r="E381">
        <v>15</v>
      </c>
      <c r="F381" s="85">
        <v>0</v>
      </c>
      <c r="G381" s="86">
        <f t="shared" si="25"/>
        <v>288</v>
      </c>
      <c r="H381" s="86">
        <f t="shared" si="26"/>
        <v>0</v>
      </c>
      <c r="I381" s="86">
        <f t="shared" si="27"/>
        <v>288</v>
      </c>
      <c r="J381" s="84">
        <f>VLOOKUP(C381, Products[], 6)</f>
        <v>24</v>
      </c>
      <c r="K381" s="86">
        <f t="shared" si="28"/>
        <v>360</v>
      </c>
      <c r="L381" s="86">
        <f t="shared" si="29"/>
        <v>-72</v>
      </c>
      <c r="N381">
        <v>10623</v>
      </c>
      <c r="O381" s="84" cm="1">
        <f t="array" ref="O381">SUM(INDEX(_xlfn._xlws.FILTER($B$6:$L$2160, $B$6:$B$2160=N381), 0, 8))</f>
        <v>1336.95</v>
      </c>
      <c r="P381" s="84" cm="1">
        <f t="array" ref="P381">SUM(INDEX(_xlfn._xlws.FILTER($B$6:$L$2160, $B$6:$B$2160=N381), 0, 10))</f>
        <v>1429.75</v>
      </c>
      <c r="Q381" s="84" cm="1">
        <f t="array" ref="Q381">SUM(INDEX(_xlfn._xlws.FILTER($B$6:$L$2160, $B$6:$B$2160=N381), 0, 11))</f>
        <v>-92.8</v>
      </c>
    </row>
    <row r="382" spans="2:17" x14ac:dyDescent="0.2">
      <c r="B382">
        <v>10389</v>
      </c>
      <c r="C382">
        <v>62</v>
      </c>
      <c r="D382" s="84">
        <v>39.4</v>
      </c>
      <c r="E382">
        <v>20</v>
      </c>
      <c r="F382" s="85">
        <v>0</v>
      </c>
      <c r="G382" s="86">
        <f t="shared" si="25"/>
        <v>788</v>
      </c>
      <c r="H382" s="86">
        <f t="shared" si="26"/>
        <v>0</v>
      </c>
      <c r="I382" s="86">
        <f t="shared" si="27"/>
        <v>788</v>
      </c>
      <c r="J382" s="84">
        <f>VLOOKUP(C382, Products[], 6)</f>
        <v>49.3</v>
      </c>
      <c r="K382" s="86">
        <f t="shared" si="28"/>
        <v>986</v>
      </c>
      <c r="L382" s="86">
        <f t="shared" si="29"/>
        <v>-198</v>
      </c>
      <c r="N382">
        <v>10624</v>
      </c>
      <c r="O382" s="84" cm="1">
        <f t="array" ref="O382">SUM(INDEX(_xlfn._xlws.FILTER($B$6:$L$2160, $B$6:$B$2160=N382), 0, 8))</f>
        <v>1393.24</v>
      </c>
      <c r="P382" s="84" cm="1">
        <f t="array" ref="P382">SUM(INDEX(_xlfn._xlws.FILTER($B$6:$L$2160, $B$6:$B$2160=N382), 0, 10))</f>
        <v>1393.24</v>
      </c>
      <c r="Q382" s="84" cm="1">
        <f t="array" ref="Q382">SUM(INDEX(_xlfn._xlws.FILTER($B$6:$L$2160, $B$6:$B$2160=N382), 0, 11))</f>
        <v>0</v>
      </c>
    </row>
    <row r="383" spans="2:17" x14ac:dyDescent="0.2">
      <c r="B383">
        <v>10389</v>
      </c>
      <c r="C383">
        <v>70</v>
      </c>
      <c r="D383" s="84">
        <v>12</v>
      </c>
      <c r="E383">
        <v>30</v>
      </c>
      <c r="F383" s="85">
        <v>0</v>
      </c>
      <c r="G383" s="86">
        <f t="shared" si="25"/>
        <v>360</v>
      </c>
      <c r="H383" s="86">
        <f t="shared" si="26"/>
        <v>0</v>
      </c>
      <c r="I383" s="86">
        <f t="shared" si="27"/>
        <v>360</v>
      </c>
      <c r="J383" s="84">
        <f>VLOOKUP(C383, Products[], 6)</f>
        <v>15</v>
      </c>
      <c r="K383" s="86">
        <f t="shared" si="28"/>
        <v>450</v>
      </c>
      <c r="L383" s="86">
        <f t="shared" si="29"/>
        <v>-90</v>
      </c>
      <c r="N383">
        <v>10625</v>
      </c>
      <c r="O383" s="84" cm="1">
        <f t="array" ref="O383">SUM(INDEX(_xlfn._xlws.FILTER($B$6:$L$2160, $B$6:$B$2160=N383), 0, 8))</f>
        <v>479.75</v>
      </c>
      <c r="P383" s="84" cm="1">
        <f t="array" ref="P383">SUM(INDEX(_xlfn._xlws.FILTER($B$6:$L$2160, $B$6:$B$2160=N383), 0, 10))</f>
        <v>479.75</v>
      </c>
      <c r="Q383" s="84" cm="1">
        <f t="array" ref="Q383">SUM(INDEX(_xlfn._xlws.FILTER($B$6:$L$2160, $B$6:$B$2160=N383), 0, 11))</f>
        <v>0</v>
      </c>
    </row>
    <row r="384" spans="2:17" x14ac:dyDescent="0.2">
      <c r="B384">
        <v>10390</v>
      </c>
      <c r="C384">
        <v>31</v>
      </c>
      <c r="D384" s="84">
        <v>10</v>
      </c>
      <c r="E384">
        <v>60</v>
      </c>
      <c r="F384" s="85">
        <v>0.1</v>
      </c>
      <c r="G384" s="86">
        <f t="shared" si="25"/>
        <v>600</v>
      </c>
      <c r="H384" s="86">
        <f t="shared" si="26"/>
        <v>60</v>
      </c>
      <c r="I384" s="86">
        <f t="shared" si="27"/>
        <v>540</v>
      </c>
      <c r="J384" s="84">
        <f>VLOOKUP(C384, Products[], 6)</f>
        <v>12.5</v>
      </c>
      <c r="K384" s="86">
        <f t="shared" si="28"/>
        <v>750</v>
      </c>
      <c r="L384" s="86">
        <f t="shared" si="29"/>
        <v>-210</v>
      </c>
      <c r="N384">
        <v>10626</v>
      </c>
      <c r="O384" s="84" cm="1">
        <f t="array" ref="O384">SUM(INDEX(_xlfn._xlws.FILTER($B$6:$L$2160, $B$6:$B$2160=N384), 0, 8))</f>
        <v>1503.6</v>
      </c>
      <c r="P384" s="84" cm="1">
        <f t="array" ref="P384">SUM(INDEX(_xlfn._xlws.FILTER($B$6:$L$2160, $B$6:$B$2160=N384), 0, 10))</f>
        <v>1503.6</v>
      </c>
      <c r="Q384" s="84" cm="1">
        <f t="array" ref="Q384">SUM(INDEX(_xlfn._xlws.FILTER($B$6:$L$2160, $B$6:$B$2160=N384), 0, 11))</f>
        <v>0</v>
      </c>
    </row>
    <row r="385" spans="2:17" x14ac:dyDescent="0.2">
      <c r="B385">
        <v>10390</v>
      </c>
      <c r="C385">
        <v>35</v>
      </c>
      <c r="D385" s="84">
        <v>14.4</v>
      </c>
      <c r="E385">
        <v>40</v>
      </c>
      <c r="F385" s="85">
        <v>0.1</v>
      </c>
      <c r="G385" s="86">
        <f t="shared" si="25"/>
        <v>576</v>
      </c>
      <c r="H385" s="86">
        <f t="shared" si="26"/>
        <v>57.6</v>
      </c>
      <c r="I385" s="86">
        <f t="shared" si="27"/>
        <v>518.4</v>
      </c>
      <c r="J385" s="84">
        <f>VLOOKUP(C385, Products[], 6)</f>
        <v>18</v>
      </c>
      <c r="K385" s="86">
        <f t="shared" si="28"/>
        <v>720</v>
      </c>
      <c r="L385" s="86">
        <f t="shared" si="29"/>
        <v>-201.60000000000002</v>
      </c>
      <c r="N385">
        <v>10627</v>
      </c>
      <c r="O385" s="84" cm="1">
        <f t="array" ref="O385">SUM(INDEX(_xlfn._xlws.FILTER($B$6:$L$2160, $B$6:$B$2160=N385), 0, 8))</f>
        <v>1185.75</v>
      </c>
      <c r="P385" s="84" cm="1">
        <f t="array" ref="P385">SUM(INDEX(_xlfn._xlws.FILTER($B$6:$L$2160, $B$6:$B$2160=N385), 0, 10))</f>
        <v>1264.5</v>
      </c>
      <c r="Q385" s="84" cm="1">
        <f t="array" ref="Q385">SUM(INDEX(_xlfn._xlws.FILTER($B$6:$L$2160, $B$6:$B$2160=N385), 0, 11))</f>
        <v>-78.75</v>
      </c>
    </row>
    <row r="386" spans="2:17" x14ac:dyDescent="0.2">
      <c r="B386">
        <v>10390</v>
      </c>
      <c r="C386">
        <v>46</v>
      </c>
      <c r="D386" s="84">
        <v>9.6</v>
      </c>
      <c r="E386">
        <v>45</v>
      </c>
      <c r="F386" s="85">
        <v>0</v>
      </c>
      <c r="G386" s="86">
        <f t="shared" si="25"/>
        <v>432</v>
      </c>
      <c r="H386" s="86">
        <f t="shared" si="26"/>
        <v>0</v>
      </c>
      <c r="I386" s="86">
        <f t="shared" si="27"/>
        <v>432</v>
      </c>
      <c r="J386" s="84">
        <f>VLOOKUP(C386, Products[], 6)</f>
        <v>12</v>
      </c>
      <c r="K386" s="86">
        <f t="shared" si="28"/>
        <v>540</v>
      </c>
      <c r="L386" s="86">
        <f t="shared" si="29"/>
        <v>-108</v>
      </c>
      <c r="N386">
        <v>10628</v>
      </c>
      <c r="O386" s="84" cm="1">
        <f t="array" ref="O386">SUM(INDEX(_xlfn._xlws.FILTER($B$6:$L$2160, $B$6:$B$2160=N386), 0, 8))</f>
        <v>450</v>
      </c>
      <c r="P386" s="84" cm="1">
        <f t="array" ref="P386">SUM(INDEX(_xlfn._xlws.FILTER($B$6:$L$2160, $B$6:$B$2160=N386), 0, 10))</f>
        <v>450</v>
      </c>
      <c r="Q386" s="84" cm="1">
        <f t="array" ref="Q386">SUM(INDEX(_xlfn._xlws.FILTER($B$6:$L$2160, $B$6:$B$2160=N386), 0, 11))</f>
        <v>0</v>
      </c>
    </row>
    <row r="387" spans="2:17" x14ac:dyDescent="0.2">
      <c r="B387">
        <v>10390</v>
      </c>
      <c r="C387">
        <v>72</v>
      </c>
      <c r="D387" s="84">
        <v>27.8</v>
      </c>
      <c r="E387">
        <v>24</v>
      </c>
      <c r="F387" s="85">
        <v>0.1</v>
      </c>
      <c r="G387" s="86">
        <f t="shared" si="25"/>
        <v>667.2</v>
      </c>
      <c r="H387" s="86">
        <f t="shared" si="26"/>
        <v>66.720000000000013</v>
      </c>
      <c r="I387" s="86">
        <f t="shared" si="27"/>
        <v>600.48</v>
      </c>
      <c r="J387" s="84">
        <f>VLOOKUP(C387, Products[], 6)</f>
        <v>34.799999999999997</v>
      </c>
      <c r="K387" s="86">
        <f t="shared" si="28"/>
        <v>835.19999999999993</v>
      </c>
      <c r="L387" s="86">
        <f t="shared" si="29"/>
        <v>-234.71999999999991</v>
      </c>
      <c r="N387">
        <v>10629</v>
      </c>
      <c r="O387" s="84" cm="1">
        <f t="array" ref="O387">SUM(INDEX(_xlfn._xlws.FILTER($B$6:$L$2160, $B$6:$B$2160=N387), 0, 8))</f>
        <v>2775.05</v>
      </c>
      <c r="P387" s="84" cm="1">
        <f t="array" ref="P387">SUM(INDEX(_xlfn._xlws.FILTER($B$6:$L$2160, $B$6:$B$2160=N387), 0, 10))</f>
        <v>2775.05</v>
      </c>
      <c r="Q387" s="84" cm="1">
        <f t="array" ref="Q387">SUM(INDEX(_xlfn._xlws.FILTER($B$6:$L$2160, $B$6:$B$2160=N387), 0, 11))</f>
        <v>0</v>
      </c>
    </row>
    <row r="388" spans="2:17" x14ac:dyDescent="0.2">
      <c r="B388">
        <v>10391</v>
      </c>
      <c r="C388">
        <v>13</v>
      </c>
      <c r="D388" s="84">
        <v>4.8</v>
      </c>
      <c r="E388">
        <v>18</v>
      </c>
      <c r="F388" s="85">
        <v>0</v>
      </c>
      <c r="G388" s="86">
        <f t="shared" si="25"/>
        <v>86.399999999999991</v>
      </c>
      <c r="H388" s="86">
        <f t="shared" si="26"/>
        <v>0</v>
      </c>
      <c r="I388" s="86">
        <f t="shared" si="27"/>
        <v>86.399999999999991</v>
      </c>
      <c r="J388" s="84">
        <f>VLOOKUP(C388, Products[], 6)</f>
        <v>6</v>
      </c>
      <c r="K388" s="86">
        <f t="shared" si="28"/>
        <v>108</v>
      </c>
      <c r="L388" s="86">
        <f t="shared" si="29"/>
        <v>-21.600000000000009</v>
      </c>
      <c r="N388">
        <v>10630</v>
      </c>
      <c r="O388" s="84" cm="1">
        <f t="array" ref="O388">SUM(INDEX(_xlfn._xlws.FILTER($B$6:$L$2160, $B$6:$B$2160=N388), 0, 8))</f>
        <v>903.6</v>
      </c>
      <c r="P388" s="84" cm="1">
        <f t="array" ref="P388">SUM(INDEX(_xlfn._xlws.FILTER($B$6:$L$2160, $B$6:$B$2160=N388), 0, 10))</f>
        <v>918</v>
      </c>
      <c r="Q388" s="84" cm="1">
        <f t="array" ref="Q388">SUM(INDEX(_xlfn._xlws.FILTER($B$6:$L$2160, $B$6:$B$2160=N388), 0, 11))</f>
        <v>-14.399999999999977</v>
      </c>
    </row>
    <row r="389" spans="2:17" x14ac:dyDescent="0.2">
      <c r="B389">
        <v>10392</v>
      </c>
      <c r="C389">
        <v>69</v>
      </c>
      <c r="D389" s="84">
        <v>28.8</v>
      </c>
      <c r="E389">
        <v>50</v>
      </c>
      <c r="F389" s="85">
        <v>0</v>
      </c>
      <c r="G389" s="86">
        <f t="shared" si="25"/>
        <v>1440</v>
      </c>
      <c r="H389" s="86">
        <f t="shared" si="26"/>
        <v>0</v>
      </c>
      <c r="I389" s="86">
        <f t="shared" si="27"/>
        <v>1440</v>
      </c>
      <c r="J389" s="84">
        <f>VLOOKUP(C389, Products[], 6)</f>
        <v>36</v>
      </c>
      <c r="K389" s="86">
        <f t="shared" si="28"/>
        <v>1800</v>
      </c>
      <c r="L389" s="86">
        <f t="shared" si="29"/>
        <v>-360</v>
      </c>
      <c r="N389">
        <v>10631</v>
      </c>
      <c r="O389" s="84" cm="1">
        <f t="array" ref="O389">SUM(INDEX(_xlfn._xlws.FILTER($B$6:$L$2160, $B$6:$B$2160=N389), 0, 8))</f>
        <v>55.8</v>
      </c>
      <c r="P389" s="84" cm="1">
        <f t="array" ref="P389">SUM(INDEX(_xlfn._xlws.FILTER($B$6:$L$2160, $B$6:$B$2160=N389), 0, 10))</f>
        <v>62</v>
      </c>
      <c r="Q389" s="84" cm="1">
        <f t="array" ref="Q389">SUM(INDEX(_xlfn._xlws.FILTER($B$6:$L$2160, $B$6:$B$2160=N389), 0, 11))</f>
        <v>-6.2000000000000028</v>
      </c>
    </row>
    <row r="390" spans="2:17" x14ac:dyDescent="0.2">
      <c r="B390">
        <v>10393</v>
      </c>
      <c r="C390">
        <v>2</v>
      </c>
      <c r="D390" s="84">
        <v>15.2</v>
      </c>
      <c r="E390">
        <v>25</v>
      </c>
      <c r="F390" s="85">
        <v>0.25</v>
      </c>
      <c r="G390" s="86">
        <f t="shared" si="25"/>
        <v>380</v>
      </c>
      <c r="H390" s="86">
        <f t="shared" si="26"/>
        <v>95</v>
      </c>
      <c r="I390" s="86">
        <f t="shared" si="27"/>
        <v>285</v>
      </c>
      <c r="J390" s="84">
        <f>VLOOKUP(C390, Products[], 6)</f>
        <v>19</v>
      </c>
      <c r="K390" s="86">
        <f t="shared" si="28"/>
        <v>475</v>
      </c>
      <c r="L390" s="86">
        <f t="shared" si="29"/>
        <v>-190</v>
      </c>
      <c r="N390">
        <v>10632</v>
      </c>
      <c r="O390" s="84" cm="1">
        <f t="array" ref="O390">SUM(INDEX(_xlfn._xlws.FILTER($B$6:$L$2160, $B$6:$B$2160=N390), 0, 8))</f>
        <v>589</v>
      </c>
      <c r="P390" s="84" cm="1">
        <f t="array" ref="P390">SUM(INDEX(_xlfn._xlws.FILTER($B$6:$L$2160, $B$6:$B$2160=N390), 0, 10))</f>
        <v>620</v>
      </c>
      <c r="Q390" s="84" cm="1">
        <f t="array" ref="Q390">SUM(INDEX(_xlfn._xlws.FILTER($B$6:$L$2160, $B$6:$B$2160=N390), 0, 11))</f>
        <v>-31</v>
      </c>
    </row>
    <row r="391" spans="2:17" x14ac:dyDescent="0.2">
      <c r="B391">
        <v>10393</v>
      </c>
      <c r="C391">
        <v>14</v>
      </c>
      <c r="D391" s="84">
        <v>18.600000000000001</v>
      </c>
      <c r="E391">
        <v>42</v>
      </c>
      <c r="F391" s="85">
        <v>0.25</v>
      </c>
      <c r="G391" s="86">
        <f t="shared" ref="G391:G454" si="30">D391*E391</f>
        <v>781.2</v>
      </c>
      <c r="H391" s="86">
        <f t="shared" ref="H391:H454" si="31">G391*F391</f>
        <v>195.3</v>
      </c>
      <c r="I391" s="86">
        <f t="shared" ref="I391:I454" si="32">G391-H391</f>
        <v>585.90000000000009</v>
      </c>
      <c r="J391" s="84">
        <f>VLOOKUP(C391, Products[], 6)</f>
        <v>23.25</v>
      </c>
      <c r="K391" s="86">
        <f t="shared" ref="K391:K454" si="33">J391*E391</f>
        <v>976.5</v>
      </c>
      <c r="L391" s="86">
        <f t="shared" ref="L391:L454" si="34">I391-K391</f>
        <v>-390.59999999999991</v>
      </c>
      <c r="N391">
        <v>10633</v>
      </c>
      <c r="O391" s="84" cm="1">
        <f t="array" ref="O391">SUM(INDEX(_xlfn._xlws.FILTER($B$6:$L$2160, $B$6:$B$2160=N391), 0, 8))</f>
        <v>5510.5925000000007</v>
      </c>
      <c r="P391" s="84" cm="1">
        <f t="array" ref="P391">SUM(INDEX(_xlfn._xlws.FILTER($B$6:$L$2160, $B$6:$B$2160=N391), 0, 10))</f>
        <v>6483.05</v>
      </c>
      <c r="Q391" s="84" cm="1">
        <f t="array" ref="Q391">SUM(INDEX(_xlfn._xlws.FILTER($B$6:$L$2160, $B$6:$B$2160=N391), 0, 11))</f>
        <v>-972.45749999999998</v>
      </c>
    </row>
    <row r="392" spans="2:17" x14ac:dyDescent="0.2">
      <c r="B392">
        <v>10393</v>
      </c>
      <c r="C392">
        <v>25</v>
      </c>
      <c r="D392" s="84">
        <v>11.2</v>
      </c>
      <c r="E392">
        <v>7</v>
      </c>
      <c r="F392" s="85">
        <v>0.25</v>
      </c>
      <c r="G392" s="86">
        <f t="shared" si="30"/>
        <v>78.399999999999991</v>
      </c>
      <c r="H392" s="86">
        <f t="shared" si="31"/>
        <v>19.599999999999998</v>
      </c>
      <c r="I392" s="86">
        <f t="shared" si="32"/>
        <v>58.8</v>
      </c>
      <c r="J392" s="84">
        <f>VLOOKUP(C392, Products[], 6)</f>
        <v>14</v>
      </c>
      <c r="K392" s="86">
        <f t="shared" si="33"/>
        <v>98</v>
      </c>
      <c r="L392" s="86">
        <f t="shared" si="34"/>
        <v>-39.200000000000003</v>
      </c>
      <c r="N392">
        <v>10634</v>
      </c>
      <c r="O392" s="84" cm="1">
        <f t="array" ref="O392">SUM(INDEX(_xlfn._xlws.FILTER($B$6:$L$2160, $B$6:$B$2160=N392), 0, 8))</f>
        <v>4985.5</v>
      </c>
      <c r="P392" s="84" cm="1">
        <f t="array" ref="P392">SUM(INDEX(_xlfn._xlws.FILTER($B$6:$L$2160, $B$6:$B$2160=N392), 0, 10))</f>
        <v>4985.5</v>
      </c>
      <c r="Q392" s="84" cm="1">
        <f t="array" ref="Q392">SUM(INDEX(_xlfn._xlws.FILTER($B$6:$L$2160, $B$6:$B$2160=N392), 0, 11))</f>
        <v>0</v>
      </c>
    </row>
    <row r="393" spans="2:17" x14ac:dyDescent="0.2">
      <c r="B393">
        <v>10393</v>
      </c>
      <c r="C393">
        <v>26</v>
      </c>
      <c r="D393" s="84">
        <v>24.9</v>
      </c>
      <c r="E393">
        <v>70</v>
      </c>
      <c r="F393" s="85">
        <v>0.25</v>
      </c>
      <c r="G393" s="86">
        <f t="shared" si="30"/>
        <v>1743</v>
      </c>
      <c r="H393" s="86">
        <f t="shared" si="31"/>
        <v>435.75</v>
      </c>
      <c r="I393" s="86">
        <f t="shared" si="32"/>
        <v>1307.25</v>
      </c>
      <c r="J393" s="84">
        <f>VLOOKUP(C393, Products[], 6)</f>
        <v>31.23</v>
      </c>
      <c r="K393" s="86">
        <f t="shared" si="33"/>
        <v>2186.1</v>
      </c>
      <c r="L393" s="86">
        <f t="shared" si="34"/>
        <v>-878.84999999999991</v>
      </c>
      <c r="N393">
        <v>10635</v>
      </c>
      <c r="O393" s="84" cm="1">
        <f t="array" ref="O393">SUM(INDEX(_xlfn._xlws.FILTER($B$6:$L$2160, $B$6:$B$2160=N393), 0, 8))</f>
        <v>1326.2249999999999</v>
      </c>
      <c r="P393" s="84" cm="1">
        <f t="array" ref="P393">SUM(INDEX(_xlfn._xlws.FILTER($B$6:$L$2160, $B$6:$B$2160=N393), 0, 10))</f>
        <v>1380.25</v>
      </c>
      <c r="Q393" s="84" cm="1">
        <f t="array" ref="Q393">SUM(INDEX(_xlfn._xlws.FILTER($B$6:$L$2160, $B$6:$B$2160=N393), 0, 11))</f>
        <v>-54.024999999999977</v>
      </c>
    </row>
    <row r="394" spans="2:17" x14ac:dyDescent="0.2">
      <c r="B394">
        <v>10393</v>
      </c>
      <c r="C394">
        <v>31</v>
      </c>
      <c r="D394" s="84">
        <v>10</v>
      </c>
      <c r="E394">
        <v>32</v>
      </c>
      <c r="F394" s="85">
        <v>0</v>
      </c>
      <c r="G394" s="86">
        <f t="shared" si="30"/>
        <v>320</v>
      </c>
      <c r="H394" s="86">
        <f t="shared" si="31"/>
        <v>0</v>
      </c>
      <c r="I394" s="86">
        <f t="shared" si="32"/>
        <v>320</v>
      </c>
      <c r="J394" s="84">
        <f>VLOOKUP(C394, Products[], 6)</f>
        <v>12.5</v>
      </c>
      <c r="K394" s="86">
        <f t="shared" si="33"/>
        <v>400</v>
      </c>
      <c r="L394" s="86">
        <f t="shared" si="34"/>
        <v>-80</v>
      </c>
      <c r="N394">
        <v>10636</v>
      </c>
      <c r="O394" s="84" cm="1">
        <f t="array" ref="O394">SUM(INDEX(_xlfn._xlws.FILTER($B$6:$L$2160, $B$6:$B$2160=N394), 0, 8))</f>
        <v>629.5</v>
      </c>
      <c r="P394" s="84" cm="1">
        <f t="array" ref="P394">SUM(INDEX(_xlfn._xlws.FILTER($B$6:$L$2160, $B$6:$B$2160=N394), 0, 10))</f>
        <v>629.5</v>
      </c>
      <c r="Q394" s="84" cm="1">
        <f t="array" ref="Q394">SUM(INDEX(_xlfn._xlws.FILTER($B$6:$L$2160, $B$6:$B$2160=N394), 0, 11))</f>
        <v>0</v>
      </c>
    </row>
    <row r="395" spans="2:17" x14ac:dyDescent="0.2">
      <c r="B395">
        <v>10394</v>
      </c>
      <c r="C395">
        <v>13</v>
      </c>
      <c r="D395" s="84">
        <v>4.8</v>
      </c>
      <c r="E395">
        <v>10</v>
      </c>
      <c r="F395" s="85">
        <v>0</v>
      </c>
      <c r="G395" s="86">
        <f t="shared" si="30"/>
        <v>48</v>
      </c>
      <c r="H395" s="86">
        <f t="shared" si="31"/>
        <v>0</v>
      </c>
      <c r="I395" s="86">
        <f t="shared" si="32"/>
        <v>48</v>
      </c>
      <c r="J395" s="84">
        <f>VLOOKUP(C395, Products[], 6)</f>
        <v>6</v>
      </c>
      <c r="K395" s="86">
        <f t="shared" si="33"/>
        <v>60</v>
      </c>
      <c r="L395" s="86">
        <f t="shared" si="34"/>
        <v>-12</v>
      </c>
      <c r="N395">
        <v>10637</v>
      </c>
      <c r="O395" s="84" cm="1">
        <f t="array" ref="O395">SUM(INDEX(_xlfn._xlws.FILTER($B$6:$L$2160, $B$6:$B$2160=N395), 0, 8))</f>
        <v>2761.9375</v>
      </c>
      <c r="P395" s="84" cm="1">
        <f t="array" ref="P395">SUM(INDEX(_xlfn._xlws.FILTER($B$6:$L$2160, $B$6:$B$2160=N395), 0, 10))</f>
        <v>2896.25</v>
      </c>
      <c r="Q395" s="84" cm="1">
        <f t="array" ref="Q395">SUM(INDEX(_xlfn._xlws.FILTER($B$6:$L$2160, $B$6:$B$2160=N395), 0, 11))</f>
        <v>-134.3125</v>
      </c>
    </row>
    <row r="396" spans="2:17" x14ac:dyDescent="0.2">
      <c r="B396">
        <v>10394</v>
      </c>
      <c r="C396">
        <v>62</v>
      </c>
      <c r="D396" s="84">
        <v>39.4</v>
      </c>
      <c r="E396">
        <v>10</v>
      </c>
      <c r="F396" s="85">
        <v>0</v>
      </c>
      <c r="G396" s="86">
        <f t="shared" si="30"/>
        <v>394</v>
      </c>
      <c r="H396" s="86">
        <f t="shared" si="31"/>
        <v>0</v>
      </c>
      <c r="I396" s="86">
        <f t="shared" si="32"/>
        <v>394</v>
      </c>
      <c r="J396" s="84">
        <f>VLOOKUP(C396, Products[], 6)</f>
        <v>49.3</v>
      </c>
      <c r="K396" s="86">
        <f t="shared" si="33"/>
        <v>493</v>
      </c>
      <c r="L396" s="86">
        <f t="shared" si="34"/>
        <v>-99</v>
      </c>
      <c r="N396">
        <v>10638</v>
      </c>
      <c r="O396" s="84" cm="1">
        <f t="array" ref="O396">SUM(INDEX(_xlfn._xlws.FILTER($B$6:$L$2160, $B$6:$B$2160=N396), 0, 8))</f>
        <v>2720.05</v>
      </c>
      <c r="P396" s="84" cm="1">
        <f t="array" ref="P396">SUM(INDEX(_xlfn._xlws.FILTER($B$6:$L$2160, $B$6:$B$2160=N396), 0, 10))</f>
        <v>2720.05</v>
      </c>
      <c r="Q396" s="84" cm="1">
        <f t="array" ref="Q396">SUM(INDEX(_xlfn._xlws.FILTER($B$6:$L$2160, $B$6:$B$2160=N396), 0, 11))</f>
        <v>0</v>
      </c>
    </row>
    <row r="397" spans="2:17" x14ac:dyDescent="0.2">
      <c r="B397">
        <v>10395</v>
      </c>
      <c r="C397">
        <v>46</v>
      </c>
      <c r="D397" s="84">
        <v>9.6</v>
      </c>
      <c r="E397">
        <v>28</v>
      </c>
      <c r="F397" s="85">
        <v>0.1</v>
      </c>
      <c r="G397" s="86">
        <f t="shared" si="30"/>
        <v>268.8</v>
      </c>
      <c r="H397" s="86">
        <f t="shared" si="31"/>
        <v>26.880000000000003</v>
      </c>
      <c r="I397" s="86">
        <f t="shared" si="32"/>
        <v>241.92000000000002</v>
      </c>
      <c r="J397" s="84">
        <f>VLOOKUP(C397, Products[], 6)</f>
        <v>12</v>
      </c>
      <c r="K397" s="86">
        <f t="shared" si="33"/>
        <v>336</v>
      </c>
      <c r="L397" s="86">
        <f t="shared" si="34"/>
        <v>-94.079999999999984</v>
      </c>
      <c r="N397">
        <v>10639</v>
      </c>
      <c r="O397" s="84" cm="1">
        <f t="array" ref="O397">SUM(INDEX(_xlfn._xlws.FILTER($B$6:$L$2160, $B$6:$B$2160=N397), 0, 8))</f>
        <v>500</v>
      </c>
      <c r="P397" s="84" cm="1">
        <f t="array" ref="P397">SUM(INDEX(_xlfn._xlws.FILTER($B$6:$L$2160, $B$6:$B$2160=N397), 0, 10))</f>
        <v>500</v>
      </c>
      <c r="Q397" s="84" cm="1">
        <f t="array" ref="Q397">SUM(INDEX(_xlfn._xlws.FILTER($B$6:$L$2160, $B$6:$B$2160=N397), 0, 11))</f>
        <v>0</v>
      </c>
    </row>
    <row r="398" spans="2:17" x14ac:dyDescent="0.2">
      <c r="B398">
        <v>10395</v>
      </c>
      <c r="C398">
        <v>53</v>
      </c>
      <c r="D398" s="84">
        <v>26.2</v>
      </c>
      <c r="E398">
        <v>70</v>
      </c>
      <c r="F398" s="85">
        <v>0.1</v>
      </c>
      <c r="G398" s="86">
        <f t="shared" si="30"/>
        <v>1834</v>
      </c>
      <c r="H398" s="86">
        <f t="shared" si="31"/>
        <v>183.4</v>
      </c>
      <c r="I398" s="86">
        <f t="shared" si="32"/>
        <v>1650.6</v>
      </c>
      <c r="J398" s="84">
        <f>VLOOKUP(C398, Products[], 6)</f>
        <v>32.799999999999997</v>
      </c>
      <c r="K398" s="86">
        <f t="shared" si="33"/>
        <v>2296</v>
      </c>
      <c r="L398" s="86">
        <f t="shared" si="34"/>
        <v>-645.40000000000009</v>
      </c>
      <c r="N398">
        <v>10640</v>
      </c>
      <c r="O398" s="84" cm="1">
        <f t="array" ref="O398">SUM(INDEX(_xlfn._xlws.FILTER($B$6:$L$2160, $B$6:$B$2160=N398), 0, 8))</f>
        <v>708.75</v>
      </c>
      <c r="P398" s="84" cm="1">
        <f t="array" ref="P398">SUM(INDEX(_xlfn._xlws.FILTER($B$6:$L$2160, $B$6:$B$2160=N398), 0, 10))</f>
        <v>945</v>
      </c>
      <c r="Q398" s="84" cm="1">
        <f t="array" ref="Q398">SUM(INDEX(_xlfn._xlws.FILTER($B$6:$L$2160, $B$6:$B$2160=N398), 0, 11))</f>
        <v>-236.25</v>
      </c>
    </row>
    <row r="399" spans="2:17" x14ac:dyDescent="0.2">
      <c r="B399">
        <v>10395</v>
      </c>
      <c r="C399">
        <v>69</v>
      </c>
      <c r="D399" s="84">
        <v>28.8</v>
      </c>
      <c r="E399">
        <v>8</v>
      </c>
      <c r="F399" s="85">
        <v>0</v>
      </c>
      <c r="G399" s="86">
        <f t="shared" si="30"/>
        <v>230.4</v>
      </c>
      <c r="H399" s="86">
        <f t="shared" si="31"/>
        <v>0</v>
      </c>
      <c r="I399" s="86">
        <f t="shared" si="32"/>
        <v>230.4</v>
      </c>
      <c r="J399" s="84">
        <f>VLOOKUP(C399, Products[], 6)</f>
        <v>36</v>
      </c>
      <c r="K399" s="86">
        <f t="shared" si="33"/>
        <v>288</v>
      </c>
      <c r="L399" s="86">
        <f t="shared" si="34"/>
        <v>-57.599999999999994</v>
      </c>
      <c r="N399">
        <v>10641</v>
      </c>
      <c r="O399" s="84" cm="1">
        <f t="array" ref="O399">SUM(INDEX(_xlfn._xlws.FILTER($B$6:$L$2160, $B$6:$B$2160=N399), 0, 8))</f>
        <v>2054</v>
      </c>
      <c r="P399" s="84" cm="1">
        <f t="array" ref="P399">SUM(INDEX(_xlfn._xlws.FILTER($B$6:$L$2160, $B$6:$B$2160=N399), 0, 10))</f>
        <v>2054</v>
      </c>
      <c r="Q399" s="84" cm="1">
        <f t="array" ref="Q399">SUM(INDEX(_xlfn._xlws.FILTER($B$6:$L$2160, $B$6:$B$2160=N399), 0, 11))</f>
        <v>0</v>
      </c>
    </row>
    <row r="400" spans="2:17" x14ac:dyDescent="0.2">
      <c r="B400">
        <v>10396</v>
      </c>
      <c r="C400">
        <v>23</v>
      </c>
      <c r="D400" s="84">
        <v>7.2</v>
      </c>
      <c r="E400">
        <v>40</v>
      </c>
      <c r="F400" s="85">
        <v>0</v>
      </c>
      <c r="G400" s="86">
        <f t="shared" si="30"/>
        <v>288</v>
      </c>
      <c r="H400" s="86">
        <f t="shared" si="31"/>
        <v>0</v>
      </c>
      <c r="I400" s="86">
        <f t="shared" si="32"/>
        <v>288</v>
      </c>
      <c r="J400" s="84">
        <f>VLOOKUP(C400, Products[], 6)</f>
        <v>9</v>
      </c>
      <c r="K400" s="86">
        <f t="shared" si="33"/>
        <v>360</v>
      </c>
      <c r="L400" s="86">
        <f t="shared" si="34"/>
        <v>-72</v>
      </c>
      <c r="N400">
        <v>10642</v>
      </c>
      <c r="O400" s="84" cm="1">
        <f t="array" ref="O400">SUM(INDEX(_xlfn._xlws.FILTER($B$6:$L$2160, $B$6:$B$2160=N400), 0, 8))</f>
        <v>696</v>
      </c>
      <c r="P400" s="84" cm="1">
        <f t="array" ref="P400">SUM(INDEX(_xlfn._xlws.FILTER($B$6:$L$2160, $B$6:$B$2160=N400), 0, 10))</f>
        <v>870</v>
      </c>
      <c r="Q400" s="84" cm="1">
        <f t="array" ref="Q400">SUM(INDEX(_xlfn._xlws.FILTER($B$6:$L$2160, $B$6:$B$2160=N400), 0, 11))</f>
        <v>-174</v>
      </c>
    </row>
    <row r="401" spans="2:17" x14ac:dyDescent="0.2">
      <c r="B401">
        <v>10396</v>
      </c>
      <c r="C401">
        <v>71</v>
      </c>
      <c r="D401" s="84">
        <v>17.2</v>
      </c>
      <c r="E401">
        <v>60</v>
      </c>
      <c r="F401" s="85">
        <v>0</v>
      </c>
      <c r="G401" s="86">
        <f t="shared" si="30"/>
        <v>1032</v>
      </c>
      <c r="H401" s="86">
        <f t="shared" si="31"/>
        <v>0</v>
      </c>
      <c r="I401" s="86">
        <f t="shared" si="32"/>
        <v>1032</v>
      </c>
      <c r="J401" s="84">
        <f>VLOOKUP(C401, Products[], 6)</f>
        <v>21.5</v>
      </c>
      <c r="K401" s="86">
        <f t="shared" si="33"/>
        <v>1290</v>
      </c>
      <c r="L401" s="86">
        <f t="shared" si="34"/>
        <v>-258</v>
      </c>
      <c r="N401">
        <v>10643</v>
      </c>
      <c r="O401" s="84" cm="1">
        <f t="array" ref="O401">SUM(INDEX(_xlfn._xlws.FILTER($B$6:$L$2160, $B$6:$B$2160=N401), 0, 8))</f>
        <v>814.5</v>
      </c>
      <c r="P401" s="84" cm="1">
        <f t="array" ref="P401">SUM(INDEX(_xlfn._xlws.FILTER($B$6:$L$2160, $B$6:$B$2160=N401), 0, 10))</f>
        <v>1086</v>
      </c>
      <c r="Q401" s="84" cm="1">
        <f t="array" ref="Q401">SUM(INDEX(_xlfn._xlws.FILTER($B$6:$L$2160, $B$6:$B$2160=N401), 0, 11))</f>
        <v>-271.5</v>
      </c>
    </row>
    <row r="402" spans="2:17" x14ac:dyDescent="0.2">
      <c r="B402">
        <v>10396</v>
      </c>
      <c r="C402">
        <v>72</v>
      </c>
      <c r="D402" s="84">
        <v>27.8</v>
      </c>
      <c r="E402">
        <v>21</v>
      </c>
      <c r="F402" s="85">
        <v>0</v>
      </c>
      <c r="G402" s="86">
        <f t="shared" si="30"/>
        <v>583.80000000000007</v>
      </c>
      <c r="H402" s="86">
        <f t="shared" si="31"/>
        <v>0</v>
      </c>
      <c r="I402" s="86">
        <f t="shared" si="32"/>
        <v>583.80000000000007</v>
      </c>
      <c r="J402" s="84">
        <f>VLOOKUP(C402, Products[], 6)</f>
        <v>34.799999999999997</v>
      </c>
      <c r="K402" s="86">
        <f t="shared" si="33"/>
        <v>730.8</v>
      </c>
      <c r="L402" s="86">
        <f t="shared" si="34"/>
        <v>-146.99999999999989</v>
      </c>
      <c r="N402">
        <v>10644</v>
      </c>
      <c r="O402" s="84" cm="1">
        <f t="array" ref="O402">SUM(INDEX(_xlfn._xlws.FILTER($B$6:$L$2160, $B$6:$B$2160=N402), 0, 8))</f>
        <v>1371.8</v>
      </c>
      <c r="P402" s="84" cm="1">
        <f t="array" ref="P402">SUM(INDEX(_xlfn._xlws.FILTER($B$6:$L$2160, $B$6:$B$2160=N402), 0, 10))</f>
        <v>1422</v>
      </c>
      <c r="Q402" s="84" cm="1">
        <f t="array" ref="Q402">SUM(INDEX(_xlfn._xlws.FILTER($B$6:$L$2160, $B$6:$B$2160=N402), 0, 11))</f>
        <v>-50.199999999999989</v>
      </c>
    </row>
    <row r="403" spans="2:17" x14ac:dyDescent="0.2">
      <c r="B403">
        <v>10397</v>
      </c>
      <c r="C403">
        <v>21</v>
      </c>
      <c r="D403" s="84">
        <v>8</v>
      </c>
      <c r="E403">
        <v>10</v>
      </c>
      <c r="F403" s="85">
        <v>0.15</v>
      </c>
      <c r="G403" s="86">
        <f t="shared" si="30"/>
        <v>80</v>
      </c>
      <c r="H403" s="86">
        <f t="shared" si="31"/>
        <v>12</v>
      </c>
      <c r="I403" s="86">
        <f t="shared" si="32"/>
        <v>68</v>
      </c>
      <c r="J403" s="84">
        <f>VLOOKUP(C403, Products[], 6)</f>
        <v>10</v>
      </c>
      <c r="K403" s="86">
        <f t="shared" si="33"/>
        <v>100</v>
      </c>
      <c r="L403" s="86">
        <f t="shared" si="34"/>
        <v>-32</v>
      </c>
      <c r="N403">
        <v>10645</v>
      </c>
      <c r="O403" s="84" cm="1">
        <f t="array" ref="O403">SUM(INDEX(_xlfn._xlws.FILTER($B$6:$L$2160, $B$6:$B$2160=N403), 0, 8))</f>
        <v>1535</v>
      </c>
      <c r="P403" s="84" cm="1">
        <f t="array" ref="P403">SUM(INDEX(_xlfn._xlws.FILTER($B$6:$L$2160, $B$6:$B$2160=N403), 0, 10))</f>
        <v>1535</v>
      </c>
      <c r="Q403" s="84" cm="1">
        <f t="array" ref="Q403">SUM(INDEX(_xlfn._xlws.FILTER($B$6:$L$2160, $B$6:$B$2160=N403), 0, 11))</f>
        <v>0</v>
      </c>
    </row>
    <row r="404" spans="2:17" x14ac:dyDescent="0.2">
      <c r="B404">
        <v>10397</v>
      </c>
      <c r="C404">
        <v>51</v>
      </c>
      <c r="D404" s="84">
        <v>42.4</v>
      </c>
      <c r="E404">
        <v>18</v>
      </c>
      <c r="F404" s="85">
        <v>0.15</v>
      </c>
      <c r="G404" s="86">
        <f t="shared" si="30"/>
        <v>763.19999999999993</v>
      </c>
      <c r="H404" s="86">
        <f t="shared" si="31"/>
        <v>114.47999999999999</v>
      </c>
      <c r="I404" s="86">
        <f t="shared" si="32"/>
        <v>648.71999999999991</v>
      </c>
      <c r="J404" s="84">
        <f>VLOOKUP(C404, Products[], 6)</f>
        <v>53</v>
      </c>
      <c r="K404" s="86">
        <f t="shared" si="33"/>
        <v>954</v>
      </c>
      <c r="L404" s="86">
        <f t="shared" si="34"/>
        <v>-305.28000000000009</v>
      </c>
      <c r="N404">
        <v>10646</v>
      </c>
      <c r="O404" s="84" cm="1">
        <f t="array" ref="O404">SUM(INDEX(_xlfn._xlws.FILTER($B$6:$L$2160, $B$6:$B$2160=N404), 0, 8))</f>
        <v>1446</v>
      </c>
      <c r="P404" s="84" cm="1">
        <f t="array" ref="P404">SUM(INDEX(_xlfn._xlws.FILTER($B$6:$L$2160, $B$6:$B$2160=N404), 0, 10))</f>
        <v>1928</v>
      </c>
      <c r="Q404" s="84" cm="1">
        <f t="array" ref="Q404">SUM(INDEX(_xlfn._xlws.FILTER($B$6:$L$2160, $B$6:$B$2160=N404), 0, 11))</f>
        <v>-482</v>
      </c>
    </row>
    <row r="405" spans="2:17" x14ac:dyDescent="0.2">
      <c r="B405">
        <v>10398</v>
      </c>
      <c r="C405">
        <v>35</v>
      </c>
      <c r="D405" s="84">
        <v>14.4</v>
      </c>
      <c r="E405">
        <v>30</v>
      </c>
      <c r="F405" s="85">
        <v>0</v>
      </c>
      <c r="G405" s="86">
        <f t="shared" si="30"/>
        <v>432</v>
      </c>
      <c r="H405" s="86">
        <f t="shared" si="31"/>
        <v>0</v>
      </c>
      <c r="I405" s="86">
        <f t="shared" si="32"/>
        <v>432</v>
      </c>
      <c r="J405" s="84">
        <f>VLOOKUP(C405, Products[], 6)</f>
        <v>18</v>
      </c>
      <c r="K405" s="86">
        <f t="shared" si="33"/>
        <v>540</v>
      </c>
      <c r="L405" s="86">
        <f t="shared" si="34"/>
        <v>-108</v>
      </c>
      <c r="N405">
        <v>10647</v>
      </c>
      <c r="O405" s="84" cm="1">
        <f t="array" ref="O405">SUM(INDEX(_xlfn._xlws.FILTER($B$6:$L$2160, $B$6:$B$2160=N405), 0, 8))</f>
        <v>636</v>
      </c>
      <c r="P405" s="84" cm="1">
        <f t="array" ref="P405">SUM(INDEX(_xlfn._xlws.FILTER($B$6:$L$2160, $B$6:$B$2160=N405), 0, 10))</f>
        <v>636</v>
      </c>
      <c r="Q405" s="84" cm="1">
        <f t="array" ref="Q405">SUM(INDEX(_xlfn._xlws.FILTER($B$6:$L$2160, $B$6:$B$2160=N405), 0, 11))</f>
        <v>0</v>
      </c>
    </row>
    <row r="406" spans="2:17" x14ac:dyDescent="0.2">
      <c r="B406">
        <v>10398</v>
      </c>
      <c r="C406">
        <v>55</v>
      </c>
      <c r="D406" s="84">
        <v>19.2</v>
      </c>
      <c r="E406">
        <v>120</v>
      </c>
      <c r="F406" s="85">
        <v>0.1</v>
      </c>
      <c r="G406" s="86">
        <f t="shared" si="30"/>
        <v>2304</v>
      </c>
      <c r="H406" s="86">
        <f t="shared" si="31"/>
        <v>230.4</v>
      </c>
      <c r="I406" s="86">
        <f t="shared" si="32"/>
        <v>2073.6</v>
      </c>
      <c r="J406" s="84">
        <f>VLOOKUP(C406, Products[], 6)</f>
        <v>24</v>
      </c>
      <c r="K406" s="86">
        <f t="shared" si="33"/>
        <v>2880</v>
      </c>
      <c r="L406" s="86">
        <f t="shared" si="34"/>
        <v>-806.40000000000009</v>
      </c>
      <c r="N406">
        <v>10648</v>
      </c>
      <c r="O406" s="84" cm="1">
        <f t="array" ref="O406">SUM(INDEX(_xlfn._xlws.FILTER($B$6:$L$2160, $B$6:$B$2160=N406), 0, 8))</f>
        <v>372.375</v>
      </c>
      <c r="P406" s="84" cm="1">
        <f t="array" ref="P406">SUM(INDEX(_xlfn._xlws.FILTER($B$6:$L$2160, $B$6:$B$2160=N406), 0, 10))</f>
        <v>382.5</v>
      </c>
      <c r="Q406" s="84" cm="1">
        <f t="array" ref="Q406">SUM(INDEX(_xlfn._xlws.FILTER($B$6:$L$2160, $B$6:$B$2160=N406), 0, 11))</f>
        <v>-10.125</v>
      </c>
    </row>
    <row r="407" spans="2:17" x14ac:dyDescent="0.2">
      <c r="B407">
        <v>10399</v>
      </c>
      <c r="C407">
        <v>68</v>
      </c>
      <c r="D407" s="84">
        <v>10</v>
      </c>
      <c r="E407">
        <v>60</v>
      </c>
      <c r="F407" s="85">
        <v>0</v>
      </c>
      <c r="G407" s="86">
        <f t="shared" si="30"/>
        <v>600</v>
      </c>
      <c r="H407" s="86">
        <f t="shared" si="31"/>
        <v>0</v>
      </c>
      <c r="I407" s="86">
        <f t="shared" si="32"/>
        <v>600</v>
      </c>
      <c r="J407" s="84">
        <f>VLOOKUP(C407, Products[], 6)</f>
        <v>12.5</v>
      </c>
      <c r="K407" s="86">
        <f t="shared" si="33"/>
        <v>750</v>
      </c>
      <c r="L407" s="86">
        <f t="shared" si="34"/>
        <v>-150</v>
      </c>
      <c r="N407">
        <v>10649</v>
      </c>
      <c r="O407" s="84" cm="1">
        <f t="array" ref="O407">SUM(INDEX(_xlfn._xlws.FILTER($B$6:$L$2160, $B$6:$B$2160=N407), 0, 8))</f>
        <v>1434</v>
      </c>
      <c r="P407" s="84" cm="1">
        <f t="array" ref="P407">SUM(INDEX(_xlfn._xlws.FILTER($B$6:$L$2160, $B$6:$B$2160=N407), 0, 10))</f>
        <v>1434</v>
      </c>
      <c r="Q407" s="84" cm="1">
        <f t="array" ref="Q407">SUM(INDEX(_xlfn._xlws.FILTER($B$6:$L$2160, $B$6:$B$2160=N407), 0, 11))</f>
        <v>0</v>
      </c>
    </row>
    <row r="408" spans="2:17" x14ac:dyDescent="0.2">
      <c r="B408">
        <v>10399</v>
      </c>
      <c r="C408">
        <v>71</v>
      </c>
      <c r="D408" s="84">
        <v>17.2</v>
      </c>
      <c r="E408">
        <v>30</v>
      </c>
      <c r="F408" s="85">
        <v>0</v>
      </c>
      <c r="G408" s="86">
        <f t="shared" si="30"/>
        <v>516</v>
      </c>
      <c r="H408" s="86">
        <f t="shared" si="31"/>
        <v>0</v>
      </c>
      <c r="I408" s="86">
        <f t="shared" si="32"/>
        <v>516</v>
      </c>
      <c r="J408" s="84">
        <f>VLOOKUP(C408, Products[], 6)</f>
        <v>21.5</v>
      </c>
      <c r="K408" s="86">
        <f t="shared" si="33"/>
        <v>645</v>
      </c>
      <c r="L408" s="86">
        <f t="shared" si="34"/>
        <v>-129</v>
      </c>
      <c r="N408">
        <v>10650</v>
      </c>
      <c r="O408" s="84" cm="1">
        <f t="array" ref="O408">SUM(INDEX(_xlfn._xlws.FILTER($B$6:$L$2160, $B$6:$B$2160=N408), 0, 8))</f>
        <v>1779.1999999999998</v>
      </c>
      <c r="P408" s="84" cm="1">
        <f t="array" ref="P408">SUM(INDEX(_xlfn._xlws.FILTER($B$6:$L$2160, $B$6:$B$2160=N408), 0, 10))</f>
        <v>1820.1999999999998</v>
      </c>
      <c r="Q408" s="84" cm="1">
        <f t="array" ref="Q408">SUM(INDEX(_xlfn._xlws.FILTER($B$6:$L$2160, $B$6:$B$2160=N408), 0, 11))</f>
        <v>-41</v>
      </c>
    </row>
    <row r="409" spans="2:17" x14ac:dyDescent="0.2">
      <c r="B409">
        <v>10399</v>
      </c>
      <c r="C409">
        <v>76</v>
      </c>
      <c r="D409" s="84">
        <v>14.4</v>
      </c>
      <c r="E409">
        <v>35</v>
      </c>
      <c r="F409" s="85">
        <v>0</v>
      </c>
      <c r="G409" s="86">
        <f t="shared" si="30"/>
        <v>504</v>
      </c>
      <c r="H409" s="86">
        <f t="shared" si="31"/>
        <v>0</v>
      </c>
      <c r="I409" s="86">
        <f t="shared" si="32"/>
        <v>504</v>
      </c>
      <c r="J409" s="84">
        <f>VLOOKUP(C409, Products[], 6)</f>
        <v>18</v>
      </c>
      <c r="K409" s="86">
        <f t="shared" si="33"/>
        <v>630</v>
      </c>
      <c r="L409" s="86">
        <f t="shared" si="34"/>
        <v>-126</v>
      </c>
      <c r="N409">
        <v>10651</v>
      </c>
      <c r="O409" s="84" cm="1">
        <f t="array" ref="O409">SUM(INDEX(_xlfn._xlws.FILTER($B$6:$L$2160, $B$6:$B$2160=N409), 0, 8))</f>
        <v>397.8</v>
      </c>
      <c r="P409" s="84" cm="1">
        <f t="array" ref="P409">SUM(INDEX(_xlfn._xlws.FILTER($B$6:$L$2160, $B$6:$B$2160=N409), 0, 10))</f>
        <v>530.4</v>
      </c>
      <c r="Q409" s="84" cm="1">
        <f t="array" ref="Q409">SUM(INDEX(_xlfn._xlws.FILTER($B$6:$L$2160, $B$6:$B$2160=N409), 0, 11))</f>
        <v>-132.6</v>
      </c>
    </row>
    <row r="410" spans="2:17" x14ac:dyDescent="0.2">
      <c r="B410">
        <v>10399</v>
      </c>
      <c r="C410">
        <v>77</v>
      </c>
      <c r="D410" s="84">
        <v>10.4</v>
      </c>
      <c r="E410">
        <v>14</v>
      </c>
      <c r="F410" s="85">
        <v>0</v>
      </c>
      <c r="G410" s="86">
        <f t="shared" si="30"/>
        <v>145.6</v>
      </c>
      <c r="H410" s="86">
        <f t="shared" si="31"/>
        <v>0</v>
      </c>
      <c r="I410" s="86">
        <f t="shared" si="32"/>
        <v>145.6</v>
      </c>
      <c r="J410" s="84">
        <f>VLOOKUP(C410, Products[], 6)</f>
        <v>13</v>
      </c>
      <c r="K410" s="86">
        <f t="shared" si="33"/>
        <v>182</v>
      </c>
      <c r="L410" s="86">
        <f t="shared" si="34"/>
        <v>-36.400000000000006</v>
      </c>
      <c r="N410">
        <v>10652</v>
      </c>
      <c r="O410" s="84" cm="1">
        <f t="array" ref="O410">SUM(INDEX(_xlfn._xlws.FILTER($B$6:$L$2160, $B$6:$B$2160=N410), 0, 8))</f>
        <v>318.83499999999998</v>
      </c>
      <c r="P410" s="84" cm="1">
        <f t="array" ref="P410">SUM(INDEX(_xlfn._xlws.FILTER($B$6:$L$2160, $B$6:$B$2160=N410), 0, 10))</f>
        <v>331.78</v>
      </c>
      <c r="Q410" s="84" cm="1">
        <f t="array" ref="Q410">SUM(INDEX(_xlfn._xlws.FILTER($B$6:$L$2160, $B$6:$B$2160=N410), 0, 11))</f>
        <v>-12.945</v>
      </c>
    </row>
    <row r="411" spans="2:17" x14ac:dyDescent="0.2">
      <c r="B411">
        <v>10400</v>
      </c>
      <c r="C411">
        <v>29</v>
      </c>
      <c r="D411" s="84">
        <v>99</v>
      </c>
      <c r="E411">
        <v>21</v>
      </c>
      <c r="F411" s="85">
        <v>0</v>
      </c>
      <c r="G411" s="86">
        <f t="shared" si="30"/>
        <v>2079</v>
      </c>
      <c r="H411" s="86">
        <f t="shared" si="31"/>
        <v>0</v>
      </c>
      <c r="I411" s="86">
        <f t="shared" si="32"/>
        <v>2079</v>
      </c>
      <c r="J411" s="84">
        <f>VLOOKUP(C411, Products[], 6)</f>
        <v>123.79</v>
      </c>
      <c r="K411" s="86">
        <f t="shared" si="33"/>
        <v>2599.59</v>
      </c>
      <c r="L411" s="86">
        <f t="shared" si="34"/>
        <v>-520.59000000000015</v>
      </c>
      <c r="N411">
        <v>10653</v>
      </c>
      <c r="O411" s="84" cm="1">
        <f t="array" ref="O411">SUM(INDEX(_xlfn._xlws.FILTER($B$6:$L$2160, $B$6:$B$2160=N411), 0, 8))</f>
        <v>1083.1500000000001</v>
      </c>
      <c r="P411" s="84" cm="1">
        <f t="array" ref="P411">SUM(INDEX(_xlfn._xlws.FILTER($B$6:$L$2160, $B$6:$B$2160=N411), 0, 10))</f>
        <v>1203.5</v>
      </c>
      <c r="Q411" s="84" cm="1">
        <f t="array" ref="Q411">SUM(INDEX(_xlfn._xlws.FILTER($B$6:$L$2160, $B$6:$B$2160=N411), 0, 11))</f>
        <v>-120.35000000000002</v>
      </c>
    </row>
    <row r="412" spans="2:17" x14ac:dyDescent="0.2">
      <c r="B412">
        <v>10400</v>
      </c>
      <c r="C412">
        <v>35</v>
      </c>
      <c r="D412" s="84">
        <v>14.4</v>
      </c>
      <c r="E412">
        <v>35</v>
      </c>
      <c r="F412" s="85">
        <v>0</v>
      </c>
      <c r="G412" s="86">
        <f t="shared" si="30"/>
        <v>504</v>
      </c>
      <c r="H412" s="86">
        <f t="shared" si="31"/>
        <v>0</v>
      </c>
      <c r="I412" s="86">
        <f t="shared" si="32"/>
        <v>504</v>
      </c>
      <c r="J412" s="84">
        <f>VLOOKUP(C412, Products[], 6)</f>
        <v>18</v>
      </c>
      <c r="K412" s="86">
        <f t="shared" si="33"/>
        <v>630</v>
      </c>
      <c r="L412" s="86">
        <f t="shared" si="34"/>
        <v>-126</v>
      </c>
      <c r="N412">
        <v>10654</v>
      </c>
      <c r="O412" s="84" cm="1">
        <f t="array" ref="O412">SUM(INDEX(_xlfn._xlws.FILTER($B$6:$L$2160, $B$6:$B$2160=N412), 0, 8))</f>
        <v>601.83000000000004</v>
      </c>
      <c r="P412" s="84" cm="1">
        <f t="array" ref="P412">SUM(INDEX(_xlfn._xlws.FILTER($B$6:$L$2160, $B$6:$B$2160=N412), 0, 10))</f>
        <v>668.7</v>
      </c>
      <c r="Q412" s="84" cm="1">
        <f t="array" ref="Q412">SUM(INDEX(_xlfn._xlws.FILTER($B$6:$L$2160, $B$6:$B$2160=N412), 0, 11))</f>
        <v>-66.87</v>
      </c>
    </row>
    <row r="413" spans="2:17" x14ac:dyDescent="0.2">
      <c r="B413">
        <v>10400</v>
      </c>
      <c r="C413">
        <v>49</v>
      </c>
      <c r="D413" s="84">
        <v>16</v>
      </c>
      <c r="E413">
        <v>30</v>
      </c>
      <c r="F413" s="85">
        <v>0</v>
      </c>
      <c r="G413" s="86">
        <f t="shared" si="30"/>
        <v>480</v>
      </c>
      <c r="H413" s="86">
        <f t="shared" si="31"/>
        <v>0</v>
      </c>
      <c r="I413" s="86">
        <f t="shared" si="32"/>
        <v>480</v>
      </c>
      <c r="J413" s="84">
        <f>VLOOKUP(C413, Products[], 6)</f>
        <v>20</v>
      </c>
      <c r="K413" s="86">
        <f t="shared" si="33"/>
        <v>600</v>
      </c>
      <c r="L413" s="86">
        <f t="shared" si="34"/>
        <v>-120</v>
      </c>
      <c r="N413">
        <v>10655</v>
      </c>
      <c r="O413" s="84" cm="1">
        <f t="array" ref="O413">SUM(INDEX(_xlfn._xlws.FILTER($B$6:$L$2160, $B$6:$B$2160=N413), 0, 8))</f>
        <v>154.4</v>
      </c>
      <c r="P413" s="84" cm="1">
        <f t="array" ref="P413">SUM(INDEX(_xlfn._xlws.FILTER($B$6:$L$2160, $B$6:$B$2160=N413), 0, 10))</f>
        <v>193</v>
      </c>
      <c r="Q413" s="84" cm="1">
        <f t="array" ref="Q413">SUM(INDEX(_xlfn._xlws.FILTER($B$6:$L$2160, $B$6:$B$2160=N413), 0, 11))</f>
        <v>-38.599999999999994</v>
      </c>
    </row>
    <row r="414" spans="2:17" x14ac:dyDescent="0.2">
      <c r="B414">
        <v>10401</v>
      </c>
      <c r="C414">
        <v>30</v>
      </c>
      <c r="D414" s="84">
        <v>20.7</v>
      </c>
      <c r="E414">
        <v>18</v>
      </c>
      <c r="F414" s="85">
        <v>0</v>
      </c>
      <c r="G414" s="86">
        <f t="shared" si="30"/>
        <v>372.59999999999997</v>
      </c>
      <c r="H414" s="86">
        <f t="shared" si="31"/>
        <v>0</v>
      </c>
      <c r="I414" s="86">
        <f t="shared" si="32"/>
        <v>372.59999999999997</v>
      </c>
      <c r="J414" s="84">
        <f>VLOOKUP(C414, Products[], 6)</f>
        <v>25.89</v>
      </c>
      <c r="K414" s="86">
        <f t="shared" si="33"/>
        <v>466.02</v>
      </c>
      <c r="L414" s="86">
        <f t="shared" si="34"/>
        <v>-93.420000000000016</v>
      </c>
      <c r="N414">
        <v>10656</v>
      </c>
      <c r="O414" s="84" cm="1">
        <f t="array" ref="O414">SUM(INDEX(_xlfn._xlws.FILTER($B$6:$L$2160, $B$6:$B$2160=N414), 0, 8))</f>
        <v>604.21499999999992</v>
      </c>
      <c r="P414" s="84" cm="1">
        <f t="array" ref="P414">SUM(INDEX(_xlfn._xlws.FILTER($B$6:$L$2160, $B$6:$B$2160=N414), 0, 10))</f>
        <v>671.35</v>
      </c>
      <c r="Q414" s="84" cm="1">
        <f t="array" ref="Q414">SUM(INDEX(_xlfn._xlws.FILTER($B$6:$L$2160, $B$6:$B$2160=N414), 0, 11))</f>
        <v>-67.135000000000048</v>
      </c>
    </row>
    <row r="415" spans="2:17" x14ac:dyDescent="0.2">
      <c r="B415">
        <v>10401</v>
      </c>
      <c r="C415">
        <v>56</v>
      </c>
      <c r="D415" s="84">
        <v>30.4</v>
      </c>
      <c r="E415">
        <v>70</v>
      </c>
      <c r="F415" s="85">
        <v>0</v>
      </c>
      <c r="G415" s="86">
        <f t="shared" si="30"/>
        <v>2128</v>
      </c>
      <c r="H415" s="86">
        <f t="shared" si="31"/>
        <v>0</v>
      </c>
      <c r="I415" s="86">
        <f t="shared" si="32"/>
        <v>2128</v>
      </c>
      <c r="J415" s="84">
        <f>VLOOKUP(C415, Products[], 6)</f>
        <v>38</v>
      </c>
      <c r="K415" s="86">
        <f t="shared" si="33"/>
        <v>2660</v>
      </c>
      <c r="L415" s="86">
        <f t="shared" si="34"/>
        <v>-532</v>
      </c>
      <c r="N415">
        <v>10657</v>
      </c>
      <c r="O415" s="84" cm="1">
        <f t="array" ref="O415">SUM(INDEX(_xlfn._xlws.FILTER($B$6:$L$2160, $B$6:$B$2160=N415), 0, 8))</f>
        <v>4371.6000000000004</v>
      </c>
      <c r="P415" s="84" cm="1">
        <f t="array" ref="P415">SUM(INDEX(_xlfn._xlws.FILTER($B$6:$L$2160, $B$6:$B$2160=N415), 0, 10))</f>
        <v>4371.6000000000004</v>
      </c>
      <c r="Q415" s="84" cm="1">
        <f t="array" ref="Q415">SUM(INDEX(_xlfn._xlws.FILTER($B$6:$L$2160, $B$6:$B$2160=N415), 0, 11))</f>
        <v>0</v>
      </c>
    </row>
    <row r="416" spans="2:17" x14ac:dyDescent="0.2">
      <c r="B416">
        <v>10401</v>
      </c>
      <c r="C416">
        <v>65</v>
      </c>
      <c r="D416" s="84">
        <v>16.8</v>
      </c>
      <c r="E416">
        <v>20</v>
      </c>
      <c r="F416" s="85">
        <v>0</v>
      </c>
      <c r="G416" s="86">
        <f t="shared" si="30"/>
        <v>336</v>
      </c>
      <c r="H416" s="86">
        <f t="shared" si="31"/>
        <v>0</v>
      </c>
      <c r="I416" s="86">
        <f t="shared" si="32"/>
        <v>336</v>
      </c>
      <c r="J416" s="84">
        <f>VLOOKUP(C416, Products[], 6)</f>
        <v>21.05</v>
      </c>
      <c r="K416" s="86">
        <f t="shared" si="33"/>
        <v>421</v>
      </c>
      <c r="L416" s="86">
        <f t="shared" si="34"/>
        <v>-85</v>
      </c>
      <c r="N416">
        <v>10658</v>
      </c>
      <c r="O416" s="84" cm="1">
        <f t="array" ref="O416">SUM(INDEX(_xlfn._xlws.FILTER($B$6:$L$2160, $B$6:$B$2160=N416), 0, 8))</f>
        <v>4464.6000000000004</v>
      </c>
      <c r="P416" s="84" cm="1">
        <f t="array" ref="P416">SUM(INDEX(_xlfn._xlws.FILTER($B$6:$L$2160, $B$6:$B$2160=N416), 0, 10))</f>
        <v>4668</v>
      </c>
      <c r="Q416" s="84" cm="1">
        <f t="array" ref="Q416">SUM(INDEX(_xlfn._xlws.FILTER($B$6:$L$2160, $B$6:$B$2160=N416), 0, 11))</f>
        <v>-203.40000000000009</v>
      </c>
    </row>
    <row r="417" spans="2:17" x14ac:dyDescent="0.2">
      <c r="B417">
        <v>10401</v>
      </c>
      <c r="C417">
        <v>71</v>
      </c>
      <c r="D417" s="84">
        <v>17.2</v>
      </c>
      <c r="E417">
        <v>60</v>
      </c>
      <c r="F417" s="85">
        <v>0</v>
      </c>
      <c r="G417" s="86">
        <f t="shared" si="30"/>
        <v>1032</v>
      </c>
      <c r="H417" s="86">
        <f t="shared" si="31"/>
        <v>0</v>
      </c>
      <c r="I417" s="86">
        <f t="shared" si="32"/>
        <v>1032</v>
      </c>
      <c r="J417" s="84">
        <f>VLOOKUP(C417, Products[], 6)</f>
        <v>21.5</v>
      </c>
      <c r="K417" s="86">
        <f t="shared" si="33"/>
        <v>1290</v>
      </c>
      <c r="L417" s="86">
        <f t="shared" si="34"/>
        <v>-258</v>
      </c>
      <c r="N417">
        <v>10659</v>
      </c>
      <c r="O417" s="84" cm="1">
        <f t="array" ref="O417">SUM(INDEX(_xlfn._xlws.FILTER($B$6:$L$2160, $B$6:$B$2160=N417), 0, 8))</f>
        <v>1227.02</v>
      </c>
      <c r="P417" s="84" cm="1">
        <f t="array" ref="P417">SUM(INDEX(_xlfn._xlws.FILTER($B$6:$L$2160, $B$6:$B$2160=N417), 0, 10))</f>
        <v>1291.5999999999999</v>
      </c>
      <c r="Q417" s="84" cm="1">
        <f t="array" ref="Q417">SUM(INDEX(_xlfn._xlws.FILTER($B$6:$L$2160, $B$6:$B$2160=N417), 0, 11))</f>
        <v>-64.579999999999984</v>
      </c>
    </row>
    <row r="418" spans="2:17" x14ac:dyDescent="0.2">
      <c r="B418">
        <v>10402</v>
      </c>
      <c r="C418">
        <v>23</v>
      </c>
      <c r="D418" s="84">
        <v>7.2</v>
      </c>
      <c r="E418">
        <v>60</v>
      </c>
      <c r="F418" s="85">
        <v>0</v>
      </c>
      <c r="G418" s="86">
        <f t="shared" si="30"/>
        <v>432</v>
      </c>
      <c r="H418" s="86">
        <f t="shared" si="31"/>
        <v>0</v>
      </c>
      <c r="I418" s="86">
        <f t="shared" si="32"/>
        <v>432</v>
      </c>
      <c r="J418" s="84">
        <f>VLOOKUP(C418, Products[], 6)</f>
        <v>9</v>
      </c>
      <c r="K418" s="86">
        <f t="shared" si="33"/>
        <v>540</v>
      </c>
      <c r="L418" s="86">
        <f t="shared" si="34"/>
        <v>-108</v>
      </c>
      <c r="N418">
        <v>10660</v>
      </c>
      <c r="O418" s="84" cm="1">
        <f t="array" ref="O418">SUM(INDEX(_xlfn._xlws.FILTER($B$6:$L$2160, $B$6:$B$2160=N418), 0, 8))</f>
        <v>1701</v>
      </c>
      <c r="P418" s="84" cm="1">
        <f t="array" ref="P418">SUM(INDEX(_xlfn._xlws.FILTER($B$6:$L$2160, $B$6:$B$2160=N418), 0, 10))</f>
        <v>1701</v>
      </c>
      <c r="Q418" s="84" cm="1">
        <f t="array" ref="Q418">SUM(INDEX(_xlfn._xlws.FILTER($B$6:$L$2160, $B$6:$B$2160=N418), 0, 11))</f>
        <v>0</v>
      </c>
    </row>
    <row r="419" spans="2:17" x14ac:dyDescent="0.2">
      <c r="B419">
        <v>10402</v>
      </c>
      <c r="C419">
        <v>63</v>
      </c>
      <c r="D419" s="84">
        <v>35.1</v>
      </c>
      <c r="E419">
        <v>65</v>
      </c>
      <c r="F419" s="85">
        <v>0</v>
      </c>
      <c r="G419" s="86">
        <f t="shared" si="30"/>
        <v>2281.5</v>
      </c>
      <c r="H419" s="86">
        <f t="shared" si="31"/>
        <v>0</v>
      </c>
      <c r="I419" s="86">
        <f t="shared" si="32"/>
        <v>2281.5</v>
      </c>
      <c r="J419" s="84">
        <f>VLOOKUP(C419, Products[], 6)</f>
        <v>43.9</v>
      </c>
      <c r="K419" s="86">
        <f t="shared" si="33"/>
        <v>2853.5</v>
      </c>
      <c r="L419" s="86">
        <f t="shared" si="34"/>
        <v>-572</v>
      </c>
      <c r="N419">
        <v>10661</v>
      </c>
      <c r="O419" s="84" cm="1">
        <f t="array" ref="O419">SUM(INDEX(_xlfn._xlws.FILTER($B$6:$L$2160, $B$6:$B$2160=N419), 0, 8))</f>
        <v>562.6</v>
      </c>
      <c r="P419" s="84" cm="1">
        <f t="array" ref="P419">SUM(INDEX(_xlfn._xlws.FILTER($B$6:$L$2160, $B$6:$B$2160=N419), 0, 10))</f>
        <v>703.25</v>
      </c>
      <c r="Q419" s="84" cm="1">
        <f t="array" ref="Q419">SUM(INDEX(_xlfn._xlws.FILTER($B$6:$L$2160, $B$6:$B$2160=N419), 0, 11))</f>
        <v>-140.65000000000003</v>
      </c>
    </row>
    <row r="420" spans="2:17" x14ac:dyDescent="0.2">
      <c r="B420">
        <v>10403</v>
      </c>
      <c r="C420">
        <v>16</v>
      </c>
      <c r="D420" s="84">
        <v>13.9</v>
      </c>
      <c r="E420">
        <v>21</v>
      </c>
      <c r="F420" s="85">
        <v>0.15</v>
      </c>
      <c r="G420" s="86">
        <f t="shared" si="30"/>
        <v>291.90000000000003</v>
      </c>
      <c r="H420" s="86">
        <f t="shared" si="31"/>
        <v>43.785000000000004</v>
      </c>
      <c r="I420" s="86">
        <f t="shared" si="32"/>
        <v>248.11500000000004</v>
      </c>
      <c r="J420" s="84">
        <f>VLOOKUP(C420, Products[], 6)</f>
        <v>17.45</v>
      </c>
      <c r="K420" s="86">
        <f t="shared" si="33"/>
        <v>366.45</v>
      </c>
      <c r="L420" s="86">
        <f t="shared" si="34"/>
        <v>-118.33499999999995</v>
      </c>
      <c r="N420">
        <v>10662</v>
      </c>
      <c r="O420" s="84" cm="1">
        <f t="array" ref="O420">SUM(INDEX(_xlfn._xlws.FILTER($B$6:$L$2160, $B$6:$B$2160=N420), 0, 8))</f>
        <v>125</v>
      </c>
      <c r="P420" s="84" cm="1">
        <f t="array" ref="P420">SUM(INDEX(_xlfn._xlws.FILTER($B$6:$L$2160, $B$6:$B$2160=N420), 0, 10))</f>
        <v>125</v>
      </c>
      <c r="Q420" s="84" cm="1">
        <f t="array" ref="Q420">SUM(INDEX(_xlfn._xlws.FILTER($B$6:$L$2160, $B$6:$B$2160=N420), 0, 11))</f>
        <v>0</v>
      </c>
    </row>
    <row r="421" spans="2:17" x14ac:dyDescent="0.2">
      <c r="B421">
        <v>10403</v>
      </c>
      <c r="C421">
        <v>48</v>
      </c>
      <c r="D421" s="84">
        <v>10.199999999999999</v>
      </c>
      <c r="E421">
        <v>70</v>
      </c>
      <c r="F421" s="85">
        <v>0.15</v>
      </c>
      <c r="G421" s="86">
        <f t="shared" si="30"/>
        <v>714</v>
      </c>
      <c r="H421" s="86">
        <f t="shared" si="31"/>
        <v>107.1</v>
      </c>
      <c r="I421" s="86">
        <f t="shared" si="32"/>
        <v>606.9</v>
      </c>
      <c r="J421" s="84">
        <f>VLOOKUP(C421, Products[], 6)</f>
        <v>12.75</v>
      </c>
      <c r="K421" s="86">
        <f t="shared" si="33"/>
        <v>892.5</v>
      </c>
      <c r="L421" s="86">
        <f t="shared" si="34"/>
        <v>-285.60000000000002</v>
      </c>
      <c r="N421">
        <v>10663</v>
      </c>
      <c r="O421" s="84" cm="1">
        <f t="array" ref="O421">SUM(INDEX(_xlfn._xlws.FILTER($B$6:$L$2160, $B$6:$B$2160=N421), 0, 8))</f>
        <v>1930.4</v>
      </c>
      <c r="P421" s="84" cm="1">
        <f t="array" ref="P421">SUM(INDEX(_xlfn._xlws.FILTER($B$6:$L$2160, $B$6:$B$2160=N421), 0, 10))</f>
        <v>2032</v>
      </c>
      <c r="Q421" s="84" cm="1">
        <f t="array" ref="Q421">SUM(INDEX(_xlfn._xlws.FILTER($B$6:$L$2160, $B$6:$B$2160=N421), 0, 11))</f>
        <v>-101.60000000000002</v>
      </c>
    </row>
    <row r="422" spans="2:17" x14ac:dyDescent="0.2">
      <c r="B422">
        <v>10404</v>
      </c>
      <c r="C422">
        <v>26</v>
      </c>
      <c r="D422" s="84">
        <v>24.9</v>
      </c>
      <c r="E422">
        <v>30</v>
      </c>
      <c r="F422" s="85">
        <v>0.05</v>
      </c>
      <c r="G422" s="86">
        <f t="shared" si="30"/>
        <v>747</v>
      </c>
      <c r="H422" s="86">
        <f t="shared" si="31"/>
        <v>37.35</v>
      </c>
      <c r="I422" s="86">
        <f t="shared" si="32"/>
        <v>709.65</v>
      </c>
      <c r="J422" s="84">
        <f>VLOOKUP(C422, Products[], 6)</f>
        <v>31.23</v>
      </c>
      <c r="K422" s="86">
        <f t="shared" si="33"/>
        <v>936.9</v>
      </c>
      <c r="L422" s="86">
        <f t="shared" si="34"/>
        <v>-227.25</v>
      </c>
      <c r="N422">
        <v>10664</v>
      </c>
      <c r="O422" s="84" cm="1">
        <f t="array" ref="O422">SUM(INDEX(_xlfn._xlws.FILTER($B$6:$L$2160, $B$6:$B$2160=N422), 0, 8))</f>
        <v>1288.3875</v>
      </c>
      <c r="P422" s="84" cm="1">
        <f t="array" ref="P422">SUM(INDEX(_xlfn._xlws.FILTER($B$6:$L$2160, $B$6:$B$2160=N422), 0, 10))</f>
        <v>1515.75</v>
      </c>
      <c r="Q422" s="84" cm="1">
        <f t="array" ref="Q422">SUM(INDEX(_xlfn._xlws.FILTER($B$6:$L$2160, $B$6:$B$2160=N422), 0, 11))</f>
        <v>-227.36250000000001</v>
      </c>
    </row>
    <row r="423" spans="2:17" x14ac:dyDescent="0.2">
      <c r="B423">
        <v>10404</v>
      </c>
      <c r="C423">
        <v>42</v>
      </c>
      <c r="D423" s="84">
        <v>11.2</v>
      </c>
      <c r="E423">
        <v>40</v>
      </c>
      <c r="F423" s="85">
        <v>0.05</v>
      </c>
      <c r="G423" s="86">
        <f t="shared" si="30"/>
        <v>448</v>
      </c>
      <c r="H423" s="86">
        <f t="shared" si="31"/>
        <v>22.400000000000002</v>
      </c>
      <c r="I423" s="86">
        <f t="shared" si="32"/>
        <v>425.6</v>
      </c>
      <c r="J423" s="84">
        <f>VLOOKUP(C423, Products[], 6)</f>
        <v>14</v>
      </c>
      <c r="K423" s="86">
        <f t="shared" si="33"/>
        <v>560</v>
      </c>
      <c r="L423" s="86">
        <f t="shared" si="34"/>
        <v>-134.39999999999998</v>
      </c>
      <c r="N423">
        <v>10665</v>
      </c>
      <c r="O423" s="84" cm="1">
        <f t="array" ref="O423">SUM(INDEX(_xlfn._xlws.FILTER($B$6:$L$2160, $B$6:$B$2160=N423), 0, 8))</f>
        <v>1295</v>
      </c>
      <c r="P423" s="84" cm="1">
        <f t="array" ref="P423">SUM(INDEX(_xlfn._xlws.FILTER($B$6:$L$2160, $B$6:$B$2160=N423), 0, 10))</f>
        <v>1295</v>
      </c>
      <c r="Q423" s="84" cm="1">
        <f t="array" ref="Q423">SUM(INDEX(_xlfn._xlws.FILTER($B$6:$L$2160, $B$6:$B$2160=N423), 0, 11))</f>
        <v>0</v>
      </c>
    </row>
    <row r="424" spans="2:17" x14ac:dyDescent="0.2">
      <c r="B424">
        <v>10404</v>
      </c>
      <c r="C424">
        <v>49</v>
      </c>
      <c r="D424" s="84">
        <v>16</v>
      </c>
      <c r="E424">
        <v>30</v>
      </c>
      <c r="F424" s="85">
        <v>0.05</v>
      </c>
      <c r="G424" s="86">
        <f t="shared" si="30"/>
        <v>480</v>
      </c>
      <c r="H424" s="86">
        <f t="shared" si="31"/>
        <v>24</v>
      </c>
      <c r="I424" s="86">
        <f t="shared" si="32"/>
        <v>456</v>
      </c>
      <c r="J424" s="84">
        <f>VLOOKUP(C424, Products[], 6)</f>
        <v>20</v>
      </c>
      <c r="K424" s="86">
        <f t="shared" si="33"/>
        <v>600</v>
      </c>
      <c r="L424" s="86">
        <f t="shared" si="34"/>
        <v>-144</v>
      </c>
      <c r="N424">
        <v>10666</v>
      </c>
      <c r="O424" s="84" cm="1">
        <f t="array" ref="O424">SUM(INDEX(_xlfn._xlws.FILTER($B$6:$L$2160, $B$6:$B$2160=N424), 0, 8))</f>
        <v>4666.9400000000005</v>
      </c>
      <c r="P424" s="84" cm="1">
        <f t="array" ref="P424">SUM(INDEX(_xlfn._xlws.FILTER($B$6:$L$2160, $B$6:$B$2160=N424), 0, 10))</f>
        <v>4666.9400000000005</v>
      </c>
      <c r="Q424" s="84" cm="1">
        <f t="array" ref="Q424">SUM(INDEX(_xlfn._xlws.FILTER($B$6:$L$2160, $B$6:$B$2160=N424), 0, 11))</f>
        <v>0</v>
      </c>
    </row>
    <row r="425" spans="2:17" x14ac:dyDescent="0.2">
      <c r="B425">
        <v>10405</v>
      </c>
      <c r="C425">
        <v>3</v>
      </c>
      <c r="D425" s="84">
        <v>8</v>
      </c>
      <c r="E425">
        <v>50</v>
      </c>
      <c r="F425" s="85">
        <v>0</v>
      </c>
      <c r="G425" s="86">
        <f t="shared" si="30"/>
        <v>400</v>
      </c>
      <c r="H425" s="86">
        <f t="shared" si="31"/>
        <v>0</v>
      </c>
      <c r="I425" s="86">
        <f t="shared" si="32"/>
        <v>400</v>
      </c>
      <c r="J425" s="84">
        <f>VLOOKUP(C425, Products[], 6)</f>
        <v>10</v>
      </c>
      <c r="K425" s="86">
        <f t="shared" si="33"/>
        <v>500</v>
      </c>
      <c r="L425" s="86">
        <f t="shared" si="34"/>
        <v>-100</v>
      </c>
      <c r="N425">
        <v>10667</v>
      </c>
      <c r="O425" s="84" cm="1">
        <f t="array" ref="O425">SUM(INDEX(_xlfn._xlws.FILTER($B$6:$L$2160, $B$6:$B$2160=N425), 0, 8))</f>
        <v>1536.8</v>
      </c>
      <c r="P425" s="84" cm="1">
        <f t="array" ref="P425">SUM(INDEX(_xlfn._xlws.FILTER($B$6:$L$2160, $B$6:$B$2160=N425), 0, 10))</f>
        <v>1921</v>
      </c>
      <c r="Q425" s="84" cm="1">
        <f t="array" ref="Q425">SUM(INDEX(_xlfn._xlws.FILTER($B$6:$L$2160, $B$6:$B$2160=N425), 0, 11))</f>
        <v>-384.2</v>
      </c>
    </row>
    <row r="426" spans="2:17" x14ac:dyDescent="0.2">
      <c r="B426">
        <v>10406</v>
      </c>
      <c r="C426">
        <v>1</v>
      </c>
      <c r="D426" s="84">
        <v>14.4</v>
      </c>
      <c r="E426">
        <v>10</v>
      </c>
      <c r="F426" s="85">
        <v>0</v>
      </c>
      <c r="G426" s="86">
        <f t="shared" si="30"/>
        <v>144</v>
      </c>
      <c r="H426" s="86">
        <f t="shared" si="31"/>
        <v>0</v>
      </c>
      <c r="I426" s="86">
        <f t="shared" si="32"/>
        <v>144</v>
      </c>
      <c r="J426" s="84">
        <f>VLOOKUP(C426, Products[], 6)</f>
        <v>18</v>
      </c>
      <c r="K426" s="86">
        <f t="shared" si="33"/>
        <v>180</v>
      </c>
      <c r="L426" s="86">
        <f t="shared" si="34"/>
        <v>-36</v>
      </c>
      <c r="N426">
        <v>10668</v>
      </c>
      <c r="O426" s="84" cm="1">
        <f t="array" ref="O426">SUM(INDEX(_xlfn._xlws.FILTER($B$6:$L$2160, $B$6:$B$2160=N426), 0, 8))</f>
        <v>625.27499999999998</v>
      </c>
      <c r="P426" s="84" cm="1">
        <f t="array" ref="P426">SUM(INDEX(_xlfn._xlws.FILTER($B$6:$L$2160, $B$6:$B$2160=N426), 0, 10))</f>
        <v>694.75</v>
      </c>
      <c r="Q426" s="84" cm="1">
        <f t="array" ref="Q426">SUM(INDEX(_xlfn._xlws.FILTER($B$6:$L$2160, $B$6:$B$2160=N426), 0, 11))</f>
        <v>-69.474999999999994</v>
      </c>
    </row>
    <row r="427" spans="2:17" x14ac:dyDescent="0.2">
      <c r="B427">
        <v>10406</v>
      </c>
      <c r="C427">
        <v>21</v>
      </c>
      <c r="D427" s="84">
        <v>8</v>
      </c>
      <c r="E427">
        <v>30</v>
      </c>
      <c r="F427" s="85">
        <v>0.1</v>
      </c>
      <c r="G427" s="86">
        <f t="shared" si="30"/>
        <v>240</v>
      </c>
      <c r="H427" s="86">
        <f t="shared" si="31"/>
        <v>24</v>
      </c>
      <c r="I427" s="86">
        <f t="shared" si="32"/>
        <v>216</v>
      </c>
      <c r="J427" s="84">
        <f>VLOOKUP(C427, Products[], 6)</f>
        <v>10</v>
      </c>
      <c r="K427" s="86">
        <f t="shared" si="33"/>
        <v>300</v>
      </c>
      <c r="L427" s="86">
        <f t="shared" si="34"/>
        <v>-84</v>
      </c>
      <c r="N427">
        <v>10669</v>
      </c>
      <c r="O427" s="84" cm="1">
        <f t="array" ref="O427">SUM(INDEX(_xlfn._xlws.FILTER($B$6:$L$2160, $B$6:$B$2160=N427), 0, 8))</f>
        <v>570</v>
      </c>
      <c r="P427" s="84" cm="1">
        <f t="array" ref="P427">SUM(INDEX(_xlfn._xlws.FILTER($B$6:$L$2160, $B$6:$B$2160=N427), 0, 10))</f>
        <v>570</v>
      </c>
      <c r="Q427" s="84" cm="1">
        <f t="array" ref="Q427">SUM(INDEX(_xlfn._xlws.FILTER($B$6:$L$2160, $B$6:$B$2160=N427), 0, 11))</f>
        <v>0</v>
      </c>
    </row>
    <row r="428" spans="2:17" x14ac:dyDescent="0.2">
      <c r="B428">
        <v>10406</v>
      </c>
      <c r="C428">
        <v>28</v>
      </c>
      <c r="D428" s="84">
        <v>36.4</v>
      </c>
      <c r="E428">
        <v>42</v>
      </c>
      <c r="F428" s="85">
        <v>0.1</v>
      </c>
      <c r="G428" s="86">
        <f t="shared" si="30"/>
        <v>1528.8</v>
      </c>
      <c r="H428" s="86">
        <f t="shared" si="31"/>
        <v>152.88</v>
      </c>
      <c r="I428" s="86">
        <f t="shared" si="32"/>
        <v>1375.92</v>
      </c>
      <c r="J428" s="84">
        <f>VLOOKUP(C428, Products[], 6)</f>
        <v>45.6</v>
      </c>
      <c r="K428" s="86">
        <f t="shared" si="33"/>
        <v>1915.2</v>
      </c>
      <c r="L428" s="86">
        <f t="shared" si="34"/>
        <v>-539.28</v>
      </c>
      <c r="N428">
        <v>10670</v>
      </c>
      <c r="O428" s="84" cm="1">
        <f t="array" ref="O428">SUM(INDEX(_xlfn._xlws.FILTER($B$6:$L$2160, $B$6:$B$2160=N428), 0, 8))</f>
        <v>2301.75</v>
      </c>
      <c r="P428" s="84" cm="1">
        <f t="array" ref="P428">SUM(INDEX(_xlfn._xlws.FILTER($B$6:$L$2160, $B$6:$B$2160=N428), 0, 10))</f>
        <v>2301.75</v>
      </c>
      <c r="Q428" s="84" cm="1">
        <f t="array" ref="Q428">SUM(INDEX(_xlfn._xlws.FILTER($B$6:$L$2160, $B$6:$B$2160=N428), 0, 11))</f>
        <v>0</v>
      </c>
    </row>
    <row r="429" spans="2:17" x14ac:dyDescent="0.2">
      <c r="B429">
        <v>10406</v>
      </c>
      <c r="C429">
        <v>36</v>
      </c>
      <c r="D429" s="84">
        <v>15.2</v>
      </c>
      <c r="E429">
        <v>5</v>
      </c>
      <c r="F429" s="85">
        <v>0.1</v>
      </c>
      <c r="G429" s="86">
        <f t="shared" si="30"/>
        <v>76</v>
      </c>
      <c r="H429" s="86">
        <f t="shared" si="31"/>
        <v>7.6000000000000005</v>
      </c>
      <c r="I429" s="86">
        <f t="shared" si="32"/>
        <v>68.400000000000006</v>
      </c>
      <c r="J429" s="84">
        <f>VLOOKUP(C429, Products[], 6)</f>
        <v>19</v>
      </c>
      <c r="K429" s="86">
        <f t="shared" si="33"/>
        <v>95</v>
      </c>
      <c r="L429" s="86">
        <f t="shared" si="34"/>
        <v>-26.599999999999994</v>
      </c>
      <c r="N429">
        <v>10671</v>
      </c>
      <c r="O429" s="84" cm="1">
        <f t="array" ref="O429">SUM(INDEX(_xlfn._xlws.FILTER($B$6:$L$2160, $B$6:$B$2160=N429), 0, 8))</f>
        <v>920.1</v>
      </c>
      <c r="P429" s="84" cm="1">
        <f t="array" ref="P429">SUM(INDEX(_xlfn._xlws.FILTER($B$6:$L$2160, $B$6:$B$2160=N429), 0, 10))</f>
        <v>920.1</v>
      </c>
      <c r="Q429" s="84" cm="1">
        <f t="array" ref="Q429">SUM(INDEX(_xlfn._xlws.FILTER($B$6:$L$2160, $B$6:$B$2160=N429), 0, 11))</f>
        <v>0</v>
      </c>
    </row>
    <row r="430" spans="2:17" x14ac:dyDescent="0.2">
      <c r="B430">
        <v>10406</v>
      </c>
      <c r="C430">
        <v>40</v>
      </c>
      <c r="D430" s="84">
        <v>14.7</v>
      </c>
      <c r="E430">
        <v>2</v>
      </c>
      <c r="F430" s="85">
        <v>0.1</v>
      </c>
      <c r="G430" s="86">
        <f t="shared" si="30"/>
        <v>29.4</v>
      </c>
      <c r="H430" s="86">
        <f t="shared" si="31"/>
        <v>2.94</v>
      </c>
      <c r="I430" s="86">
        <f t="shared" si="32"/>
        <v>26.459999999999997</v>
      </c>
      <c r="J430" s="84">
        <f>VLOOKUP(C430, Products[], 6)</f>
        <v>18.399999999999999</v>
      </c>
      <c r="K430" s="86">
        <f t="shared" si="33"/>
        <v>36.799999999999997</v>
      </c>
      <c r="L430" s="86">
        <f t="shared" si="34"/>
        <v>-10.34</v>
      </c>
      <c r="N430">
        <v>10672</v>
      </c>
      <c r="O430" s="84" cm="1">
        <f t="array" ref="O430">SUM(INDEX(_xlfn._xlws.FILTER($B$6:$L$2160, $B$6:$B$2160=N430), 0, 8))</f>
        <v>3815.25</v>
      </c>
      <c r="P430" s="84" cm="1">
        <f t="array" ref="P430">SUM(INDEX(_xlfn._xlws.FILTER($B$6:$L$2160, $B$6:$B$2160=N430), 0, 10))</f>
        <v>4210.5</v>
      </c>
      <c r="Q430" s="84" cm="1">
        <f t="array" ref="Q430">SUM(INDEX(_xlfn._xlws.FILTER($B$6:$L$2160, $B$6:$B$2160=N430), 0, 11))</f>
        <v>-395.25</v>
      </c>
    </row>
    <row r="431" spans="2:17" x14ac:dyDescent="0.2">
      <c r="B431">
        <v>10407</v>
      </c>
      <c r="C431">
        <v>11</v>
      </c>
      <c r="D431" s="84">
        <v>16.8</v>
      </c>
      <c r="E431">
        <v>30</v>
      </c>
      <c r="F431" s="85">
        <v>0</v>
      </c>
      <c r="G431" s="86">
        <f t="shared" si="30"/>
        <v>504</v>
      </c>
      <c r="H431" s="86">
        <f t="shared" si="31"/>
        <v>0</v>
      </c>
      <c r="I431" s="86">
        <f t="shared" si="32"/>
        <v>504</v>
      </c>
      <c r="J431" s="84">
        <f>VLOOKUP(C431, Products[], 6)</f>
        <v>21</v>
      </c>
      <c r="K431" s="86">
        <f t="shared" si="33"/>
        <v>630</v>
      </c>
      <c r="L431" s="86">
        <f t="shared" si="34"/>
        <v>-126</v>
      </c>
      <c r="N431">
        <v>10673</v>
      </c>
      <c r="O431" s="84" cm="1">
        <f t="array" ref="O431">SUM(INDEX(_xlfn._xlws.FILTER($B$6:$L$2160, $B$6:$B$2160=N431), 0, 8))</f>
        <v>412.35</v>
      </c>
      <c r="P431" s="84" cm="1">
        <f t="array" ref="P431">SUM(INDEX(_xlfn._xlws.FILTER($B$6:$L$2160, $B$6:$B$2160=N431), 0, 10))</f>
        <v>412.35</v>
      </c>
      <c r="Q431" s="84" cm="1">
        <f t="array" ref="Q431">SUM(INDEX(_xlfn._xlws.FILTER($B$6:$L$2160, $B$6:$B$2160=N431), 0, 11))</f>
        <v>0</v>
      </c>
    </row>
    <row r="432" spans="2:17" x14ac:dyDescent="0.2">
      <c r="B432">
        <v>10407</v>
      </c>
      <c r="C432">
        <v>69</v>
      </c>
      <c r="D432" s="84">
        <v>28.8</v>
      </c>
      <c r="E432">
        <v>15</v>
      </c>
      <c r="F432" s="85">
        <v>0</v>
      </c>
      <c r="G432" s="86">
        <f t="shared" si="30"/>
        <v>432</v>
      </c>
      <c r="H432" s="86">
        <f t="shared" si="31"/>
        <v>0</v>
      </c>
      <c r="I432" s="86">
        <f t="shared" si="32"/>
        <v>432</v>
      </c>
      <c r="J432" s="84">
        <f>VLOOKUP(C432, Products[], 6)</f>
        <v>36</v>
      </c>
      <c r="K432" s="86">
        <f t="shared" si="33"/>
        <v>540</v>
      </c>
      <c r="L432" s="86">
        <f t="shared" si="34"/>
        <v>-108</v>
      </c>
      <c r="N432">
        <v>10674</v>
      </c>
      <c r="O432" s="84" cm="1">
        <f t="array" ref="O432">SUM(INDEX(_xlfn._xlws.FILTER($B$6:$L$2160, $B$6:$B$2160=N432), 0, 8))</f>
        <v>45</v>
      </c>
      <c r="P432" s="84" cm="1">
        <f t="array" ref="P432">SUM(INDEX(_xlfn._xlws.FILTER($B$6:$L$2160, $B$6:$B$2160=N432), 0, 10))</f>
        <v>45</v>
      </c>
      <c r="Q432" s="84" cm="1">
        <f t="array" ref="Q432">SUM(INDEX(_xlfn._xlws.FILTER($B$6:$L$2160, $B$6:$B$2160=N432), 0, 11))</f>
        <v>0</v>
      </c>
    </row>
    <row r="433" spans="2:17" x14ac:dyDescent="0.2">
      <c r="B433">
        <v>10407</v>
      </c>
      <c r="C433">
        <v>71</v>
      </c>
      <c r="D433" s="84">
        <v>17.2</v>
      </c>
      <c r="E433">
        <v>15</v>
      </c>
      <c r="F433" s="85">
        <v>0</v>
      </c>
      <c r="G433" s="86">
        <f t="shared" si="30"/>
        <v>258</v>
      </c>
      <c r="H433" s="86">
        <f t="shared" si="31"/>
        <v>0</v>
      </c>
      <c r="I433" s="86">
        <f t="shared" si="32"/>
        <v>258</v>
      </c>
      <c r="J433" s="84">
        <f>VLOOKUP(C433, Products[], 6)</f>
        <v>21.5</v>
      </c>
      <c r="K433" s="86">
        <f t="shared" si="33"/>
        <v>322.5</v>
      </c>
      <c r="L433" s="86">
        <f t="shared" si="34"/>
        <v>-64.5</v>
      </c>
      <c r="N433">
        <v>10675</v>
      </c>
      <c r="O433" s="84" cm="1">
        <f t="array" ref="O433">SUM(INDEX(_xlfn._xlws.FILTER($B$6:$L$2160, $B$6:$B$2160=N433), 0, 8))</f>
        <v>1423</v>
      </c>
      <c r="P433" s="84" cm="1">
        <f t="array" ref="P433">SUM(INDEX(_xlfn._xlws.FILTER($B$6:$L$2160, $B$6:$B$2160=N433), 0, 10))</f>
        <v>1423</v>
      </c>
      <c r="Q433" s="84" cm="1">
        <f t="array" ref="Q433">SUM(INDEX(_xlfn._xlws.FILTER($B$6:$L$2160, $B$6:$B$2160=N433), 0, 11))</f>
        <v>0</v>
      </c>
    </row>
    <row r="434" spans="2:17" x14ac:dyDescent="0.2">
      <c r="B434">
        <v>10408</v>
      </c>
      <c r="C434">
        <v>37</v>
      </c>
      <c r="D434" s="84">
        <v>20.8</v>
      </c>
      <c r="E434">
        <v>10</v>
      </c>
      <c r="F434" s="85">
        <v>0</v>
      </c>
      <c r="G434" s="86">
        <f t="shared" si="30"/>
        <v>208</v>
      </c>
      <c r="H434" s="86">
        <f t="shared" si="31"/>
        <v>0</v>
      </c>
      <c r="I434" s="86">
        <f t="shared" si="32"/>
        <v>208</v>
      </c>
      <c r="J434" s="84">
        <f>VLOOKUP(C434, Products[], 6)</f>
        <v>26</v>
      </c>
      <c r="K434" s="86">
        <f t="shared" si="33"/>
        <v>260</v>
      </c>
      <c r="L434" s="86">
        <f t="shared" si="34"/>
        <v>-52</v>
      </c>
      <c r="N434">
        <v>10676</v>
      </c>
      <c r="O434" s="84" cm="1">
        <f t="array" ref="O434">SUM(INDEX(_xlfn._xlws.FILTER($B$6:$L$2160, $B$6:$B$2160=N434), 0, 8))</f>
        <v>534.85</v>
      </c>
      <c r="P434" s="84" cm="1">
        <f t="array" ref="P434">SUM(INDEX(_xlfn._xlws.FILTER($B$6:$L$2160, $B$6:$B$2160=N434), 0, 10))</f>
        <v>534.85</v>
      </c>
      <c r="Q434" s="84" cm="1">
        <f t="array" ref="Q434">SUM(INDEX(_xlfn._xlws.FILTER($B$6:$L$2160, $B$6:$B$2160=N434), 0, 11))</f>
        <v>0</v>
      </c>
    </row>
    <row r="435" spans="2:17" x14ac:dyDescent="0.2">
      <c r="B435">
        <v>10408</v>
      </c>
      <c r="C435">
        <v>54</v>
      </c>
      <c r="D435" s="84">
        <v>5.9</v>
      </c>
      <c r="E435">
        <v>6</v>
      </c>
      <c r="F435" s="85">
        <v>0</v>
      </c>
      <c r="G435" s="86">
        <f t="shared" si="30"/>
        <v>35.400000000000006</v>
      </c>
      <c r="H435" s="86">
        <f t="shared" si="31"/>
        <v>0</v>
      </c>
      <c r="I435" s="86">
        <f t="shared" si="32"/>
        <v>35.400000000000006</v>
      </c>
      <c r="J435" s="84">
        <f>VLOOKUP(C435, Products[], 6)</f>
        <v>7.45</v>
      </c>
      <c r="K435" s="86">
        <f t="shared" si="33"/>
        <v>44.7</v>
      </c>
      <c r="L435" s="86">
        <f t="shared" si="34"/>
        <v>-9.2999999999999972</v>
      </c>
      <c r="N435">
        <v>10677</v>
      </c>
      <c r="O435" s="84" cm="1">
        <f t="array" ref="O435">SUM(INDEX(_xlfn._xlws.FILTER($B$6:$L$2160, $B$6:$B$2160=N435), 0, 8))</f>
        <v>813.36500000000001</v>
      </c>
      <c r="P435" s="84" cm="1">
        <f t="array" ref="P435">SUM(INDEX(_xlfn._xlws.FILTER($B$6:$L$2160, $B$6:$B$2160=N435), 0, 10))</f>
        <v>956.9</v>
      </c>
      <c r="Q435" s="84" cm="1">
        <f t="array" ref="Q435">SUM(INDEX(_xlfn._xlws.FILTER($B$6:$L$2160, $B$6:$B$2160=N435), 0, 11))</f>
        <v>-143.53499999999997</v>
      </c>
    </row>
    <row r="436" spans="2:17" x14ac:dyDescent="0.2">
      <c r="B436">
        <v>10408</v>
      </c>
      <c r="C436">
        <v>62</v>
      </c>
      <c r="D436" s="84">
        <v>39.4</v>
      </c>
      <c r="E436">
        <v>35</v>
      </c>
      <c r="F436" s="85">
        <v>0</v>
      </c>
      <c r="G436" s="86">
        <f t="shared" si="30"/>
        <v>1379</v>
      </c>
      <c r="H436" s="86">
        <f t="shared" si="31"/>
        <v>0</v>
      </c>
      <c r="I436" s="86">
        <f t="shared" si="32"/>
        <v>1379</v>
      </c>
      <c r="J436" s="84">
        <f>VLOOKUP(C436, Products[], 6)</f>
        <v>49.3</v>
      </c>
      <c r="K436" s="86">
        <f t="shared" si="33"/>
        <v>1725.5</v>
      </c>
      <c r="L436" s="86">
        <f t="shared" si="34"/>
        <v>-346.5</v>
      </c>
      <c r="N436">
        <v>10678</v>
      </c>
      <c r="O436" s="84" cm="1">
        <f t="array" ref="O436">SUM(INDEX(_xlfn._xlws.FILTER($B$6:$L$2160, $B$6:$B$2160=N436), 0, 8))</f>
        <v>5256.5</v>
      </c>
      <c r="P436" s="84" cm="1">
        <f t="array" ref="P436">SUM(INDEX(_xlfn._xlws.FILTER($B$6:$L$2160, $B$6:$B$2160=N436), 0, 10))</f>
        <v>5256.5</v>
      </c>
      <c r="Q436" s="84" cm="1">
        <f t="array" ref="Q436">SUM(INDEX(_xlfn._xlws.FILTER($B$6:$L$2160, $B$6:$B$2160=N436), 0, 11))</f>
        <v>0</v>
      </c>
    </row>
    <row r="437" spans="2:17" x14ac:dyDescent="0.2">
      <c r="B437">
        <v>10409</v>
      </c>
      <c r="C437">
        <v>14</v>
      </c>
      <c r="D437" s="84">
        <v>18.600000000000001</v>
      </c>
      <c r="E437">
        <v>12</v>
      </c>
      <c r="F437" s="85">
        <v>0</v>
      </c>
      <c r="G437" s="86">
        <f t="shared" si="30"/>
        <v>223.20000000000002</v>
      </c>
      <c r="H437" s="86">
        <f t="shared" si="31"/>
        <v>0</v>
      </c>
      <c r="I437" s="86">
        <f t="shared" si="32"/>
        <v>223.20000000000002</v>
      </c>
      <c r="J437" s="84">
        <f>VLOOKUP(C437, Products[], 6)</f>
        <v>23.25</v>
      </c>
      <c r="K437" s="86">
        <f t="shared" si="33"/>
        <v>279</v>
      </c>
      <c r="L437" s="86">
        <f t="shared" si="34"/>
        <v>-55.799999999999983</v>
      </c>
      <c r="N437">
        <v>10679</v>
      </c>
      <c r="O437" s="84" cm="1">
        <f t="array" ref="O437">SUM(INDEX(_xlfn._xlws.FILTER($B$6:$L$2160, $B$6:$B$2160=N437), 0, 8))</f>
        <v>660</v>
      </c>
      <c r="P437" s="84" cm="1">
        <f t="array" ref="P437">SUM(INDEX(_xlfn._xlws.FILTER($B$6:$L$2160, $B$6:$B$2160=N437), 0, 10))</f>
        <v>660</v>
      </c>
      <c r="Q437" s="84" cm="1">
        <f t="array" ref="Q437">SUM(INDEX(_xlfn._xlws.FILTER($B$6:$L$2160, $B$6:$B$2160=N437), 0, 11))</f>
        <v>0</v>
      </c>
    </row>
    <row r="438" spans="2:17" x14ac:dyDescent="0.2">
      <c r="B438">
        <v>10409</v>
      </c>
      <c r="C438">
        <v>21</v>
      </c>
      <c r="D438" s="84">
        <v>8</v>
      </c>
      <c r="E438">
        <v>12</v>
      </c>
      <c r="F438" s="85">
        <v>0</v>
      </c>
      <c r="G438" s="86">
        <f t="shared" si="30"/>
        <v>96</v>
      </c>
      <c r="H438" s="86">
        <f t="shared" si="31"/>
        <v>0</v>
      </c>
      <c r="I438" s="86">
        <f t="shared" si="32"/>
        <v>96</v>
      </c>
      <c r="J438" s="84">
        <f>VLOOKUP(C438, Products[], 6)</f>
        <v>10</v>
      </c>
      <c r="K438" s="86">
        <f t="shared" si="33"/>
        <v>120</v>
      </c>
      <c r="L438" s="86">
        <f t="shared" si="34"/>
        <v>-24</v>
      </c>
      <c r="N438">
        <v>10680</v>
      </c>
      <c r="O438" s="84" cm="1">
        <f t="array" ref="O438">SUM(INDEX(_xlfn._xlws.FILTER($B$6:$L$2160, $B$6:$B$2160=N438), 0, 8))</f>
        <v>1261.875</v>
      </c>
      <c r="P438" s="84" cm="1">
        <f t="array" ref="P438">SUM(INDEX(_xlfn._xlws.FILTER($B$6:$L$2160, $B$6:$B$2160=N438), 0, 10))</f>
        <v>1682.5</v>
      </c>
      <c r="Q438" s="84" cm="1">
        <f t="array" ref="Q438">SUM(INDEX(_xlfn._xlws.FILTER($B$6:$L$2160, $B$6:$B$2160=N438), 0, 11))</f>
        <v>-420.625</v>
      </c>
    </row>
    <row r="439" spans="2:17" x14ac:dyDescent="0.2">
      <c r="B439">
        <v>10410</v>
      </c>
      <c r="C439">
        <v>33</v>
      </c>
      <c r="D439" s="84">
        <v>2</v>
      </c>
      <c r="E439">
        <v>49</v>
      </c>
      <c r="F439" s="85">
        <v>0</v>
      </c>
      <c r="G439" s="86">
        <f t="shared" si="30"/>
        <v>98</v>
      </c>
      <c r="H439" s="86">
        <f t="shared" si="31"/>
        <v>0</v>
      </c>
      <c r="I439" s="86">
        <f t="shared" si="32"/>
        <v>98</v>
      </c>
      <c r="J439" s="84">
        <f>VLOOKUP(C439, Products[], 6)</f>
        <v>2.5</v>
      </c>
      <c r="K439" s="86">
        <f t="shared" si="33"/>
        <v>122.5</v>
      </c>
      <c r="L439" s="86">
        <f t="shared" si="34"/>
        <v>-24.5</v>
      </c>
      <c r="N439">
        <v>10681</v>
      </c>
      <c r="O439" s="84" cm="1">
        <f t="array" ref="O439">SUM(INDEX(_xlfn._xlws.FILTER($B$6:$L$2160, $B$6:$B$2160=N439), 0, 8))</f>
        <v>1287.4000000000001</v>
      </c>
      <c r="P439" s="84" cm="1">
        <f t="array" ref="P439">SUM(INDEX(_xlfn._xlws.FILTER($B$6:$L$2160, $B$6:$B$2160=N439), 0, 10))</f>
        <v>1327</v>
      </c>
      <c r="Q439" s="84" cm="1">
        <f t="array" ref="Q439">SUM(INDEX(_xlfn._xlws.FILTER($B$6:$L$2160, $B$6:$B$2160=N439), 0, 11))</f>
        <v>-39.599999999999994</v>
      </c>
    </row>
    <row r="440" spans="2:17" x14ac:dyDescent="0.2">
      <c r="B440">
        <v>10410</v>
      </c>
      <c r="C440">
        <v>59</v>
      </c>
      <c r="D440" s="84">
        <v>44</v>
      </c>
      <c r="E440">
        <v>16</v>
      </c>
      <c r="F440" s="85">
        <v>0</v>
      </c>
      <c r="G440" s="86">
        <f t="shared" si="30"/>
        <v>704</v>
      </c>
      <c r="H440" s="86">
        <f t="shared" si="31"/>
        <v>0</v>
      </c>
      <c r="I440" s="86">
        <f t="shared" si="32"/>
        <v>704</v>
      </c>
      <c r="J440" s="84">
        <f>VLOOKUP(C440, Products[], 6)</f>
        <v>55</v>
      </c>
      <c r="K440" s="86">
        <f t="shared" si="33"/>
        <v>880</v>
      </c>
      <c r="L440" s="86">
        <f t="shared" si="34"/>
        <v>-176</v>
      </c>
      <c r="N440">
        <v>10682</v>
      </c>
      <c r="O440" s="84" cm="1">
        <f t="array" ref="O440">SUM(INDEX(_xlfn._xlws.FILTER($B$6:$L$2160, $B$6:$B$2160=N440), 0, 8))</f>
        <v>375.5</v>
      </c>
      <c r="P440" s="84" cm="1">
        <f t="array" ref="P440">SUM(INDEX(_xlfn._xlws.FILTER($B$6:$L$2160, $B$6:$B$2160=N440), 0, 10))</f>
        <v>375.5</v>
      </c>
      <c r="Q440" s="84" cm="1">
        <f t="array" ref="Q440">SUM(INDEX(_xlfn._xlws.FILTER($B$6:$L$2160, $B$6:$B$2160=N440), 0, 11))</f>
        <v>0</v>
      </c>
    </row>
    <row r="441" spans="2:17" x14ac:dyDescent="0.2">
      <c r="B441">
        <v>10411</v>
      </c>
      <c r="C441">
        <v>41</v>
      </c>
      <c r="D441" s="84">
        <v>7.7</v>
      </c>
      <c r="E441">
        <v>25</v>
      </c>
      <c r="F441" s="85">
        <v>0.2</v>
      </c>
      <c r="G441" s="86">
        <f t="shared" si="30"/>
        <v>192.5</v>
      </c>
      <c r="H441" s="86">
        <f t="shared" si="31"/>
        <v>38.5</v>
      </c>
      <c r="I441" s="86">
        <f t="shared" si="32"/>
        <v>154</v>
      </c>
      <c r="J441" s="84">
        <f>VLOOKUP(C441, Products[], 6)</f>
        <v>9.65</v>
      </c>
      <c r="K441" s="86">
        <f t="shared" si="33"/>
        <v>241.25</v>
      </c>
      <c r="L441" s="86">
        <f t="shared" si="34"/>
        <v>-87.25</v>
      </c>
      <c r="N441">
        <v>10683</v>
      </c>
      <c r="O441" s="84" cm="1">
        <f t="array" ref="O441">SUM(INDEX(_xlfn._xlws.FILTER($B$6:$L$2160, $B$6:$B$2160=N441), 0, 8))</f>
        <v>63</v>
      </c>
      <c r="P441" s="84" cm="1">
        <f t="array" ref="P441">SUM(INDEX(_xlfn._xlws.FILTER($B$6:$L$2160, $B$6:$B$2160=N441), 0, 10))</f>
        <v>63</v>
      </c>
      <c r="Q441" s="84" cm="1">
        <f t="array" ref="Q441">SUM(INDEX(_xlfn._xlws.FILTER($B$6:$L$2160, $B$6:$B$2160=N441), 0, 11))</f>
        <v>0</v>
      </c>
    </row>
    <row r="442" spans="2:17" x14ac:dyDescent="0.2">
      <c r="B442">
        <v>10411</v>
      </c>
      <c r="C442">
        <v>44</v>
      </c>
      <c r="D442" s="84">
        <v>15.5</v>
      </c>
      <c r="E442">
        <v>40</v>
      </c>
      <c r="F442" s="85">
        <v>0.2</v>
      </c>
      <c r="G442" s="86">
        <f t="shared" si="30"/>
        <v>620</v>
      </c>
      <c r="H442" s="86">
        <f t="shared" si="31"/>
        <v>124</v>
      </c>
      <c r="I442" s="86">
        <f t="shared" si="32"/>
        <v>496</v>
      </c>
      <c r="J442" s="84">
        <f>VLOOKUP(C442, Products[], 6)</f>
        <v>19.45</v>
      </c>
      <c r="K442" s="86">
        <f t="shared" si="33"/>
        <v>778</v>
      </c>
      <c r="L442" s="86">
        <f t="shared" si="34"/>
        <v>-282</v>
      </c>
      <c r="N442">
        <v>10684</v>
      </c>
      <c r="O442" s="84" cm="1">
        <f t="array" ref="O442">SUM(INDEX(_xlfn._xlws.FILTER($B$6:$L$2160, $B$6:$B$2160=N442), 0, 8))</f>
        <v>1768</v>
      </c>
      <c r="P442" s="84" cm="1">
        <f t="array" ref="P442">SUM(INDEX(_xlfn._xlws.FILTER($B$6:$L$2160, $B$6:$B$2160=N442), 0, 10))</f>
        <v>1768</v>
      </c>
      <c r="Q442" s="84" cm="1">
        <f t="array" ref="Q442">SUM(INDEX(_xlfn._xlws.FILTER($B$6:$L$2160, $B$6:$B$2160=N442), 0, 11))</f>
        <v>0</v>
      </c>
    </row>
    <row r="443" spans="2:17" x14ac:dyDescent="0.2">
      <c r="B443">
        <v>10411</v>
      </c>
      <c r="C443">
        <v>59</v>
      </c>
      <c r="D443" s="84">
        <v>44</v>
      </c>
      <c r="E443">
        <v>9</v>
      </c>
      <c r="F443" s="85">
        <v>0.2</v>
      </c>
      <c r="G443" s="86">
        <f t="shared" si="30"/>
        <v>396</v>
      </c>
      <c r="H443" s="86">
        <f t="shared" si="31"/>
        <v>79.2</v>
      </c>
      <c r="I443" s="86">
        <f t="shared" si="32"/>
        <v>316.8</v>
      </c>
      <c r="J443" s="84">
        <f>VLOOKUP(C443, Products[], 6)</f>
        <v>55</v>
      </c>
      <c r="K443" s="86">
        <f t="shared" si="33"/>
        <v>495</v>
      </c>
      <c r="L443" s="86">
        <f t="shared" si="34"/>
        <v>-178.2</v>
      </c>
      <c r="N443">
        <v>10685</v>
      </c>
      <c r="O443" s="84" cm="1">
        <f t="array" ref="O443">SUM(INDEX(_xlfn._xlws.FILTER($B$6:$L$2160, $B$6:$B$2160=N443), 0, 8))</f>
        <v>801.1</v>
      </c>
      <c r="P443" s="84" cm="1">
        <f t="array" ref="P443">SUM(INDEX(_xlfn._xlws.FILTER($B$6:$L$2160, $B$6:$B$2160=N443), 0, 10))</f>
        <v>801.1</v>
      </c>
      <c r="Q443" s="84" cm="1">
        <f t="array" ref="Q443">SUM(INDEX(_xlfn._xlws.FILTER($B$6:$L$2160, $B$6:$B$2160=N443), 0, 11))</f>
        <v>0</v>
      </c>
    </row>
    <row r="444" spans="2:17" x14ac:dyDescent="0.2">
      <c r="B444">
        <v>10412</v>
      </c>
      <c r="C444">
        <v>14</v>
      </c>
      <c r="D444" s="84">
        <v>18.600000000000001</v>
      </c>
      <c r="E444">
        <v>20</v>
      </c>
      <c r="F444" s="85">
        <v>0.1</v>
      </c>
      <c r="G444" s="86">
        <f t="shared" si="30"/>
        <v>372</v>
      </c>
      <c r="H444" s="86">
        <f t="shared" si="31"/>
        <v>37.200000000000003</v>
      </c>
      <c r="I444" s="86">
        <f t="shared" si="32"/>
        <v>334.8</v>
      </c>
      <c r="J444" s="84">
        <f>VLOOKUP(C444, Products[], 6)</f>
        <v>23.25</v>
      </c>
      <c r="K444" s="86">
        <f t="shared" si="33"/>
        <v>465</v>
      </c>
      <c r="L444" s="86">
        <f t="shared" si="34"/>
        <v>-130.19999999999999</v>
      </c>
      <c r="N444">
        <v>10686</v>
      </c>
      <c r="O444" s="84" cm="1">
        <f t="array" ref="O444">SUM(INDEX(_xlfn._xlws.FILTER($B$6:$L$2160, $B$6:$B$2160=N444), 0, 8))</f>
        <v>1404.45</v>
      </c>
      <c r="P444" s="84" cm="1">
        <f t="array" ref="P444">SUM(INDEX(_xlfn._xlws.FILTER($B$6:$L$2160, $B$6:$B$2160=N444), 0, 10))</f>
        <v>1638.45</v>
      </c>
      <c r="Q444" s="84" cm="1">
        <f t="array" ref="Q444">SUM(INDEX(_xlfn._xlws.FILTER($B$6:$L$2160, $B$6:$B$2160=N444), 0, 11))</f>
        <v>-234</v>
      </c>
    </row>
    <row r="445" spans="2:17" x14ac:dyDescent="0.2">
      <c r="B445">
        <v>10413</v>
      </c>
      <c r="C445">
        <v>1</v>
      </c>
      <c r="D445" s="84">
        <v>14.4</v>
      </c>
      <c r="E445">
        <v>24</v>
      </c>
      <c r="F445" s="85">
        <v>0</v>
      </c>
      <c r="G445" s="86">
        <f t="shared" si="30"/>
        <v>345.6</v>
      </c>
      <c r="H445" s="86">
        <f t="shared" si="31"/>
        <v>0</v>
      </c>
      <c r="I445" s="86">
        <f t="shared" si="32"/>
        <v>345.6</v>
      </c>
      <c r="J445" s="84">
        <f>VLOOKUP(C445, Products[], 6)</f>
        <v>18</v>
      </c>
      <c r="K445" s="86">
        <f t="shared" si="33"/>
        <v>432</v>
      </c>
      <c r="L445" s="86">
        <f t="shared" si="34"/>
        <v>-86.399999999999977</v>
      </c>
      <c r="N445">
        <v>10687</v>
      </c>
      <c r="O445" s="84" cm="1">
        <f t="array" ref="O445">SUM(INDEX(_xlfn._xlws.FILTER($B$6:$L$2160, $B$6:$B$2160=N445), 0, 8))</f>
        <v>4960.8999999999996</v>
      </c>
      <c r="P445" s="84" cm="1">
        <f t="array" ref="P445">SUM(INDEX(_xlfn._xlws.FILTER($B$6:$L$2160, $B$6:$B$2160=N445), 0, 10))</f>
        <v>6201.9</v>
      </c>
      <c r="Q445" s="84" cm="1">
        <f t="array" ref="Q445">SUM(INDEX(_xlfn._xlws.FILTER($B$6:$L$2160, $B$6:$B$2160=N445), 0, 11))</f>
        <v>-1241</v>
      </c>
    </row>
    <row r="446" spans="2:17" x14ac:dyDescent="0.2">
      <c r="B446">
        <v>10413</v>
      </c>
      <c r="C446">
        <v>62</v>
      </c>
      <c r="D446" s="84">
        <v>39.4</v>
      </c>
      <c r="E446">
        <v>40</v>
      </c>
      <c r="F446" s="85">
        <v>0</v>
      </c>
      <c r="G446" s="86">
        <f t="shared" si="30"/>
        <v>1576</v>
      </c>
      <c r="H446" s="86">
        <f t="shared" si="31"/>
        <v>0</v>
      </c>
      <c r="I446" s="86">
        <f t="shared" si="32"/>
        <v>1576</v>
      </c>
      <c r="J446" s="84">
        <f>VLOOKUP(C446, Products[], 6)</f>
        <v>49.3</v>
      </c>
      <c r="K446" s="86">
        <f t="shared" si="33"/>
        <v>1972</v>
      </c>
      <c r="L446" s="86">
        <f t="shared" si="34"/>
        <v>-396</v>
      </c>
      <c r="N446">
        <v>10688</v>
      </c>
      <c r="O446" s="84" cm="1">
        <f t="array" ref="O446">SUM(INDEX(_xlfn._xlws.FILTER($B$6:$L$2160, $B$6:$B$2160=N446), 0, 8))</f>
        <v>3160.6</v>
      </c>
      <c r="P446" s="84" cm="1">
        <f t="array" ref="P446">SUM(INDEX(_xlfn._xlws.FILTER($B$6:$L$2160, $B$6:$B$2160=N446), 0, 10))</f>
        <v>3490</v>
      </c>
      <c r="Q446" s="84" cm="1">
        <f t="array" ref="Q446">SUM(INDEX(_xlfn._xlws.FILTER($B$6:$L$2160, $B$6:$B$2160=N446), 0, 11))</f>
        <v>-329.39999999999992</v>
      </c>
    </row>
    <row r="447" spans="2:17" x14ac:dyDescent="0.2">
      <c r="B447">
        <v>10413</v>
      </c>
      <c r="C447">
        <v>76</v>
      </c>
      <c r="D447" s="84">
        <v>14.4</v>
      </c>
      <c r="E447">
        <v>14</v>
      </c>
      <c r="F447" s="85">
        <v>0</v>
      </c>
      <c r="G447" s="86">
        <f t="shared" si="30"/>
        <v>201.6</v>
      </c>
      <c r="H447" s="86">
        <f t="shared" si="31"/>
        <v>0</v>
      </c>
      <c r="I447" s="86">
        <f t="shared" si="32"/>
        <v>201.6</v>
      </c>
      <c r="J447" s="84">
        <f>VLOOKUP(C447, Products[], 6)</f>
        <v>18</v>
      </c>
      <c r="K447" s="86">
        <f t="shared" si="33"/>
        <v>252</v>
      </c>
      <c r="L447" s="86">
        <f t="shared" si="34"/>
        <v>-50.400000000000006</v>
      </c>
      <c r="N447">
        <v>10689</v>
      </c>
      <c r="O447" s="84" cm="1">
        <f t="array" ref="O447">SUM(INDEX(_xlfn._xlws.FILTER($B$6:$L$2160, $B$6:$B$2160=N447), 0, 8))</f>
        <v>472.5</v>
      </c>
      <c r="P447" s="84" cm="1">
        <f t="array" ref="P447">SUM(INDEX(_xlfn._xlws.FILTER($B$6:$L$2160, $B$6:$B$2160=N447), 0, 10))</f>
        <v>630</v>
      </c>
      <c r="Q447" s="84" cm="1">
        <f t="array" ref="Q447">SUM(INDEX(_xlfn._xlws.FILTER($B$6:$L$2160, $B$6:$B$2160=N447), 0, 11))</f>
        <v>-157.5</v>
      </c>
    </row>
    <row r="448" spans="2:17" x14ac:dyDescent="0.2">
      <c r="B448">
        <v>10414</v>
      </c>
      <c r="C448">
        <v>19</v>
      </c>
      <c r="D448" s="84">
        <v>7.3</v>
      </c>
      <c r="E448">
        <v>18</v>
      </c>
      <c r="F448" s="85">
        <v>0.05</v>
      </c>
      <c r="G448" s="86">
        <f t="shared" si="30"/>
        <v>131.4</v>
      </c>
      <c r="H448" s="86">
        <f t="shared" si="31"/>
        <v>6.57</v>
      </c>
      <c r="I448" s="86">
        <f t="shared" si="32"/>
        <v>124.83000000000001</v>
      </c>
      <c r="J448" s="84">
        <f>VLOOKUP(C448, Products[], 6)</f>
        <v>9.1999999999999993</v>
      </c>
      <c r="K448" s="86">
        <f t="shared" si="33"/>
        <v>165.6</v>
      </c>
      <c r="L448" s="86">
        <f t="shared" si="34"/>
        <v>-40.769999999999982</v>
      </c>
      <c r="N448">
        <v>10690</v>
      </c>
      <c r="O448" s="84" cm="1">
        <f t="array" ref="O448">SUM(INDEX(_xlfn._xlws.FILTER($B$6:$L$2160, $B$6:$B$2160=N448), 0, 8))</f>
        <v>862.5</v>
      </c>
      <c r="P448" s="84" cm="1">
        <f t="array" ref="P448">SUM(INDEX(_xlfn._xlws.FILTER($B$6:$L$2160, $B$6:$B$2160=N448), 0, 10))</f>
        <v>1150</v>
      </c>
      <c r="Q448" s="84" cm="1">
        <f t="array" ref="Q448">SUM(INDEX(_xlfn._xlws.FILTER($B$6:$L$2160, $B$6:$B$2160=N448), 0, 11))</f>
        <v>-287.5</v>
      </c>
    </row>
    <row r="449" spans="2:17" x14ac:dyDescent="0.2">
      <c r="B449">
        <v>10414</v>
      </c>
      <c r="C449">
        <v>33</v>
      </c>
      <c r="D449" s="84">
        <v>2</v>
      </c>
      <c r="E449">
        <v>50</v>
      </c>
      <c r="F449" s="85">
        <v>0</v>
      </c>
      <c r="G449" s="86">
        <f t="shared" si="30"/>
        <v>100</v>
      </c>
      <c r="H449" s="86">
        <f t="shared" si="31"/>
        <v>0</v>
      </c>
      <c r="I449" s="86">
        <f t="shared" si="32"/>
        <v>100</v>
      </c>
      <c r="J449" s="84">
        <f>VLOOKUP(C449, Products[], 6)</f>
        <v>2.5</v>
      </c>
      <c r="K449" s="86">
        <f t="shared" si="33"/>
        <v>125</v>
      </c>
      <c r="L449" s="86">
        <f t="shared" si="34"/>
        <v>-25</v>
      </c>
      <c r="N449">
        <v>10691</v>
      </c>
      <c r="O449" s="84" cm="1">
        <f t="array" ref="O449">SUM(INDEX(_xlfn._xlws.FILTER($B$6:$L$2160, $B$6:$B$2160=N449), 0, 8))</f>
        <v>10164.799999999999</v>
      </c>
      <c r="P449" s="84" cm="1">
        <f t="array" ref="P449">SUM(INDEX(_xlfn._xlws.FILTER($B$6:$L$2160, $B$6:$B$2160=N449), 0, 10))</f>
        <v>10164.799999999999</v>
      </c>
      <c r="Q449" s="84" cm="1">
        <f t="array" ref="Q449">SUM(INDEX(_xlfn._xlws.FILTER($B$6:$L$2160, $B$6:$B$2160=N449), 0, 11))</f>
        <v>0</v>
      </c>
    </row>
    <row r="450" spans="2:17" x14ac:dyDescent="0.2">
      <c r="B450">
        <v>10415</v>
      </c>
      <c r="C450">
        <v>17</v>
      </c>
      <c r="D450" s="84">
        <v>31.2</v>
      </c>
      <c r="E450">
        <v>2</v>
      </c>
      <c r="F450" s="85">
        <v>0</v>
      </c>
      <c r="G450" s="86">
        <f t="shared" si="30"/>
        <v>62.4</v>
      </c>
      <c r="H450" s="86">
        <f t="shared" si="31"/>
        <v>0</v>
      </c>
      <c r="I450" s="86">
        <f t="shared" si="32"/>
        <v>62.4</v>
      </c>
      <c r="J450" s="84">
        <f>VLOOKUP(C450, Products[], 6)</f>
        <v>39</v>
      </c>
      <c r="K450" s="86">
        <f t="shared" si="33"/>
        <v>78</v>
      </c>
      <c r="L450" s="86">
        <f t="shared" si="34"/>
        <v>-15.600000000000001</v>
      </c>
      <c r="N450">
        <v>10692</v>
      </c>
      <c r="O450" s="84" cm="1">
        <f t="array" ref="O450">SUM(INDEX(_xlfn._xlws.FILTER($B$6:$L$2160, $B$6:$B$2160=N450), 0, 8))</f>
        <v>878</v>
      </c>
      <c r="P450" s="84" cm="1">
        <f t="array" ref="P450">SUM(INDEX(_xlfn._xlws.FILTER($B$6:$L$2160, $B$6:$B$2160=N450), 0, 10))</f>
        <v>878</v>
      </c>
      <c r="Q450" s="84" cm="1">
        <f t="array" ref="Q450">SUM(INDEX(_xlfn._xlws.FILTER($B$6:$L$2160, $B$6:$B$2160=N450), 0, 11))</f>
        <v>0</v>
      </c>
    </row>
    <row r="451" spans="2:17" x14ac:dyDescent="0.2">
      <c r="B451">
        <v>10415</v>
      </c>
      <c r="C451">
        <v>33</v>
      </c>
      <c r="D451" s="84">
        <v>2</v>
      </c>
      <c r="E451">
        <v>20</v>
      </c>
      <c r="F451" s="85">
        <v>0</v>
      </c>
      <c r="G451" s="86">
        <f t="shared" si="30"/>
        <v>40</v>
      </c>
      <c r="H451" s="86">
        <f t="shared" si="31"/>
        <v>0</v>
      </c>
      <c r="I451" s="86">
        <f t="shared" si="32"/>
        <v>40</v>
      </c>
      <c r="J451" s="84">
        <f>VLOOKUP(C451, Products[], 6)</f>
        <v>2.5</v>
      </c>
      <c r="K451" s="86">
        <f t="shared" si="33"/>
        <v>50</v>
      </c>
      <c r="L451" s="86">
        <f t="shared" si="34"/>
        <v>-10</v>
      </c>
      <c r="N451">
        <v>10693</v>
      </c>
      <c r="O451" s="84" cm="1">
        <f t="array" ref="O451">SUM(INDEX(_xlfn._xlws.FILTER($B$6:$L$2160, $B$6:$B$2160=N451), 0, 8))</f>
        <v>2071.1999999999998</v>
      </c>
      <c r="P451" s="84" cm="1">
        <f t="array" ref="P451">SUM(INDEX(_xlfn._xlws.FILTER($B$6:$L$2160, $B$6:$B$2160=N451), 0, 10))</f>
        <v>2334</v>
      </c>
      <c r="Q451" s="84" cm="1">
        <f t="array" ref="Q451">SUM(INDEX(_xlfn._xlws.FILTER($B$6:$L$2160, $B$6:$B$2160=N451), 0, 11))</f>
        <v>-262.8</v>
      </c>
    </row>
    <row r="452" spans="2:17" x14ac:dyDescent="0.2">
      <c r="B452">
        <v>10416</v>
      </c>
      <c r="C452">
        <v>19</v>
      </c>
      <c r="D452" s="84">
        <v>7.3</v>
      </c>
      <c r="E452">
        <v>20</v>
      </c>
      <c r="F452" s="85">
        <v>0</v>
      </c>
      <c r="G452" s="86">
        <f t="shared" si="30"/>
        <v>146</v>
      </c>
      <c r="H452" s="86">
        <f t="shared" si="31"/>
        <v>0</v>
      </c>
      <c r="I452" s="86">
        <f t="shared" si="32"/>
        <v>146</v>
      </c>
      <c r="J452" s="84">
        <f>VLOOKUP(C452, Products[], 6)</f>
        <v>9.1999999999999993</v>
      </c>
      <c r="K452" s="86">
        <f t="shared" si="33"/>
        <v>184</v>
      </c>
      <c r="L452" s="86">
        <f t="shared" si="34"/>
        <v>-38</v>
      </c>
      <c r="N452">
        <v>10694</v>
      </c>
      <c r="O452" s="84" cm="1">
        <f t="array" ref="O452">SUM(INDEX(_xlfn._xlws.FILTER($B$6:$L$2160, $B$6:$B$2160=N452), 0, 8))</f>
        <v>4825</v>
      </c>
      <c r="P452" s="84" cm="1">
        <f t="array" ref="P452">SUM(INDEX(_xlfn._xlws.FILTER($B$6:$L$2160, $B$6:$B$2160=N452), 0, 10))</f>
        <v>4825</v>
      </c>
      <c r="Q452" s="84" cm="1">
        <f t="array" ref="Q452">SUM(INDEX(_xlfn._xlws.FILTER($B$6:$L$2160, $B$6:$B$2160=N452), 0, 11))</f>
        <v>0</v>
      </c>
    </row>
    <row r="453" spans="2:17" x14ac:dyDescent="0.2">
      <c r="B453">
        <v>10416</v>
      </c>
      <c r="C453">
        <v>53</v>
      </c>
      <c r="D453" s="84">
        <v>26.2</v>
      </c>
      <c r="E453">
        <v>10</v>
      </c>
      <c r="F453" s="85">
        <v>0</v>
      </c>
      <c r="G453" s="86">
        <f t="shared" si="30"/>
        <v>262</v>
      </c>
      <c r="H453" s="86">
        <f t="shared" si="31"/>
        <v>0</v>
      </c>
      <c r="I453" s="86">
        <f t="shared" si="32"/>
        <v>262</v>
      </c>
      <c r="J453" s="84">
        <f>VLOOKUP(C453, Products[], 6)</f>
        <v>32.799999999999997</v>
      </c>
      <c r="K453" s="86">
        <f t="shared" si="33"/>
        <v>328</v>
      </c>
      <c r="L453" s="86">
        <f t="shared" si="34"/>
        <v>-66</v>
      </c>
      <c r="N453">
        <v>10695</v>
      </c>
      <c r="O453" s="84" cm="1">
        <f t="array" ref="O453">SUM(INDEX(_xlfn._xlws.FILTER($B$6:$L$2160, $B$6:$B$2160=N453), 0, 8))</f>
        <v>642</v>
      </c>
      <c r="P453" s="84" cm="1">
        <f t="array" ref="P453">SUM(INDEX(_xlfn._xlws.FILTER($B$6:$L$2160, $B$6:$B$2160=N453), 0, 10))</f>
        <v>642</v>
      </c>
      <c r="Q453" s="84" cm="1">
        <f t="array" ref="Q453">SUM(INDEX(_xlfn._xlws.FILTER($B$6:$L$2160, $B$6:$B$2160=N453), 0, 11))</f>
        <v>0</v>
      </c>
    </row>
    <row r="454" spans="2:17" x14ac:dyDescent="0.2">
      <c r="B454">
        <v>10416</v>
      </c>
      <c r="C454">
        <v>57</v>
      </c>
      <c r="D454" s="84">
        <v>15.6</v>
      </c>
      <c r="E454">
        <v>20</v>
      </c>
      <c r="F454" s="85">
        <v>0</v>
      </c>
      <c r="G454" s="86">
        <f t="shared" si="30"/>
        <v>312</v>
      </c>
      <c r="H454" s="86">
        <f t="shared" si="31"/>
        <v>0</v>
      </c>
      <c r="I454" s="86">
        <f t="shared" si="32"/>
        <v>312</v>
      </c>
      <c r="J454" s="84">
        <f>VLOOKUP(C454, Products[], 6)</f>
        <v>19.5</v>
      </c>
      <c r="K454" s="86">
        <f t="shared" si="33"/>
        <v>390</v>
      </c>
      <c r="L454" s="86">
        <f t="shared" si="34"/>
        <v>-78</v>
      </c>
      <c r="N454">
        <v>10696</v>
      </c>
      <c r="O454" s="84" cm="1">
        <f t="array" ref="O454">SUM(INDEX(_xlfn._xlws.FILTER($B$6:$L$2160, $B$6:$B$2160=N454), 0, 8))</f>
        <v>996</v>
      </c>
      <c r="P454" s="84" cm="1">
        <f t="array" ref="P454">SUM(INDEX(_xlfn._xlws.FILTER($B$6:$L$2160, $B$6:$B$2160=N454), 0, 10))</f>
        <v>996</v>
      </c>
      <c r="Q454" s="84" cm="1">
        <f t="array" ref="Q454">SUM(INDEX(_xlfn._xlws.FILTER($B$6:$L$2160, $B$6:$B$2160=N454), 0, 11))</f>
        <v>0</v>
      </c>
    </row>
    <row r="455" spans="2:17" x14ac:dyDescent="0.2">
      <c r="B455">
        <v>10417</v>
      </c>
      <c r="C455">
        <v>38</v>
      </c>
      <c r="D455" s="84">
        <v>210.8</v>
      </c>
      <c r="E455">
        <v>50</v>
      </c>
      <c r="F455" s="85">
        <v>0</v>
      </c>
      <c r="G455" s="86">
        <f t="shared" ref="G455:G518" si="35">D455*E455</f>
        <v>10540</v>
      </c>
      <c r="H455" s="86">
        <f t="shared" ref="H455:H518" si="36">G455*F455</f>
        <v>0</v>
      </c>
      <c r="I455" s="86">
        <f t="shared" ref="I455:I518" si="37">G455-H455</f>
        <v>10540</v>
      </c>
      <c r="J455" s="84">
        <f>VLOOKUP(C455, Products[], 6)</f>
        <v>263.5</v>
      </c>
      <c r="K455" s="86">
        <f t="shared" ref="K455:K518" si="38">J455*E455</f>
        <v>13175</v>
      </c>
      <c r="L455" s="86">
        <f t="shared" ref="L455:L518" si="39">I455-K455</f>
        <v>-2635</v>
      </c>
      <c r="N455">
        <v>10697</v>
      </c>
      <c r="O455" s="84" cm="1">
        <f t="array" ref="O455">SUM(INDEX(_xlfn._xlws.FILTER($B$6:$L$2160, $B$6:$B$2160=N455), 0, 8))</f>
        <v>805.42499999999995</v>
      </c>
      <c r="P455" s="84" cm="1">
        <f t="array" ref="P455">SUM(INDEX(_xlfn._xlws.FILTER($B$6:$L$2160, $B$6:$B$2160=N455), 0, 10))</f>
        <v>1073.9000000000001</v>
      </c>
      <c r="Q455" s="84" cm="1">
        <f t="array" ref="Q455">SUM(INDEX(_xlfn._xlws.FILTER($B$6:$L$2160, $B$6:$B$2160=N455), 0, 11))</f>
        <v>-268.47500000000002</v>
      </c>
    </row>
    <row r="456" spans="2:17" x14ac:dyDescent="0.2">
      <c r="B456">
        <v>10417</v>
      </c>
      <c r="C456">
        <v>46</v>
      </c>
      <c r="D456" s="84">
        <v>9.6</v>
      </c>
      <c r="E456">
        <v>2</v>
      </c>
      <c r="F456" s="85">
        <v>0.25</v>
      </c>
      <c r="G456" s="86">
        <f t="shared" si="35"/>
        <v>19.2</v>
      </c>
      <c r="H456" s="86">
        <f t="shared" si="36"/>
        <v>4.8</v>
      </c>
      <c r="I456" s="86">
        <f t="shared" si="37"/>
        <v>14.399999999999999</v>
      </c>
      <c r="J456" s="84">
        <f>VLOOKUP(C456, Products[], 6)</f>
        <v>12</v>
      </c>
      <c r="K456" s="86">
        <f t="shared" si="38"/>
        <v>24</v>
      </c>
      <c r="L456" s="86">
        <f t="shared" si="39"/>
        <v>-9.6000000000000014</v>
      </c>
      <c r="N456">
        <v>10698</v>
      </c>
      <c r="O456" s="84" cm="1">
        <f t="array" ref="O456">SUM(INDEX(_xlfn._xlws.FILTER($B$6:$L$2160, $B$6:$B$2160=N456), 0, 8))</f>
        <v>3436.4435000000003</v>
      </c>
      <c r="P456" s="84" cm="1">
        <f t="array" ref="P456">SUM(INDEX(_xlfn._xlws.FILTER($B$6:$L$2160, $B$6:$B$2160=N456), 0, 10))</f>
        <v>3600.73</v>
      </c>
      <c r="Q456" s="84" cm="1">
        <f t="array" ref="Q456">SUM(INDEX(_xlfn._xlws.FILTER($B$6:$L$2160, $B$6:$B$2160=N456), 0, 11))</f>
        <v>-164.28649999999982</v>
      </c>
    </row>
    <row r="457" spans="2:17" x14ac:dyDescent="0.2">
      <c r="B457">
        <v>10417</v>
      </c>
      <c r="C457">
        <v>68</v>
      </c>
      <c r="D457" s="84">
        <v>10</v>
      </c>
      <c r="E457">
        <v>36</v>
      </c>
      <c r="F457" s="85">
        <v>0.25</v>
      </c>
      <c r="G457" s="86">
        <f t="shared" si="35"/>
        <v>360</v>
      </c>
      <c r="H457" s="86">
        <f t="shared" si="36"/>
        <v>90</v>
      </c>
      <c r="I457" s="86">
        <f t="shared" si="37"/>
        <v>270</v>
      </c>
      <c r="J457" s="84">
        <f>VLOOKUP(C457, Products[], 6)</f>
        <v>12.5</v>
      </c>
      <c r="K457" s="86">
        <f t="shared" si="38"/>
        <v>450</v>
      </c>
      <c r="L457" s="86">
        <f t="shared" si="39"/>
        <v>-180</v>
      </c>
      <c r="N457">
        <v>10699</v>
      </c>
      <c r="O457" s="84" cm="1">
        <f t="array" ref="O457">SUM(INDEX(_xlfn._xlws.FILTER($B$6:$L$2160, $B$6:$B$2160=N457), 0, 8))</f>
        <v>114</v>
      </c>
      <c r="P457" s="84" cm="1">
        <f t="array" ref="P457">SUM(INDEX(_xlfn._xlws.FILTER($B$6:$L$2160, $B$6:$B$2160=N457), 0, 10))</f>
        <v>114</v>
      </c>
      <c r="Q457" s="84" cm="1">
        <f t="array" ref="Q457">SUM(INDEX(_xlfn._xlws.FILTER($B$6:$L$2160, $B$6:$B$2160=N457), 0, 11))</f>
        <v>0</v>
      </c>
    </row>
    <row r="458" spans="2:17" x14ac:dyDescent="0.2">
      <c r="B458">
        <v>10417</v>
      </c>
      <c r="C458">
        <v>77</v>
      </c>
      <c r="D458" s="84">
        <v>10.4</v>
      </c>
      <c r="E458">
        <v>35</v>
      </c>
      <c r="F458" s="85">
        <v>0</v>
      </c>
      <c r="G458" s="86">
        <f t="shared" si="35"/>
        <v>364</v>
      </c>
      <c r="H458" s="86">
        <f t="shared" si="36"/>
        <v>0</v>
      </c>
      <c r="I458" s="86">
        <f t="shared" si="37"/>
        <v>364</v>
      </c>
      <c r="J458" s="84">
        <f>VLOOKUP(C458, Products[], 6)</f>
        <v>13</v>
      </c>
      <c r="K458" s="86">
        <f t="shared" si="38"/>
        <v>455</v>
      </c>
      <c r="L458" s="86">
        <f t="shared" si="39"/>
        <v>-91</v>
      </c>
      <c r="N458">
        <v>10700</v>
      </c>
      <c r="O458" s="84" cm="1">
        <f t="array" ref="O458">SUM(INDEX(_xlfn._xlws.FILTER($B$6:$L$2160, $B$6:$B$2160=N458), 0, 8))</f>
        <v>1638.4</v>
      </c>
      <c r="P458" s="84" cm="1">
        <f t="array" ref="P458">SUM(INDEX(_xlfn._xlws.FILTER($B$6:$L$2160, $B$6:$B$2160=N458), 0, 10))</f>
        <v>2048</v>
      </c>
      <c r="Q458" s="84" cm="1">
        <f t="array" ref="Q458">SUM(INDEX(_xlfn._xlws.FILTER($B$6:$L$2160, $B$6:$B$2160=N458), 0, 11))</f>
        <v>-409.6</v>
      </c>
    </row>
    <row r="459" spans="2:17" x14ac:dyDescent="0.2">
      <c r="B459">
        <v>10418</v>
      </c>
      <c r="C459">
        <v>2</v>
      </c>
      <c r="D459" s="84">
        <v>15.2</v>
      </c>
      <c r="E459">
        <v>60</v>
      </c>
      <c r="F459" s="85">
        <v>0</v>
      </c>
      <c r="G459" s="86">
        <f t="shared" si="35"/>
        <v>912</v>
      </c>
      <c r="H459" s="86">
        <f t="shared" si="36"/>
        <v>0</v>
      </c>
      <c r="I459" s="86">
        <f t="shared" si="37"/>
        <v>912</v>
      </c>
      <c r="J459" s="84">
        <f>VLOOKUP(C459, Products[], 6)</f>
        <v>19</v>
      </c>
      <c r="K459" s="86">
        <f t="shared" si="38"/>
        <v>1140</v>
      </c>
      <c r="L459" s="86">
        <f t="shared" si="39"/>
        <v>-228</v>
      </c>
      <c r="N459">
        <v>10701</v>
      </c>
      <c r="O459" s="84" cm="1">
        <f t="array" ref="O459">SUM(INDEX(_xlfn._xlws.FILTER($B$6:$L$2160, $B$6:$B$2160=N459), 0, 8))</f>
        <v>2864.5</v>
      </c>
      <c r="P459" s="84" cm="1">
        <f t="array" ref="P459">SUM(INDEX(_xlfn._xlws.FILTER($B$6:$L$2160, $B$6:$B$2160=N459), 0, 10))</f>
        <v>3370</v>
      </c>
      <c r="Q459" s="84" cm="1">
        <f t="array" ref="Q459">SUM(INDEX(_xlfn._xlws.FILTER($B$6:$L$2160, $B$6:$B$2160=N459), 0, 11))</f>
        <v>-505.5</v>
      </c>
    </row>
    <row r="460" spans="2:17" x14ac:dyDescent="0.2">
      <c r="B460">
        <v>10418</v>
      </c>
      <c r="C460">
        <v>47</v>
      </c>
      <c r="D460" s="84">
        <v>7.6</v>
      </c>
      <c r="E460">
        <v>55</v>
      </c>
      <c r="F460" s="85">
        <v>0</v>
      </c>
      <c r="G460" s="86">
        <f t="shared" si="35"/>
        <v>418</v>
      </c>
      <c r="H460" s="86">
        <f t="shared" si="36"/>
        <v>0</v>
      </c>
      <c r="I460" s="86">
        <f t="shared" si="37"/>
        <v>418</v>
      </c>
      <c r="J460" s="84">
        <f>VLOOKUP(C460, Products[], 6)</f>
        <v>9.5</v>
      </c>
      <c r="K460" s="86">
        <f t="shared" si="38"/>
        <v>522.5</v>
      </c>
      <c r="L460" s="86">
        <f t="shared" si="39"/>
        <v>-104.5</v>
      </c>
      <c r="N460">
        <v>10702</v>
      </c>
      <c r="O460" s="84" cm="1">
        <f t="array" ref="O460">SUM(INDEX(_xlfn._xlws.FILTER($B$6:$L$2160, $B$6:$B$2160=N460), 0, 8))</f>
        <v>330</v>
      </c>
      <c r="P460" s="84" cm="1">
        <f t="array" ref="P460">SUM(INDEX(_xlfn._xlws.FILTER($B$6:$L$2160, $B$6:$B$2160=N460), 0, 10))</f>
        <v>330</v>
      </c>
      <c r="Q460" s="84" cm="1">
        <f t="array" ref="Q460">SUM(INDEX(_xlfn._xlws.FILTER($B$6:$L$2160, $B$6:$B$2160=N460), 0, 11))</f>
        <v>0</v>
      </c>
    </row>
    <row r="461" spans="2:17" x14ac:dyDescent="0.2">
      <c r="B461">
        <v>10418</v>
      </c>
      <c r="C461">
        <v>61</v>
      </c>
      <c r="D461" s="84">
        <v>22.8</v>
      </c>
      <c r="E461">
        <v>16</v>
      </c>
      <c r="F461" s="85">
        <v>0</v>
      </c>
      <c r="G461" s="86">
        <f t="shared" si="35"/>
        <v>364.8</v>
      </c>
      <c r="H461" s="86">
        <f t="shared" si="36"/>
        <v>0</v>
      </c>
      <c r="I461" s="86">
        <f t="shared" si="37"/>
        <v>364.8</v>
      </c>
      <c r="J461" s="84">
        <f>VLOOKUP(C461, Products[], 6)</f>
        <v>28.5</v>
      </c>
      <c r="K461" s="86">
        <f t="shared" si="38"/>
        <v>456</v>
      </c>
      <c r="L461" s="86">
        <f t="shared" si="39"/>
        <v>-91.199999999999989</v>
      </c>
      <c r="N461">
        <v>10703</v>
      </c>
      <c r="O461" s="84" cm="1">
        <f t="array" ref="O461">SUM(INDEX(_xlfn._xlws.FILTER($B$6:$L$2160, $B$6:$B$2160=N461), 0, 8))</f>
        <v>2545</v>
      </c>
      <c r="P461" s="84" cm="1">
        <f t="array" ref="P461">SUM(INDEX(_xlfn._xlws.FILTER($B$6:$L$2160, $B$6:$B$2160=N461), 0, 10))</f>
        <v>2545</v>
      </c>
      <c r="Q461" s="84" cm="1">
        <f t="array" ref="Q461">SUM(INDEX(_xlfn._xlws.FILTER($B$6:$L$2160, $B$6:$B$2160=N461), 0, 11))</f>
        <v>0</v>
      </c>
    </row>
    <row r="462" spans="2:17" x14ac:dyDescent="0.2">
      <c r="B462">
        <v>10418</v>
      </c>
      <c r="C462">
        <v>74</v>
      </c>
      <c r="D462" s="84">
        <v>8</v>
      </c>
      <c r="E462">
        <v>15</v>
      </c>
      <c r="F462" s="85">
        <v>0</v>
      </c>
      <c r="G462" s="86">
        <f t="shared" si="35"/>
        <v>120</v>
      </c>
      <c r="H462" s="86">
        <f t="shared" si="36"/>
        <v>0</v>
      </c>
      <c r="I462" s="86">
        <f t="shared" si="37"/>
        <v>120</v>
      </c>
      <c r="J462" s="84">
        <f>VLOOKUP(C462, Products[], 6)</f>
        <v>10</v>
      </c>
      <c r="K462" s="86">
        <f t="shared" si="38"/>
        <v>150</v>
      </c>
      <c r="L462" s="86">
        <f t="shared" si="39"/>
        <v>-30</v>
      </c>
      <c r="N462">
        <v>10704</v>
      </c>
      <c r="O462" s="84" cm="1">
        <f t="array" ref="O462">SUM(INDEX(_xlfn._xlws.FILTER($B$6:$L$2160, $B$6:$B$2160=N462), 0, 8))</f>
        <v>595.5</v>
      </c>
      <c r="P462" s="84" cm="1">
        <f t="array" ref="P462">SUM(INDEX(_xlfn._xlws.FILTER($B$6:$L$2160, $B$6:$B$2160=N462), 0, 10))</f>
        <v>595.5</v>
      </c>
      <c r="Q462" s="84" cm="1">
        <f t="array" ref="Q462">SUM(INDEX(_xlfn._xlws.FILTER($B$6:$L$2160, $B$6:$B$2160=N462), 0, 11))</f>
        <v>0</v>
      </c>
    </row>
    <row r="463" spans="2:17" x14ac:dyDescent="0.2">
      <c r="B463">
        <v>10419</v>
      </c>
      <c r="C463">
        <v>60</v>
      </c>
      <c r="D463" s="84">
        <v>27.2</v>
      </c>
      <c r="E463">
        <v>60</v>
      </c>
      <c r="F463" s="85">
        <v>0.05</v>
      </c>
      <c r="G463" s="86">
        <f t="shared" si="35"/>
        <v>1632</v>
      </c>
      <c r="H463" s="86">
        <f t="shared" si="36"/>
        <v>81.600000000000009</v>
      </c>
      <c r="I463" s="86">
        <f t="shared" si="37"/>
        <v>1550.4</v>
      </c>
      <c r="J463" s="84">
        <f>VLOOKUP(C463, Products[], 6)</f>
        <v>34</v>
      </c>
      <c r="K463" s="86">
        <f t="shared" si="38"/>
        <v>2040</v>
      </c>
      <c r="L463" s="86">
        <f t="shared" si="39"/>
        <v>-489.59999999999991</v>
      </c>
      <c r="N463">
        <v>10705</v>
      </c>
      <c r="O463" s="84" cm="1">
        <f t="array" ref="O463">SUM(INDEX(_xlfn._xlws.FILTER($B$6:$L$2160, $B$6:$B$2160=N463), 0, 8))</f>
        <v>378</v>
      </c>
      <c r="P463" s="84" cm="1">
        <f t="array" ref="P463">SUM(INDEX(_xlfn._xlws.FILTER($B$6:$L$2160, $B$6:$B$2160=N463), 0, 10))</f>
        <v>378</v>
      </c>
      <c r="Q463" s="84" cm="1">
        <f t="array" ref="Q463">SUM(INDEX(_xlfn._xlws.FILTER($B$6:$L$2160, $B$6:$B$2160=N463), 0, 11))</f>
        <v>0</v>
      </c>
    </row>
    <row r="464" spans="2:17" x14ac:dyDescent="0.2">
      <c r="B464">
        <v>10419</v>
      </c>
      <c r="C464">
        <v>69</v>
      </c>
      <c r="D464" s="84">
        <v>28.8</v>
      </c>
      <c r="E464">
        <v>20</v>
      </c>
      <c r="F464" s="85">
        <v>0.05</v>
      </c>
      <c r="G464" s="86">
        <f t="shared" si="35"/>
        <v>576</v>
      </c>
      <c r="H464" s="86">
        <f t="shared" si="36"/>
        <v>28.8</v>
      </c>
      <c r="I464" s="86">
        <f t="shared" si="37"/>
        <v>547.20000000000005</v>
      </c>
      <c r="J464" s="84">
        <f>VLOOKUP(C464, Products[], 6)</f>
        <v>36</v>
      </c>
      <c r="K464" s="86">
        <f t="shared" si="38"/>
        <v>720</v>
      </c>
      <c r="L464" s="86">
        <f t="shared" si="39"/>
        <v>-172.79999999999995</v>
      </c>
      <c r="N464">
        <v>10706</v>
      </c>
      <c r="O464" s="84" cm="1">
        <f t="array" ref="O464">SUM(INDEX(_xlfn._xlws.FILTER($B$6:$L$2160, $B$6:$B$2160=N464), 0, 8))</f>
        <v>1893</v>
      </c>
      <c r="P464" s="84" cm="1">
        <f t="array" ref="P464">SUM(INDEX(_xlfn._xlws.FILTER($B$6:$L$2160, $B$6:$B$2160=N464), 0, 10))</f>
        <v>1893</v>
      </c>
      <c r="Q464" s="84" cm="1">
        <f t="array" ref="Q464">SUM(INDEX(_xlfn._xlws.FILTER($B$6:$L$2160, $B$6:$B$2160=N464), 0, 11))</f>
        <v>0</v>
      </c>
    </row>
    <row r="465" spans="2:17" x14ac:dyDescent="0.2">
      <c r="B465">
        <v>10420</v>
      </c>
      <c r="C465">
        <v>9</v>
      </c>
      <c r="D465" s="84">
        <v>77.599999999999994</v>
      </c>
      <c r="E465">
        <v>20</v>
      </c>
      <c r="F465" s="85">
        <v>0.1</v>
      </c>
      <c r="G465" s="86">
        <f t="shared" si="35"/>
        <v>1552</v>
      </c>
      <c r="H465" s="86">
        <f t="shared" si="36"/>
        <v>155.20000000000002</v>
      </c>
      <c r="I465" s="86">
        <f t="shared" si="37"/>
        <v>1396.8</v>
      </c>
      <c r="J465" s="84">
        <f>VLOOKUP(C465, Products[], 6)</f>
        <v>97</v>
      </c>
      <c r="K465" s="86">
        <f t="shared" si="38"/>
        <v>1940</v>
      </c>
      <c r="L465" s="86">
        <f t="shared" si="39"/>
        <v>-543.20000000000005</v>
      </c>
      <c r="N465">
        <v>10707</v>
      </c>
      <c r="O465" s="84" cm="1">
        <f t="array" ref="O465">SUM(INDEX(_xlfn._xlws.FILTER($B$6:$L$2160, $B$6:$B$2160=N465), 0, 8))</f>
        <v>1641</v>
      </c>
      <c r="P465" s="84" cm="1">
        <f t="array" ref="P465">SUM(INDEX(_xlfn._xlws.FILTER($B$6:$L$2160, $B$6:$B$2160=N465), 0, 10))</f>
        <v>1704</v>
      </c>
      <c r="Q465" s="84" cm="1">
        <f t="array" ref="Q465">SUM(INDEX(_xlfn._xlws.FILTER($B$6:$L$2160, $B$6:$B$2160=N465), 0, 11))</f>
        <v>-63</v>
      </c>
    </row>
    <row r="466" spans="2:17" x14ac:dyDescent="0.2">
      <c r="B466">
        <v>10420</v>
      </c>
      <c r="C466">
        <v>13</v>
      </c>
      <c r="D466" s="84">
        <v>4.8</v>
      </c>
      <c r="E466">
        <v>2</v>
      </c>
      <c r="F466" s="85">
        <v>0.1</v>
      </c>
      <c r="G466" s="86">
        <f t="shared" si="35"/>
        <v>9.6</v>
      </c>
      <c r="H466" s="86">
        <f t="shared" si="36"/>
        <v>0.96</v>
      </c>
      <c r="I466" s="86">
        <f t="shared" si="37"/>
        <v>8.64</v>
      </c>
      <c r="J466" s="84">
        <f>VLOOKUP(C466, Products[], 6)</f>
        <v>6</v>
      </c>
      <c r="K466" s="86">
        <f t="shared" si="38"/>
        <v>12</v>
      </c>
      <c r="L466" s="86">
        <f t="shared" si="39"/>
        <v>-3.3599999999999994</v>
      </c>
      <c r="N466">
        <v>10708</v>
      </c>
      <c r="O466" s="84" cm="1">
        <f t="array" ref="O466">SUM(INDEX(_xlfn._xlws.FILTER($B$6:$L$2160, $B$6:$B$2160=N466), 0, 8))</f>
        <v>180.4</v>
      </c>
      <c r="P466" s="84" cm="1">
        <f t="array" ref="P466">SUM(INDEX(_xlfn._xlws.FILTER($B$6:$L$2160, $B$6:$B$2160=N466), 0, 10))</f>
        <v>180.4</v>
      </c>
      <c r="Q466" s="84" cm="1">
        <f t="array" ref="Q466">SUM(INDEX(_xlfn._xlws.FILTER($B$6:$L$2160, $B$6:$B$2160=N466), 0, 11))</f>
        <v>0</v>
      </c>
    </row>
    <row r="467" spans="2:17" x14ac:dyDescent="0.2">
      <c r="B467">
        <v>10420</v>
      </c>
      <c r="C467">
        <v>70</v>
      </c>
      <c r="D467" s="84">
        <v>12</v>
      </c>
      <c r="E467">
        <v>8</v>
      </c>
      <c r="F467" s="85">
        <v>0.1</v>
      </c>
      <c r="G467" s="86">
        <f t="shared" si="35"/>
        <v>96</v>
      </c>
      <c r="H467" s="86">
        <f t="shared" si="36"/>
        <v>9.6000000000000014</v>
      </c>
      <c r="I467" s="86">
        <f t="shared" si="37"/>
        <v>86.4</v>
      </c>
      <c r="J467" s="84">
        <f>VLOOKUP(C467, Products[], 6)</f>
        <v>15</v>
      </c>
      <c r="K467" s="86">
        <f t="shared" si="38"/>
        <v>120</v>
      </c>
      <c r="L467" s="86">
        <f t="shared" si="39"/>
        <v>-33.599999999999994</v>
      </c>
      <c r="N467">
        <v>10709</v>
      </c>
      <c r="O467" s="84" cm="1">
        <f t="array" ref="O467">SUM(INDEX(_xlfn._xlws.FILTER($B$6:$L$2160, $B$6:$B$2160=N467), 0, 8))</f>
        <v>3424</v>
      </c>
      <c r="P467" s="84" cm="1">
        <f t="array" ref="P467">SUM(INDEX(_xlfn._xlws.FILTER($B$6:$L$2160, $B$6:$B$2160=N467), 0, 10))</f>
        <v>3424</v>
      </c>
      <c r="Q467" s="84" cm="1">
        <f t="array" ref="Q467">SUM(INDEX(_xlfn._xlws.FILTER($B$6:$L$2160, $B$6:$B$2160=N467), 0, 11))</f>
        <v>0</v>
      </c>
    </row>
    <row r="468" spans="2:17" x14ac:dyDescent="0.2">
      <c r="B468">
        <v>10420</v>
      </c>
      <c r="C468">
        <v>73</v>
      </c>
      <c r="D468" s="84">
        <v>12</v>
      </c>
      <c r="E468">
        <v>20</v>
      </c>
      <c r="F468" s="85">
        <v>0.1</v>
      </c>
      <c r="G468" s="86">
        <f t="shared" si="35"/>
        <v>240</v>
      </c>
      <c r="H468" s="86">
        <f t="shared" si="36"/>
        <v>24</v>
      </c>
      <c r="I468" s="86">
        <f t="shared" si="37"/>
        <v>216</v>
      </c>
      <c r="J468" s="84">
        <f>VLOOKUP(C468, Products[], 6)</f>
        <v>15</v>
      </c>
      <c r="K468" s="86">
        <f t="shared" si="38"/>
        <v>300</v>
      </c>
      <c r="L468" s="86">
        <f t="shared" si="39"/>
        <v>-84</v>
      </c>
      <c r="N468">
        <v>10710</v>
      </c>
      <c r="O468" s="84" cm="1">
        <f t="array" ref="O468">SUM(INDEX(_xlfn._xlws.FILTER($B$6:$L$2160, $B$6:$B$2160=N468), 0, 8))</f>
        <v>93.5</v>
      </c>
      <c r="P468" s="84" cm="1">
        <f t="array" ref="P468">SUM(INDEX(_xlfn._xlws.FILTER($B$6:$L$2160, $B$6:$B$2160=N468), 0, 10))</f>
        <v>93.5</v>
      </c>
      <c r="Q468" s="84" cm="1">
        <f t="array" ref="Q468">SUM(INDEX(_xlfn._xlws.FILTER($B$6:$L$2160, $B$6:$B$2160=N468), 0, 11))</f>
        <v>0</v>
      </c>
    </row>
    <row r="469" spans="2:17" x14ac:dyDescent="0.2">
      <c r="B469">
        <v>10421</v>
      </c>
      <c r="C469">
        <v>19</v>
      </c>
      <c r="D469" s="84">
        <v>7.3</v>
      </c>
      <c r="E469">
        <v>4</v>
      </c>
      <c r="F469" s="85">
        <v>0.15</v>
      </c>
      <c r="G469" s="86">
        <f t="shared" si="35"/>
        <v>29.2</v>
      </c>
      <c r="H469" s="86">
        <f t="shared" si="36"/>
        <v>4.38</v>
      </c>
      <c r="I469" s="86">
        <f t="shared" si="37"/>
        <v>24.82</v>
      </c>
      <c r="J469" s="84">
        <f>VLOOKUP(C469, Products[], 6)</f>
        <v>9.1999999999999993</v>
      </c>
      <c r="K469" s="86">
        <f t="shared" si="38"/>
        <v>36.799999999999997</v>
      </c>
      <c r="L469" s="86">
        <f t="shared" si="39"/>
        <v>-11.979999999999997</v>
      </c>
      <c r="N469">
        <v>10711</v>
      </c>
      <c r="O469" s="84" cm="1">
        <f t="array" ref="O469">SUM(INDEX(_xlfn._xlws.FILTER($B$6:$L$2160, $B$6:$B$2160=N469), 0, 8))</f>
        <v>4451.7</v>
      </c>
      <c r="P469" s="84" cm="1">
        <f t="array" ref="P469">SUM(INDEX(_xlfn._xlws.FILTER($B$6:$L$2160, $B$6:$B$2160=N469), 0, 10))</f>
        <v>4451.7</v>
      </c>
      <c r="Q469" s="84" cm="1">
        <f t="array" ref="Q469">SUM(INDEX(_xlfn._xlws.FILTER($B$6:$L$2160, $B$6:$B$2160=N469), 0, 11))</f>
        <v>0</v>
      </c>
    </row>
    <row r="470" spans="2:17" x14ac:dyDescent="0.2">
      <c r="B470">
        <v>10421</v>
      </c>
      <c r="C470">
        <v>26</v>
      </c>
      <c r="D470" s="84">
        <v>24.9</v>
      </c>
      <c r="E470">
        <v>30</v>
      </c>
      <c r="F470" s="85">
        <v>0</v>
      </c>
      <c r="G470" s="86">
        <f t="shared" si="35"/>
        <v>747</v>
      </c>
      <c r="H470" s="86">
        <f t="shared" si="36"/>
        <v>0</v>
      </c>
      <c r="I470" s="86">
        <f t="shared" si="37"/>
        <v>747</v>
      </c>
      <c r="J470" s="84">
        <f>VLOOKUP(C470, Products[], 6)</f>
        <v>31.23</v>
      </c>
      <c r="K470" s="86">
        <f t="shared" si="38"/>
        <v>936.9</v>
      </c>
      <c r="L470" s="86">
        <f t="shared" si="39"/>
        <v>-189.89999999999998</v>
      </c>
      <c r="N470">
        <v>10712</v>
      </c>
      <c r="O470" s="84" cm="1">
        <f t="array" ref="O470">SUM(INDEX(_xlfn._xlws.FILTER($B$6:$L$2160, $B$6:$B$2160=N470), 0, 8))</f>
        <v>1233.48</v>
      </c>
      <c r="P470" s="84" cm="1">
        <f t="array" ref="P470">SUM(INDEX(_xlfn._xlws.FILTER($B$6:$L$2160, $B$6:$B$2160=N470), 0, 10))</f>
        <v>1238.4000000000001</v>
      </c>
      <c r="Q470" s="84" cm="1">
        <f t="array" ref="Q470">SUM(INDEX(_xlfn._xlws.FILTER($B$6:$L$2160, $B$6:$B$2160=N470), 0, 11))</f>
        <v>-4.9200000000000017</v>
      </c>
    </row>
    <row r="471" spans="2:17" x14ac:dyDescent="0.2">
      <c r="B471">
        <v>10421</v>
      </c>
      <c r="C471">
        <v>53</v>
      </c>
      <c r="D471" s="84">
        <v>26.2</v>
      </c>
      <c r="E471">
        <v>15</v>
      </c>
      <c r="F471" s="85">
        <v>0.15</v>
      </c>
      <c r="G471" s="86">
        <f t="shared" si="35"/>
        <v>393</v>
      </c>
      <c r="H471" s="86">
        <f t="shared" si="36"/>
        <v>58.949999999999996</v>
      </c>
      <c r="I471" s="86">
        <f t="shared" si="37"/>
        <v>334.05</v>
      </c>
      <c r="J471" s="84">
        <f>VLOOKUP(C471, Products[], 6)</f>
        <v>32.799999999999997</v>
      </c>
      <c r="K471" s="86">
        <f t="shared" si="38"/>
        <v>491.99999999999994</v>
      </c>
      <c r="L471" s="86">
        <f t="shared" si="39"/>
        <v>-157.94999999999993</v>
      </c>
      <c r="N471">
        <v>10713</v>
      </c>
      <c r="O471" s="84" cm="1">
        <f t="array" ref="O471">SUM(INDEX(_xlfn._xlws.FILTER($B$6:$L$2160, $B$6:$B$2160=N471), 0, 8))</f>
        <v>2827.9</v>
      </c>
      <c r="P471" s="84" cm="1">
        <f t="array" ref="P471">SUM(INDEX(_xlfn._xlws.FILTER($B$6:$L$2160, $B$6:$B$2160=N471), 0, 10))</f>
        <v>2827.9</v>
      </c>
      <c r="Q471" s="84" cm="1">
        <f t="array" ref="Q471">SUM(INDEX(_xlfn._xlws.FILTER($B$6:$L$2160, $B$6:$B$2160=N471), 0, 11))</f>
        <v>0</v>
      </c>
    </row>
    <row r="472" spans="2:17" x14ac:dyDescent="0.2">
      <c r="B472">
        <v>10421</v>
      </c>
      <c r="C472">
        <v>77</v>
      </c>
      <c r="D472" s="84">
        <v>10.4</v>
      </c>
      <c r="E472">
        <v>10</v>
      </c>
      <c r="F472" s="85">
        <v>0.15</v>
      </c>
      <c r="G472" s="86">
        <f t="shared" si="35"/>
        <v>104</v>
      </c>
      <c r="H472" s="86">
        <f t="shared" si="36"/>
        <v>15.6</v>
      </c>
      <c r="I472" s="86">
        <f t="shared" si="37"/>
        <v>88.4</v>
      </c>
      <c r="J472" s="84">
        <f>VLOOKUP(C472, Products[], 6)</f>
        <v>13</v>
      </c>
      <c r="K472" s="86">
        <f t="shared" si="38"/>
        <v>130</v>
      </c>
      <c r="L472" s="86">
        <f t="shared" si="39"/>
        <v>-41.599999999999994</v>
      </c>
      <c r="N472">
        <v>10714</v>
      </c>
      <c r="O472" s="84" cm="1">
        <f t="array" ref="O472">SUM(INDEX(_xlfn._xlws.FILTER($B$6:$L$2160, $B$6:$B$2160=N472), 0, 8))</f>
        <v>2205.75</v>
      </c>
      <c r="P472" s="84" cm="1">
        <f t="array" ref="P472">SUM(INDEX(_xlfn._xlws.FILTER($B$6:$L$2160, $B$6:$B$2160=N472), 0, 10))</f>
        <v>2941</v>
      </c>
      <c r="Q472" s="84" cm="1">
        <f t="array" ref="Q472">SUM(INDEX(_xlfn._xlws.FILTER($B$6:$L$2160, $B$6:$B$2160=N472), 0, 11))</f>
        <v>-735.25</v>
      </c>
    </row>
    <row r="473" spans="2:17" x14ac:dyDescent="0.2">
      <c r="B473">
        <v>10422</v>
      </c>
      <c r="C473">
        <v>26</v>
      </c>
      <c r="D473" s="84">
        <v>24.9</v>
      </c>
      <c r="E473">
        <v>2</v>
      </c>
      <c r="F473" s="85">
        <v>0</v>
      </c>
      <c r="G473" s="86">
        <f t="shared" si="35"/>
        <v>49.8</v>
      </c>
      <c r="H473" s="86">
        <f t="shared" si="36"/>
        <v>0</v>
      </c>
      <c r="I473" s="86">
        <f t="shared" si="37"/>
        <v>49.8</v>
      </c>
      <c r="J473" s="84">
        <f>VLOOKUP(C473, Products[], 6)</f>
        <v>31.23</v>
      </c>
      <c r="K473" s="86">
        <f t="shared" si="38"/>
        <v>62.46</v>
      </c>
      <c r="L473" s="86">
        <f t="shared" si="39"/>
        <v>-12.660000000000004</v>
      </c>
      <c r="N473">
        <v>10715</v>
      </c>
      <c r="O473" s="84" cm="1">
        <f t="array" ref="O473">SUM(INDEX(_xlfn._xlws.FILTER($B$6:$L$2160, $B$6:$B$2160=N473), 0, 8))</f>
        <v>1296</v>
      </c>
      <c r="P473" s="84" cm="1">
        <f t="array" ref="P473">SUM(INDEX(_xlfn._xlws.FILTER($B$6:$L$2160, $B$6:$B$2160=N473), 0, 10))</f>
        <v>1296</v>
      </c>
      <c r="Q473" s="84" cm="1">
        <f t="array" ref="Q473">SUM(INDEX(_xlfn._xlws.FILTER($B$6:$L$2160, $B$6:$B$2160=N473), 0, 11))</f>
        <v>0</v>
      </c>
    </row>
    <row r="474" spans="2:17" x14ac:dyDescent="0.2">
      <c r="B474">
        <v>10423</v>
      </c>
      <c r="C474">
        <v>31</v>
      </c>
      <c r="D474" s="84">
        <v>10</v>
      </c>
      <c r="E474">
        <v>14</v>
      </c>
      <c r="F474" s="85">
        <v>0</v>
      </c>
      <c r="G474" s="86">
        <f t="shared" si="35"/>
        <v>140</v>
      </c>
      <c r="H474" s="86">
        <f t="shared" si="36"/>
        <v>0</v>
      </c>
      <c r="I474" s="86">
        <f t="shared" si="37"/>
        <v>140</v>
      </c>
      <c r="J474" s="84">
        <f>VLOOKUP(C474, Products[], 6)</f>
        <v>12.5</v>
      </c>
      <c r="K474" s="86">
        <f t="shared" si="38"/>
        <v>175</v>
      </c>
      <c r="L474" s="86">
        <f t="shared" si="39"/>
        <v>-35</v>
      </c>
      <c r="N474">
        <v>10716</v>
      </c>
      <c r="O474" s="84" cm="1">
        <f t="array" ref="O474">SUM(INDEX(_xlfn._xlws.FILTER($B$6:$L$2160, $B$6:$B$2160=N474), 0, 8))</f>
        <v>706</v>
      </c>
      <c r="P474" s="84" cm="1">
        <f t="array" ref="P474">SUM(INDEX(_xlfn._xlws.FILTER($B$6:$L$2160, $B$6:$B$2160=N474), 0, 10))</f>
        <v>706</v>
      </c>
      <c r="Q474" s="84" cm="1">
        <f t="array" ref="Q474">SUM(INDEX(_xlfn._xlws.FILTER($B$6:$L$2160, $B$6:$B$2160=N474), 0, 11))</f>
        <v>0</v>
      </c>
    </row>
    <row r="475" spans="2:17" x14ac:dyDescent="0.2">
      <c r="B475">
        <v>10423</v>
      </c>
      <c r="C475">
        <v>59</v>
      </c>
      <c r="D475" s="84">
        <v>44</v>
      </c>
      <c r="E475">
        <v>20</v>
      </c>
      <c r="F475" s="85">
        <v>0</v>
      </c>
      <c r="G475" s="86">
        <f t="shared" si="35"/>
        <v>880</v>
      </c>
      <c r="H475" s="86">
        <f t="shared" si="36"/>
        <v>0</v>
      </c>
      <c r="I475" s="86">
        <f t="shared" si="37"/>
        <v>880</v>
      </c>
      <c r="J475" s="84">
        <f>VLOOKUP(C475, Products[], 6)</f>
        <v>55</v>
      </c>
      <c r="K475" s="86">
        <f t="shared" si="38"/>
        <v>1100</v>
      </c>
      <c r="L475" s="86">
        <f t="shared" si="39"/>
        <v>-220</v>
      </c>
      <c r="N475">
        <v>10717</v>
      </c>
      <c r="O475" s="84" cm="1">
        <f t="array" ref="O475">SUM(INDEX(_xlfn._xlws.FILTER($B$6:$L$2160, $B$6:$B$2160=N475), 0, 8))</f>
        <v>1270.75</v>
      </c>
      <c r="P475" s="84" cm="1">
        <f t="array" ref="P475">SUM(INDEX(_xlfn._xlws.FILTER($B$6:$L$2160, $B$6:$B$2160=N475), 0, 10))</f>
        <v>1331.75</v>
      </c>
      <c r="Q475" s="84" cm="1">
        <f t="array" ref="Q475">SUM(INDEX(_xlfn._xlws.FILTER($B$6:$L$2160, $B$6:$B$2160=N475), 0, 11))</f>
        <v>-61</v>
      </c>
    </row>
    <row r="476" spans="2:17" x14ac:dyDescent="0.2">
      <c r="B476">
        <v>10424</v>
      </c>
      <c r="C476">
        <v>35</v>
      </c>
      <c r="D476" s="84">
        <v>14.4</v>
      </c>
      <c r="E476">
        <v>60</v>
      </c>
      <c r="F476" s="85">
        <v>0.2</v>
      </c>
      <c r="G476" s="86">
        <f t="shared" si="35"/>
        <v>864</v>
      </c>
      <c r="H476" s="86">
        <f t="shared" si="36"/>
        <v>172.8</v>
      </c>
      <c r="I476" s="86">
        <f t="shared" si="37"/>
        <v>691.2</v>
      </c>
      <c r="J476" s="84">
        <f>VLOOKUP(C476, Products[], 6)</f>
        <v>18</v>
      </c>
      <c r="K476" s="86">
        <f t="shared" si="38"/>
        <v>1080</v>
      </c>
      <c r="L476" s="86">
        <f t="shared" si="39"/>
        <v>-388.79999999999995</v>
      </c>
      <c r="N476">
        <v>10718</v>
      </c>
      <c r="O476" s="84" cm="1">
        <f t="array" ref="O476">SUM(INDEX(_xlfn._xlws.FILTER($B$6:$L$2160, $B$6:$B$2160=N476), 0, 8))</f>
        <v>3463</v>
      </c>
      <c r="P476" s="84" cm="1">
        <f t="array" ref="P476">SUM(INDEX(_xlfn._xlws.FILTER($B$6:$L$2160, $B$6:$B$2160=N476), 0, 10))</f>
        <v>3463</v>
      </c>
      <c r="Q476" s="84" cm="1">
        <f t="array" ref="Q476">SUM(INDEX(_xlfn._xlws.FILTER($B$6:$L$2160, $B$6:$B$2160=N476), 0, 11))</f>
        <v>0</v>
      </c>
    </row>
    <row r="477" spans="2:17" x14ac:dyDescent="0.2">
      <c r="B477">
        <v>10424</v>
      </c>
      <c r="C477">
        <v>38</v>
      </c>
      <c r="D477" s="84">
        <v>210.8</v>
      </c>
      <c r="E477">
        <v>49</v>
      </c>
      <c r="F477" s="85">
        <v>0.2</v>
      </c>
      <c r="G477" s="86">
        <f t="shared" si="35"/>
        <v>10329.200000000001</v>
      </c>
      <c r="H477" s="86">
        <f t="shared" si="36"/>
        <v>2065.84</v>
      </c>
      <c r="I477" s="86">
        <f t="shared" si="37"/>
        <v>8263.36</v>
      </c>
      <c r="J477" s="84">
        <f>VLOOKUP(C477, Products[], 6)</f>
        <v>263.5</v>
      </c>
      <c r="K477" s="86">
        <f t="shared" si="38"/>
        <v>12911.5</v>
      </c>
      <c r="L477" s="86">
        <f t="shared" si="39"/>
        <v>-4648.1399999999994</v>
      </c>
      <c r="N477">
        <v>10719</v>
      </c>
      <c r="O477" s="84" cm="1">
        <f t="array" ref="O477">SUM(INDEX(_xlfn._xlws.FILTER($B$6:$L$2160, $B$6:$B$2160=N477), 0, 8))</f>
        <v>844.25250000000005</v>
      </c>
      <c r="P477" s="84" cm="1">
        <f t="array" ref="P477">SUM(INDEX(_xlfn._xlws.FILTER($B$6:$L$2160, $B$6:$B$2160=N477), 0, 10))</f>
        <v>1125.67</v>
      </c>
      <c r="Q477" s="84" cm="1">
        <f t="array" ref="Q477">SUM(INDEX(_xlfn._xlws.FILTER($B$6:$L$2160, $B$6:$B$2160=N477), 0, 11))</f>
        <v>-281.41750000000002</v>
      </c>
    </row>
    <row r="478" spans="2:17" x14ac:dyDescent="0.2">
      <c r="B478">
        <v>10424</v>
      </c>
      <c r="C478">
        <v>68</v>
      </c>
      <c r="D478" s="84">
        <v>10</v>
      </c>
      <c r="E478">
        <v>30</v>
      </c>
      <c r="F478" s="85">
        <v>0.2</v>
      </c>
      <c r="G478" s="86">
        <f t="shared" si="35"/>
        <v>300</v>
      </c>
      <c r="H478" s="86">
        <f t="shared" si="36"/>
        <v>60</v>
      </c>
      <c r="I478" s="86">
        <f t="shared" si="37"/>
        <v>240</v>
      </c>
      <c r="J478" s="84">
        <f>VLOOKUP(C478, Products[], 6)</f>
        <v>12.5</v>
      </c>
      <c r="K478" s="86">
        <f t="shared" si="38"/>
        <v>375</v>
      </c>
      <c r="L478" s="86">
        <f t="shared" si="39"/>
        <v>-135</v>
      </c>
      <c r="N478">
        <v>10720</v>
      </c>
      <c r="O478" s="84" cm="1">
        <f t="array" ref="O478">SUM(INDEX(_xlfn._xlws.FILTER($B$6:$L$2160, $B$6:$B$2160=N478), 0, 8))</f>
        <v>550</v>
      </c>
      <c r="P478" s="84" cm="1">
        <f t="array" ref="P478">SUM(INDEX(_xlfn._xlws.FILTER($B$6:$L$2160, $B$6:$B$2160=N478), 0, 10))</f>
        <v>550</v>
      </c>
      <c r="Q478" s="84" cm="1">
        <f t="array" ref="Q478">SUM(INDEX(_xlfn._xlws.FILTER($B$6:$L$2160, $B$6:$B$2160=N478), 0, 11))</f>
        <v>0</v>
      </c>
    </row>
    <row r="479" spans="2:17" x14ac:dyDescent="0.2">
      <c r="B479">
        <v>10425</v>
      </c>
      <c r="C479">
        <v>55</v>
      </c>
      <c r="D479" s="84">
        <v>19.2</v>
      </c>
      <c r="E479">
        <v>10</v>
      </c>
      <c r="F479" s="85">
        <v>0.25</v>
      </c>
      <c r="G479" s="86">
        <f t="shared" si="35"/>
        <v>192</v>
      </c>
      <c r="H479" s="86">
        <f t="shared" si="36"/>
        <v>48</v>
      </c>
      <c r="I479" s="86">
        <f t="shared" si="37"/>
        <v>144</v>
      </c>
      <c r="J479" s="84">
        <f>VLOOKUP(C479, Products[], 6)</f>
        <v>24</v>
      </c>
      <c r="K479" s="86">
        <f t="shared" si="38"/>
        <v>240</v>
      </c>
      <c r="L479" s="86">
        <f t="shared" si="39"/>
        <v>-96</v>
      </c>
      <c r="N479">
        <v>10721</v>
      </c>
      <c r="O479" s="84" cm="1">
        <f t="array" ref="O479">SUM(INDEX(_xlfn._xlws.FILTER($B$6:$L$2160, $B$6:$B$2160=N479), 0, 8))</f>
        <v>923.875</v>
      </c>
      <c r="P479" s="84" cm="1">
        <f t="array" ref="P479">SUM(INDEX(_xlfn._xlws.FILTER($B$6:$L$2160, $B$6:$B$2160=N479), 0, 10))</f>
        <v>972.5</v>
      </c>
      <c r="Q479" s="84" cm="1">
        <f t="array" ref="Q479">SUM(INDEX(_xlfn._xlws.FILTER($B$6:$L$2160, $B$6:$B$2160=N479), 0, 11))</f>
        <v>-48.625</v>
      </c>
    </row>
    <row r="480" spans="2:17" x14ac:dyDescent="0.2">
      <c r="B480">
        <v>10425</v>
      </c>
      <c r="C480">
        <v>76</v>
      </c>
      <c r="D480" s="84">
        <v>14.4</v>
      </c>
      <c r="E480">
        <v>20</v>
      </c>
      <c r="F480" s="85">
        <v>0.25</v>
      </c>
      <c r="G480" s="86">
        <f t="shared" si="35"/>
        <v>288</v>
      </c>
      <c r="H480" s="86">
        <f t="shared" si="36"/>
        <v>72</v>
      </c>
      <c r="I480" s="86">
        <f t="shared" si="37"/>
        <v>216</v>
      </c>
      <c r="J480" s="84">
        <f>VLOOKUP(C480, Products[], 6)</f>
        <v>18</v>
      </c>
      <c r="K480" s="86">
        <f t="shared" si="38"/>
        <v>360</v>
      </c>
      <c r="L480" s="86">
        <f t="shared" si="39"/>
        <v>-144</v>
      </c>
      <c r="N480">
        <v>10722</v>
      </c>
      <c r="O480" s="84" cm="1">
        <f t="array" ref="O480">SUM(INDEX(_xlfn._xlws.FILTER($B$6:$L$2160, $B$6:$B$2160=N480), 0, 8))</f>
        <v>1570</v>
      </c>
      <c r="P480" s="84" cm="1">
        <f t="array" ref="P480">SUM(INDEX(_xlfn._xlws.FILTER($B$6:$L$2160, $B$6:$B$2160=N480), 0, 10))</f>
        <v>1570</v>
      </c>
      <c r="Q480" s="84" cm="1">
        <f t="array" ref="Q480">SUM(INDEX(_xlfn._xlws.FILTER($B$6:$L$2160, $B$6:$B$2160=N480), 0, 11))</f>
        <v>0</v>
      </c>
    </row>
    <row r="481" spans="2:17" x14ac:dyDescent="0.2">
      <c r="B481">
        <v>10426</v>
      </c>
      <c r="C481">
        <v>56</v>
      </c>
      <c r="D481" s="84">
        <v>30.4</v>
      </c>
      <c r="E481">
        <v>5</v>
      </c>
      <c r="F481" s="85">
        <v>0</v>
      </c>
      <c r="G481" s="86">
        <f t="shared" si="35"/>
        <v>152</v>
      </c>
      <c r="H481" s="86">
        <f t="shared" si="36"/>
        <v>0</v>
      </c>
      <c r="I481" s="86">
        <f t="shared" si="37"/>
        <v>152</v>
      </c>
      <c r="J481" s="84">
        <f>VLOOKUP(C481, Products[], 6)</f>
        <v>38</v>
      </c>
      <c r="K481" s="86">
        <f t="shared" si="38"/>
        <v>190</v>
      </c>
      <c r="L481" s="86">
        <f t="shared" si="39"/>
        <v>-38</v>
      </c>
      <c r="N481">
        <v>10723</v>
      </c>
      <c r="O481" s="84" cm="1">
        <f t="array" ref="O481">SUM(INDEX(_xlfn._xlws.FILTER($B$6:$L$2160, $B$6:$B$2160=N481), 0, 8))</f>
        <v>468.45</v>
      </c>
      <c r="P481" s="84" cm="1">
        <f t="array" ref="P481">SUM(INDEX(_xlfn._xlws.FILTER($B$6:$L$2160, $B$6:$B$2160=N481), 0, 10))</f>
        <v>468.45</v>
      </c>
      <c r="Q481" s="84" cm="1">
        <f t="array" ref="Q481">SUM(INDEX(_xlfn._xlws.FILTER($B$6:$L$2160, $B$6:$B$2160=N481), 0, 11))</f>
        <v>0</v>
      </c>
    </row>
    <row r="482" spans="2:17" x14ac:dyDescent="0.2">
      <c r="B482">
        <v>10426</v>
      </c>
      <c r="C482">
        <v>64</v>
      </c>
      <c r="D482" s="84">
        <v>26.6</v>
      </c>
      <c r="E482">
        <v>7</v>
      </c>
      <c r="F482" s="85">
        <v>0</v>
      </c>
      <c r="G482" s="86">
        <f t="shared" si="35"/>
        <v>186.20000000000002</v>
      </c>
      <c r="H482" s="86">
        <f t="shared" si="36"/>
        <v>0</v>
      </c>
      <c r="I482" s="86">
        <f t="shared" si="37"/>
        <v>186.20000000000002</v>
      </c>
      <c r="J482" s="84">
        <f>VLOOKUP(C482, Products[], 6)</f>
        <v>33.25</v>
      </c>
      <c r="K482" s="86">
        <f t="shared" si="38"/>
        <v>232.75</v>
      </c>
      <c r="L482" s="86">
        <f t="shared" si="39"/>
        <v>-46.549999999999983</v>
      </c>
      <c r="N482">
        <v>10724</v>
      </c>
      <c r="O482" s="84" cm="1">
        <f t="array" ref="O482">SUM(INDEX(_xlfn._xlws.FILTER($B$6:$L$2160, $B$6:$B$2160=N482), 0, 8))</f>
        <v>638.5</v>
      </c>
      <c r="P482" s="84" cm="1">
        <f t="array" ref="P482">SUM(INDEX(_xlfn._xlws.FILTER($B$6:$L$2160, $B$6:$B$2160=N482), 0, 10))</f>
        <v>638.5</v>
      </c>
      <c r="Q482" s="84" cm="1">
        <f t="array" ref="Q482">SUM(INDEX(_xlfn._xlws.FILTER($B$6:$L$2160, $B$6:$B$2160=N482), 0, 11))</f>
        <v>0</v>
      </c>
    </row>
    <row r="483" spans="2:17" x14ac:dyDescent="0.2">
      <c r="B483">
        <v>10427</v>
      </c>
      <c r="C483">
        <v>14</v>
      </c>
      <c r="D483" s="84">
        <v>18.600000000000001</v>
      </c>
      <c r="E483">
        <v>35</v>
      </c>
      <c r="F483" s="85">
        <v>0</v>
      </c>
      <c r="G483" s="86">
        <f t="shared" si="35"/>
        <v>651</v>
      </c>
      <c r="H483" s="86">
        <f t="shared" si="36"/>
        <v>0</v>
      </c>
      <c r="I483" s="86">
        <f t="shared" si="37"/>
        <v>651</v>
      </c>
      <c r="J483" s="84">
        <f>VLOOKUP(C483, Products[], 6)</f>
        <v>23.25</v>
      </c>
      <c r="K483" s="86">
        <f t="shared" si="38"/>
        <v>813.75</v>
      </c>
      <c r="L483" s="86">
        <f t="shared" si="39"/>
        <v>-162.75</v>
      </c>
      <c r="N483">
        <v>10725</v>
      </c>
      <c r="O483" s="84" cm="1">
        <f t="array" ref="O483">SUM(INDEX(_xlfn._xlws.FILTER($B$6:$L$2160, $B$6:$B$2160=N483), 0, 8))</f>
        <v>287.8</v>
      </c>
      <c r="P483" s="84" cm="1">
        <f t="array" ref="P483">SUM(INDEX(_xlfn._xlws.FILTER($B$6:$L$2160, $B$6:$B$2160=N483), 0, 10))</f>
        <v>287.8</v>
      </c>
      <c r="Q483" s="84" cm="1">
        <f t="array" ref="Q483">SUM(INDEX(_xlfn._xlws.FILTER($B$6:$L$2160, $B$6:$B$2160=N483), 0, 11))</f>
        <v>0</v>
      </c>
    </row>
    <row r="484" spans="2:17" x14ac:dyDescent="0.2">
      <c r="B484">
        <v>10428</v>
      </c>
      <c r="C484">
        <v>46</v>
      </c>
      <c r="D484" s="84">
        <v>9.6</v>
      </c>
      <c r="E484">
        <v>20</v>
      </c>
      <c r="F484" s="85">
        <v>0</v>
      </c>
      <c r="G484" s="86">
        <f t="shared" si="35"/>
        <v>192</v>
      </c>
      <c r="H484" s="86">
        <f t="shared" si="36"/>
        <v>0</v>
      </c>
      <c r="I484" s="86">
        <f t="shared" si="37"/>
        <v>192</v>
      </c>
      <c r="J484" s="84">
        <f>VLOOKUP(C484, Products[], 6)</f>
        <v>12</v>
      </c>
      <c r="K484" s="86">
        <f t="shared" si="38"/>
        <v>240</v>
      </c>
      <c r="L484" s="86">
        <f t="shared" si="39"/>
        <v>-48</v>
      </c>
      <c r="N484">
        <v>10726</v>
      </c>
      <c r="O484" s="84" cm="1">
        <f t="array" ref="O484">SUM(INDEX(_xlfn._xlws.FILTER($B$6:$L$2160, $B$6:$B$2160=N484), 0, 8))</f>
        <v>655</v>
      </c>
      <c r="P484" s="84" cm="1">
        <f t="array" ref="P484">SUM(INDEX(_xlfn._xlws.FILTER($B$6:$L$2160, $B$6:$B$2160=N484), 0, 10))</f>
        <v>655</v>
      </c>
      <c r="Q484" s="84" cm="1">
        <f t="array" ref="Q484">SUM(INDEX(_xlfn._xlws.FILTER($B$6:$L$2160, $B$6:$B$2160=N484), 0, 11))</f>
        <v>0</v>
      </c>
    </row>
    <row r="485" spans="2:17" x14ac:dyDescent="0.2">
      <c r="B485">
        <v>10429</v>
      </c>
      <c r="C485">
        <v>50</v>
      </c>
      <c r="D485" s="84">
        <v>13</v>
      </c>
      <c r="E485">
        <v>40</v>
      </c>
      <c r="F485" s="85">
        <v>0</v>
      </c>
      <c r="G485" s="86">
        <f t="shared" si="35"/>
        <v>520</v>
      </c>
      <c r="H485" s="86">
        <f t="shared" si="36"/>
        <v>0</v>
      </c>
      <c r="I485" s="86">
        <f t="shared" si="37"/>
        <v>520</v>
      </c>
      <c r="J485" s="84">
        <f>VLOOKUP(C485, Products[], 6)</f>
        <v>16.25</v>
      </c>
      <c r="K485" s="86">
        <f t="shared" si="38"/>
        <v>650</v>
      </c>
      <c r="L485" s="86">
        <f t="shared" si="39"/>
        <v>-130</v>
      </c>
      <c r="N485">
        <v>10727</v>
      </c>
      <c r="O485" s="84" cm="1">
        <f t="array" ref="O485">SUM(INDEX(_xlfn._xlws.FILTER($B$6:$L$2160, $B$6:$B$2160=N485), 0, 8))</f>
        <v>1624.5</v>
      </c>
      <c r="P485" s="84" cm="1">
        <f t="array" ref="P485">SUM(INDEX(_xlfn._xlws.FILTER($B$6:$L$2160, $B$6:$B$2160=N485), 0, 10))</f>
        <v>1710</v>
      </c>
      <c r="Q485" s="84" cm="1">
        <f t="array" ref="Q485">SUM(INDEX(_xlfn._xlws.FILTER($B$6:$L$2160, $B$6:$B$2160=N485), 0, 11))</f>
        <v>-85.5</v>
      </c>
    </row>
    <row r="486" spans="2:17" x14ac:dyDescent="0.2">
      <c r="B486">
        <v>10429</v>
      </c>
      <c r="C486">
        <v>63</v>
      </c>
      <c r="D486" s="84">
        <v>35.1</v>
      </c>
      <c r="E486">
        <v>35</v>
      </c>
      <c r="F486" s="85">
        <v>0.25</v>
      </c>
      <c r="G486" s="86">
        <f t="shared" si="35"/>
        <v>1228.5</v>
      </c>
      <c r="H486" s="86">
        <f t="shared" si="36"/>
        <v>307.125</v>
      </c>
      <c r="I486" s="86">
        <f t="shared" si="37"/>
        <v>921.375</v>
      </c>
      <c r="J486" s="84">
        <f>VLOOKUP(C486, Products[], 6)</f>
        <v>43.9</v>
      </c>
      <c r="K486" s="86">
        <f t="shared" si="38"/>
        <v>1536.5</v>
      </c>
      <c r="L486" s="86">
        <f t="shared" si="39"/>
        <v>-615.125</v>
      </c>
      <c r="N486">
        <v>10728</v>
      </c>
      <c r="O486" s="84" cm="1">
        <f t="array" ref="O486">SUM(INDEX(_xlfn._xlws.FILTER($B$6:$L$2160, $B$6:$B$2160=N486), 0, 8))</f>
        <v>1296.75</v>
      </c>
      <c r="P486" s="84" cm="1">
        <f t="array" ref="P486">SUM(INDEX(_xlfn._xlws.FILTER($B$6:$L$2160, $B$6:$B$2160=N486), 0, 10))</f>
        <v>1296.75</v>
      </c>
      <c r="Q486" s="84" cm="1">
        <f t="array" ref="Q486">SUM(INDEX(_xlfn._xlws.FILTER($B$6:$L$2160, $B$6:$B$2160=N486), 0, 11))</f>
        <v>0</v>
      </c>
    </row>
    <row r="487" spans="2:17" x14ac:dyDescent="0.2">
      <c r="B487">
        <v>10430</v>
      </c>
      <c r="C487">
        <v>17</v>
      </c>
      <c r="D487" s="84">
        <v>31.2</v>
      </c>
      <c r="E487">
        <v>45</v>
      </c>
      <c r="F487" s="85">
        <v>0.2</v>
      </c>
      <c r="G487" s="86">
        <f t="shared" si="35"/>
        <v>1404</v>
      </c>
      <c r="H487" s="86">
        <f t="shared" si="36"/>
        <v>280.8</v>
      </c>
      <c r="I487" s="86">
        <f t="shared" si="37"/>
        <v>1123.2</v>
      </c>
      <c r="J487" s="84">
        <f>VLOOKUP(C487, Products[], 6)</f>
        <v>39</v>
      </c>
      <c r="K487" s="86">
        <f t="shared" si="38"/>
        <v>1755</v>
      </c>
      <c r="L487" s="86">
        <f t="shared" si="39"/>
        <v>-631.79999999999995</v>
      </c>
      <c r="N487">
        <v>10729</v>
      </c>
      <c r="O487" s="84" cm="1">
        <f t="array" ref="O487">SUM(INDEX(_xlfn._xlws.FILTER($B$6:$L$2160, $B$6:$B$2160=N487), 0, 8))</f>
        <v>1850</v>
      </c>
      <c r="P487" s="84" cm="1">
        <f t="array" ref="P487">SUM(INDEX(_xlfn._xlws.FILTER($B$6:$L$2160, $B$6:$B$2160=N487), 0, 10))</f>
        <v>1850</v>
      </c>
      <c r="Q487" s="84" cm="1">
        <f t="array" ref="Q487">SUM(INDEX(_xlfn._xlws.FILTER($B$6:$L$2160, $B$6:$B$2160=N487), 0, 11))</f>
        <v>0</v>
      </c>
    </row>
    <row r="488" spans="2:17" x14ac:dyDescent="0.2">
      <c r="B488">
        <v>10430</v>
      </c>
      <c r="C488">
        <v>21</v>
      </c>
      <c r="D488" s="84">
        <v>8</v>
      </c>
      <c r="E488">
        <v>50</v>
      </c>
      <c r="F488" s="85">
        <v>0</v>
      </c>
      <c r="G488" s="86">
        <f t="shared" si="35"/>
        <v>400</v>
      </c>
      <c r="H488" s="86">
        <f t="shared" si="36"/>
        <v>0</v>
      </c>
      <c r="I488" s="86">
        <f t="shared" si="37"/>
        <v>400</v>
      </c>
      <c r="J488" s="84">
        <f>VLOOKUP(C488, Products[], 6)</f>
        <v>10</v>
      </c>
      <c r="K488" s="86">
        <f t="shared" si="38"/>
        <v>500</v>
      </c>
      <c r="L488" s="86">
        <f t="shared" si="39"/>
        <v>-100</v>
      </c>
      <c r="N488">
        <v>10730</v>
      </c>
      <c r="O488" s="84" cm="1">
        <f t="array" ref="O488">SUM(INDEX(_xlfn._xlws.FILTER($B$6:$L$2160, $B$6:$B$2160=N488), 0, 8))</f>
        <v>484.26250000000005</v>
      </c>
      <c r="P488" s="84" cm="1">
        <f t="array" ref="P488">SUM(INDEX(_xlfn._xlws.FILTER($B$6:$L$2160, $B$6:$B$2160=N488), 0, 10))</f>
        <v>509.75</v>
      </c>
      <c r="Q488" s="84" cm="1">
        <f t="array" ref="Q488">SUM(INDEX(_xlfn._xlws.FILTER($B$6:$L$2160, $B$6:$B$2160=N488), 0, 11))</f>
        <v>-25.487500000000011</v>
      </c>
    </row>
    <row r="489" spans="2:17" x14ac:dyDescent="0.2">
      <c r="B489">
        <v>10430</v>
      </c>
      <c r="C489">
        <v>56</v>
      </c>
      <c r="D489" s="84">
        <v>30.4</v>
      </c>
      <c r="E489">
        <v>30</v>
      </c>
      <c r="F489" s="85">
        <v>0</v>
      </c>
      <c r="G489" s="86">
        <f t="shared" si="35"/>
        <v>912</v>
      </c>
      <c r="H489" s="86">
        <f t="shared" si="36"/>
        <v>0</v>
      </c>
      <c r="I489" s="86">
        <f t="shared" si="37"/>
        <v>912</v>
      </c>
      <c r="J489" s="84">
        <f>VLOOKUP(C489, Products[], 6)</f>
        <v>38</v>
      </c>
      <c r="K489" s="86">
        <f t="shared" si="38"/>
        <v>1140</v>
      </c>
      <c r="L489" s="86">
        <f t="shared" si="39"/>
        <v>-228</v>
      </c>
      <c r="N489">
        <v>10731</v>
      </c>
      <c r="O489" s="84" cm="1">
        <f t="array" ref="O489">SUM(INDEX(_xlfn._xlws.FILTER($B$6:$L$2160, $B$6:$B$2160=N489), 0, 8))</f>
        <v>1890.5</v>
      </c>
      <c r="P489" s="84" cm="1">
        <f t="array" ref="P489">SUM(INDEX(_xlfn._xlws.FILTER($B$6:$L$2160, $B$6:$B$2160=N489), 0, 10))</f>
        <v>1990</v>
      </c>
      <c r="Q489" s="84" cm="1">
        <f t="array" ref="Q489">SUM(INDEX(_xlfn._xlws.FILTER($B$6:$L$2160, $B$6:$B$2160=N489), 0, 11))</f>
        <v>-99.5</v>
      </c>
    </row>
    <row r="490" spans="2:17" x14ac:dyDescent="0.2">
      <c r="B490">
        <v>10430</v>
      </c>
      <c r="C490">
        <v>59</v>
      </c>
      <c r="D490" s="84">
        <v>44</v>
      </c>
      <c r="E490">
        <v>70</v>
      </c>
      <c r="F490" s="85">
        <v>0.2</v>
      </c>
      <c r="G490" s="86">
        <f t="shared" si="35"/>
        <v>3080</v>
      </c>
      <c r="H490" s="86">
        <f t="shared" si="36"/>
        <v>616</v>
      </c>
      <c r="I490" s="86">
        <f t="shared" si="37"/>
        <v>2464</v>
      </c>
      <c r="J490" s="84">
        <f>VLOOKUP(C490, Products[], 6)</f>
        <v>55</v>
      </c>
      <c r="K490" s="86">
        <f t="shared" si="38"/>
        <v>3850</v>
      </c>
      <c r="L490" s="86">
        <f t="shared" si="39"/>
        <v>-1386</v>
      </c>
      <c r="N490">
        <v>10732</v>
      </c>
      <c r="O490" s="84" cm="1">
        <f t="array" ref="O490">SUM(INDEX(_xlfn._xlws.FILTER($B$6:$L$2160, $B$6:$B$2160=N490), 0, 8))</f>
        <v>360</v>
      </c>
      <c r="P490" s="84" cm="1">
        <f t="array" ref="P490">SUM(INDEX(_xlfn._xlws.FILTER($B$6:$L$2160, $B$6:$B$2160=N490), 0, 10))</f>
        <v>360</v>
      </c>
      <c r="Q490" s="84" cm="1">
        <f t="array" ref="Q490">SUM(INDEX(_xlfn._xlws.FILTER($B$6:$L$2160, $B$6:$B$2160=N490), 0, 11))</f>
        <v>0</v>
      </c>
    </row>
    <row r="491" spans="2:17" x14ac:dyDescent="0.2">
      <c r="B491">
        <v>10431</v>
      </c>
      <c r="C491">
        <v>17</v>
      </c>
      <c r="D491" s="84">
        <v>31.2</v>
      </c>
      <c r="E491">
        <v>50</v>
      </c>
      <c r="F491" s="85">
        <v>0.25</v>
      </c>
      <c r="G491" s="86">
        <f t="shared" si="35"/>
        <v>1560</v>
      </c>
      <c r="H491" s="86">
        <f t="shared" si="36"/>
        <v>390</v>
      </c>
      <c r="I491" s="86">
        <f t="shared" si="37"/>
        <v>1170</v>
      </c>
      <c r="J491" s="84">
        <f>VLOOKUP(C491, Products[], 6)</f>
        <v>39</v>
      </c>
      <c r="K491" s="86">
        <f t="shared" si="38"/>
        <v>1950</v>
      </c>
      <c r="L491" s="86">
        <f t="shared" si="39"/>
        <v>-780</v>
      </c>
      <c r="N491">
        <v>10733</v>
      </c>
      <c r="O491" s="84" cm="1">
        <f t="array" ref="O491">SUM(INDEX(_xlfn._xlws.FILTER($B$6:$L$2160, $B$6:$B$2160=N491), 0, 8))</f>
        <v>1459</v>
      </c>
      <c r="P491" s="84" cm="1">
        <f t="array" ref="P491">SUM(INDEX(_xlfn._xlws.FILTER($B$6:$L$2160, $B$6:$B$2160=N491), 0, 10))</f>
        <v>1459</v>
      </c>
      <c r="Q491" s="84" cm="1">
        <f t="array" ref="Q491">SUM(INDEX(_xlfn._xlws.FILTER($B$6:$L$2160, $B$6:$B$2160=N491), 0, 11))</f>
        <v>0</v>
      </c>
    </row>
    <row r="492" spans="2:17" x14ac:dyDescent="0.2">
      <c r="B492">
        <v>10431</v>
      </c>
      <c r="C492">
        <v>40</v>
      </c>
      <c r="D492" s="84">
        <v>14.7</v>
      </c>
      <c r="E492">
        <v>50</v>
      </c>
      <c r="F492" s="85">
        <v>0.25</v>
      </c>
      <c r="G492" s="86">
        <f t="shared" si="35"/>
        <v>735</v>
      </c>
      <c r="H492" s="86">
        <f t="shared" si="36"/>
        <v>183.75</v>
      </c>
      <c r="I492" s="86">
        <f t="shared" si="37"/>
        <v>551.25</v>
      </c>
      <c r="J492" s="84">
        <f>VLOOKUP(C492, Products[], 6)</f>
        <v>18.399999999999999</v>
      </c>
      <c r="K492" s="86">
        <f t="shared" si="38"/>
        <v>919.99999999999989</v>
      </c>
      <c r="L492" s="86">
        <f t="shared" si="39"/>
        <v>-368.74999999999989</v>
      </c>
      <c r="N492">
        <v>10734</v>
      </c>
      <c r="O492" s="84" cm="1">
        <f t="array" ref="O492">SUM(INDEX(_xlfn._xlws.FILTER($B$6:$L$2160, $B$6:$B$2160=N492), 0, 8))</f>
        <v>1498.35</v>
      </c>
      <c r="P492" s="84" cm="1">
        <f t="array" ref="P492">SUM(INDEX(_xlfn._xlws.FILTER($B$6:$L$2160, $B$6:$B$2160=N492), 0, 10))</f>
        <v>1498.35</v>
      </c>
      <c r="Q492" s="84" cm="1">
        <f t="array" ref="Q492">SUM(INDEX(_xlfn._xlws.FILTER($B$6:$L$2160, $B$6:$B$2160=N492), 0, 11))</f>
        <v>0</v>
      </c>
    </row>
    <row r="493" spans="2:17" x14ac:dyDescent="0.2">
      <c r="B493">
        <v>10431</v>
      </c>
      <c r="C493">
        <v>47</v>
      </c>
      <c r="D493" s="84">
        <v>7.6</v>
      </c>
      <c r="E493">
        <v>30</v>
      </c>
      <c r="F493" s="85">
        <v>0.25</v>
      </c>
      <c r="G493" s="86">
        <f t="shared" si="35"/>
        <v>228</v>
      </c>
      <c r="H493" s="86">
        <f t="shared" si="36"/>
        <v>57</v>
      </c>
      <c r="I493" s="86">
        <f t="shared" si="37"/>
        <v>171</v>
      </c>
      <c r="J493" s="84">
        <f>VLOOKUP(C493, Products[], 6)</f>
        <v>9.5</v>
      </c>
      <c r="K493" s="86">
        <f t="shared" si="38"/>
        <v>285</v>
      </c>
      <c r="L493" s="86">
        <f t="shared" si="39"/>
        <v>-114</v>
      </c>
      <c r="N493">
        <v>10735</v>
      </c>
      <c r="O493" s="84" cm="1">
        <f t="array" ref="O493">SUM(INDEX(_xlfn._xlws.FILTER($B$6:$L$2160, $B$6:$B$2160=N493), 0, 8))</f>
        <v>536.4</v>
      </c>
      <c r="P493" s="84" cm="1">
        <f t="array" ref="P493">SUM(INDEX(_xlfn._xlws.FILTER($B$6:$L$2160, $B$6:$B$2160=N493), 0, 10))</f>
        <v>596</v>
      </c>
      <c r="Q493" s="84" cm="1">
        <f t="array" ref="Q493">SUM(INDEX(_xlfn._xlws.FILTER($B$6:$L$2160, $B$6:$B$2160=N493), 0, 11))</f>
        <v>-59.6</v>
      </c>
    </row>
    <row r="494" spans="2:17" x14ac:dyDescent="0.2">
      <c r="B494">
        <v>10432</v>
      </c>
      <c r="C494">
        <v>26</v>
      </c>
      <c r="D494" s="84">
        <v>24.9</v>
      </c>
      <c r="E494">
        <v>10</v>
      </c>
      <c r="F494" s="85">
        <v>0</v>
      </c>
      <c r="G494" s="86">
        <f t="shared" si="35"/>
        <v>249</v>
      </c>
      <c r="H494" s="86">
        <f t="shared" si="36"/>
        <v>0</v>
      </c>
      <c r="I494" s="86">
        <f t="shared" si="37"/>
        <v>249</v>
      </c>
      <c r="J494" s="84">
        <f>VLOOKUP(C494, Products[], 6)</f>
        <v>31.23</v>
      </c>
      <c r="K494" s="86">
        <f t="shared" si="38"/>
        <v>312.3</v>
      </c>
      <c r="L494" s="86">
        <f t="shared" si="39"/>
        <v>-63.300000000000011</v>
      </c>
      <c r="N494">
        <v>10736</v>
      </c>
      <c r="O494" s="84" cm="1">
        <f t="array" ref="O494">SUM(INDEX(_xlfn._xlws.FILTER($B$6:$L$2160, $B$6:$B$2160=N494), 0, 8))</f>
        <v>997</v>
      </c>
      <c r="P494" s="84" cm="1">
        <f t="array" ref="P494">SUM(INDEX(_xlfn._xlws.FILTER($B$6:$L$2160, $B$6:$B$2160=N494), 0, 10))</f>
        <v>997</v>
      </c>
      <c r="Q494" s="84" cm="1">
        <f t="array" ref="Q494">SUM(INDEX(_xlfn._xlws.FILTER($B$6:$L$2160, $B$6:$B$2160=N494), 0, 11))</f>
        <v>0</v>
      </c>
    </row>
    <row r="495" spans="2:17" x14ac:dyDescent="0.2">
      <c r="B495">
        <v>10432</v>
      </c>
      <c r="C495">
        <v>54</v>
      </c>
      <c r="D495" s="84">
        <v>5.9</v>
      </c>
      <c r="E495">
        <v>40</v>
      </c>
      <c r="F495" s="85">
        <v>0</v>
      </c>
      <c r="G495" s="86">
        <f t="shared" si="35"/>
        <v>236</v>
      </c>
      <c r="H495" s="86">
        <f t="shared" si="36"/>
        <v>0</v>
      </c>
      <c r="I495" s="86">
        <f t="shared" si="37"/>
        <v>236</v>
      </c>
      <c r="J495" s="84">
        <f>VLOOKUP(C495, Products[], 6)</f>
        <v>7.45</v>
      </c>
      <c r="K495" s="86">
        <f t="shared" si="38"/>
        <v>298</v>
      </c>
      <c r="L495" s="86">
        <f t="shared" si="39"/>
        <v>-62</v>
      </c>
      <c r="N495">
        <v>10737</v>
      </c>
      <c r="O495" s="84" cm="1">
        <f t="array" ref="O495">SUM(INDEX(_xlfn._xlws.FILTER($B$6:$L$2160, $B$6:$B$2160=N495), 0, 8))</f>
        <v>139.80000000000001</v>
      </c>
      <c r="P495" s="84" cm="1">
        <f t="array" ref="P495">SUM(INDEX(_xlfn._xlws.FILTER($B$6:$L$2160, $B$6:$B$2160=N495), 0, 10))</f>
        <v>139.80000000000001</v>
      </c>
      <c r="Q495" s="84" cm="1">
        <f t="array" ref="Q495">SUM(INDEX(_xlfn._xlws.FILTER($B$6:$L$2160, $B$6:$B$2160=N495), 0, 11))</f>
        <v>0</v>
      </c>
    </row>
    <row r="496" spans="2:17" x14ac:dyDescent="0.2">
      <c r="B496">
        <v>10433</v>
      </c>
      <c r="C496">
        <v>56</v>
      </c>
      <c r="D496" s="84">
        <v>30.4</v>
      </c>
      <c r="E496">
        <v>28</v>
      </c>
      <c r="F496" s="85">
        <v>0</v>
      </c>
      <c r="G496" s="86">
        <f t="shared" si="35"/>
        <v>851.19999999999993</v>
      </c>
      <c r="H496" s="86">
        <f t="shared" si="36"/>
        <v>0</v>
      </c>
      <c r="I496" s="86">
        <f t="shared" si="37"/>
        <v>851.19999999999993</v>
      </c>
      <c r="J496" s="84">
        <f>VLOOKUP(C496, Products[], 6)</f>
        <v>38</v>
      </c>
      <c r="K496" s="86">
        <f t="shared" si="38"/>
        <v>1064</v>
      </c>
      <c r="L496" s="86">
        <f t="shared" si="39"/>
        <v>-212.80000000000007</v>
      </c>
      <c r="N496">
        <v>10738</v>
      </c>
      <c r="O496" s="84" cm="1">
        <f t="array" ref="O496">SUM(INDEX(_xlfn._xlws.FILTER($B$6:$L$2160, $B$6:$B$2160=N496), 0, 8))</f>
        <v>52.349999999999994</v>
      </c>
      <c r="P496" s="84" cm="1">
        <f t="array" ref="P496">SUM(INDEX(_xlfn._xlws.FILTER($B$6:$L$2160, $B$6:$B$2160=N496), 0, 10))</f>
        <v>52.349999999999994</v>
      </c>
      <c r="Q496" s="84" cm="1">
        <f t="array" ref="Q496">SUM(INDEX(_xlfn._xlws.FILTER($B$6:$L$2160, $B$6:$B$2160=N496), 0, 11))</f>
        <v>0</v>
      </c>
    </row>
    <row r="497" spans="2:17" x14ac:dyDescent="0.2">
      <c r="B497">
        <v>10434</v>
      </c>
      <c r="C497">
        <v>11</v>
      </c>
      <c r="D497" s="84">
        <v>16.8</v>
      </c>
      <c r="E497">
        <v>6</v>
      </c>
      <c r="F497" s="85">
        <v>0</v>
      </c>
      <c r="G497" s="86">
        <f t="shared" si="35"/>
        <v>100.80000000000001</v>
      </c>
      <c r="H497" s="86">
        <f t="shared" si="36"/>
        <v>0</v>
      </c>
      <c r="I497" s="86">
        <f t="shared" si="37"/>
        <v>100.80000000000001</v>
      </c>
      <c r="J497" s="84">
        <f>VLOOKUP(C497, Products[], 6)</f>
        <v>21</v>
      </c>
      <c r="K497" s="86">
        <f t="shared" si="38"/>
        <v>126</v>
      </c>
      <c r="L497" s="86">
        <f t="shared" si="39"/>
        <v>-25.199999999999989</v>
      </c>
      <c r="N497">
        <v>10739</v>
      </c>
      <c r="O497" s="84" cm="1">
        <f t="array" ref="O497">SUM(INDEX(_xlfn._xlws.FILTER($B$6:$L$2160, $B$6:$B$2160=N497), 0, 8))</f>
        <v>240</v>
      </c>
      <c r="P497" s="84" cm="1">
        <f t="array" ref="P497">SUM(INDEX(_xlfn._xlws.FILTER($B$6:$L$2160, $B$6:$B$2160=N497), 0, 10))</f>
        <v>240</v>
      </c>
      <c r="Q497" s="84" cm="1">
        <f t="array" ref="Q497">SUM(INDEX(_xlfn._xlws.FILTER($B$6:$L$2160, $B$6:$B$2160=N497), 0, 11))</f>
        <v>0</v>
      </c>
    </row>
    <row r="498" spans="2:17" x14ac:dyDescent="0.2">
      <c r="B498">
        <v>10434</v>
      </c>
      <c r="C498">
        <v>76</v>
      </c>
      <c r="D498" s="84">
        <v>14.4</v>
      </c>
      <c r="E498">
        <v>18</v>
      </c>
      <c r="F498" s="85">
        <v>0.15</v>
      </c>
      <c r="G498" s="86">
        <f t="shared" si="35"/>
        <v>259.2</v>
      </c>
      <c r="H498" s="86">
        <f t="shared" si="36"/>
        <v>38.879999999999995</v>
      </c>
      <c r="I498" s="86">
        <f t="shared" si="37"/>
        <v>220.32</v>
      </c>
      <c r="J498" s="84">
        <f>VLOOKUP(C498, Products[], 6)</f>
        <v>18</v>
      </c>
      <c r="K498" s="86">
        <f t="shared" si="38"/>
        <v>324</v>
      </c>
      <c r="L498" s="86">
        <f t="shared" si="39"/>
        <v>-103.68</v>
      </c>
      <c r="N498">
        <v>10740</v>
      </c>
      <c r="O498" s="84" cm="1">
        <f t="array" ref="O498">SUM(INDEX(_xlfn._xlws.FILTER($B$6:$L$2160, $B$6:$B$2160=N498), 0, 8))</f>
        <v>1416</v>
      </c>
      <c r="P498" s="84" cm="1">
        <f t="array" ref="P498">SUM(INDEX(_xlfn._xlws.FILTER($B$6:$L$2160, $B$6:$B$2160=N498), 0, 10))</f>
        <v>1770</v>
      </c>
      <c r="Q498" s="84" cm="1">
        <f t="array" ref="Q498">SUM(INDEX(_xlfn._xlws.FILTER($B$6:$L$2160, $B$6:$B$2160=N498), 0, 11))</f>
        <v>-354</v>
      </c>
    </row>
    <row r="499" spans="2:17" x14ac:dyDescent="0.2">
      <c r="B499">
        <v>10435</v>
      </c>
      <c r="C499">
        <v>2</v>
      </c>
      <c r="D499" s="84">
        <v>15.2</v>
      </c>
      <c r="E499">
        <v>10</v>
      </c>
      <c r="F499" s="85">
        <v>0</v>
      </c>
      <c r="G499" s="86">
        <f t="shared" si="35"/>
        <v>152</v>
      </c>
      <c r="H499" s="86">
        <f t="shared" si="36"/>
        <v>0</v>
      </c>
      <c r="I499" s="86">
        <f t="shared" si="37"/>
        <v>152</v>
      </c>
      <c r="J499" s="84">
        <f>VLOOKUP(C499, Products[], 6)</f>
        <v>19</v>
      </c>
      <c r="K499" s="86">
        <f t="shared" si="38"/>
        <v>190</v>
      </c>
      <c r="L499" s="86">
        <f t="shared" si="39"/>
        <v>-38</v>
      </c>
      <c r="N499">
        <v>10741</v>
      </c>
      <c r="O499" s="84" cm="1">
        <f t="array" ref="O499">SUM(INDEX(_xlfn._xlws.FILTER($B$6:$L$2160, $B$6:$B$2160=N499), 0, 8))</f>
        <v>228</v>
      </c>
      <c r="P499" s="84" cm="1">
        <f t="array" ref="P499">SUM(INDEX(_xlfn._xlws.FILTER($B$6:$L$2160, $B$6:$B$2160=N499), 0, 10))</f>
        <v>285</v>
      </c>
      <c r="Q499" s="84" cm="1">
        <f t="array" ref="Q499">SUM(INDEX(_xlfn._xlws.FILTER($B$6:$L$2160, $B$6:$B$2160=N499), 0, 11))</f>
        <v>-57</v>
      </c>
    </row>
    <row r="500" spans="2:17" x14ac:dyDescent="0.2">
      <c r="B500">
        <v>10435</v>
      </c>
      <c r="C500">
        <v>22</v>
      </c>
      <c r="D500" s="84">
        <v>16.8</v>
      </c>
      <c r="E500">
        <v>12</v>
      </c>
      <c r="F500" s="85">
        <v>0</v>
      </c>
      <c r="G500" s="86">
        <f t="shared" si="35"/>
        <v>201.60000000000002</v>
      </c>
      <c r="H500" s="86">
        <f t="shared" si="36"/>
        <v>0</v>
      </c>
      <c r="I500" s="86">
        <f t="shared" si="37"/>
        <v>201.60000000000002</v>
      </c>
      <c r="J500" s="84">
        <f>VLOOKUP(C500, Products[], 6)</f>
        <v>21</v>
      </c>
      <c r="K500" s="86">
        <f t="shared" si="38"/>
        <v>252</v>
      </c>
      <c r="L500" s="86">
        <f t="shared" si="39"/>
        <v>-50.399999999999977</v>
      </c>
      <c r="N500">
        <v>10742</v>
      </c>
      <c r="O500" s="84" cm="1">
        <f t="array" ref="O500">SUM(INDEX(_xlfn._xlws.FILTER($B$6:$L$2160, $B$6:$B$2160=N500), 0, 8))</f>
        <v>3118</v>
      </c>
      <c r="P500" s="84" cm="1">
        <f t="array" ref="P500">SUM(INDEX(_xlfn._xlws.FILTER($B$6:$L$2160, $B$6:$B$2160=N500), 0, 10))</f>
        <v>3118</v>
      </c>
      <c r="Q500" s="84" cm="1">
        <f t="array" ref="Q500">SUM(INDEX(_xlfn._xlws.FILTER($B$6:$L$2160, $B$6:$B$2160=N500), 0, 11))</f>
        <v>0</v>
      </c>
    </row>
    <row r="501" spans="2:17" x14ac:dyDescent="0.2">
      <c r="B501">
        <v>10435</v>
      </c>
      <c r="C501">
        <v>72</v>
      </c>
      <c r="D501" s="84">
        <v>27.8</v>
      </c>
      <c r="E501">
        <v>10</v>
      </c>
      <c r="F501" s="85">
        <v>0</v>
      </c>
      <c r="G501" s="86">
        <f t="shared" si="35"/>
        <v>278</v>
      </c>
      <c r="H501" s="86">
        <f t="shared" si="36"/>
        <v>0</v>
      </c>
      <c r="I501" s="86">
        <f t="shared" si="37"/>
        <v>278</v>
      </c>
      <c r="J501" s="84">
        <f>VLOOKUP(C501, Products[], 6)</f>
        <v>34.799999999999997</v>
      </c>
      <c r="K501" s="86">
        <f t="shared" si="38"/>
        <v>348</v>
      </c>
      <c r="L501" s="86">
        <f t="shared" si="39"/>
        <v>-70</v>
      </c>
      <c r="N501">
        <v>10743</v>
      </c>
      <c r="O501" s="84" cm="1">
        <f t="array" ref="O501">SUM(INDEX(_xlfn._xlws.FILTER($B$6:$L$2160, $B$6:$B$2160=N501), 0, 8))</f>
        <v>319.2</v>
      </c>
      <c r="P501" s="84" cm="1">
        <f t="array" ref="P501">SUM(INDEX(_xlfn._xlws.FILTER($B$6:$L$2160, $B$6:$B$2160=N501), 0, 10))</f>
        <v>336</v>
      </c>
      <c r="Q501" s="84" cm="1">
        <f t="array" ref="Q501">SUM(INDEX(_xlfn._xlws.FILTER($B$6:$L$2160, $B$6:$B$2160=N501), 0, 11))</f>
        <v>-16.800000000000011</v>
      </c>
    </row>
    <row r="502" spans="2:17" x14ac:dyDescent="0.2">
      <c r="B502">
        <v>10436</v>
      </c>
      <c r="C502">
        <v>46</v>
      </c>
      <c r="D502" s="84">
        <v>9.6</v>
      </c>
      <c r="E502">
        <v>5</v>
      </c>
      <c r="F502" s="85">
        <v>0</v>
      </c>
      <c r="G502" s="86">
        <f t="shared" si="35"/>
        <v>48</v>
      </c>
      <c r="H502" s="86">
        <f t="shared" si="36"/>
        <v>0</v>
      </c>
      <c r="I502" s="86">
        <f t="shared" si="37"/>
        <v>48</v>
      </c>
      <c r="J502" s="84">
        <f>VLOOKUP(C502, Products[], 6)</f>
        <v>12</v>
      </c>
      <c r="K502" s="86">
        <f t="shared" si="38"/>
        <v>60</v>
      </c>
      <c r="L502" s="86">
        <f t="shared" si="39"/>
        <v>-12</v>
      </c>
      <c r="N502">
        <v>10744</v>
      </c>
      <c r="O502" s="84" cm="1">
        <f t="array" ref="O502">SUM(INDEX(_xlfn._xlws.FILTER($B$6:$L$2160, $B$6:$B$2160=N502), 0, 8))</f>
        <v>735.99999999999989</v>
      </c>
      <c r="P502" s="84" cm="1">
        <f t="array" ref="P502">SUM(INDEX(_xlfn._xlws.FILTER($B$6:$L$2160, $B$6:$B$2160=N502), 0, 10))</f>
        <v>919.99999999999989</v>
      </c>
      <c r="Q502" s="84" cm="1">
        <f t="array" ref="Q502">SUM(INDEX(_xlfn._xlws.FILTER($B$6:$L$2160, $B$6:$B$2160=N502), 0, 11))</f>
        <v>-184</v>
      </c>
    </row>
    <row r="503" spans="2:17" x14ac:dyDescent="0.2">
      <c r="B503">
        <v>10436</v>
      </c>
      <c r="C503">
        <v>56</v>
      </c>
      <c r="D503" s="84">
        <v>30.4</v>
      </c>
      <c r="E503">
        <v>40</v>
      </c>
      <c r="F503" s="85">
        <v>0.1</v>
      </c>
      <c r="G503" s="86">
        <f t="shared" si="35"/>
        <v>1216</v>
      </c>
      <c r="H503" s="86">
        <f t="shared" si="36"/>
        <v>121.60000000000001</v>
      </c>
      <c r="I503" s="86">
        <f t="shared" si="37"/>
        <v>1094.4000000000001</v>
      </c>
      <c r="J503" s="84">
        <f>VLOOKUP(C503, Products[], 6)</f>
        <v>38</v>
      </c>
      <c r="K503" s="86">
        <f t="shared" si="38"/>
        <v>1520</v>
      </c>
      <c r="L503" s="86">
        <f t="shared" si="39"/>
        <v>-425.59999999999991</v>
      </c>
      <c r="N503">
        <v>10745</v>
      </c>
      <c r="O503" s="84" cm="1">
        <f t="array" ref="O503">SUM(INDEX(_xlfn._xlws.FILTER($B$6:$L$2160, $B$6:$B$2160=N503), 0, 8))</f>
        <v>4529.8</v>
      </c>
      <c r="P503" s="84" cm="1">
        <f t="array" ref="P503">SUM(INDEX(_xlfn._xlws.FILTER($B$6:$L$2160, $B$6:$B$2160=N503), 0, 10))</f>
        <v>4529.8</v>
      </c>
      <c r="Q503" s="84" cm="1">
        <f t="array" ref="Q503">SUM(INDEX(_xlfn._xlws.FILTER($B$6:$L$2160, $B$6:$B$2160=N503), 0, 11))</f>
        <v>0</v>
      </c>
    </row>
    <row r="504" spans="2:17" x14ac:dyDescent="0.2">
      <c r="B504">
        <v>10436</v>
      </c>
      <c r="C504">
        <v>64</v>
      </c>
      <c r="D504" s="84">
        <v>26.6</v>
      </c>
      <c r="E504">
        <v>30</v>
      </c>
      <c r="F504" s="85">
        <v>0.1</v>
      </c>
      <c r="G504" s="86">
        <f t="shared" si="35"/>
        <v>798</v>
      </c>
      <c r="H504" s="86">
        <f t="shared" si="36"/>
        <v>79.800000000000011</v>
      </c>
      <c r="I504" s="86">
        <f t="shared" si="37"/>
        <v>718.2</v>
      </c>
      <c r="J504" s="84">
        <f>VLOOKUP(C504, Products[], 6)</f>
        <v>33.25</v>
      </c>
      <c r="K504" s="86">
        <f t="shared" si="38"/>
        <v>997.5</v>
      </c>
      <c r="L504" s="86">
        <f t="shared" si="39"/>
        <v>-279.29999999999995</v>
      </c>
      <c r="N504">
        <v>10746</v>
      </c>
      <c r="O504" s="84" cm="1">
        <f t="array" ref="O504">SUM(INDEX(_xlfn._xlws.FILTER($B$6:$L$2160, $B$6:$B$2160=N504), 0, 8))</f>
        <v>2311.6999999999998</v>
      </c>
      <c r="P504" s="84" cm="1">
        <f t="array" ref="P504">SUM(INDEX(_xlfn._xlws.FILTER($B$6:$L$2160, $B$6:$B$2160=N504), 0, 10))</f>
        <v>2311.6999999999998</v>
      </c>
      <c r="Q504" s="84" cm="1">
        <f t="array" ref="Q504">SUM(INDEX(_xlfn._xlws.FILTER($B$6:$L$2160, $B$6:$B$2160=N504), 0, 11))</f>
        <v>0</v>
      </c>
    </row>
    <row r="505" spans="2:17" x14ac:dyDescent="0.2">
      <c r="B505">
        <v>10436</v>
      </c>
      <c r="C505">
        <v>75</v>
      </c>
      <c r="D505" s="84">
        <v>6.2</v>
      </c>
      <c r="E505">
        <v>24</v>
      </c>
      <c r="F505" s="85">
        <v>0.1</v>
      </c>
      <c r="G505" s="86">
        <f t="shared" si="35"/>
        <v>148.80000000000001</v>
      </c>
      <c r="H505" s="86">
        <f t="shared" si="36"/>
        <v>14.880000000000003</v>
      </c>
      <c r="I505" s="86">
        <f t="shared" si="37"/>
        <v>133.92000000000002</v>
      </c>
      <c r="J505" s="84">
        <f>VLOOKUP(C505, Products[], 6)</f>
        <v>7.75</v>
      </c>
      <c r="K505" s="86">
        <f t="shared" si="38"/>
        <v>186</v>
      </c>
      <c r="L505" s="86">
        <f t="shared" si="39"/>
        <v>-52.079999999999984</v>
      </c>
      <c r="N505">
        <v>10747</v>
      </c>
      <c r="O505" s="84" cm="1">
        <f t="array" ref="O505">SUM(INDEX(_xlfn._xlws.FILTER($B$6:$L$2160, $B$6:$B$2160=N505), 0, 8))</f>
        <v>1912.85</v>
      </c>
      <c r="P505" s="84" cm="1">
        <f t="array" ref="P505">SUM(INDEX(_xlfn._xlws.FILTER($B$6:$L$2160, $B$6:$B$2160=N505), 0, 10))</f>
        <v>1912.85</v>
      </c>
      <c r="Q505" s="84" cm="1">
        <f t="array" ref="Q505">SUM(INDEX(_xlfn._xlws.FILTER($B$6:$L$2160, $B$6:$B$2160=N505), 0, 11))</f>
        <v>0</v>
      </c>
    </row>
    <row r="506" spans="2:17" x14ac:dyDescent="0.2">
      <c r="B506">
        <v>10437</v>
      </c>
      <c r="C506">
        <v>53</v>
      </c>
      <c r="D506" s="84">
        <v>26.2</v>
      </c>
      <c r="E506">
        <v>15</v>
      </c>
      <c r="F506" s="85">
        <v>0</v>
      </c>
      <c r="G506" s="86">
        <f t="shared" si="35"/>
        <v>393</v>
      </c>
      <c r="H506" s="86">
        <f t="shared" si="36"/>
        <v>0</v>
      </c>
      <c r="I506" s="86">
        <f t="shared" si="37"/>
        <v>393</v>
      </c>
      <c r="J506" s="84">
        <f>VLOOKUP(C506, Products[], 6)</f>
        <v>32.799999999999997</v>
      </c>
      <c r="K506" s="86">
        <f t="shared" si="38"/>
        <v>491.99999999999994</v>
      </c>
      <c r="L506" s="86">
        <f t="shared" si="39"/>
        <v>-98.999999999999943</v>
      </c>
      <c r="N506">
        <v>10748</v>
      </c>
      <c r="O506" s="84" cm="1">
        <f t="array" ref="O506">SUM(INDEX(_xlfn._xlws.FILTER($B$6:$L$2160, $B$6:$B$2160=N506), 0, 8))</f>
        <v>2196</v>
      </c>
      <c r="P506" s="84" cm="1">
        <f t="array" ref="P506">SUM(INDEX(_xlfn._xlws.FILTER($B$6:$L$2160, $B$6:$B$2160=N506), 0, 10))</f>
        <v>2196</v>
      </c>
      <c r="Q506" s="84" cm="1">
        <f t="array" ref="Q506">SUM(INDEX(_xlfn._xlws.FILTER($B$6:$L$2160, $B$6:$B$2160=N506), 0, 11))</f>
        <v>0</v>
      </c>
    </row>
    <row r="507" spans="2:17" x14ac:dyDescent="0.2">
      <c r="B507">
        <v>10438</v>
      </c>
      <c r="C507">
        <v>19</v>
      </c>
      <c r="D507" s="84">
        <v>7.3</v>
      </c>
      <c r="E507">
        <v>15</v>
      </c>
      <c r="F507" s="85">
        <v>0.2</v>
      </c>
      <c r="G507" s="86">
        <f t="shared" si="35"/>
        <v>109.5</v>
      </c>
      <c r="H507" s="86">
        <f t="shared" si="36"/>
        <v>21.900000000000002</v>
      </c>
      <c r="I507" s="86">
        <f t="shared" si="37"/>
        <v>87.6</v>
      </c>
      <c r="J507" s="84">
        <f>VLOOKUP(C507, Products[], 6)</f>
        <v>9.1999999999999993</v>
      </c>
      <c r="K507" s="86">
        <f t="shared" si="38"/>
        <v>138</v>
      </c>
      <c r="L507" s="86">
        <f t="shared" si="39"/>
        <v>-50.400000000000006</v>
      </c>
      <c r="N507">
        <v>10749</v>
      </c>
      <c r="O507" s="84" cm="1">
        <f t="array" ref="O507">SUM(INDEX(_xlfn._xlws.FILTER($B$6:$L$2160, $B$6:$B$2160=N507), 0, 8))</f>
        <v>1080</v>
      </c>
      <c r="P507" s="84" cm="1">
        <f t="array" ref="P507">SUM(INDEX(_xlfn._xlws.FILTER($B$6:$L$2160, $B$6:$B$2160=N507), 0, 10))</f>
        <v>1080</v>
      </c>
      <c r="Q507" s="84" cm="1">
        <f t="array" ref="Q507">SUM(INDEX(_xlfn._xlws.FILTER($B$6:$L$2160, $B$6:$B$2160=N507), 0, 11))</f>
        <v>0</v>
      </c>
    </row>
    <row r="508" spans="2:17" x14ac:dyDescent="0.2">
      <c r="B508">
        <v>10438</v>
      </c>
      <c r="C508">
        <v>34</v>
      </c>
      <c r="D508" s="84">
        <v>11.2</v>
      </c>
      <c r="E508">
        <v>20</v>
      </c>
      <c r="F508" s="85">
        <v>0.2</v>
      </c>
      <c r="G508" s="86">
        <f t="shared" si="35"/>
        <v>224</v>
      </c>
      <c r="H508" s="86">
        <f t="shared" si="36"/>
        <v>44.800000000000004</v>
      </c>
      <c r="I508" s="86">
        <f t="shared" si="37"/>
        <v>179.2</v>
      </c>
      <c r="J508" s="84">
        <f>VLOOKUP(C508, Products[], 6)</f>
        <v>14</v>
      </c>
      <c r="K508" s="86">
        <f t="shared" si="38"/>
        <v>280</v>
      </c>
      <c r="L508" s="86">
        <f t="shared" si="39"/>
        <v>-100.80000000000001</v>
      </c>
      <c r="N508">
        <v>10750</v>
      </c>
      <c r="O508" s="84" cm="1">
        <f t="array" ref="O508">SUM(INDEX(_xlfn._xlws.FILTER($B$6:$L$2160, $B$6:$B$2160=N508), 0, 8))</f>
        <v>1590.5625</v>
      </c>
      <c r="P508" s="84" cm="1">
        <f t="array" ref="P508">SUM(INDEX(_xlfn._xlws.FILTER($B$6:$L$2160, $B$6:$B$2160=N508), 0, 10))</f>
        <v>1871.25</v>
      </c>
      <c r="Q508" s="84" cm="1">
        <f t="array" ref="Q508">SUM(INDEX(_xlfn._xlws.FILTER($B$6:$L$2160, $B$6:$B$2160=N508), 0, 11))</f>
        <v>-280.6875</v>
      </c>
    </row>
    <row r="509" spans="2:17" x14ac:dyDescent="0.2">
      <c r="B509">
        <v>10438</v>
      </c>
      <c r="C509">
        <v>57</v>
      </c>
      <c r="D509" s="84">
        <v>15.6</v>
      </c>
      <c r="E509">
        <v>15</v>
      </c>
      <c r="F509" s="85">
        <v>0.2</v>
      </c>
      <c r="G509" s="86">
        <f t="shared" si="35"/>
        <v>234</v>
      </c>
      <c r="H509" s="86">
        <f t="shared" si="36"/>
        <v>46.800000000000004</v>
      </c>
      <c r="I509" s="86">
        <f t="shared" si="37"/>
        <v>187.2</v>
      </c>
      <c r="J509" s="84">
        <f>VLOOKUP(C509, Products[], 6)</f>
        <v>19.5</v>
      </c>
      <c r="K509" s="86">
        <f t="shared" si="38"/>
        <v>292.5</v>
      </c>
      <c r="L509" s="86">
        <f t="shared" si="39"/>
        <v>-105.30000000000001</v>
      </c>
      <c r="N509">
        <v>10751</v>
      </c>
      <c r="O509" s="84" cm="1">
        <f t="array" ref="O509">SUM(INDEX(_xlfn._xlws.FILTER($B$6:$L$2160, $B$6:$B$2160=N509), 0, 8))</f>
        <v>1631.4839999999999</v>
      </c>
      <c r="P509" s="84" cm="1">
        <f t="array" ref="P509">SUM(INDEX(_xlfn._xlws.FILTER($B$6:$L$2160, $B$6:$B$2160=N509), 0, 10))</f>
        <v>1701.46</v>
      </c>
      <c r="Q509" s="84" cm="1">
        <f t="array" ref="Q509">SUM(INDEX(_xlfn._xlws.FILTER($B$6:$L$2160, $B$6:$B$2160=N509), 0, 11))</f>
        <v>-69.975999999999999</v>
      </c>
    </row>
    <row r="510" spans="2:17" x14ac:dyDescent="0.2">
      <c r="B510">
        <v>10439</v>
      </c>
      <c r="C510">
        <v>12</v>
      </c>
      <c r="D510" s="84">
        <v>30.4</v>
      </c>
      <c r="E510">
        <v>15</v>
      </c>
      <c r="F510" s="85">
        <v>0</v>
      </c>
      <c r="G510" s="86">
        <f t="shared" si="35"/>
        <v>456</v>
      </c>
      <c r="H510" s="86">
        <f t="shared" si="36"/>
        <v>0</v>
      </c>
      <c r="I510" s="86">
        <f t="shared" si="37"/>
        <v>456</v>
      </c>
      <c r="J510" s="84">
        <f>VLOOKUP(C510, Products[], 6)</f>
        <v>38</v>
      </c>
      <c r="K510" s="86">
        <f t="shared" si="38"/>
        <v>570</v>
      </c>
      <c r="L510" s="86">
        <f t="shared" si="39"/>
        <v>-114</v>
      </c>
      <c r="N510">
        <v>10752</v>
      </c>
      <c r="O510" s="84" cm="1">
        <f t="array" ref="O510">SUM(INDEX(_xlfn._xlws.FILTER($B$6:$L$2160, $B$6:$B$2160=N510), 0, 8))</f>
        <v>252</v>
      </c>
      <c r="P510" s="84" cm="1">
        <f t="array" ref="P510">SUM(INDEX(_xlfn._xlws.FILTER($B$6:$L$2160, $B$6:$B$2160=N510), 0, 10))</f>
        <v>252</v>
      </c>
      <c r="Q510" s="84" cm="1">
        <f t="array" ref="Q510">SUM(INDEX(_xlfn._xlws.FILTER($B$6:$L$2160, $B$6:$B$2160=N510), 0, 11))</f>
        <v>0</v>
      </c>
    </row>
    <row r="511" spans="2:17" x14ac:dyDescent="0.2">
      <c r="B511">
        <v>10439</v>
      </c>
      <c r="C511">
        <v>16</v>
      </c>
      <c r="D511" s="84">
        <v>13.9</v>
      </c>
      <c r="E511">
        <v>16</v>
      </c>
      <c r="F511" s="85">
        <v>0</v>
      </c>
      <c r="G511" s="86">
        <f t="shared" si="35"/>
        <v>222.4</v>
      </c>
      <c r="H511" s="86">
        <f t="shared" si="36"/>
        <v>0</v>
      </c>
      <c r="I511" s="86">
        <f t="shared" si="37"/>
        <v>222.4</v>
      </c>
      <c r="J511" s="84">
        <f>VLOOKUP(C511, Products[], 6)</f>
        <v>17.45</v>
      </c>
      <c r="K511" s="86">
        <f t="shared" si="38"/>
        <v>279.2</v>
      </c>
      <c r="L511" s="86">
        <f t="shared" si="39"/>
        <v>-56.799999999999983</v>
      </c>
      <c r="N511">
        <v>10753</v>
      </c>
      <c r="O511" s="84" cm="1">
        <f t="array" ref="O511">SUM(INDEX(_xlfn._xlws.FILTER($B$6:$L$2160, $B$6:$B$2160=N511), 0, 8))</f>
        <v>88</v>
      </c>
      <c r="P511" s="84" cm="1">
        <f t="array" ref="P511">SUM(INDEX(_xlfn._xlws.FILTER($B$6:$L$2160, $B$6:$B$2160=N511), 0, 10))</f>
        <v>88</v>
      </c>
      <c r="Q511" s="84" cm="1">
        <f t="array" ref="Q511">SUM(INDEX(_xlfn._xlws.FILTER($B$6:$L$2160, $B$6:$B$2160=N511), 0, 11))</f>
        <v>0</v>
      </c>
    </row>
    <row r="512" spans="2:17" x14ac:dyDescent="0.2">
      <c r="B512">
        <v>10439</v>
      </c>
      <c r="C512">
        <v>64</v>
      </c>
      <c r="D512" s="84">
        <v>26.6</v>
      </c>
      <c r="E512">
        <v>6</v>
      </c>
      <c r="F512" s="85">
        <v>0</v>
      </c>
      <c r="G512" s="86">
        <f t="shared" si="35"/>
        <v>159.60000000000002</v>
      </c>
      <c r="H512" s="86">
        <f t="shared" si="36"/>
        <v>0</v>
      </c>
      <c r="I512" s="86">
        <f t="shared" si="37"/>
        <v>159.60000000000002</v>
      </c>
      <c r="J512" s="84">
        <f>VLOOKUP(C512, Products[], 6)</f>
        <v>33.25</v>
      </c>
      <c r="K512" s="86">
        <f t="shared" si="38"/>
        <v>199.5</v>
      </c>
      <c r="L512" s="86">
        <f t="shared" si="39"/>
        <v>-39.899999999999977</v>
      </c>
      <c r="N512">
        <v>10754</v>
      </c>
      <c r="O512" s="84" cm="1">
        <f t="array" ref="O512">SUM(INDEX(_xlfn._xlws.FILTER($B$6:$L$2160, $B$6:$B$2160=N512), 0, 8))</f>
        <v>55.199999999999996</v>
      </c>
      <c r="P512" s="84" cm="1">
        <f t="array" ref="P512">SUM(INDEX(_xlfn._xlws.FILTER($B$6:$L$2160, $B$6:$B$2160=N512), 0, 10))</f>
        <v>55.199999999999996</v>
      </c>
      <c r="Q512" s="84" cm="1">
        <f t="array" ref="Q512">SUM(INDEX(_xlfn._xlws.FILTER($B$6:$L$2160, $B$6:$B$2160=N512), 0, 11))</f>
        <v>0</v>
      </c>
    </row>
    <row r="513" spans="2:17" x14ac:dyDescent="0.2">
      <c r="B513">
        <v>10439</v>
      </c>
      <c r="C513">
        <v>74</v>
      </c>
      <c r="D513" s="84">
        <v>8</v>
      </c>
      <c r="E513">
        <v>30</v>
      </c>
      <c r="F513" s="85">
        <v>0</v>
      </c>
      <c r="G513" s="86">
        <f t="shared" si="35"/>
        <v>240</v>
      </c>
      <c r="H513" s="86">
        <f t="shared" si="36"/>
        <v>0</v>
      </c>
      <c r="I513" s="86">
        <f t="shared" si="37"/>
        <v>240</v>
      </c>
      <c r="J513" s="84">
        <f>VLOOKUP(C513, Products[], 6)</f>
        <v>10</v>
      </c>
      <c r="K513" s="86">
        <f t="shared" si="38"/>
        <v>300</v>
      </c>
      <c r="L513" s="86">
        <f t="shared" si="39"/>
        <v>-60</v>
      </c>
      <c r="N513">
        <v>10755</v>
      </c>
      <c r="O513" s="84" cm="1">
        <f t="array" ref="O513">SUM(INDEX(_xlfn._xlws.FILTER($B$6:$L$2160, $B$6:$B$2160=N513), 0, 8))</f>
        <v>1948.5</v>
      </c>
      <c r="P513" s="84" cm="1">
        <f t="array" ref="P513">SUM(INDEX(_xlfn._xlws.FILTER($B$6:$L$2160, $B$6:$B$2160=N513), 0, 10))</f>
        <v>2598</v>
      </c>
      <c r="Q513" s="84" cm="1">
        <f t="array" ref="Q513">SUM(INDEX(_xlfn._xlws.FILTER($B$6:$L$2160, $B$6:$B$2160=N513), 0, 11))</f>
        <v>-649.5</v>
      </c>
    </row>
    <row r="514" spans="2:17" x14ac:dyDescent="0.2">
      <c r="B514">
        <v>10440</v>
      </c>
      <c r="C514">
        <v>2</v>
      </c>
      <c r="D514" s="84">
        <v>15.2</v>
      </c>
      <c r="E514">
        <v>45</v>
      </c>
      <c r="F514" s="85">
        <v>0.15</v>
      </c>
      <c r="G514" s="86">
        <f t="shared" si="35"/>
        <v>684</v>
      </c>
      <c r="H514" s="86">
        <f t="shared" si="36"/>
        <v>102.6</v>
      </c>
      <c r="I514" s="86">
        <f t="shared" si="37"/>
        <v>581.4</v>
      </c>
      <c r="J514" s="84">
        <f>VLOOKUP(C514, Products[], 6)</f>
        <v>19</v>
      </c>
      <c r="K514" s="86">
        <f t="shared" si="38"/>
        <v>855</v>
      </c>
      <c r="L514" s="86">
        <f t="shared" si="39"/>
        <v>-273.60000000000002</v>
      </c>
      <c r="N514">
        <v>10756</v>
      </c>
      <c r="O514" s="84" cm="1">
        <f t="array" ref="O514">SUM(INDEX(_xlfn._xlws.FILTER($B$6:$L$2160, $B$6:$B$2160=N514), 0, 8))</f>
        <v>1990</v>
      </c>
      <c r="P514" s="84" cm="1">
        <f t="array" ref="P514">SUM(INDEX(_xlfn._xlws.FILTER($B$6:$L$2160, $B$6:$B$2160=N514), 0, 10))</f>
        <v>2487.5</v>
      </c>
      <c r="Q514" s="84" cm="1">
        <f t="array" ref="Q514">SUM(INDEX(_xlfn._xlws.FILTER($B$6:$L$2160, $B$6:$B$2160=N514), 0, 11))</f>
        <v>-497.5</v>
      </c>
    </row>
    <row r="515" spans="2:17" x14ac:dyDescent="0.2">
      <c r="B515">
        <v>10440</v>
      </c>
      <c r="C515">
        <v>16</v>
      </c>
      <c r="D515" s="84">
        <v>13.9</v>
      </c>
      <c r="E515">
        <v>49</v>
      </c>
      <c r="F515" s="85">
        <v>0.15</v>
      </c>
      <c r="G515" s="86">
        <f t="shared" si="35"/>
        <v>681.1</v>
      </c>
      <c r="H515" s="86">
        <f t="shared" si="36"/>
        <v>102.16500000000001</v>
      </c>
      <c r="I515" s="86">
        <f t="shared" si="37"/>
        <v>578.93500000000006</v>
      </c>
      <c r="J515" s="84">
        <f>VLOOKUP(C515, Products[], 6)</f>
        <v>17.45</v>
      </c>
      <c r="K515" s="86">
        <f t="shared" si="38"/>
        <v>855.05</v>
      </c>
      <c r="L515" s="86">
        <f t="shared" si="39"/>
        <v>-276.1149999999999</v>
      </c>
      <c r="N515">
        <v>10757</v>
      </c>
      <c r="O515" s="84" cm="1">
        <f t="array" ref="O515">SUM(INDEX(_xlfn._xlws.FILTER($B$6:$L$2160, $B$6:$B$2160=N515), 0, 8))</f>
        <v>3082</v>
      </c>
      <c r="P515" s="84" cm="1">
        <f t="array" ref="P515">SUM(INDEX(_xlfn._xlws.FILTER($B$6:$L$2160, $B$6:$B$2160=N515), 0, 10))</f>
        <v>3082</v>
      </c>
      <c r="Q515" s="84" cm="1">
        <f t="array" ref="Q515">SUM(INDEX(_xlfn._xlws.FILTER($B$6:$L$2160, $B$6:$B$2160=N515), 0, 11))</f>
        <v>0</v>
      </c>
    </row>
    <row r="516" spans="2:17" x14ac:dyDescent="0.2">
      <c r="B516">
        <v>10440</v>
      </c>
      <c r="C516">
        <v>29</v>
      </c>
      <c r="D516" s="84">
        <v>99</v>
      </c>
      <c r="E516">
        <v>24</v>
      </c>
      <c r="F516" s="85">
        <v>0.15</v>
      </c>
      <c r="G516" s="86">
        <f t="shared" si="35"/>
        <v>2376</v>
      </c>
      <c r="H516" s="86">
        <f t="shared" si="36"/>
        <v>356.4</v>
      </c>
      <c r="I516" s="86">
        <f t="shared" si="37"/>
        <v>2019.6</v>
      </c>
      <c r="J516" s="84">
        <f>VLOOKUP(C516, Products[], 6)</f>
        <v>123.79</v>
      </c>
      <c r="K516" s="86">
        <f t="shared" si="38"/>
        <v>2970.96</v>
      </c>
      <c r="L516" s="86">
        <f t="shared" si="39"/>
        <v>-951.36000000000013</v>
      </c>
      <c r="N516">
        <v>10758</v>
      </c>
      <c r="O516" s="84" cm="1">
        <f t="array" ref="O516">SUM(INDEX(_xlfn._xlws.FILTER($B$6:$L$2160, $B$6:$B$2160=N516), 0, 8))</f>
        <v>1644.6</v>
      </c>
      <c r="P516" s="84" cm="1">
        <f t="array" ref="P516">SUM(INDEX(_xlfn._xlws.FILTER($B$6:$L$2160, $B$6:$B$2160=N516), 0, 10))</f>
        <v>1644.6</v>
      </c>
      <c r="Q516" s="84" cm="1">
        <f t="array" ref="Q516">SUM(INDEX(_xlfn._xlws.FILTER($B$6:$L$2160, $B$6:$B$2160=N516), 0, 11))</f>
        <v>0</v>
      </c>
    </row>
    <row r="517" spans="2:17" x14ac:dyDescent="0.2">
      <c r="B517">
        <v>10440</v>
      </c>
      <c r="C517">
        <v>61</v>
      </c>
      <c r="D517" s="84">
        <v>22.8</v>
      </c>
      <c r="E517">
        <v>90</v>
      </c>
      <c r="F517" s="85">
        <v>0.15</v>
      </c>
      <c r="G517" s="86">
        <f t="shared" si="35"/>
        <v>2052</v>
      </c>
      <c r="H517" s="86">
        <f t="shared" si="36"/>
        <v>307.8</v>
      </c>
      <c r="I517" s="86">
        <f t="shared" si="37"/>
        <v>1744.2</v>
      </c>
      <c r="J517" s="84">
        <f>VLOOKUP(C517, Products[], 6)</f>
        <v>28.5</v>
      </c>
      <c r="K517" s="86">
        <f t="shared" si="38"/>
        <v>2565</v>
      </c>
      <c r="L517" s="86">
        <f t="shared" si="39"/>
        <v>-820.8</v>
      </c>
      <c r="N517">
        <v>10759</v>
      </c>
      <c r="O517" s="84" cm="1">
        <f t="array" ref="O517">SUM(INDEX(_xlfn._xlws.FILTER($B$6:$L$2160, $B$6:$B$2160=N517), 0, 8))</f>
        <v>320</v>
      </c>
      <c r="P517" s="84" cm="1">
        <f t="array" ref="P517">SUM(INDEX(_xlfn._xlws.FILTER($B$6:$L$2160, $B$6:$B$2160=N517), 0, 10))</f>
        <v>320</v>
      </c>
      <c r="Q517" s="84" cm="1">
        <f t="array" ref="Q517">SUM(INDEX(_xlfn._xlws.FILTER($B$6:$L$2160, $B$6:$B$2160=N517), 0, 11))</f>
        <v>0</v>
      </c>
    </row>
    <row r="518" spans="2:17" x14ac:dyDescent="0.2">
      <c r="B518">
        <v>10441</v>
      </c>
      <c r="C518">
        <v>27</v>
      </c>
      <c r="D518" s="84">
        <v>35.1</v>
      </c>
      <c r="E518">
        <v>50</v>
      </c>
      <c r="F518" s="85">
        <v>0</v>
      </c>
      <c r="G518" s="86">
        <f t="shared" si="35"/>
        <v>1755</v>
      </c>
      <c r="H518" s="86">
        <f t="shared" si="36"/>
        <v>0</v>
      </c>
      <c r="I518" s="86">
        <f t="shared" si="37"/>
        <v>1755</v>
      </c>
      <c r="J518" s="84">
        <f>VLOOKUP(C518, Products[], 6)</f>
        <v>43.9</v>
      </c>
      <c r="K518" s="86">
        <f t="shared" si="38"/>
        <v>2195</v>
      </c>
      <c r="L518" s="86">
        <f t="shared" si="39"/>
        <v>-440</v>
      </c>
      <c r="N518">
        <v>10760</v>
      </c>
      <c r="O518" s="84" cm="1">
        <f t="array" ref="O518">SUM(INDEX(_xlfn._xlws.FILTER($B$6:$L$2160, $B$6:$B$2160=N518), 0, 8))</f>
        <v>2917</v>
      </c>
      <c r="P518" s="84" cm="1">
        <f t="array" ref="P518">SUM(INDEX(_xlfn._xlws.FILTER($B$6:$L$2160, $B$6:$B$2160=N518), 0, 10))</f>
        <v>3304</v>
      </c>
      <c r="Q518" s="84" cm="1">
        <f t="array" ref="Q518">SUM(INDEX(_xlfn._xlws.FILTER($B$6:$L$2160, $B$6:$B$2160=N518), 0, 11))</f>
        <v>-387</v>
      </c>
    </row>
    <row r="519" spans="2:17" x14ac:dyDescent="0.2">
      <c r="B519">
        <v>10442</v>
      </c>
      <c r="C519">
        <v>11</v>
      </c>
      <c r="D519" s="84">
        <v>16.8</v>
      </c>
      <c r="E519">
        <v>30</v>
      </c>
      <c r="F519" s="85">
        <v>0</v>
      </c>
      <c r="G519" s="86">
        <f t="shared" ref="G519:G582" si="40">D519*E519</f>
        <v>504</v>
      </c>
      <c r="H519" s="86">
        <f t="shared" ref="H519:H582" si="41">G519*F519</f>
        <v>0</v>
      </c>
      <c r="I519" s="86">
        <f t="shared" ref="I519:I582" si="42">G519-H519</f>
        <v>504</v>
      </c>
      <c r="J519" s="84">
        <f>VLOOKUP(C519, Products[], 6)</f>
        <v>21</v>
      </c>
      <c r="K519" s="86">
        <f t="shared" ref="K519:K582" si="43">J519*E519</f>
        <v>630</v>
      </c>
      <c r="L519" s="86">
        <f t="shared" ref="L519:L582" si="44">I519-K519</f>
        <v>-126</v>
      </c>
      <c r="N519">
        <v>10761</v>
      </c>
      <c r="O519" s="84" cm="1">
        <f t="array" ref="O519">SUM(INDEX(_xlfn._xlws.FILTER($B$6:$L$2160, $B$6:$B$2160=N519), 0, 8))</f>
        <v>507</v>
      </c>
      <c r="P519" s="84" cm="1">
        <f t="array" ref="P519">SUM(INDEX(_xlfn._xlws.FILTER($B$6:$L$2160, $B$6:$B$2160=N519), 0, 10))</f>
        <v>629.5</v>
      </c>
      <c r="Q519" s="84" cm="1">
        <f t="array" ref="Q519">SUM(INDEX(_xlfn._xlws.FILTER($B$6:$L$2160, $B$6:$B$2160=N519), 0, 11))</f>
        <v>-122.5</v>
      </c>
    </row>
    <row r="520" spans="2:17" x14ac:dyDescent="0.2">
      <c r="B520">
        <v>10442</v>
      </c>
      <c r="C520">
        <v>54</v>
      </c>
      <c r="D520" s="84">
        <v>5.9</v>
      </c>
      <c r="E520">
        <v>80</v>
      </c>
      <c r="F520" s="85">
        <v>0</v>
      </c>
      <c r="G520" s="86">
        <f t="shared" si="40"/>
        <v>472</v>
      </c>
      <c r="H520" s="86">
        <f t="shared" si="41"/>
        <v>0</v>
      </c>
      <c r="I520" s="86">
        <f t="shared" si="42"/>
        <v>472</v>
      </c>
      <c r="J520" s="84">
        <f>VLOOKUP(C520, Products[], 6)</f>
        <v>7.45</v>
      </c>
      <c r="K520" s="86">
        <f t="shared" si="43"/>
        <v>596</v>
      </c>
      <c r="L520" s="86">
        <f t="shared" si="44"/>
        <v>-124</v>
      </c>
      <c r="N520">
        <v>10762</v>
      </c>
      <c r="O520" s="84" cm="1">
        <f t="array" ref="O520">SUM(INDEX(_xlfn._xlws.FILTER($B$6:$L$2160, $B$6:$B$2160=N520), 0, 8))</f>
        <v>4337</v>
      </c>
      <c r="P520" s="84" cm="1">
        <f t="array" ref="P520">SUM(INDEX(_xlfn._xlws.FILTER($B$6:$L$2160, $B$6:$B$2160=N520), 0, 10))</f>
        <v>4337</v>
      </c>
      <c r="Q520" s="84" cm="1">
        <f t="array" ref="Q520">SUM(INDEX(_xlfn._xlws.FILTER($B$6:$L$2160, $B$6:$B$2160=N520), 0, 11))</f>
        <v>0</v>
      </c>
    </row>
    <row r="521" spans="2:17" x14ac:dyDescent="0.2">
      <c r="B521">
        <v>10442</v>
      </c>
      <c r="C521">
        <v>66</v>
      </c>
      <c r="D521" s="84">
        <v>13.6</v>
      </c>
      <c r="E521">
        <v>60</v>
      </c>
      <c r="F521" s="85">
        <v>0</v>
      </c>
      <c r="G521" s="86">
        <f t="shared" si="40"/>
        <v>816</v>
      </c>
      <c r="H521" s="86">
        <f t="shared" si="41"/>
        <v>0</v>
      </c>
      <c r="I521" s="86">
        <f t="shared" si="42"/>
        <v>816</v>
      </c>
      <c r="J521" s="84">
        <f>VLOOKUP(C521, Products[], 6)</f>
        <v>17</v>
      </c>
      <c r="K521" s="86">
        <f t="shared" si="43"/>
        <v>1020</v>
      </c>
      <c r="L521" s="86">
        <f t="shared" si="44"/>
        <v>-204</v>
      </c>
      <c r="N521">
        <v>10763</v>
      </c>
      <c r="O521" s="84" cm="1">
        <f t="array" ref="O521">SUM(INDEX(_xlfn._xlws.FILTER($B$6:$L$2160, $B$6:$B$2160=N521), 0, 8))</f>
        <v>616</v>
      </c>
      <c r="P521" s="84" cm="1">
        <f t="array" ref="P521">SUM(INDEX(_xlfn._xlws.FILTER($B$6:$L$2160, $B$6:$B$2160=N521), 0, 10))</f>
        <v>616</v>
      </c>
      <c r="Q521" s="84" cm="1">
        <f t="array" ref="Q521">SUM(INDEX(_xlfn._xlws.FILTER($B$6:$L$2160, $B$6:$B$2160=N521), 0, 11))</f>
        <v>0</v>
      </c>
    </row>
    <row r="522" spans="2:17" x14ac:dyDescent="0.2">
      <c r="B522">
        <v>10443</v>
      </c>
      <c r="C522">
        <v>11</v>
      </c>
      <c r="D522" s="84">
        <v>16.8</v>
      </c>
      <c r="E522">
        <v>6</v>
      </c>
      <c r="F522" s="85">
        <v>0.2</v>
      </c>
      <c r="G522" s="86">
        <f t="shared" si="40"/>
        <v>100.80000000000001</v>
      </c>
      <c r="H522" s="86">
        <f t="shared" si="41"/>
        <v>20.160000000000004</v>
      </c>
      <c r="I522" s="86">
        <f t="shared" si="42"/>
        <v>80.640000000000015</v>
      </c>
      <c r="J522" s="84">
        <f>VLOOKUP(C522, Products[], 6)</f>
        <v>21</v>
      </c>
      <c r="K522" s="86">
        <f t="shared" si="43"/>
        <v>126</v>
      </c>
      <c r="L522" s="86">
        <f t="shared" si="44"/>
        <v>-45.359999999999985</v>
      </c>
      <c r="N522">
        <v>10764</v>
      </c>
      <c r="O522" s="84" cm="1">
        <f t="array" ref="O522">SUM(INDEX(_xlfn._xlws.FILTER($B$6:$L$2160, $B$6:$B$2160=N522), 0, 8))</f>
        <v>2286</v>
      </c>
      <c r="P522" s="84" cm="1">
        <f t="array" ref="P522">SUM(INDEX(_xlfn._xlws.FILTER($B$6:$L$2160, $B$6:$B$2160=N522), 0, 10))</f>
        <v>2540</v>
      </c>
      <c r="Q522" s="84" cm="1">
        <f t="array" ref="Q522">SUM(INDEX(_xlfn._xlws.FILTER($B$6:$L$2160, $B$6:$B$2160=N522), 0, 11))</f>
        <v>-254</v>
      </c>
    </row>
    <row r="523" spans="2:17" x14ac:dyDescent="0.2">
      <c r="B523">
        <v>10443</v>
      </c>
      <c r="C523">
        <v>28</v>
      </c>
      <c r="D523" s="84">
        <v>36.4</v>
      </c>
      <c r="E523">
        <v>12</v>
      </c>
      <c r="F523" s="85">
        <v>0</v>
      </c>
      <c r="G523" s="86">
        <f t="shared" si="40"/>
        <v>436.79999999999995</v>
      </c>
      <c r="H523" s="86">
        <f t="shared" si="41"/>
        <v>0</v>
      </c>
      <c r="I523" s="86">
        <f t="shared" si="42"/>
        <v>436.79999999999995</v>
      </c>
      <c r="J523" s="84">
        <f>VLOOKUP(C523, Products[], 6)</f>
        <v>45.6</v>
      </c>
      <c r="K523" s="86">
        <f t="shared" si="43"/>
        <v>547.20000000000005</v>
      </c>
      <c r="L523" s="86">
        <f t="shared" si="44"/>
        <v>-110.40000000000009</v>
      </c>
      <c r="N523">
        <v>10765</v>
      </c>
      <c r="O523" s="84" cm="1">
        <f t="array" ref="O523">SUM(INDEX(_xlfn._xlws.FILTER($B$6:$L$2160, $B$6:$B$2160=N523), 0, 8))</f>
        <v>1515.6</v>
      </c>
      <c r="P523" s="84" cm="1">
        <f t="array" ref="P523">SUM(INDEX(_xlfn._xlws.FILTER($B$6:$L$2160, $B$6:$B$2160=N523), 0, 10))</f>
        <v>1684</v>
      </c>
      <c r="Q523" s="84" cm="1">
        <f t="array" ref="Q523">SUM(INDEX(_xlfn._xlws.FILTER($B$6:$L$2160, $B$6:$B$2160=N523), 0, 11))</f>
        <v>-168.40000000000009</v>
      </c>
    </row>
    <row r="524" spans="2:17" x14ac:dyDescent="0.2">
      <c r="B524">
        <v>10444</v>
      </c>
      <c r="C524">
        <v>17</v>
      </c>
      <c r="D524" s="84">
        <v>31.2</v>
      </c>
      <c r="E524">
        <v>10</v>
      </c>
      <c r="F524" s="85">
        <v>0</v>
      </c>
      <c r="G524" s="86">
        <f t="shared" si="40"/>
        <v>312</v>
      </c>
      <c r="H524" s="86">
        <f t="shared" si="41"/>
        <v>0</v>
      </c>
      <c r="I524" s="86">
        <f t="shared" si="42"/>
        <v>312</v>
      </c>
      <c r="J524" s="84">
        <f>VLOOKUP(C524, Products[], 6)</f>
        <v>39</v>
      </c>
      <c r="K524" s="86">
        <f t="shared" si="43"/>
        <v>390</v>
      </c>
      <c r="L524" s="86">
        <f t="shared" si="44"/>
        <v>-78</v>
      </c>
      <c r="N524">
        <v>10766</v>
      </c>
      <c r="O524" s="84" cm="1">
        <f t="array" ref="O524">SUM(INDEX(_xlfn._xlws.FILTER($B$6:$L$2160, $B$6:$B$2160=N524), 0, 8))</f>
        <v>2310</v>
      </c>
      <c r="P524" s="84" cm="1">
        <f t="array" ref="P524">SUM(INDEX(_xlfn._xlws.FILTER($B$6:$L$2160, $B$6:$B$2160=N524), 0, 10))</f>
        <v>2310</v>
      </c>
      <c r="Q524" s="84" cm="1">
        <f t="array" ref="Q524">SUM(INDEX(_xlfn._xlws.FILTER($B$6:$L$2160, $B$6:$B$2160=N524), 0, 11))</f>
        <v>0</v>
      </c>
    </row>
    <row r="525" spans="2:17" x14ac:dyDescent="0.2">
      <c r="B525">
        <v>10444</v>
      </c>
      <c r="C525">
        <v>26</v>
      </c>
      <c r="D525" s="84">
        <v>24.9</v>
      </c>
      <c r="E525">
        <v>15</v>
      </c>
      <c r="F525" s="85">
        <v>0</v>
      </c>
      <c r="G525" s="86">
        <f t="shared" si="40"/>
        <v>373.5</v>
      </c>
      <c r="H525" s="86">
        <f t="shared" si="41"/>
        <v>0</v>
      </c>
      <c r="I525" s="86">
        <f t="shared" si="42"/>
        <v>373.5</v>
      </c>
      <c r="J525" s="84">
        <f>VLOOKUP(C525, Products[], 6)</f>
        <v>31.23</v>
      </c>
      <c r="K525" s="86">
        <f t="shared" si="43"/>
        <v>468.45</v>
      </c>
      <c r="L525" s="86">
        <f t="shared" si="44"/>
        <v>-94.949999999999989</v>
      </c>
      <c r="N525">
        <v>10767</v>
      </c>
      <c r="O525" s="84" cm="1">
        <f t="array" ref="O525">SUM(INDEX(_xlfn._xlws.FILTER($B$6:$L$2160, $B$6:$B$2160=N525), 0, 8))</f>
        <v>28</v>
      </c>
      <c r="P525" s="84" cm="1">
        <f t="array" ref="P525">SUM(INDEX(_xlfn._xlws.FILTER($B$6:$L$2160, $B$6:$B$2160=N525), 0, 10))</f>
        <v>28</v>
      </c>
      <c r="Q525" s="84" cm="1">
        <f t="array" ref="Q525">SUM(INDEX(_xlfn._xlws.FILTER($B$6:$L$2160, $B$6:$B$2160=N525), 0, 11))</f>
        <v>0</v>
      </c>
    </row>
    <row r="526" spans="2:17" x14ac:dyDescent="0.2">
      <c r="B526">
        <v>10444</v>
      </c>
      <c r="C526">
        <v>35</v>
      </c>
      <c r="D526" s="84">
        <v>14.4</v>
      </c>
      <c r="E526">
        <v>8</v>
      </c>
      <c r="F526" s="85">
        <v>0</v>
      </c>
      <c r="G526" s="86">
        <f t="shared" si="40"/>
        <v>115.2</v>
      </c>
      <c r="H526" s="86">
        <f t="shared" si="41"/>
        <v>0</v>
      </c>
      <c r="I526" s="86">
        <f t="shared" si="42"/>
        <v>115.2</v>
      </c>
      <c r="J526" s="84">
        <f>VLOOKUP(C526, Products[], 6)</f>
        <v>18</v>
      </c>
      <c r="K526" s="86">
        <f t="shared" si="43"/>
        <v>144</v>
      </c>
      <c r="L526" s="86">
        <f t="shared" si="44"/>
        <v>-28.799999999999997</v>
      </c>
      <c r="N526">
        <v>10768</v>
      </c>
      <c r="O526" s="84" cm="1">
        <f t="array" ref="O526">SUM(INDEX(_xlfn._xlws.FILTER($B$6:$L$2160, $B$6:$B$2160=N526), 0, 8))</f>
        <v>1477</v>
      </c>
      <c r="P526" s="84" cm="1">
        <f t="array" ref="P526">SUM(INDEX(_xlfn._xlws.FILTER($B$6:$L$2160, $B$6:$B$2160=N526), 0, 10))</f>
        <v>1477</v>
      </c>
      <c r="Q526" s="84" cm="1">
        <f t="array" ref="Q526">SUM(INDEX(_xlfn._xlws.FILTER($B$6:$L$2160, $B$6:$B$2160=N526), 0, 11))</f>
        <v>0</v>
      </c>
    </row>
    <row r="527" spans="2:17" x14ac:dyDescent="0.2">
      <c r="B527">
        <v>10444</v>
      </c>
      <c r="C527">
        <v>41</v>
      </c>
      <c r="D527" s="84">
        <v>7.7</v>
      </c>
      <c r="E527">
        <v>30</v>
      </c>
      <c r="F527" s="85">
        <v>0</v>
      </c>
      <c r="G527" s="86">
        <f t="shared" si="40"/>
        <v>231</v>
      </c>
      <c r="H527" s="86">
        <f t="shared" si="41"/>
        <v>0</v>
      </c>
      <c r="I527" s="86">
        <f t="shared" si="42"/>
        <v>231</v>
      </c>
      <c r="J527" s="84">
        <f>VLOOKUP(C527, Products[], 6)</f>
        <v>9.65</v>
      </c>
      <c r="K527" s="86">
        <f t="shared" si="43"/>
        <v>289.5</v>
      </c>
      <c r="L527" s="86">
        <f t="shared" si="44"/>
        <v>-58.5</v>
      </c>
      <c r="N527">
        <v>10769</v>
      </c>
      <c r="O527" s="84" cm="1">
        <f t="array" ref="O527">SUM(INDEX(_xlfn._xlws.FILTER($B$6:$L$2160, $B$6:$B$2160=N527), 0, 8))</f>
        <v>1684.2750000000001</v>
      </c>
      <c r="P527" s="84" cm="1">
        <f t="array" ref="P527">SUM(INDEX(_xlfn._xlws.FILTER($B$6:$L$2160, $B$6:$B$2160=N527), 0, 10))</f>
        <v>1704</v>
      </c>
      <c r="Q527" s="84" cm="1">
        <f t="array" ref="Q527">SUM(INDEX(_xlfn._xlws.FILTER($B$6:$L$2160, $B$6:$B$2160=N527), 0, 11))</f>
        <v>-19.725000000000023</v>
      </c>
    </row>
    <row r="528" spans="2:17" x14ac:dyDescent="0.2">
      <c r="B528">
        <v>10445</v>
      </c>
      <c r="C528">
        <v>39</v>
      </c>
      <c r="D528" s="84">
        <v>14.4</v>
      </c>
      <c r="E528">
        <v>6</v>
      </c>
      <c r="F528" s="85">
        <v>0</v>
      </c>
      <c r="G528" s="86">
        <f t="shared" si="40"/>
        <v>86.4</v>
      </c>
      <c r="H528" s="86">
        <f t="shared" si="41"/>
        <v>0</v>
      </c>
      <c r="I528" s="86">
        <f t="shared" si="42"/>
        <v>86.4</v>
      </c>
      <c r="J528" s="84">
        <f>VLOOKUP(C528, Products[], 6)</f>
        <v>18</v>
      </c>
      <c r="K528" s="86">
        <f t="shared" si="43"/>
        <v>108</v>
      </c>
      <c r="L528" s="86">
        <f t="shared" si="44"/>
        <v>-21.599999999999994</v>
      </c>
      <c r="N528">
        <v>10770</v>
      </c>
      <c r="O528" s="84" cm="1">
        <f t="array" ref="O528">SUM(INDEX(_xlfn._xlws.FILTER($B$6:$L$2160, $B$6:$B$2160=N528), 0, 8))</f>
        <v>236.25</v>
      </c>
      <c r="P528" s="84" cm="1">
        <f t="array" ref="P528">SUM(INDEX(_xlfn._xlws.FILTER($B$6:$L$2160, $B$6:$B$2160=N528), 0, 10))</f>
        <v>315</v>
      </c>
      <c r="Q528" s="84" cm="1">
        <f t="array" ref="Q528">SUM(INDEX(_xlfn._xlws.FILTER($B$6:$L$2160, $B$6:$B$2160=N528), 0, 11))</f>
        <v>-78.75</v>
      </c>
    </row>
    <row r="529" spans="2:17" x14ac:dyDescent="0.2">
      <c r="B529">
        <v>10445</v>
      </c>
      <c r="C529">
        <v>54</v>
      </c>
      <c r="D529" s="84">
        <v>5.9</v>
      </c>
      <c r="E529">
        <v>15</v>
      </c>
      <c r="F529" s="85">
        <v>0</v>
      </c>
      <c r="G529" s="86">
        <f t="shared" si="40"/>
        <v>88.5</v>
      </c>
      <c r="H529" s="86">
        <f t="shared" si="41"/>
        <v>0</v>
      </c>
      <c r="I529" s="86">
        <f t="shared" si="42"/>
        <v>88.5</v>
      </c>
      <c r="J529" s="84">
        <f>VLOOKUP(C529, Products[], 6)</f>
        <v>7.45</v>
      </c>
      <c r="K529" s="86">
        <f t="shared" si="43"/>
        <v>111.75</v>
      </c>
      <c r="L529" s="86">
        <f t="shared" si="44"/>
        <v>-23.25</v>
      </c>
      <c r="N529">
        <v>10771</v>
      </c>
      <c r="O529" s="84" cm="1">
        <f t="array" ref="O529">SUM(INDEX(_xlfn._xlws.FILTER($B$6:$L$2160, $B$6:$B$2160=N529), 0, 8))</f>
        <v>344</v>
      </c>
      <c r="P529" s="84" cm="1">
        <f t="array" ref="P529">SUM(INDEX(_xlfn._xlws.FILTER($B$6:$L$2160, $B$6:$B$2160=N529), 0, 10))</f>
        <v>344</v>
      </c>
      <c r="Q529" s="84" cm="1">
        <f t="array" ref="Q529">SUM(INDEX(_xlfn._xlws.FILTER($B$6:$L$2160, $B$6:$B$2160=N529), 0, 11))</f>
        <v>0</v>
      </c>
    </row>
    <row r="530" spans="2:17" x14ac:dyDescent="0.2">
      <c r="B530">
        <v>10446</v>
      </c>
      <c r="C530">
        <v>19</v>
      </c>
      <c r="D530" s="84">
        <v>7.3</v>
      </c>
      <c r="E530">
        <v>12</v>
      </c>
      <c r="F530" s="85">
        <v>0.1</v>
      </c>
      <c r="G530" s="86">
        <f t="shared" si="40"/>
        <v>87.6</v>
      </c>
      <c r="H530" s="86">
        <f t="shared" si="41"/>
        <v>8.76</v>
      </c>
      <c r="I530" s="86">
        <f t="shared" si="42"/>
        <v>78.839999999999989</v>
      </c>
      <c r="J530" s="84">
        <f>VLOOKUP(C530, Products[], 6)</f>
        <v>9.1999999999999993</v>
      </c>
      <c r="K530" s="86">
        <f t="shared" si="43"/>
        <v>110.39999999999999</v>
      </c>
      <c r="L530" s="86">
        <f t="shared" si="44"/>
        <v>-31.560000000000002</v>
      </c>
      <c r="N530">
        <v>10772</v>
      </c>
      <c r="O530" s="84" cm="1">
        <f t="array" ref="O530">SUM(INDEX(_xlfn._xlws.FILTER($B$6:$L$2160, $B$6:$B$2160=N530), 0, 8))</f>
        <v>3603.2200000000003</v>
      </c>
      <c r="P530" s="84" cm="1">
        <f t="array" ref="P530">SUM(INDEX(_xlfn._xlws.FILTER($B$6:$L$2160, $B$6:$B$2160=N530), 0, 10))</f>
        <v>3603.2200000000003</v>
      </c>
      <c r="Q530" s="84" cm="1">
        <f t="array" ref="Q530">SUM(INDEX(_xlfn._xlws.FILTER($B$6:$L$2160, $B$6:$B$2160=N530), 0, 11))</f>
        <v>0</v>
      </c>
    </row>
    <row r="531" spans="2:17" x14ac:dyDescent="0.2">
      <c r="B531">
        <v>10446</v>
      </c>
      <c r="C531">
        <v>24</v>
      </c>
      <c r="D531" s="84">
        <v>3.6</v>
      </c>
      <c r="E531">
        <v>20</v>
      </c>
      <c r="F531" s="85">
        <v>0.1</v>
      </c>
      <c r="G531" s="86">
        <f t="shared" si="40"/>
        <v>72</v>
      </c>
      <c r="H531" s="86">
        <f t="shared" si="41"/>
        <v>7.2</v>
      </c>
      <c r="I531" s="86">
        <f t="shared" si="42"/>
        <v>64.8</v>
      </c>
      <c r="J531" s="84">
        <f>VLOOKUP(C531, Products[], 6)</f>
        <v>4.5</v>
      </c>
      <c r="K531" s="86">
        <f t="shared" si="43"/>
        <v>90</v>
      </c>
      <c r="L531" s="86">
        <f t="shared" si="44"/>
        <v>-25.200000000000003</v>
      </c>
      <c r="N531">
        <v>10773</v>
      </c>
      <c r="O531" s="84" cm="1">
        <f t="array" ref="O531">SUM(INDEX(_xlfn._xlws.FILTER($B$6:$L$2160, $B$6:$B$2160=N531), 0, 8))</f>
        <v>2030.4</v>
      </c>
      <c r="P531" s="84" cm="1">
        <f t="array" ref="P531">SUM(INDEX(_xlfn._xlws.FILTER($B$6:$L$2160, $B$6:$B$2160=N531), 0, 10))</f>
        <v>2216.25</v>
      </c>
      <c r="Q531" s="84" cm="1">
        <f t="array" ref="Q531">SUM(INDEX(_xlfn._xlws.FILTER($B$6:$L$2160, $B$6:$B$2160=N531), 0, 11))</f>
        <v>-185.85</v>
      </c>
    </row>
    <row r="532" spans="2:17" x14ac:dyDescent="0.2">
      <c r="B532">
        <v>10446</v>
      </c>
      <c r="C532">
        <v>31</v>
      </c>
      <c r="D532" s="84">
        <v>10</v>
      </c>
      <c r="E532">
        <v>3</v>
      </c>
      <c r="F532" s="85">
        <v>0.1</v>
      </c>
      <c r="G532" s="86">
        <f t="shared" si="40"/>
        <v>30</v>
      </c>
      <c r="H532" s="86">
        <f t="shared" si="41"/>
        <v>3</v>
      </c>
      <c r="I532" s="86">
        <f t="shared" si="42"/>
        <v>27</v>
      </c>
      <c r="J532" s="84">
        <f>VLOOKUP(C532, Products[], 6)</f>
        <v>12.5</v>
      </c>
      <c r="K532" s="86">
        <f t="shared" si="43"/>
        <v>37.5</v>
      </c>
      <c r="L532" s="86">
        <f t="shared" si="44"/>
        <v>-10.5</v>
      </c>
      <c r="N532">
        <v>10774</v>
      </c>
      <c r="O532" s="84" cm="1">
        <f t="array" ref="O532">SUM(INDEX(_xlfn._xlws.FILTER($B$6:$L$2160, $B$6:$B$2160=N532), 0, 8))</f>
        <v>868.75</v>
      </c>
      <c r="P532" s="84" cm="1">
        <f t="array" ref="P532">SUM(INDEX(_xlfn._xlws.FILTER($B$6:$L$2160, $B$6:$B$2160=N532), 0, 10))</f>
        <v>875</v>
      </c>
      <c r="Q532" s="84" cm="1">
        <f t="array" ref="Q532">SUM(INDEX(_xlfn._xlws.FILTER($B$6:$L$2160, $B$6:$B$2160=N532), 0, 11))</f>
        <v>-6.25</v>
      </c>
    </row>
    <row r="533" spans="2:17" x14ac:dyDescent="0.2">
      <c r="B533">
        <v>10446</v>
      </c>
      <c r="C533">
        <v>52</v>
      </c>
      <c r="D533" s="84">
        <v>5.6</v>
      </c>
      <c r="E533">
        <v>15</v>
      </c>
      <c r="F533" s="85">
        <v>0.1</v>
      </c>
      <c r="G533" s="86">
        <f t="shared" si="40"/>
        <v>84</v>
      </c>
      <c r="H533" s="86">
        <f t="shared" si="41"/>
        <v>8.4</v>
      </c>
      <c r="I533" s="86">
        <f t="shared" si="42"/>
        <v>75.599999999999994</v>
      </c>
      <c r="J533" s="84">
        <f>VLOOKUP(C533, Products[], 6)</f>
        <v>7</v>
      </c>
      <c r="K533" s="86">
        <f t="shared" si="43"/>
        <v>105</v>
      </c>
      <c r="L533" s="86">
        <f t="shared" si="44"/>
        <v>-29.400000000000006</v>
      </c>
      <c r="N533">
        <v>10775</v>
      </c>
      <c r="O533" s="84" cm="1">
        <f t="array" ref="O533">SUM(INDEX(_xlfn._xlws.FILTER($B$6:$L$2160, $B$6:$B$2160=N533), 0, 8))</f>
        <v>228</v>
      </c>
      <c r="P533" s="84" cm="1">
        <f t="array" ref="P533">SUM(INDEX(_xlfn._xlws.FILTER($B$6:$L$2160, $B$6:$B$2160=N533), 0, 10))</f>
        <v>228</v>
      </c>
      <c r="Q533" s="84" cm="1">
        <f t="array" ref="Q533">SUM(INDEX(_xlfn._xlws.FILTER($B$6:$L$2160, $B$6:$B$2160=N533), 0, 11))</f>
        <v>0</v>
      </c>
    </row>
    <row r="534" spans="2:17" x14ac:dyDescent="0.2">
      <c r="B534">
        <v>10447</v>
      </c>
      <c r="C534">
        <v>19</v>
      </c>
      <c r="D534" s="84">
        <v>7.3</v>
      </c>
      <c r="E534">
        <v>40</v>
      </c>
      <c r="F534" s="85">
        <v>0</v>
      </c>
      <c r="G534" s="86">
        <f t="shared" si="40"/>
        <v>292</v>
      </c>
      <c r="H534" s="86">
        <f t="shared" si="41"/>
        <v>0</v>
      </c>
      <c r="I534" s="86">
        <f t="shared" si="42"/>
        <v>292</v>
      </c>
      <c r="J534" s="84">
        <f>VLOOKUP(C534, Products[], 6)</f>
        <v>9.1999999999999993</v>
      </c>
      <c r="K534" s="86">
        <f t="shared" si="43"/>
        <v>368</v>
      </c>
      <c r="L534" s="86">
        <f t="shared" si="44"/>
        <v>-76</v>
      </c>
      <c r="N534">
        <v>10776</v>
      </c>
      <c r="O534" s="84" cm="1">
        <f t="array" ref="O534">SUM(INDEX(_xlfn._xlws.FILTER($B$6:$L$2160, $B$6:$B$2160=N534), 0, 8))</f>
        <v>6635.2749999999996</v>
      </c>
      <c r="P534" s="84" cm="1">
        <f t="array" ref="P534">SUM(INDEX(_xlfn._xlws.FILTER($B$6:$L$2160, $B$6:$B$2160=N534), 0, 10))</f>
        <v>6984.5</v>
      </c>
      <c r="Q534" s="84" cm="1">
        <f t="array" ref="Q534">SUM(INDEX(_xlfn._xlws.FILTER($B$6:$L$2160, $B$6:$B$2160=N534), 0, 11))</f>
        <v>-349.22500000000002</v>
      </c>
    </row>
    <row r="535" spans="2:17" x14ac:dyDescent="0.2">
      <c r="B535">
        <v>10447</v>
      </c>
      <c r="C535">
        <v>65</v>
      </c>
      <c r="D535" s="84">
        <v>16.8</v>
      </c>
      <c r="E535">
        <v>35</v>
      </c>
      <c r="F535" s="85">
        <v>0</v>
      </c>
      <c r="G535" s="86">
        <f t="shared" si="40"/>
        <v>588</v>
      </c>
      <c r="H535" s="86">
        <f t="shared" si="41"/>
        <v>0</v>
      </c>
      <c r="I535" s="86">
        <f t="shared" si="42"/>
        <v>588</v>
      </c>
      <c r="J535" s="84">
        <f>VLOOKUP(C535, Products[], 6)</f>
        <v>21.05</v>
      </c>
      <c r="K535" s="86">
        <f t="shared" si="43"/>
        <v>736.75</v>
      </c>
      <c r="L535" s="86">
        <f t="shared" si="44"/>
        <v>-148.75</v>
      </c>
      <c r="N535">
        <v>10777</v>
      </c>
      <c r="O535" s="84" cm="1">
        <f t="array" ref="O535">SUM(INDEX(_xlfn._xlws.FILTER($B$6:$L$2160, $B$6:$B$2160=N535), 0, 8))</f>
        <v>224</v>
      </c>
      <c r="P535" s="84" cm="1">
        <f t="array" ref="P535">SUM(INDEX(_xlfn._xlws.FILTER($B$6:$L$2160, $B$6:$B$2160=N535), 0, 10))</f>
        <v>280</v>
      </c>
      <c r="Q535" s="84" cm="1">
        <f t="array" ref="Q535">SUM(INDEX(_xlfn._xlws.FILTER($B$6:$L$2160, $B$6:$B$2160=N535), 0, 11))</f>
        <v>-56</v>
      </c>
    </row>
    <row r="536" spans="2:17" x14ac:dyDescent="0.2">
      <c r="B536">
        <v>10447</v>
      </c>
      <c r="C536">
        <v>71</v>
      </c>
      <c r="D536" s="84">
        <v>17.2</v>
      </c>
      <c r="E536">
        <v>2</v>
      </c>
      <c r="F536" s="85">
        <v>0</v>
      </c>
      <c r="G536" s="86">
        <f t="shared" si="40"/>
        <v>34.4</v>
      </c>
      <c r="H536" s="86">
        <f t="shared" si="41"/>
        <v>0</v>
      </c>
      <c r="I536" s="86">
        <f t="shared" si="42"/>
        <v>34.4</v>
      </c>
      <c r="J536" s="84">
        <f>VLOOKUP(C536, Products[], 6)</f>
        <v>21.5</v>
      </c>
      <c r="K536" s="86">
        <f t="shared" si="43"/>
        <v>43</v>
      </c>
      <c r="L536" s="86">
        <f t="shared" si="44"/>
        <v>-8.6000000000000014</v>
      </c>
      <c r="N536">
        <v>10778</v>
      </c>
      <c r="O536" s="84" cm="1">
        <f t="array" ref="O536">SUM(INDEX(_xlfn._xlws.FILTER($B$6:$L$2160, $B$6:$B$2160=N536), 0, 8))</f>
        <v>96.5</v>
      </c>
      <c r="P536" s="84" cm="1">
        <f t="array" ref="P536">SUM(INDEX(_xlfn._xlws.FILTER($B$6:$L$2160, $B$6:$B$2160=N536), 0, 10))</f>
        <v>96.5</v>
      </c>
      <c r="Q536" s="84" cm="1">
        <f t="array" ref="Q536">SUM(INDEX(_xlfn._xlws.FILTER($B$6:$L$2160, $B$6:$B$2160=N536), 0, 11))</f>
        <v>0</v>
      </c>
    </row>
    <row r="537" spans="2:17" x14ac:dyDescent="0.2">
      <c r="B537">
        <v>10448</v>
      </c>
      <c r="C537">
        <v>26</v>
      </c>
      <c r="D537" s="84">
        <v>24.9</v>
      </c>
      <c r="E537">
        <v>6</v>
      </c>
      <c r="F537" s="85">
        <v>0</v>
      </c>
      <c r="G537" s="86">
        <f t="shared" si="40"/>
        <v>149.39999999999998</v>
      </c>
      <c r="H537" s="86">
        <f t="shared" si="41"/>
        <v>0</v>
      </c>
      <c r="I537" s="86">
        <f t="shared" si="42"/>
        <v>149.39999999999998</v>
      </c>
      <c r="J537" s="84">
        <f>VLOOKUP(C537, Products[], 6)</f>
        <v>31.23</v>
      </c>
      <c r="K537" s="86">
        <f t="shared" si="43"/>
        <v>187.38</v>
      </c>
      <c r="L537" s="86">
        <f t="shared" si="44"/>
        <v>-37.980000000000018</v>
      </c>
      <c r="N537">
        <v>10779</v>
      </c>
      <c r="O537" s="84" cm="1">
        <f t="array" ref="O537">SUM(INDEX(_xlfn._xlws.FILTER($B$6:$L$2160, $B$6:$B$2160=N537), 0, 8))</f>
        <v>1335</v>
      </c>
      <c r="P537" s="84" cm="1">
        <f t="array" ref="P537">SUM(INDEX(_xlfn._xlws.FILTER($B$6:$L$2160, $B$6:$B$2160=N537), 0, 10))</f>
        <v>1335</v>
      </c>
      <c r="Q537" s="84" cm="1">
        <f t="array" ref="Q537">SUM(INDEX(_xlfn._xlws.FILTER($B$6:$L$2160, $B$6:$B$2160=N537), 0, 11))</f>
        <v>0</v>
      </c>
    </row>
    <row r="538" spans="2:17" x14ac:dyDescent="0.2">
      <c r="B538">
        <v>10448</v>
      </c>
      <c r="C538">
        <v>40</v>
      </c>
      <c r="D538" s="84">
        <v>14.7</v>
      </c>
      <c r="E538">
        <v>20</v>
      </c>
      <c r="F538" s="85">
        <v>0</v>
      </c>
      <c r="G538" s="86">
        <f t="shared" si="40"/>
        <v>294</v>
      </c>
      <c r="H538" s="86">
        <f t="shared" si="41"/>
        <v>0</v>
      </c>
      <c r="I538" s="86">
        <f t="shared" si="42"/>
        <v>294</v>
      </c>
      <c r="J538" s="84">
        <f>VLOOKUP(C538, Products[], 6)</f>
        <v>18.399999999999999</v>
      </c>
      <c r="K538" s="86">
        <f t="shared" si="43"/>
        <v>368</v>
      </c>
      <c r="L538" s="86">
        <f t="shared" si="44"/>
        <v>-74</v>
      </c>
      <c r="N538">
        <v>10780</v>
      </c>
      <c r="O538" s="84" cm="1">
        <f t="array" ref="O538">SUM(INDEX(_xlfn._xlws.FILTER($B$6:$L$2160, $B$6:$B$2160=N538), 0, 8))</f>
        <v>720</v>
      </c>
      <c r="P538" s="84" cm="1">
        <f t="array" ref="P538">SUM(INDEX(_xlfn._xlws.FILTER($B$6:$L$2160, $B$6:$B$2160=N538), 0, 10))</f>
        <v>720</v>
      </c>
      <c r="Q538" s="84" cm="1">
        <f t="array" ref="Q538">SUM(INDEX(_xlfn._xlws.FILTER($B$6:$L$2160, $B$6:$B$2160=N538), 0, 11))</f>
        <v>0</v>
      </c>
    </row>
    <row r="539" spans="2:17" x14ac:dyDescent="0.2">
      <c r="B539">
        <v>10449</v>
      </c>
      <c r="C539">
        <v>10</v>
      </c>
      <c r="D539" s="84">
        <v>24.8</v>
      </c>
      <c r="E539">
        <v>14</v>
      </c>
      <c r="F539" s="85">
        <v>0</v>
      </c>
      <c r="G539" s="86">
        <f t="shared" si="40"/>
        <v>347.2</v>
      </c>
      <c r="H539" s="86">
        <f t="shared" si="41"/>
        <v>0</v>
      </c>
      <c r="I539" s="86">
        <f t="shared" si="42"/>
        <v>347.2</v>
      </c>
      <c r="J539" s="84">
        <f>VLOOKUP(C539, Products[], 6)</f>
        <v>31</v>
      </c>
      <c r="K539" s="86">
        <f t="shared" si="43"/>
        <v>434</v>
      </c>
      <c r="L539" s="86">
        <f t="shared" si="44"/>
        <v>-86.800000000000011</v>
      </c>
      <c r="N539">
        <v>10781</v>
      </c>
      <c r="O539" s="84" cm="1">
        <f t="array" ref="O539">SUM(INDEX(_xlfn._xlws.FILTER($B$6:$L$2160, $B$6:$B$2160=N539), 0, 8))</f>
        <v>975.88</v>
      </c>
      <c r="P539" s="84" cm="1">
        <f t="array" ref="P539">SUM(INDEX(_xlfn._xlws.FILTER($B$6:$L$2160, $B$6:$B$2160=N539), 0, 10))</f>
        <v>1132.3499999999999</v>
      </c>
      <c r="Q539" s="84" cm="1">
        <f t="array" ref="Q539">SUM(INDEX(_xlfn._xlws.FILTER($B$6:$L$2160, $B$6:$B$2160=N539), 0, 11))</f>
        <v>-156.47</v>
      </c>
    </row>
    <row r="540" spans="2:17" x14ac:dyDescent="0.2">
      <c r="B540">
        <v>10449</v>
      </c>
      <c r="C540">
        <v>52</v>
      </c>
      <c r="D540" s="84">
        <v>5.6</v>
      </c>
      <c r="E540">
        <v>20</v>
      </c>
      <c r="F540" s="85">
        <v>0</v>
      </c>
      <c r="G540" s="86">
        <f t="shared" si="40"/>
        <v>112</v>
      </c>
      <c r="H540" s="86">
        <f t="shared" si="41"/>
        <v>0</v>
      </c>
      <c r="I540" s="86">
        <f t="shared" si="42"/>
        <v>112</v>
      </c>
      <c r="J540" s="84">
        <f>VLOOKUP(C540, Products[], 6)</f>
        <v>7</v>
      </c>
      <c r="K540" s="86">
        <f t="shared" si="43"/>
        <v>140</v>
      </c>
      <c r="L540" s="86">
        <f t="shared" si="44"/>
        <v>-28</v>
      </c>
      <c r="N540">
        <v>10782</v>
      </c>
      <c r="O540" s="84" cm="1">
        <f t="array" ref="O540">SUM(INDEX(_xlfn._xlws.FILTER($B$6:$L$2160, $B$6:$B$2160=N540), 0, 8))</f>
        <v>12.5</v>
      </c>
      <c r="P540" s="84" cm="1">
        <f t="array" ref="P540">SUM(INDEX(_xlfn._xlws.FILTER($B$6:$L$2160, $B$6:$B$2160=N540), 0, 10))</f>
        <v>12.5</v>
      </c>
      <c r="Q540" s="84" cm="1">
        <f t="array" ref="Q540">SUM(INDEX(_xlfn._xlws.FILTER($B$6:$L$2160, $B$6:$B$2160=N540), 0, 11))</f>
        <v>0</v>
      </c>
    </row>
    <row r="541" spans="2:17" x14ac:dyDescent="0.2">
      <c r="B541">
        <v>10449</v>
      </c>
      <c r="C541">
        <v>62</v>
      </c>
      <c r="D541" s="84">
        <v>39.4</v>
      </c>
      <c r="E541">
        <v>35</v>
      </c>
      <c r="F541" s="85">
        <v>0</v>
      </c>
      <c r="G541" s="86">
        <f t="shared" si="40"/>
        <v>1379</v>
      </c>
      <c r="H541" s="86">
        <f t="shared" si="41"/>
        <v>0</v>
      </c>
      <c r="I541" s="86">
        <f t="shared" si="42"/>
        <v>1379</v>
      </c>
      <c r="J541" s="84">
        <f>VLOOKUP(C541, Products[], 6)</f>
        <v>49.3</v>
      </c>
      <c r="K541" s="86">
        <f t="shared" si="43"/>
        <v>1725.5</v>
      </c>
      <c r="L541" s="86">
        <f t="shared" si="44"/>
        <v>-346.5</v>
      </c>
      <c r="N541">
        <v>10783</v>
      </c>
      <c r="O541" s="84" cm="1">
        <f t="array" ref="O541">SUM(INDEX(_xlfn._xlws.FILTER($B$6:$L$2160, $B$6:$B$2160=N541), 0, 8))</f>
        <v>1442.5</v>
      </c>
      <c r="P541" s="84" cm="1">
        <f t="array" ref="P541">SUM(INDEX(_xlfn._xlws.FILTER($B$6:$L$2160, $B$6:$B$2160=N541), 0, 10))</f>
        <v>1442.5</v>
      </c>
      <c r="Q541" s="84" cm="1">
        <f t="array" ref="Q541">SUM(INDEX(_xlfn._xlws.FILTER($B$6:$L$2160, $B$6:$B$2160=N541), 0, 11))</f>
        <v>0</v>
      </c>
    </row>
    <row r="542" spans="2:17" x14ac:dyDescent="0.2">
      <c r="B542">
        <v>10450</v>
      </c>
      <c r="C542">
        <v>10</v>
      </c>
      <c r="D542" s="84">
        <v>24.8</v>
      </c>
      <c r="E542">
        <v>20</v>
      </c>
      <c r="F542" s="85">
        <v>0.2</v>
      </c>
      <c r="G542" s="86">
        <f t="shared" si="40"/>
        <v>496</v>
      </c>
      <c r="H542" s="86">
        <f t="shared" si="41"/>
        <v>99.2</v>
      </c>
      <c r="I542" s="86">
        <f t="shared" si="42"/>
        <v>396.8</v>
      </c>
      <c r="J542" s="84">
        <f>VLOOKUP(C542, Products[], 6)</f>
        <v>31</v>
      </c>
      <c r="K542" s="86">
        <f t="shared" si="43"/>
        <v>620</v>
      </c>
      <c r="L542" s="86">
        <f t="shared" si="44"/>
        <v>-223.2</v>
      </c>
      <c r="N542">
        <v>10784</v>
      </c>
      <c r="O542" s="84" cm="1">
        <f t="array" ref="O542">SUM(INDEX(_xlfn._xlws.FILTER($B$6:$L$2160, $B$6:$B$2160=N542), 0, 8))</f>
        <v>1488</v>
      </c>
      <c r="P542" s="84" cm="1">
        <f t="array" ref="P542">SUM(INDEX(_xlfn._xlws.FILTER($B$6:$L$2160, $B$6:$B$2160=N542), 0, 10))</f>
        <v>1650</v>
      </c>
      <c r="Q542" s="84" cm="1">
        <f t="array" ref="Q542">SUM(INDEX(_xlfn._xlws.FILTER($B$6:$L$2160, $B$6:$B$2160=N542), 0, 11))</f>
        <v>-162.00000000000003</v>
      </c>
    </row>
    <row r="543" spans="2:17" x14ac:dyDescent="0.2">
      <c r="B543">
        <v>10450</v>
      </c>
      <c r="C543">
        <v>54</v>
      </c>
      <c r="D543" s="84">
        <v>5.9</v>
      </c>
      <c r="E543">
        <v>6</v>
      </c>
      <c r="F543" s="85">
        <v>0.2</v>
      </c>
      <c r="G543" s="86">
        <f t="shared" si="40"/>
        <v>35.400000000000006</v>
      </c>
      <c r="H543" s="86">
        <f t="shared" si="41"/>
        <v>7.0800000000000018</v>
      </c>
      <c r="I543" s="86">
        <f t="shared" si="42"/>
        <v>28.320000000000004</v>
      </c>
      <c r="J543" s="84">
        <f>VLOOKUP(C543, Products[], 6)</f>
        <v>7.45</v>
      </c>
      <c r="K543" s="86">
        <f t="shared" si="43"/>
        <v>44.7</v>
      </c>
      <c r="L543" s="86">
        <f t="shared" si="44"/>
        <v>-16.38</v>
      </c>
      <c r="N543">
        <v>10785</v>
      </c>
      <c r="O543" s="84" cm="1">
        <f t="array" ref="O543">SUM(INDEX(_xlfn._xlws.FILTER($B$6:$L$2160, $B$6:$B$2160=N543), 0, 8))</f>
        <v>387.5</v>
      </c>
      <c r="P543" s="84" cm="1">
        <f t="array" ref="P543">SUM(INDEX(_xlfn._xlws.FILTER($B$6:$L$2160, $B$6:$B$2160=N543), 0, 10))</f>
        <v>387.5</v>
      </c>
      <c r="Q543" s="84" cm="1">
        <f t="array" ref="Q543">SUM(INDEX(_xlfn._xlws.FILTER($B$6:$L$2160, $B$6:$B$2160=N543), 0, 11))</f>
        <v>0</v>
      </c>
    </row>
    <row r="544" spans="2:17" x14ac:dyDescent="0.2">
      <c r="B544">
        <v>10451</v>
      </c>
      <c r="C544">
        <v>55</v>
      </c>
      <c r="D544" s="84">
        <v>19.2</v>
      </c>
      <c r="E544">
        <v>120</v>
      </c>
      <c r="F544" s="85">
        <v>0.1</v>
      </c>
      <c r="G544" s="86">
        <f t="shared" si="40"/>
        <v>2304</v>
      </c>
      <c r="H544" s="86">
        <f t="shared" si="41"/>
        <v>230.4</v>
      </c>
      <c r="I544" s="86">
        <f t="shared" si="42"/>
        <v>2073.6</v>
      </c>
      <c r="J544" s="84">
        <f>VLOOKUP(C544, Products[], 6)</f>
        <v>24</v>
      </c>
      <c r="K544" s="86">
        <f t="shared" si="43"/>
        <v>2880</v>
      </c>
      <c r="L544" s="86">
        <f t="shared" si="44"/>
        <v>-806.40000000000009</v>
      </c>
      <c r="N544">
        <v>10786</v>
      </c>
      <c r="O544" s="84" cm="1">
        <f t="array" ref="O544">SUM(INDEX(_xlfn._xlws.FILTER($B$6:$L$2160, $B$6:$B$2160=N544), 0, 8))</f>
        <v>1531.08</v>
      </c>
      <c r="P544" s="84" cm="1">
        <f t="array" ref="P544">SUM(INDEX(_xlfn._xlws.FILTER($B$6:$L$2160, $B$6:$B$2160=N544), 0, 10))</f>
        <v>1913.85</v>
      </c>
      <c r="Q544" s="84" cm="1">
        <f t="array" ref="Q544">SUM(INDEX(_xlfn._xlws.FILTER($B$6:$L$2160, $B$6:$B$2160=N544), 0, 11))</f>
        <v>-382.77000000000004</v>
      </c>
    </row>
    <row r="545" spans="2:17" x14ac:dyDescent="0.2">
      <c r="B545">
        <v>10451</v>
      </c>
      <c r="C545">
        <v>64</v>
      </c>
      <c r="D545" s="84">
        <v>26.6</v>
      </c>
      <c r="E545">
        <v>35</v>
      </c>
      <c r="F545" s="85">
        <v>0.1</v>
      </c>
      <c r="G545" s="86">
        <f t="shared" si="40"/>
        <v>931</v>
      </c>
      <c r="H545" s="86">
        <f t="shared" si="41"/>
        <v>93.100000000000009</v>
      </c>
      <c r="I545" s="86">
        <f t="shared" si="42"/>
        <v>837.9</v>
      </c>
      <c r="J545" s="84">
        <f>VLOOKUP(C545, Products[], 6)</f>
        <v>33.25</v>
      </c>
      <c r="K545" s="86">
        <f t="shared" si="43"/>
        <v>1163.75</v>
      </c>
      <c r="L545" s="86">
        <f t="shared" si="44"/>
        <v>-325.85000000000002</v>
      </c>
      <c r="N545">
        <v>10787</v>
      </c>
      <c r="O545" s="84" cm="1">
        <f t="array" ref="O545">SUM(INDEX(_xlfn._xlws.FILTER($B$6:$L$2160, $B$6:$B$2160=N545), 0, 8))</f>
        <v>2622.76</v>
      </c>
      <c r="P545" s="84" cm="1">
        <f t="array" ref="P545">SUM(INDEX(_xlfn._xlws.FILTER($B$6:$L$2160, $B$6:$B$2160=N545), 0, 10))</f>
        <v>2760.8</v>
      </c>
      <c r="Q545" s="84" cm="1">
        <f t="array" ref="Q545">SUM(INDEX(_xlfn._xlws.FILTER($B$6:$L$2160, $B$6:$B$2160=N545), 0, 11))</f>
        <v>-138.03999999999996</v>
      </c>
    </row>
    <row r="546" spans="2:17" x14ac:dyDescent="0.2">
      <c r="B546">
        <v>10451</v>
      </c>
      <c r="C546">
        <v>65</v>
      </c>
      <c r="D546" s="84">
        <v>16.8</v>
      </c>
      <c r="E546">
        <v>28</v>
      </c>
      <c r="F546" s="85">
        <v>0.1</v>
      </c>
      <c r="G546" s="86">
        <f t="shared" si="40"/>
        <v>470.40000000000003</v>
      </c>
      <c r="H546" s="86">
        <f t="shared" si="41"/>
        <v>47.040000000000006</v>
      </c>
      <c r="I546" s="86">
        <f t="shared" si="42"/>
        <v>423.36</v>
      </c>
      <c r="J546" s="84">
        <f>VLOOKUP(C546, Products[], 6)</f>
        <v>21.05</v>
      </c>
      <c r="K546" s="86">
        <f t="shared" si="43"/>
        <v>589.4</v>
      </c>
      <c r="L546" s="86">
        <f t="shared" si="44"/>
        <v>-166.03999999999996</v>
      </c>
      <c r="N546">
        <v>10788</v>
      </c>
      <c r="O546" s="84" cm="1">
        <f t="array" ref="O546">SUM(INDEX(_xlfn._xlws.FILTER($B$6:$L$2160, $B$6:$B$2160=N546), 0, 8))</f>
        <v>731.5</v>
      </c>
      <c r="P546" s="84" cm="1">
        <f t="array" ref="P546">SUM(INDEX(_xlfn._xlws.FILTER($B$6:$L$2160, $B$6:$B$2160=N546), 0, 10))</f>
        <v>770</v>
      </c>
      <c r="Q546" s="84" cm="1">
        <f t="array" ref="Q546">SUM(INDEX(_xlfn._xlws.FILTER($B$6:$L$2160, $B$6:$B$2160=N546), 0, 11))</f>
        <v>-38.5</v>
      </c>
    </row>
    <row r="547" spans="2:17" x14ac:dyDescent="0.2">
      <c r="B547">
        <v>10451</v>
      </c>
      <c r="C547">
        <v>77</v>
      </c>
      <c r="D547" s="84">
        <v>10.4</v>
      </c>
      <c r="E547">
        <v>55</v>
      </c>
      <c r="F547" s="85">
        <v>0.1</v>
      </c>
      <c r="G547" s="86">
        <f t="shared" si="40"/>
        <v>572</v>
      </c>
      <c r="H547" s="86">
        <f t="shared" si="41"/>
        <v>57.2</v>
      </c>
      <c r="I547" s="86">
        <f t="shared" si="42"/>
        <v>514.79999999999995</v>
      </c>
      <c r="J547" s="84">
        <f>VLOOKUP(C547, Products[], 6)</f>
        <v>13</v>
      </c>
      <c r="K547" s="86">
        <f t="shared" si="43"/>
        <v>715</v>
      </c>
      <c r="L547" s="86">
        <f t="shared" si="44"/>
        <v>-200.20000000000005</v>
      </c>
      <c r="N547">
        <v>10789</v>
      </c>
      <c r="O547" s="84" cm="1">
        <f t="array" ref="O547">SUM(INDEX(_xlfn._xlws.FILTER($B$6:$L$2160, $B$6:$B$2160=N547), 0, 8))</f>
        <v>3687</v>
      </c>
      <c r="P547" s="84" cm="1">
        <f t="array" ref="P547">SUM(INDEX(_xlfn._xlws.FILTER($B$6:$L$2160, $B$6:$B$2160=N547), 0, 10))</f>
        <v>3687</v>
      </c>
      <c r="Q547" s="84" cm="1">
        <f t="array" ref="Q547">SUM(INDEX(_xlfn._xlws.FILTER($B$6:$L$2160, $B$6:$B$2160=N547), 0, 11))</f>
        <v>0</v>
      </c>
    </row>
    <row r="548" spans="2:17" x14ac:dyDescent="0.2">
      <c r="B548">
        <v>10452</v>
      </c>
      <c r="C548">
        <v>28</v>
      </c>
      <c r="D548" s="84">
        <v>36.4</v>
      </c>
      <c r="E548">
        <v>15</v>
      </c>
      <c r="F548" s="85">
        <v>0</v>
      </c>
      <c r="G548" s="86">
        <f t="shared" si="40"/>
        <v>546</v>
      </c>
      <c r="H548" s="86">
        <f t="shared" si="41"/>
        <v>0</v>
      </c>
      <c r="I548" s="86">
        <f t="shared" si="42"/>
        <v>546</v>
      </c>
      <c r="J548" s="84">
        <f>VLOOKUP(C548, Products[], 6)</f>
        <v>45.6</v>
      </c>
      <c r="K548" s="86">
        <f t="shared" si="43"/>
        <v>684</v>
      </c>
      <c r="L548" s="86">
        <f t="shared" si="44"/>
        <v>-138</v>
      </c>
      <c r="N548">
        <v>10790</v>
      </c>
      <c r="O548" s="84" cm="1">
        <f t="array" ref="O548">SUM(INDEX(_xlfn._xlws.FILTER($B$6:$L$2160, $B$6:$B$2160=N548), 0, 8))</f>
        <v>722.5</v>
      </c>
      <c r="P548" s="84" cm="1">
        <f t="array" ref="P548">SUM(INDEX(_xlfn._xlws.FILTER($B$6:$L$2160, $B$6:$B$2160=N548), 0, 10))</f>
        <v>850</v>
      </c>
      <c r="Q548" s="84" cm="1">
        <f t="array" ref="Q548">SUM(INDEX(_xlfn._xlws.FILTER($B$6:$L$2160, $B$6:$B$2160=N548), 0, 11))</f>
        <v>-127.5</v>
      </c>
    </row>
    <row r="549" spans="2:17" x14ac:dyDescent="0.2">
      <c r="B549">
        <v>10452</v>
      </c>
      <c r="C549">
        <v>44</v>
      </c>
      <c r="D549" s="84">
        <v>15.5</v>
      </c>
      <c r="E549">
        <v>100</v>
      </c>
      <c r="F549" s="85">
        <v>0.05</v>
      </c>
      <c r="G549" s="86">
        <f t="shared" si="40"/>
        <v>1550</v>
      </c>
      <c r="H549" s="86">
        <f t="shared" si="41"/>
        <v>77.5</v>
      </c>
      <c r="I549" s="86">
        <f t="shared" si="42"/>
        <v>1472.5</v>
      </c>
      <c r="J549" s="84">
        <f>VLOOKUP(C549, Products[], 6)</f>
        <v>19.45</v>
      </c>
      <c r="K549" s="86">
        <f t="shared" si="43"/>
        <v>1945</v>
      </c>
      <c r="L549" s="86">
        <f t="shared" si="44"/>
        <v>-472.5</v>
      </c>
      <c r="N549">
        <v>10791</v>
      </c>
      <c r="O549" s="84" cm="1">
        <f t="array" ref="O549">SUM(INDEX(_xlfn._xlws.FILTER($B$6:$L$2160, $B$6:$B$2160=N549), 0, 8))</f>
        <v>1829.7570000000001</v>
      </c>
      <c r="P549" s="84" cm="1">
        <f t="array" ref="P549">SUM(INDEX(_xlfn._xlws.FILTER($B$6:$L$2160, $B$6:$B$2160=N549), 0, 10))</f>
        <v>1926.0600000000002</v>
      </c>
      <c r="Q549" s="84" cm="1">
        <f t="array" ref="Q549">SUM(INDEX(_xlfn._xlws.FILTER($B$6:$L$2160, $B$6:$B$2160=N549), 0, 11))</f>
        <v>-96.303000000000026</v>
      </c>
    </row>
    <row r="550" spans="2:17" x14ac:dyDescent="0.2">
      <c r="B550">
        <v>10453</v>
      </c>
      <c r="C550">
        <v>48</v>
      </c>
      <c r="D550" s="84">
        <v>10.199999999999999</v>
      </c>
      <c r="E550">
        <v>15</v>
      </c>
      <c r="F550" s="85">
        <v>0.1</v>
      </c>
      <c r="G550" s="86">
        <f t="shared" si="40"/>
        <v>153</v>
      </c>
      <c r="H550" s="86">
        <f t="shared" si="41"/>
        <v>15.3</v>
      </c>
      <c r="I550" s="86">
        <f t="shared" si="42"/>
        <v>137.69999999999999</v>
      </c>
      <c r="J550" s="84">
        <f>VLOOKUP(C550, Products[], 6)</f>
        <v>12.75</v>
      </c>
      <c r="K550" s="86">
        <f t="shared" si="43"/>
        <v>191.25</v>
      </c>
      <c r="L550" s="86">
        <f t="shared" si="44"/>
        <v>-53.550000000000011</v>
      </c>
      <c r="N550">
        <v>10792</v>
      </c>
      <c r="O550" s="84" cm="1">
        <f t="array" ref="O550">SUM(INDEX(_xlfn._xlws.FILTER($B$6:$L$2160, $B$6:$B$2160=N550), 0, 8))</f>
        <v>399.85</v>
      </c>
      <c r="P550" s="84" cm="1">
        <f t="array" ref="P550">SUM(INDEX(_xlfn._xlws.FILTER($B$6:$L$2160, $B$6:$B$2160=N550), 0, 10))</f>
        <v>399.85</v>
      </c>
      <c r="Q550" s="84" cm="1">
        <f t="array" ref="Q550">SUM(INDEX(_xlfn._xlws.FILTER($B$6:$L$2160, $B$6:$B$2160=N550), 0, 11))</f>
        <v>0</v>
      </c>
    </row>
    <row r="551" spans="2:17" x14ac:dyDescent="0.2">
      <c r="B551">
        <v>10453</v>
      </c>
      <c r="C551">
        <v>70</v>
      </c>
      <c r="D551" s="84">
        <v>12</v>
      </c>
      <c r="E551">
        <v>25</v>
      </c>
      <c r="F551" s="85">
        <v>0.1</v>
      </c>
      <c r="G551" s="86">
        <f t="shared" si="40"/>
        <v>300</v>
      </c>
      <c r="H551" s="86">
        <f t="shared" si="41"/>
        <v>30</v>
      </c>
      <c r="I551" s="86">
        <f t="shared" si="42"/>
        <v>270</v>
      </c>
      <c r="J551" s="84">
        <f>VLOOKUP(C551, Products[], 6)</f>
        <v>15</v>
      </c>
      <c r="K551" s="86">
        <f t="shared" si="43"/>
        <v>375</v>
      </c>
      <c r="L551" s="86">
        <f t="shared" si="44"/>
        <v>-105</v>
      </c>
      <c r="N551">
        <v>10793</v>
      </c>
      <c r="O551" s="84" cm="1">
        <f t="array" ref="O551">SUM(INDEX(_xlfn._xlws.FILTER($B$6:$L$2160, $B$6:$B$2160=N551), 0, 8))</f>
        <v>191.1</v>
      </c>
      <c r="P551" s="84" cm="1">
        <f t="array" ref="P551">SUM(INDEX(_xlfn._xlws.FILTER($B$6:$L$2160, $B$6:$B$2160=N551), 0, 10))</f>
        <v>191.1</v>
      </c>
      <c r="Q551" s="84" cm="1">
        <f t="array" ref="Q551">SUM(INDEX(_xlfn._xlws.FILTER($B$6:$L$2160, $B$6:$B$2160=N551), 0, 11))</f>
        <v>0</v>
      </c>
    </row>
    <row r="552" spans="2:17" x14ac:dyDescent="0.2">
      <c r="B552">
        <v>10454</v>
      </c>
      <c r="C552">
        <v>16</v>
      </c>
      <c r="D552" s="84">
        <v>13.9</v>
      </c>
      <c r="E552">
        <v>20</v>
      </c>
      <c r="F552" s="85">
        <v>0.2</v>
      </c>
      <c r="G552" s="86">
        <f t="shared" si="40"/>
        <v>278</v>
      </c>
      <c r="H552" s="86">
        <f t="shared" si="41"/>
        <v>55.6</v>
      </c>
      <c r="I552" s="86">
        <f t="shared" si="42"/>
        <v>222.4</v>
      </c>
      <c r="J552" s="84">
        <f>VLOOKUP(C552, Products[], 6)</f>
        <v>17.45</v>
      </c>
      <c r="K552" s="86">
        <f t="shared" si="43"/>
        <v>349</v>
      </c>
      <c r="L552" s="86">
        <f t="shared" si="44"/>
        <v>-126.6</v>
      </c>
      <c r="N552">
        <v>10794</v>
      </c>
      <c r="O552" s="84" cm="1">
        <f t="array" ref="O552">SUM(INDEX(_xlfn._xlws.FILTER($B$6:$L$2160, $B$6:$B$2160=N552), 0, 8))</f>
        <v>314.76</v>
      </c>
      <c r="P552" s="84" cm="1">
        <f t="array" ref="P552">SUM(INDEX(_xlfn._xlws.FILTER($B$6:$L$2160, $B$6:$B$2160=N552), 0, 10))</f>
        <v>393.45</v>
      </c>
      <c r="Q552" s="84" cm="1">
        <f t="array" ref="Q552">SUM(INDEX(_xlfn._xlws.FILTER($B$6:$L$2160, $B$6:$B$2160=N552), 0, 11))</f>
        <v>-78.69</v>
      </c>
    </row>
    <row r="553" spans="2:17" x14ac:dyDescent="0.2">
      <c r="B553">
        <v>10454</v>
      </c>
      <c r="C553">
        <v>33</v>
      </c>
      <c r="D553" s="84">
        <v>2</v>
      </c>
      <c r="E553">
        <v>20</v>
      </c>
      <c r="F553" s="85">
        <v>0.2</v>
      </c>
      <c r="G553" s="86">
        <f t="shared" si="40"/>
        <v>40</v>
      </c>
      <c r="H553" s="86">
        <f t="shared" si="41"/>
        <v>8</v>
      </c>
      <c r="I553" s="86">
        <f t="shared" si="42"/>
        <v>32</v>
      </c>
      <c r="J553" s="84">
        <f>VLOOKUP(C553, Products[], 6)</f>
        <v>2.5</v>
      </c>
      <c r="K553" s="86">
        <f t="shared" si="43"/>
        <v>50</v>
      </c>
      <c r="L553" s="86">
        <f t="shared" si="44"/>
        <v>-18</v>
      </c>
      <c r="N553">
        <v>10795</v>
      </c>
      <c r="O553" s="84" cm="1">
        <f t="array" ref="O553">SUM(INDEX(_xlfn._xlws.FILTER($B$6:$L$2160, $B$6:$B$2160=N553), 0, 8))</f>
        <v>2158</v>
      </c>
      <c r="P553" s="84" cm="1">
        <f t="array" ref="P553">SUM(INDEX(_xlfn._xlws.FILTER($B$6:$L$2160, $B$6:$B$2160=N553), 0, 10))</f>
        <v>2499.25</v>
      </c>
      <c r="Q553" s="84" cm="1">
        <f t="array" ref="Q553">SUM(INDEX(_xlfn._xlws.FILTER($B$6:$L$2160, $B$6:$B$2160=N553), 0, 11))</f>
        <v>-341.25</v>
      </c>
    </row>
    <row r="554" spans="2:17" x14ac:dyDescent="0.2">
      <c r="B554">
        <v>10454</v>
      </c>
      <c r="C554">
        <v>46</v>
      </c>
      <c r="D554" s="84">
        <v>9.6</v>
      </c>
      <c r="E554">
        <v>10</v>
      </c>
      <c r="F554" s="85">
        <v>0.2</v>
      </c>
      <c r="G554" s="86">
        <f t="shared" si="40"/>
        <v>96</v>
      </c>
      <c r="H554" s="86">
        <f t="shared" si="41"/>
        <v>19.200000000000003</v>
      </c>
      <c r="I554" s="86">
        <f t="shared" si="42"/>
        <v>76.8</v>
      </c>
      <c r="J554" s="84">
        <f>VLOOKUP(C554, Products[], 6)</f>
        <v>12</v>
      </c>
      <c r="K554" s="86">
        <f t="shared" si="43"/>
        <v>120</v>
      </c>
      <c r="L554" s="86">
        <f t="shared" si="44"/>
        <v>-43.2</v>
      </c>
      <c r="N554">
        <v>10796</v>
      </c>
      <c r="O554" s="84" cm="1">
        <f t="array" ref="O554">SUM(INDEX(_xlfn._xlws.FILTER($B$6:$L$2160, $B$6:$B$2160=N554), 0, 8))</f>
        <v>2341.364</v>
      </c>
      <c r="P554" s="84" cm="1">
        <f t="array" ref="P554">SUM(INDEX(_xlfn._xlws.FILTER($B$6:$L$2160, $B$6:$B$2160=N554), 0, 10))</f>
        <v>2878.08</v>
      </c>
      <c r="Q554" s="84" cm="1">
        <f t="array" ref="Q554">SUM(INDEX(_xlfn._xlws.FILTER($B$6:$L$2160, $B$6:$B$2160=N554), 0, 11))</f>
        <v>-536.71600000000001</v>
      </c>
    </row>
    <row r="555" spans="2:17" x14ac:dyDescent="0.2">
      <c r="B555">
        <v>10455</v>
      </c>
      <c r="C555">
        <v>39</v>
      </c>
      <c r="D555" s="84">
        <v>14.4</v>
      </c>
      <c r="E555">
        <v>20</v>
      </c>
      <c r="F555" s="85">
        <v>0</v>
      </c>
      <c r="G555" s="86">
        <f t="shared" si="40"/>
        <v>288</v>
      </c>
      <c r="H555" s="86">
        <f t="shared" si="41"/>
        <v>0</v>
      </c>
      <c r="I555" s="86">
        <f t="shared" si="42"/>
        <v>288</v>
      </c>
      <c r="J555" s="84">
        <f>VLOOKUP(C555, Products[], 6)</f>
        <v>18</v>
      </c>
      <c r="K555" s="86">
        <f t="shared" si="43"/>
        <v>360</v>
      </c>
      <c r="L555" s="86">
        <f t="shared" si="44"/>
        <v>-72</v>
      </c>
      <c r="N555">
        <v>10797</v>
      </c>
      <c r="O555" s="84" cm="1">
        <f t="array" ref="O555">SUM(INDEX(_xlfn._xlws.FILTER($B$6:$L$2160, $B$6:$B$2160=N555), 0, 8))</f>
        <v>420</v>
      </c>
      <c r="P555" s="84" cm="1">
        <f t="array" ref="P555">SUM(INDEX(_xlfn._xlws.FILTER($B$6:$L$2160, $B$6:$B$2160=N555), 0, 10))</f>
        <v>420</v>
      </c>
      <c r="Q555" s="84" cm="1">
        <f t="array" ref="Q555">SUM(INDEX(_xlfn._xlws.FILTER($B$6:$L$2160, $B$6:$B$2160=N555), 0, 11))</f>
        <v>0</v>
      </c>
    </row>
    <row r="556" spans="2:17" x14ac:dyDescent="0.2">
      <c r="B556">
        <v>10455</v>
      </c>
      <c r="C556">
        <v>53</v>
      </c>
      <c r="D556" s="84">
        <v>26.2</v>
      </c>
      <c r="E556">
        <v>50</v>
      </c>
      <c r="F556" s="85">
        <v>0</v>
      </c>
      <c r="G556" s="86">
        <f t="shared" si="40"/>
        <v>1310</v>
      </c>
      <c r="H556" s="86">
        <f t="shared" si="41"/>
        <v>0</v>
      </c>
      <c r="I556" s="86">
        <f t="shared" si="42"/>
        <v>1310</v>
      </c>
      <c r="J556" s="84">
        <f>VLOOKUP(C556, Products[], 6)</f>
        <v>32.799999999999997</v>
      </c>
      <c r="K556" s="86">
        <f t="shared" si="43"/>
        <v>1639.9999999999998</v>
      </c>
      <c r="L556" s="86">
        <f t="shared" si="44"/>
        <v>-329.99999999999977</v>
      </c>
      <c r="N556">
        <v>10798</v>
      </c>
      <c r="O556" s="84" cm="1">
        <f t="array" ref="O556">SUM(INDEX(_xlfn._xlws.FILTER($B$6:$L$2160, $B$6:$B$2160=N556), 0, 8))</f>
        <v>446.6</v>
      </c>
      <c r="P556" s="84" cm="1">
        <f t="array" ref="P556">SUM(INDEX(_xlfn._xlws.FILTER($B$6:$L$2160, $B$6:$B$2160=N556), 0, 10))</f>
        <v>446.6</v>
      </c>
      <c r="Q556" s="84" cm="1">
        <f t="array" ref="Q556">SUM(INDEX(_xlfn._xlws.FILTER($B$6:$L$2160, $B$6:$B$2160=N556), 0, 11))</f>
        <v>0</v>
      </c>
    </row>
    <row r="557" spans="2:17" x14ac:dyDescent="0.2">
      <c r="B557">
        <v>10455</v>
      </c>
      <c r="C557">
        <v>61</v>
      </c>
      <c r="D557" s="84">
        <v>22.8</v>
      </c>
      <c r="E557">
        <v>25</v>
      </c>
      <c r="F557" s="85">
        <v>0</v>
      </c>
      <c r="G557" s="86">
        <f t="shared" si="40"/>
        <v>570</v>
      </c>
      <c r="H557" s="86">
        <f t="shared" si="41"/>
        <v>0</v>
      </c>
      <c r="I557" s="86">
        <f t="shared" si="42"/>
        <v>570</v>
      </c>
      <c r="J557" s="84">
        <f>VLOOKUP(C557, Products[], 6)</f>
        <v>28.5</v>
      </c>
      <c r="K557" s="86">
        <f t="shared" si="43"/>
        <v>712.5</v>
      </c>
      <c r="L557" s="86">
        <f t="shared" si="44"/>
        <v>-142.5</v>
      </c>
      <c r="N557">
        <v>10799</v>
      </c>
      <c r="O557" s="84" cm="1">
        <f t="array" ref="O557">SUM(INDEX(_xlfn._xlws.FILTER($B$6:$L$2160, $B$6:$B$2160=N557), 0, 8))</f>
        <v>1553.5</v>
      </c>
      <c r="P557" s="84" cm="1">
        <f t="array" ref="P557">SUM(INDEX(_xlfn._xlws.FILTER($B$6:$L$2160, $B$6:$B$2160=N557), 0, 10))</f>
        <v>1585</v>
      </c>
      <c r="Q557" s="84" cm="1">
        <f t="array" ref="Q557">SUM(INDEX(_xlfn._xlws.FILTER($B$6:$L$2160, $B$6:$B$2160=N557), 0, 11))</f>
        <v>-31.5</v>
      </c>
    </row>
    <row r="558" spans="2:17" x14ac:dyDescent="0.2">
      <c r="B558">
        <v>10455</v>
      </c>
      <c r="C558">
        <v>71</v>
      </c>
      <c r="D558" s="84">
        <v>17.2</v>
      </c>
      <c r="E558">
        <v>30</v>
      </c>
      <c r="F558" s="85">
        <v>0</v>
      </c>
      <c r="G558" s="86">
        <f t="shared" si="40"/>
        <v>516</v>
      </c>
      <c r="H558" s="86">
        <f t="shared" si="41"/>
        <v>0</v>
      </c>
      <c r="I558" s="86">
        <f t="shared" si="42"/>
        <v>516</v>
      </c>
      <c r="J558" s="84">
        <f>VLOOKUP(C558, Products[], 6)</f>
        <v>21.5</v>
      </c>
      <c r="K558" s="86">
        <f t="shared" si="43"/>
        <v>645</v>
      </c>
      <c r="L558" s="86">
        <f t="shared" si="44"/>
        <v>-129</v>
      </c>
      <c r="N558">
        <v>10800</v>
      </c>
      <c r="O558" s="84" cm="1">
        <f t="array" ref="O558">SUM(INDEX(_xlfn._xlws.FILTER($B$6:$L$2160, $B$6:$B$2160=N558), 0, 8))</f>
        <v>1468.9349999999999</v>
      </c>
      <c r="P558" s="84" cm="1">
        <f t="array" ref="P558">SUM(INDEX(_xlfn._xlws.FILTER($B$6:$L$2160, $B$6:$B$2160=N558), 0, 10))</f>
        <v>1632.15</v>
      </c>
      <c r="Q558" s="84" cm="1">
        <f t="array" ref="Q558">SUM(INDEX(_xlfn._xlws.FILTER($B$6:$L$2160, $B$6:$B$2160=N558), 0, 11))</f>
        <v>-163.215</v>
      </c>
    </row>
    <row r="559" spans="2:17" x14ac:dyDescent="0.2">
      <c r="B559">
        <v>10456</v>
      </c>
      <c r="C559">
        <v>21</v>
      </c>
      <c r="D559" s="84">
        <v>8</v>
      </c>
      <c r="E559">
        <v>40</v>
      </c>
      <c r="F559" s="85">
        <v>0.15</v>
      </c>
      <c r="G559" s="86">
        <f t="shared" si="40"/>
        <v>320</v>
      </c>
      <c r="H559" s="86">
        <f t="shared" si="41"/>
        <v>48</v>
      </c>
      <c r="I559" s="86">
        <f t="shared" si="42"/>
        <v>272</v>
      </c>
      <c r="J559" s="84">
        <f>VLOOKUP(C559, Products[], 6)</f>
        <v>10</v>
      </c>
      <c r="K559" s="86">
        <f t="shared" si="43"/>
        <v>400</v>
      </c>
      <c r="L559" s="86">
        <f t="shared" si="44"/>
        <v>-128</v>
      </c>
      <c r="N559">
        <v>10801</v>
      </c>
      <c r="O559" s="84" cm="1">
        <f t="array" ref="O559">SUM(INDEX(_xlfn._xlws.FILTER($B$6:$L$2160, $B$6:$B$2160=N559), 0, 8))</f>
        <v>3026.8500000000004</v>
      </c>
      <c r="P559" s="84" cm="1">
        <f t="array" ref="P559">SUM(INDEX(_xlfn._xlws.FILTER($B$6:$L$2160, $B$6:$B$2160=N559), 0, 10))</f>
        <v>4035.8</v>
      </c>
      <c r="Q559" s="84" cm="1">
        <f t="array" ref="Q559">SUM(INDEX(_xlfn._xlws.FILTER($B$6:$L$2160, $B$6:$B$2160=N559), 0, 11))</f>
        <v>-1008.95</v>
      </c>
    </row>
    <row r="560" spans="2:17" x14ac:dyDescent="0.2">
      <c r="B560">
        <v>10456</v>
      </c>
      <c r="C560">
        <v>49</v>
      </c>
      <c r="D560" s="84">
        <v>16</v>
      </c>
      <c r="E560">
        <v>21</v>
      </c>
      <c r="F560" s="85">
        <v>0.15</v>
      </c>
      <c r="G560" s="86">
        <f t="shared" si="40"/>
        <v>336</v>
      </c>
      <c r="H560" s="86">
        <f t="shared" si="41"/>
        <v>50.4</v>
      </c>
      <c r="I560" s="86">
        <f t="shared" si="42"/>
        <v>285.60000000000002</v>
      </c>
      <c r="J560" s="84">
        <f>VLOOKUP(C560, Products[], 6)</f>
        <v>20</v>
      </c>
      <c r="K560" s="86">
        <f t="shared" si="43"/>
        <v>420</v>
      </c>
      <c r="L560" s="86">
        <f t="shared" si="44"/>
        <v>-134.39999999999998</v>
      </c>
      <c r="N560">
        <v>10802</v>
      </c>
      <c r="O560" s="84" cm="1">
        <f t="array" ref="O560">SUM(INDEX(_xlfn._xlws.FILTER($B$6:$L$2160, $B$6:$B$2160=N560), 0, 8))</f>
        <v>2942.8125</v>
      </c>
      <c r="P560" s="84" cm="1">
        <f t="array" ref="P560">SUM(INDEX(_xlfn._xlws.FILTER($B$6:$L$2160, $B$6:$B$2160=N560), 0, 10))</f>
        <v>3923.75</v>
      </c>
      <c r="Q560" s="84" cm="1">
        <f t="array" ref="Q560">SUM(INDEX(_xlfn._xlws.FILTER($B$6:$L$2160, $B$6:$B$2160=N560), 0, 11))</f>
        <v>-980.9375</v>
      </c>
    </row>
    <row r="561" spans="2:17" x14ac:dyDescent="0.2">
      <c r="B561">
        <v>10457</v>
      </c>
      <c r="C561">
        <v>59</v>
      </c>
      <c r="D561" s="84">
        <v>44</v>
      </c>
      <c r="E561">
        <v>36</v>
      </c>
      <c r="F561" s="85">
        <v>0</v>
      </c>
      <c r="G561" s="86">
        <f t="shared" si="40"/>
        <v>1584</v>
      </c>
      <c r="H561" s="86">
        <f t="shared" si="41"/>
        <v>0</v>
      </c>
      <c r="I561" s="86">
        <f t="shared" si="42"/>
        <v>1584</v>
      </c>
      <c r="J561" s="84">
        <f>VLOOKUP(C561, Products[], 6)</f>
        <v>55</v>
      </c>
      <c r="K561" s="86">
        <f t="shared" si="43"/>
        <v>1980</v>
      </c>
      <c r="L561" s="86">
        <f t="shared" si="44"/>
        <v>-396</v>
      </c>
      <c r="N561">
        <v>10803</v>
      </c>
      <c r="O561" s="84" cm="1">
        <f t="array" ref="O561">SUM(INDEX(_xlfn._xlws.FILTER($B$6:$L$2160, $B$6:$B$2160=N561), 0, 8))</f>
        <v>1193.01</v>
      </c>
      <c r="P561" s="84" cm="1">
        <f t="array" ref="P561">SUM(INDEX(_xlfn._xlws.FILTER($B$6:$L$2160, $B$6:$B$2160=N561), 0, 10))</f>
        <v>1255.8</v>
      </c>
      <c r="Q561" s="84" cm="1">
        <f t="array" ref="Q561">SUM(INDEX(_xlfn._xlws.FILTER($B$6:$L$2160, $B$6:$B$2160=N561), 0, 11))</f>
        <v>-62.789999999999992</v>
      </c>
    </row>
    <row r="562" spans="2:17" x14ac:dyDescent="0.2">
      <c r="B562">
        <v>10458</v>
      </c>
      <c r="C562">
        <v>26</v>
      </c>
      <c r="D562" s="84">
        <v>24.9</v>
      </c>
      <c r="E562">
        <v>30</v>
      </c>
      <c r="F562" s="85">
        <v>0</v>
      </c>
      <c r="G562" s="86">
        <f t="shared" si="40"/>
        <v>747</v>
      </c>
      <c r="H562" s="86">
        <f t="shared" si="41"/>
        <v>0</v>
      </c>
      <c r="I562" s="86">
        <f t="shared" si="42"/>
        <v>747</v>
      </c>
      <c r="J562" s="84">
        <f>VLOOKUP(C562, Products[], 6)</f>
        <v>31.23</v>
      </c>
      <c r="K562" s="86">
        <f t="shared" si="43"/>
        <v>936.9</v>
      </c>
      <c r="L562" s="86">
        <f t="shared" si="44"/>
        <v>-189.89999999999998</v>
      </c>
      <c r="N562">
        <v>10804</v>
      </c>
      <c r="O562" s="84" cm="1">
        <f t="array" ref="O562">SUM(INDEX(_xlfn._xlws.FILTER($B$6:$L$2160, $B$6:$B$2160=N562), 0, 8))</f>
        <v>2278.4</v>
      </c>
      <c r="P562" s="84" cm="1">
        <f t="array" ref="P562">SUM(INDEX(_xlfn._xlws.FILTER($B$6:$L$2160, $B$6:$B$2160=N562), 0, 10))</f>
        <v>2290.4</v>
      </c>
      <c r="Q562" s="84" cm="1">
        <f t="array" ref="Q562">SUM(INDEX(_xlfn._xlws.FILTER($B$6:$L$2160, $B$6:$B$2160=N562), 0, 11))</f>
        <v>-12</v>
      </c>
    </row>
    <row r="563" spans="2:17" x14ac:dyDescent="0.2">
      <c r="B563">
        <v>10458</v>
      </c>
      <c r="C563">
        <v>28</v>
      </c>
      <c r="D563" s="84">
        <v>36.4</v>
      </c>
      <c r="E563">
        <v>30</v>
      </c>
      <c r="F563" s="85">
        <v>0</v>
      </c>
      <c r="G563" s="86">
        <f t="shared" si="40"/>
        <v>1092</v>
      </c>
      <c r="H563" s="86">
        <f t="shared" si="41"/>
        <v>0</v>
      </c>
      <c r="I563" s="86">
        <f t="shared" si="42"/>
        <v>1092</v>
      </c>
      <c r="J563" s="84">
        <f>VLOOKUP(C563, Products[], 6)</f>
        <v>45.6</v>
      </c>
      <c r="K563" s="86">
        <f t="shared" si="43"/>
        <v>1368</v>
      </c>
      <c r="L563" s="86">
        <f t="shared" si="44"/>
        <v>-276</v>
      </c>
      <c r="N563">
        <v>10805</v>
      </c>
      <c r="O563" s="84" cm="1">
        <f t="array" ref="O563">SUM(INDEX(_xlfn._xlws.FILTER($B$6:$L$2160, $B$6:$B$2160=N563), 0, 8))</f>
        <v>2775</v>
      </c>
      <c r="P563" s="84" cm="1">
        <f t="array" ref="P563">SUM(INDEX(_xlfn._xlws.FILTER($B$6:$L$2160, $B$6:$B$2160=N563), 0, 10))</f>
        <v>2775</v>
      </c>
      <c r="Q563" s="84" cm="1">
        <f t="array" ref="Q563">SUM(INDEX(_xlfn._xlws.FILTER($B$6:$L$2160, $B$6:$B$2160=N563), 0, 11))</f>
        <v>0</v>
      </c>
    </row>
    <row r="564" spans="2:17" x14ac:dyDescent="0.2">
      <c r="B564">
        <v>10458</v>
      </c>
      <c r="C564">
        <v>43</v>
      </c>
      <c r="D564" s="84">
        <v>36.799999999999997</v>
      </c>
      <c r="E564">
        <v>20</v>
      </c>
      <c r="F564" s="85">
        <v>0</v>
      </c>
      <c r="G564" s="86">
        <f t="shared" si="40"/>
        <v>736</v>
      </c>
      <c r="H564" s="86">
        <f t="shared" si="41"/>
        <v>0</v>
      </c>
      <c r="I564" s="86">
        <f t="shared" si="42"/>
        <v>736</v>
      </c>
      <c r="J564" s="84">
        <f>VLOOKUP(C564, Products[], 6)</f>
        <v>46</v>
      </c>
      <c r="K564" s="86">
        <f t="shared" si="43"/>
        <v>920</v>
      </c>
      <c r="L564" s="86">
        <f t="shared" si="44"/>
        <v>-184</v>
      </c>
      <c r="N564">
        <v>10806</v>
      </c>
      <c r="O564" s="84" cm="1">
        <f t="array" ref="O564">SUM(INDEX(_xlfn._xlws.FILTER($B$6:$L$2160, $B$6:$B$2160=N564), 0, 8))</f>
        <v>439.6</v>
      </c>
      <c r="P564" s="84" cm="1">
        <f t="array" ref="P564">SUM(INDEX(_xlfn._xlws.FILTER($B$6:$L$2160, $B$6:$B$2160=N564), 0, 10))</f>
        <v>572.1</v>
      </c>
      <c r="Q564" s="84" cm="1">
        <f t="array" ref="Q564">SUM(INDEX(_xlfn._xlws.FILTER($B$6:$L$2160, $B$6:$B$2160=N564), 0, 11))</f>
        <v>-132.5</v>
      </c>
    </row>
    <row r="565" spans="2:17" x14ac:dyDescent="0.2">
      <c r="B565">
        <v>10458</v>
      </c>
      <c r="C565">
        <v>56</v>
      </c>
      <c r="D565" s="84">
        <v>30.4</v>
      </c>
      <c r="E565">
        <v>15</v>
      </c>
      <c r="F565" s="85">
        <v>0</v>
      </c>
      <c r="G565" s="86">
        <f t="shared" si="40"/>
        <v>456</v>
      </c>
      <c r="H565" s="86">
        <f t="shared" si="41"/>
        <v>0</v>
      </c>
      <c r="I565" s="86">
        <f t="shared" si="42"/>
        <v>456</v>
      </c>
      <c r="J565" s="84">
        <f>VLOOKUP(C565, Products[], 6)</f>
        <v>38</v>
      </c>
      <c r="K565" s="86">
        <f t="shared" si="43"/>
        <v>570</v>
      </c>
      <c r="L565" s="86">
        <f t="shared" si="44"/>
        <v>-114</v>
      </c>
      <c r="N565">
        <v>10807</v>
      </c>
      <c r="O565" s="84" cm="1">
        <f t="array" ref="O565">SUM(INDEX(_xlfn._xlws.FILTER($B$6:$L$2160, $B$6:$B$2160=N565), 0, 8))</f>
        <v>18.399999999999999</v>
      </c>
      <c r="P565" s="84" cm="1">
        <f t="array" ref="P565">SUM(INDEX(_xlfn._xlws.FILTER($B$6:$L$2160, $B$6:$B$2160=N565), 0, 10))</f>
        <v>18.399999999999999</v>
      </c>
      <c r="Q565" s="84" cm="1">
        <f t="array" ref="Q565">SUM(INDEX(_xlfn._xlws.FILTER($B$6:$L$2160, $B$6:$B$2160=N565), 0, 11))</f>
        <v>0</v>
      </c>
    </row>
    <row r="566" spans="2:17" x14ac:dyDescent="0.2">
      <c r="B566">
        <v>10458</v>
      </c>
      <c r="C566">
        <v>71</v>
      </c>
      <c r="D566" s="84">
        <v>17.2</v>
      </c>
      <c r="E566">
        <v>50</v>
      </c>
      <c r="F566" s="85">
        <v>0</v>
      </c>
      <c r="G566" s="86">
        <f t="shared" si="40"/>
        <v>860</v>
      </c>
      <c r="H566" s="86">
        <f t="shared" si="41"/>
        <v>0</v>
      </c>
      <c r="I566" s="86">
        <f t="shared" si="42"/>
        <v>860</v>
      </c>
      <c r="J566" s="84">
        <f>VLOOKUP(C566, Products[], 6)</f>
        <v>21.5</v>
      </c>
      <c r="K566" s="86">
        <f t="shared" si="43"/>
        <v>1075</v>
      </c>
      <c r="L566" s="86">
        <f t="shared" si="44"/>
        <v>-215</v>
      </c>
      <c r="N566">
        <v>10808</v>
      </c>
      <c r="O566" s="84" cm="1">
        <f t="array" ref="O566">SUM(INDEX(_xlfn._xlws.FILTER($B$6:$L$2160, $B$6:$B$2160=N566), 0, 8))</f>
        <v>1411</v>
      </c>
      <c r="P566" s="84" cm="1">
        <f t="array" ref="P566">SUM(INDEX(_xlfn._xlws.FILTER($B$6:$L$2160, $B$6:$B$2160=N566), 0, 10))</f>
        <v>1660</v>
      </c>
      <c r="Q566" s="84" cm="1">
        <f t="array" ref="Q566">SUM(INDEX(_xlfn._xlws.FILTER($B$6:$L$2160, $B$6:$B$2160=N566), 0, 11))</f>
        <v>-249</v>
      </c>
    </row>
    <row r="567" spans="2:17" x14ac:dyDescent="0.2">
      <c r="B567">
        <v>10459</v>
      </c>
      <c r="C567">
        <v>7</v>
      </c>
      <c r="D567" s="84">
        <v>24</v>
      </c>
      <c r="E567">
        <v>16</v>
      </c>
      <c r="F567" s="85">
        <v>0.05</v>
      </c>
      <c r="G567" s="86">
        <f t="shared" si="40"/>
        <v>384</v>
      </c>
      <c r="H567" s="86">
        <f t="shared" si="41"/>
        <v>19.200000000000003</v>
      </c>
      <c r="I567" s="86">
        <f t="shared" si="42"/>
        <v>364.8</v>
      </c>
      <c r="J567" s="84">
        <f>VLOOKUP(C567, Products[], 6)</f>
        <v>30</v>
      </c>
      <c r="K567" s="86">
        <f t="shared" si="43"/>
        <v>480</v>
      </c>
      <c r="L567" s="86">
        <f t="shared" si="44"/>
        <v>-115.19999999999999</v>
      </c>
      <c r="N567">
        <v>10809</v>
      </c>
      <c r="O567" s="84" cm="1">
        <f t="array" ref="O567">SUM(INDEX(_xlfn._xlws.FILTER($B$6:$L$2160, $B$6:$B$2160=N567), 0, 8))</f>
        <v>140</v>
      </c>
      <c r="P567" s="84" cm="1">
        <f t="array" ref="P567">SUM(INDEX(_xlfn._xlws.FILTER($B$6:$L$2160, $B$6:$B$2160=N567), 0, 10))</f>
        <v>140</v>
      </c>
      <c r="Q567" s="84" cm="1">
        <f t="array" ref="Q567">SUM(INDEX(_xlfn._xlws.FILTER($B$6:$L$2160, $B$6:$B$2160=N567), 0, 11))</f>
        <v>0</v>
      </c>
    </row>
    <row r="568" spans="2:17" x14ac:dyDescent="0.2">
      <c r="B568">
        <v>10459</v>
      </c>
      <c r="C568">
        <v>46</v>
      </c>
      <c r="D568" s="84">
        <v>9.6</v>
      </c>
      <c r="E568">
        <v>20</v>
      </c>
      <c r="F568" s="85">
        <v>0.05</v>
      </c>
      <c r="G568" s="86">
        <f t="shared" si="40"/>
        <v>192</v>
      </c>
      <c r="H568" s="86">
        <f t="shared" si="41"/>
        <v>9.6000000000000014</v>
      </c>
      <c r="I568" s="86">
        <f t="shared" si="42"/>
        <v>182.4</v>
      </c>
      <c r="J568" s="84">
        <f>VLOOKUP(C568, Products[], 6)</f>
        <v>12</v>
      </c>
      <c r="K568" s="86">
        <f t="shared" si="43"/>
        <v>240</v>
      </c>
      <c r="L568" s="86">
        <f t="shared" si="44"/>
        <v>-57.599999999999994</v>
      </c>
      <c r="N568">
        <v>10810</v>
      </c>
      <c r="O568" s="84" cm="1">
        <f t="array" ref="O568">SUM(INDEX(_xlfn._xlws.FILTER($B$6:$L$2160, $B$6:$B$2160=N568), 0, 8))</f>
        <v>187</v>
      </c>
      <c r="P568" s="84" cm="1">
        <f t="array" ref="P568">SUM(INDEX(_xlfn._xlws.FILTER($B$6:$L$2160, $B$6:$B$2160=N568), 0, 10))</f>
        <v>187</v>
      </c>
      <c r="Q568" s="84" cm="1">
        <f t="array" ref="Q568">SUM(INDEX(_xlfn._xlws.FILTER($B$6:$L$2160, $B$6:$B$2160=N568), 0, 11))</f>
        <v>0</v>
      </c>
    </row>
    <row r="569" spans="2:17" x14ac:dyDescent="0.2">
      <c r="B569">
        <v>10459</v>
      </c>
      <c r="C569">
        <v>72</v>
      </c>
      <c r="D569" s="84">
        <v>27.8</v>
      </c>
      <c r="E569">
        <v>40</v>
      </c>
      <c r="F569" s="85">
        <v>0</v>
      </c>
      <c r="G569" s="86">
        <f t="shared" si="40"/>
        <v>1112</v>
      </c>
      <c r="H569" s="86">
        <f t="shared" si="41"/>
        <v>0</v>
      </c>
      <c r="I569" s="86">
        <f t="shared" si="42"/>
        <v>1112</v>
      </c>
      <c r="J569" s="84">
        <f>VLOOKUP(C569, Products[], 6)</f>
        <v>34.799999999999997</v>
      </c>
      <c r="K569" s="86">
        <f t="shared" si="43"/>
        <v>1392</v>
      </c>
      <c r="L569" s="86">
        <f t="shared" si="44"/>
        <v>-280</v>
      </c>
      <c r="N569">
        <v>10811</v>
      </c>
      <c r="O569" s="84" cm="1">
        <f t="array" ref="O569">SUM(INDEX(_xlfn._xlws.FILTER($B$6:$L$2160, $B$6:$B$2160=N569), 0, 8))</f>
        <v>852</v>
      </c>
      <c r="P569" s="84" cm="1">
        <f t="array" ref="P569">SUM(INDEX(_xlfn._xlws.FILTER($B$6:$L$2160, $B$6:$B$2160=N569), 0, 10))</f>
        <v>852</v>
      </c>
      <c r="Q569" s="84" cm="1">
        <f t="array" ref="Q569">SUM(INDEX(_xlfn._xlws.FILTER($B$6:$L$2160, $B$6:$B$2160=N569), 0, 11))</f>
        <v>0</v>
      </c>
    </row>
    <row r="570" spans="2:17" x14ac:dyDescent="0.2">
      <c r="B570">
        <v>10460</v>
      </c>
      <c r="C570">
        <v>68</v>
      </c>
      <c r="D570" s="84">
        <v>10</v>
      </c>
      <c r="E570">
        <v>21</v>
      </c>
      <c r="F570" s="85">
        <v>0.25</v>
      </c>
      <c r="G570" s="86">
        <f t="shared" si="40"/>
        <v>210</v>
      </c>
      <c r="H570" s="86">
        <f t="shared" si="41"/>
        <v>52.5</v>
      </c>
      <c r="I570" s="86">
        <f t="shared" si="42"/>
        <v>157.5</v>
      </c>
      <c r="J570" s="84">
        <f>VLOOKUP(C570, Products[], 6)</f>
        <v>12.5</v>
      </c>
      <c r="K570" s="86">
        <f t="shared" si="43"/>
        <v>262.5</v>
      </c>
      <c r="L570" s="86">
        <f t="shared" si="44"/>
        <v>-105</v>
      </c>
      <c r="N570">
        <v>10812</v>
      </c>
      <c r="O570" s="84" cm="1">
        <f t="array" ref="O570">SUM(INDEX(_xlfn._xlws.FILTER($B$6:$L$2160, $B$6:$B$2160=N570), 0, 8))</f>
        <v>1692.8</v>
      </c>
      <c r="P570" s="84" cm="1">
        <f t="array" ref="P570">SUM(INDEX(_xlfn._xlws.FILTER($B$6:$L$2160, $B$6:$B$2160=N570), 0, 10))</f>
        <v>1852</v>
      </c>
      <c r="Q570" s="84" cm="1">
        <f t="array" ref="Q570">SUM(INDEX(_xlfn._xlws.FILTER($B$6:$L$2160, $B$6:$B$2160=N570), 0, 11))</f>
        <v>-159.20000000000005</v>
      </c>
    </row>
    <row r="571" spans="2:17" x14ac:dyDescent="0.2">
      <c r="B571">
        <v>10460</v>
      </c>
      <c r="C571">
        <v>75</v>
      </c>
      <c r="D571" s="84">
        <v>6.2</v>
      </c>
      <c r="E571">
        <v>4</v>
      </c>
      <c r="F571" s="85">
        <v>0.25</v>
      </c>
      <c r="G571" s="86">
        <f t="shared" si="40"/>
        <v>24.8</v>
      </c>
      <c r="H571" s="86">
        <f t="shared" si="41"/>
        <v>6.2</v>
      </c>
      <c r="I571" s="86">
        <f t="shared" si="42"/>
        <v>18.600000000000001</v>
      </c>
      <c r="J571" s="84">
        <f>VLOOKUP(C571, Products[], 6)</f>
        <v>7.75</v>
      </c>
      <c r="K571" s="86">
        <f t="shared" si="43"/>
        <v>31</v>
      </c>
      <c r="L571" s="86">
        <f t="shared" si="44"/>
        <v>-12.399999999999999</v>
      </c>
      <c r="N571">
        <v>10813</v>
      </c>
      <c r="O571" s="84" cm="1">
        <f t="array" ref="O571">SUM(INDEX(_xlfn._xlws.FILTER($B$6:$L$2160, $B$6:$B$2160=N571), 0, 8))</f>
        <v>602.4</v>
      </c>
      <c r="P571" s="84" cm="1">
        <f t="array" ref="P571">SUM(INDEX(_xlfn._xlws.FILTER($B$6:$L$2160, $B$6:$B$2160=N571), 0, 10))</f>
        <v>648</v>
      </c>
      <c r="Q571" s="84" cm="1">
        <f t="array" ref="Q571">SUM(INDEX(_xlfn._xlws.FILTER($B$6:$L$2160, $B$6:$B$2160=N571), 0, 11))</f>
        <v>-45.599999999999994</v>
      </c>
    </row>
    <row r="572" spans="2:17" x14ac:dyDescent="0.2">
      <c r="B572">
        <v>10461</v>
      </c>
      <c r="C572">
        <v>21</v>
      </c>
      <c r="D572" s="84">
        <v>8</v>
      </c>
      <c r="E572">
        <v>40</v>
      </c>
      <c r="F572" s="85">
        <v>0.25</v>
      </c>
      <c r="G572" s="86">
        <f t="shared" si="40"/>
        <v>320</v>
      </c>
      <c r="H572" s="86">
        <f t="shared" si="41"/>
        <v>80</v>
      </c>
      <c r="I572" s="86">
        <f t="shared" si="42"/>
        <v>240</v>
      </c>
      <c r="J572" s="84">
        <f>VLOOKUP(C572, Products[], 6)</f>
        <v>10</v>
      </c>
      <c r="K572" s="86">
        <f t="shared" si="43"/>
        <v>400</v>
      </c>
      <c r="L572" s="86">
        <f t="shared" si="44"/>
        <v>-160</v>
      </c>
      <c r="N572">
        <v>10814</v>
      </c>
      <c r="O572" s="84" cm="1">
        <f t="array" ref="O572">SUM(INDEX(_xlfn._xlws.FILTER($B$6:$L$2160, $B$6:$B$2160=N572), 0, 8))</f>
        <v>1788.45</v>
      </c>
      <c r="P572" s="84" cm="1">
        <f t="array" ref="P572">SUM(INDEX(_xlfn._xlws.FILTER($B$6:$L$2160, $B$6:$B$2160=N572), 0, 10))</f>
        <v>2070</v>
      </c>
      <c r="Q572" s="84" cm="1">
        <f t="array" ref="Q572">SUM(INDEX(_xlfn._xlws.FILTER($B$6:$L$2160, $B$6:$B$2160=N572), 0, 11))</f>
        <v>-281.55</v>
      </c>
    </row>
    <row r="573" spans="2:17" x14ac:dyDescent="0.2">
      <c r="B573">
        <v>10461</v>
      </c>
      <c r="C573">
        <v>30</v>
      </c>
      <c r="D573" s="84">
        <v>20.7</v>
      </c>
      <c r="E573">
        <v>28</v>
      </c>
      <c r="F573" s="85">
        <v>0.25</v>
      </c>
      <c r="G573" s="86">
        <f t="shared" si="40"/>
        <v>579.6</v>
      </c>
      <c r="H573" s="86">
        <f t="shared" si="41"/>
        <v>144.9</v>
      </c>
      <c r="I573" s="86">
        <f t="shared" si="42"/>
        <v>434.70000000000005</v>
      </c>
      <c r="J573" s="84">
        <f>VLOOKUP(C573, Products[], 6)</f>
        <v>25.89</v>
      </c>
      <c r="K573" s="86">
        <f t="shared" si="43"/>
        <v>724.92000000000007</v>
      </c>
      <c r="L573" s="86">
        <f t="shared" si="44"/>
        <v>-290.22000000000003</v>
      </c>
      <c r="N573">
        <v>10815</v>
      </c>
      <c r="O573" s="84" cm="1">
        <f t="array" ref="O573">SUM(INDEX(_xlfn._xlws.FILTER($B$6:$L$2160, $B$6:$B$2160=N573), 0, 8))</f>
        <v>40</v>
      </c>
      <c r="P573" s="84" cm="1">
        <f t="array" ref="P573">SUM(INDEX(_xlfn._xlws.FILTER($B$6:$L$2160, $B$6:$B$2160=N573), 0, 10))</f>
        <v>40</v>
      </c>
      <c r="Q573" s="84" cm="1">
        <f t="array" ref="Q573">SUM(INDEX(_xlfn._xlws.FILTER($B$6:$L$2160, $B$6:$B$2160=N573), 0, 11))</f>
        <v>0</v>
      </c>
    </row>
    <row r="574" spans="2:17" x14ac:dyDescent="0.2">
      <c r="B574">
        <v>10461</v>
      </c>
      <c r="C574">
        <v>55</v>
      </c>
      <c r="D574" s="84">
        <v>19.2</v>
      </c>
      <c r="E574">
        <v>60</v>
      </c>
      <c r="F574" s="85">
        <v>0.25</v>
      </c>
      <c r="G574" s="86">
        <f t="shared" si="40"/>
        <v>1152</v>
      </c>
      <c r="H574" s="86">
        <f t="shared" si="41"/>
        <v>288</v>
      </c>
      <c r="I574" s="86">
        <f t="shared" si="42"/>
        <v>864</v>
      </c>
      <c r="J574" s="84">
        <f>VLOOKUP(C574, Products[], 6)</f>
        <v>24</v>
      </c>
      <c r="K574" s="86">
        <f t="shared" si="43"/>
        <v>1440</v>
      </c>
      <c r="L574" s="86">
        <f t="shared" si="44"/>
        <v>-576</v>
      </c>
      <c r="N574">
        <v>10816</v>
      </c>
      <c r="O574" s="84" cm="1">
        <f t="array" ref="O574">SUM(INDEX(_xlfn._xlws.FILTER($B$6:$L$2160, $B$6:$B$2160=N574), 0, 8))</f>
        <v>8446.4500000000007</v>
      </c>
      <c r="P574" s="84" cm="1">
        <f t="array" ref="P574">SUM(INDEX(_xlfn._xlws.FILTER($B$6:$L$2160, $B$6:$B$2160=N574), 0, 10))</f>
        <v>8891</v>
      </c>
      <c r="Q574" s="84" cm="1">
        <f t="array" ref="Q574">SUM(INDEX(_xlfn._xlws.FILTER($B$6:$L$2160, $B$6:$B$2160=N574), 0, 11))</f>
        <v>-444.54999999999995</v>
      </c>
    </row>
    <row r="575" spans="2:17" x14ac:dyDescent="0.2">
      <c r="B575">
        <v>10462</v>
      </c>
      <c r="C575">
        <v>13</v>
      </c>
      <c r="D575" s="84">
        <v>4.8</v>
      </c>
      <c r="E575">
        <v>1</v>
      </c>
      <c r="F575" s="85">
        <v>0</v>
      </c>
      <c r="G575" s="86">
        <f t="shared" si="40"/>
        <v>4.8</v>
      </c>
      <c r="H575" s="86">
        <f t="shared" si="41"/>
        <v>0</v>
      </c>
      <c r="I575" s="86">
        <f t="shared" si="42"/>
        <v>4.8</v>
      </c>
      <c r="J575" s="84">
        <f>VLOOKUP(C575, Products[], 6)</f>
        <v>6</v>
      </c>
      <c r="K575" s="86">
        <f t="shared" si="43"/>
        <v>6</v>
      </c>
      <c r="L575" s="86">
        <f t="shared" si="44"/>
        <v>-1.2000000000000002</v>
      </c>
      <c r="N575">
        <v>10817</v>
      </c>
      <c r="O575" s="84" cm="1">
        <f t="array" ref="O575">SUM(INDEX(_xlfn._xlws.FILTER($B$6:$L$2160, $B$6:$B$2160=N575), 0, 8))</f>
        <v>10952.844999999999</v>
      </c>
      <c r="P575" s="84" cm="1">
        <f t="array" ref="P575">SUM(INDEX(_xlfn._xlws.FILTER($B$6:$L$2160, $B$6:$B$2160=N575), 0, 10))</f>
        <v>11490.7</v>
      </c>
      <c r="Q575" s="84" cm="1">
        <f t="array" ref="Q575">SUM(INDEX(_xlfn._xlws.FILTER($B$6:$L$2160, $B$6:$B$2160=N575), 0, 11))</f>
        <v>-537.8549999999999</v>
      </c>
    </row>
    <row r="576" spans="2:17" x14ac:dyDescent="0.2">
      <c r="B576">
        <v>10462</v>
      </c>
      <c r="C576">
        <v>23</v>
      </c>
      <c r="D576" s="84">
        <v>7.2</v>
      </c>
      <c r="E576">
        <v>21</v>
      </c>
      <c r="F576" s="85">
        <v>0</v>
      </c>
      <c r="G576" s="86">
        <f t="shared" si="40"/>
        <v>151.20000000000002</v>
      </c>
      <c r="H576" s="86">
        <f t="shared" si="41"/>
        <v>0</v>
      </c>
      <c r="I576" s="86">
        <f t="shared" si="42"/>
        <v>151.20000000000002</v>
      </c>
      <c r="J576" s="84">
        <f>VLOOKUP(C576, Products[], 6)</f>
        <v>9</v>
      </c>
      <c r="K576" s="86">
        <f t="shared" si="43"/>
        <v>189</v>
      </c>
      <c r="L576" s="86">
        <f t="shared" si="44"/>
        <v>-37.799999999999983</v>
      </c>
      <c r="N576">
        <v>10818</v>
      </c>
      <c r="O576" s="84" cm="1">
        <f t="array" ref="O576">SUM(INDEX(_xlfn._xlws.FILTER($B$6:$L$2160, $B$6:$B$2160=N576), 0, 8))</f>
        <v>833</v>
      </c>
      <c r="P576" s="84" cm="1">
        <f t="array" ref="P576">SUM(INDEX(_xlfn._xlws.FILTER($B$6:$L$2160, $B$6:$B$2160=N576), 0, 10))</f>
        <v>833</v>
      </c>
      <c r="Q576" s="84" cm="1">
        <f t="array" ref="Q576">SUM(INDEX(_xlfn._xlws.FILTER($B$6:$L$2160, $B$6:$B$2160=N576), 0, 11))</f>
        <v>0</v>
      </c>
    </row>
    <row r="577" spans="2:17" x14ac:dyDescent="0.2">
      <c r="B577">
        <v>10463</v>
      </c>
      <c r="C577">
        <v>19</v>
      </c>
      <c r="D577" s="84">
        <v>7.3</v>
      </c>
      <c r="E577">
        <v>21</v>
      </c>
      <c r="F577" s="85">
        <v>0</v>
      </c>
      <c r="G577" s="86">
        <f t="shared" si="40"/>
        <v>153.29999999999998</v>
      </c>
      <c r="H577" s="86">
        <f t="shared" si="41"/>
        <v>0</v>
      </c>
      <c r="I577" s="86">
        <f t="shared" si="42"/>
        <v>153.29999999999998</v>
      </c>
      <c r="J577" s="84">
        <f>VLOOKUP(C577, Products[], 6)</f>
        <v>9.1999999999999993</v>
      </c>
      <c r="K577" s="86">
        <f t="shared" si="43"/>
        <v>193.2</v>
      </c>
      <c r="L577" s="86">
        <f t="shared" si="44"/>
        <v>-39.900000000000006</v>
      </c>
      <c r="N577">
        <v>10819</v>
      </c>
      <c r="O577" s="84" cm="1">
        <f t="array" ref="O577">SUM(INDEX(_xlfn._xlws.FILTER($B$6:$L$2160, $B$6:$B$2160=N577), 0, 8))</f>
        <v>477</v>
      </c>
      <c r="P577" s="84" cm="1">
        <f t="array" ref="P577">SUM(INDEX(_xlfn._xlws.FILTER($B$6:$L$2160, $B$6:$B$2160=N577), 0, 10))</f>
        <v>477</v>
      </c>
      <c r="Q577" s="84" cm="1">
        <f t="array" ref="Q577">SUM(INDEX(_xlfn._xlws.FILTER($B$6:$L$2160, $B$6:$B$2160=N577), 0, 11))</f>
        <v>0</v>
      </c>
    </row>
    <row r="578" spans="2:17" x14ac:dyDescent="0.2">
      <c r="B578">
        <v>10463</v>
      </c>
      <c r="C578">
        <v>42</v>
      </c>
      <c r="D578" s="84">
        <v>11.2</v>
      </c>
      <c r="E578">
        <v>50</v>
      </c>
      <c r="F578" s="85">
        <v>0</v>
      </c>
      <c r="G578" s="86">
        <f t="shared" si="40"/>
        <v>560</v>
      </c>
      <c r="H578" s="86">
        <f t="shared" si="41"/>
        <v>0</v>
      </c>
      <c r="I578" s="86">
        <f t="shared" si="42"/>
        <v>560</v>
      </c>
      <c r="J578" s="84">
        <f>VLOOKUP(C578, Products[], 6)</f>
        <v>14</v>
      </c>
      <c r="K578" s="86">
        <f t="shared" si="43"/>
        <v>700</v>
      </c>
      <c r="L578" s="86">
        <f t="shared" si="44"/>
        <v>-140</v>
      </c>
      <c r="N578">
        <v>10820</v>
      </c>
      <c r="O578" s="84" cm="1">
        <f t="array" ref="O578">SUM(INDEX(_xlfn._xlws.FILTER($B$6:$L$2160, $B$6:$B$2160=N578), 0, 8))</f>
        <v>1140</v>
      </c>
      <c r="P578" s="84" cm="1">
        <f t="array" ref="P578">SUM(INDEX(_xlfn._xlws.FILTER($B$6:$L$2160, $B$6:$B$2160=N578), 0, 10))</f>
        <v>1140</v>
      </c>
      <c r="Q578" s="84" cm="1">
        <f t="array" ref="Q578">SUM(INDEX(_xlfn._xlws.FILTER($B$6:$L$2160, $B$6:$B$2160=N578), 0, 11))</f>
        <v>0</v>
      </c>
    </row>
    <row r="579" spans="2:17" x14ac:dyDescent="0.2">
      <c r="B579">
        <v>10464</v>
      </c>
      <c r="C579">
        <v>4</v>
      </c>
      <c r="D579" s="84">
        <v>17.600000000000001</v>
      </c>
      <c r="E579">
        <v>16</v>
      </c>
      <c r="F579" s="85">
        <v>0.2</v>
      </c>
      <c r="G579" s="86">
        <f t="shared" si="40"/>
        <v>281.60000000000002</v>
      </c>
      <c r="H579" s="86">
        <f t="shared" si="41"/>
        <v>56.320000000000007</v>
      </c>
      <c r="I579" s="86">
        <f t="shared" si="42"/>
        <v>225.28000000000003</v>
      </c>
      <c r="J579" s="84">
        <f>VLOOKUP(C579, Products[], 6)</f>
        <v>22</v>
      </c>
      <c r="K579" s="86">
        <f t="shared" si="43"/>
        <v>352</v>
      </c>
      <c r="L579" s="86">
        <f t="shared" si="44"/>
        <v>-126.71999999999997</v>
      </c>
      <c r="N579">
        <v>10821</v>
      </c>
      <c r="O579" s="84" cm="1">
        <f t="array" ref="O579">SUM(INDEX(_xlfn._xlws.FILTER($B$6:$L$2160, $B$6:$B$2160=N579), 0, 8))</f>
        <v>678</v>
      </c>
      <c r="P579" s="84" cm="1">
        <f t="array" ref="P579">SUM(INDEX(_xlfn._xlws.FILTER($B$6:$L$2160, $B$6:$B$2160=N579), 0, 10))</f>
        <v>678</v>
      </c>
      <c r="Q579" s="84" cm="1">
        <f t="array" ref="Q579">SUM(INDEX(_xlfn._xlws.FILTER($B$6:$L$2160, $B$6:$B$2160=N579), 0, 11))</f>
        <v>0</v>
      </c>
    </row>
    <row r="580" spans="2:17" x14ac:dyDescent="0.2">
      <c r="B580">
        <v>10464</v>
      </c>
      <c r="C580">
        <v>43</v>
      </c>
      <c r="D580" s="84">
        <v>36.799999999999997</v>
      </c>
      <c r="E580">
        <v>3</v>
      </c>
      <c r="F580" s="85">
        <v>0</v>
      </c>
      <c r="G580" s="86">
        <f t="shared" si="40"/>
        <v>110.39999999999999</v>
      </c>
      <c r="H580" s="86">
        <f t="shared" si="41"/>
        <v>0</v>
      </c>
      <c r="I580" s="86">
        <f t="shared" si="42"/>
        <v>110.39999999999999</v>
      </c>
      <c r="J580" s="84">
        <f>VLOOKUP(C580, Products[], 6)</f>
        <v>46</v>
      </c>
      <c r="K580" s="86">
        <f t="shared" si="43"/>
        <v>138</v>
      </c>
      <c r="L580" s="86">
        <f t="shared" si="44"/>
        <v>-27.600000000000009</v>
      </c>
      <c r="N580">
        <v>10822</v>
      </c>
      <c r="O580" s="84" cm="1">
        <f t="array" ref="O580">SUM(INDEX(_xlfn._xlws.FILTER($B$6:$L$2160, $B$6:$B$2160=N580), 0, 8))</f>
        <v>237.89999999999998</v>
      </c>
      <c r="P580" s="84" cm="1">
        <f t="array" ref="P580">SUM(INDEX(_xlfn._xlws.FILTER($B$6:$L$2160, $B$6:$B$2160=N580), 0, 10))</f>
        <v>237.89999999999998</v>
      </c>
      <c r="Q580" s="84" cm="1">
        <f t="array" ref="Q580">SUM(INDEX(_xlfn._xlws.FILTER($B$6:$L$2160, $B$6:$B$2160=N580), 0, 11))</f>
        <v>0</v>
      </c>
    </row>
    <row r="581" spans="2:17" x14ac:dyDescent="0.2">
      <c r="B581">
        <v>10464</v>
      </c>
      <c r="C581">
        <v>56</v>
      </c>
      <c r="D581" s="84">
        <v>30.4</v>
      </c>
      <c r="E581">
        <v>30</v>
      </c>
      <c r="F581" s="85">
        <v>0.2</v>
      </c>
      <c r="G581" s="86">
        <f t="shared" si="40"/>
        <v>912</v>
      </c>
      <c r="H581" s="86">
        <f t="shared" si="41"/>
        <v>182.4</v>
      </c>
      <c r="I581" s="86">
        <f t="shared" si="42"/>
        <v>729.6</v>
      </c>
      <c r="J581" s="84">
        <f>VLOOKUP(C581, Products[], 6)</f>
        <v>38</v>
      </c>
      <c r="K581" s="86">
        <f t="shared" si="43"/>
        <v>1140</v>
      </c>
      <c r="L581" s="86">
        <f t="shared" si="44"/>
        <v>-410.4</v>
      </c>
      <c r="N581">
        <v>10823</v>
      </c>
      <c r="O581" s="84" cm="1">
        <f t="array" ref="O581">SUM(INDEX(_xlfn._xlws.FILTER($B$6:$L$2160, $B$6:$B$2160=N581), 0, 8))</f>
        <v>2826</v>
      </c>
      <c r="P581" s="84" cm="1">
        <f t="array" ref="P581">SUM(INDEX(_xlfn._xlws.FILTER($B$6:$L$2160, $B$6:$B$2160=N581), 0, 10))</f>
        <v>3107.5</v>
      </c>
      <c r="Q581" s="84" cm="1">
        <f t="array" ref="Q581">SUM(INDEX(_xlfn._xlws.FILTER($B$6:$L$2160, $B$6:$B$2160=N581), 0, 11))</f>
        <v>-281.5</v>
      </c>
    </row>
    <row r="582" spans="2:17" x14ac:dyDescent="0.2">
      <c r="B582">
        <v>10464</v>
      </c>
      <c r="C582">
        <v>60</v>
      </c>
      <c r="D582" s="84">
        <v>27.2</v>
      </c>
      <c r="E582">
        <v>20</v>
      </c>
      <c r="F582" s="85">
        <v>0</v>
      </c>
      <c r="G582" s="86">
        <f t="shared" si="40"/>
        <v>544</v>
      </c>
      <c r="H582" s="86">
        <f t="shared" si="41"/>
        <v>0</v>
      </c>
      <c r="I582" s="86">
        <f t="shared" si="42"/>
        <v>544</v>
      </c>
      <c r="J582" s="84">
        <f>VLOOKUP(C582, Products[], 6)</f>
        <v>34</v>
      </c>
      <c r="K582" s="86">
        <f t="shared" si="43"/>
        <v>680</v>
      </c>
      <c r="L582" s="86">
        <f t="shared" si="44"/>
        <v>-136</v>
      </c>
      <c r="N582">
        <v>10824</v>
      </c>
      <c r="O582" s="84" cm="1">
        <f t="array" ref="O582">SUM(INDEX(_xlfn._xlws.FILTER($B$6:$L$2160, $B$6:$B$2160=N582), 0, 8))</f>
        <v>250.8</v>
      </c>
      <c r="P582" s="84" cm="1">
        <f t="array" ref="P582">SUM(INDEX(_xlfn._xlws.FILTER($B$6:$L$2160, $B$6:$B$2160=N582), 0, 10))</f>
        <v>250.8</v>
      </c>
      <c r="Q582" s="84" cm="1">
        <f t="array" ref="Q582">SUM(INDEX(_xlfn._xlws.FILTER($B$6:$L$2160, $B$6:$B$2160=N582), 0, 11))</f>
        <v>0</v>
      </c>
    </row>
    <row r="583" spans="2:17" x14ac:dyDescent="0.2">
      <c r="B583">
        <v>10465</v>
      </c>
      <c r="C583">
        <v>24</v>
      </c>
      <c r="D583" s="84">
        <v>3.6</v>
      </c>
      <c r="E583">
        <v>25</v>
      </c>
      <c r="F583" s="85">
        <v>0</v>
      </c>
      <c r="G583" s="86">
        <f t="shared" ref="G583:G646" si="45">D583*E583</f>
        <v>90</v>
      </c>
      <c r="H583" s="86">
        <f t="shared" ref="H583:H646" si="46">G583*F583</f>
        <v>0</v>
      </c>
      <c r="I583" s="86">
        <f t="shared" ref="I583:I646" si="47">G583-H583</f>
        <v>90</v>
      </c>
      <c r="J583" s="84">
        <f>VLOOKUP(C583, Products[], 6)</f>
        <v>4.5</v>
      </c>
      <c r="K583" s="86">
        <f t="shared" ref="K583:K646" si="48">J583*E583</f>
        <v>112.5</v>
      </c>
      <c r="L583" s="86">
        <f t="shared" ref="L583:L646" si="49">I583-K583</f>
        <v>-22.5</v>
      </c>
      <c r="N583">
        <v>10825</v>
      </c>
      <c r="O583" s="84" cm="1">
        <f t="array" ref="O583">SUM(INDEX(_xlfn._xlws.FILTER($B$6:$L$2160, $B$6:$B$2160=N583), 0, 8))</f>
        <v>1030.76</v>
      </c>
      <c r="P583" s="84" cm="1">
        <f t="array" ref="P583">SUM(INDEX(_xlfn._xlws.FILTER($B$6:$L$2160, $B$6:$B$2160=N583), 0, 10))</f>
        <v>1030.76</v>
      </c>
      <c r="Q583" s="84" cm="1">
        <f t="array" ref="Q583">SUM(INDEX(_xlfn._xlws.FILTER($B$6:$L$2160, $B$6:$B$2160=N583), 0, 11))</f>
        <v>0</v>
      </c>
    </row>
    <row r="584" spans="2:17" x14ac:dyDescent="0.2">
      <c r="B584">
        <v>10465</v>
      </c>
      <c r="C584">
        <v>29</v>
      </c>
      <c r="D584" s="84">
        <v>99</v>
      </c>
      <c r="E584">
        <v>18</v>
      </c>
      <c r="F584" s="85">
        <v>0.1</v>
      </c>
      <c r="G584" s="86">
        <f t="shared" si="45"/>
        <v>1782</v>
      </c>
      <c r="H584" s="86">
        <f t="shared" si="46"/>
        <v>178.20000000000002</v>
      </c>
      <c r="I584" s="86">
        <f t="shared" si="47"/>
        <v>1603.8</v>
      </c>
      <c r="J584" s="84">
        <f>VLOOKUP(C584, Products[], 6)</f>
        <v>123.79</v>
      </c>
      <c r="K584" s="86">
        <f t="shared" si="48"/>
        <v>2228.2200000000003</v>
      </c>
      <c r="L584" s="86">
        <f t="shared" si="49"/>
        <v>-624.4200000000003</v>
      </c>
      <c r="N584">
        <v>10826</v>
      </c>
      <c r="O584" s="84" cm="1">
        <f t="array" ref="O584">SUM(INDEX(_xlfn._xlws.FILTER($B$6:$L$2160, $B$6:$B$2160=N584), 0, 8))</f>
        <v>730</v>
      </c>
      <c r="P584" s="84" cm="1">
        <f t="array" ref="P584">SUM(INDEX(_xlfn._xlws.FILTER($B$6:$L$2160, $B$6:$B$2160=N584), 0, 10))</f>
        <v>730</v>
      </c>
      <c r="Q584" s="84" cm="1">
        <f t="array" ref="Q584">SUM(INDEX(_xlfn._xlws.FILTER($B$6:$L$2160, $B$6:$B$2160=N584), 0, 11))</f>
        <v>0</v>
      </c>
    </row>
    <row r="585" spans="2:17" x14ac:dyDescent="0.2">
      <c r="B585">
        <v>10465</v>
      </c>
      <c r="C585">
        <v>40</v>
      </c>
      <c r="D585" s="84">
        <v>14.7</v>
      </c>
      <c r="E585">
        <v>20</v>
      </c>
      <c r="F585" s="85">
        <v>0</v>
      </c>
      <c r="G585" s="86">
        <f t="shared" si="45"/>
        <v>294</v>
      </c>
      <c r="H585" s="86">
        <f t="shared" si="46"/>
        <v>0</v>
      </c>
      <c r="I585" s="86">
        <f t="shared" si="47"/>
        <v>294</v>
      </c>
      <c r="J585" s="84">
        <f>VLOOKUP(C585, Products[], 6)</f>
        <v>18.399999999999999</v>
      </c>
      <c r="K585" s="86">
        <f t="shared" si="48"/>
        <v>368</v>
      </c>
      <c r="L585" s="86">
        <f t="shared" si="49"/>
        <v>-74</v>
      </c>
      <c r="N585">
        <v>10827</v>
      </c>
      <c r="O585" s="84" cm="1">
        <f t="array" ref="O585">SUM(INDEX(_xlfn._xlws.FILTER($B$6:$L$2160, $B$6:$B$2160=N585), 0, 8))</f>
        <v>843</v>
      </c>
      <c r="P585" s="84" cm="1">
        <f t="array" ref="P585">SUM(INDEX(_xlfn._xlws.FILTER($B$6:$L$2160, $B$6:$B$2160=N585), 0, 10))</f>
        <v>843</v>
      </c>
      <c r="Q585" s="84" cm="1">
        <f t="array" ref="Q585">SUM(INDEX(_xlfn._xlws.FILTER($B$6:$L$2160, $B$6:$B$2160=N585), 0, 11))</f>
        <v>0</v>
      </c>
    </row>
    <row r="586" spans="2:17" x14ac:dyDescent="0.2">
      <c r="B586">
        <v>10465</v>
      </c>
      <c r="C586">
        <v>45</v>
      </c>
      <c r="D586" s="84">
        <v>7.6</v>
      </c>
      <c r="E586">
        <v>30</v>
      </c>
      <c r="F586" s="85">
        <v>0.1</v>
      </c>
      <c r="G586" s="86">
        <f t="shared" si="45"/>
        <v>228</v>
      </c>
      <c r="H586" s="86">
        <f t="shared" si="46"/>
        <v>22.8</v>
      </c>
      <c r="I586" s="86">
        <f t="shared" si="47"/>
        <v>205.2</v>
      </c>
      <c r="J586" s="84">
        <f>VLOOKUP(C586, Products[], 6)</f>
        <v>9.5</v>
      </c>
      <c r="K586" s="86">
        <f t="shared" si="48"/>
        <v>285</v>
      </c>
      <c r="L586" s="86">
        <f t="shared" si="49"/>
        <v>-79.800000000000011</v>
      </c>
      <c r="N586">
        <v>10828</v>
      </c>
      <c r="O586" s="84" cm="1">
        <f t="array" ref="O586">SUM(INDEX(_xlfn._xlws.FILTER($B$6:$L$2160, $B$6:$B$2160=N586), 0, 8))</f>
        <v>932</v>
      </c>
      <c r="P586" s="84" cm="1">
        <f t="array" ref="P586">SUM(INDEX(_xlfn._xlws.FILTER($B$6:$L$2160, $B$6:$B$2160=N586), 0, 10))</f>
        <v>932</v>
      </c>
      <c r="Q586" s="84" cm="1">
        <f t="array" ref="Q586">SUM(INDEX(_xlfn._xlws.FILTER($B$6:$L$2160, $B$6:$B$2160=N586), 0, 11))</f>
        <v>0</v>
      </c>
    </row>
    <row r="587" spans="2:17" x14ac:dyDescent="0.2">
      <c r="B587">
        <v>10465</v>
      </c>
      <c r="C587">
        <v>50</v>
      </c>
      <c r="D587" s="84">
        <v>13</v>
      </c>
      <c r="E587">
        <v>25</v>
      </c>
      <c r="F587" s="85">
        <v>0</v>
      </c>
      <c r="G587" s="86">
        <f t="shared" si="45"/>
        <v>325</v>
      </c>
      <c r="H587" s="86">
        <f t="shared" si="46"/>
        <v>0</v>
      </c>
      <c r="I587" s="86">
        <f t="shared" si="47"/>
        <v>325</v>
      </c>
      <c r="J587" s="84">
        <f>VLOOKUP(C587, Products[], 6)</f>
        <v>16.25</v>
      </c>
      <c r="K587" s="86">
        <f t="shared" si="48"/>
        <v>406.25</v>
      </c>
      <c r="L587" s="86">
        <f t="shared" si="49"/>
        <v>-81.25</v>
      </c>
      <c r="N587">
        <v>10829</v>
      </c>
      <c r="O587" s="84" cm="1">
        <f t="array" ref="O587">SUM(INDEX(_xlfn._xlws.FILTER($B$6:$L$2160, $B$6:$B$2160=N587), 0, 8))</f>
        <v>1764</v>
      </c>
      <c r="P587" s="84" cm="1">
        <f t="array" ref="P587">SUM(INDEX(_xlfn._xlws.FILTER($B$6:$L$2160, $B$6:$B$2160=N587), 0, 10))</f>
        <v>1764</v>
      </c>
      <c r="Q587" s="84" cm="1">
        <f t="array" ref="Q587">SUM(INDEX(_xlfn._xlws.FILTER($B$6:$L$2160, $B$6:$B$2160=N587), 0, 11))</f>
        <v>0</v>
      </c>
    </row>
    <row r="588" spans="2:17" x14ac:dyDescent="0.2">
      <c r="B588">
        <v>10466</v>
      </c>
      <c r="C588">
        <v>11</v>
      </c>
      <c r="D588" s="84">
        <v>16.8</v>
      </c>
      <c r="E588">
        <v>10</v>
      </c>
      <c r="F588" s="85">
        <v>0</v>
      </c>
      <c r="G588" s="86">
        <f t="shared" si="45"/>
        <v>168</v>
      </c>
      <c r="H588" s="86">
        <f t="shared" si="46"/>
        <v>0</v>
      </c>
      <c r="I588" s="86">
        <f t="shared" si="47"/>
        <v>168</v>
      </c>
      <c r="J588" s="84">
        <f>VLOOKUP(C588, Products[], 6)</f>
        <v>21</v>
      </c>
      <c r="K588" s="86">
        <f t="shared" si="48"/>
        <v>210</v>
      </c>
      <c r="L588" s="86">
        <f t="shared" si="49"/>
        <v>-42</v>
      </c>
      <c r="N588">
        <v>10830</v>
      </c>
      <c r="O588" s="84" cm="1">
        <f t="array" ref="O588">SUM(INDEX(_xlfn._xlws.FILTER($B$6:$L$2160, $B$6:$B$2160=N588), 0, 8))</f>
        <v>1974</v>
      </c>
      <c r="P588" s="84" cm="1">
        <f t="array" ref="P588">SUM(INDEX(_xlfn._xlws.FILTER($B$6:$L$2160, $B$6:$B$2160=N588), 0, 10))</f>
        <v>1974</v>
      </c>
      <c r="Q588" s="84" cm="1">
        <f t="array" ref="Q588">SUM(INDEX(_xlfn._xlws.FILTER($B$6:$L$2160, $B$6:$B$2160=N588), 0, 11))</f>
        <v>0</v>
      </c>
    </row>
    <row r="589" spans="2:17" x14ac:dyDescent="0.2">
      <c r="B589">
        <v>10466</v>
      </c>
      <c r="C589">
        <v>46</v>
      </c>
      <c r="D589" s="84">
        <v>9.6</v>
      </c>
      <c r="E589">
        <v>5</v>
      </c>
      <c r="F589" s="85">
        <v>0</v>
      </c>
      <c r="G589" s="86">
        <f t="shared" si="45"/>
        <v>48</v>
      </c>
      <c r="H589" s="86">
        <f t="shared" si="46"/>
        <v>0</v>
      </c>
      <c r="I589" s="86">
        <f t="shared" si="47"/>
        <v>48</v>
      </c>
      <c r="J589" s="84">
        <f>VLOOKUP(C589, Products[], 6)</f>
        <v>12</v>
      </c>
      <c r="K589" s="86">
        <f t="shared" si="48"/>
        <v>60</v>
      </c>
      <c r="L589" s="86">
        <f t="shared" si="49"/>
        <v>-12</v>
      </c>
      <c r="N589">
        <v>10831</v>
      </c>
      <c r="O589" s="84" cm="1">
        <f t="array" ref="O589">SUM(INDEX(_xlfn._xlws.FILTER($B$6:$L$2160, $B$6:$B$2160=N589), 0, 8))</f>
        <v>2684.4</v>
      </c>
      <c r="P589" s="84" cm="1">
        <f t="array" ref="P589">SUM(INDEX(_xlfn._xlws.FILTER($B$6:$L$2160, $B$6:$B$2160=N589), 0, 10))</f>
        <v>2684.4</v>
      </c>
      <c r="Q589" s="84" cm="1">
        <f t="array" ref="Q589">SUM(INDEX(_xlfn._xlws.FILTER($B$6:$L$2160, $B$6:$B$2160=N589), 0, 11))</f>
        <v>0</v>
      </c>
    </row>
    <row r="590" spans="2:17" x14ac:dyDescent="0.2">
      <c r="B590">
        <v>10467</v>
      </c>
      <c r="C590">
        <v>24</v>
      </c>
      <c r="D590" s="84">
        <v>3.6</v>
      </c>
      <c r="E590">
        <v>28</v>
      </c>
      <c r="F590" s="85">
        <v>0</v>
      </c>
      <c r="G590" s="86">
        <f t="shared" si="45"/>
        <v>100.8</v>
      </c>
      <c r="H590" s="86">
        <f t="shared" si="46"/>
        <v>0</v>
      </c>
      <c r="I590" s="86">
        <f t="shared" si="47"/>
        <v>100.8</v>
      </c>
      <c r="J590" s="84">
        <f>VLOOKUP(C590, Products[], 6)</f>
        <v>4.5</v>
      </c>
      <c r="K590" s="86">
        <f t="shared" si="48"/>
        <v>126</v>
      </c>
      <c r="L590" s="86">
        <f t="shared" si="49"/>
        <v>-25.200000000000003</v>
      </c>
      <c r="N590">
        <v>10832</v>
      </c>
      <c r="O590" s="84" cm="1">
        <f t="array" ref="O590">SUM(INDEX(_xlfn._xlws.FILTER($B$6:$L$2160, $B$6:$B$2160=N590), 0, 8))</f>
        <v>475.11</v>
      </c>
      <c r="P590" s="84" cm="1">
        <f t="array" ref="P590">SUM(INDEX(_xlfn._xlws.FILTER($B$6:$L$2160, $B$6:$B$2160=N590), 0, 10))</f>
        <v>568.95000000000005</v>
      </c>
      <c r="Q590" s="84" cm="1">
        <f t="array" ref="Q590">SUM(INDEX(_xlfn._xlws.FILTER($B$6:$L$2160, $B$6:$B$2160=N590), 0, 11))</f>
        <v>-93.84</v>
      </c>
    </row>
    <row r="591" spans="2:17" x14ac:dyDescent="0.2">
      <c r="B591">
        <v>10467</v>
      </c>
      <c r="C591">
        <v>25</v>
      </c>
      <c r="D591" s="84">
        <v>11.2</v>
      </c>
      <c r="E591">
        <v>12</v>
      </c>
      <c r="F591" s="85">
        <v>0</v>
      </c>
      <c r="G591" s="86">
        <f t="shared" si="45"/>
        <v>134.39999999999998</v>
      </c>
      <c r="H591" s="86">
        <f t="shared" si="46"/>
        <v>0</v>
      </c>
      <c r="I591" s="86">
        <f t="shared" si="47"/>
        <v>134.39999999999998</v>
      </c>
      <c r="J591" s="84">
        <f>VLOOKUP(C591, Products[], 6)</f>
        <v>14</v>
      </c>
      <c r="K591" s="86">
        <f t="shared" si="48"/>
        <v>168</v>
      </c>
      <c r="L591" s="86">
        <f t="shared" si="49"/>
        <v>-33.600000000000023</v>
      </c>
      <c r="N591">
        <v>10833</v>
      </c>
      <c r="O591" s="84" cm="1">
        <f t="array" ref="O591">SUM(INDEX(_xlfn._xlws.FILTER($B$6:$L$2160, $B$6:$B$2160=N591), 0, 8))</f>
        <v>906.93000000000006</v>
      </c>
      <c r="P591" s="84" cm="1">
        <f t="array" ref="P591">SUM(INDEX(_xlfn._xlws.FILTER($B$6:$L$2160, $B$6:$B$2160=N591), 0, 10))</f>
        <v>1007.7</v>
      </c>
      <c r="Q591" s="84" cm="1">
        <f t="array" ref="Q591">SUM(INDEX(_xlfn._xlws.FILTER($B$6:$L$2160, $B$6:$B$2160=N591), 0, 11))</f>
        <v>-100.76999999999998</v>
      </c>
    </row>
    <row r="592" spans="2:17" x14ac:dyDescent="0.2">
      <c r="B592">
        <v>10468</v>
      </c>
      <c r="C592">
        <v>30</v>
      </c>
      <c r="D592" s="84">
        <v>20.7</v>
      </c>
      <c r="E592">
        <v>8</v>
      </c>
      <c r="F592" s="85">
        <v>0</v>
      </c>
      <c r="G592" s="86">
        <f t="shared" si="45"/>
        <v>165.6</v>
      </c>
      <c r="H592" s="86">
        <f t="shared" si="46"/>
        <v>0</v>
      </c>
      <c r="I592" s="86">
        <f t="shared" si="47"/>
        <v>165.6</v>
      </c>
      <c r="J592" s="84">
        <f>VLOOKUP(C592, Products[], 6)</f>
        <v>25.89</v>
      </c>
      <c r="K592" s="86">
        <f t="shared" si="48"/>
        <v>207.12</v>
      </c>
      <c r="L592" s="86">
        <f t="shared" si="49"/>
        <v>-41.52000000000001</v>
      </c>
      <c r="N592">
        <v>10834</v>
      </c>
      <c r="O592" s="84" cm="1">
        <f t="array" ref="O592">SUM(INDEX(_xlfn._xlws.FILTER($B$6:$L$2160, $B$6:$B$2160=N592), 0, 8))</f>
        <v>1432.7139999999999</v>
      </c>
      <c r="P592" s="84" cm="1">
        <f t="array" ref="P592">SUM(INDEX(_xlfn._xlws.FILTER($B$6:$L$2160, $B$6:$B$2160=N592), 0, 10))</f>
        <v>1508.12</v>
      </c>
      <c r="Q592" s="84" cm="1">
        <f t="array" ref="Q592">SUM(INDEX(_xlfn._xlws.FILTER($B$6:$L$2160, $B$6:$B$2160=N592), 0, 11))</f>
        <v>-75.405999999999949</v>
      </c>
    </row>
    <row r="593" spans="2:17" x14ac:dyDescent="0.2">
      <c r="B593">
        <v>10468</v>
      </c>
      <c r="C593">
        <v>43</v>
      </c>
      <c r="D593" s="84">
        <v>36.799999999999997</v>
      </c>
      <c r="E593">
        <v>15</v>
      </c>
      <c r="F593" s="85">
        <v>0</v>
      </c>
      <c r="G593" s="86">
        <f t="shared" si="45"/>
        <v>552</v>
      </c>
      <c r="H593" s="86">
        <f t="shared" si="46"/>
        <v>0</v>
      </c>
      <c r="I593" s="86">
        <f t="shared" si="47"/>
        <v>552</v>
      </c>
      <c r="J593" s="84">
        <f>VLOOKUP(C593, Products[], 6)</f>
        <v>46</v>
      </c>
      <c r="K593" s="86">
        <f t="shared" si="48"/>
        <v>690</v>
      </c>
      <c r="L593" s="86">
        <f t="shared" si="49"/>
        <v>-138</v>
      </c>
      <c r="N593">
        <v>10835</v>
      </c>
      <c r="O593" s="84" cm="1">
        <f t="array" ref="O593">SUM(INDEX(_xlfn._xlws.FILTER($B$6:$L$2160, $B$6:$B$2160=N593), 0, 8))</f>
        <v>845.8</v>
      </c>
      <c r="P593" s="84" cm="1">
        <f t="array" ref="P593">SUM(INDEX(_xlfn._xlws.FILTER($B$6:$L$2160, $B$6:$B$2160=N593), 0, 10))</f>
        <v>851</v>
      </c>
      <c r="Q593" s="84" cm="1">
        <f t="array" ref="Q593">SUM(INDEX(_xlfn._xlws.FILTER($B$6:$L$2160, $B$6:$B$2160=N593), 0, 11))</f>
        <v>-5.1999999999999993</v>
      </c>
    </row>
    <row r="594" spans="2:17" x14ac:dyDescent="0.2">
      <c r="B594">
        <v>10469</v>
      </c>
      <c r="C594">
        <v>2</v>
      </c>
      <c r="D594" s="84">
        <v>15.2</v>
      </c>
      <c r="E594">
        <v>40</v>
      </c>
      <c r="F594" s="85">
        <v>0.15</v>
      </c>
      <c r="G594" s="86">
        <f t="shared" si="45"/>
        <v>608</v>
      </c>
      <c r="H594" s="86">
        <f t="shared" si="46"/>
        <v>91.2</v>
      </c>
      <c r="I594" s="86">
        <f t="shared" si="47"/>
        <v>516.79999999999995</v>
      </c>
      <c r="J594" s="84">
        <f>VLOOKUP(C594, Products[], 6)</f>
        <v>19</v>
      </c>
      <c r="K594" s="86">
        <f t="shared" si="48"/>
        <v>760</v>
      </c>
      <c r="L594" s="86">
        <f t="shared" si="49"/>
        <v>-243.20000000000005</v>
      </c>
      <c r="N594">
        <v>10836</v>
      </c>
      <c r="O594" s="84" cm="1">
        <f t="array" ref="O594">SUM(INDEX(_xlfn._xlws.FILTER($B$6:$L$2160, $B$6:$B$2160=N594), 0, 8))</f>
        <v>4705.5</v>
      </c>
      <c r="P594" s="84" cm="1">
        <f t="array" ref="P594">SUM(INDEX(_xlfn._xlws.FILTER($B$6:$L$2160, $B$6:$B$2160=N594), 0, 10))</f>
        <v>4705.5</v>
      </c>
      <c r="Q594" s="84" cm="1">
        <f t="array" ref="Q594">SUM(INDEX(_xlfn._xlws.FILTER($B$6:$L$2160, $B$6:$B$2160=N594), 0, 11))</f>
        <v>0</v>
      </c>
    </row>
    <row r="595" spans="2:17" x14ac:dyDescent="0.2">
      <c r="B595">
        <v>10469</v>
      </c>
      <c r="C595">
        <v>16</v>
      </c>
      <c r="D595" s="84">
        <v>13.9</v>
      </c>
      <c r="E595">
        <v>35</v>
      </c>
      <c r="F595" s="85">
        <v>0.15</v>
      </c>
      <c r="G595" s="86">
        <f t="shared" si="45"/>
        <v>486.5</v>
      </c>
      <c r="H595" s="86">
        <f t="shared" si="46"/>
        <v>72.974999999999994</v>
      </c>
      <c r="I595" s="86">
        <f t="shared" si="47"/>
        <v>413.52499999999998</v>
      </c>
      <c r="J595" s="84">
        <f>VLOOKUP(C595, Products[], 6)</f>
        <v>17.45</v>
      </c>
      <c r="K595" s="86">
        <f t="shared" si="48"/>
        <v>610.75</v>
      </c>
      <c r="L595" s="86">
        <f t="shared" si="49"/>
        <v>-197.22500000000002</v>
      </c>
      <c r="N595">
        <v>10837</v>
      </c>
      <c r="O595" s="84" cm="1">
        <f t="array" ref="O595">SUM(INDEX(_xlfn._xlws.FILTER($B$6:$L$2160, $B$6:$B$2160=N595), 0, 8))</f>
        <v>1064.5</v>
      </c>
      <c r="P595" s="84" cm="1">
        <f t="array" ref="P595">SUM(INDEX(_xlfn._xlws.FILTER($B$6:$L$2160, $B$6:$B$2160=N595), 0, 10))</f>
        <v>1254</v>
      </c>
      <c r="Q595" s="84" cm="1">
        <f t="array" ref="Q595">SUM(INDEX(_xlfn._xlws.FILTER($B$6:$L$2160, $B$6:$B$2160=N595), 0, 11))</f>
        <v>-189.5</v>
      </c>
    </row>
    <row r="596" spans="2:17" x14ac:dyDescent="0.2">
      <c r="B596">
        <v>10469</v>
      </c>
      <c r="C596">
        <v>44</v>
      </c>
      <c r="D596" s="84">
        <v>15.5</v>
      </c>
      <c r="E596">
        <v>2</v>
      </c>
      <c r="F596" s="85">
        <v>0.15</v>
      </c>
      <c r="G596" s="86">
        <f t="shared" si="45"/>
        <v>31</v>
      </c>
      <c r="H596" s="86">
        <f t="shared" si="46"/>
        <v>4.6499999999999995</v>
      </c>
      <c r="I596" s="86">
        <f t="shared" si="47"/>
        <v>26.35</v>
      </c>
      <c r="J596" s="84">
        <f>VLOOKUP(C596, Products[], 6)</f>
        <v>19.45</v>
      </c>
      <c r="K596" s="86">
        <f t="shared" si="48"/>
        <v>38.9</v>
      </c>
      <c r="L596" s="86">
        <f t="shared" si="49"/>
        <v>-12.549999999999997</v>
      </c>
      <c r="N596">
        <v>10838</v>
      </c>
      <c r="O596" s="84" cm="1">
        <f t="array" ref="O596">SUM(INDEX(_xlfn._xlws.FILTER($B$6:$L$2160, $B$6:$B$2160=N596), 0, 8))</f>
        <v>1938.375</v>
      </c>
      <c r="P596" s="84" cm="1">
        <f t="array" ref="P596">SUM(INDEX(_xlfn._xlws.FILTER($B$6:$L$2160, $B$6:$B$2160=N596), 0, 10))</f>
        <v>2584.5</v>
      </c>
      <c r="Q596" s="84" cm="1">
        <f t="array" ref="Q596">SUM(INDEX(_xlfn._xlws.FILTER($B$6:$L$2160, $B$6:$B$2160=N596), 0, 11))</f>
        <v>-646.125</v>
      </c>
    </row>
    <row r="597" spans="2:17" x14ac:dyDescent="0.2">
      <c r="B597">
        <v>10470</v>
      </c>
      <c r="C597">
        <v>18</v>
      </c>
      <c r="D597" s="84">
        <v>50</v>
      </c>
      <c r="E597">
        <v>30</v>
      </c>
      <c r="F597" s="85">
        <v>0</v>
      </c>
      <c r="G597" s="86">
        <f t="shared" si="45"/>
        <v>1500</v>
      </c>
      <c r="H597" s="86">
        <f t="shared" si="46"/>
        <v>0</v>
      </c>
      <c r="I597" s="86">
        <f t="shared" si="47"/>
        <v>1500</v>
      </c>
      <c r="J597" s="84">
        <f>VLOOKUP(C597, Products[], 6)</f>
        <v>62.5</v>
      </c>
      <c r="K597" s="86">
        <f t="shared" si="48"/>
        <v>1875</v>
      </c>
      <c r="L597" s="86">
        <f t="shared" si="49"/>
        <v>-375</v>
      </c>
      <c r="N597">
        <v>10839</v>
      </c>
      <c r="O597" s="84" cm="1">
        <f t="array" ref="O597">SUM(INDEX(_xlfn._xlws.FILTER($B$6:$L$2160, $B$6:$B$2160=N597), 0, 8))</f>
        <v>827.55</v>
      </c>
      <c r="P597" s="84" cm="1">
        <f t="array" ref="P597">SUM(INDEX(_xlfn._xlws.FILTER($B$6:$L$2160, $B$6:$B$2160=N597), 0, 10))</f>
        <v>919.5</v>
      </c>
      <c r="Q597" s="84" cm="1">
        <f t="array" ref="Q597">SUM(INDEX(_xlfn._xlws.FILTER($B$6:$L$2160, $B$6:$B$2160=N597), 0, 11))</f>
        <v>-91.949999999999989</v>
      </c>
    </row>
    <row r="598" spans="2:17" x14ac:dyDescent="0.2">
      <c r="B598">
        <v>10470</v>
      </c>
      <c r="C598">
        <v>23</v>
      </c>
      <c r="D598" s="84">
        <v>7.2</v>
      </c>
      <c r="E598">
        <v>15</v>
      </c>
      <c r="F598" s="85">
        <v>0</v>
      </c>
      <c r="G598" s="86">
        <f t="shared" si="45"/>
        <v>108</v>
      </c>
      <c r="H598" s="86">
        <f t="shared" si="46"/>
        <v>0</v>
      </c>
      <c r="I598" s="86">
        <f t="shared" si="47"/>
        <v>108</v>
      </c>
      <c r="J598" s="84">
        <f>VLOOKUP(C598, Products[], 6)</f>
        <v>9</v>
      </c>
      <c r="K598" s="86">
        <f t="shared" si="48"/>
        <v>135</v>
      </c>
      <c r="L598" s="86">
        <f t="shared" si="49"/>
        <v>-27</v>
      </c>
      <c r="N598">
        <v>10840</v>
      </c>
      <c r="O598" s="84" cm="1">
        <f t="array" ref="O598">SUM(INDEX(_xlfn._xlws.FILTER($B$6:$L$2160, $B$6:$B$2160=N598), 0, 8))</f>
        <v>211.2</v>
      </c>
      <c r="P598" s="84" cm="1">
        <f t="array" ref="P598">SUM(INDEX(_xlfn._xlws.FILTER($B$6:$L$2160, $B$6:$B$2160=N598), 0, 10))</f>
        <v>264</v>
      </c>
      <c r="Q598" s="84" cm="1">
        <f t="array" ref="Q598">SUM(INDEX(_xlfn._xlws.FILTER($B$6:$L$2160, $B$6:$B$2160=N598), 0, 11))</f>
        <v>-52.8</v>
      </c>
    </row>
    <row r="599" spans="2:17" x14ac:dyDescent="0.2">
      <c r="B599">
        <v>10470</v>
      </c>
      <c r="C599">
        <v>64</v>
      </c>
      <c r="D599" s="84">
        <v>26.6</v>
      </c>
      <c r="E599">
        <v>8</v>
      </c>
      <c r="F599" s="85">
        <v>0</v>
      </c>
      <c r="G599" s="86">
        <f t="shared" si="45"/>
        <v>212.8</v>
      </c>
      <c r="H599" s="86">
        <f t="shared" si="46"/>
        <v>0</v>
      </c>
      <c r="I599" s="86">
        <f t="shared" si="47"/>
        <v>212.8</v>
      </c>
      <c r="J599" s="84">
        <f>VLOOKUP(C599, Products[], 6)</f>
        <v>33.25</v>
      </c>
      <c r="K599" s="86">
        <f t="shared" si="48"/>
        <v>266</v>
      </c>
      <c r="L599" s="86">
        <f t="shared" si="49"/>
        <v>-53.199999999999989</v>
      </c>
      <c r="N599">
        <v>10841</v>
      </c>
      <c r="O599" s="84" cm="1">
        <f t="array" ref="O599">SUM(INDEX(_xlfn._xlws.FILTER($B$6:$L$2160, $B$6:$B$2160=N599), 0, 8))</f>
        <v>4581</v>
      </c>
      <c r="P599" s="84" cm="1">
        <f t="array" ref="P599">SUM(INDEX(_xlfn._xlws.FILTER($B$6:$L$2160, $B$6:$B$2160=N599), 0, 10))</f>
        <v>4581</v>
      </c>
      <c r="Q599" s="84" cm="1">
        <f t="array" ref="Q599">SUM(INDEX(_xlfn._xlws.FILTER($B$6:$L$2160, $B$6:$B$2160=N599), 0, 11))</f>
        <v>0</v>
      </c>
    </row>
    <row r="600" spans="2:17" x14ac:dyDescent="0.2">
      <c r="B600">
        <v>10471</v>
      </c>
      <c r="C600">
        <v>7</v>
      </c>
      <c r="D600" s="84">
        <v>24</v>
      </c>
      <c r="E600">
        <v>30</v>
      </c>
      <c r="F600" s="85">
        <v>0</v>
      </c>
      <c r="G600" s="86">
        <f t="shared" si="45"/>
        <v>720</v>
      </c>
      <c r="H600" s="86">
        <f t="shared" si="46"/>
        <v>0</v>
      </c>
      <c r="I600" s="86">
        <f t="shared" si="47"/>
        <v>720</v>
      </c>
      <c r="J600" s="84">
        <f>VLOOKUP(C600, Products[], 6)</f>
        <v>30</v>
      </c>
      <c r="K600" s="86">
        <f t="shared" si="48"/>
        <v>900</v>
      </c>
      <c r="L600" s="86">
        <f t="shared" si="49"/>
        <v>-180</v>
      </c>
      <c r="N600">
        <v>10842</v>
      </c>
      <c r="O600" s="84" cm="1">
        <f t="array" ref="O600">SUM(INDEX(_xlfn._xlws.FILTER($B$6:$L$2160, $B$6:$B$2160=N600), 0, 8))</f>
        <v>975</v>
      </c>
      <c r="P600" s="84" cm="1">
        <f t="array" ref="P600">SUM(INDEX(_xlfn._xlws.FILTER($B$6:$L$2160, $B$6:$B$2160=N600), 0, 10))</f>
        <v>975</v>
      </c>
      <c r="Q600" s="84" cm="1">
        <f t="array" ref="Q600">SUM(INDEX(_xlfn._xlws.FILTER($B$6:$L$2160, $B$6:$B$2160=N600), 0, 11))</f>
        <v>0</v>
      </c>
    </row>
    <row r="601" spans="2:17" x14ac:dyDescent="0.2">
      <c r="B601">
        <v>10471</v>
      </c>
      <c r="C601">
        <v>56</v>
      </c>
      <c r="D601" s="84">
        <v>30.4</v>
      </c>
      <c r="E601">
        <v>20</v>
      </c>
      <c r="F601" s="85">
        <v>0</v>
      </c>
      <c r="G601" s="86">
        <f t="shared" si="45"/>
        <v>608</v>
      </c>
      <c r="H601" s="86">
        <f t="shared" si="46"/>
        <v>0</v>
      </c>
      <c r="I601" s="86">
        <f t="shared" si="47"/>
        <v>608</v>
      </c>
      <c r="J601" s="84">
        <f>VLOOKUP(C601, Products[], 6)</f>
        <v>38</v>
      </c>
      <c r="K601" s="86">
        <f t="shared" si="48"/>
        <v>760</v>
      </c>
      <c r="L601" s="86">
        <f t="shared" si="49"/>
        <v>-152</v>
      </c>
      <c r="N601">
        <v>10843</v>
      </c>
      <c r="O601" s="84" cm="1">
        <f t="array" ref="O601">SUM(INDEX(_xlfn._xlws.FILTER($B$6:$L$2160, $B$6:$B$2160=N601), 0, 8))</f>
        <v>159</v>
      </c>
      <c r="P601" s="84" cm="1">
        <f t="array" ref="P601">SUM(INDEX(_xlfn._xlws.FILTER($B$6:$L$2160, $B$6:$B$2160=N601), 0, 10))</f>
        <v>212</v>
      </c>
      <c r="Q601" s="84" cm="1">
        <f t="array" ref="Q601">SUM(INDEX(_xlfn._xlws.FILTER($B$6:$L$2160, $B$6:$B$2160=N601), 0, 11))</f>
        <v>-53</v>
      </c>
    </row>
    <row r="602" spans="2:17" x14ac:dyDescent="0.2">
      <c r="B602">
        <v>10472</v>
      </c>
      <c r="C602">
        <v>24</v>
      </c>
      <c r="D602" s="84">
        <v>3.6</v>
      </c>
      <c r="E602">
        <v>80</v>
      </c>
      <c r="F602" s="85">
        <v>0.05</v>
      </c>
      <c r="G602" s="86">
        <f t="shared" si="45"/>
        <v>288</v>
      </c>
      <c r="H602" s="86">
        <f t="shared" si="46"/>
        <v>14.4</v>
      </c>
      <c r="I602" s="86">
        <f t="shared" si="47"/>
        <v>273.60000000000002</v>
      </c>
      <c r="J602" s="84">
        <f>VLOOKUP(C602, Products[], 6)</f>
        <v>4.5</v>
      </c>
      <c r="K602" s="86">
        <f t="shared" si="48"/>
        <v>360</v>
      </c>
      <c r="L602" s="86">
        <f t="shared" si="49"/>
        <v>-86.399999999999977</v>
      </c>
      <c r="N602">
        <v>10844</v>
      </c>
      <c r="O602" s="84" cm="1">
        <f t="array" ref="O602">SUM(INDEX(_xlfn._xlws.FILTER($B$6:$L$2160, $B$6:$B$2160=N602), 0, 8))</f>
        <v>735</v>
      </c>
      <c r="P602" s="84" cm="1">
        <f t="array" ref="P602">SUM(INDEX(_xlfn._xlws.FILTER($B$6:$L$2160, $B$6:$B$2160=N602), 0, 10))</f>
        <v>735</v>
      </c>
      <c r="Q602" s="84" cm="1">
        <f t="array" ref="Q602">SUM(INDEX(_xlfn._xlws.FILTER($B$6:$L$2160, $B$6:$B$2160=N602), 0, 11))</f>
        <v>0</v>
      </c>
    </row>
    <row r="603" spans="2:17" x14ac:dyDescent="0.2">
      <c r="B603">
        <v>10472</v>
      </c>
      <c r="C603">
        <v>51</v>
      </c>
      <c r="D603" s="84">
        <v>42.4</v>
      </c>
      <c r="E603">
        <v>18</v>
      </c>
      <c r="F603" s="85">
        <v>0</v>
      </c>
      <c r="G603" s="86">
        <f t="shared" si="45"/>
        <v>763.19999999999993</v>
      </c>
      <c r="H603" s="86">
        <f t="shared" si="46"/>
        <v>0</v>
      </c>
      <c r="I603" s="86">
        <f t="shared" si="47"/>
        <v>763.19999999999993</v>
      </c>
      <c r="J603" s="84">
        <f>VLOOKUP(C603, Products[], 6)</f>
        <v>53</v>
      </c>
      <c r="K603" s="86">
        <f t="shared" si="48"/>
        <v>954</v>
      </c>
      <c r="L603" s="86">
        <f t="shared" si="49"/>
        <v>-190.80000000000007</v>
      </c>
      <c r="N603">
        <v>10845</v>
      </c>
      <c r="O603" s="84" cm="1">
        <f t="array" ref="O603">SUM(INDEX(_xlfn._xlws.FILTER($B$6:$L$2160, $B$6:$B$2160=N603), 0, 8))</f>
        <v>3812.7</v>
      </c>
      <c r="P603" s="84" cm="1">
        <f t="array" ref="P603">SUM(INDEX(_xlfn._xlws.FILTER($B$6:$L$2160, $B$6:$B$2160=N603), 0, 10))</f>
        <v>4059</v>
      </c>
      <c r="Q603" s="84" cm="1">
        <f t="array" ref="Q603">SUM(INDEX(_xlfn._xlws.FILTER($B$6:$L$2160, $B$6:$B$2160=N603), 0, 11))</f>
        <v>-246.29999999999995</v>
      </c>
    </row>
    <row r="604" spans="2:17" x14ac:dyDescent="0.2">
      <c r="B604">
        <v>10473</v>
      </c>
      <c r="C604">
        <v>33</v>
      </c>
      <c r="D604" s="84">
        <v>2</v>
      </c>
      <c r="E604">
        <v>12</v>
      </c>
      <c r="F604" s="85">
        <v>0</v>
      </c>
      <c r="G604" s="86">
        <f t="shared" si="45"/>
        <v>24</v>
      </c>
      <c r="H604" s="86">
        <f t="shared" si="46"/>
        <v>0</v>
      </c>
      <c r="I604" s="86">
        <f t="shared" si="47"/>
        <v>24</v>
      </c>
      <c r="J604" s="84">
        <f>VLOOKUP(C604, Products[], 6)</f>
        <v>2.5</v>
      </c>
      <c r="K604" s="86">
        <f t="shared" si="48"/>
        <v>30</v>
      </c>
      <c r="L604" s="86">
        <f t="shared" si="49"/>
        <v>-6</v>
      </c>
      <c r="N604">
        <v>10846</v>
      </c>
      <c r="O604" s="84" cm="1">
        <f t="array" ref="O604">SUM(INDEX(_xlfn._xlws.FILTER($B$6:$L$2160, $B$6:$B$2160=N604), 0, 8))</f>
        <v>1112</v>
      </c>
      <c r="P604" s="84" cm="1">
        <f t="array" ref="P604">SUM(INDEX(_xlfn._xlws.FILTER($B$6:$L$2160, $B$6:$B$2160=N604), 0, 10))</f>
        <v>1112</v>
      </c>
      <c r="Q604" s="84" cm="1">
        <f t="array" ref="Q604">SUM(INDEX(_xlfn._xlws.FILTER($B$6:$L$2160, $B$6:$B$2160=N604), 0, 11))</f>
        <v>0</v>
      </c>
    </row>
    <row r="605" spans="2:17" x14ac:dyDescent="0.2">
      <c r="B605">
        <v>10473</v>
      </c>
      <c r="C605">
        <v>71</v>
      </c>
      <c r="D605" s="84">
        <v>17.2</v>
      </c>
      <c r="E605">
        <v>12</v>
      </c>
      <c r="F605" s="85">
        <v>0</v>
      </c>
      <c r="G605" s="86">
        <f t="shared" si="45"/>
        <v>206.39999999999998</v>
      </c>
      <c r="H605" s="86">
        <f t="shared" si="46"/>
        <v>0</v>
      </c>
      <c r="I605" s="86">
        <f t="shared" si="47"/>
        <v>206.39999999999998</v>
      </c>
      <c r="J605" s="84">
        <f>VLOOKUP(C605, Products[], 6)</f>
        <v>21.5</v>
      </c>
      <c r="K605" s="86">
        <f t="shared" si="48"/>
        <v>258</v>
      </c>
      <c r="L605" s="86">
        <f t="shared" si="49"/>
        <v>-51.600000000000023</v>
      </c>
      <c r="N605">
        <v>10847</v>
      </c>
      <c r="O605" s="84" cm="1">
        <f t="array" ref="O605">SUM(INDEX(_xlfn._xlws.FILTER($B$6:$L$2160, $B$6:$B$2160=N605), 0, 8))</f>
        <v>4931.92</v>
      </c>
      <c r="P605" s="84" cm="1">
        <f t="array" ref="P605">SUM(INDEX(_xlfn._xlws.FILTER($B$6:$L$2160, $B$6:$B$2160=N605), 0, 10))</f>
        <v>6164.9</v>
      </c>
      <c r="Q605" s="84" cm="1">
        <f t="array" ref="Q605">SUM(INDEX(_xlfn._xlws.FILTER($B$6:$L$2160, $B$6:$B$2160=N605), 0, 11))</f>
        <v>-1232.98</v>
      </c>
    </row>
    <row r="606" spans="2:17" x14ac:dyDescent="0.2">
      <c r="B606">
        <v>10474</v>
      </c>
      <c r="C606">
        <v>14</v>
      </c>
      <c r="D606" s="84">
        <v>18.600000000000001</v>
      </c>
      <c r="E606">
        <v>12</v>
      </c>
      <c r="F606" s="85">
        <v>0</v>
      </c>
      <c r="G606" s="86">
        <f t="shared" si="45"/>
        <v>223.20000000000002</v>
      </c>
      <c r="H606" s="86">
        <f t="shared" si="46"/>
        <v>0</v>
      </c>
      <c r="I606" s="86">
        <f t="shared" si="47"/>
        <v>223.20000000000002</v>
      </c>
      <c r="J606" s="84">
        <f>VLOOKUP(C606, Products[], 6)</f>
        <v>23.25</v>
      </c>
      <c r="K606" s="86">
        <f t="shared" si="48"/>
        <v>279</v>
      </c>
      <c r="L606" s="86">
        <f t="shared" si="49"/>
        <v>-55.799999999999983</v>
      </c>
      <c r="N606">
        <v>10848</v>
      </c>
      <c r="O606" s="84" cm="1">
        <f t="array" ref="O606">SUM(INDEX(_xlfn._xlws.FILTER($B$6:$L$2160, $B$6:$B$2160=N606), 0, 8))</f>
        <v>931.5</v>
      </c>
      <c r="P606" s="84" cm="1">
        <f t="array" ref="P606">SUM(INDEX(_xlfn._xlws.FILTER($B$6:$L$2160, $B$6:$B$2160=N606), 0, 10))</f>
        <v>931.5</v>
      </c>
      <c r="Q606" s="84" cm="1">
        <f t="array" ref="Q606">SUM(INDEX(_xlfn._xlws.FILTER($B$6:$L$2160, $B$6:$B$2160=N606), 0, 11))</f>
        <v>0</v>
      </c>
    </row>
    <row r="607" spans="2:17" x14ac:dyDescent="0.2">
      <c r="B607">
        <v>10474</v>
      </c>
      <c r="C607">
        <v>28</v>
      </c>
      <c r="D607" s="84">
        <v>36.4</v>
      </c>
      <c r="E607">
        <v>18</v>
      </c>
      <c r="F607" s="85">
        <v>0</v>
      </c>
      <c r="G607" s="86">
        <f t="shared" si="45"/>
        <v>655.19999999999993</v>
      </c>
      <c r="H607" s="86">
        <f t="shared" si="46"/>
        <v>0</v>
      </c>
      <c r="I607" s="86">
        <f t="shared" si="47"/>
        <v>655.19999999999993</v>
      </c>
      <c r="J607" s="84">
        <f>VLOOKUP(C607, Products[], 6)</f>
        <v>45.6</v>
      </c>
      <c r="K607" s="86">
        <f t="shared" si="48"/>
        <v>820.80000000000007</v>
      </c>
      <c r="L607" s="86">
        <f t="shared" si="49"/>
        <v>-165.60000000000014</v>
      </c>
      <c r="N607">
        <v>10849</v>
      </c>
      <c r="O607" s="84" cm="1">
        <f t="array" ref="O607">SUM(INDEX(_xlfn._xlws.FILTER($B$6:$L$2160, $B$6:$B$2160=N607), 0, 8))</f>
        <v>967.81899999999996</v>
      </c>
      <c r="P607" s="84" cm="1">
        <f t="array" ref="P607">SUM(INDEX(_xlfn._xlws.FILTER($B$6:$L$2160, $B$6:$B$2160=N607), 0, 10))</f>
        <v>1052.1399999999999</v>
      </c>
      <c r="Q607" s="84" cm="1">
        <f t="array" ref="Q607">SUM(INDEX(_xlfn._xlws.FILTER($B$6:$L$2160, $B$6:$B$2160=N607), 0, 11))</f>
        <v>-84.321000000000026</v>
      </c>
    </row>
    <row r="608" spans="2:17" x14ac:dyDescent="0.2">
      <c r="B608">
        <v>10474</v>
      </c>
      <c r="C608">
        <v>40</v>
      </c>
      <c r="D608" s="84">
        <v>14.7</v>
      </c>
      <c r="E608">
        <v>21</v>
      </c>
      <c r="F608" s="85">
        <v>0</v>
      </c>
      <c r="G608" s="86">
        <f t="shared" si="45"/>
        <v>308.7</v>
      </c>
      <c r="H608" s="86">
        <f t="shared" si="46"/>
        <v>0</v>
      </c>
      <c r="I608" s="86">
        <f t="shared" si="47"/>
        <v>308.7</v>
      </c>
      <c r="J608" s="84">
        <f>VLOOKUP(C608, Products[], 6)</f>
        <v>18.399999999999999</v>
      </c>
      <c r="K608" s="86">
        <f t="shared" si="48"/>
        <v>386.4</v>
      </c>
      <c r="L608" s="86">
        <f t="shared" si="49"/>
        <v>-77.699999999999989</v>
      </c>
      <c r="N608">
        <v>10850</v>
      </c>
      <c r="O608" s="84" cm="1">
        <f t="array" ref="O608">SUM(INDEX(_xlfn._xlws.FILTER($B$6:$L$2160, $B$6:$B$2160=N608), 0, 8))</f>
        <v>629</v>
      </c>
      <c r="P608" s="84" cm="1">
        <f t="array" ref="P608">SUM(INDEX(_xlfn._xlws.FILTER($B$6:$L$2160, $B$6:$B$2160=N608), 0, 10))</f>
        <v>740</v>
      </c>
      <c r="Q608" s="84" cm="1">
        <f t="array" ref="Q608">SUM(INDEX(_xlfn._xlws.FILTER($B$6:$L$2160, $B$6:$B$2160=N608), 0, 11))</f>
        <v>-111</v>
      </c>
    </row>
    <row r="609" spans="2:17" x14ac:dyDescent="0.2">
      <c r="B609">
        <v>10474</v>
      </c>
      <c r="C609">
        <v>75</v>
      </c>
      <c r="D609" s="84">
        <v>6.2</v>
      </c>
      <c r="E609">
        <v>10</v>
      </c>
      <c r="F609" s="85">
        <v>0</v>
      </c>
      <c r="G609" s="86">
        <f t="shared" si="45"/>
        <v>62</v>
      </c>
      <c r="H609" s="86">
        <f t="shared" si="46"/>
        <v>0</v>
      </c>
      <c r="I609" s="86">
        <f t="shared" si="47"/>
        <v>62</v>
      </c>
      <c r="J609" s="84">
        <f>VLOOKUP(C609, Products[], 6)</f>
        <v>7.75</v>
      </c>
      <c r="K609" s="86">
        <f t="shared" si="48"/>
        <v>77.5</v>
      </c>
      <c r="L609" s="86">
        <f t="shared" si="49"/>
        <v>-15.5</v>
      </c>
      <c r="N609">
        <v>10851</v>
      </c>
      <c r="O609" s="84" cm="1">
        <f t="array" ref="O609">SUM(INDEX(_xlfn._xlws.FILTER($B$6:$L$2160, $B$6:$B$2160=N609), 0, 8))</f>
        <v>2603</v>
      </c>
      <c r="P609" s="84" cm="1">
        <f t="array" ref="P609">SUM(INDEX(_xlfn._xlws.FILTER($B$6:$L$2160, $B$6:$B$2160=N609), 0, 10))</f>
        <v>2740</v>
      </c>
      <c r="Q609" s="84" cm="1">
        <f t="array" ref="Q609">SUM(INDEX(_xlfn._xlws.FILTER($B$6:$L$2160, $B$6:$B$2160=N609), 0, 11))</f>
        <v>-137</v>
      </c>
    </row>
    <row r="610" spans="2:17" x14ac:dyDescent="0.2">
      <c r="B610">
        <v>10475</v>
      </c>
      <c r="C610">
        <v>31</v>
      </c>
      <c r="D610" s="84">
        <v>10</v>
      </c>
      <c r="E610">
        <v>35</v>
      </c>
      <c r="F610" s="85">
        <v>0.15</v>
      </c>
      <c r="G610" s="86">
        <f t="shared" si="45"/>
        <v>350</v>
      </c>
      <c r="H610" s="86">
        <f t="shared" si="46"/>
        <v>52.5</v>
      </c>
      <c r="I610" s="86">
        <f t="shared" si="47"/>
        <v>297.5</v>
      </c>
      <c r="J610" s="84">
        <f>VLOOKUP(C610, Products[], 6)</f>
        <v>12.5</v>
      </c>
      <c r="K610" s="86">
        <f t="shared" si="48"/>
        <v>437.5</v>
      </c>
      <c r="L610" s="86">
        <f t="shared" si="49"/>
        <v>-140</v>
      </c>
      <c r="N610">
        <v>10852</v>
      </c>
      <c r="O610" s="84" cm="1">
        <f t="array" ref="O610">SUM(INDEX(_xlfn._xlws.FILTER($B$6:$L$2160, $B$6:$B$2160=N610), 0, 8))</f>
        <v>2984</v>
      </c>
      <c r="P610" s="84" cm="1">
        <f t="array" ref="P610">SUM(INDEX(_xlfn._xlws.FILTER($B$6:$L$2160, $B$6:$B$2160=N610), 0, 10))</f>
        <v>2984</v>
      </c>
      <c r="Q610" s="84" cm="1">
        <f t="array" ref="Q610">SUM(INDEX(_xlfn._xlws.FILTER($B$6:$L$2160, $B$6:$B$2160=N610), 0, 11))</f>
        <v>0</v>
      </c>
    </row>
    <row r="611" spans="2:17" x14ac:dyDescent="0.2">
      <c r="B611">
        <v>10475</v>
      </c>
      <c r="C611">
        <v>66</v>
      </c>
      <c r="D611" s="84">
        <v>13.6</v>
      </c>
      <c r="E611">
        <v>60</v>
      </c>
      <c r="F611" s="85">
        <v>0.15</v>
      </c>
      <c r="G611" s="86">
        <f t="shared" si="45"/>
        <v>816</v>
      </c>
      <c r="H611" s="86">
        <f t="shared" si="46"/>
        <v>122.39999999999999</v>
      </c>
      <c r="I611" s="86">
        <f t="shared" si="47"/>
        <v>693.6</v>
      </c>
      <c r="J611" s="84">
        <f>VLOOKUP(C611, Products[], 6)</f>
        <v>17</v>
      </c>
      <c r="K611" s="86">
        <f t="shared" si="48"/>
        <v>1020</v>
      </c>
      <c r="L611" s="86">
        <f t="shared" si="49"/>
        <v>-326.39999999999998</v>
      </c>
      <c r="N611">
        <v>10853</v>
      </c>
      <c r="O611" s="84" cm="1">
        <f t="array" ref="O611">SUM(INDEX(_xlfn._xlws.FILTER($B$6:$L$2160, $B$6:$B$2160=N611), 0, 8))</f>
        <v>625</v>
      </c>
      <c r="P611" s="84" cm="1">
        <f t="array" ref="P611">SUM(INDEX(_xlfn._xlws.FILTER($B$6:$L$2160, $B$6:$B$2160=N611), 0, 10))</f>
        <v>625</v>
      </c>
      <c r="Q611" s="84" cm="1">
        <f t="array" ref="Q611">SUM(INDEX(_xlfn._xlws.FILTER($B$6:$L$2160, $B$6:$B$2160=N611), 0, 11))</f>
        <v>0</v>
      </c>
    </row>
    <row r="612" spans="2:17" x14ac:dyDescent="0.2">
      <c r="B612">
        <v>10475</v>
      </c>
      <c r="C612">
        <v>76</v>
      </c>
      <c r="D612" s="84">
        <v>14.4</v>
      </c>
      <c r="E612">
        <v>42</v>
      </c>
      <c r="F612" s="85">
        <v>0.15</v>
      </c>
      <c r="G612" s="86">
        <f t="shared" si="45"/>
        <v>604.80000000000007</v>
      </c>
      <c r="H612" s="86">
        <f t="shared" si="46"/>
        <v>90.720000000000013</v>
      </c>
      <c r="I612" s="86">
        <f t="shared" si="47"/>
        <v>514.08000000000004</v>
      </c>
      <c r="J612" s="84">
        <f>VLOOKUP(C612, Products[], 6)</f>
        <v>18</v>
      </c>
      <c r="K612" s="86">
        <f t="shared" si="48"/>
        <v>756</v>
      </c>
      <c r="L612" s="86">
        <f t="shared" si="49"/>
        <v>-241.91999999999996</v>
      </c>
      <c r="N612">
        <v>10854</v>
      </c>
      <c r="O612" s="84" cm="1">
        <f t="array" ref="O612">SUM(INDEX(_xlfn._xlws.FILTER($B$6:$L$2160, $B$6:$B$2160=N612), 0, 8))</f>
        <v>2966.5</v>
      </c>
      <c r="P612" s="84" cm="1">
        <f t="array" ref="P612">SUM(INDEX(_xlfn._xlws.FILTER($B$6:$L$2160, $B$6:$B$2160=N612), 0, 10))</f>
        <v>3490</v>
      </c>
      <c r="Q612" s="84" cm="1">
        <f t="array" ref="Q612">SUM(INDEX(_xlfn._xlws.FILTER($B$6:$L$2160, $B$6:$B$2160=N612), 0, 11))</f>
        <v>-523.5</v>
      </c>
    </row>
    <row r="613" spans="2:17" x14ac:dyDescent="0.2">
      <c r="B613">
        <v>10476</v>
      </c>
      <c r="C613">
        <v>55</v>
      </c>
      <c r="D613" s="84">
        <v>19.2</v>
      </c>
      <c r="E613">
        <v>2</v>
      </c>
      <c r="F613" s="85">
        <v>0.05</v>
      </c>
      <c r="G613" s="86">
        <f t="shared" si="45"/>
        <v>38.4</v>
      </c>
      <c r="H613" s="86">
        <f t="shared" si="46"/>
        <v>1.92</v>
      </c>
      <c r="I613" s="86">
        <f t="shared" si="47"/>
        <v>36.479999999999997</v>
      </c>
      <c r="J613" s="84">
        <f>VLOOKUP(C613, Products[], 6)</f>
        <v>24</v>
      </c>
      <c r="K613" s="86">
        <f t="shared" si="48"/>
        <v>48</v>
      </c>
      <c r="L613" s="86">
        <f t="shared" si="49"/>
        <v>-11.520000000000003</v>
      </c>
      <c r="N613">
        <v>10855</v>
      </c>
      <c r="O613" s="84" cm="1">
        <f t="array" ref="O613">SUM(INDEX(_xlfn._xlws.FILTER($B$6:$L$2160, $B$6:$B$2160=N613), 0, 8))</f>
        <v>2227.8874999999998</v>
      </c>
      <c r="P613" s="84" cm="1">
        <f t="array" ref="P613">SUM(INDEX(_xlfn._xlws.FILTER($B$6:$L$2160, $B$6:$B$2160=N613), 0, 10))</f>
        <v>2275.25</v>
      </c>
      <c r="Q613" s="84" cm="1">
        <f t="array" ref="Q613">SUM(INDEX(_xlfn._xlws.FILTER($B$6:$L$2160, $B$6:$B$2160=N613), 0, 11))</f>
        <v>-47.362500000000011</v>
      </c>
    </row>
    <row r="614" spans="2:17" x14ac:dyDescent="0.2">
      <c r="B614">
        <v>10476</v>
      </c>
      <c r="C614">
        <v>70</v>
      </c>
      <c r="D614" s="84">
        <v>12</v>
      </c>
      <c r="E614">
        <v>12</v>
      </c>
      <c r="F614" s="85">
        <v>0</v>
      </c>
      <c r="G614" s="86">
        <f t="shared" si="45"/>
        <v>144</v>
      </c>
      <c r="H614" s="86">
        <f t="shared" si="46"/>
        <v>0</v>
      </c>
      <c r="I614" s="86">
        <f t="shared" si="47"/>
        <v>144</v>
      </c>
      <c r="J614" s="84">
        <f>VLOOKUP(C614, Products[], 6)</f>
        <v>15</v>
      </c>
      <c r="K614" s="86">
        <f t="shared" si="48"/>
        <v>180</v>
      </c>
      <c r="L614" s="86">
        <f t="shared" si="49"/>
        <v>-36</v>
      </c>
      <c r="N614">
        <v>10856</v>
      </c>
      <c r="O614" s="84" cm="1">
        <f t="array" ref="O614">SUM(INDEX(_xlfn._xlws.FILTER($B$6:$L$2160, $B$6:$B$2160=N614), 0, 8))</f>
        <v>660</v>
      </c>
      <c r="P614" s="84" cm="1">
        <f t="array" ref="P614">SUM(INDEX(_xlfn._xlws.FILTER($B$6:$L$2160, $B$6:$B$2160=N614), 0, 10))</f>
        <v>660</v>
      </c>
      <c r="Q614" s="84" cm="1">
        <f t="array" ref="Q614">SUM(INDEX(_xlfn._xlws.FILTER($B$6:$L$2160, $B$6:$B$2160=N614), 0, 11))</f>
        <v>0</v>
      </c>
    </row>
    <row r="615" spans="2:17" x14ac:dyDescent="0.2">
      <c r="B615">
        <v>10477</v>
      </c>
      <c r="C615">
        <v>1</v>
      </c>
      <c r="D615" s="84">
        <v>14.4</v>
      </c>
      <c r="E615">
        <v>15</v>
      </c>
      <c r="F615" s="85">
        <v>0</v>
      </c>
      <c r="G615" s="86">
        <f t="shared" si="45"/>
        <v>216</v>
      </c>
      <c r="H615" s="86">
        <f t="shared" si="46"/>
        <v>0</v>
      </c>
      <c r="I615" s="86">
        <f t="shared" si="47"/>
        <v>216</v>
      </c>
      <c r="J615" s="84">
        <f>VLOOKUP(C615, Products[], 6)</f>
        <v>18</v>
      </c>
      <c r="K615" s="86">
        <f t="shared" si="48"/>
        <v>270</v>
      </c>
      <c r="L615" s="86">
        <f t="shared" si="49"/>
        <v>-54</v>
      </c>
      <c r="N615">
        <v>10857</v>
      </c>
      <c r="O615" s="84" cm="1">
        <f t="array" ref="O615">SUM(INDEX(_xlfn._xlws.FILTER($B$6:$L$2160, $B$6:$B$2160=N615), 0, 8))</f>
        <v>2048.2125000000001</v>
      </c>
      <c r="P615" s="84" cm="1">
        <f t="array" ref="P615">SUM(INDEX(_xlfn._xlws.FILTER($B$6:$L$2160, $B$6:$B$2160=N615), 0, 10))</f>
        <v>2630.95</v>
      </c>
      <c r="Q615" s="84" cm="1">
        <f t="array" ref="Q615">SUM(INDEX(_xlfn._xlws.FILTER($B$6:$L$2160, $B$6:$B$2160=N615), 0, 11))</f>
        <v>-582.73750000000007</v>
      </c>
    </row>
    <row r="616" spans="2:17" x14ac:dyDescent="0.2">
      <c r="B616">
        <v>10477</v>
      </c>
      <c r="C616">
        <v>21</v>
      </c>
      <c r="D616" s="84">
        <v>8</v>
      </c>
      <c r="E616">
        <v>21</v>
      </c>
      <c r="F616" s="85">
        <v>0.25</v>
      </c>
      <c r="G616" s="86">
        <f t="shared" si="45"/>
        <v>168</v>
      </c>
      <c r="H616" s="86">
        <f t="shared" si="46"/>
        <v>42</v>
      </c>
      <c r="I616" s="86">
        <f t="shared" si="47"/>
        <v>126</v>
      </c>
      <c r="J616" s="84">
        <f>VLOOKUP(C616, Products[], 6)</f>
        <v>10</v>
      </c>
      <c r="K616" s="86">
        <f t="shared" si="48"/>
        <v>210</v>
      </c>
      <c r="L616" s="86">
        <f t="shared" si="49"/>
        <v>-84</v>
      </c>
      <c r="N616">
        <v>10858</v>
      </c>
      <c r="O616" s="84" cm="1">
        <f t="array" ref="O616">SUM(INDEX(_xlfn._xlws.FILTER($B$6:$L$2160, $B$6:$B$2160=N616), 0, 8))</f>
        <v>649</v>
      </c>
      <c r="P616" s="84" cm="1">
        <f t="array" ref="P616">SUM(INDEX(_xlfn._xlws.FILTER($B$6:$L$2160, $B$6:$B$2160=N616), 0, 10))</f>
        <v>649</v>
      </c>
      <c r="Q616" s="84" cm="1">
        <f t="array" ref="Q616">SUM(INDEX(_xlfn._xlws.FILTER($B$6:$L$2160, $B$6:$B$2160=N616), 0, 11))</f>
        <v>0</v>
      </c>
    </row>
    <row r="617" spans="2:17" x14ac:dyDescent="0.2">
      <c r="B617">
        <v>10477</v>
      </c>
      <c r="C617">
        <v>39</v>
      </c>
      <c r="D617" s="84">
        <v>14.4</v>
      </c>
      <c r="E617">
        <v>20</v>
      </c>
      <c r="F617" s="85">
        <v>0.25</v>
      </c>
      <c r="G617" s="86">
        <f t="shared" si="45"/>
        <v>288</v>
      </c>
      <c r="H617" s="86">
        <f t="shared" si="46"/>
        <v>72</v>
      </c>
      <c r="I617" s="86">
        <f t="shared" si="47"/>
        <v>216</v>
      </c>
      <c r="J617" s="84">
        <f>VLOOKUP(C617, Products[], 6)</f>
        <v>18</v>
      </c>
      <c r="K617" s="86">
        <f t="shared" si="48"/>
        <v>360</v>
      </c>
      <c r="L617" s="86">
        <f t="shared" si="49"/>
        <v>-144</v>
      </c>
      <c r="N617">
        <v>10859</v>
      </c>
      <c r="O617" s="84" cm="1">
        <f t="array" ref="O617">SUM(INDEX(_xlfn._xlws.FILTER($B$6:$L$2160, $B$6:$B$2160=N617), 0, 8))</f>
        <v>1078.6875</v>
      </c>
      <c r="P617" s="84" cm="1">
        <f t="array" ref="P617">SUM(INDEX(_xlfn._xlws.FILTER($B$6:$L$2160, $B$6:$B$2160=N617), 0, 10))</f>
        <v>1438.25</v>
      </c>
      <c r="Q617" s="84" cm="1">
        <f t="array" ref="Q617">SUM(INDEX(_xlfn._xlws.FILTER($B$6:$L$2160, $B$6:$B$2160=N617), 0, 11))</f>
        <v>-359.5625</v>
      </c>
    </row>
    <row r="618" spans="2:17" x14ac:dyDescent="0.2">
      <c r="B618">
        <v>10478</v>
      </c>
      <c r="C618">
        <v>10</v>
      </c>
      <c r="D618" s="84">
        <v>24.8</v>
      </c>
      <c r="E618">
        <v>20</v>
      </c>
      <c r="F618" s="85">
        <v>0.05</v>
      </c>
      <c r="G618" s="86">
        <f t="shared" si="45"/>
        <v>496</v>
      </c>
      <c r="H618" s="86">
        <f t="shared" si="46"/>
        <v>24.8</v>
      </c>
      <c r="I618" s="86">
        <f t="shared" si="47"/>
        <v>471.2</v>
      </c>
      <c r="J618" s="84">
        <f>VLOOKUP(C618, Products[], 6)</f>
        <v>31</v>
      </c>
      <c r="K618" s="86">
        <f t="shared" si="48"/>
        <v>620</v>
      </c>
      <c r="L618" s="86">
        <f t="shared" si="49"/>
        <v>-148.80000000000001</v>
      </c>
      <c r="N618">
        <v>10860</v>
      </c>
      <c r="O618" s="84" cm="1">
        <f t="array" ref="O618">SUM(INDEX(_xlfn._xlws.FILTER($B$6:$L$2160, $B$6:$B$2160=N618), 0, 8))</f>
        <v>519</v>
      </c>
      <c r="P618" s="84" cm="1">
        <f t="array" ref="P618">SUM(INDEX(_xlfn._xlws.FILTER($B$6:$L$2160, $B$6:$B$2160=N618), 0, 10))</f>
        <v>519</v>
      </c>
      <c r="Q618" s="84" cm="1">
        <f t="array" ref="Q618">SUM(INDEX(_xlfn._xlws.FILTER($B$6:$L$2160, $B$6:$B$2160=N618), 0, 11))</f>
        <v>0</v>
      </c>
    </row>
    <row r="619" spans="2:17" x14ac:dyDescent="0.2">
      <c r="B619">
        <v>10479</v>
      </c>
      <c r="C619">
        <v>38</v>
      </c>
      <c r="D619" s="84">
        <v>210.8</v>
      </c>
      <c r="E619">
        <v>30</v>
      </c>
      <c r="F619" s="85">
        <v>0</v>
      </c>
      <c r="G619" s="86">
        <f t="shared" si="45"/>
        <v>6324</v>
      </c>
      <c r="H619" s="86">
        <f t="shared" si="46"/>
        <v>0</v>
      </c>
      <c r="I619" s="86">
        <f t="shared" si="47"/>
        <v>6324</v>
      </c>
      <c r="J619" s="84">
        <f>VLOOKUP(C619, Products[], 6)</f>
        <v>263.5</v>
      </c>
      <c r="K619" s="86">
        <f t="shared" si="48"/>
        <v>7905</v>
      </c>
      <c r="L619" s="86">
        <f t="shared" si="49"/>
        <v>-1581</v>
      </c>
      <c r="N619">
        <v>10861</v>
      </c>
      <c r="O619" s="84" cm="1">
        <f t="array" ref="O619">SUM(INDEX(_xlfn._xlws.FILTER($B$6:$L$2160, $B$6:$B$2160=N619), 0, 8))</f>
        <v>3523.4</v>
      </c>
      <c r="P619" s="84" cm="1">
        <f t="array" ref="P619">SUM(INDEX(_xlfn._xlws.FILTER($B$6:$L$2160, $B$6:$B$2160=N619), 0, 10))</f>
        <v>3523.4</v>
      </c>
      <c r="Q619" s="84" cm="1">
        <f t="array" ref="Q619">SUM(INDEX(_xlfn._xlws.FILTER($B$6:$L$2160, $B$6:$B$2160=N619), 0, 11))</f>
        <v>0</v>
      </c>
    </row>
    <row r="620" spans="2:17" x14ac:dyDescent="0.2">
      <c r="B620">
        <v>10479</v>
      </c>
      <c r="C620">
        <v>53</v>
      </c>
      <c r="D620" s="84">
        <v>26.2</v>
      </c>
      <c r="E620">
        <v>28</v>
      </c>
      <c r="F620" s="85">
        <v>0</v>
      </c>
      <c r="G620" s="86">
        <f t="shared" si="45"/>
        <v>733.6</v>
      </c>
      <c r="H620" s="86">
        <f t="shared" si="46"/>
        <v>0</v>
      </c>
      <c r="I620" s="86">
        <f t="shared" si="47"/>
        <v>733.6</v>
      </c>
      <c r="J620" s="84">
        <f>VLOOKUP(C620, Products[], 6)</f>
        <v>32.799999999999997</v>
      </c>
      <c r="K620" s="86">
        <f t="shared" si="48"/>
        <v>918.39999999999986</v>
      </c>
      <c r="L620" s="86">
        <f t="shared" si="49"/>
        <v>-184.79999999999984</v>
      </c>
      <c r="N620">
        <v>10862</v>
      </c>
      <c r="O620" s="84" cm="1">
        <f t="array" ref="O620">SUM(INDEX(_xlfn._xlws.FILTER($B$6:$L$2160, $B$6:$B$2160=N620), 0, 8))</f>
        <v>581</v>
      </c>
      <c r="P620" s="84" cm="1">
        <f t="array" ref="P620">SUM(INDEX(_xlfn._xlws.FILTER($B$6:$L$2160, $B$6:$B$2160=N620), 0, 10))</f>
        <v>581</v>
      </c>
      <c r="Q620" s="84" cm="1">
        <f t="array" ref="Q620">SUM(INDEX(_xlfn._xlws.FILTER($B$6:$L$2160, $B$6:$B$2160=N620), 0, 11))</f>
        <v>0</v>
      </c>
    </row>
    <row r="621" spans="2:17" x14ac:dyDescent="0.2">
      <c r="B621">
        <v>10479</v>
      </c>
      <c r="C621">
        <v>59</v>
      </c>
      <c r="D621" s="84">
        <v>44</v>
      </c>
      <c r="E621">
        <v>60</v>
      </c>
      <c r="F621" s="85">
        <v>0</v>
      </c>
      <c r="G621" s="86">
        <f t="shared" si="45"/>
        <v>2640</v>
      </c>
      <c r="H621" s="86">
        <f t="shared" si="46"/>
        <v>0</v>
      </c>
      <c r="I621" s="86">
        <f t="shared" si="47"/>
        <v>2640</v>
      </c>
      <c r="J621" s="84">
        <f>VLOOKUP(C621, Products[], 6)</f>
        <v>55</v>
      </c>
      <c r="K621" s="86">
        <f t="shared" si="48"/>
        <v>3300</v>
      </c>
      <c r="L621" s="86">
        <f t="shared" si="49"/>
        <v>-660</v>
      </c>
      <c r="N621">
        <v>10863</v>
      </c>
      <c r="O621" s="84" cm="1">
        <f t="array" ref="O621">SUM(INDEX(_xlfn._xlws.FILTER($B$6:$L$2160, $B$6:$B$2160=N621), 0, 8))</f>
        <v>441.15</v>
      </c>
      <c r="P621" s="84" cm="1">
        <f t="array" ref="P621">SUM(INDEX(_xlfn._xlws.FILTER($B$6:$L$2160, $B$6:$B$2160=N621), 0, 10))</f>
        <v>519</v>
      </c>
      <c r="Q621" s="84" cm="1">
        <f t="array" ref="Q621">SUM(INDEX(_xlfn._xlws.FILTER($B$6:$L$2160, $B$6:$B$2160=N621), 0, 11))</f>
        <v>-77.849999999999994</v>
      </c>
    </row>
    <row r="622" spans="2:17" x14ac:dyDescent="0.2">
      <c r="B622">
        <v>10479</v>
      </c>
      <c r="C622">
        <v>64</v>
      </c>
      <c r="D622" s="84">
        <v>26.6</v>
      </c>
      <c r="E622">
        <v>30</v>
      </c>
      <c r="F622" s="85">
        <v>0</v>
      </c>
      <c r="G622" s="86">
        <f t="shared" si="45"/>
        <v>798</v>
      </c>
      <c r="H622" s="86">
        <f t="shared" si="46"/>
        <v>0</v>
      </c>
      <c r="I622" s="86">
        <f t="shared" si="47"/>
        <v>798</v>
      </c>
      <c r="J622" s="84">
        <f>VLOOKUP(C622, Products[], 6)</f>
        <v>33.25</v>
      </c>
      <c r="K622" s="86">
        <f t="shared" si="48"/>
        <v>997.5</v>
      </c>
      <c r="L622" s="86">
        <f t="shared" si="49"/>
        <v>-199.5</v>
      </c>
      <c r="N622">
        <v>10864</v>
      </c>
      <c r="O622" s="84" cm="1">
        <f t="array" ref="O622">SUM(INDEX(_xlfn._xlws.FILTER($B$6:$L$2160, $B$6:$B$2160=N622), 0, 8))</f>
        <v>282</v>
      </c>
      <c r="P622" s="84" cm="1">
        <f t="array" ref="P622">SUM(INDEX(_xlfn._xlws.FILTER($B$6:$L$2160, $B$6:$B$2160=N622), 0, 10))</f>
        <v>282</v>
      </c>
      <c r="Q622" s="84" cm="1">
        <f t="array" ref="Q622">SUM(INDEX(_xlfn._xlws.FILTER($B$6:$L$2160, $B$6:$B$2160=N622), 0, 11))</f>
        <v>0</v>
      </c>
    </row>
    <row r="623" spans="2:17" x14ac:dyDescent="0.2">
      <c r="B623">
        <v>10480</v>
      </c>
      <c r="C623">
        <v>47</v>
      </c>
      <c r="D623" s="84">
        <v>7.6</v>
      </c>
      <c r="E623">
        <v>30</v>
      </c>
      <c r="F623" s="85">
        <v>0</v>
      </c>
      <c r="G623" s="86">
        <f t="shared" si="45"/>
        <v>228</v>
      </c>
      <c r="H623" s="86">
        <f t="shared" si="46"/>
        <v>0</v>
      </c>
      <c r="I623" s="86">
        <f t="shared" si="47"/>
        <v>228</v>
      </c>
      <c r="J623" s="84">
        <f>VLOOKUP(C623, Products[], 6)</f>
        <v>9.5</v>
      </c>
      <c r="K623" s="86">
        <f t="shared" si="48"/>
        <v>285</v>
      </c>
      <c r="L623" s="86">
        <f t="shared" si="49"/>
        <v>-57</v>
      </c>
      <c r="N623">
        <v>10865</v>
      </c>
      <c r="O623" s="84" cm="1">
        <f t="array" ref="O623">SUM(INDEX(_xlfn._xlws.FILTER($B$6:$L$2160, $B$6:$B$2160=N623), 0, 8))</f>
        <v>16387.5</v>
      </c>
      <c r="P623" s="84" cm="1">
        <f t="array" ref="P623">SUM(INDEX(_xlfn._xlws.FILTER($B$6:$L$2160, $B$6:$B$2160=N623), 0, 10))</f>
        <v>17250</v>
      </c>
      <c r="Q623" s="84" cm="1">
        <f t="array" ref="Q623">SUM(INDEX(_xlfn._xlws.FILTER($B$6:$L$2160, $B$6:$B$2160=N623), 0, 11))</f>
        <v>-862.5</v>
      </c>
    </row>
    <row r="624" spans="2:17" x14ac:dyDescent="0.2">
      <c r="B624">
        <v>10480</v>
      </c>
      <c r="C624">
        <v>59</v>
      </c>
      <c r="D624" s="84">
        <v>44</v>
      </c>
      <c r="E624">
        <v>12</v>
      </c>
      <c r="F624" s="85">
        <v>0</v>
      </c>
      <c r="G624" s="86">
        <f t="shared" si="45"/>
        <v>528</v>
      </c>
      <c r="H624" s="86">
        <f t="shared" si="46"/>
        <v>0</v>
      </c>
      <c r="I624" s="86">
        <f t="shared" si="47"/>
        <v>528</v>
      </c>
      <c r="J624" s="84">
        <f>VLOOKUP(C624, Products[], 6)</f>
        <v>55</v>
      </c>
      <c r="K624" s="86">
        <f t="shared" si="48"/>
        <v>660</v>
      </c>
      <c r="L624" s="86">
        <f t="shared" si="49"/>
        <v>-132</v>
      </c>
      <c r="N624">
        <v>10866</v>
      </c>
      <c r="O624" s="84" cm="1">
        <f t="array" ref="O624">SUM(INDEX(_xlfn._xlws.FILTER($B$6:$L$2160, $B$6:$B$2160=N624), 0, 8))</f>
        <v>1096.1999999999998</v>
      </c>
      <c r="P624" s="84" cm="1">
        <f t="array" ref="P624">SUM(INDEX(_xlfn._xlws.FILTER($B$6:$L$2160, $B$6:$B$2160=N624), 0, 10))</f>
        <v>1461.6</v>
      </c>
      <c r="Q624" s="84" cm="1">
        <f t="array" ref="Q624">SUM(INDEX(_xlfn._xlws.FILTER($B$6:$L$2160, $B$6:$B$2160=N624), 0, 11))</f>
        <v>-365.4</v>
      </c>
    </row>
    <row r="625" spans="2:17" x14ac:dyDescent="0.2">
      <c r="B625">
        <v>10481</v>
      </c>
      <c r="C625">
        <v>49</v>
      </c>
      <c r="D625" s="84">
        <v>16</v>
      </c>
      <c r="E625">
        <v>24</v>
      </c>
      <c r="F625" s="85">
        <v>0</v>
      </c>
      <c r="G625" s="86">
        <f t="shared" si="45"/>
        <v>384</v>
      </c>
      <c r="H625" s="86">
        <f t="shared" si="46"/>
        <v>0</v>
      </c>
      <c r="I625" s="86">
        <f t="shared" si="47"/>
        <v>384</v>
      </c>
      <c r="J625" s="84">
        <f>VLOOKUP(C625, Products[], 6)</f>
        <v>20</v>
      </c>
      <c r="K625" s="86">
        <f t="shared" si="48"/>
        <v>480</v>
      </c>
      <c r="L625" s="86">
        <f t="shared" si="49"/>
        <v>-96</v>
      </c>
      <c r="N625">
        <v>10867</v>
      </c>
      <c r="O625" s="84" cm="1">
        <f t="array" ref="O625">SUM(INDEX(_xlfn._xlws.FILTER($B$6:$L$2160, $B$6:$B$2160=N625), 0, 8))</f>
        <v>98.399999999999991</v>
      </c>
      <c r="P625" s="84" cm="1">
        <f t="array" ref="P625">SUM(INDEX(_xlfn._xlws.FILTER($B$6:$L$2160, $B$6:$B$2160=N625), 0, 10))</f>
        <v>98.399999999999991</v>
      </c>
      <c r="Q625" s="84" cm="1">
        <f t="array" ref="Q625">SUM(INDEX(_xlfn._xlws.FILTER($B$6:$L$2160, $B$6:$B$2160=N625), 0, 11))</f>
        <v>0</v>
      </c>
    </row>
    <row r="626" spans="2:17" x14ac:dyDescent="0.2">
      <c r="B626">
        <v>10481</v>
      </c>
      <c r="C626">
        <v>60</v>
      </c>
      <c r="D626" s="84">
        <v>27.2</v>
      </c>
      <c r="E626">
        <v>40</v>
      </c>
      <c r="F626" s="85">
        <v>0</v>
      </c>
      <c r="G626" s="86">
        <f t="shared" si="45"/>
        <v>1088</v>
      </c>
      <c r="H626" s="86">
        <f t="shared" si="46"/>
        <v>0</v>
      </c>
      <c r="I626" s="86">
        <f t="shared" si="47"/>
        <v>1088</v>
      </c>
      <c r="J626" s="84">
        <f>VLOOKUP(C626, Products[], 6)</f>
        <v>34</v>
      </c>
      <c r="K626" s="86">
        <f t="shared" si="48"/>
        <v>1360</v>
      </c>
      <c r="L626" s="86">
        <f t="shared" si="49"/>
        <v>-272</v>
      </c>
      <c r="N626">
        <v>10868</v>
      </c>
      <c r="O626" s="84" cm="1">
        <f t="array" ref="O626">SUM(INDEX(_xlfn._xlws.FILTER($B$6:$L$2160, $B$6:$B$2160=N626), 0, 8))</f>
        <v>1920.6</v>
      </c>
      <c r="P626" s="84" cm="1">
        <f t="array" ref="P626">SUM(INDEX(_xlfn._xlws.FILTER($B$6:$L$2160, $B$6:$B$2160=N626), 0, 10))</f>
        <v>2004.6</v>
      </c>
      <c r="Q626" s="84" cm="1">
        <f t="array" ref="Q626">SUM(INDEX(_xlfn._xlws.FILTER($B$6:$L$2160, $B$6:$B$2160=N626), 0, 11))</f>
        <v>-84</v>
      </c>
    </row>
    <row r="627" spans="2:17" x14ac:dyDescent="0.2">
      <c r="B627">
        <v>10482</v>
      </c>
      <c r="C627">
        <v>40</v>
      </c>
      <c r="D627" s="84">
        <v>14.7</v>
      </c>
      <c r="E627">
        <v>10</v>
      </c>
      <c r="F627" s="85">
        <v>0</v>
      </c>
      <c r="G627" s="86">
        <f t="shared" si="45"/>
        <v>147</v>
      </c>
      <c r="H627" s="86">
        <f t="shared" si="46"/>
        <v>0</v>
      </c>
      <c r="I627" s="86">
        <f t="shared" si="47"/>
        <v>147</v>
      </c>
      <c r="J627" s="84">
        <f>VLOOKUP(C627, Products[], 6)</f>
        <v>18.399999999999999</v>
      </c>
      <c r="K627" s="86">
        <f t="shared" si="48"/>
        <v>184</v>
      </c>
      <c r="L627" s="86">
        <f t="shared" si="49"/>
        <v>-37</v>
      </c>
      <c r="N627">
        <v>10869</v>
      </c>
      <c r="O627" s="84" cm="1">
        <f t="array" ref="O627">SUM(INDEX(_xlfn._xlws.FILTER($B$6:$L$2160, $B$6:$B$2160=N627), 0, 8))</f>
        <v>1630</v>
      </c>
      <c r="P627" s="84" cm="1">
        <f t="array" ref="P627">SUM(INDEX(_xlfn._xlws.FILTER($B$6:$L$2160, $B$6:$B$2160=N627), 0, 10))</f>
        <v>1630</v>
      </c>
      <c r="Q627" s="84" cm="1">
        <f t="array" ref="Q627">SUM(INDEX(_xlfn._xlws.FILTER($B$6:$L$2160, $B$6:$B$2160=N627), 0, 11))</f>
        <v>0</v>
      </c>
    </row>
    <row r="628" spans="2:17" x14ac:dyDescent="0.2">
      <c r="B628">
        <v>10483</v>
      </c>
      <c r="C628">
        <v>34</v>
      </c>
      <c r="D628" s="84">
        <v>11.2</v>
      </c>
      <c r="E628">
        <v>35</v>
      </c>
      <c r="F628" s="85">
        <v>0.05</v>
      </c>
      <c r="G628" s="86">
        <f t="shared" si="45"/>
        <v>392</v>
      </c>
      <c r="H628" s="86">
        <f t="shared" si="46"/>
        <v>19.600000000000001</v>
      </c>
      <c r="I628" s="86">
        <f t="shared" si="47"/>
        <v>372.4</v>
      </c>
      <c r="J628" s="84">
        <f>VLOOKUP(C628, Products[], 6)</f>
        <v>14</v>
      </c>
      <c r="K628" s="86">
        <f t="shared" si="48"/>
        <v>490</v>
      </c>
      <c r="L628" s="86">
        <f t="shared" si="49"/>
        <v>-117.60000000000002</v>
      </c>
      <c r="N628">
        <v>10870</v>
      </c>
      <c r="O628" s="84" cm="1">
        <f t="array" ref="O628">SUM(INDEX(_xlfn._xlws.FILTER($B$6:$L$2160, $B$6:$B$2160=N628), 0, 8))</f>
        <v>160</v>
      </c>
      <c r="P628" s="84" cm="1">
        <f t="array" ref="P628">SUM(INDEX(_xlfn._xlws.FILTER($B$6:$L$2160, $B$6:$B$2160=N628), 0, 10))</f>
        <v>160</v>
      </c>
      <c r="Q628" s="84" cm="1">
        <f t="array" ref="Q628">SUM(INDEX(_xlfn._xlws.FILTER($B$6:$L$2160, $B$6:$B$2160=N628), 0, 11))</f>
        <v>0</v>
      </c>
    </row>
    <row r="629" spans="2:17" x14ac:dyDescent="0.2">
      <c r="B629">
        <v>10483</v>
      </c>
      <c r="C629">
        <v>77</v>
      </c>
      <c r="D629" s="84">
        <v>10.4</v>
      </c>
      <c r="E629">
        <v>30</v>
      </c>
      <c r="F629" s="85">
        <v>0.05</v>
      </c>
      <c r="G629" s="86">
        <f t="shared" si="45"/>
        <v>312</v>
      </c>
      <c r="H629" s="86">
        <f t="shared" si="46"/>
        <v>15.600000000000001</v>
      </c>
      <c r="I629" s="86">
        <f t="shared" si="47"/>
        <v>296.39999999999998</v>
      </c>
      <c r="J629" s="84">
        <f>VLOOKUP(C629, Products[], 6)</f>
        <v>13</v>
      </c>
      <c r="K629" s="86">
        <f t="shared" si="48"/>
        <v>390</v>
      </c>
      <c r="L629" s="86">
        <f t="shared" si="49"/>
        <v>-93.600000000000023</v>
      </c>
      <c r="N629">
        <v>10871</v>
      </c>
      <c r="O629" s="84" cm="1">
        <f t="array" ref="O629">SUM(INDEX(_xlfn._xlws.FILTER($B$6:$L$2160, $B$6:$B$2160=N629), 0, 8))</f>
        <v>1979.23</v>
      </c>
      <c r="P629" s="84" cm="1">
        <f t="array" ref="P629">SUM(INDEX(_xlfn._xlws.FILTER($B$6:$L$2160, $B$6:$B$2160=N629), 0, 10))</f>
        <v>2083.4</v>
      </c>
      <c r="Q629" s="84" cm="1">
        <f t="array" ref="Q629">SUM(INDEX(_xlfn._xlws.FILTER($B$6:$L$2160, $B$6:$B$2160=N629), 0, 11))</f>
        <v>-104.17000000000004</v>
      </c>
    </row>
    <row r="630" spans="2:17" x14ac:dyDescent="0.2">
      <c r="B630">
        <v>10484</v>
      </c>
      <c r="C630">
        <v>21</v>
      </c>
      <c r="D630" s="84">
        <v>8</v>
      </c>
      <c r="E630">
        <v>14</v>
      </c>
      <c r="F630" s="85">
        <v>0</v>
      </c>
      <c r="G630" s="86">
        <f t="shared" si="45"/>
        <v>112</v>
      </c>
      <c r="H630" s="86">
        <f t="shared" si="46"/>
        <v>0</v>
      </c>
      <c r="I630" s="86">
        <f t="shared" si="47"/>
        <v>112</v>
      </c>
      <c r="J630" s="84">
        <f>VLOOKUP(C630, Products[], 6)</f>
        <v>10</v>
      </c>
      <c r="K630" s="86">
        <f t="shared" si="48"/>
        <v>140</v>
      </c>
      <c r="L630" s="86">
        <f t="shared" si="49"/>
        <v>-28</v>
      </c>
      <c r="N630">
        <v>10872</v>
      </c>
      <c r="O630" s="84" cm="1">
        <f t="array" ref="O630">SUM(INDEX(_xlfn._xlws.FILTER($B$6:$L$2160, $B$6:$B$2160=N630), 0, 8))</f>
        <v>2058.46</v>
      </c>
      <c r="P630" s="84" cm="1">
        <f t="array" ref="P630">SUM(INDEX(_xlfn._xlws.FILTER($B$6:$L$2160, $B$6:$B$2160=N630), 0, 10))</f>
        <v>2166.8000000000002</v>
      </c>
      <c r="Q630" s="84" cm="1">
        <f t="array" ref="Q630">SUM(INDEX(_xlfn._xlws.FILTER($B$6:$L$2160, $B$6:$B$2160=N630), 0, 11))</f>
        <v>-108.33999999999997</v>
      </c>
    </row>
    <row r="631" spans="2:17" x14ac:dyDescent="0.2">
      <c r="B631">
        <v>10484</v>
      </c>
      <c r="C631">
        <v>40</v>
      </c>
      <c r="D631" s="84">
        <v>14.7</v>
      </c>
      <c r="E631">
        <v>10</v>
      </c>
      <c r="F631" s="85">
        <v>0</v>
      </c>
      <c r="G631" s="86">
        <f t="shared" si="45"/>
        <v>147</v>
      </c>
      <c r="H631" s="86">
        <f t="shared" si="46"/>
        <v>0</v>
      </c>
      <c r="I631" s="86">
        <f t="shared" si="47"/>
        <v>147</v>
      </c>
      <c r="J631" s="84">
        <f>VLOOKUP(C631, Products[], 6)</f>
        <v>18.399999999999999</v>
      </c>
      <c r="K631" s="86">
        <f t="shared" si="48"/>
        <v>184</v>
      </c>
      <c r="L631" s="86">
        <f t="shared" si="49"/>
        <v>-37</v>
      </c>
      <c r="N631">
        <v>10873</v>
      </c>
      <c r="O631" s="84" cm="1">
        <f t="array" ref="O631">SUM(INDEX(_xlfn._xlws.FILTER($B$6:$L$2160, $B$6:$B$2160=N631), 0, 8))</f>
        <v>336.8</v>
      </c>
      <c r="P631" s="84" cm="1">
        <f t="array" ref="P631">SUM(INDEX(_xlfn._xlws.FILTER($B$6:$L$2160, $B$6:$B$2160=N631), 0, 10))</f>
        <v>336.8</v>
      </c>
      <c r="Q631" s="84" cm="1">
        <f t="array" ref="Q631">SUM(INDEX(_xlfn._xlws.FILTER($B$6:$L$2160, $B$6:$B$2160=N631), 0, 11))</f>
        <v>0</v>
      </c>
    </row>
    <row r="632" spans="2:17" x14ac:dyDescent="0.2">
      <c r="B632">
        <v>10484</v>
      </c>
      <c r="C632">
        <v>51</v>
      </c>
      <c r="D632" s="84">
        <v>42.4</v>
      </c>
      <c r="E632">
        <v>3</v>
      </c>
      <c r="F632" s="85">
        <v>0</v>
      </c>
      <c r="G632" s="86">
        <f t="shared" si="45"/>
        <v>127.19999999999999</v>
      </c>
      <c r="H632" s="86">
        <f t="shared" si="46"/>
        <v>0</v>
      </c>
      <c r="I632" s="86">
        <f t="shared" si="47"/>
        <v>127.19999999999999</v>
      </c>
      <c r="J632" s="84">
        <f>VLOOKUP(C632, Products[], 6)</f>
        <v>53</v>
      </c>
      <c r="K632" s="86">
        <f t="shared" si="48"/>
        <v>159</v>
      </c>
      <c r="L632" s="86">
        <f t="shared" si="49"/>
        <v>-31.800000000000011</v>
      </c>
      <c r="N632">
        <v>10874</v>
      </c>
      <c r="O632" s="84" cm="1">
        <f t="array" ref="O632">SUM(INDEX(_xlfn._xlws.FILTER($B$6:$L$2160, $B$6:$B$2160=N632), 0, 8))</f>
        <v>310</v>
      </c>
      <c r="P632" s="84" cm="1">
        <f t="array" ref="P632">SUM(INDEX(_xlfn._xlws.FILTER($B$6:$L$2160, $B$6:$B$2160=N632), 0, 10))</f>
        <v>310</v>
      </c>
      <c r="Q632" s="84" cm="1">
        <f t="array" ref="Q632">SUM(INDEX(_xlfn._xlws.FILTER($B$6:$L$2160, $B$6:$B$2160=N632), 0, 11))</f>
        <v>0</v>
      </c>
    </row>
    <row r="633" spans="2:17" x14ac:dyDescent="0.2">
      <c r="B633">
        <v>10485</v>
      </c>
      <c r="C633">
        <v>2</v>
      </c>
      <c r="D633" s="84">
        <v>15.2</v>
      </c>
      <c r="E633">
        <v>20</v>
      </c>
      <c r="F633" s="85">
        <v>0.1</v>
      </c>
      <c r="G633" s="86">
        <f t="shared" si="45"/>
        <v>304</v>
      </c>
      <c r="H633" s="86">
        <f t="shared" si="46"/>
        <v>30.400000000000002</v>
      </c>
      <c r="I633" s="86">
        <f t="shared" si="47"/>
        <v>273.60000000000002</v>
      </c>
      <c r="J633" s="84">
        <f>VLOOKUP(C633, Products[], 6)</f>
        <v>19</v>
      </c>
      <c r="K633" s="86">
        <f t="shared" si="48"/>
        <v>380</v>
      </c>
      <c r="L633" s="86">
        <f t="shared" si="49"/>
        <v>-106.39999999999998</v>
      </c>
      <c r="N633">
        <v>10875</v>
      </c>
      <c r="O633" s="84" cm="1">
        <f t="array" ref="O633">SUM(INDEX(_xlfn._xlws.FILTER($B$6:$L$2160, $B$6:$B$2160=N633), 0, 8))</f>
        <v>709.55</v>
      </c>
      <c r="P633" s="84" cm="1">
        <f t="array" ref="P633">SUM(INDEX(_xlfn._xlws.FILTER($B$6:$L$2160, $B$6:$B$2160=N633), 0, 10))</f>
        <v>729.5</v>
      </c>
      <c r="Q633" s="84" cm="1">
        <f t="array" ref="Q633">SUM(INDEX(_xlfn._xlws.FILTER($B$6:$L$2160, $B$6:$B$2160=N633), 0, 11))</f>
        <v>-19.949999999999989</v>
      </c>
    </row>
    <row r="634" spans="2:17" x14ac:dyDescent="0.2">
      <c r="B634">
        <v>10485</v>
      </c>
      <c r="C634">
        <v>3</v>
      </c>
      <c r="D634" s="84">
        <v>8</v>
      </c>
      <c r="E634">
        <v>20</v>
      </c>
      <c r="F634" s="85">
        <v>0.1</v>
      </c>
      <c r="G634" s="86">
        <f t="shared" si="45"/>
        <v>160</v>
      </c>
      <c r="H634" s="86">
        <f t="shared" si="46"/>
        <v>16</v>
      </c>
      <c r="I634" s="86">
        <f t="shared" si="47"/>
        <v>144</v>
      </c>
      <c r="J634" s="84">
        <f>VLOOKUP(C634, Products[], 6)</f>
        <v>10</v>
      </c>
      <c r="K634" s="86">
        <f t="shared" si="48"/>
        <v>200</v>
      </c>
      <c r="L634" s="86">
        <f t="shared" si="49"/>
        <v>-56</v>
      </c>
      <c r="N634">
        <v>10876</v>
      </c>
      <c r="O634" s="84" cm="1">
        <f t="array" ref="O634">SUM(INDEX(_xlfn._xlws.FILTER($B$6:$L$2160, $B$6:$B$2160=N634), 0, 8))</f>
        <v>917</v>
      </c>
      <c r="P634" s="84" cm="1">
        <f t="array" ref="P634">SUM(INDEX(_xlfn._xlws.FILTER($B$6:$L$2160, $B$6:$B$2160=N634), 0, 10))</f>
        <v>917</v>
      </c>
      <c r="Q634" s="84" cm="1">
        <f t="array" ref="Q634">SUM(INDEX(_xlfn._xlws.FILTER($B$6:$L$2160, $B$6:$B$2160=N634), 0, 11))</f>
        <v>0</v>
      </c>
    </row>
    <row r="635" spans="2:17" x14ac:dyDescent="0.2">
      <c r="B635">
        <v>10485</v>
      </c>
      <c r="C635">
        <v>55</v>
      </c>
      <c r="D635" s="84">
        <v>19.2</v>
      </c>
      <c r="E635">
        <v>30</v>
      </c>
      <c r="F635" s="85">
        <v>0.1</v>
      </c>
      <c r="G635" s="86">
        <f t="shared" si="45"/>
        <v>576</v>
      </c>
      <c r="H635" s="86">
        <f t="shared" si="46"/>
        <v>57.6</v>
      </c>
      <c r="I635" s="86">
        <f t="shared" si="47"/>
        <v>518.4</v>
      </c>
      <c r="J635" s="84">
        <f>VLOOKUP(C635, Products[], 6)</f>
        <v>24</v>
      </c>
      <c r="K635" s="86">
        <f t="shared" si="48"/>
        <v>720</v>
      </c>
      <c r="L635" s="86">
        <f t="shared" si="49"/>
        <v>-201.60000000000002</v>
      </c>
      <c r="N635">
        <v>10877</v>
      </c>
      <c r="O635" s="84" cm="1">
        <f t="array" ref="O635">SUM(INDEX(_xlfn._xlws.FILTER($B$6:$L$2160, $B$6:$B$2160=N635), 0, 8))</f>
        <v>1955.125</v>
      </c>
      <c r="P635" s="84" cm="1">
        <f t="array" ref="P635">SUM(INDEX(_xlfn._xlws.FILTER($B$6:$L$2160, $B$6:$B$2160=N635), 0, 10))</f>
        <v>2086</v>
      </c>
      <c r="Q635" s="84" cm="1">
        <f t="array" ref="Q635">SUM(INDEX(_xlfn._xlws.FILTER($B$6:$L$2160, $B$6:$B$2160=N635), 0, 11))</f>
        <v>-130.875</v>
      </c>
    </row>
    <row r="636" spans="2:17" x14ac:dyDescent="0.2">
      <c r="B636">
        <v>10485</v>
      </c>
      <c r="C636">
        <v>70</v>
      </c>
      <c r="D636" s="84">
        <v>12</v>
      </c>
      <c r="E636">
        <v>60</v>
      </c>
      <c r="F636" s="85">
        <v>0.1</v>
      </c>
      <c r="G636" s="86">
        <f t="shared" si="45"/>
        <v>720</v>
      </c>
      <c r="H636" s="86">
        <f t="shared" si="46"/>
        <v>72</v>
      </c>
      <c r="I636" s="86">
        <f t="shared" si="47"/>
        <v>648</v>
      </c>
      <c r="J636" s="84">
        <f>VLOOKUP(C636, Products[], 6)</f>
        <v>15</v>
      </c>
      <c r="K636" s="86">
        <f t="shared" si="48"/>
        <v>900</v>
      </c>
      <c r="L636" s="86">
        <f t="shared" si="49"/>
        <v>-252</v>
      </c>
      <c r="N636">
        <v>10878</v>
      </c>
      <c r="O636" s="84" cm="1">
        <f t="array" ref="O636">SUM(INDEX(_xlfn._xlws.FILTER($B$6:$L$2160, $B$6:$B$2160=N636), 0, 8))</f>
        <v>1539</v>
      </c>
      <c r="P636" s="84" cm="1">
        <f t="array" ref="P636">SUM(INDEX(_xlfn._xlws.FILTER($B$6:$L$2160, $B$6:$B$2160=N636), 0, 10))</f>
        <v>1620</v>
      </c>
      <c r="Q636" s="84" cm="1">
        <f t="array" ref="Q636">SUM(INDEX(_xlfn._xlws.FILTER($B$6:$L$2160, $B$6:$B$2160=N636), 0, 11))</f>
        <v>-81</v>
      </c>
    </row>
    <row r="637" spans="2:17" x14ac:dyDescent="0.2">
      <c r="B637">
        <v>10486</v>
      </c>
      <c r="C637">
        <v>11</v>
      </c>
      <c r="D637" s="84">
        <v>16.8</v>
      </c>
      <c r="E637">
        <v>5</v>
      </c>
      <c r="F637" s="85">
        <v>0</v>
      </c>
      <c r="G637" s="86">
        <f t="shared" si="45"/>
        <v>84</v>
      </c>
      <c r="H637" s="86">
        <f t="shared" si="46"/>
        <v>0</v>
      </c>
      <c r="I637" s="86">
        <f t="shared" si="47"/>
        <v>84</v>
      </c>
      <c r="J637" s="84">
        <f>VLOOKUP(C637, Products[], 6)</f>
        <v>21</v>
      </c>
      <c r="K637" s="86">
        <f t="shared" si="48"/>
        <v>105</v>
      </c>
      <c r="L637" s="86">
        <f t="shared" si="49"/>
        <v>-21</v>
      </c>
      <c r="N637">
        <v>10879</v>
      </c>
      <c r="O637" s="84" cm="1">
        <f t="array" ref="O637">SUM(INDEX(_xlfn._xlws.FILTER($B$6:$L$2160, $B$6:$B$2160=N637), 0, 8))</f>
        <v>611.29999999999995</v>
      </c>
      <c r="P637" s="84" cm="1">
        <f t="array" ref="P637">SUM(INDEX(_xlfn._xlws.FILTER($B$6:$L$2160, $B$6:$B$2160=N637), 0, 10))</f>
        <v>611.29999999999995</v>
      </c>
      <c r="Q637" s="84" cm="1">
        <f t="array" ref="Q637">SUM(INDEX(_xlfn._xlws.FILTER($B$6:$L$2160, $B$6:$B$2160=N637), 0, 11))</f>
        <v>0</v>
      </c>
    </row>
    <row r="638" spans="2:17" x14ac:dyDescent="0.2">
      <c r="B638">
        <v>10486</v>
      </c>
      <c r="C638">
        <v>51</v>
      </c>
      <c r="D638" s="84">
        <v>42.4</v>
      </c>
      <c r="E638">
        <v>25</v>
      </c>
      <c r="F638" s="85">
        <v>0</v>
      </c>
      <c r="G638" s="86">
        <f t="shared" si="45"/>
        <v>1060</v>
      </c>
      <c r="H638" s="86">
        <f t="shared" si="46"/>
        <v>0</v>
      </c>
      <c r="I638" s="86">
        <f t="shared" si="47"/>
        <v>1060</v>
      </c>
      <c r="J638" s="84">
        <f>VLOOKUP(C638, Products[], 6)</f>
        <v>53</v>
      </c>
      <c r="K638" s="86">
        <f t="shared" si="48"/>
        <v>1325</v>
      </c>
      <c r="L638" s="86">
        <f t="shared" si="49"/>
        <v>-265</v>
      </c>
      <c r="N638">
        <v>10880</v>
      </c>
      <c r="O638" s="84" cm="1">
        <f t="array" ref="O638">SUM(INDEX(_xlfn._xlws.FILTER($B$6:$L$2160, $B$6:$B$2160=N638), 0, 8))</f>
        <v>1500</v>
      </c>
      <c r="P638" s="84" cm="1">
        <f t="array" ref="P638">SUM(INDEX(_xlfn._xlws.FILTER($B$6:$L$2160, $B$6:$B$2160=N638), 0, 10))</f>
        <v>1875</v>
      </c>
      <c r="Q638" s="84" cm="1">
        <f t="array" ref="Q638">SUM(INDEX(_xlfn._xlws.FILTER($B$6:$L$2160, $B$6:$B$2160=N638), 0, 11))</f>
        <v>-375</v>
      </c>
    </row>
    <row r="639" spans="2:17" x14ac:dyDescent="0.2">
      <c r="B639">
        <v>10486</v>
      </c>
      <c r="C639">
        <v>74</v>
      </c>
      <c r="D639" s="84">
        <v>8</v>
      </c>
      <c r="E639">
        <v>16</v>
      </c>
      <c r="F639" s="85">
        <v>0</v>
      </c>
      <c r="G639" s="86">
        <f t="shared" si="45"/>
        <v>128</v>
      </c>
      <c r="H639" s="86">
        <f t="shared" si="46"/>
        <v>0</v>
      </c>
      <c r="I639" s="86">
        <f t="shared" si="47"/>
        <v>128</v>
      </c>
      <c r="J639" s="84">
        <f>VLOOKUP(C639, Products[], 6)</f>
        <v>10</v>
      </c>
      <c r="K639" s="86">
        <f t="shared" si="48"/>
        <v>160</v>
      </c>
      <c r="L639" s="86">
        <f t="shared" si="49"/>
        <v>-32</v>
      </c>
      <c r="N639">
        <v>10881</v>
      </c>
      <c r="O639" s="84" cm="1">
        <f t="array" ref="O639">SUM(INDEX(_xlfn._xlws.FILTER($B$6:$L$2160, $B$6:$B$2160=N639), 0, 8))</f>
        <v>150</v>
      </c>
      <c r="P639" s="84" cm="1">
        <f t="array" ref="P639">SUM(INDEX(_xlfn._xlws.FILTER($B$6:$L$2160, $B$6:$B$2160=N639), 0, 10))</f>
        <v>150</v>
      </c>
      <c r="Q639" s="84" cm="1">
        <f t="array" ref="Q639">SUM(INDEX(_xlfn._xlws.FILTER($B$6:$L$2160, $B$6:$B$2160=N639), 0, 11))</f>
        <v>0</v>
      </c>
    </row>
    <row r="640" spans="2:17" x14ac:dyDescent="0.2">
      <c r="B640">
        <v>10487</v>
      </c>
      <c r="C640">
        <v>19</v>
      </c>
      <c r="D640" s="84">
        <v>7.3</v>
      </c>
      <c r="E640">
        <v>5</v>
      </c>
      <c r="F640" s="85">
        <v>0</v>
      </c>
      <c r="G640" s="86">
        <f t="shared" si="45"/>
        <v>36.5</v>
      </c>
      <c r="H640" s="86">
        <f t="shared" si="46"/>
        <v>0</v>
      </c>
      <c r="I640" s="86">
        <f t="shared" si="47"/>
        <v>36.5</v>
      </c>
      <c r="J640" s="84">
        <f>VLOOKUP(C640, Products[], 6)</f>
        <v>9.1999999999999993</v>
      </c>
      <c r="K640" s="86">
        <f t="shared" si="48"/>
        <v>46</v>
      </c>
      <c r="L640" s="86">
        <f t="shared" si="49"/>
        <v>-9.5</v>
      </c>
      <c r="N640">
        <v>10882</v>
      </c>
      <c r="O640" s="84" cm="1">
        <f t="array" ref="O640">SUM(INDEX(_xlfn._xlws.FILTER($B$6:$L$2160, $B$6:$B$2160=N640), 0, 8))</f>
        <v>892.64</v>
      </c>
      <c r="P640" s="84" cm="1">
        <f t="array" ref="P640">SUM(INDEX(_xlfn._xlws.FILTER($B$6:$L$2160, $B$6:$B$2160=N640), 0, 10))</f>
        <v>988.4</v>
      </c>
      <c r="Q640" s="84" cm="1">
        <f t="array" ref="Q640">SUM(INDEX(_xlfn._xlws.FILTER($B$6:$L$2160, $B$6:$B$2160=N640), 0, 11))</f>
        <v>-95.759999999999991</v>
      </c>
    </row>
    <row r="641" spans="2:17" x14ac:dyDescent="0.2">
      <c r="B641">
        <v>10487</v>
      </c>
      <c r="C641">
        <v>26</v>
      </c>
      <c r="D641" s="84">
        <v>24.9</v>
      </c>
      <c r="E641">
        <v>30</v>
      </c>
      <c r="F641" s="85">
        <v>0</v>
      </c>
      <c r="G641" s="86">
        <f t="shared" si="45"/>
        <v>747</v>
      </c>
      <c r="H641" s="86">
        <f t="shared" si="46"/>
        <v>0</v>
      </c>
      <c r="I641" s="86">
        <f t="shared" si="47"/>
        <v>747</v>
      </c>
      <c r="J641" s="84">
        <f>VLOOKUP(C641, Products[], 6)</f>
        <v>31.23</v>
      </c>
      <c r="K641" s="86">
        <f t="shared" si="48"/>
        <v>936.9</v>
      </c>
      <c r="L641" s="86">
        <f t="shared" si="49"/>
        <v>-189.89999999999998</v>
      </c>
      <c r="N641">
        <v>10883</v>
      </c>
      <c r="O641" s="84" cm="1">
        <f t="array" ref="O641">SUM(INDEX(_xlfn._xlws.FILTER($B$6:$L$2160, $B$6:$B$2160=N641), 0, 8))</f>
        <v>36</v>
      </c>
      <c r="P641" s="84" cm="1">
        <f t="array" ref="P641">SUM(INDEX(_xlfn._xlws.FILTER($B$6:$L$2160, $B$6:$B$2160=N641), 0, 10))</f>
        <v>36</v>
      </c>
      <c r="Q641" s="84" cm="1">
        <f t="array" ref="Q641">SUM(INDEX(_xlfn._xlws.FILTER($B$6:$L$2160, $B$6:$B$2160=N641), 0, 11))</f>
        <v>0</v>
      </c>
    </row>
    <row r="642" spans="2:17" x14ac:dyDescent="0.2">
      <c r="B642">
        <v>10487</v>
      </c>
      <c r="C642">
        <v>54</v>
      </c>
      <c r="D642" s="84">
        <v>5.9</v>
      </c>
      <c r="E642">
        <v>24</v>
      </c>
      <c r="F642" s="85">
        <v>0.25</v>
      </c>
      <c r="G642" s="86">
        <f t="shared" si="45"/>
        <v>141.60000000000002</v>
      </c>
      <c r="H642" s="86">
        <f t="shared" si="46"/>
        <v>35.400000000000006</v>
      </c>
      <c r="I642" s="86">
        <f t="shared" si="47"/>
        <v>106.20000000000002</v>
      </c>
      <c r="J642" s="84">
        <f>VLOOKUP(C642, Products[], 6)</f>
        <v>7.45</v>
      </c>
      <c r="K642" s="86">
        <f t="shared" si="48"/>
        <v>178.8</v>
      </c>
      <c r="L642" s="86">
        <f t="shared" si="49"/>
        <v>-72.599999999999994</v>
      </c>
      <c r="N642">
        <v>10884</v>
      </c>
      <c r="O642" s="84" cm="1">
        <f t="array" ref="O642">SUM(INDEX(_xlfn._xlws.FILTER($B$6:$L$2160, $B$6:$B$2160=N642), 0, 8))</f>
        <v>1378.07</v>
      </c>
      <c r="P642" s="84" cm="1">
        <f t="array" ref="P642">SUM(INDEX(_xlfn._xlws.FILTER($B$6:$L$2160, $B$6:$B$2160=N642), 0, 10))</f>
        <v>1450.6</v>
      </c>
      <c r="Q642" s="84" cm="1">
        <f t="array" ref="Q642">SUM(INDEX(_xlfn._xlws.FILTER($B$6:$L$2160, $B$6:$B$2160=N642), 0, 11))</f>
        <v>-72.529999999999973</v>
      </c>
    </row>
    <row r="643" spans="2:17" x14ac:dyDescent="0.2">
      <c r="B643">
        <v>10488</v>
      </c>
      <c r="C643">
        <v>59</v>
      </c>
      <c r="D643" s="84">
        <v>44</v>
      </c>
      <c r="E643">
        <v>30</v>
      </c>
      <c r="F643" s="85">
        <v>0</v>
      </c>
      <c r="G643" s="86">
        <f t="shared" si="45"/>
        <v>1320</v>
      </c>
      <c r="H643" s="86">
        <f t="shared" si="46"/>
        <v>0</v>
      </c>
      <c r="I643" s="86">
        <f t="shared" si="47"/>
        <v>1320</v>
      </c>
      <c r="J643" s="84">
        <f>VLOOKUP(C643, Products[], 6)</f>
        <v>55</v>
      </c>
      <c r="K643" s="86">
        <f t="shared" si="48"/>
        <v>1650</v>
      </c>
      <c r="L643" s="86">
        <f t="shared" si="49"/>
        <v>-330</v>
      </c>
      <c r="N643">
        <v>10885</v>
      </c>
      <c r="O643" s="84" cm="1">
        <f t="array" ref="O643">SUM(INDEX(_xlfn._xlws.FILTER($B$6:$L$2160, $B$6:$B$2160=N643), 0, 8))</f>
        <v>1209</v>
      </c>
      <c r="P643" s="84" cm="1">
        <f t="array" ref="P643">SUM(INDEX(_xlfn._xlws.FILTER($B$6:$L$2160, $B$6:$B$2160=N643), 0, 10))</f>
        <v>1209</v>
      </c>
      <c r="Q643" s="84" cm="1">
        <f t="array" ref="Q643">SUM(INDEX(_xlfn._xlws.FILTER($B$6:$L$2160, $B$6:$B$2160=N643), 0, 11))</f>
        <v>0</v>
      </c>
    </row>
    <row r="644" spans="2:17" x14ac:dyDescent="0.2">
      <c r="B644">
        <v>10488</v>
      </c>
      <c r="C644">
        <v>73</v>
      </c>
      <c r="D644" s="84">
        <v>12</v>
      </c>
      <c r="E644">
        <v>20</v>
      </c>
      <c r="F644" s="85">
        <v>0.2</v>
      </c>
      <c r="G644" s="86">
        <f t="shared" si="45"/>
        <v>240</v>
      </c>
      <c r="H644" s="86">
        <f t="shared" si="46"/>
        <v>48</v>
      </c>
      <c r="I644" s="86">
        <f t="shared" si="47"/>
        <v>192</v>
      </c>
      <c r="J644" s="84">
        <f>VLOOKUP(C644, Products[], 6)</f>
        <v>15</v>
      </c>
      <c r="K644" s="86">
        <f t="shared" si="48"/>
        <v>300</v>
      </c>
      <c r="L644" s="86">
        <f t="shared" si="49"/>
        <v>-108</v>
      </c>
      <c r="N644">
        <v>10886</v>
      </c>
      <c r="O644" s="84" cm="1">
        <f t="array" ref="O644">SUM(INDEX(_xlfn._xlws.FILTER($B$6:$L$2160, $B$6:$B$2160=N644), 0, 8))</f>
        <v>3127.5</v>
      </c>
      <c r="P644" s="84" cm="1">
        <f t="array" ref="P644">SUM(INDEX(_xlfn._xlws.FILTER($B$6:$L$2160, $B$6:$B$2160=N644), 0, 10))</f>
        <v>3127.5</v>
      </c>
      <c r="Q644" s="84" cm="1">
        <f t="array" ref="Q644">SUM(INDEX(_xlfn._xlws.FILTER($B$6:$L$2160, $B$6:$B$2160=N644), 0, 11))</f>
        <v>0</v>
      </c>
    </row>
    <row r="645" spans="2:17" x14ac:dyDescent="0.2">
      <c r="B645">
        <v>10489</v>
      </c>
      <c r="C645">
        <v>11</v>
      </c>
      <c r="D645" s="84">
        <v>16.8</v>
      </c>
      <c r="E645">
        <v>15</v>
      </c>
      <c r="F645" s="85">
        <v>0.25</v>
      </c>
      <c r="G645" s="86">
        <f t="shared" si="45"/>
        <v>252</v>
      </c>
      <c r="H645" s="86">
        <f t="shared" si="46"/>
        <v>63</v>
      </c>
      <c r="I645" s="86">
        <f t="shared" si="47"/>
        <v>189</v>
      </c>
      <c r="J645" s="84">
        <f>VLOOKUP(C645, Products[], 6)</f>
        <v>21</v>
      </c>
      <c r="K645" s="86">
        <f t="shared" si="48"/>
        <v>315</v>
      </c>
      <c r="L645" s="86">
        <f t="shared" si="49"/>
        <v>-126</v>
      </c>
      <c r="N645">
        <v>10887</v>
      </c>
      <c r="O645" s="84" cm="1">
        <f t="array" ref="O645">SUM(INDEX(_xlfn._xlws.FILTER($B$6:$L$2160, $B$6:$B$2160=N645), 0, 8))</f>
        <v>70</v>
      </c>
      <c r="P645" s="84" cm="1">
        <f t="array" ref="P645">SUM(INDEX(_xlfn._xlws.FILTER($B$6:$L$2160, $B$6:$B$2160=N645), 0, 10))</f>
        <v>70</v>
      </c>
      <c r="Q645" s="84" cm="1">
        <f t="array" ref="Q645">SUM(INDEX(_xlfn._xlws.FILTER($B$6:$L$2160, $B$6:$B$2160=N645), 0, 11))</f>
        <v>0</v>
      </c>
    </row>
    <row r="646" spans="2:17" x14ac:dyDescent="0.2">
      <c r="B646">
        <v>10489</v>
      </c>
      <c r="C646">
        <v>16</v>
      </c>
      <c r="D646" s="84">
        <v>13.9</v>
      </c>
      <c r="E646">
        <v>18</v>
      </c>
      <c r="F646" s="85">
        <v>0</v>
      </c>
      <c r="G646" s="86">
        <f t="shared" si="45"/>
        <v>250.20000000000002</v>
      </c>
      <c r="H646" s="86">
        <f t="shared" si="46"/>
        <v>0</v>
      </c>
      <c r="I646" s="86">
        <f t="shared" si="47"/>
        <v>250.20000000000002</v>
      </c>
      <c r="J646" s="84">
        <f>VLOOKUP(C646, Products[], 6)</f>
        <v>17.45</v>
      </c>
      <c r="K646" s="86">
        <f t="shared" si="48"/>
        <v>314.09999999999997</v>
      </c>
      <c r="L646" s="86">
        <f t="shared" si="49"/>
        <v>-63.899999999999949</v>
      </c>
      <c r="N646">
        <v>10888</v>
      </c>
      <c r="O646" s="84" cm="1">
        <f t="array" ref="O646">SUM(INDEX(_xlfn._xlws.FILTER($B$6:$L$2160, $B$6:$B$2160=N646), 0, 8))</f>
        <v>605</v>
      </c>
      <c r="P646" s="84" cm="1">
        <f t="array" ref="P646">SUM(INDEX(_xlfn._xlws.FILTER($B$6:$L$2160, $B$6:$B$2160=N646), 0, 10))</f>
        <v>605</v>
      </c>
      <c r="Q646" s="84" cm="1">
        <f t="array" ref="Q646">SUM(INDEX(_xlfn._xlws.FILTER($B$6:$L$2160, $B$6:$B$2160=N646), 0, 11))</f>
        <v>0</v>
      </c>
    </row>
    <row r="647" spans="2:17" x14ac:dyDescent="0.2">
      <c r="B647">
        <v>10490</v>
      </c>
      <c r="C647">
        <v>59</v>
      </c>
      <c r="D647" s="84">
        <v>44</v>
      </c>
      <c r="E647">
        <v>60</v>
      </c>
      <c r="F647" s="85">
        <v>0</v>
      </c>
      <c r="G647" s="86">
        <f t="shared" ref="G647:G710" si="50">D647*E647</f>
        <v>2640</v>
      </c>
      <c r="H647" s="86">
        <f t="shared" ref="H647:H710" si="51">G647*F647</f>
        <v>0</v>
      </c>
      <c r="I647" s="86">
        <f t="shared" ref="I647:I710" si="52">G647-H647</f>
        <v>2640</v>
      </c>
      <c r="J647" s="84">
        <f>VLOOKUP(C647, Products[], 6)</f>
        <v>55</v>
      </c>
      <c r="K647" s="86">
        <f t="shared" ref="K647:K710" si="53">J647*E647</f>
        <v>3300</v>
      </c>
      <c r="L647" s="86">
        <f t="shared" ref="L647:L710" si="54">I647-K647</f>
        <v>-660</v>
      </c>
      <c r="N647">
        <v>10889</v>
      </c>
      <c r="O647" s="84" cm="1">
        <f t="array" ref="O647">SUM(INDEX(_xlfn._xlws.FILTER($B$6:$L$2160, $B$6:$B$2160=N647), 0, 8))</f>
        <v>11380</v>
      </c>
      <c r="P647" s="84" cm="1">
        <f t="array" ref="P647">SUM(INDEX(_xlfn._xlws.FILTER($B$6:$L$2160, $B$6:$B$2160=N647), 0, 10))</f>
        <v>11380</v>
      </c>
      <c r="Q647" s="84" cm="1">
        <f t="array" ref="Q647">SUM(INDEX(_xlfn._xlws.FILTER($B$6:$L$2160, $B$6:$B$2160=N647), 0, 11))</f>
        <v>0</v>
      </c>
    </row>
    <row r="648" spans="2:17" x14ac:dyDescent="0.2">
      <c r="B648">
        <v>10490</v>
      </c>
      <c r="C648">
        <v>68</v>
      </c>
      <c r="D648" s="84">
        <v>10</v>
      </c>
      <c r="E648">
        <v>30</v>
      </c>
      <c r="F648" s="85">
        <v>0</v>
      </c>
      <c r="G648" s="86">
        <f t="shared" si="50"/>
        <v>300</v>
      </c>
      <c r="H648" s="86">
        <f t="shared" si="51"/>
        <v>0</v>
      </c>
      <c r="I648" s="86">
        <f t="shared" si="52"/>
        <v>300</v>
      </c>
      <c r="J648" s="84">
        <f>VLOOKUP(C648, Products[], 6)</f>
        <v>12.5</v>
      </c>
      <c r="K648" s="86">
        <f t="shared" si="53"/>
        <v>375</v>
      </c>
      <c r="L648" s="86">
        <f t="shared" si="54"/>
        <v>-75</v>
      </c>
      <c r="N648">
        <v>10890</v>
      </c>
      <c r="O648" s="84" cm="1">
        <f t="array" ref="O648">SUM(INDEX(_xlfn._xlws.FILTER($B$6:$L$2160, $B$6:$B$2160=N648), 0, 8))</f>
        <v>860.1</v>
      </c>
      <c r="P648" s="84" cm="1">
        <f t="array" ref="P648">SUM(INDEX(_xlfn._xlws.FILTER($B$6:$L$2160, $B$6:$B$2160=N648), 0, 10))</f>
        <v>860.1</v>
      </c>
      <c r="Q648" s="84" cm="1">
        <f t="array" ref="Q648">SUM(INDEX(_xlfn._xlws.FILTER($B$6:$L$2160, $B$6:$B$2160=N648), 0, 11))</f>
        <v>0</v>
      </c>
    </row>
    <row r="649" spans="2:17" x14ac:dyDescent="0.2">
      <c r="B649">
        <v>10490</v>
      </c>
      <c r="C649">
        <v>75</v>
      </c>
      <c r="D649" s="84">
        <v>6.2</v>
      </c>
      <c r="E649">
        <v>36</v>
      </c>
      <c r="F649" s="85">
        <v>0</v>
      </c>
      <c r="G649" s="86">
        <f t="shared" si="50"/>
        <v>223.20000000000002</v>
      </c>
      <c r="H649" s="86">
        <f t="shared" si="51"/>
        <v>0</v>
      </c>
      <c r="I649" s="86">
        <f t="shared" si="52"/>
        <v>223.20000000000002</v>
      </c>
      <c r="J649" s="84">
        <f>VLOOKUP(C649, Products[], 6)</f>
        <v>7.75</v>
      </c>
      <c r="K649" s="86">
        <f t="shared" si="53"/>
        <v>279</v>
      </c>
      <c r="L649" s="86">
        <f t="shared" si="54"/>
        <v>-55.799999999999983</v>
      </c>
      <c r="N649">
        <v>10891</v>
      </c>
      <c r="O649" s="84" cm="1">
        <f t="array" ref="O649">SUM(INDEX(_xlfn._xlws.FILTER($B$6:$L$2160, $B$6:$B$2160=N649), 0, 8))</f>
        <v>368.9325</v>
      </c>
      <c r="P649" s="84" cm="1">
        <f t="array" ref="P649">SUM(INDEX(_xlfn._xlws.FILTER($B$6:$L$2160, $B$6:$B$2160=N649), 0, 10))</f>
        <v>388.35</v>
      </c>
      <c r="Q649" s="84" cm="1">
        <f t="array" ref="Q649">SUM(INDEX(_xlfn._xlws.FILTER($B$6:$L$2160, $B$6:$B$2160=N649), 0, 11))</f>
        <v>-19.417500000000018</v>
      </c>
    </row>
    <row r="650" spans="2:17" x14ac:dyDescent="0.2">
      <c r="B650">
        <v>10491</v>
      </c>
      <c r="C650">
        <v>44</v>
      </c>
      <c r="D650" s="84">
        <v>15.5</v>
      </c>
      <c r="E650">
        <v>15</v>
      </c>
      <c r="F650" s="85">
        <v>0.15</v>
      </c>
      <c r="G650" s="86">
        <f t="shared" si="50"/>
        <v>232.5</v>
      </c>
      <c r="H650" s="86">
        <f t="shared" si="51"/>
        <v>34.875</v>
      </c>
      <c r="I650" s="86">
        <f t="shared" si="52"/>
        <v>197.625</v>
      </c>
      <c r="J650" s="84">
        <f>VLOOKUP(C650, Products[], 6)</f>
        <v>19.45</v>
      </c>
      <c r="K650" s="86">
        <f t="shared" si="53"/>
        <v>291.75</v>
      </c>
      <c r="L650" s="86">
        <f t="shared" si="54"/>
        <v>-94.125</v>
      </c>
      <c r="N650">
        <v>10892</v>
      </c>
      <c r="O650" s="84" cm="1">
        <f t="array" ref="O650">SUM(INDEX(_xlfn._xlws.FILTER($B$6:$L$2160, $B$6:$B$2160=N650), 0, 8))</f>
        <v>2090</v>
      </c>
      <c r="P650" s="84" cm="1">
        <f t="array" ref="P650">SUM(INDEX(_xlfn._xlws.FILTER($B$6:$L$2160, $B$6:$B$2160=N650), 0, 10))</f>
        <v>2200</v>
      </c>
      <c r="Q650" s="84" cm="1">
        <f t="array" ref="Q650">SUM(INDEX(_xlfn._xlws.FILTER($B$6:$L$2160, $B$6:$B$2160=N650), 0, 11))</f>
        <v>-110</v>
      </c>
    </row>
    <row r="651" spans="2:17" x14ac:dyDescent="0.2">
      <c r="B651">
        <v>10491</v>
      </c>
      <c r="C651">
        <v>77</v>
      </c>
      <c r="D651" s="84">
        <v>10.4</v>
      </c>
      <c r="E651">
        <v>7</v>
      </c>
      <c r="F651" s="85">
        <v>0.15</v>
      </c>
      <c r="G651" s="86">
        <f t="shared" si="50"/>
        <v>72.8</v>
      </c>
      <c r="H651" s="86">
        <f t="shared" si="51"/>
        <v>10.92</v>
      </c>
      <c r="I651" s="86">
        <f t="shared" si="52"/>
        <v>61.879999999999995</v>
      </c>
      <c r="J651" s="84">
        <f>VLOOKUP(C651, Products[], 6)</f>
        <v>13</v>
      </c>
      <c r="K651" s="86">
        <f t="shared" si="53"/>
        <v>91</v>
      </c>
      <c r="L651" s="86">
        <f t="shared" si="54"/>
        <v>-29.120000000000005</v>
      </c>
      <c r="N651">
        <v>10893</v>
      </c>
      <c r="O651" s="84" cm="1">
        <f t="array" ref="O651">SUM(INDEX(_xlfn._xlws.FILTER($B$6:$L$2160, $B$6:$B$2160=N651), 0, 8))</f>
        <v>5502.11</v>
      </c>
      <c r="P651" s="84" cm="1">
        <f t="array" ref="P651">SUM(INDEX(_xlfn._xlws.FILTER($B$6:$L$2160, $B$6:$B$2160=N651), 0, 10))</f>
        <v>5502.11</v>
      </c>
      <c r="Q651" s="84" cm="1">
        <f t="array" ref="Q651">SUM(INDEX(_xlfn._xlws.FILTER($B$6:$L$2160, $B$6:$B$2160=N651), 0, 11))</f>
        <v>0</v>
      </c>
    </row>
    <row r="652" spans="2:17" x14ac:dyDescent="0.2">
      <c r="B652">
        <v>10492</v>
      </c>
      <c r="C652">
        <v>25</v>
      </c>
      <c r="D652" s="84">
        <v>11.2</v>
      </c>
      <c r="E652">
        <v>60</v>
      </c>
      <c r="F652" s="85">
        <v>0.05</v>
      </c>
      <c r="G652" s="86">
        <f t="shared" si="50"/>
        <v>672</v>
      </c>
      <c r="H652" s="86">
        <f t="shared" si="51"/>
        <v>33.6</v>
      </c>
      <c r="I652" s="86">
        <f t="shared" si="52"/>
        <v>638.4</v>
      </c>
      <c r="J652" s="84">
        <f>VLOOKUP(C652, Products[], 6)</f>
        <v>14</v>
      </c>
      <c r="K652" s="86">
        <f t="shared" si="53"/>
        <v>840</v>
      </c>
      <c r="L652" s="86">
        <f t="shared" si="54"/>
        <v>-201.60000000000002</v>
      </c>
      <c r="N652">
        <v>10894</v>
      </c>
      <c r="O652" s="84" cm="1">
        <f t="array" ref="O652">SUM(INDEX(_xlfn._xlws.FILTER($B$6:$L$2160, $B$6:$B$2160=N652), 0, 8))</f>
        <v>2753.1</v>
      </c>
      <c r="P652" s="84" cm="1">
        <f t="array" ref="P652">SUM(INDEX(_xlfn._xlws.FILTER($B$6:$L$2160, $B$6:$B$2160=N652), 0, 10))</f>
        <v>2898</v>
      </c>
      <c r="Q652" s="84" cm="1">
        <f t="array" ref="Q652">SUM(INDEX(_xlfn._xlws.FILTER($B$6:$L$2160, $B$6:$B$2160=N652), 0, 11))</f>
        <v>-144.9</v>
      </c>
    </row>
    <row r="653" spans="2:17" x14ac:dyDescent="0.2">
      <c r="B653">
        <v>10492</v>
      </c>
      <c r="C653">
        <v>42</v>
      </c>
      <c r="D653" s="84">
        <v>11.2</v>
      </c>
      <c r="E653">
        <v>20</v>
      </c>
      <c r="F653" s="85">
        <v>0.05</v>
      </c>
      <c r="G653" s="86">
        <f t="shared" si="50"/>
        <v>224</v>
      </c>
      <c r="H653" s="86">
        <f t="shared" si="51"/>
        <v>11.200000000000001</v>
      </c>
      <c r="I653" s="86">
        <f t="shared" si="52"/>
        <v>212.8</v>
      </c>
      <c r="J653" s="84">
        <f>VLOOKUP(C653, Products[], 6)</f>
        <v>14</v>
      </c>
      <c r="K653" s="86">
        <f t="shared" si="53"/>
        <v>280</v>
      </c>
      <c r="L653" s="86">
        <f t="shared" si="54"/>
        <v>-67.199999999999989</v>
      </c>
      <c r="N653">
        <v>10895</v>
      </c>
      <c r="O653" s="84" cm="1">
        <f t="array" ref="O653">SUM(INDEX(_xlfn._xlws.FILTER($B$6:$L$2160, $B$6:$B$2160=N653), 0, 8))</f>
        <v>6379.4</v>
      </c>
      <c r="P653" s="84" cm="1">
        <f t="array" ref="P653">SUM(INDEX(_xlfn._xlws.FILTER($B$6:$L$2160, $B$6:$B$2160=N653), 0, 10))</f>
        <v>6379.4</v>
      </c>
      <c r="Q653" s="84" cm="1">
        <f t="array" ref="Q653">SUM(INDEX(_xlfn._xlws.FILTER($B$6:$L$2160, $B$6:$B$2160=N653), 0, 11))</f>
        <v>0</v>
      </c>
    </row>
    <row r="654" spans="2:17" x14ac:dyDescent="0.2">
      <c r="B654">
        <v>10493</v>
      </c>
      <c r="C654">
        <v>65</v>
      </c>
      <c r="D654" s="84">
        <v>16.8</v>
      </c>
      <c r="E654">
        <v>15</v>
      </c>
      <c r="F654" s="85">
        <v>0.1</v>
      </c>
      <c r="G654" s="86">
        <f t="shared" si="50"/>
        <v>252</v>
      </c>
      <c r="H654" s="86">
        <f t="shared" si="51"/>
        <v>25.200000000000003</v>
      </c>
      <c r="I654" s="86">
        <f t="shared" si="52"/>
        <v>226.8</v>
      </c>
      <c r="J654" s="84">
        <f>VLOOKUP(C654, Products[], 6)</f>
        <v>21.05</v>
      </c>
      <c r="K654" s="86">
        <f t="shared" si="53"/>
        <v>315.75</v>
      </c>
      <c r="L654" s="86">
        <f t="shared" si="54"/>
        <v>-88.949999999999989</v>
      </c>
      <c r="N654">
        <v>10896</v>
      </c>
      <c r="O654" s="84" cm="1">
        <f t="array" ref="O654">SUM(INDEX(_xlfn._xlws.FILTER($B$6:$L$2160, $B$6:$B$2160=N654), 0, 8))</f>
        <v>750.5</v>
      </c>
      <c r="P654" s="84" cm="1">
        <f t="array" ref="P654">SUM(INDEX(_xlfn._xlws.FILTER($B$6:$L$2160, $B$6:$B$2160=N654), 0, 10))</f>
        <v>750.5</v>
      </c>
      <c r="Q654" s="84" cm="1">
        <f t="array" ref="Q654">SUM(INDEX(_xlfn._xlws.FILTER($B$6:$L$2160, $B$6:$B$2160=N654), 0, 11))</f>
        <v>0</v>
      </c>
    </row>
    <row r="655" spans="2:17" x14ac:dyDescent="0.2">
      <c r="B655">
        <v>10493</v>
      </c>
      <c r="C655">
        <v>66</v>
      </c>
      <c r="D655" s="84">
        <v>13.6</v>
      </c>
      <c r="E655">
        <v>10</v>
      </c>
      <c r="F655" s="85">
        <v>0.1</v>
      </c>
      <c r="G655" s="86">
        <f t="shared" si="50"/>
        <v>136</v>
      </c>
      <c r="H655" s="86">
        <f t="shared" si="51"/>
        <v>13.600000000000001</v>
      </c>
      <c r="I655" s="86">
        <f t="shared" si="52"/>
        <v>122.4</v>
      </c>
      <c r="J655" s="84">
        <f>VLOOKUP(C655, Products[], 6)</f>
        <v>17</v>
      </c>
      <c r="K655" s="86">
        <f t="shared" si="53"/>
        <v>170</v>
      </c>
      <c r="L655" s="86">
        <f t="shared" si="54"/>
        <v>-47.599999999999994</v>
      </c>
      <c r="N655">
        <v>10897</v>
      </c>
      <c r="O655" s="84" cm="1">
        <f t="array" ref="O655">SUM(INDEX(_xlfn._xlws.FILTER($B$6:$L$2160, $B$6:$B$2160=N655), 0, 8))</f>
        <v>10835.240000000002</v>
      </c>
      <c r="P655" s="84" cm="1">
        <f t="array" ref="P655">SUM(INDEX(_xlfn._xlws.FILTER($B$6:$L$2160, $B$6:$B$2160=N655), 0, 10))</f>
        <v>10835.240000000002</v>
      </c>
      <c r="Q655" s="84" cm="1">
        <f t="array" ref="Q655">SUM(INDEX(_xlfn._xlws.FILTER($B$6:$L$2160, $B$6:$B$2160=N655), 0, 11))</f>
        <v>0</v>
      </c>
    </row>
    <row r="656" spans="2:17" x14ac:dyDescent="0.2">
      <c r="B656">
        <v>10493</v>
      </c>
      <c r="C656">
        <v>69</v>
      </c>
      <c r="D656" s="84">
        <v>28.8</v>
      </c>
      <c r="E656">
        <v>10</v>
      </c>
      <c r="F656" s="85">
        <v>0.1</v>
      </c>
      <c r="G656" s="86">
        <f t="shared" si="50"/>
        <v>288</v>
      </c>
      <c r="H656" s="86">
        <f t="shared" si="51"/>
        <v>28.8</v>
      </c>
      <c r="I656" s="86">
        <f t="shared" si="52"/>
        <v>259.2</v>
      </c>
      <c r="J656" s="84">
        <f>VLOOKUP(C656, Products[], 6)</f>
        <v>36</v>
      </c>
      <c r="K656" s="86">
        <f t="shared" si="53"/>
        <v>360</v>
      </c>
      <c r="L656" s="86">
        <f t="shared" si="54"/>
        <v>-100.80000000000001</v>
      </c>
      <c r="N656">
        <v>10898</v>
      </c>
      <c r="O656" s="84" cm="1">
        <f t="array" ref="O656">SUM(INDEX(_xlfn._xlws.FILTER($B$6:$L$2160, $B$6:$B$2160=N656), 0, 8))</f>
        <v>30</v>
      </c>
      <c r="P656" s="84" cm="1">
        <f t="array" ref="P656">SUM(INDEX(_xlfn._xlws.FILTER($B$6:$L$2160, $B$6:$B$2160=N656), 0, 10))</f>
        <v>30</v>
      </c>
      <c r="Q656" s="84" cm="1">
        <f t="array" ref="Q656">SUM(INDEX(_xlfn._xlws.FILTER($B$6:$L$2160, $B$6:$B$2160=N656), 0, 11))</f>
        <v>0</v>
      </c>
    </row>
    <row r="657" spans="2:17" x14ac:dyDescent="0.2">
      <c r="B657">
        <v>10494</v>
      </c>
      <c r="C657">
        <v>56</v>
      </c>
      <c r="D657" s="84">
        <v>30.4</v>
      </c>
      <c r="E657">
        <v>30</v>
      </c>
      <c r="F657" s="85">
        <v>0</v>
      </c>
      <c r="G657" s="86">
        <f t="shared" si="50"/>
        <v>912</v>
      </c>
      <c r="H657" s="86">
        <f t="shared" si="51"/>
        <v>0</v>
      </c>
      <c r="I657" s="86">
        <f t="shared" si="52"/>
        <v>912</v>
      </c>
      <c r="J657" s="84">
        <f>VLOOKUP(C657, Products[], 6)</f>
        <v>38</v>
      </c>
      <c r="K657" s="86">
        <f t="shared" si="53"/>
        <v>1140</v>
      </c>
      <c r="L657" s="86">
        <f t="shared" si="54"/>
        <v>-228</v>
      </c>
      <c r="N657">
        <v>10899</v>
      </c>
      <c r="O657" s="84" cm="1">
        <f t="array" ref="O657">SUM(INDEX(_xlfn._xlws.FILTER($B$6:$L$2160, $B$6:$B$2160=N657), 0, 8))</f>
        <v>122.4</v>
      </c>
      <c r="P657" s="84" cm="1">
        <f t="array" ref="P657">SUM(INDEX(_xlfn._xlws.FILTER($B$6:$L$2160, $B$6:$B$2160=N657), 0, 10))</f>
        <v>144</v>
      </c>
      <c r="Q657" s="84" cm="1">
        <f t="array" ref="Q657">SUM(INDEX(_xlfn._xlws.FILTER($B$6:$L$2160, $B$6:$B$2160=N657), 0, 11))</f>
        <v>-21.599999999999994</v>
      </c>
    </row>
    <row r="658" spans="2:17" x14ac:dyDescent="0.2">
      <c r="B658">
        <v>10495</v>
      </c>
      <c r="C658">
        <v>23</v>
      </c>
      <c r="D658" s="84">
        <v>7.2</v>
      </c>
      <c r="E658">
        <v>10</v>
      </c>
      <c r="F658" s="85">
        <v>0</v>
      </c>
      <c r="G658" s="86">
        <f t="shared" si="50"/>
        <v>72</v>
      </c>
      <c r="H658" s="86">
        <f t="shared" si="51"/>
        <v>0</v>
      </c>
      <c r="I658" s="86">
        <f t="shared" si="52"/>
        <v>72</v>
      </c>
      <c r="J658" s="84">
        <f>VLOOKUP(C658, Products[], 6)</f>
        <v>9</v>
      </c>
      <c r="K658" s="86">
        <f t="shared" si="53"/>
        <v>90</v>
      </c>
      <c r="L658" s="86">
        <f t="shared" si="54"/>
        <v>-18</v>
      </c>
      <c r="N658">
        <v>10900</v>
      </c>
      <c r="O658" s="84" cm="1">
        <f t="array" ref="O658">SUM(INDEX(_xlfn._xlws.FILTER($B$6:$L$2160, $B$6:$B$2160=N658), 0, 8))</f>
        <v>33.75</v>
      </c>
      <c r="P658" s="84" cm="1">
        <f t="array" ref="P658">SUM(INDEX(_xlfn._xlws.FILTER($B$6:$L$2160, $B$6:$B$2160=N658), 0, 10))</f>
        <v>45</v>
      </c>
      <c r="Q658" s="84" cm="1">
        <f t="array" ref="Q658">SUM(INDEX(_xlfn._xlws.FILTER($B$6:$L$2160, $B$6:$B$2160=N658), 0, 11))</f>
        <v>-11.25</v>
      </c>
    </row>
    <row r="659" spans="2:17" x14ac:dyDescent="0.2">
      <c r="B659">
        <v>10495</v>
      </c>
      <c r="C659">
        <v>41</v>
      </c>
      <c r="D659" s="84">
        <v>7.7</v>
      </c>
      <c r="E659">
        <v>20</v>
      </c>
      <c r="F659" s="85">
        <v>0</v>
      </c>
      <c r="G659" s="86">
        <f t="shared" si="50"/>
        <v>154</v>
      </c>
      <c r="H659" s="86">
        <f t="shared" si="51"/>
        <v>0</v>
      </c>
      <c r="I659" s="86">
        <f t="shared" si="52"/>
        <v>154</v>
      </c>
      <c r="J659" s="84">
        <f>VLOOKUP(C659, Products[], 6)</f>
        <v>9.65</v>
      </c>
      <c r="K659" s="86">
        <f t="shared" si="53"/>
        <v>193</v>
      </c>
      <c r="L659" s="86">
        <f t="shared" si="54"/>
        <v>-39</v>
      </c>
      <c r="N659">
        <v>10901</v>
      </c>
      <c r="O659" s="84" cm="1">
        <f t="array" ref="O659">SUM(INDEX(_xlfn._xlws.FILTER($B$6:$L$2160, $B$6:$B$2160=N659), 0, 8))</f>
        <v>934.5</v>
      </c>
      <c r="P659" s="84" cm="1">
        <f t="array" ref="P659">SUM(INDEX(_xlfn._xlws.FILTER($B$6:$L$2160, $B$6:$B$2160=N659), 0, 10))</f>
        <v>934.5</v>
      </c>
      <c r="Q659" s="84" cm="1">
        <f t="array" ref="Q659">SUM(INDEX(_xlfn._xlws.FILTER($B$6:$L$2160, $B$6:$B$2160=N659), 0, 11))</f>
        <v>0</v>
      </c>
    </row>
    <row r="660" spans="2:17" x14ac:dyDescent="0.2">
      <c r="B660">
        <v>10495</v>
      </c>
      <c r="C660">
        <v>77</v>
      </c>
      <c r="D660" s="84">
        <v>10.4</v>
      </c>
      <c r="E660">
        <v>5</v>
      </c>
      <c r="F660" s="85">
        <v>0</v>
      </c>
      <c r="G660" s="86">
        <f t="shared" si="50"/>
        <v>52</v>
      </c>
      <c r="H660" s="86">
        <f t="shared" si="51"/>
        <v>0</v>
      </c>
      <c r="I660" s="86">
        <f t="shared" si="52"/>
        <v>52</v>
      </c>
      <c r="J660" s="84">
        <f>VLOOKUP(C660, Products[], 6)</f>
        <v>13</v>
      </c>
      <c r="K660" s="86">
        <f t="shared" si="53"/>
        <v>65</v>
      </c>
      <c r="L660" s="86">
        <f t="shared" si="54"/>
        <v>-13</v>
      </c>
      <c r="N660">
        <v>10902</v>
      </c>
      <c r="O660" s="84" cm="1">
        <f t="array" ref="O660">SUM(INDEX(_xlfn._xlws.FILTER($B$6:$L$2160, $B$6:$B$2160=N660), 0, 8))</f>
        <v>863.43</v>
      </c>
      <c r="P660" s="84" cm="1">
        <f t="array" ref="P660">SUM(INDEX(_xlfn._xlws.FILTER($B$6:$L$2160, $B$6:$B$2160=N660), 0, 10))</f>
        <v>1015.8</v>
      </c>
      <c r="Q660" s="84" cm="1">
        <f t="array" ref="Q660">SUM(INDEX(_xlfn._xlws.FILTER($B$6:$L$2160, $B$6:$B$2160=N660), 0, 11))</f>
        <v>-152.37</v>
      </c>
    </row>
    <row r="661" spans="2:17" x14ac:dyDescent="0.2">
      <c r="B661">
        <v>10496</v>
      </c>
      <c r="C661">
        <v>31</v>
      </c>
      <c r="D661" s="84">
        <v>10</v>
      </c>
      <c r="E661">
        <v>20</v>
      </c>
      <c r="F661" s="85">
        <v>0.05</v>
      </c>
      <c r="G661" s="86">
        <f t="shared" si="50"/>
        <v>200</v>
      </c>
      <c r="H661" s="86">
        <f t="shared" si="51"/>
        <v>10</v>
      </c>
      <c r="I661" s="86">
        <f t="shared" si="52"/>
        <v>190</v>
      </c>
      <c r="J661" s="84">
        <f>VLOOKUP(C661, Products[], 6)</f>
        <v>12.5</v>
      </c>
      <c r="K661" s="86">
        <f t="shared" si="53"/>
        <v>250</v>
      </c>
      <c r="L661" s="86">
        <f t="shared" si="54"/>
        <v>-60</v>
      </c>
      <c r="N661">
        <v>10903</v>
      </c>
      <c r="O661" s="84" cm="1">
        <f t="array" ref="O661">SUM(INDEX(_xlfn._xlws.FILTER($B$6:$L$2160, $B$6:$B$2160=N661), 0, 8))</f>
        <v>932.05</v>
      </c>
      <c r="P661" s="84" cm="1">
        <f t="array" ref="P661">SUM(INDEX(_xlfn._xlws.FILTER($B$6:$L$2160, $B$6:$B$2160=N661), 0, 10))</f>
        <v>932.05</v>
      </c>
      <c r="Q661" s="84" cm="1">
        <f t="array" ref="Q661">SUM(INDEX(_xlfn._xlws.FILTER($B$6:$L$2160, $B$6:$B$2160=N661), 0, 11))</f>
        <v>0</v>
      </c>
    </row>
    <row r="662" spans="2:17" x14ac:dyDescent="0.2">
      <c r="B662">
        <v>10497</v>
      </c>
      <c r="C662">
        <v>56</v>
      </c>
      <c r="D662" s="84">
        <v>30.4</v>
      </c>
      <c r="E662">
        <v>14</v>
      </c>
      <c r="F662" s="85">
        <v>0</v>
      </c>
      <c r="G662" s="86">
        <f t="shared" si="50"/>
        <v>425.59999999999997</v>
      </c>
      <c r="H662" s="86">
        <f t="shared" si="51"/>
        <v>0</v>
      </c>
      <c r="I662" s="86">
        <f t="shared" si="52"/>
        <v>425.59999999999997</v>
      </c>
      <c r="J662" s="84">
        <f>VLOOKUP(C662, Products[], 6)</f>
        <v>38</v>
      </c>
      <c r="K662" s="86">
        <f t="shared" si="53"/>
        <v>532</v>
      </c>
      <c r="L662" s="86">
        <f t="shared" si="54"/>
        <v>-106.40000000000003</v>
      </c>
      <c r="N662">
        <v>10904</v>
      </c>
      <c r="O662" s="84" cm="1">
        <f t="array" ref="O662">SUM(INDEX(_xlfn._xlws.FILTER($B$6:$L$2160, $B$6:$B$2160=N662), 0, 8))</f>
        <v>1924.25</v>
      </c>
      <c r="P662" s="84" cm="1">
        <f t="array" ref="P662">SUM(INDEX(_xlfn._xlws.FILTER($B$6:$L$2160, $B$6:$B$2160=N662), 0, 10))</f>
        <v>1924.25</v>
      </c>
      <c r="Q662" s="84" cm="1">
        <f t="array" ref="Q662">SUM(INDEX(_xlfn._xlws.FILTER($B$6:$L$2160, $B$6:$B$2160=N662), 0, 11))</f>
        <v>0</v>
      </c>
    </row>
    <row r="663" spans="2:17" x14ac:dyDescent="0.2">
      <c r="B663">
        <v>10497</v>
      </c>
      <c r="C663">
        <v>72</v>
      </c>
      <c r="D663" s="84">
        <v>27.8</v>
      </c>
      <c r="E663">
        <v>25</v>
      </c>
      <c r="F663" s="85">
        <v>0</v>
      </c>
      <c r="G663" s="86">
        <f t="shared" si="50"/>
        <v>695</v>
      </c>
      <c r="H663" s="86">
        <f t="shared" si="51"/>
        <v>0</v>
      </c>
      <c r="I663" s="86">
        <f t="shared" si="52"/>
        <v>695</v>
      </c>
      <c r="J663" s="84">
        <f>VLOOKUP(C663, Products[], 6)</f>
        <v>34.799999999999997</v>
      </c>
      <c r="K663" s="86">
        <f t="shared" si="53"/>
        <v>869.99999999999989</v>
      </c>
      <c r="L663" s="86">
        <f t="shared" si="54"/>
        <v>-174.99999999999989</v>
      </c>
      <c r="N663">
        <v>10905</v>
      </c>
      <c r="O663" s="84" cm="1">
        <f t="array" ref="O663">SUM(INDEX(_xlfn._xlws.FILTER($B$6:$L$2160, $B$6:$B$2160=N663), 0, 8))</f>
        <v>342</v>
      </c>
      <c r="P663" s="84" cm="1">
        <f t="array" ref="P663">SUM(INDEX(_xlfn._xlws.FILTER($B$6:$L$2160, $B$6:$B$2160=N663), 0, 10))</f>
        <v>360</v>
      </c>
      <c r="Q663" s="84" cm="1">
        <f t="array" ref="Q663">SUM(INDEX(_xlfn._xlws.FILTER($B$6:$L$2160, $B$6:$B$2160=N663), 0, 11))</f>
        <v>-18</v>
      </c>
    </row>
    <row r="664" spans="2:17" x14ac:dyDescent="0.2">
      <c r="B664">
        <v>10497</v>
      </c>
      <c r="C664">
        <v>77</v>
      </c>
      <c r="D664" s="84">
        <v>10.4</v>
      </c>
      <c r="E664">
        <v>25</v>
      </c>
      <c r="F664" s="85">
        <v>0</v>
      </c>
      <c r="G664" s="86">
        <f t="shared" si="50"/>
        <v>260</v>
      </c>
      <c r="H664" s="86">
        <f t="shared" si="51"/>
        <v>0</v>
      </c>
      <c r="I664" s="86">
        <f t="shared" si="52"/>
        <v>260</v>
      </c>
      <c r="J664" s="84">
        <f>VLOOKUP(C664, Products[], 6)</f>
        <v>13</v>
      </c>
      <c r="K664" s="86">
        <f t="shared" si="53"/>
        <v>325</v>
      </c>
      <c r="L664" s="86">
        <f t="shared" si="54"/>
        <v>-65</v>
      </c>
      <c r="N664">
        <v>10906</v>
      </c>
      <c r="O664" s="84" cm="1">
        <f t="array" ref="O664">SUM(INDEX(_xlfn._xlws.FILTER($B$6:$L$2160, $B$6:$B$2160=N664), 0, 8))</f>
        <v>427.5</v>
      </c>
      <c r="P664" s="84" cm="1">
        <f t="array" ref="P664">SUM(INDEX(_xlfn._xlws.FILTER($B$6:$L$2160, $B$6:$B$2160=N664), 0, 10))</f>
        <v>427.5</v>
      </c>
      <c r="Q664" s="84" cm="1">
        <f t="array" ref="Q664">SUM(INDEX(_xlfn._xlws.FILTER($B$6:$L$2160, $B$6:$B$2160=N664), 0, 11))</f>
        <v>0</v>
      </c>
    </row>
    <row r="665" spans="2:17" x14ac:dyDescent="0.2">
      <c r="B665">
        <v>10498</v>
      </c>
      <c r="C665">
        <v>24</v>
      </c>
      <c r="D665" s="84">
        <v>4.5</v>
      </c>
      <c r="E665">
        <v>14</v>
      </c>
      <c r="F665" s="85">
        <v>0</v>
      </c>
      <c r="G665" s="86">
        <f t="shared" si="50"/>
        <v>63</v>
      </c>
      <c r="H665" s="86">
        <f t="shared" si="51"/>
        <v>0</v>
      </c>
      <c r="I665" s="86">
        <f t="shared" si="52"/>
        <v>63</v>
      </c>
      <c r="J665" s="84">
        <f>VLOOKUP(C665, Products[], 6)</f>
        <v>4.5</v>
      </c>
      <c r="K665" s="86">
        <f t="shared" si="53"/>
        <v>63</v>
      </c>
      <c r="L665" s="86">
        <f t="shared" si="54"/>
        <v>0</v>
      </c>
      <c r="N665">
        <v>10907</v>
      </c>
      <c r="O665" s="84" cm="1">
        <f t="array" ref="O665">SUM(INDEX(_xlfn._xlws.FILTER($B$6:$L$2160, $B$6:$B$2160=N665), 0, 8))</f>
        <v>108.5</v>
      </c>
      <c r="P665" s="84" cm="1">
        <f t="array" ref="P665">SUM(INDEX(_xlfn._xlws.FILTER($B$6:$L$2160, $B$6:$B$2160=N665), 0, 10))</f>
        <v>108.5</v>
      </c>
      <c r="Q665" s="84" cm="1">
        <f t="array" ref="Q665">SUM(INDEX(_xlfn._xlws.FILTER($B$6:$L$2160, $B$6:$B$2160=N665), 0, 11))</f>
        <v>0</v>
      </c>
    </row>
    <row r="666" spans="2:17" x14ac:dyDescent="0.2">
      <c r="B666">
        <v>10498</v>
      </c>
      <c r="C666">
        <v>40</v>
      </c>
      <c r="D666" s="84">
        <v>18.399999999999999</v>
      </c>
      <c r="E666">
        <v>5</v>
      </c>
      <c r="F666" s="85">
        <v>0</v>
      </c>
      <c r="G666" s="86">
        <f t="shared" si="50"/>
        <v>92</v>
      </c>
      <c r="H666" s="86">
        <f t="shared" si="51"/>
        <v>0</v>
      </c>
      <c r="I666" s="86">
        <f t="shared" si="52"/>
        <v>92</v>
      </c>
      <c r="J666" s="84">
        <f>VLOOKUP(C666, Products[], 6)</f>
        <v>18.399999999999999</v>
      </c>
      <c r="K666" s="86">
        <f t="shared" si="53"/>
        <v>92</v>
      </c>
      <c r="L666" s="86">
        <f t="shared" si="54"/>
        <v>0</v>
      </c>
      <c r="N666">
        <v>10908</v>
      </c>
      <c r="O666" s="84" cm="1">
        <f t="array" ref="O666">SUM(INDEX(_xlfn._xlws.FILTER($B$6:$L$2160, $B$6:$B$2160=N666), 0, 8))</f>
        <v>663.1</v>
      </c>
      <c r="P666" s="84" cm="1">
        <f t="array" ref="P666">SUM(INDEX(_xlfn._xlws.FILTER($B$6:$L$2160, $B$6:$B$2160=N666), 0, 10))</f>
        <v>698</v>
      </c>
      <c r="Q666" s="84" cm="1">
        <f t="array" ref="Q666">SUM(INDEX(_xlfn._xlws.FILTER($B$6:$L$2160, $B$6:$B$2160=N666), 0, 11))</f>
        <v>-34.900000000000006</v>
      </c>
    </row>
    <row r="667" spans="2:17" x14ac:dyDescent="0.2">
      <c r="B667">
        <v>10498</v>
      </c>
      <c r="C667">
        <v>42</v>
      </c>
      <c r="D667" s="84">
        <v>14</v>
      </c>
      <c r="E667">
        <v>30</v>
      </c>
      <c r="F667" s="85">
        <v>0</v>
      </c>
      <c r="G667" s="86">
        <f t="shared" si="50"/>
        <v>420</v>
      </c>
      <c r="H667" s="86">
        <f t="shared" si="51"/>
        <v>0</v>
      </c>
      <c r="I667" s="86">
        <f t="shared" si="52"/>
        <v>420</v>
      </c>
      <c r="J667" s="84">
        <f>VLOOKUP(C667, Products[], 6)</f>
        <v>14</v>
      </c>
      <c r="K667" s="86">
        <f t="shared" si="53"/>
        <v>420</v>
      </c>
      <c r="L667" s="86">
        <f t="shared" si="54"/>
        <v>0</v>
      </c>
      <c r="N667">
        <v>10909</v>
      </c>
      <c r="O667" s="84" cm="1">
        <f t="array" ref="O667">SUM(INDEX(_xlfn._xlws.FILTER($B$6:$L$2160, $B$6:$B$2160=N667), 0, 8))</f>
        <v>670</v>
      </c>
      <c r="P667" s="84" cm="1">
        <f t="array" ref="P667">SUM(INDEX(_xlfn._xlws.FILTER($B$6:$L$2160, $B$6:$B$2160=N667), 0, 10))</f>
        <v>670</v>
      </c>
      <c r="Q667" s="84" cm="1">
        <f t="array" ref="Q667">SUM(INDEX(_xlfn._xlws.FILTER($B$6:$L$2160, $B$6:$B$2160=N667), 0, 11))</f>
        <v>0</v>
      </c>
    </row>
    <row r="668" spans="2:17" x14ac:dyDescent="0.2">
      <c r="B668">
        <v>10499</v>
      </c>
      <c r="C668">
        <v>28</v>
      </c>
      <c r="D668" s="84">
        <v>45.6</v>
      </c>
      <c r="E668">
        <v>20</v>
      </c>
      <c r="F668" s="85">
        <v>0</v>
      </c>
      <c r="G668" s="86">
        <f t="shared" si="50"/>
        <v>912</v>
      </c>
      <c r="H668" s="86">
        <f t="shared" si="51"/>
        <v>0</v>
      </c>
      <c r="I668" s="86">
        <f t="shared" si="52"/>
        <v>912</v>
      </c>
      <c r="J668" s="84">
        <f>VLOOKUP(C668, Products[], 6)</f>
        <v>45.6</v>
      </c>
      <c r="K668" s="86">
        <f t="shared" si="53"/>
        <v>912</v>
      </c>
      <c r="L668" s="86">
        <f t="shared" si="54"/>
        <v>0</v>
      </c>
      <c r="N668">
        <v>10910</v>
      </c>
      <c r="O668" s="84" cm="1">
        <f t="array" ref="O668">SUM(INDEX(_xlfn._xlws.FILTER($B$6:$L$2160, $B$6:$B$2160=N668), 0, 8))</f>
        <v>452.9</v>
      </c>
      <c r="P668" s="84" cm="1">
        <f t="array" ref="P668">SUM(INDEX(_xlfn._xlws.FILTER($B$6:$L$2160, $B$6:$B$2160=N668), 0, 10))</f>
        <v>452.9</v>
      </c>
      <c r="Q668" s="84" cm="1">
        <f t="array" ref="Q668">SUM(INDEX(_xlfn._xlws.FILTER($B$6:$L$2160, $B$6:$B$2160=N668), 0, 11))</f>
        <v>0</v>
      </c>
    </row>
    <row r="669" spans="2:17" x14ac:dyDescent="0.2">
      <c r="B669">
        <v>10499</v>
      </c>
      <c r="C669">
        <v>49</v>
      </c>
      <c r="D669" s="84">
        <v>20</v>
      </c>
      <c r="E669">
        <v>25</v>
      </c>
      <c r="F669" s="85">
        <v>0</v>
      </c>
      <c r="G669" s="86">
        <f t="shared" si="50"/>
        <v>500</v>
      </c>
      <c r="H669" s="86">
        <f t="shared" si="51"/>
        <v>0</v>
      </c>
      <c r="I669" s="86">
        <f t="shared" si="52"/>
        <v>500</v>
      </c>
      <c r="J669" s="84">
        <f>VLOOKUP(C669, Products[], 6)</f>
        <v>20</v>
      </c>
      <c r="K669" s="86">
        <f t="shared" si="53"/>
        <v>500</v>
      </c>
      <c r="L669" s="86">
        <f t="shared" si="54"/>
        <v>0</v>
      </c>
      <c r="N669">
        <v>10911</v>
      </c>
      <c r="O669" s="84" cm="1">
        <f t="array" ref="O669">SUM(INDEX(_xlfn._xlws.FILTER($B$6:$L$2160, $B$6:$B$2160=N669), 0, 8))</f>
        <v>858</v>
      </c>
      <c r="P669" s="84" cm="1">
        <f t="array" ref="P669">SUM(INDEX(_xlfn._xlws.FILTER($B$6:$L$2160, $B$6:$B$2160=N669), 0, 10))</f>
        <v>858</v>
      </c>
      <c r="Q669" s="84" cm="1">
        <f t="array" ref="Q669">SUM(INDEX(_xlfn._xlws.FILTER($B$6:$L$2160, $B$6:$B$2160=N669), 0, 11))</f>
        <v>0</v>
      </c>
    </row>
    <row r="670" spans="2:17" x14ac:dyDescent="0.2">
      <c r="B670">
        <v>10500</v>
      </c>
      <c r="C670">
        <v>15</v>
      </c>
      <c r="D670" s="84">
        <v>15.5</v>
      </c>
      <c r="E670">
        <v>12</v>
      </c>
      <c r="F670" s="85">
        <v>0.05</v>
      </c>
      <c r="G670" s="86">
        <f t="shared" si="50"/>
        <v>186</v>
      </c>
      <c r="H670" s="86">
        <f t="shared" si="51"/>
        <v>9.3000000000000007</v>
      </c>
      <c r="I670" s="86">
        <f t="shared" si="52"/>
        <v>176.7</v>
      </c>
      <c r="J670" s="84">
        <f>VLOOKUP(C670, Products[], 6)</f>
        <v>15.5</v>
      </c>
      <c r="K670" s="86">
        <f t="shared" si="53"/>
        <v>186</v>
      </c>
      <c r="L670" s="86">
        <f t="shared" si="54"/>
        <v>-9.3000000000000114</v>
      </c>
      <c r="N670">
        <v>10912</v>
      </c>
      <c r="O670" s="84" cm="1">
        <f t="array" ref="O670">SUM(INDEX(_xlfn._xlws.FILTER($B$6:$L$2160, $B$6:$B$2160=N670), 0, 8))</f>
        <v>6200.55</v>
      </c>
      <c r="P670" s="84" cm="1">
        <f t="array" ref="P670">SUM(INDEX(_xlfn._xlws.FILTER($B$6:$L$2160, $B$6:$B$2160=N670), 0, 10))</f>
        <v>8267.4000000000015</v>
      </c>
      <c r="Q670" s="84" cm="1">
        <f t="array" ref="Q670">SUM(INDEX(_xlfn._xlws.FILTER($B$6:$L$2160, $B$6:$B$2160=N670), 0, 11))</f>
        <v>-2066.8500000000004</v>
      </c>
    </row>
    <row r="671" spans="2:17" x14ac:dyDescent="0.2">
      <c r="B671">
        <v>10500</v>
      </c>
      <c r="C671">
        <v>28</v>
      </c>
      <c r="D671" s="84">
        <v>45.6</v>
      </c>
      <c r="E671">
        <v>8</v>
      </c>
      <c r="F671" s="85">
        <v>0.05</v>
      </c>
      <c r="G671" s="86">
        <f t="shared" si="50"/>
        <v>364.8</v>
      </c>
      <c r="H671" s="86">
        <f t="shared" si="51"/>
        <v>18.240000000000002</v>
      </c>
      <c r="I671" s="86">
        <f t="shared" si="52"/>
        <v>346.56</v>
      </c>
      <c r="J671" s="84">
        <f>VLOOKUP(C671, Products[], 6)</f>
        <v>45.6</v>
      </c>
      <c r="K671" s="86">
        <f t="shared" si="53"/>
        <v>364.8</v>
      </c>
      <c r="L671" s="86">
        <f t="shared" si="54"/>
        <v>-18.240000000000009</v>
      </c>
      <c r="N671">
        <v>10913</v>
      </c>
      <c r="O671" s="84" cm="1">
        <f t="array" ref="O671">SUM(INDEX(_xlfn._xlws.FILTER($B$6:$L$2160, $B$6:$B$2160=N671), 0, 8))</f>
        <v>768.75</v>
      </c>
      <c r="P671" s="84" cm="1">
        <f t="array" ref="P671">SUM(INDEX(_xlfn._xlws.FILTER($B$6:$L$2160, $B$6:$B$2160=N671), 0, 10))</f>
        <v>958.75</v>
      </c>
      <c r="Q671" s="84" cm="1">
        <f t="array" ref="Q671">SUM(INDEX(_xlfn._xlws.FILTER($B$6:$L$2160, $B$6:$B$2160=N671), 0, 11))</f>
        <v>-190</v>
      </c>
    </row>
    <row r="672" spans="2:17" x14ac:dyDescent="0.2">
      <c r="B672">
        <v>10501</v>
      </c>
      <c r="C672">
        <v>54</v>
      </c>
      <c r="D672" s="84">
        <v>7.45</v>
      </c>
      <c r="E672">
        <v>20</v>
      </c>
      <c r="F672" s="85">
        <v>0</v>
      </c>
      <c r="G672" s="86">
        <f t="shared" si="50"/>
        <v>149</v>
      </c>
      <c r="H672" s="86">
        <f t="shared" si="51"/>
        <v>0</v>
      </c>
      <c r="I672" s="86">
        <f t="shared" si="52"/>
        <v>149</v>
      </c>
      <c r="J672" s="84">
        <f>VLOOKUP(C672, Products[], 6)</f>
        <v>7.45</v>
      </c>
      <c r="K672" s="86">
        <f t="shared" si="53"/>
        <v>149</v>
      </c>
      <c r="L672" s="86">
        <f t="shared" si="54"/>
        <v>0</v>
      </c>
      <c r="N672">
        <v>10914</v>
      </c>
      <c r="O672" s="84" cm="1">
        <f t="array" ref="O672">SUM(INDEX(_xlfn._xlws.FILTER($B$6:$L$2160, $B$6:$B$2160=N672), 0, 8))</f>
        <v>537.5</v>
      </c>
      <c r="P672" s="84" cm="1">
        <f t="array" ref="P672">SUM(INDEX(_xlfn._xlws.FILTER($B$6:$L$2160, $B$6:$B$2160=N672), 0, 10))</f>
        <v>537.5</v>
      </c>
      <c r="Q672" s="84" cm="1">
        <f t="array" ref="Q672">SUM(INDEX(_xlfn._xlws.FILTER($B$6:$L$2160, $B$6:$B$2160=N672), 0, 11))</f>
        <v>0</v>
      </c>
    </row>
    <row r="673" spans="2:17" x14ac:dyDescent="0.2">
      <c r="B673">
        <v>10502</v>
      </c>
      <c r="C673">
        <v>45</v>
      </c>
      <c r="D673" s="84">
        <v>9.5</v>
      </c>
      <c r="E673">
        <v>21</v>
      </c>
      <c r="F673" s="85">
        <v>0</v>
      </c>
      <c r="G673" s="86">
        <f t="shared" si="50"/>
        <v>199.5</v>
      </c>
      <c r="H673" s="86">
        <f t="shared" si="51"/>
        <v>0</v>
      </c>
      <c r="I673" s="86">
        <f t="shared" si="52"/>
        <v>199.5</v>
      </c>
      <c r="J673" s="84">
        <f>VLOOKUP(C673, Products[], 6)</f>
        <v>9.5</v>
      </c>
      <c r="K673" s="86">
        <f t="shared" si="53"/>
        <v>199.5</v>
      </c>
      <c r="L673" s="86">
        <f t="shared" si="54"/>
        <v>0</v>
      </c>
      <c r="N673">
        <v>10915</v>
      </c>
      <c r="O673" s="84" cm="1">
        <f t="array" ref="O673">SUM(INDEX(_xlfn._xlws.FILTER($B$6:$L$2160, $B$6:$B$2160=N673), 0, 8))</f>
        <v>539.5</v>
      </c>
      <c r="P673" s="84" cm="1">
        <f t="array" ref="P673">SUM(INDEX(_xlfn._xlws.FILTER($B$6:$L$2160, $B$6:$B$2160=N673), 0, 10))</f>
        <v>539.5</v>
      </c>
      <c r="Q673" s="84" cm="1">
        <f t="array" ref="Q673">SUM(INDEX(_xlfn._xlws.FILTER($B$6:$L$2160, $B$6:$B$2160=N673), 0, 11))</f>
        <v>0</v>
      </c>
    </row>
    <row r="674" spans="2:17" x14ac:dyDescent="0.2">
      <c r="B674">
        <v>10502</v>
      </c>
      <c r="C674">
        <v>53</v>
      </c>
      <c r="D674" s="84">
        <v>32.799999999999997</v>
      </c>
      <c r="E674">
        <v>6</v>
      </c>
      <c r="F674" s="85">
        <v>0</v>
      </c>
      <c r="G674" s="86">
        <f t="shared" si="50"/>
        <v>196.79999999999998</v>
      </c>
      <c r="H674" s="86">
        <f t="shared" si="51"/>
        <v>0</v>
      </c>
      <c r="I674" s="86">
        <f t="shared" si="52"/>
        <v>196.79999999999998</v>
      </c>
      <c r="J674" s="84">
        <f>VLOOKUP(C674, Products[], 6)</f>
        <v>32.799999999999997</v>
      </c>
      <c r="K674" s="86">
        <f t="shared" si="53"/>
        <v>196.79999999999998</v>
      </c>
      <c r="L674" s="86">
        <f t="shared" si="54"/>
        <v>0</v>
      </c>
      <c r="N674">
        <v>10916</v>
      </c>
      <c r="O674" s="84" cm="1">
        <f t="array" ref="O674">SUM(INDEX(_xlfn._xlws.FILTER($B$6:$L$2160, $B$6:$B$2160=N674), 0, 8))</f>
        <v>686.7</v>
      </c>
      <c r="P674" s="84" cm="1">
        <f t="array" ref="P674">SUM(INDEX(_xlfn._xlws.FILTER($B$6:$L$2160, $B$6:$B$2160=N674), 0, 10))</f>
        <v>686.7</v>
      </c>
      <c r="Q674" s="84" cm="1">
        <f t="array" ref="Q674">SUM(INDEX(_xlfn._xlws.FILTER($B$6:$L$2160, $B$6:$B$2160=N674), 0, 11))</f>
        <v>0</v>
      </c>
    </row>
    <row r="675" spans="2:17" x14ac:dyDescent="0.2">
      <c r="B675">
        <v>10502</v>
      </c>
      <c r="C675">
        <v>67</v>
      </c>
      <c r="D675" s="84">
        <v>14</v>
      </c>
      <c r="E675">
        <v>30</v>
      </c>
      <c r="F675" s="85">
        <v>0</v>
      </c>
      <c r="G675" s="86">
        <f t="shared" si="50"/>
        <v>420</v>
      </c>
      <c r="H675" s="86">
        <f t="shared" si="51"/>
        <v>0</v>
      </c>
      <c r="I675" s="86">
        <f t="shared" si="52"/>
        <v>420</v>
      </c>
      <c r="J675" s="84">
        <f>VLOOKUP(C675, Products[], 6)</f>
        <v>14</v>
      </c>
      <c r="K675" s="86">
        <f t="shared" si="53"/>
        <v>420</v>
      </c>
      <c r="L675" s="86">
        <f t="shared" si="54"/>
        <v>0</v>
      </c>
      <c r="N675">
        <v>10917</v>
      </c>
      <c r="O675" s="84" cm="1">
        <f t="array" ref="O675">SUM(INDEX(_xlfn._xlws.FILTER($B$6:$L$2160, $B$6:$B$2160=N675), 0, 8))</f>
        <v>365.89</v>
      </c>
      <c r="P675" s="84" cm="1">
        <f t="array" ref="P675">SUM(INDEX(_xlfn._xlws.FILTER($B$6:$L$2160, $B$6:$B$2160=N675), 0, 10))</f>
        <v>365.89</v>
      </c>
      <c r="Q675" s="84" cm="1">
        <f t="array" ref="Q675">SUM(INDEX(_xlfn._xlws.FILTER($B$6:$L$2160, $B$6:$B$2160=N675), 0, 11))</f>
        <v>0</v>
      </c>
    </row>
    <row r="676" spans="2:17" x14ac:dyDescent="0.2">
      <c r="B676">
        <v>10503</v>
      </c>
      <c r="C676">
        <v>14</v>
      </c>
      <c r="D676" s="84">
        <v>23.25</v>
      </c>
      <c r="E676">
        <v>70</v>
      </c>
      <c r="F676" s="85">
        <v>0</v>
      </c>
      <c r="G676" s="86">
        <f t="shared" si="50"/>
        <v>1627.5</v>
      </c>
      <c r="H676" s="86">
        <f t="shared" si="51"/>
        <v>0</v>
      </c>
      <c r="I676" s="86">
        <f t="shared" si="52"/>
        <v>1627.5</v>
      </c>
      <c r="J676" s="84">
        <f>VLOOKUP(C676, Products[], 6)</f>
        <v>23.25</v>
      </c>
      <c r="K676" s="86">
        <f t="shared" si="53"/>
        <v>1627.5</v>
      </c>
      <c r="L676" s="86">
        <f t="shared" si="54"/>
        <v>0</v>
      </c>
      <c r="N676">
        <v>10918</v>
      </c>
      <c r="O676" s="84" cm="1">
        <f t="array" ref="O676">SUM(INDEX(_xlfn._xlws.FILTER($B$6:$L$2160, $B$6:$B$2160=N676), 0, 8))</f>
        <v>1447.5</v>
      </c>
      <c r="P676" s="84" cm="1">
        <f t="array" ref="P676">SUM(INDEX(_xlfn._xlws.FILTER($B$6:$L$2160, $B$6:$B$2160=N676), 0, 10))</f>
        <v>1930</v>
      </c>
      <c r="Q676" s="84" cm="1">
        <f t="array" ref="Q676">SUM(INDEX(_xlfn._xlws.FILTER($B$6:$L$2160, $B$6:$B$2160=N676), 0, 11))</f>
        <v>-482.5</v>
      </c>
    </row>
    <row r="677" spans="2:17" x14ac:dyDescent="0.2">
      <c r="B677">
        <v>10503</v>
      </c>
      <c r="C677">
        <v>65</v>
      </c>
      <c r="D677" s="84">
        <v>21.05</v>
      </c>
      <c r="E677">
        <v>20</v>
      </c>
      <c r="F677" s="85">
        <v>0</v>
      </c>
      <c r="G677" s="86">
        <f t="shared" si="50"/>
        <v>421</v>
      </c>
      <c r="H677" s="86">
        <f t="shared" si="51"/>
        <v>0</v>
      </c>
      <c r="I677" s="86">
        <f t="shared" si="52"/>
        <v>421</v>
      </c>
      <c r="J677" s="84">
        <f>VLOOKUP(C677, Products[], 6)</f>
        <v>21.05</v>
      </c>
      <c r="K677" s="86">
        <f t="shared" si="53"/>
        <v>421</v>
      </c>
      <c r="L677" s="86">
        <f t="shared" si="54"/>
        <v>0</v>
      </c>
      <c r="N677">
        <v>10919</v>
      </c>
      <c r="O677" s="84" cm="1">
        <f t="array" ref="O677">SUM(INDEX(_xlfn._xlws.FILTER($B$6:$L$2160, $B$6:$B$2160=N677), 0, 8))</f>
        <v>1122.8</v>
      </c>
      <c r="P677" s="84" cm="1">
        <f t="array" ref="P677">SUM(INDEX(_xlfn._xlws.FILTER($B$6:$L$2160, $B$6:$B$2160=N677), 0, 10))</f>
        <v>1122.8</v>
      </c>
      <c r="Q677" s="84" cm="1">
        <f t="array" ref="Q677">SUM(INDEX(_xlfn._xlws.FILTER($B$6:$L$2160, $B$6:$B$2160=N677), 0, 11))</f>
        <v>0</v>
      </c>
    </row>
    <row r="678" spans="2:17" x14ac:dyDescent="0.2">
      <c r="B678">
        <v>10504</v>
      </c>
      <c r="C678">
        <v>2</v>
      </c>
      <c r="D678" s="84">
        <v>19</v>
      </c>
      <c r="E678">
        <v>12</v>
      </c>
      <c r="F678" s="85">
        <v>0</v>
      </c>
      <c r="G678" s="86">
        <f t="shared" si="50"/>
        <v>228</v>
      </c>
      <c r="H678" s="86">
        <f t="shared" si="51"/>
        <v>0</v>
      </c>
      <c r="I678" s="86">
        <f t="shared" si="52"/>
        <v>228</v>
      </c>
      <c r="J678" s="84">
        <f>VLOOKUP(C678, Products[], 6)</f>
        <v>19</v>
      </c>
      <c r="K678" s="86">
        <f t="shared" si="53"/>
        <v>228</v>
      </c>
      <c r="L678" s="86">
        <f t="shared" si="54"/>
        <v>0</v>
      </c>
      <c r="N678">
        <v>10920</v>
      </c>
      <c r="O678" s="84" cm="1">
        <f t="array" ref="O678">SUM(INDEX(_xlfn._xlws.FILTER($B$6:$L$2160, $B$6:$B$2160=N678), 0, 8))</f>
        <v>390</v>
      </c>
      <c r="P678" s="84" cm="1">
        <f t="array" ref="P678">SUM(INDEX(_xlfn._xlws.FILTER($B$6:$L$2160, $B$6:$B$2160=N678), 0, 10))</f>
        <v>390</v>
      </c>
      <c r="Q678" s="84" cm="1">
        <f t="array" ref="Q678">SUM(INDEX(_xlfn._xlws.FILTER($B$6:$L$2160, $B$6:$B$2160=N678), 0, 11))</f>
        <v>0</v>
      </c>
    </row>
    <row r="679" spans="2:17" x14ac:dyDescent="0.2">
      <c r="B679">
        <v>10504</v>
      </c>
      <c r="C679">
        <v>21</v>
      </c>
      <c r="D679" s="84">
        <v>10</v>
      </c>
      <c r="E679">
        <v>12</v>
      </c>
      <c r="F679" s="85">
        <v>0</v>
      </c>
      <c r="G679" s="86">
        <f t="shared" si="50"/>
        <v>120</v>
      </c>
      <c r="H679" s="86">
        <f t="shared" si="51"/>
        <v>0</v>
      </c>
      <c r="I679" s="86">
        <f t="shared" si="52"/>
        <v>120</v>
      </c>
      <c r="J679" s="84">
        <f>VLOOKUP(C679, Products[], 6)</f>
        <v>10</v>
      </c>
      <c r="K679" s="86">
        <f t="shared" si="53"/>
        <v>120</v>
      </c>
      <c r="L679" s="86">
        <f t="shared" si="54"/>
        <v>0</v>
      </c>
      <c r="N679">
        <v>10921</v>
      </c>
      <c r="O679" s="84" cm="1">
        <f t="array" ref="O679">SUM(INDEX(_xlfn._xlws.FILTER($B$6:$L$2160, $B$6:$B$2160=N679), 0, 8))</f>
        <v>1936</v>
      </c>
      <c r="P679" s="84" cm="1">
        <f t="array" ref="P679">SUM(INDEX(_xlfn._xlws.FILTER($B$6:$L$2160, $B$6:$B$2160=N679), 0, 10))</f>
        <v>1936</v>
      </c>
      <c r="Q679" s="84" cm="1">
        <f t="array" ref="Q679">SUM(INDEX(_xlfn._xlws.FILTER($B$6:$L$2160, $B$6:$B$2160=N679), 0, 11))</f>
        <v>0</v>
      </c>
    </row>
    <row r="680" spans="2:17" x14ac:dyDescent="0.2">
      <c r="B680">
        <v>10504</v>
      </c>
      <c r="C680">
        <v>53</v>
      </c>
      <c r="D680" s="84">
        <v>32.799999999999997</v>
      </c>
      <c r="E680">
        <v>10</v>
      </c>
      <c r="F680" s="85">
        <v>0</v>
      </c>
      <c r="G680" s="86">
        <f t="shared" si="50"/>
        <v>328</v>
      </c>
      <c r="H680" s="86">
        <f t="shared" si="51"/>
        <v>0</v>
      </c>
      <c r="I680" s="86">
        <f t="shared" si="52"/>
        <v>328</v>
      </c>
      <c r="J680" s="84">
        <f>VLOOKUP(C680, Products[], 6)</f>
        <v>32.799999999999997</v>
      </c>
      <c r="K680" s="86">
        <f t="shared" si="53"/>
        <v>328</v>
      </c>
      <c r="L680" s="86">
        <f t="shared" si="54"/>
        <v>0</v>
      </c>
      <c r="N680">
        <v>10922</v>
      </c>
      <c r="O680" s="84" cm="1">
        <f t="array" ref="O680">SUM(INDEX(_xlfn._xlws.FILTER($B$6:$L$2160, $B$6:$B$2160=N680), 0, 8))</f>
        <v>742.5</v>
      </c>
      <c r="P680" s="84" cm="1">
        <f t="array" ref="P680">SUM(INDEX(_xlfn._xlws.FILTER($B$6:$L$2160, $B$6:$B$2160=N680), 0, 10))</f>
        <v>742.5</v>
      </c>
      <c r="Q680" s="84" cm="1">
        <f t="array" ref="Q680">SUM(INDEX(_xlfn._xlws.FILTER($B$6:$L$2160, $B$6:$B$2160=N680), 0, 11))</f>
        <v>0</v>
      </c>
    </row>
    <row r="681" spans="2:17" x14ac:dyDescent="0.2">
      <c r="B681">
        <v>10504</v>
      </c>
      <c r="C681">
        <v>61</v>
      </c>
      <c r="D681" s="84">
        <v>28.5</v>
      </c>
      <c r="E681">
        <v>25</v>
      </c>
      <c r="F681" s="85">
        <v>0</v>
      </c>
      <c r="G681" s="86">
        <f t="shared" si="50"/>
        <v>712.5</v>
      </c>
      <c r="H681" s="86">
        <f t="shared" si="51"/>
        <v>0</v>
      </c>
      <c r="I681" s="86">
        <f t="shared" si="52"/>
        <v>712.5</v>
      </c>
      <c r="J681" s="84">
        <f>VLOOKUP(C681, Products[], 6)</f>
        <v>28.5</v>
      </c>
      <c r="K681" s="86">
        <f t="shared" si="53"/>
        <v>712.5</v>
      </c>
      <c r="L681" s="86">
        <f t="shared" si="54"/>
        <v>0</v>
      </c>
      <c r="N681">
        <v>10923</v>
      </c>
      <c r="O681" s="84" cm="1">
        <f t="array" ref="O681">SUM(INDEX(_xlfn._xlws.FILTER($B$6:$L$2160, $B$6:$B$2160=N681), 0, 8))</f>
        <v>748.8</v>
      </c>
      <c r="P681" s="84" cm="1">
        <f t="array" ref="P681">SUM(INDEX(_xlfn._xlws.FILTER($B$6:$L$2160, $B$6:$B$2160=N681), 0, 10))</f>
        <v>936</v>
      </c>
      <c r="Q681" s="84" cm="1">
        <f t="array" ref="Q681">SUM(INDEX(_xlfn._xlws.FILTER($B$6:$L$2160, $B$6:$B$2160=N681), 0, 11))</f>
        <v>-187.2</v>
      </c>
    </row>
    <row r="682" spans="2:17" x14ac:dyDescent="0.2">
      <c r="B682">
        <v>10505</v>
      </c>
      <c r="C682">
        <v>62</v>
      </c>
      <c r="D682" s="84">
        <v>49.3</v>
      </c>
      <c r="E682">
        <v>3</v>
      </c>
      <c r="F682" s="85">
        <v>0</v>
      </c>
      <c r="G682" s="86">
        <f t="shared" si="50"/>
        <v>147.89999999999998</v>
      </c>
      <c r="H682" s="86">
        <f t="shared" si="51"/>
        <v>0</v>
      </c>
      <c r="I682" s="86">
        <f t="shared" si="52"/>
        <v>147.89999999999998</v>
      </c>
      <c r="J682" s="84">
        <f>VLOOKUP(C682, Products[], 6)</f>
        <v>49.3</v>
      </c>
      <c r="K682" s="86">
        <f t="shared" si="53"/>
        <v>147.89999999999998</v>
      </c>
      <c r="L682" s="86">
        <f t="shared" si="54"/>
        <v>0</v>
      </c>
      <c r="N682">
        <v>10924</v>
      </c>
      <c r="O682" s="84" cm="1">
        <f t="array" ref="O682">SUM(INDEX(_xlfn._xlws.FILTER($B$6:$L$2160, $B$6:$B$2160=N682), 0, 8))</f>
        <v>1835.7</v>
      </c>
      <c r="P682" s="84" cm="1">
        <f t="array" ref="P682">SUM(INDEX(_xlfn._xlws.FILTER($B$6:$L$2160, $B$6:$B$2160=N682), 0, 10))</f>
        <v>2034.5</v>
      </c>
      <c r="Q682" s="84" cm="1">
        <f t="array" ref="Q682">SUM(INDEX(_xlfn._xlws.FILTER($B$6:$L$2160, $B$6:$B$2160=N682), 0, 11))</f>
        <v>-198.79999999999995</v>
      </c>
    </row>
    <row r="683" spans="2:17" x14ac:dyDescent="0.2">
      <c r="B683">
        <v>10506</v>
      </c>
      <c r="C683">
        <v>25</v>
      </c>
      <c r="D683" s="84">
        <v>14</v>
      </c>
      <c r="E683">
        <v>18</v>
      </c>
      <c r="F683" s="85">
        <v>0.1</v>
      </c>
      <c r="G683" s="86">
        <f t="shared" si="50"/>
        <v>252</v>
      </c>
      <c r="H683" s="86">
        <f t="shared" si="51"/>
        <v>25.200000000000003</v>
      </c>
      <c r="I683" s="86">
        <f t="shared" si="52"/>
        <v>226.8</v>
      </c>
      <c r="J683" s="84">
        <f>VLOOKUP(C683, Products[], 6)</f>
        <v>14</v>
      </c>
      <c r="K683" s="86">
        <f t="shared" si="53"/>
        <v>252</v>
      </c>
      <c r="L683" s="86">
        <f t="shared" si="54"/>
        <v>-25.199999999999989</v>
      </c>
      <c r="N683">
        <v>10925</v>
      </c>
      <c r="O683" s="84" cm="1">
        <f t="array" ref="O683">SUM(INDEX(_xlfn._xlws.FILTER($B$6:$L$2160, $B$6:$B$2160=N683), 0, 8))</f>
        <v>475.15</v>
      </c>
      <c r="P683" s="84" cm="1">
        <f t="array" ref="P683">SUM(INDEX(_xlfn._xlws.FILTER($B$6:$L$2160, $B$6:$B$2160=N683), 0, 10))</f>
        <v>559</v>
      </c>
      <c r="Q683" s="84" cm="1">
        <f t="array" ref="Q683">SUM(INDEX(_xlfn._xlws.FILTER($B$6:$L$2160, $B$6:$B$2160=N683), 0, 11))</f>
        <v>-83.85</v>
      </c>
    </row>
    <row r="684" spans="2:17" x14ac:dyDescent="0.2">
      <c r="B684">
        <v>10506</v>
      </c>
      <c r="C684">
        <v>70</v>
      </c>
      <c r="D684" s="84">
        <v>15</v>
      </c>
      <c r="E684">
        <v>14</v>
      </c>
      <c r="F684" s="85">
        <v>0.1</v>
      </c>
      <c r="G684" s="86">
        <f t="shared" si="50"/>
        <v>210</v>
      </c>
      <c r="H684" s="86">
        <f t="shared" si="51"/>
        <v>21</v>
      </c>
      <c r="I684" s="86">
        <f t="shared" si="52"/>
        <v>189</v>
      </c>
      <c r="J684" s="84">
        <f>VLOOKUP(C684, Products[], 6)</f>
        <v>15</v>
      </c>
      <c r="K684" s="86">
        <f t="shared" si="53"/>
        <v>210</v>
      </c>
      <c r="L684" s="86">
        <f t="shared" si="54"/>
        <v>-21</v>
      </c>
      <c r="N684">
        <v>10926</v>
      </c>
      <c r="O684" s="84" cm="1">
        <f t="array" ref="O684">SUM(INDEX(_xlfn._xlws.FILTER($B$6:$L$2160, $B$6:$B$2160=N684), 0, 8))</f>
        <v>514.4</v>
      </c>
      <c r="P684" s="84" cm="1">
        <f t="array" ref="P684">SUM(INDEX(_xlfn._xlws.FILTER($B$6:$L$2160, $B$6:$B$2160=N684), 0, 10))</f>
        <v>514.4</v>
      </c>
      <c r="Q684" s="84" cm="1">
        <f t="array" ref="Q684">SUM(INDEX(_xlfn._xlws.FILTER($B$6:$L$2160, $B$6:$B$2160=N684), 0, 11))</f>
        <v>0</v>
      </c>
    </row>
    <row r="685" spans="2:17" x14ac:dyDescent="0.2">
      <c r="B685">
        <v>10507</v>
      </c>
      <c r="C685">
        <v>43</v>
      </c>
      <c r="D685" s="84">
        <v>46</v>
      </c>
      <c r="E685">
        <v>15</v>
      </c>
      <c r="F685" s="85">
        <v>0.15</v>
      </c>
      <c r="G685" s="86">
        <f t="shared" si="50"/>
        <v>690</v>
      </c>
      <c r="H685" s="86">
        <f t="shared" si="51"/>
        <v>103.5</v>
      </c>
      <c r="I685" s="86">
        <f t="shared" si="52"/>
        <v>586.5</v>
      </c>
      <c r="J685" s="84">
        <f>VLOOKUP(C685, Products[], 6)</f>
        <v>46</v>
      </c>
      <c r="K685" s="86">
        <f t="shared" si="53"/>
        <v>690</v>
      </c>
      <c r="L685" s="86">
        <f t="shared" si="54"/>
        <v>-103.5</v>
      </c>
      <c r="N685">
        <v>10927</v>
      </c>
      <c r="O685" s="84" cm="1">
        <f t="array" ref="O685">SUM(INDEX(_xlfn._xlws.FILTER($B$6:$L$2160, $B$6:$B$2160=N685), 0, 8))</f>
        <v>800</v>
      </c>
      <c r="P685" s="84" cm="1">
        <f t="array" ref="P685">SUM(INDEX(_xlfn._xlws.FILTER($B$6:$L$2160, $B$6:$B$2160=N685), 0, 10))</f>
        <v>800</v>
      </c>
      <c r="Q685" s="84" cm="1">
        <f t="array" ref="Q685">SUM(INDEX(_xlfn._xlws.FILTER($B$6:$L$2160, $B$6:$B$2160=N685), 0, 11))</f>
        <v>0</v>
      </c>
    </row>
    <row r="686" spans="2:17" x14ac:dyDescent="0.2">
      <c r="B686">
        <v>10507</v>
      </c>
      <c r="C686">
        <v>48</v>
      </c>
      <c r="D686" s="84">
        <v>12.75</v>
      </c>
      <c r="E686">
        <v>15</v>
      </c>
      <c r="F686" s="85">
        <v>0.15</v>
      </c>
      <c r="G686" s="86">
        <f t="shared" si="50"/>
        <v>191.25</v>
      </c>
      <c r="H686" s="86">
        <f t="shared" si="51"/>
        <v>28.6875</v>
      </c>
      <c r="I686" s="86">
        <f t="shared" si="52"/>
        <v>162.5625</v>
      </c>
      <c r="J686" s="84">
        <f>VLOOKUP(C686, Products[], 6)</f>
        <v>12.75</v>
      </c>
      <c r="K686" s="86">
        <f t="shared" si="53"/>
        <v>191.25</v>
      </c>
      <c r="L686" s="86">
        <f t="shared" si="54"/>
        <v>-28.6875</v>
      </c>
      <c r="N686">
        <v>10928</v>
      </c>
      <c r="O686" s="84" cm="1">
        <f t="array" ref="O686">SUM(INDEX(_xlfn._xlws.FILTER($B$6:$L$2160, $B$6:$B$2160=N686), 0, 8))</f>
        <v>137.5</v>
      </c>
      <c r="P686" s="84" cm="1">
        <f t="array" ref="P686">SUM(INDEX(_xlfn._xlws.FILTER($B$6:$L$2160, $B$6:$B$2160=N686), 0, 10))</f>
        <v>137.5</v>
      </c>
      <c r="Q686" s="84" cm="1">
        <f t="array" ref="Q686">SUM(INDEX(_xlfn._xlws.FILTER($B$6:$L$2160, $B$6:$B$2160=N686), 0, 11))</f>
        <v>0</v>
      </c>
    </row>
    <row r="687" spans="2:17" x14ac:dyDescent="0.2">
      <c r="B687">
        <v>10508</v>
      </c>
      <c r="C687">
        <v>13</v>
      </c>
      <c r="D687" s="84">
        <v>6</v>
      </c>
      <c r="E687">
        <v>10</v>
      </c>
      <c r="F687" s="85">
        <v>0</v>
      </c>
      <c r="G687" s="86">
        <f t="shared" si="50"/>
        <v>60</v>
      </c>
      <c r="H687" s="86">
        <f t="shared" si="51"/>
        <v>0</v>
      </c>
      <c r="I687" s="86">
        <f t="shared" si="52"/>
        <v>60</v>
      </c>
      <c r="J687" s="84">
        <f>VLOOKUP(C687, Products[], 6)</f>
        <v>6</v>
      </c>
      <c r="K687" s="86">
        <f t="shared" si="53"/>
        <v>60</v>
      </c>
      <c r="L687" s="86">
        <f t="shared" si="54"/>
        <v>0</v>
      </c>
      <c r="N687">
        <v>10929</v>
      </c>
      <c r="O687" s="84" cm="1">
        <f t="array" ref="O687">SUM(INDEX(_xlfn._xlws.FILTER($B$6:$L$2160, $B$6:$B$2160=N687), 0, 8))</f>
        <v>1174.75</v>
      </c>
      <c r="P687" s="84" cm="1">
        <f t="array" ref="P687">SUM(INDEX(_xlfn._xlws.FILTER($B$6:$L$2160, $B$6:$B$2160=N687), 0, 10))</f>
        <v>1174.75</v>
      </c>
      <c r="Q687" s="84" cm="1">
        <f t="array" ref="Q687">SUM(INDEX(_xlfn._xlws.FILTER($B$6:$L$2160, $B$6:$B$2160=N687), 0, 11))</f>
        <v>0</v>
      </c>
    </row>
    <row r="688" spans="2:17" x14ac:dyDescent="0.2">
      <c r="B688">
        <v>10508</v>
      </c>
      <c r="C688">
        <v>39</v>
      </c>
      <c r="D688" s="84">
        <v>18</v>
      </c>
      <c r="E688">
        <v>10</v>
      </c>
      <c r="F688" s="85">
        <v>0</v>
      </c>
      <c r="G688" s="86">
        <f t="shared" si="50"/>
        <v>180</v>
      </c>
      <c r="H688" s="86">
        <f t="shared" si="51"/>
        <v>0</v>
      </c>
      <c r="I688" s="86">
        <f t="shared" si="52"/>
        <v>180</v>
      </c>
      <c r="J688" s="84">
        <f>VLOOKUP(C688, Products[], 6)</f>
        <v>18</v>
      </c>
      <c r="K688" s="86">
        <f t="shared" si="53"/>
        <v>180</v>
      </c>
      <c r="L688" s="86">
        <f t="shared" si="54"/>
        <v>0</v>
      </c>
      <c r="N688">
        <v>10930</v>
      </c>
      <c r="O688" s="84" cm="1">
        <f t="array" ref="O688">SUM(INDEX(_xlfn._xlws.FILTER($B$6:$L$2160, $B$6:$B$2160=N688), 0, 8))</f>
        <v>2255.5</v>
      </c>
      <c r="P688" s="84" cm="1">
        <f t="array" ref="P688">SUM(INDEX(_xlfn._xlws.FILTER($B$6:$L$2160, $B$6:$B$2160=N688), 0, 10))</f>
        <v>2455</v>
      </c>
      <c r="Q688" s="84" cm="1">
        <f t="array" ref="Q688">SUM(INDEX(_xlfn._xlws.FILTER($B$6:$L$2160, $B$6:$B$2160=N688), 0, 11))</f>
        <v>-199.5</v>
      </c>
    </row>
    <row r="689" spans="2:17" x14ac:dyDescent="0.2">
      <c r="B689">
        <v>10509</v>
      </c>
      <c r="C689">
        <v>28</v>
      </c>
      <c r="D689" s="84">
        <v>45.6</v>
      </c>
      <c r="E689">
        <v>3</v>
      </c>
      <c r="F689" s="85">
        <v>0</v>
      </c>
      <c r="G689" s="86">
        <f t="shared" si="50"/>
        <v>136.80000000000001</v>
      </c>
      <c r="H689" s="86">
        <f t="shared" si="51"/>
        <v>0</v>
      </c>
      <c r="I689" s="86">
        <f t="shared" si="52"/>
        <v>136.80000000000001</v>
      </c>
      <c r="J689" s="84">
        <f>VLOOKUP(C689, Products[], 6)</f>
        <v>45.6</v>
      </c>
      <c r="K689" s="86">
        <f t="shared" si="53"/>
        <v>136.80000000000001</v>
      </c>
      <c r="L689" s="86">
        <f t="shared" si="54"/>
        <v>0</v>
      </c>
      <c r="N689">
        <v>10931</v>
      </c>
      <c r="O689" s="84" cm="1">
        <f t="array" ref="O689">SUM(INDEX(_xlfn._xlws.FILTER($B$6:$L$2160, $B$6:$B$2160=N689), 0, 8))</f>
        <v>799.2</v>
      </c>
      <c r="P689" s="84" cm="1">
        <f t="array" ref="P689">SUM(INDEX(_xlfn._xlws.FILTER($B$6:$L$2160, $B$6:$B$2160=N689), 0, 10))</f>
        <v>837</v>
      </c>
      <c r="Q689" s="84" cm="1">
        <f t="array" ref="Q689">SUM(INDEX(_xlfn._xlws.FILTER($B$6:$L$2160, $B$6:$B$2160=N689), 0, 11))</f>
        <v>-37.800000000000011</v>
      </c>
    </row>
    <row r="690" spans="2:17" x14ac:dyDescent="0.2">
      <c r="B690">
        <v>10510</v>
      </c>
      <c r="C690">
        <v>29</v>
      </c>
      <c r="D690" s="84">
        <v>123.79</v>
      </c>
      <c r="E690">
        <v>36</v>
      </c>
      <c r="F690" s="85">
        <v>0</v>
      </c>
      <c r="G690" s="86">
        <f t="shared" si="50"/>
        <v>4456.4400000000005</v>
      </c>
      <c r="H690" s="86">
        <f t="shared" si="51"/>
        <v>0</v>
      </c>
      <c r="I690" s="86">
        <f t="shared" si="52"/>
        <v>4456.4400000000005</v>
      </c>
      <c r="J690" s="84">
        <f>VLOOKUP(C690, Products[], 6)</f>
        <v>123.79</v>
      </c>
      <c r="K690" s="86">
        <f t="shared" si="53"/>
        <v>4456.4400000000005</v>
      </c>
      <c r="L690" s="86">
        <f t="shared" si="54"/>
        <v>0</v>
      </c>
      <c r="N690">
        <v>10932</v>
      </c>
      <c r="O690" s="84" cm="1">
        <f t="array" ref="O690">SUM(INDEX(_xlfn._xlws.FILTER($B$6:$L$2160, $B$6:$B$2160=N690), 0, 8))</f>
        <v>1788.6299999999999</v>
      </c>
      <c r="P690" s="84" cm="1">
        <f t="array" ref="P690">SUM(INDEX(_xlfn._xlws.FILTER($B$6:$L$2160, $B$6:$B$2160=N690), 0, 10))</f>
        <v>1925.4999999999998</v>
      </c>
      <c r="Q690" s="84" cm="1">
        <f t="array" ref="Q690">SUM(INDEX(_xlfn._xlws.FILTER($B$6:$L$2160, $B$6:$B$2160=N690), 0, 11))</f>
        <v>-136.87</v>
      </c>
    </row>
    <row r="691" spans="2:17" x14ac:dyDescent="0.2">
      <c r="B691">
        <v>10510</v>
      </c>
      <c r="C691">
        <v>75</v>
      </c>
      <c r="D691" s="84">
        <v>7.75</v>
      </c>
      <c r="E691">
        <v>36</v>
      </c>
      <c r="F691" s="85">
        <v>0.1</v>
      </c>
      <c r="G691" s="86">
        <f t="shared" si="50"/>
        <v>279</v>
      </c>
      <c r="H691" s="86">
        <f t="shared" si="51"/>
        <v>27.900000000000002</v>
      </c>
      <c r="I691" s="86">
        <f t="shared" si="52"/>
        <v>251.1</v>
      </c>
      <c r="J691" s="84">
        <f>VLOOKUP(C691, Products[], 6)</f>
        <v>7.75</v>
      </c>
      <c r="K691" s="86">
        <f t="shared" si="53"/>
        <v>279</v>
      </c>
      <c r="L691" s="86">
        <f t="shared" si="54"/>
        <v>-27.900000000000006</v>
      </c>
      <c r="N691">
        <v>10933</v>
      </c>
      <c r="O691" s="84" cm="1">
        <f t="array" ref="O691">SUM(INDEX(_xlfn._xlws.FILTER($B$6:$L$2160, $B$6:$B$2160=N691), 0, 8))</f>
        <v>920.6</v>
      </c>
      <c r="P691" s="84" cm="1">
        <f t="array" ref="P691">SUM(INDEX(_xlfn._xlws.FILTER($B$6:$L$2160, $B$6:$B$2160=N691), 0, 10))</f>
        <v>920.6</v>
      </c>
      <c r="Q691" s="84" cm="1">
        <f t="array" ref="Q691">SUM(INDEX(_xlfn._xlws.FILTER($B$6:$L$2160, $B$6:$B$2160=N691), 0, 11))</f>
        <v>0</v>
      </c>
    </row>
    <row r="692" spans="2:17" x14ac:dyDescent="0.2">
      <c r="B692">
        <v>10511</v>
      </c>
      <c r="C692">
        <v>4</v>
      </c>
      <c r="D692" s="84">
        <v>22</v>
      </c>
      <c r="E692">
        <v>50</v>
      </c>
      <c r="F692" s="85">
        <v>0.15</v>
      </c>
      <c r="G692" s="86">
        <f t="shared" si="50"/>
        <v>1100</v>
      </c>
      <c r="H692" s="86">
        <f t="shared" si="51"/>
        <v>165</v>
      </c>
      <c r="I692" s="86">
        <f t="shared" si="52"/>
        <v>935</v>
      </c>
      <c r="J692" s="84">
        <f>VLOOKUP(C692, Products[], 6)</f>
        <v>22</v>
      </c>
      <c r="K692" s="86">
        <f t="shared" si="53"/>
        <v>1100</v>
      </c>
      <c r="L692" s="86">
        <f t="shared" si="54"/>
        <v>-165</v>
      </c>
      <c r="N692">
        <v>10934</v>
      </c>
      <c r="O692" s="84" cm="1">
        <f t="array" ref="O692">SUM(INDEX(_xlfn._xlws.FILTER($B$6:$L$2160, $B$6:$B$2160=N692), 0, 8))</f>
        <v>500</v>
      </c>
      <c r="P692" s="84" cm="1">
        <f t="array" ref="P692">SUM(INDEX(_xlfn._xlws.FILTER($B$6:$L$2160, $B$6:$B$2160=N692), 0, 10))</f>
        <v>500</v>
      </c>
      <c r="Q692" s="84" cm="1">
        <f t="array" ref="Q692">SUM(INDEX(_xlfn._xlws.FILTER($B$6:$L$2160, $B$6:$B$2160=N692), 0, 11))</f>
        <v>0</v>
      </c>
    </row>
    <row r="693" spans="2:17" x14ac:dyDescent="0.2">
      <c r="B693">
        <v>10511</v>
      </c>
      <c r="C693">
        <v>7</v>
      </c>
      <c r="D693" s="84">
        <v>30</v>
      </c>
      <c r="E693">
        <v>50</v>
      </c>
      <c r="F693" s="85">
        <v>0.15</v>
      </c>
      <c r="G693" s="86">
        <f t="shared" si="50"/>
        <v>1500</v>
      </c>
      <c r="H693" s="86">
        <f t="shared" si="51"/>
        <v>225</v>
      </c>
      <c r="I693" s="86">
        <f t="shared" si="52"/>
        <v>1275</v>
      </c>
      <c r="J693" s="84">
        <f>VLOOKUP(C693, Products[], 6)</f>
        <v>30</v>
      </c>
      <c r="K693" s="86">
        <f t="shared" si="53"/>
        <v>1500</v>
      </c>
      <c r="L693" s="86">
        <f t="shared" si="54"/>
        <v>-225</v>
      </c>
      <c r="N693">
        <v>10935</v>
      </c>
      <c r="O693" s="84" cm="1">
        <f t="array" ref="O693">SUM(INDEX(_xlfn._xlws.FILTER($B$6:$L$2160, $B$6:$B$2160=N693), 0, 8))</f>
        <v>619.5</v>
      </c>
      <c r="P693" s="84" cm="1">
        <f t="array" ref="P693">SUM(INDEX(_xlfn._xlws.FILTER($B$6:$L$2160, $B$6:$B$2160=N693), 0, 10))</f>
        <v>700</v>
      </c>
      <c r="Q693" s="84" cm="1">
        <f t="array" ref="Q693">SUM(INDEX(_xlfn._xlws.FILTER($B$6:$L$2160, $B$6:$B$2160=N693), 0, 11))</f>
        <v>-80.5</v>
      </c>
    </row>
    <row r="694" spans="2:17" x14ac:dyDescent="0.2">
      <c r="B694">
        <v>10511</v>
      </c>
      <c r="C694">
        <v>8</v>
      </c>
      <c r="D694" s="84">
        <v>40</v>
      </c>
      <c r="E694">
        <v>10</v>
      </c>
      <c r="F694" s="85">
        <v>0.15</v>
      </c>
      <c r="G694" s="86">
        <f t="shared" si="50"/>
        <v>400</v>
      </c>
      <c r="H694" s="86">
        <f t="shared" si="51"/>
        <v>60</v>
      </c>
      <c r="I694" s="86">
        <f t="shared" si="52"/>
        <v>340</v>
      </c>
      <c r="J694" s="84">
        <f>VLOOKUP(C694, Products[], 6)</f>
        <v>40</v>
      </c>
      <c r="K694" s="86">
        <f t="shared" si="53"/>
        <v>400</v>
      </c>
      <c r="L694" s="86">
        <f t="shared" si="54"/>
        <v>-60</v>
      </c>
      <c r="N694">
        <v>10936</v>
      </c>
      <c r="O694" s="84" cm="1">
        <f t="array" ref="O694">SUM(INDEX(_xlfn._xlws.FILTER($B$6:$L$2160, $B$6:$B$2160=N694), 0, 8))</f>
        <v>456</v>
      </c>
      <c r="P694" s="84" cm="1">
        <f t="array" ref="P694">SUM(INDEX(_xlfn._xlws.FILTER($B$6:$L$2160, $B$6:$B$2160=N694), 0, 10))</f>
        <v>570</v>
      </c>
      <c r="Q694" s="84" cm="1">
        <f t="array" ref="Q694">SUM(INDEX(_xlfn._xlws.FILTER($B$6:$L$2160, $B$6:$B$2160=N694), 0, 11))</f>
        <v>-114</v>
      </c>
    </row>
    <row r="695" spans="2:17" x14ac:dyDescent="0.2">
      <c r="B695">
        <v>10512</v>
      </c>
      <c r="C695">
        <v>24</v>
      </c>
      <c r="D695" s="84">
        <v>4.5</v>
      </c>
      <c r="E695">
        <v>10</v>
      </c>
      <c r="F695" s="85">
        <v>0.15</v>
      </c>
      <c r="G695" s="86">
        <f t="shared" si="50"/>
        <v>45</v>
      </c>
      <c r="H695" s="86">
        <f t="shared" si="51"/>
        <v>6.75</v>
      </c>
      <c r="I695" s="86">
        <f t="shared" si="52"/>
        <v>38.25</v>
      </c>
      <c r="J695" s="84">
        <f>VLOOKUP(C695, Products[], 6)</f>
        <v>4.5</v>
      </c>
      <c r="K695" s="86">
        <f t="shared" si="53"/>
        <v>45</v>
      </c>
      <c r="L695" s="86">
        <f t="shared" si="54"/>
        <v>-6.75</v>
      </c>
      <c r="N695">
        <v>10937</v>
      </c>
      <c r="O695" s="84" cm="1">
        <f t="array" ref="O695">SUM(INDEX(_xlfn._xlws.FILTER($B$6:$L$2160, $B$6:$B$2160=N695), 0, 8))</f>
        <v>644.79999999999995</v>
      </c>
      <c r="P695" s="84" cm="1">
        <f t="array" ref="P695">SUM(INDEX(_xlfn._xlws.FILTER($B$6:$L$2160, $B$6:$B$2160=N695), 0, 10))</f>
        <v>644.79999999999995</v>
      </c>
      <c r="Q695" s="84" cm="1">
        <f t="array" ref="Q695">SUM(INDEX(_xlfn._xlws.FILTER($B$6:$L$2160, $B$6:$B$2160=N695), 0, 11))</f>
        <v>0</v>
      </c>
    </row>
    <row r="696" spans="2:17" x14ac:dyDescent="0.2">
      <c r="B696">
        <v>10512</v>
      </c>
      <c r="C696">
        <v>46</v>
      </c>
      <c r="D696" s="84">
        <v>12</v>
      </c>
      <c r="E696">
        <v>9</v>
      </c>
      <c r="F696" s="85">
        <v>0.15</v>
      </c>
      <c r="G696" s="86">
        <f t="shared" si="50"/>
        <v>108</v>
      </c>
      <c r="H696" s="86">
        <f t="shared" si="51"/>
        <v>16.2</v>
      </c>
      <c r="I696" s="86">
        <f t="shared" si="52"/>
        <v>91.8</v>
      </c>
      <c r="J696" s="84">
        <f>VLOOKUP(C696, Products[], 6)</f>
        <v>12</v>
      </c>
      <c r="K696" s="86">
        <f t="shared" si="53"/>
        <v>108</v>
      </c>
      <c r="L696" s="86">
        <f t="shared" si="54"/>
        <v>-16.200000000000003</v>
      </c>
      <c r="N696">
        <v>10938</v>
      </c>
      <c r="O696" s="84" cm="1">
        <f t="array" ref="O696">SUM(INDEX(_xlfn._xlws.FILTER($B$6:$L$2160, $B$6:$B$2160=N696), 0, 8))</f>
        <v>2731.875</v>
      </c>
      <c r="P696" s="84" cm="1">
        <f t="array" ref="P696">SUM(INDEX(_xlfn._xlws.FILTER($B$6:$L$2160, $B$6:$B$2160=N696), 0, 10))</f>
        <v>3642.5</v>
      </c>
      <c r="Q696" s="84" cm="1">
        <f t="array" ref="Q696">SUM(INDEX(_xlfn._xlws.FILTER($B$6:$L$2160, $B$6:$B$2160=N696), 0, 11))</f>
        <v>-910.625</v>
      </c>
    </row>
    <row r="697" spans="2:17" x14ac:dyDescent="0.2">
      <c r="B697">
        <v>10512</v>
      </c>
      <c r="C697">
        <v>47</v>
      </c>
      <c r="D697" s="84">
        <v>9.5</v>
      </c>
      <c r="E697">
        <v>6</v>
      </c>
      <c r="F697" s="85">
        <v>0.15</v>
      </c>
      <c r="G697" s="86">
        <f t="shared" si="50"/>
        <v>57</v>
      </c>
      <c r="H697" s="86">
        <f t="shared" si="51"/>
        <v>8.5499999999999989</v>
      </c>
      <c r="I697" s="86">
        <f t="shared" si="52"/>
        <v>48.45</v>
      </c>
      <c r="J697" s="84">
        <f>VLOOKUP(C697, Products[], 6)</f>
        <v>9.5</v>
      </c>
      <c r="K697" s="86">
        <f t="shared" si="53"/>
        <v>57</v>
      </c>
      <c r="L697" s="86">
        <f t="shared" si="54"/>
        <v>-8.5499999999999972</v>
      </c>
      <c r="N697">
        <v>10939</v>
      </c>
      <c r="O697" s="84" cm="1">
        <f t="array" ref="O697">SUM(INDEX(_xlfn._xlws.FILTER($B$6:$L$2160, $B$6:$B$2160=N697), 0, 8))</f>
        <v>637.5</v>
      </c>
      <c r="P697" s="84" cm="1">
        <f t="array" ref="P697">SUM(INDEX(_xlfn._xlws.FILTER($B$6:$L$2160, $B$6:$B$2160=N697), 0, 10))</f>
        <v>750</v>
      </c>
      <c r="Q697" s="84" cm="1">
        <f t="array" ref="Q697">SUM(INDEX(_xlfn._xlws.FILTER($B$6:$L$2160, $B$6:$B$2160=N697), 0, 11))</f>
        <v>-112.5</v>
      </c>
    </row>
    <row r="698" spans="2:17" x14ac:dyDescent="0.2">
      <c r="B698">
        <v>10512</v>
      </c>
      <c r="C698">
        <v>60</v>
      </c>
      <c r="D698" s="84">
        <v>34</v>
      </c>
      <c r="E698">
        <v>12</v>
      </c>
      <c r="F698" s="85">
        <v>0.15</v>
      </c>
      <c r="G698" s="86">
        <f t="shared" si="50"/>
        <v>408</v>
      </c>
      <c r="H698" s="86">
        <f t="shared" si="51"/>
        <v>61.199999999999996</v>
      </c>
      <c r="I698" s="86">
        <f t="shared" si="52"/>
        <v>346.8</v>
      </c>
      <c r="J698" s="84">
        <f>VLOOKUP(C698, Products[], 6)</f>
        <v>34</v>
      </c>
      <c r="K698" s="86">
        <f t="shared" si="53"/>
        <v>408</v>
      </c>
      <c r="L698" s="86">
        <f t="shared" si="54"/>
        <v>-61.199999999999989</v>
      </c>
      <c r="N698">
        <v>10940</v>
      </c>
      <c r="O698" s="84" cm="1">
        <f t="array" ref="O698">SUM(INDEX(_xlfn._xlws.FILTER($B$6:$L$2160, $B$6:$B$2160=N698), 0, 8))</f>
        <v>360</v>
      </c>
      <c r="P698" s="84" cm="1">
        <f t="array" ref="P698">SUM(INDEX(_xlfn._xlws.FILTER($B$6:$L$2160, $B$6:$B$2160=N698), 0, 10))</f>
        <v>360</v>
      </c>
      <c r="Q698" s="84" cm="1">
        <f t="array" ref="Q698">SUM(INDEX(_xlfn._xlws.FILTER($B$6:$L$2160, $B$6:$B$2160=N698), 0, 11))</f>
        <v>0</v>
      </c>
    </row>
    <row r="699" spans="2:17" x14ac:dyDescent="0.2">
      <c r="B699">
        <v>10513</v>
      </c>
      <c r="C699">
        <v>21</v>
      </c>
      <c r="D699" s="84">
        <v>10</v>
      </c>
      <c r="E699">
        <v>40</v>
      </c>
      <c r="F699" s="85">
        <v>0.2</v>
      </c>
      <c r="G699" s="86">
        <f t="shared" si="50"/>
        <v>400</v>
      </c>
      <c r="H699" s="86">
        <f t="shared" si="51"/>
        <v>80</v>
      </c>
      <c r="I699" s="86">
        <f t="shared" si="52"/>
        <v>320</v>
      </c>
      <c r="J699" s="84">
        <f>VLOOKUP(C699, Products[], 6)</f>
        <v>10</v>
      </c>
      <c r="K699" s="86">
        <f t="shared" si="53"/>
        <v>400</v>
      </c>
      <c r="L699" s="86">
        <f t="shared" si="54"/>
        <v>-80</v>
      </c>
      <c r="N699">
        <v>10941</v>
      </c>
      <c r="O699" s="84" cm="1">
        <f t="array" ref="O699">SUM(INDEX(_xlfn._xlws.FILTER($B$6:$L$2160, $B$6:$B$2160=N699), 0, 8))</f>
        <v>4011.75</v>
      </c>
      <c r="P699" s="84" cm="1">
        <f t="array" ref="P699">SUM(INDEX(_xlfn._xlws.FILTER($B$6:$L$2160, $B$6:$B$2160=N699), 0, 10))</f>
        <v>4769</v>
      </c>
      <c r="Q699" s="84" cm="1">
        <f t="array" ref="Q699">SUM(INDEX(_xlfn._xlws.FILTER($B$6:$L$2160, $B$6:$B$2160=N699), 0, 11))</f>
        <v>-757.25</v>
      </c>
    </row>
    <row r="700" spans="2:17" x14ac:dyDescent="0.2">
      <c r="B700">
        <v>10513</v>
      </c>
      <c r="C700">
        <v>32</v>
      </c>
      <c r="D700" s="84">
        <v>32</v>
      </c>
      <c r="E700">
        <v>50</v>
      </c>
      <c r="F700" s="85">
        <v>0.2</v>
      </c>
      <c r="G700" s="86">
        <f t="shared" si="50"/>
        <v>1600</v>
      </c>
      <c r="H700" s="86">
        <f t="shared" si="51"/>
        <v>320</v>
      </c>
      <c r="I700" s="86">
        <f t="shared" si="52"/>
        <v>1280</v>
      </c>
      <c r="J700" s="84">
        <f>VLOOKUP(C700, Products[], 6)</f>
        <v>32</v>
      </c>
      <c r="K700" s="86">
        <f t="shared" si="53"/>
        <v>1600</v>
      </c>
      <c r="L700" s="86">
        <f t="shared" si="54"/>
        <v>-320</v>
      </c>
      <c r="N700">
        <v>10942</v>
      </c>
      <c r="O700" s="84" cm="1">
        <f t="array" ref="O700">SUM(INDEX(_xlfn._xlws.FILTER($B$6:$L$2160, $B$6:$B$2160=N700), 0, 8))</f>
        <v>560</v>
      </c>
      <c r="P700" s="84" cm="1">
        <f t="array" ref="P700">SUM(INDEX(_xlfn._xlws.FILTER($B$6:$L$2160, $B$6:$B$2160=N700), 0, 10))</f>
        <v>560</v>
      </c>
      <c r="Q700" s="84" cm="1">
        <f t="array" ref="Q700">SUM(INDEX(_xlfn._xlws.FILTER($B$6:$L$2160, $B$6:$B$2160=N700), 0, 11))</f>
        <v>0</v>
      </c>
    </row>
    <row r="701" spans="2:17" x14ac:dyDescent="0.2">
      <c r="B701">
        <v>10513</v>
      </c>
      <c r="C701">
        <v>61</v>
      </c>
      <c r="D701" s="84">
        <v>28.5</v>
      </c>
      <c r="E701">
        <v>15</v>
      </c>
      <c r="F701" s="85">
        <v>0.2</v>
      </c>
      <c r="G701" s="86">
        <f t="shared" si="50"/>
        <v>427.5</v>
      </c>
      <c r="H701" s="86">
        <f t="shared" si="51"/>
        <v>85.5</v>
      </c>
      <c r="I701" s="86">
        <f t="shared" si="52"/>
        <v>342</v>
      </c>
      <c r="J701" s="84">
        <f>VLOOKUP(C701, Products[], 6)</f>
        <v>28.5</v>
      </c>
      <c r="K701" s="86">
        <f t="shared" si="53"/>
        <v>427.5</v>
      </c>
      <c r="L701" s="86">
        <f t="shared" si="54"/>
        <v>-85.5</v>
      </c>
      <c r="N701">
        <v>10943</v>
      </c>
      <c r="O701" s="84" cm="1">
        <f t="array" ref="O701">SUM(INDEX(_xlfn._xlws.FILTER($B$6:$L$2160, $B$6:$B$2160=N701), 0, 8))</f>
        <v>711</v>
      </c>
      <c r="P701" s="84" cm="1">
        <f t="array" ref="P701">SUM(INDEX(_xlfn._xlws.FILTER($B$6:$L$2160, $B$6:$B$2160=N701), 0, 10))</f>
        <v>711</v>
      </c>
      <c r="Q701" s="84" cm="1">
        <f t="array" ref="Q701">SUM(INDEX(_xlfn._xlws.FILTER($B$6:$L$2160, $B$6:$B$2160=N701), 0, 11))</f>
        <v>0</v>
      </c>
    </row>
    <row r="702" spans="2:17" x14ac:dyDescent="0.2">
      <c r="B702">
        <v>10514</v>
      </c>
      <c r="C702">
        <v>20</v>
      </c>
      <c r="D702" s="84">
        <v>81</v>
      </c>
      <c r="E702">
        <v>39</v>
      </c>
      <c r="F702" s="85">
        <v>0</v>
      </c>
      <c r="G702" s="86">
        <f t="shared" si="50"/>
        <v>3159</v>
      </c>
      <c r="H702" s="86">
        <f t="shared" si="51"/>
        <v>0</v>
      </c>
      <c r="I702" s="86">
        <f t="shared" si="52"/>
        <v>3159</v>
      </c>
      <c r="J702" s="84">
        <f>VLOOKUP(C702, Products[], 6)</f>
        <v>81</v>
      </c>
      <c r="K702" s="86">
        <f t="shared" si="53"/>
        <v>3159</v>
      </c>
      <c r="L702" s="86">
        <f t="shared" si="54"/>
        <v>0</v>
      </c>
      <c r="N702">
        <v>10944</v>
      </c>
      <c r="O702" s="84" cm="1">
        <f t="array" ref="O702">SUM(INDEX(_xlfn._xlws.FILTER($B$6:$L$2160, $B$6:$B$2160=N702), 0, 8))</f>
        <v>1025.325</v>
      </c>
      <c r="P702" s="84" cm="1">
        <f t="array" ref="P702">SUM(INDEX(_xlfn._xlws.FILTER($B$6:$L$2160, $B$6:$B$2160=N702), 0, 10))</f>
        <v>1139.0999999999999</v>
      </c>
      <c r="Q702" s="84" cm="1">
        <f t="array" ref="Q702">SUM(INDEX(_xlfn._xlws.FILTER($B$6:$L$2160, $B$6:$B$2160=N702), 0, 11))</f>
        <v>-113.77499999999998</v>
      </c>
    </row>
    <row r="703" spans="2:17" x14ac:dyDescent="0.2">
      <c r="B703">
        <v>10514</v>
      </c>
      <c r="C703">
        <v>28</v>
      </c>
      <c r="D703" s="84">
        <v>45.6</v>
      </c>
      <c r="E703">
        <v>35</v>
      </c>
      <c r="F703" s="85">
        <v>0</v>
      </c>
      <c r="G703" s="86">
        <f t="shared" si="50"/>
        <v>1596</v>
      </c>
      <c r="H703" s="86">
        <f t="shared" si="51"/>
        <v>0</v>
      </c>
      <c r="I703" s="86">
        <f t="shared" si="52"/>
        <v>1596</v>
      </c>
      <c r="J703" s="84">
        <f>VLOOKUP(C703, Products[], 6)</f>
        <v>45.6</v>
      </c>
      <c r="K703" s="86">
        <f t="shared" si="53"/>
        <v>1596</v>
      </c>
      <c r="L703" s="86">
        <f t="shared" si="54"/>
        <v>0</v>
      </c>
      <c r="N703">
        <v>10945</v>
      </c>
      <c r="O703" s="84" cm="1">
        <f t="array" ref="O703">SUM(INDEX(_xlfn._xlws.FILTER($B$6:$L$2160, $B$6:$B$2160=N703), 0, 8))</f>
        <v>245</v>
      </c>
      <c r="P703" s="84" cm="1">
        <f t="array" ref="P703">SUM(INDEX(_xlfn._xlws.FILTER($B$6:$L$2160, $B$6:$B$2160=N703), 0, 10))</f>
        <v>245</v>
      </c>
      <c r="Q703" s="84" cm="1">
        <f t="array" ref="Q703">SUM(INDEX(_xlfn._xlws.FILTER($B$6:$L$2160, $B$6:$B$2160=N703), 0, 11))</f>
        <v>0</v>
      </c>
    </row>
    <row r="704" spans="2:17" x14ac:dyDescent="0.2">
      <c r="B704">
        <v>10514</v>
      </c>
      <c r="C704">
        <v>56</v>
      </c>
      <c r="D704" s="84">
        <v>38</v>
      </c>
      <c r="E704">
        <v>70</v>
      </c>
      <c r="F704" s="85">
        <v>0</v>
      </c>
      <c r="G704" s="86">
        <f t="shared" si="50"/>
        <v>2660</v>
      </c>
      <c r="H704" s="86">
        <f t="shared" si="51"/>
        <v>0</v>
      </c>
      <c r="I704" s="86">
        <f t="shared" si="52"/>
        <v>2660</v>
      </c>
      <c r="J704" s="84">
        <f>VLOOKUP(C704, Products[], 6)</f>
        <v>38</v>
      </c>
      <c r="K704" s="86">
        <f t="shared" si="53"/>
        <v>2660</v>
      </c>
      <c r="L704" s="86">
        <f t="shared" si="54"/>
        <v>0</v>
      </c>
      <c r="N704">
        <v>10946</v>
      </c>
      <c r="O704" s="84" cm="1">
        <f t="array" ref="O704">SUM(INDEX(_xlfn._xlws.FILTER($B$6:$L$2160, $B$6:$B$2160=N704), 0, 8))</f>
        <v>1407.5</v>
      </c>
      <c r="P704" s="84" cm="1">
        <f t="array" ref="P704">SUM(INDEX(_xlfn._xlws.FILTER($B$6:$L$2160, $B$6:$B$2160=N704), 0, 10))</f>
        <v>1407.5</v>
      </c>
      <c r="Q704" s="84" cm="1">
        <f t="array" ref="Q704">SUM(INDEX(_xlfn._xlws.FILTER($B$6:$L$2160, $B$6:$B$2160=N704), 0, 11))</f>
        <v>0</v>
      </c>
    </row>
    <row r="705" spans="2:17" x14ac:dyDescent="0.2">
      <c r="B705">
        <v>10514</v>
      </c>
      <c r="C705">
        <v>65</v>
      </c>
      <c r="D705" s="84">
        <v>21.05</v>
      </c>
      <c r="E705">
        <v>39</v>
      </c>
      <c r="F705" s="85">
        <v>0</v>
      </c>
      <c r="G705" s="86">
        <f t="shared" si="50"/>
        <v>820.95</v>
      </c>
      <c r="H705" s="86">
        <f t="shared" si="51"/>
        <v>0</v>
      </c>
      <c r="I705" s="86">
        <f t="shared" si="52"/>
        <v>820.95</v>
      </c>
      <c r="J705" s="84">
        <f>VLOOKUP(C705, Products[], 6)</f>
        <v>21.05</v>
      </c>
      <c r="K705" s="86">
        <f t="shared" si="53"/>
        <v>820.95</v>
      </c>
      <c r="L705" s="86">
        <f t="shared" si="54"/>
        <v>0</v>
      </c>
      <c r="N705">
        <v>10947</v>
      </c>
      <c r="O705" s="84" cm="1">
        <f t="array" ref="O705">SUM(INDEX(_xlfn._xlws.FILTER($B$6:$L$2160, $B$6:$B$2160=N705), 0, 8))</f>
        <v>220</v>
      </c>
      <c r="P705" s="84" cm="1">
        <f t="array" ref="P705">SUM(INDEX(_xlfn._xlws.FILTER($B$6:$L$2160, $B$6:$B$2160=N705), 0, 10))</f>
        <v>220</v>
      </c>
      <c r="Q705" s="84" cm="1">
        <f t="array" ref="Q705">SUM(INDEX(_xlfn._xlws.FILTER($B$6:$L$2160, $B$6:$B$2160=N705), 0, 11))</f>
        <v>0</v>
      </c>
    </row>
    <row r="706" spans="2:17" x14ac:dyDescent="0.2">
      <c r="B706">
        <v>10514</v>
      </c>
      <c r="C706">
        <v>75</v>
      </c>
      <c r="D706" s="84">
        <v>7.75</v>
      </c>
      <c r="E706">
        <v>50</v>
      </c>
      <c r="F706" s="85">
        <v>0</v>
      </c>
      <c r="G706" s="86">
        <f t="shared" si="50"/>
        <v>387.5</v>
      </c>
      <c r="H706" s="86">
        <f t="shared" si="51"/>
        <v>0</v>
      </c>
      <c r="I706" s="86">
        <f t="shared" si="52"/>
        <v>387.5</v>
      </c>
      <c r="J706" s="84">
        <f>VLOOKUP(C706, Products[], 6)</f>
        <v>7.75</v>
      </c>
      <c r="K706" s="86">
        <f t="shared" si="53"/>
        <v>387.5</v>
      </c>
      <c r="L706" s="86">
        <f t="shared" si="54"/>
        <v>0</v>
      </c>
      <c r="N706">
        <v>10948</v>
      </c>
      <c r="O706" s="84" cm="1">
        <f t="array" ref="O706">SUM(INDEX(_xlfn._xlws.FILTER($B$6:$L$2160, $B$6:$B$2160=N706), 0, 8))</f>
        <v>2362.25</v>
      </c>
      <c r="P706" s="84" cm="1">
        <f t="array" ref="P706">SUM(INDEX(_xlfn._xlws.FILTER($B$6:$L$2160, $B$6:$B$2160=N706), 0, 10))</f>
        <v>2362.25</v>
      </c>
      <c r="Q706" s="84" cm="1">
        <f t="array" ref="Q706">SUM(INDEX(_xlfn._xlws.FILTER($B$6:$L$2160, $B$6:$B$2160=N706), 0, 11))</f>
        <v>0</v>
      </c>
    </row>
    <row r="707" spans="2:17" x14ac:dyDescent="0.2">
      <c r="B707">
        <v>10515</v>
      </c>
      <c r="C707">
        <v>9</v>
      </c>
      <c r="D707" s="84">
        <v>97</v>
      </c>
      <c r="E707">
        <v>16</v>
      </c>
      <c r="F707" s="85">
        <v>0.15</v>
      </c>
      <c r="G707" s="86">
        <f t="shared" si="50"/>
        <v>1552</v>
      </c>
      <c r="H707" s="86">
        <f t="shared" si="51"/>
        <v>232.79999999999998</v>
      </c>
      <c r="I707" s="86">
        <f t="shared" si="52"/>
        <v>1319.2</v>
      </c>
      <c r="J707" s="84">
        <f>VLOOKUP(C707, Products[], 6)</f>
        <v>97</v>
      </c>
      <c r="K707" s="86">
        <f t="shared" si="53"/>
        <v>1552</v>
      </c>
      <c r="L707" s="86">
        <f t="shared" si="54"/>
        <v>-232.79999999999995</v>
      </c>
      <c r="N707">
        <v>10949</v>
      </c>
      <c r="O707" s="84" cm="1">
        <f t="array" ref="O707">SUM(INDEX(_xlfn._xlws.FILTER($B$6:$L$2160, $B$6:$B$2160=N707), 0, 8))</f>
        <v>4422</v>
      </c>
      <c r="P707" s="84" cm="1">
        <f t="array" ref="P707">SUM(INDEX(_xlfn._xlws.FILTER($B$6:$L$2160, $B$6:$B$2160=N707), 0, 10))</f>
        <v>4422</v>
      </c>
      <c r="Q707" s="84" cm="1">
        <f t="array" ref="Q707">SUM(INDEX(_xlfn._xlws.FILTER($B$6:$L$2160, $B$6:$B$2160=N707), 0, 11))</f>
        <v>0</v>
      </c>
    </row>
    <row r="708" spans="2:17" x14ac:dyDescent="0.2">
      <c r="B708">
        <v>10515</v>
      </c>
      <c r="C708">
        <v>16</v>
      </c>
      <c r="D708" s="84">
        <v>17.45</v>
      </c>
      <c r="E708">
        <v>50</v>
      </c>
      <c r="F708" s="85">
        <v>0</v>
      </c>
      <c r="G708" s="86">
        <f t="shared" si="50"/>
        <v>872.5</v>
      </c>
      <c r="H708" s="86">
        <f t="shared" si="51"/>
        <v>0</v>
      </c>
      <c r="I708" s="86">
        <f t="shared" si="52"/>
        <v>872.5</v>
      </c>
      <c r="J708" s="84">
        <f>VLOOKUP(C708, Products[], 6)</f>
        <v>17.45</v>
      </c>
      <c r="K708" s="86">
        <f t="shared" si="53"/>
        <v>872.5</v>
      </c>
      <c r="L708" s="86">
        <f t="shared" si="54"/>
        <v>0</v>
      </c>
      <c r="N708">
        <v>10950</v>
      </c>
      <c r="O708" s="84" cm="1">
        <f t="array" ref="O708">SUM(INDEX(_xlfn._xlws.FILTER($B$6:$L$2160, $B$6:$B$2160=N708), 0, 8))</f>
        <v>110</v>
      </c>
      <c r="P708" s="84" cm="1">
        <f t="array" ref="P708">SUM(INDEX(_xlfn._xlws.FILTER($B$6:$L$2160, $B$6:$B$2160=N708), 0, 10))</f>
        <v>110</v>
      </c>
      <c r="Q708" s="84" cm="1">
        <f t="array" ref="Q708">SUM(INDEX(_xlfn._xlws.FILTER($B$6:$L$2160, $B$6:$B$2160=N708), 0, 11))</f>
        <v>0</v>
      </c>
    </row>
    <row r="709" spans="2:17" x14ac:dyDescent="0.2">
      <c r="B709">
        <v>10515</v>
      </c>
      <c r="C709">
        <v>27</v>
      </c>
      <c r="D709" s="84">
        <v>43.9</v>
      </c>
      <c r="E709">
        <v>120</v>
      </c>
      <c r="F709" s="85">
        <v>0</v>
      </c>
      <c r="G709" s="86">
        <f t="shared" si="50"/>
        <v>5268</v>
      </c>
      <c r="H709" s="86">
        <f t="shared" si="51"/>
        <v>0</v>
      </c>
      <c r="I709" s="86">
        <f t="shared" si="52"/>
        <v>5268</v>
      </c>
      <c r="J709" s="84">
        <f>VLOOKUP(C709, Products[], 6)</f>
        <v>43.9</v>
      </c>
      <c r="K709" s="86">
        <f t="shared" si="53"/>
        <v>5268</v>
      </c>
      <c r="L709" s="86">
        <f t="shared" si="54"/>
        <v>0</v>
      </c>
      <c r="N709">
        <v>10951</v>
      </c>
      <c r="O709" s="84" cm="1">
        <f t="array" ref="O709">SUM(INDEX(_xlfn._xlws.FILTER($B$6:$L$2160, $B$6:$B$2160=N709), 0, 8))</f>
        <v>458.755</v>
      </c>
      <c r="P709" s="84" cm="1">
        <f t="array" ref="P709">SUM(INDEX(_xlfn._xlws.FILTER($B$6:$L$2160, $B$6:$B$2160=N709), 0, 10))</f>
        <v>482.9</v>
      </c>
      <c r="Q709" s="84" cm="1">
        <f t="array" ref="Q709">SUM(INDEX(_xlfn._xlws.FILTER($B$6:$L$2160, $B$6:$B$2160=N709), 0, 11))</f>
        <v>-24.145000000000003</v>
      </c>
    </row>
    <row r="710" spans="2:17" x14ac:dyDescent="0.2">
      <c r="B710">
        <v>10515</v>
      </c>
      <c r="C710">
        <v>33</v>
      </c>
      <c r="D710" s="84">
        <v>2.5</v>
      </c>
      <c r="E710">
        <v>16</v>
      </c>
      <c r="F710" s="85">
        <v>0.15</v>
      </c>
      <c r="G710" s="86">
        <f t="shared" si="50"/>
        <v>40</v>
      </c>
      <c r="H710" s="86">
        <f t="shared" si="51"/>
        <v>6</v>
      </c>
      <c r="I710" s="86">
        <f t="shared" si="52"/>
        <v>34</v>
      </c>
      <c r="J710" s="84">
        <f>VLOOKUP(C710, Products[], 6)</f>
        <v>2.5</v>
      </c>
      <c r="K710" s="86">
        <f t="shared" si="53"/>
        <v>40</v>
      </c>
      <c r="L710" s="86">
        <f t="shared" si="54"/>
        <v>-6</v>
      </c>
      <c r="N710">
        <v>10952</v>
      </c>
      <c r="O710" s="84" cm="1">
        <f t="array" ref="O710">SUM(INDEX(_xlfn._xlws.FILTER($B$6:$L$2160, $B$6:$B$2160=N710), 0, 8))</f>
        <v>471.2</v>
      </c>
      <c r="P710" s="84" cm="1">
        <f t="array" ref="P710">SUM(INDEX(_xlfn._xlws.FILTER($B$6:$L$2160, $B$6:$B$2160=N710), 0, 10))</f>
        <v>491.2</v>
      </c>
      <c r="Q710" s="84" cm="1">
        <f t="array" ref="Q710">SUM(INDEX(_xlfn._xlws.FILTER($B$6:$L$2160, $B$6:$B$2160=N710), 0, 11))</f>
        <v>-20</v>
      </c>
    </row>
    <row r="711" spans="2:17" x14ac:dyDescent="0.2">
      <c r="B711">
        <v>10515</v>
      </c>
      <c r="C711">
        <v>60</v>
      </c>
      <c r="D711" s="84">
        <v>34</v>
      </c>
      <c r="E711">
        <v>84</v>
      </c>
      <c r="F711" s="85">
        <v>0.15</v>
      </c>
      <c r="G711" s="86">
        <f t="shared" ref="G711:G774" si="55">D711*E711</f>
        <v>2856</v>
      </c>
      <c r="H711" s="86">
        <f t="shared" ref="H711:H774" si="56">G711*F711</f>
        <v>428.4</v>
      </c>
      <c r="I711" s="86">
        <f t="shared" ref="I711:I774" si="57">G711-H711</f>
        <v>2427.6</v>
      </c>
      <c r="J711" s="84">
        <f>VLOOKUP(C711, Products[], 6)</f>
        <v>34</v>
      </c>
      <c r="K711" s="86">
        <f t="shared" ref="K711:K774" si="58">J711*E711</f>
        <v>2856</v>
      </c>
      <c r="L711" s="86">
        <f t="shared" ref="L711:L774" si="59">I711-K711</f>
        <v>-428.40000000000009</v>
      </c>
      <c r="N711">
        <v>10953</v>
      </c>
      <c r="O711" s="84" cm="1">
        <f t="array" ref="O711">SUM(INDEX(_xlfn._xlws.FILTER($B$6:$L$2160, $B$6:$B$2160=N711), 0, 8))</f>
        <v>4441.25</v>
      </c>
      <c r="P711" s="84" cm="1">
        <f t="array" ref="P711">SUM(INDEX(_xlfn._xlws.FILTER($B$6:$L$2160, $B$6:$B$2160=N711), 0, 10))</f>
        <v>4675</v>
      </c>
      <c r="Q711" s="84" cm="1">
        <f t="array" ref="Q711">SUM(INDEX(_xlfn._xlws.FILTER($B$6:$L$2160, $B$6:$B$2160=N711), 0, 11))</f>
        <v>-233.75</v>
      </c>
    </row>
    <row r="712" spans="2:17" x14ac:dyDescent="0.2">
      <c r="B712">
        <v>10516</v>
      </c>
      <c r="C712">
        <v>18</v>
      </c>
      <c r="D712" s="84">
        <v>62.5</v>
      </c>
      <c r="E712">
        <v>25</v>
      </c>
      <c r="F712" s="85">
        <v>0.1</v>
      </c>
      <c r="G712" s="86">
        <f t="shared" si="55"/>
        <v>1562.5</v>
      </c>
      <c r="H712" s="86">
        <f t="shared" si="56"/>
        <v>156.25</v>
      </c>
      <c r="I712" s="86">
        <f t="shared" si="57"/>
        <v>1406.25</v>
      </c>
      <c r="J712" s="84">
        <f>VLOOKUP(C712, Products[], 6)</f>
        <v>62.5</v>
      </c>
      <c r="K712" s="86">
        <f t="shared" si="58"/>
        <v>1562.5</v>
      </c>
      <c r="L712" s="86">
        <f t="shared" si="59"/>
        <v>-156.25</v>
      </c>
      <c r="N712">
        <v>10954</v>
      </c>
      <c r="O712" s="84" cm="1">
        <f t="array" ref="O712">SUM(INDEX(_xlfn._xlws.FILTER($B$6:$L$2160, $B$6:$B$2160=N712), 0, 8))</f>
        <v>1659.5349999999999</v>
      </c>
      <c r="P712" s="84" cm="1">
        <f t="array" ref="P712">SUM(INDEX(_xlfn._xlws.FILTER($B$6:$L$2160, $B$6:$B$2160=N712), 0, 10))</f>
        <v>1902.1</v>
      </c>
      <c r="Q712" s="84" cm="1">
        <f t="array" ref="Q712">SUM(INDEX(_xlfn._xlws.FILTER($B$6:$L$2160, $B$6:$B$2160=N712), 0, 11))</f>
        <v>-242.565</v>
      </c>
    </row>
    <row r="713" spans="2:17" x14ac:dyDescent="0.2">
      <c r="B713">
        <v>10516</v>
      </c>
      <c r="C713">
        <v>41</v>
      </c>
      <c r="D713" s="84">
        <v>9.65</v>
      </c>
      <c r="E713">
        <v>80</v>
      </c>
      <c r="F713" s="85">
        <v>0.1</v>
      </c>
      <c r="G713" s="86">
        <f t="shared" si="55"/>
        <v>772</v>
      </c>
      <c r="H713" s="86">
        <f t="shared" si="56"/>
        <v>77.2</v>
      </c>
      <c r="I713" s="86">
        <f t="shared" si="57"/>
        <v>694.8</v>
      </c>
      <c r="J713" s="84">
        <f>VLOOKUP(C713, Products[], 6)</f>
        <v>9.65</v>
      </c>
      <c r="K713" s="86">
        <f t="shared" si="58"/>
        <v>772</v>
      </c>
      <c r="L713" s="86">
        <f t="shared" si="59"/>
        <v>-77.200000000000045</v>
      </c>
      <c r="N713">
        <v>10955</v>
      </c>
      <c r="O713" s="84" cm="1">
        <f t="array" ref="O713">SUM(INDEX(_xlfn._xlws.FILTER($B$6:$L$2160, $B$6:$B$2160=N713), 0, 8))</f>
        <v>74.400000000000006</v>
      </c>
      <c r="P713" s="84" cm="1">
        <f t="array" ref="P713">SUM(INDEX(_xlfn._xlws.FILTER($B$6:$L$2160, $B$6:$B$2160=N713), 0, 10))</f>
        <v>93</v>
      </c>
      <c r="Q713" s="84" cm="1">
        <f t="array" ref="Q713">SUM(INDEX(_xlfn._xlws.FILTER($B$6:$L$2160, $B$6:$B$2160=N713), 0, 11))</f>
        <v>-18.599999999999994</v>
      </c>
    </row>
    <row r="714" spans="2:17" x14ac:dyDescent="0.2">
      <c r="B714">
        <v>10516</v>
      </c>
      <c r="C714">
        <v>42</v>
      </c>
      <c r="D714" s="84">
        <v>14</v>
      </c>
      <c r="E714">
        <v>20</v>
      </c>
      <c r="F714" s="85">
        <v>0</v>
      </c>
      <c r="G714" s="86">
        <f t="shared" si="55"/>
        <v>280</v>
      </c>
      <c r="H714" s="86">
        <f t="shared" si="56"/>
        <v>0</v>
      </c>
      <c r="I714" s="86">
        <f t="shared" si="57"/>
        <v>280</v>
      </c>
      <c r="J714" s="84">
        <f>VLOOKUP(C714, Products[], 6)</f>
        <v>14</v>
      </c>
      <c r="K714" s="86">
        <f t="shared" si="58"/>
        <v>280</v>
      </c>
      <c r="L714" s="86">
        <f t="shared" si="59"/>
        <v>0</v>
      </c>
      <c r="N714">
        <v>10956</v>
      </c>
      <c r="O714" s="84" cm="1">
        <f t="array" ref="O714">SUM(INDEX(_xlfn._xlws.FILTER($B$6:$L$2160, $B$6:$B$2160=N714), 0, 8))</f>
        <v>677</v>
      </c>
      <c r="P714" s="84" cm="1">
        <f t="array" ref="P714">SUM(INDEX(_xlfn._xlws.FILTER($B$6:$L$2160, $B$6:$B$2160=N714), 0, 10))</f>
        <v>677</v>
      </c>
      <c r="Q714" s="84" cm="1">
        <f t="array" ref="Q714">SUM(INDEX(_xlfn._xlws.FILTER($B$6:$L$2160, $B$6:$B$2160=N714), 0, 11))</f>
        <v>0</v>
      </c>
    </row>
    <row r="715" spans="2:17" x14ac:dyDescent="0.2">
      <c r="B715">
        <v>10517</v>
      </c>
      <c r="C715">
        <v>52</v>
      </c>
      <c r="D715" s="84">
        <v>7</v>
      </c>
      <c r="E715">
        <v>6</v>
      </c>
      <c r="F715" s="85">
        <v>0</v>
      </c>
      <c r="G715" s="86">
        <f t="shared" si="55"/>
        <v>42</v>
      </c>
      <c r="H715" s="86">
        <f t="shared" si="56"/>
        <v>0</v>
      </c>
      <c r="I715" s="86">
        <f t="shared" si="57"/>
        <v>42</v>
      </c>
      <c r="J715" s="84">
        <f>VLOOKUP(C715, Products[], 6)</f>
        <v>7</v>
      </c>
      <c r="K715" s="86">
        <f t="shared" si="58"/>
        <v>42</v>
      </c>
      <c r="L715" s="86">
        <f t="shared" si="59"/>
        <v>0</v>
      </c>
      <c r="N715">
        <v>10957</v>
      </c>
      <c r="O715" s="84" cm="1">
        <f t="array" ref="O715">SUM(INDEX(_xlfn._xlws.FILTER($B$6:$L$2160, $B$6:$B$2160=N715), 0, 8))</f>
        <v>1762.7</v>
      </c>
      <c r="P715" s="84" cm="1">
        <f t="array" ref="P715">SUM(INDEX(_xlfn._xlws.FILTER($B$6:$L$2160, $B$6:$B$2160=N715), 0, 10))</f>
        <v>1762.7</v>
      </c>
      <c r="Q715" s="84" cm="1">
        <f t="array" ref="Q715">SUM(INDEX(_xlfn._xlws.FILTER($B$6:$L$2160, $B$6:$B$2160=N715), 0, 11))</f>
        <v>0</v>
      </c>
    </row>
    <row r="716" spans="2:17" x14ac:dyDescent="0.2">
      <c r="B716">
        <v>10517</v>
      </c>
      <c r="C716">
        <v>59</v>
      </c>
      <c r="D716" s="84">
        <v>55</v>
      </c>
      <c r="E716">
        <v>4</v>
      </c>
      <c r="F716" s="85">
        <v>0</v>
      </c>
      <c r="G716" s="86">
        <f t="shared" si="55"/>
        <v>220</v>
      </c>
      <c r="H716" s="86">
        <f t="shared" si="56"/>
        <v>0</v>
      </c>
      <c r="I716" s="86">
        <f t="shared" si="57"/>
        <v>220</v>
      </c>
      <c r="J716" s="84">
        <f>VLOOKUP(C716, Products[], 6)</f>
        <v>55</v>
      </c>
      <c r="K716" s="86">
        <f t="shared" si="58"/>
        <v>220</v>
      </c>
      <c r="L716" s="86">
        <f t="shared" si="59"/>
        <v>0</v>
      </c>
      <c r="N716">
        <v>10958</v>
      </c>
      <c r="O716" s="84" cm="1">
        <f t="array" ref="O716">SUM(INDEX(_xlfn._xlws.FILTER($B$6:$L$2160, $B$6:$B$2160=N716), 0, 8))</f>
        <v>781</v>
      </c>
      <c r="P716" s="84" cm="1">
        <f t="array" ref="P716">SUM(INDEX(_xlfn._xlws.FILTER($B$6:$L$2160, $B$6:$B$2160=N716), 0, 10))</f>
        <v>781</v>
      </c>
      <c r="Q716" s="84" cm="1">
        <f t="array" ref="Q716">SUM(INDEX(_xlfn._xlws.FILTER($B$6:$L$2160, $B$6:$B$2160=N716), 0, 11))</f>
        <v>0</v>
      </c>
    </row>
    <row r="717" spans="2:17" x14ac:dyDescent="0.2">
      <c r="B717">
        <v>10517</v>
      </c>
      <c r="C717">
        <v>70</v>
      </c>
      <c r="D717" s="84">
        <v>15</v>
      </c>
      <c r="E717">
        <v>6</v>
      </c>
      <c r="F717" s="85">
        <v>0</v>
      </c>
      <c r="G717" s="86">
        <f t="shared" si="55"/>
        <v>90</v>
      </c>
      <c r="H717" s="86">
        <f t="shared" si="56"/>
        <v>0</v>
      </c>
      <c r="I717" s="86">
        <f t="shared" si="57"/>
        <v>90</v>
      </c>
      <c r="J717" s="84">
        <f>VLOOKUP(C717, Products[], 6)</f>
        <v>15</v>
      </c>
      <c r="K717" s="86">
        <f t="shared" si="58"/>
        <v>90</v>
      </c>
      <c r="L717" s="86">
        <f t="shared" si="59"/>
        <v>0</v>
      </c>
      <c r="N717">
        <v>10959</v>
      </c>
      <c r="O717" s="84" cm="1">
        <f t="array" ref="O717">SUM(INDEX(_xlfn._xlws.FILTER($B$6:$L$2160, $B$6:$B$2160=N717), 0, 8))</f>
        <v>131.75</v>
      </c>
      <c r="P717" s="84" cm="1">
        <f t="array" ref="P717">SUM(INDEX(_xlfn._xlws.FILTER($B$6:$L$2160, $B$6:$B$2160=N717), 0, 10))</f>
        <v>155</v>
      </c>
      <c r="Q717" s="84" cm="1">
        <f t="array" ref="Q717">SUM(INDEX(_xlfn._xlws.FILTER($B$6:$L$2160, $B$6:$B$2160=N717), 0, 11))</f>
        <v>-23.25</v>
      </c>
    </row>
    <row r="718" spans="2:17" x14ac:dyDescent="0.2">
      <c r="B718">
        <v>10518</v>
      </c>
      <c r="C718">
        <v>24</v>
      </c>
      <c r="D718" s="84">
        <v>4.5</v>
      </c>
      <c r="E718">
        <v>5</v>
      </c>
      <c r="F718" s="85">
        <v>0</v>
      </c>
      <c r="G718" s="86">
        <f t="shared" si="55"/>
        <v>22.5</v>
      </c>
      <c r="H718" s="86">
        <f t="shared" si="56"/>
        <v>0</v>
      </c>
      <c r="I718" s="86">
        <f t="shared" si="57"/>
        <v>22.5</v>
      </c>
      <c r="J718" s="84">
        <f>VLOOKUP(C718, Products[], 6)</f>
        <v>4.5</v>
      </c>
      <c r="K718" s="86">
        <f t="shared" si="58"/>
        <v>22.5</v>
      </c>
      <c r="L718" s="86">
        <f t="shared" si="59"/>
        <v>0</v>
      </c>
      <c r="N718">
        <v>10960</v>
      </c>
      <c r="O718" s="84" cm="1">
        <f t="array" ref="O718">SUM(INDEX(_xlfn._xlws.FILTER($B$6:$L$2160, $B$6:$B$2160=N718), 0, 8))</f>
        <v>265.35000000000002</v>
      </c>
      <c r="P718" s="84" cm="1">
        <f t="array" ref="P718">SUM(INDEX(_xlfn._xlws.FILTER($B$6:$L$2160, $B$6:$B$2160=N718), 0, 10))</f>
        <v>276.60000000000002</v>
      </c>
      <c r="Q718" s="84" cm="1">
        <f t="array" ref="Q718">SUM(INDEX(_xlfn._xlws.FILTER($B$6:$L$2160, $B$6:$B$2160=N718), 0, 11))</f>
        <v>-11.25</v>
      </c>
    </row>
    <row r="719" spans="2:17" x14ac:dyDescent="0.2">
      <c r="B719">
        <v>10518</v>
      </c>
      <c r="C719">
        <v>38</v>
      </c>
      <c r="D719" s="84">
        <v>263.5</v>
      </c>
      <c r="E719">
        <v>15</v>
      </c>
      <c r="F719" s="85">
        <v>0</v>
      </c>
      <c r="G719" s="86">
        <f t="shared" si="55"/>
        <v>3952.5</v>
      </c>
      <c r="H719" s="86">
        <f t="shared" si="56"/>
        <v>0</v>
      </c>
      <c r="I719" s="86">
        <f t="shared" si="57"/>
        <v>3952.5</v>
      </c>
      <c r="J719" s="84">
        <f>VLOOKUP(C719, Products[], 6)</f>
        <v>263.5</v>
      </c>
      <c r="K719" s="86">
        <f t="shared" si="58"/>
        <v>3952.5</v>
      </c>
      <c r="L719" s="86">
        <f t="shared" si="59"/>
        <v>0</v>
      </c>
      <c r="N719">
        <v>10961</v>
      </c>
      <c r="O719" s="84" cm="1">
        <f t="array" ref="O719">SUM(INDEX(_xlfn._xlws.FILTER($B$6:$L$2160, $B$6:$B$2160=N719), 0, 8))</f>
        <v>1119.9000000000001</v>
      </c>
      <c r="P719" s="84" cm="1">
        <f t="array" ref="P719">SUM(INDEX(_xlfn._xlws.FILTER($B$6:$L$2160, $B$6:$B$2160=N719), 0, 10))</f>
        <v>1122</v>
      </c>
      <c r="Q719" s="84" cm="1">
        <f t="array" ref="Q719">SUM(INDEX(_xlfn._xlws.FILTER($B$6:$L$2160, $B$6:$B$2160=N719), 0, 11))</f>
        <v>-2.1000000000000014</v>
      </c>
    </row>
    <row r="720" spans="2:17" x14ac:dyDescent="0.2">
      <c r="B720">
        <v>10518</v>
      </c>
      <c r="C720">
        <v>44</v>
      </c>
      <c r="D720" s="84">
        <v>19.45</v>
      </c>
      <c r="E720">
        <v>9</v>
      </c>
      <c r="F720" s="85">
        <v>0</v>
      </c>
      <c r="G720" s="86">
        <f t="shared" si="55"/>
        <v>175.04999999999998</v>
      </c>
      <c r="H720" s="86">
        <f t="shared" si="56"/>
        <v>0</v>
      </c>
      <c r="I720" s="86">
        <f t="shared" si="57"/>
        <v>175.04999999999998</v>
      </c>
      <c r="J720" s="84">
        <f>VLOOKUP(C720, Products[], 6)</f>
        <v>19.45</v>
      </c>
      <c r="K720" s="86">
        <f t="shared" si="58"/>
        <v>175.04999999999998</v>
      </c>
      <c r="L720" s="86">
        <f t="shared" si="59"/>
        <v>0</v>
      </c>
      <c r="N720">
        <v>10962</v>
      </c>
      <c r="O720" s="84" cm="1">
        <f t="array" ref="O720">SUM(INDEX(_xlfn._xlws.FILTER($B$6:$L$2160, $B$6:$B$2160=N720), 0, 8))</f>
        <v>3584</v>
      </c>
      <c r="P720" s="84" cm="1">
        <f t="array" ref="P720">SUM(INDEX(_xlfn._xlws.FILTER($B$6:$L$2160, $B$6:$B$2160=N720), 0, 10))</f>
        <v>3584</v>
      </c>
      <c r="Q720" s="84" cm="1">
        <f t="array" ref="Q720">SUM(INDEX(_xlfn._xlws.FILTER($B$6:$L$2160, $B$6:$B$2160=N720), 0, 11))</f>
        <v>0</v>
      </c>
    </row>
    <row r="721" spans="2:17" x14ac:dyDescent="0.2">
      <c r="B721">
        <v>10519</v>
      </c>
      <c r="C721">
        <v>10</v>
      </c>
      <c r="D721" s="84">
        <v>31</v>
      </c>
      <c r="E721">
        <v>16</v>
      </c>
      <c r="F721" s="85">
        <v>0.05</v>
      </c>
      <c r="G721" s="86">
        <f t="shared" si="55"/>
        <v>496</v>
      </c>
      <c r="H721" s="86">
        <f t="shared" si="56"/>
        <v>24.8</v>
      </c>
      <c r="I721" s="86">
        <f t="shared" si="57"/>
        <v>471.2</v>
      </c>
      <c r="J721" s="84">
        <f>VLOOKUP(C721, Products[], 6)</f>
        <v>31</v>
      </c>
      <c r="K721" s="86">
        <f t="shared" si="58"/>
        <v>496</v>
      </c>
      <c r="L721" s="86">
        <f t="shared" si="59"/>
        <v>-24.800000000000011</v>
      </c>
      <c r="N721">
        <v>10963</v>
      </c>
      <c r="O721" s="84" cm="1">
        <f t="array" ref="O721">SUM(INDEX(_xlfn._xlws.FILTER($B$6:$L$2160, $B$6:$B$2160=N721), 0, 8))</f>
        <v>57.8</v>
      </c>
      <c r="P721" s="84" cm="1">
        <f t="array" ref="P721">SUM(INDEX(_xlfn._xlws.FILTER($B$6:$L$2160, $B$6:$B$2160=N721), 0, 10))</f>
        <v>68</v>
      </c>
      <c r="Q721" s="84" cm="1">
        <f t="array" ref="Q721">SUM(INDEX(_xlfn._xlws.FILTER($B$6:$L$2160, $B$6:$B$2160=N721), 0, 11))</f>
        <v>-10.200000000000003</v>
      </c>
    </row>
    <row r="722" spans="2:17" x14ac:dyDescent="0.2">
      <c r="B722">
        <v>10519</v>
      </c>
      <c r="C722">
        <v>56</v>
      </c>
      <c r="D722" s="84">
        <v>38</v>
      </c>
      <c r="E722">
        <v>40</v>
      </c>
      <c r="F722" s="85">
        <v>0</v>
      </c>
      <c r="G722" s="86">
        <f t="shared" si="55"/>
        <v>1520</v>
      </c>
      <c r="H722" s="86">
        <f t="shared" si="56"/>
        <v>0</v>
      </c>
      <c r="I722" s="86">
        <f t="shared" si="57"/>
        <v>1520</v>
      </c>
      <c r="J722" s="84">
        <f>VLOOKUP(C722, Products[], 6)</f>
        <v>38</v>
      </c>
      <c r="K722" s="86">
        <f t="shared" si="58"/>
        <v>1520</v>
      </c>
      <c r="L722" s="86">
        <f t="shared" si="59"/>
        <v>0</v>
      </c>
      <c r="N722">
        <v>10964</v>
      </c>
      <c r="O722" s="84" cm="1">
        <f t="array" ref="O722">SUM(INDEX(_xlfn._xlws.FILTER($B$6:$L$2160, $B$6:$B$2160=N722), 0, 8))</f>
        <v>2052.5</v>
      </c>
      <c r="P722" s="84" cm="1">
        <f t="array" ref="P722">SUM(INDEX(_xlfn._xlws.FILTER($B$6:$L$2160, $B$6:$B$2160=N722), 0, 10))</f>
        <v>2052.5</v>
      </c>
      <c r="Q722" s="84" cm="1">
        <f t="array" ref="Q722">SUM(INDEX(_xlfn._xlws.FILTER($B$6:$L$2160, $B$6:$B$2160=N722), 0, 11))</f>
        <v>0</v>
      </c>
    </row>
    <row r="723" spans="2:17" x14ac:dyDescent="0.2">
      <c r="B723">
        <v>10519</v>
      </c>
      <c r="C723">
        <v>60</v>
      </c>
      <c r="D723" s="84">
        <v>34</v>
      </c>
      <c r="E723">
        <v>10</v>
      </c>
      <c r="F723" s="85">
        <v>0.05</v>
      </c>
      <c r="G723" s="86">
        <f t="shared" si="55"/>
        <v>340</v>
      </c>
      <c r="H723" s="86">
        <f t="shared" si="56"/>
        <v>17</v>
      </c>
      <c r="I723" s="86">
        <f t="shared" si="57"/>
        <v>323</v>
      </c>
      <c r="J723" s="84">
        <f>VLOOKUP(C723, Products[], 6)</f>
        <v>34</v>
      </c>
      <c r="K723" s="86">
        <f t="shared" si="58"/>
        <v>340</v>
      </c>
      <c r="L723" s="86">
        <f t="shared" si="59"/>
        <v>-17</v>
      </c>
      <c r="N723">
        <v>10965</v>
      </c>
      <c r="O723" s="84" cm="1">
        <f t="array" ref="O723">SUM(INDEX(_xlfn._xlws.FILTER($B$6:$L$2160, $B$6:$B$2160=N723), 0, 8))</f>
        <v>848</v>
      </c>
      <c r="P723" s="84" cm="1">
        <f t="array" ref="P723">SUM(INDEX(_xlfn._xlws.FILTER($B$6:$L$2160, $B$6:$B$2160=N723), 0, 10))</f>
        <v>848</v>
      </c>
      <c r="Q723" s="84" cm="1">
        <f t="array" ref="Q723">SUM(INDEX(_xlfn._xlws.FILTER($B$6:$L$2160, $B$6:$B$2160=N723), 0, 11))</f>
        <v>0</v>
      </c>
    </row>
    <row r="724" spans="2:17" x14ac:dyDescent="0.2">
      <c r="B724">
        <v>10520</v>
      </c>
      <c r="C724">
        <v>24</v>
      </c>
      <c r="D724" s="84">
        <v>4.5</v>
      </c>
      <c r="E724">
        <v>8</v>
      </c>
      <c r="F724" s="85">
        <v>0</v>
      </c>
      <c r="G724" s="86">
        <f t="shared" si="55"/>
        <v>36</v>
      </c>
      <c r="H724" s="86">
        <f t="shared" si="56"/>
        <v>0</v>
      </c>
      <c r="I724" s="86">
        <f t="shared" si="57"/>
        <v>36</v>
      </c>
      <c r="J724" s="84">
        <f>VLOOKUP(C724, Products[], 6)</f>
        <v>4.5</v>
      </c>
      <c r="K724" s="86">
        <f t="shared" si="58"/>
        <v>36</v>
      </c>
      <c r="L724" s="86">
        <f t="shared" si="59"/>
        <v>0</v>
      </c>
      <c r="N724">
        <v>10966</v>
      </c>
      <c r="O724" s="84" cm="1">
        <f t="array" ref="O724">SUM(INDEX(_xlfn._xlws.FILTER($B$6:$L$2160, $B$6:$B$2160=N724), 0, 8))</f>
        <v>1098.46</v>
      </c>
      <c r="P724" s="84" cm="1">
        <f t="array" ref="P724">SUM(INDEX(_xlfn._xlws.FILTER($B$6:$L$2160, $B$6:$B$2160=N724), 0, 10))</f>
        <v>1255.5999999999999</v>
      </c>
      <c r="Q724" s="84" cm="1">
        <f t="array" ref="Q724">SUM(INDEX(_xlfn._xlws.FILTER($B$6:$L$2160, $B$6:$B$2160=N724), 0, 11))</f>
        <v>-157.13999999999999</v>
      </c>
    </row>
    <row r="725" spans="2:17" x14ac:dyDescent="0.2">
      <c r="B725">
        <v>10520</v>
      </c>
      <c r="C725">
        <v>53</v>
      </c>
      <c r="D725" s="84">
        <v>32.799999999999997</v>
      </c>
      <c r="E725">
        <v>5</v>
      </c>
      <c r="F725" s="85">
        <v>0</v>
      </c>
      <c r="G725" s="86">
        <f t="shared" si="55"/>
        <v>164</v>
      </c>
      <c r="H725" s="86">
        <f t="shared" si="56"/>
        <v>0</v>
      </c>
      <c r="I725" s="86">
        <f t="shared" si="57"/>
        <v>164</v>
      </c>
      <c r="J725" s="84">
        <f>VLOOKUP(C725, Products[], 6)</f>
        <v>32.799999999999997</v>
      </c>
      <c r="K725" s="86">
        <f t="shared" si="58"/>
        <v>164</v>
      </c>
      <c r="L725" s="86">
        <f t="shared" si="59"/>
        <v>0</v>
      </c>
      <c r="N725">
        <v>10967</v>
      </c>
      <c r="O725" s="84" cm="1">
        <f t="array" ref="O725">SUM(INDEX(_xlfn._xlws.FILTER($B$6:$L$2160, $B$6:$B$2160=N725), 0, 8))</f>
        <v>910.4</v>
      </c>
      <c r="P725" s="84" cm="1">
        <f t="array" ref="P725">SUM(INDEX(_xlfn._xlws.FILTER($B$6:$L$2160, $B$6:$B$2160=N725), 0, 10))</f>
        <v>910.4</v>
      </c>
      <c r="Q725" s="84" cm="1">
        <f t="array" ref="Q725">SUM(INDEX(_xlfn._xlws.FILTER($B$6:$L$2160, $B$6:$B$2160=N725), 0, 11))</f>
        <v>0</v>
      </c>
    </row>
    <row r="726" spans="2:17" x14ac:dyDescent="0.2">
      <c r="B726">
        <v>10521</v>
      </c>
      <c r="C726">
        <v>35</v>
      </c>
      <c r="D726" s="84">
        <v>18</v>
      </c>
      <c r="E726">
        <v>3</v>
      </c>
      <c r="F726" s="85">
        <v>0</v>
      </c>
      <c r="G726" s="86">
        <f t="shared" si="55"/>
        <v>54</v>
      </c>
      <c r="H726" s="86">
        <f t="shared" si="56"/>
        <v>0</v>
      </c>
      <c r="I726" s="86">
        <f t="shared" si="57"/>
        <v>54</v>
      </c>
      <c r="J726" s="84">
        <f>VLOOKUP(C726, Products[], 6)</f>
        <v>18</v>
      </c>
      <c r="K726" s="86">
        <f t="shared" si="58"/>
        <v>54</v>
      </c>
      <c r="L726" s="86">
        <f t="shared" si="59"/>
        <v>0</v>
      </c>
      <c r="N726">
        <v>10968</v>
      </c>
      <c r="O726" s="84" cm="1">
        <f t="array" ref="O726">SUM(INDEX(_xlfn._xlws.FILTER($B$6:$L$2160, $B$6:$B$2160=N726), 0, 8))</f>
        <v>1408</v>
      </c>
      <c r="P726" s="84" cm="1">
        <f t="array" ref="P726">SUM(INDEX(_xlfn._xlws.FILTER($B$6:$L$2160, $B$6:$B$2160=N726), 0, 10))</f>
        <v>1408</v>
      </c>
      <c r="Q726" s="84" cm="1">
        <f t="array" ref="Q726">SUM(INDEX(_xlfn._xlws.FILTER($B$6:$L$2160, $B$6:$B$2160=N726), 0, 11))</f>
        <v>0</v>
      </c>
    </row>
    <row r="727" spans="2:17" x14ac:dyDescent="0.2">
      <c r="B727">
        <v>10521</v>
      </c>
      <c r="C727">
        <v>41</v>
      </c>
      <c r="D727" s="84">
        <v>9.65</v>
      </c>
      <c r="E727">
        <v>10</v>
      </c>
      <c r="F727" s="85">
        <v>0</v>
      </c>
      <c r="G727" s="86">
        <f t="shared" si="55"/>
        <v>96.5</v>
      </c>
      <c r="H727" s="86">
        <f t="shared" si="56"/>
        <v>0</v>
      </c>
      <c r="I727" s="86">
        <f t="shared" si="57"/>
        <v>96.5</v>
      </c>
      <c r="J727" s="84">
        <f>VLOOKUP(C727, Products[], 6)</f>
        <v>9.65</v>
      </c>
      <c r="K727" s="86">
        <f t="shared" si="58"/>
        <v>96.5</v>
      </c>
      <c r="L727" s="86">
        <f t="shared" si="59"/>
        <v>0</v>
      </c>
      <c r="N727">
        <v>10969</v>
      </c>
      <c r="O727" s="84" cm="1">
        <f t="array" ref="O727">SUM(INDEX(_xlfn._xlws.FILTER($B$6:$L$2160, $B$6:$B$2160=N727), 0, 8))</f>
        <v>108</v>
      </c>
      <c r="P727" s="84" cm="1">
        <f t="array" ref="P727">SUM(INDEX(_xlfn._xlws.FILTER($B$6:$L$2160, $B$6:$B$2160=N727), 0, 10))</f>
        <v>108</v>
      </c>
      <c r="Q727" s="84" cm="1">
        <f t="array" ref="Q727">SUM(INDEX(_xlfn._xlws.FILTER($B$6:$L$2160, $B$6:$B$2160=N727), 0, 11))</f>
        <v>0</v>
      </c>
    </row>
    <row r="728" spans="2:17" x14ac:dyDescent="0.2">
      <c r="B728">
        <v>10521</v>
      </c>
      <c r="C728">
        <v>68</v>
      </c>
      <c r="D728" s="84">
        <v>12.5</v>
      </c>
      <c r="E728">
        <v>6</v>
      </c>
      <c r="F728" s="85">
        <v>0</v>
      </c>
      <c r="G728" s="86">
        <f t="shared" si="55"/>
        <v>75</v>
      </c>
      <c r="H728" s="86">
        <f t="shared" si="56"/>
        <v>0</v>
      </c>
      <c r="I728" s="86">
        <f t="shared" si="57"/>
        <v>75</v>
      </c>
      <c r="J728" s="84">
        <f>VLOOKUP(C728, Products[], 6)</f>
        <v>12.5</v>
      </c>
      <c r="K728" s="86">
        <f t="shared" si="58"/>
        <v>75</v>
      </c>
      <c r="L728" s="86">
        <f t="shared" si="59"/>
        <v>0</v>
      </c>
      <c r="N728">
        <v>10970</v>
      </c>
      <c r="O728" s="84" cm="1">
        <f t="array" ref="O728">SUM(INDEX(_xlfn._xlws.FILTER($B$6:$L$2160, $B$6:$B$2160=N728), 0, 8))</f>
        <v>224</v>
      </c>
      <c r="P728" s="84" cm="1">
        <f t="array" ref="P728">SUM(INDEX(_xlfn._xlws.FILTER($B$6:$L$2160, $B$6:$B$2160=N728), 0, 10))</f>
        <v>280</v>
      </c>
      <c r="Q728" s="84" cm="1">
        <f t="array" ref="Q728">SUM(INDEX(_xlfn._xlws.FILTER($B$6:$L$2160, $B$6:$B$2160=N728), 0, 11))</f>
        <v>-56</v>
      </c>
    </row>
    <row r="729" spans="2:17" x14ac:dyDescent="0.2">
      <c r="B729">
        <v>10522</v>
      </c>
      <c r="C729">
        <v>1</v>
      </c>
      <c r="D729" s="84">
        <v>18</v>
      </c>
      <c r="E729">
        <v>40</v>
      </c>
      <c r="F729" s="85">
        <v>0.2</v>
      </c>
      <c r="G729" s="86">
        <f t="shared" si="55"/>
        <v>720</v>
      </c>
      <c r="H729" s="86">
        <f t="shared" si="56"/>
        <v>144</v>
      </c>
      <c r="I729" s="86">
        <f t="shared" si="57"/>
        <v>576</v>
      </c>
      <c r="J729" s="84">
        <f>VLOOKUP(C729, Products[], 6)</f>
        <v>18</v>
      </c>
      <c r="K729" s="86">
        <f t="shared" si="58"/>
        <v>720</v>
      </c>
      <c r="L729" s="86">
        <f t="shared" si="59"/>
        <v>-144</v>
      </c>
      <c r="N729">
        <v>10971</v>
      </c>
      <c r="O729" s="84" cm="1">
        <f t="array" ref="O729">SUM(INDEX(_xlfn._xlws.FILTER($B$6:$L$2160, $B$6:$B$2160=N729), 0, 8))</f>
        <v>1733.0600000000002</v>
      </c>
      <c r="P729" s="84" cm="1">
        <f t="array" ref="P729">SUM(INDEX(_xlfn._xlws.FILTER($B$6:$L$2160, $B$6:$B$2160=N729), 0, 10))</f>
        <v>1733.0600000000002</v>
      </c>
      <c r="Q729" s="84" cm="1">
        <f t="array" ref="Q729">SUM(INDEX(_xlfn._xlws.FILTER($B$6:$L$2160, $B$6:$B$2160=N729), 0, 11))</f>
        <v>0</v>
      </c>
    </row>
    <row r="730" spans="2:17" x14ac:dyDescent="0.2">
      <c r="B730">
        <v>10522</v>
      </c>
      <c r="C730">
        <v>8</v>
      </c>
      <c r="D730" s="84">
        <v>40</v>
      </c>
      <c r="E730">
        <v>24</v>
      </c>
      <c r="F730" s="85">
        <v>0</v>
      </c>
      <c r="G730" s="86">
        <f t="shared" si="55"/>
        <v>960</v>
      </c>
      <c r="H730" s="86">
        <f t="shared" si="56"/>
        <v>0</v>
      </c>
      <c r="I730" s="86">
        <f t="shared" si="57"/>
        <v>960</v>
      </c>
      <c r="J730" s="84">
        <f>VLOOKUP(C730, Products[], 6)</f>
        <v>40</v>
      </c>
      <c r="K730" s="86">
        <f t="shared" si="58"/>
        <v>960</v>
      </c>
      <c r="L730" s="86">
        <f t="shared" si="59"/>
        <v>0</v>
      </c>
      <c r="N730">
        <v>10972</v>
      </c>
      <c r="O730" s="84" cm="1">
        <f t="array" ref="O730">SUM(INDEX(_xlfn._xlws.FILTER($B$6:$L$2160, $B$6:$B$2160=N730), 0, 8))</f>
        <v>251.5</v>
      </c>
      <c r="P730" s="84" cm="1">
        <f t="array" ref="P730">SUM(INDEX(_xlfn._xlws.FILTER($B$6:$L$2160, $B$6:$B$2160=N730), 0, 10))</f>
        <v>251.5</v>
      </c>
      <c r="Q730" s="84" cm="1">
        <f t="array" ref="Q730">SUM(INDEX(_xlfn._xlws.FILTER($B$6:$L$2160, $B$6:$B$2160=N730), 0, 11))</f>
        <v>0</v>
      </c>
    </row>
    <row r="731" spans="2:17" x14ac:dyDescent="0.2">
      <c r="B731">
        <v>10522</v>
      </c>
      <c r="C731">
        <v>30</v>
      </c>
      <c r="D731" s="84">
        <v>25.89</v>
      </c>
      <c r="E731">
        <v>20</v>
      </c>
      <c r="F731" s="85">
        <v>0.2</v>
      </c>
      <c r="G731" s="86">
        <f t="shared" si="55"/>
        <v>517.79999999999995</v>
      </c>
      <c r="H731" s="86">
        <f t="shared" si="56"/>
        <v>103.56</v>
      </c>
      <c r="I731" s="86">
        <f t="shared" si="57"/>
        <v>414.23999999999995</v>
      </c>
      <c r="J731" s="84">
        <f>VLOOKUP(C731, Products[], 6)</f>
        <v>25.89</v>
      </c>
      <c r="K731" s="86">
        <f t="shared" si="58"/>
        <v>517.79999999999995</v>
      </c>
      <c r="L731" s="86">
        <f t="shared" si="59"/>
        <v>-103.56</v>
      </c>
      <c r="N731">
        <v>10973</v>
      </c>
      <c r="O731" s="84" cm="1">
        <f t="array" ref="O731">SUM(INDEX(_xlfn._xlws.FILTER($B$6:$L$2160, $B$6:$B$2160=N731), 0, 8))</f>
        <v>291.55</v>
      </c>
      <c r="P731" s="84" cm="1">
        <f t="array" ref="P731">SUM(INDEX(_xlfn._xlws.FILTER($B$6:$L$2160, $B$6:$B$2160=N731), 0, 10))</f>
        <v>291.55</v>
      </c>
      <c r="Q731" s="84" cm="1">
        <f t="array" ref="Q731">SUM(INDEX(_xlfn._xlws.FILTER($B$6:$L$2160, $B$6:$B$2160=N731), 0, 11))</f>
        <v>0</v>
      </c>
    </row>
    <row r="732" spans="2:17" x14ac:dyDescent="0.2">
      <c r="B732">
        <v>10522</v>
      </c>
      <c r="C732">
        <v>40</v>
      </c>
      <c r="D732" s="84">
        <v>18.399999999999999</v>
      </c>
      <c r="E732">
        <v>25</v>
      </c>
      <c r="F732" s="85">
        <v>0.2</v>
      </c>
      <c r="G732" s="86">
        <f t="shared" si="55"/>
        <v>459.99999999999994</v>
      </c>
      <c r="H732" s="86">
        <f t="shared" si="56"/>
        <v>92</v>
      </c>
      <c r="I732" s="86">
        <f t="shared" si="57"/>
        <v>367.99999999999994</v>
      </c>
      <c r="J732" s="84">
        <f>VLOOKUP(C732, Products[], 6)</f>
        <v>18.399999999999999</v>
      </c>
      <c r="K732" s="86">
        <f t="shared" si="58"/>
        <v>459.99999999999994</v>
      </c>
      <c r="L732" s="86">
        <f t="shared" si="59"/>
        <v>-92</v>
      </c>
      <c r="N732">
        <v>10974</v>
      </c>
      <c r="O732" s="84" cm="1">
        <f t="array" ref="O732">SUM(INDEX(_xlfn._xlws.FILTER($B$6:$L$2160, $B$6:$B$2160=N732), 0, 8))</f>
        <v>439</v>
      </c>
      <c r="P732" s="84" cm="1">
        <f t="array" ref="P732">SUM(INDEX(_xlfn._xlws.FILTER($B$6:$L$2160, $B$6:$B$2160=N732), 0, 10))</f>
        <v>439</v>
      </c>
      <c r="Q732" s="84" cm="1">
        <f t="array" ref="Q732">SUM(INDEX(_xlfn._xlws.FILTER($B$6:$L$2160, $B$6:$B$2160=N732), 0, 11))</f>
        <v>0</v>
      </c>
    </row>
    <row r="733" spans="2:17" x14ac:dyDescent="0.2">
      <c r="B733">
        <v>10523</v>
      </c>
      <c r="C733">
        <v>17</v>
      </c>
      <c r="D733" s="84">
        <v>39</v>
      </c>
      <c r="E733">
        <v>25</v>
      </c>
      <c r="F733" s="85">
        <v>0.1</v>
      </c>
      <c r="G733" s="86">
        <f t="shared" si="55"/>
        <v>975</v>
      </c>
      <c r="H733" s="86">
        <f t="shared" si="56"/>
        <v>97.5</v>
      </c>
      <c r="I733" s="86">
        <f t="shared" si="57"/>
        <v>877.5</v>
      </c>
      <c r="J733" s="84">
        <f>VLOOKUP(C733, Products[], 6)</f>
        <v>39</v>
      </c>
      <c r="K733" s="86">
        <f t="shared" si="58"/>
        <v>975</v>
      </c>
      <c r="L733" s="86">
        <f t="shared" si="59"/>
        <v>-97.5</v>
      </c>
      <c r="N733">
        <v>10975</v>
      </c>
      <c r="O733" s="84" cm="1">
        <f t="array" ref="O733">SUM(INDEX(_xlfn._xlws.FILTER($B$6:$L$2160, $B$6:$B$2160=N733), 0, 8))</f>
        <v>717.5</v>
      </c>
      <c r="P733" s="84" cm="1">
        <f t="array" ref="P733">SUM(INDEX(_xlfn._xlws.FILTER($B$6:$L$2160, $B$6:$B$2160=N733), 0, 10))</f>
        <v>717.5</v>
      </c>
      <c r="Q733" s="84" cm="1">
        <f t="array" ref="Q733">SUM(INDEX(_xlfn._xlws.FILTER($B$6:$L$2160, $B$6:$B$2160=N733), 0, 11))</f>
        <v>0</v>
      </c>
    </row>
    <row r="734" spans="2:17" x14ac:dyDescent="0.2">
      <c r="B734">
        <v>10523</v>
      </c>
      <c r="C734">
        <v>20</v>
      </c>
      <c r="D734" s="84">
        <v>81</v>
      </c>
      <c r="E734">
        <v>15</v>
      </c>
      <c r="F734" s="85">
        <v>0.1</v>
      </c>
      <c r="G734" s="86">
        <f t="shared" si="55"/>
        <v>1215</v>
      </c>
      <c r="H734" s="86">
        <f t="shared" si="56"/>
        <v>121.5</v>
      </c>
      <c r="I734" s="86">
        <f t="shared" si="57"/>
        <v>1093.5</v>
      </c>
      <c r="J734" s="84">
        <f>VLOOKUP(C734, Products[], 6)</f>
        <v>81</v>
      </c>
      <c r="K734" s="86">
        <f t="shared" si="58"/>
        <v>1215</v>
      </c>
      <c r="L734" s="86">
        <f t="shared" si="59"/>
        <v>-121.5</v>
      </c>
      <c r="N734">
        <v>10976</v>
      </c>
      <c r="O734" s="84" cm="1">
        <f t="array" ref="O734">SUM(INDEX(_xlfn._xlws.FILTER($B$6:$L$2160, $B$6:$B$2160=N734), 0, 8))</f>
        <v>912</v>
      </c>
      <c r="P734" s="84" cm="1">
        <f t="array" ref="P734">SUM(INDEX(_xlfn._xlws.FILTER($B$6:$L$2160, $B$6:$B$2160=N734), 0, 10))</f>
        <v>912</v>
      </c>
      <c r="Q734" s="84" cm="1">
        <f t="array" ref="Q734">SUM(INDEX(_xlfn._xlws.FILTER($B$6:$L$2160, $B$6:$B$2160=N734), 0, 11))</f>
        <v>0</v>
      </c>
    </row>
    <row r="735" spans="2:17" x14ac:dyDescent="0.2">
      <c r="B735">
        <v>10523</v>
      </c>
      <c r="C735">
        <v>37</v>
      </c>
      <c r="D735" s="84">
        <v>26</v>
      </c>
      <c r="E735">
        <v>18</v>
      </c>
      <c r="F735" s="85">
        <v>0.1</v>
      </c>
      <c r="G735" s="86">
        <f t="shared" si="55"/>
        <v>468</v>
      </c>
      <c r="H735" s="86">
        <f t="shared" si="56"/>
        <v>46.800000000000004</v>
      </c>
      <c r="I735" s="86">
        <f t="shared" si="57"/>
        <v>421.2</v>
      </c>
      <c r="J735" s="84">
        <f>VLOOKUP(C735, Products[], 6)</f>
        <v>26</v>
      </c>
      <c r="K735" s="86">
        <f t="shared" si="58"/>
        <v>468</v>
      </c>
      <c r="L735" s="86">
        <f t="shared" si="59"/>
        <v>-46.800000000000011</v>
      </c>
      <c r="N735">
        <v>10977</v>
      </c>
      <c r="O735" s="84" cm="1">
        <f t="array" ref="O735">SUM(INDEX(_xlfn._xlws.FILTER($B$6:$L$2160, $B$6:$B$2160=N735), 0, 8))</f>
        <v>2233</v>
      </c>
      <c r="P735" s="84" cm="1">
        <f t="array" ref="P735">SUM(INDEX(_xlfn._xlws.FILTER($B$6:$L$2160, $B$6:$B$2160=N735), 0, 10))</f>
        <v>2233</v>
      </c>
      <c r="Q735" s="84" cm="1">
        <f t="array" ref="Q735">SUM(INDEX(_xlfn._xlws.FILTER($B$6:$L$2160, $B$6:$B$2160=N735), 0, 11))</f>
        <v>0</v>
      </c>
    </row>
    <row r="736" spans="2:17" x14ac:dyDescent="0.2">
      <c r="B736">
        <v>10523</v>
      </c>
      <c r="C736">
        <v>41</v>
      </c>
      <c r="D736" s="84">
        <v>9.65</v>
      </c>
      <c r="E736">
        <v>6</v>
      </c>
      <c r="F736" s="85">
        <v>0.1</v>
      </c>
      <c r="G736" s="86">
        <f t="shared" si="55"/>
        <v>57.900000000000006</v>
      </c>
      <c r="H736" s="86">
        <f t="shared" si="56"/>
        <v>5.7900000000000009</v>
      </c>
      <c r="I736" s="86">
        <f t="shared" si="57"/>
        <v>52.110000000000007</v>
      </c>
      <c r="J736" s="84">
        <f>VLOOKUP(C736, Products[], 6)</f>
        <v>9.65</v>
      </c>
      <c r="K736" s="86">
        <f t="shared" si="58"/>
        <v>57.900000000000006</v>
      </c>
      <c r="L736" s="86">
        <f t="shared" si="59"/>
        <v>-5.7899999999999991</v>
      </c>
      <c r="N736">
        <v>10978</v>
      </c>
      <c r="O736" s="84" cm="1">
        <f t="array" ref="O736">SUM(INDEX(_xlfn._xlws.FILTER($B$6:$L$2160, $B$6:$B$2160=N736), 0, 8))</f>
        <v>1303.1949999999999</v>
      </c>
      <c r="P736" s="84" cm="1">
        <f t="array" ref="P736">SUM(INDEX(_xlfn._xlws.FILTER($B$6:$L$2160, $B$6:$B$2160=N736), 0, 10))</f>
        <v>1500.7</v>
      </c>
      <c r="Q736" s="84" cm="1">
        <f t="array" ref="Q736">SUM(INDEX(_xlfn._xlws.FILTER($B$6:$L$2160, $B$6:$B$2160=N736), 0, 11))</f>
        <v>-197.505</v>
      </c>
    </row>
    <row r="737" spans="2:17" x14ac:dyDescent="0.2">
      <c r="B737">
        <v>10524</v>
      </c>
      <c r="C737">
        <v>10</v>
      </c>
      <c r="D737" s="84">
        <v>31</v>
      </c>
      <c r="E737">
        <v>2</v>
      </c>
      <c r="F737" s="85">
        <v>0</v>
      </c>
      <c r="G737" s="86">
        <f t="shared" si="55"/>
        <v>62</v>
      </c>
      <c r="H737" s="86">
        <f t="shared" si="56"/>
        <v>0</v>
      </c>
      <c r="I737" s="86">
        <f t="shared" si="57"/>
        <v>62</v>
      </c>
      <c r="J737" s="84">
        <f>VLOOKUP(C737, Products[], 6)</f>
        <v>31</v>
      </c>
      <c r="K737" s="86">
        <f t="shared" si="58"/>
        <v>62</v>
      </c>
      <c r="L737" s="86">
        <f t="shared" si="59"/>
        <v>0</v>
      </c>
      <c r="N737">
        <v>10979</v>
      </c>
      <c r="O737" s="84" cm="1">
        <f t="array" ref="O737">SUM(INDEX(_xlfn._xlws.FILTER($B$6:$L$2160, $B$6:$B$2160=N737), 0, 8))</f>
        <v>4813.5</v>
      </c>
      <c r="P737" s="84" cm="1">
        <f t="array" ref="P737">SUM(INDEX(_xlfn._xlws.FILTER($B$6:$L$2160, $B$6:$B$2160=N737), 0, 10))</f>
        <v>4813.5</v>
      </c>
      <c r="Q737" s="84" cm="1">
        <f t="array" ref="Q737">SUM(INDEX(_xlfn._xlws.FILTER($B$6:$L$2160, $B$6:$B$2160=N737), 0, 11))</f>
        <v>0</v>
      </c>
    </row>
    <row r="738" spans="2:17" x14ac:dyDescent="0.2">
      <c r="B738">
        <v>10524</v>
      </c>
      <c r="C738">
        <v>30</v>
      </c>
      <c r="D738" s="84">
        <v>25.89</v>
      </c>
      <c r="E738">
        <v>10</v>
      </c>
      <c r="F738" s="85">
        <v>0</v>
      </c>
      <c r="G738" s="86">
        <f t="shared" si="55"/>
        <v>258.89999999999998</v>
      </c>
      <c r="H738" s="86">
        <f t="shared" si="56"/>
        <v>0</v>
      </c>
      <c r="I738" s="86">
        <f t="shared" si="57"/>
        <v>258.89999999999998</v>
      </c>
      <c r="J738" s="84">
        <f>VLOOKUP(C738, Products[], 6)</f>
        <v>25.89</v>
      </c>
      <c r="K738" s="86">
        <f t="shared" si="58"/>
        <v>258.89999999999998</v>
      </c>
      <c r="L738" s="86">
        <f t="shared" si="59"/>
        <v>0</v>
      </c>
      <c r="N738">
        <v>10980</v>
      </c>
      <c r="O738" s="84" cm="1">
        <f t="array" ref="O738">SUM(INDEX(_xlfn._xlws.FILTER($B$6:$L$2160, $B$6:$B$2160=N738), 0, 8))</f>
        <v>248</v>
      </c>
      <c r="P738" s="84" cm="1">
        <f t="array" ref="P738">SUM(INDEX(_xlfn._xlws.FILTER($B$6:$L$2160, $B$6:$B$2160=N738), 0, 10))</f>
        <v>310</v>
      </c>
      <c r="Q738" s="84" cm="1">
        <f t="array" ref="Q738">SUM(INDEX(_xlfn._xlws.FILTER($B$6:$L$2160, $B$6:$B$2160=N738), 0, 11))</f>
        <v>-62</v>
      </c>
    </row>
    <row r="739" spans="2:17" x14ac:dyDescent="0.2">
      <c r="B739">
        <v>10524</v>
      </c>
      <c r="C739">
        <v>43</v>
      </c>
      <c r="D739" s="84">
        <v>46</v>
      </c>
      <c r="E739">
        <v>60</v>
      </c>
      <c r="F739" s="85">
        <v>0</v>
      </c>
      <c r="G739" s="86">
        <f t="shared" si="55"/>
        <v>2760</v>
      </c>
      <c r="H739" s="86">
        <f t="shared" si="56"/>
        <v>0</v>
      </c>
      <c r="I739" s="86">
        <f t="shared" si="57"/>
        <v>2760</v>
      </c>
      <c r="J739" s="84">
        <f>VLOOKUP(C739, Products[], 6)</f>
        <v>46</v>
      </c>
      <c r="K739" s="86">
        <f t="shared" si="58"/>
        <v>2760</v>
      </c>
      <c r="L739" s="86">
        <f t="shared" si="59"/>
        <v>0</v>
      </c>
      <c r="N739">
        <v>10981</v>
      </c>
      <c r="O739" s="84" cm="1">
        <f t="array" ref="O739">SUM(INDEX(_xlfn._xlws.FILTER($B$6:$L$2160, $B$6:$B$2160=N739), 0, 8))</f>
        <v>15810</v>
      </c>
      <c r="P739" s="84" cm="1">
        <f t="array" ref="P739">SUM(INDEX(_xlfn._xlws.FILTER($B$6:$L$2160, $B$6:$B$2160=N739), 0, 10))</f>
        <v>15810</v>
      </c>
      <c r="Q739" s="84" cm="1">
        <f t="array" ref="Q739">SUM(INDEX(_xlfn._xlws.FILTER($B$6:$L$2160, $B$6:$B$2160=N739), 0, 11))</f>
        <v>0</v>
      </c>
    </row>
    <row r="740" spans="2:17" x14ac:dyDescent="0.2">
      <c r="B740">
        <v>10524</v>
      </c>
      <c r="C740">
        <v>54</v>
      </c>
      <c r="D740" s="84">
        <v>7.45</v>
      </c>
      <c r="E740">
        <v>15</v>
      </c>
      <c r="F740" s="85">
        <v>0</v>
      </c>
      <c r="G740" s="86">
        <f t="shared" si="55"/>
        <v>111.75</v>
      </c>
      <c r="H740" s="86">
        <f t="shared" si="56"/>
        <v>0</v>
      </c>
      <c r="I740" s="86">
        <f t="shared" si="57"/>
        <v>111.75</v>
      </c>
      <c r="J740" s="84">
        <f>VLOOKUP(C740, Products[], 6)</f>
        <v>7.45</v>
      </c>
      <c r="K740" s="86">
        <f t="shared" si="58"/>
        <v>111.75</v>
      </c>
      <c r="L740" s="86">
        <f t="shared" si="59"/>
        <v>0</v>
      </c>
      <c r="N740">
        <v>10982</v>
      </c>
      <c r="O740" s="84" cm="1">
        <f t="array" ref="O740">SUM(INDEX(_xlfn._xlws.FILTER($B$6:$L$2160, $B$6:$B$2160=N740), 0, 8))</f>
        <v>1014</v>
      </c>
      <c r="P740" s="84" cm="1">
        <f t="array" ref="P740">SUM(INDEX(_xlfn._xlws.FILTER($B$6:$L$2160, $B$6:$B$2160=N740), 0, 10))</f>
        <v>1014</v>
      </c>
      <c r="Q740" s="84" cm="1">
        <f t="array" ref="Q740">SUM(INDEX(_xlfn._xlws.FILTER($B$6:$L$2160, $B$6:$B$2160=N740), 0, 11))</f>
        <v>0</v>
      </c>
    </row>
    <row r="741" spans="2:17" x14ac:dyDescent="0.2">
      <c r="B741">
        <v>10525</v>
      </c>
      <c r="C741">
        <v>36</v>
      </c>
      <c r="D741" s="84">
        <v>19</v>
      </c>
      <c r="E741">
        <v>30</v>
      </c>
      <c r="F741" s="85">
        <v>0</v>
      </c>
      <c r="G741" s="86">
        <f t="shared" si="55"/>
        <v>570</v>
      </c>
      <c r="H741" s="86">
        <f t="shared" si="56"/>
        <v>0</v>
      </c>
      <c r="I741" s="86">
        <f t="shared" si="57"/>
        <v>570</v>
      </c>
      <c r="J741" s="84">
        <f>VLOOKUP(C741, Products[], 6)</f>
        <v>19</v>
      </c>
      <c r="K741" s="86">
        <f t="shared" si="58"/>
        <v>570</v>
      </c>
      <c r="L741" s="86">
        <f t="shared" si="59"/>
        <v>0</v>
      </c>
      <c r="N741">
        <v>10983</v>
      </c>
      <c r="O741" s="84" cm="1">
        <f t="array" ref="O741">SUM(INDEX(_xlfn._xlws.FILTER($B$6:$L$2160, $B$6:$B$2160=N741), 0, 8))</f>
        <v>720.9</v>
      </c>
      <c r="P741" s="84" cm="1">
        <f t="array" ref="P741">SUM(INDEX(_xlfn._xlws.FILTER($B$6:$L$2160, $B$6:$B$2160=N741), 0, 10))</f>
        <v>796.5</v>
      </c>
      <c r="Q741" s="84" cm="1">
        <f t="array" ref="Q741">SUM(INDEX(_xlfn._xlws.FILTER($B$6:$L$2160, $B$6:$B$2160=N741), 0, 11))</f>
        <v>-75.600000000000023</v>
      </c>
    </row>
    <row r="742" spans="2:17" x14ac:dyDescent="0.2">
      <c r="B742">
        <v>10525</v>
      </c>
      <c r="C742">
        <v>40</v>
      </c>
      <c r="D742" s="84">
        <v>18.399999999999999</v>
      </c>
      <c r="E742">
        <v>15</v>
      </c>
      <c r="F742" s="85">
        <v>0.1</v>
      </c>
      <c r="G742" s="86">
        <f t="shared" si="55"/>
        <v>276</v>
      </c>
      <c r="H742" s="86">
        <f t="shared" si="56"/>
        <v>27.6</v>
      </c>
      <c r="I742" s="86">
        <f t="shared" si="57"/>
        <v>248.4</v>
      </c>
      <c r="J742" s="84">
        <f>VLOOKUP(C742, Products[], 6)</f>
        <v>18.399999999999999</v>
      </c>
      <c r="K742" s="86">
        <f t="shared" si="58"/>
        <v>276</v>
      </c>
      <c r="L742" s="86">
        <f t="shared" si="59"/>
        <v>-27.599999999999994</v>
      </c>
      <c r="N742">
        <v>10984</v>
      </c>
      <c r="O742" s="84" cm="1">
        <f t="array" ref="O742">SUM(INDEX(_xlfn._xlws.FILTER($B$6:$L$2160, $B$6:$B$2160=N742), 0, 8))</f>
        <v>1809.75</v>
      </c>
      <c r="P742" s="84" cm="1">
        <f t="array" ref="P742">SUM(INDEX(_xlfn._xlws.FILTER($B$6:$L$2160, $B$6:$B$2160=N742), 0, 10))</f>
        <v>1809.75</v>
      </c>
      <c r="Q742" s="84" cm="1">
        <f t="array" ref="Q742">SUM(INDEX(_xlfn._xlws.FILTER($B$6:$L$2160, $B$6:$B$2160=N742), 0, 11))</f>
        <v>0</v>
      </c>
    </row>
    <row r="743" spans="2:17" x14ac:dyDescent="0.2">
      <c r="B743">
        <v>10526</v>
      </c>
      <c r="C743">
        <v>1</v>
      </c>
      <c r="D743" s="84">
        <v>18</v>
      </c>
      <c r="E743">
        <v>8</v>
      </c>
      <c r="F743" s="85">
        <v>0.15</v>
      </c>
      <c r="G743" s="86">
        <f t="shared" si="55"/>
        <v>144</v>
      </c>
      <c r="H743" s="86">
        <f t="shared" si="56"/>
        <v>21.599999999999998</v>
      </c>
      <c r="I743" s="86">
        <f t="shared" si="57"/>
        <v>122.4</v>
      </c>
      <c r="J743" s="84">
        <f>VLOOKUP(C743, Products[], 6)</f>
        <v>18</v>
      </c>
      <c r="K743" s="86">
        <f t="shared" si="58"/>
        <v>144</v>
      </c>
      <c r="L743" s="86">
        <f t="shared" si="59"/>
        <v>-21.599999999999994</v>
      </c>
      <c r="N743">
        <v>10985</v>
      </c>
      <c r="O743" s="84" cm="1">
        <f t="array" ref="O743">SUM(INDEX(_xlfn._xlws.FILTER($B$6:$L$2160, $B$6:$B$2160=N743), 0, 8))</f>
        <v>2023.3799999999999</v>
      </c>
      <c r="P743" s="84" cm="1">
        <f t="array" ref="P743">SUM(INDEX(_xlfn._xlws.FILTER($B$6:$L$2160, $B$6:$B$2160=N743), 0, 10))</f>
        <v>2248.1999999999998</v>
      </c>
      <c r="Q743" s="84" cm="1">
        <f t="array" ref="Q743">SUM(INDEX(_xlfn._xlws.FILTER($B$6:$L$2160, $B$6:$B$2160=N743), 0, 11))</f>
        <v>-224.82000000000005</v>
      </c>
    </row>
    <row r="744" spans="2:17" x14ac:dyDescent="0.2">
      <c r="B744">
        <v>10526</v>
      </c>
      <c r="C744">
        <v>13</v>
      </c>
      <c r="D744" s="84">
        <v>6</v>
      </c>
      <c r="E744">
        <v>10</v>
      </c>
      <c r="F744" s="85">
        <v>0</v>
      </c>
      <c r="G744" s="86">
        <f t="shared" si="55"/>
        <v>60</v>
      </c>
      <c r="H744" s="86">
        <f t="shared" si="56"/>
        <v>0</v>
      </c>
      <c r="I744" s="86">
        <f t="shared" si="57"/>
        <v>60</v>
      </c>
      <c r="J744" s="84">
        <f>VLOOKUP(C744, Products[], 6)</f>
        <v>6</v>
      </c>
      <c r="K744" s="86">
        <f t="shared" si="58"/>
        <v>60</v>
      </c>
      <c r="L744" s="86">
        <f t="shared" si="59"/>
        <v>0</v>
      </c>
      <c r="N744">
        <v>10986</v>
      </c>
      <c r="O744" s="84" cm="1">
        <f t="array" ref="O744">SUM(INDEX(_xlfn._xlws.FILTER($B$6:$L$2160, $B$6:$B$2160=N744), 0, 8))</f>
        <v>2220</v>
      </c>
      <c r="P744" s="84" cm="1">
        <f t="array" ref="P744">SUM(INDEX(_xlfn._xlws.FILTER($B$6:$L$2160, $B$6:$B$2160=N744), 0, 10))</f>
        <v>2220</v>
      </c>
      <c r="Q744" s="84" cm="1">
        <f t="array" ref="Q744">SUM(INDEX(_xlfn._xlws.FILTER($B$6:$L$2160, $B$6:$B$2160=N744), 0, 11))</f>
        <v>0</v>
      </c>
    </row>
    <row r="745" spans="2:17" x14ac:dyDescent="0.2">
      <c r="B745">
        <v>10526</v>
      </c>
      <c r="C745">
        <v>56</v>
      </c>
      <c r="D745" s="84">
        <v>38</v>
      </c>
      <c r="E745">
        <v>30</v>
      </c>
      <c r="F745" s="85">
        <v>0.15</v>
      </c>
      <c r="G745" s="86">
        <f t="shared" si="55"/>
        <v>1140</v>
      </c>
      <c r="H745" s="86">
        <f t="shared" si="56"/>
        <v>171</v>
      </c>
      <c r="I745" s="86">
        <f t="shared" si="57"/>
        <v>969</v>
      </c>
      <c r="J745" s="84">
        <f>VLOOKUP(C745, Products[], 6)</f>
        <v>38</v>
      </c>
      <c r="K745" s="86">
        <f t="shared" si="58"/>
        <v>1140</v>
      </c>
      <c r="L745" s="86">
        <f t="shared" si="59"/>
        <v>-171</v>
      </c>
      <c r="N745">
        <v>10987</v>
      </c>
      <c r="O745" s="84" cm="1">
        <f t="array" ref="O745">SUM(INDEX(_xlfn._xlws.FILTER($B$6:$L$2160, $B$6:$B$2160=N745), 0, 8))</f>
        <v>2772</v>
      </c>
      <c r="P745" s="84" cm="1">
        <f t="array" ref="P745">SUM(INDEX(_xlfn._xlws.FILTER($B$6:$L$2160, $B$6:$B$2160=N745), 0, 10))</f>
        <v>2772</v>
      </c>
      <c r="Q745" s="84" cm="1">
        <f t="array" ref="Q745">SUM(INDEX(_xlfn._xlws.FILTER($B$6:$L$2160, $B$6:$B$2160=N745), 0, 11))</f>
        <v>0</v>
      </c>
    </row>
    <row r="746" spans="2:17" x14ac:dyDescent="0.2">
      <c r="B746">
        <v>10527</v>
      </c>
      <c r="C746">
        <v>4</v>
      </c>
      <c r="D746" s="84">
        <v>22</v>
      </c>
      <c r="E746">
        <v>50</v>
      </c>
      <c r="F746" s="85">
        <v>0.1</v>
      </c>
      <c r="G746" s="86">
        <f t="shared" si="55"/>
        <v>1100</v>
      </c>
      <c r="H746" s="86">
        <f t="shared" si="56"/>
        <v>110</v>
      </c>
      <c r="I746" s="86">
        <f t="shared" si="57"/>
        <v>990</v>
      </c>
      <c r="J746" s="84">
        <f>VLOOKUP(C746, Products[], 6)</f>
        <v>22</v>
      </c>
      <c r="K746" s="86">
        <f t="shared" si="58"/>
        <v>1100</v>
      </c>
      <c r="L746" s="86">
        <f t="shared" si="59"/>
        <v>-110</v>
      </c>
      <c r="N746">
        <v>10988</v>
      </c>
      <c r="O746" s="84" cm="1">
        <f t="array" ref="O746">SUM(INDEX(_xlfn._xlws.FILTER($B$6:$L$2160, $B$6:$B$2160=N746), 0, 8))</f>
        <v>3574.8</v>
      </c>
      <c r="P746" s="84" cm="1">
        <f t="array" ref="P746">SUM(INDEX(_xlfn._xlws.FILTER($B$6:$L$2160, $B$6:$B$2160=N746), 0, 10))</f>
        <v>3772</v>
      </c>
      <c r="Q746" s="84" cm="1">
        <f t="array" ref="Q746">SUM(INDEX(_xlfn._xlws.FILTER($B$6:$L$2160, $B$6:$B$2160=N746), 0, 11))</f>
        <v>-197.20000000000005</v>
      </c>
    </row>
    <row r="747" spans="2:17" x14ac:dyDescent="0.2">
      <c r="B747">
        <v>10527</v>
      </c>
      <c r="C747">
        <v>36</v>
      </c>
      <c r="D747" s="84">
        <v>19</v>
      </c>
      <c r="E747">
        <v>30</v>
      </c>
      <c r="F747" s="85">
        <v>0.1</v>
      </c>
      <c r="G747" s="86">
        <f t="shared" si="55"/>
        <v>570</v>
      </c>
      <c r="H747" s="86">
        <f t="shared" si="56"/>
        <v>57</v>
      </c>
      <c r="I747" s="86">
        <f t="shared" si="57"/>
        <v>513</v>
      </c>
      <c r="J747" s="84">
        <f>VLOOKUP(C747, Products[], 6)</f>
        <v>19</v>
      </c>
      <c r="K747" s="86">
        <f t="shared" si="58"/>
        <v>570</v>
      </c>
      <c r="L747" s="86">
        <f t="shared" si="59"/>
        <v>-57</v>
      </c>
      <c r="N747">
        <v>10989</v>
      </c>
      <c r="O747" s="84" cm="1">
        <f t="array" ref="O747">SUM(INDEX(_xlfn._xlws.FILTER($B$6:$L$2160, $B$6:$B$2160=N747), 0, 8))</f>
        <v>1353.6</v>
      </c>
      <c r="P747" s="84" cm="1">
        <f t="array" ref="P747">SUM(INDEX(_xlfn._xlws.FILTER($B$6:$L$2160, $B$6:$B$2160=N747), 0, 10))</f>
        <v>1353.6</v>
      </c>
      <c r="Q747" s="84" cm="1">
        <f t="array" ref="Q747">SUM(INDEX(_xlfn._xlws.FILTER($B$6:$L$2160, $B$6:$B$2160=N747), 0, 11))</f>
        <v>0</v>
      </c>
    </row>
    <row r="748" spans="2:17" x14ac:dyDescent="0.2">
      <c r="B748">
        <v>10528</v>
      </c>
      <c r="C748">
        <v>11</v>
      </c>
      <c r="D748" s="84">
        <v>21</v>
      </c>
      <c r="E748">
        <v>3</v>
      </c>
      <c r="F748" s="85">
        <v>0</v>
      </c>
      <c r="G748" s="86">
        <f t="shared" si="55"/>
        <v>63</v>
      </c>
      <c r="H748" s="86">
        <f t="shared" si="56"/>
        <v>0</v>
      </c>
      <c r="I748" s="86">
        <f t="shared" si="57"/>
        <v>63</v>
      </c>
      <c r="J748" s="84">
        <f>VLOOKUP(C748, Products[], 6)</f>
        <v>21</v>
      </c>
      <c r="K748" s="86">
        <f t="shared" si="58"/>
        <v>63</v>
      </c>
      <c r="L748" s="86">
        <f t="shared" si="59"/>
        <v>0</v>
      </c>
      <c r="N748">
        <v>10990</v>
      </c>
      <c r="O748" s="84" cm="1">
        <f t="array" ref="O748">SUM(INDEX(_xlfn._xlws.FILTER($B$6:$L$2160, $B$6:$B$2160=N748), 0, 8))</f>
        <v>4288.8500000000004</v>
      </c>
      <c r="P748" s="84" cm="1">
        <f t="array" ref="P748">SUM(INDEX(_xlfn._xlws.FILTER($B$6:$L$2160, $B$6:$B$2160=N748), 0, 10))</f>
        <v>4931</v>
      </c>
      <c r="Q748" s="84" cm="1">
        <f t="array" ref="Q748">SUM(INDEX(_xlfn._xlws.FILTER($B$6:$L$2160, $B$6:$B$2160=N748), 0, 11))</f>
        <v>-642.15000000000009</v>
      </c>
    </row>
    <row r="749" spans="2:17" x14ac:dyDescent="0.2">
      <c r="B749">
        <v>10528</v>
      </c>
      <c r="C749">
        <v>33</v>
      </c>
      <c r="D749" s="84">
        <v>2.5</v>
      </c>
      <c r="E749">
        <v>8</v>
      </c>
      <c r="F749" s="85">
        <v>0.2</v>
      </c>
      <c r="G749" s="86">
        <f t="shared" si="55"/>
        <v>20</v>
      </c>
      <c r="H749" s="86">
        <f t="shared" si="56"/>
        <v>4</v>
      </c>
      <c r="I749" s="86">
        <f t="shared" si="57"/>
        <v>16</v>
      </c>
      <c r="J749" s="84">
        <f>VLOOKUP(C749, Products[], 6)</f>
        <v>2.5</v>
      </c>
      <c r="K749" s="86">
        <f t="shared" si="58"/>
        <v>20</v>
      </c>
      <c r="L749" s="86">
        <f t="shared" si="59"/>
        <v>-4</v>
      </c>
      <c r="N749">
        <v>10991</v>
      </c>
      <c r="O749" s="84" cm="1">
        <f t="array" ref="O749">SUM(INDEX(_xlfn._xlws.FILTER($B$6:$L$2160, $B$6:$B$2160=N749), 0, 8))</f>
        <v>2296</v>
      </c>
      <c r="P749" s="84" cm="1">
        <f t="array" ref="P749">SUM(INDEX(_xlfn._xlws.FILTER($B$6:$L$2160, $B$6:$B$2160=N749), 0, 10))</f>
        <v>2870</v>
      </c>
      <c r="Q749" s="84" cm="1">
        <f t="array" ref="Q749">SUM(INDEX(_xlfn._xlws.FILTER($B$6:$L$2160, $B$6:$B$2160=N749), 0, 11))</f>
        <v>-574</v>
      </c>
    </row>
    <row r="750" spans="2:17" x14ac:dyDescent="0.2">
      <c r="B750">
        <v>10528</v>
      </c>
      <c r="C750">
        <v>72</v>
      </c>
      <c r="D750" s="84">
        <v>34.799999999999997</v>
      </c>
      <c r="E750">
        <v>9</v>
      </c>
      <c r="F750" s="85">
        <v>0</v>
      </c>
      <c r="G750" s="86">
        <f t="shared" si="55"/>
        <v>313.2</v>
      </c>
      <c r="H750" s="86">
        <f t="shared" si="56"/>
        <v>0</v>
      </c>
      <c r="I750" s="86">
        <f t="shared" si="57"/>
        <v>313.2</v>
      </c>
      <c r="J750" s="84">
        <f>VLOOKUP(C750, Products[], 6)</f>
        <v>34.799999999999997</v>
      </c>
      <c r="K750" s="86">
        <f t="shared" si="58"/>
        <v>313.2</v>
      </c>
      <c r="L750" s="86">
        <f t="shared" si="59"/>
        <v>0</v>
      </c>
      <c r="N750">
        <v>10992</v>
      </c>
      <c r="O750" s="84" cm="1">
        <f t="array" ref="O750">SUM(INDEX(_xlfn._xlws.FILTER($B$6:$L$2160, $B$6:$B$2160=N750), 0, 8))</f>
        <v>69.599999999999994</v>
      </c>
      <c r="P750" s="84" cm="1">
        <f t="array" ref="P750">SUM(INDEX(_xlfn._xlws.FILTER($B$6:$L$2160, $B$6:$B$2160=N750), 0, 10))</f>
        <v>69.599999999999994</v>
      </c>
      <c r="Q750" s="84" cm="1">
        <f t="array" ref="Q750">SUM(INDEX(_xlfn._xlws.FILTER($B$6:$L$2160, $B$6:$B$2160=N750), 0, 11))</f>
        <v>0</v>
      </c>
    </row>
    <row r="751" spans="2:17" x14ac:dyDescent="0.2">
      <c r="B751">
        <v>10529</v>
      </c>
      <c r="C751">
        <v>55</v>
      </c>
      <c r="D751" s="84">
        <v>24</v>
      </c>
      <c r="E751">
        <v>14</v>
      </c>
      <c r="F751" s="85">
        <v>0</v>
      </c>
      <c r="G751" s="86">
        <f t="shared" si="55"/>
        <v>336</v>
      </c>
      <c r="H751" s="86">
        <f t="shared" si="56"/>
        <v>0</v>
      </c>
      <c r="I751" s="86">
        <f t="shared" si="57"/>
        <v>336</v>
      </c>
      <c r="J751" s="84">
        <f>VLOOKUP(C751, Products[], 6)</f>
        <v>24</v>
      </c>
      <c r="K751" s="86">
        <f t="shared" si="58"/>
        <v>336</v>
      </c>
      <c r="L751" s="86">
        <f t="shared" si="59"/>
        <v>0</v>
      </c>
      <c r="N751">
        <v>10993</v>
      </c>
      <c r="O751" s="84" cm="1">
        <f t="array" ref="O751">SUM(INDEX(_xlfn._xlws.FILTER($B$6:$L$2160, $B$6:$B$2160=N751), 0, 8))</f>
        <v>4895.4375</v>
      </c>
      <c r="P751" s="84" cm="1">
        <f t="array" ref="P751">SUM(INDEX(_xlfn._xlws.FILTER($B$6:$L$2160, $B$6:$B$2160=N751), 0, 10))</f>
        <v>6527.25</v>
      </c>
      <c r="Q751" s="84" cm="1">
        <f t="array" ref="Q751">SUM(INDEX(_xlfn._xlws.FILTER($B$6:$L$2160, $B$6:$B$2160=N751), 0, 11))</f>
        <v>-1631.8125</v>
      </c>
    </row>
    <row r="752" spans="2:17" x14ac:dyDescent="0.2">
      <c r="B752">
        <v>10529</v>
      </c>
      <c r="C752">
        <v>68</v>
      </c>
      <c r="D752" s="84">
        <v>12.5</v>
      </c>
      <c r="E752">
        <v>20</v>
      </c>
      <c r="F752" s="85">
        <v>0</v>
      </c>
      <c r="G752" s="86">
        <f t="shared" si="55"/>
        <v>250</v>
      </c>
      <c r="H752" s="86">
        <f t="shared" si="56"/>
        <v>0</v>
      </c>
      <c r="I752" s="86">
        <f t="shared" si="57"/>
        <v>250</v>
      </c>
      <c r="J752" s="84">
        <f>VLOOKUP(C752, Products[], 6)</f>
        <v>12.5</v>
      </c>
      <c r="K752" s="86">
        <f t="shared" si="58"/>
        <v>250</v>
      </c>
      <c r="L752" s="86">
        <f t="shared" si="59"/>
        <v>0</v>
      </c>
      <c r="N752">
        <v>10994</v>
      </c>
      <c r="O752" s="84" cm="1">
        <f t="array" ref="O752">SUM(INDEX(_xlfn._xlws.FILTER($B$6:$L$2160, $B$6:$B$2160=N752), 0, 8))</f>
        <v>940.5</v>
      </c>
      <c r="P752" s="84" cm="1">
        <f t="array" ref="P752">SUM(INDEX(_xlfn._xlws.FILTER($B$6:$L$2160, $B$6:$B$2160=N752), 0, 10))</f>
        <v>990</v>
      </c>
      <c r="Q752" s="84" cm="1">
        <f t="array" ref="Q752">SUM(INDEX(_xlfn._xlws.FILTER($B$6:$L$2160, $B$6:$B$2160=N752), 0, 11))</f>
        <v>-49.5</v>
      </c>
    </row>
    <row r="753" spans="2:17" x14ac:dyDescent="0.2">
      <c r="B753">
        <v>10529</v>
      </c>
      <c r="C753">
        <v>69</v>
      </c>
      <c r="D753" s="84">
        <v>36</v>
      </c>
      <c r="E753">
        <v>10</v>
      </c>
      <c r="F753" s="85">
        <v>0</v>
      </c>
      <c r="G753" s="86">
        <f t="shared" si="55"/>
        <v>360</v>
      </c>
      <c r="H753" s="86">
        <f t="shared" si="56"/>
        <v>0</v>
      </c>
      <c r="I753" s="86">
        <f t="shared" si="57"/>
        <v>360</v>
      </c>
      <c r="J753" s="84">
        <f>VLOOKUP(C753, Products[], 6)</f>
        <v>36</v>
      </c>
      <c r="K753" s="86">
        <f t="shared" si="58"/>
        <v>360</v>
      </c>
      <c r="L753" s="86">
        <f t="shared" si="59"/>
        <v>0</v>
      </c>
      <c r="N753">
        <v>10995</v>
      </c>
      <c r="O753" s="84" cm="1">
        <f t="array" ref="O753">SUM(INDEX(_xlfn._xlws.FILTER($B$6:$L$2160, $B$6:$B$2160=N753), 0, 8))</f>
        <v>1196</v>
      </c>
      <c r="P753" s="84" cm="1">
        <f t="array" ref="P753">SUM(INDEX(_xlfn._xlws.FILTER($B$6:$L$2160, $B$6:$B$2160=N753), 0, 10))</f>
        <v>1196</v>
      </c>
      <c r="Q753" s="84" cm="1">
        <f t="array" ref="Q753">SUM(INDEX(_xlfn._xlws.FILTER($B$6:$L$2160, $B$6:$B$2160=N753), 0, 11))</f>
        <v>0</v>
      </c>
    </row>
    <row r="754" spans="2:17" x14ac:dyDescent="0.2">
      <c r="B754">
        <v>10530</v>
      </c>
      <c r="C754">
        <v>17</v>
      </c>
      <c r="D754" s="84">
        <v>39</v>
      </c>
      <c r="E754">
        <v>40</v>
      </c>
      <c r="F754" s="85">
        <v>0</v>
      </c>
      <c r="G754" s="86">
        <f t="shared" si="55"/>
        <v>1560</v>
      </c>
      <c r="H754" s="86">
        <f t="shared" si="56"/>
        <v>0</v>
      </c>
      <c r="I754" s="86">
        <f t="shared" si="57"/>
        <v>1560</v>
      </c>
      <c r="J754" s="84">
        <f>VLOOKUP(C754, Products[], 6)</f>
        <v>39</v>
      </c>
      <c r="K754" s="86">
        <f t="shared" si="58"/>
        <v>1560</v>
      </c>
      <c r="L754" s="86">
        <f t="shared" si="59"/>
        <v>0</v>
      </c>
      <c r="N754">
        <v>10996</v>
      </c>
      <c r="O754" s="84" cm="1">
        <f t="array" ref="O754">SUM(INDEX(_xlfn._xlws.FILTER($B$6:$L$2160, $B$6:$B$2160=N754), 0, 8))</f>
        <v>560</v>
      </c>
      <c r="P754" s="84" cm="1">
        <f t="array" ref="P754">SUM(INDEX(_xlfn._xlws.FILTER($B$6:$L$2160, $B$6:$B$2160=N754), 0, 10))</f>
        <v>560</v>
      </c>
      <c r="Q754" s="84" cm="1">
        <f t="array" ref="Q754">SUM(INDEX(_xlfn._xlws.FILTER($B$6:$L$2160, $B$6:$B$2160=N754), 0, 11))</f>
        <v>0</v>
      </c>
    </row>
    <row r="755" spans="2:17" x14ac:dyDescent="0.2">
      <c r="B755">
        <v>10530</v>
      </c>
      <c r="C755">
        <v>43</v>
      </c>
      <c r="D755" s="84">
        <v>46</v>
      </c>
      <c r="E755">
        <v>25</v>
      </c>
      <c r="F755" s="85">
        <v>0</v>
      </c>
      <c r="G755" s="86">
        <f t="shared" si="55"/>
        <v>1150</v>
      </c>
      <c r="H755" s="86">
        <f t="shared" si="56"/>
        <v>0</v>
      </c>
      <c r="I755" s="86">
        <f t="shared" si="57"/>
        <v>1150</v>
      </c>
      <c r="J755" s="84">
        <f>VLOOKUP(C755, Products[], 6)</f>
        <v>46</v>
      </c>
      <c r="K755" s="86">
        <f t="shared" si="58"/>
        <v>1150</v>
      </c>
      <c r="L755" s="86">
        <f t="shared" si="59"/>
        <v>0</v>
      </c>
      <c r="N755">
        <v>10997</v>
      </c>
      <c r="O755" s="84" cm="1">
        <f t="array" ref="O755">SUM(INDEX(_xlfn._xlws.FILTER($B$6:$L$2160, $B$6:$B$2160=N755), 0, 8))</f>
        <v>1885</v>
      </c>
      <c r="P755" s="84" cm="1">
        <f t="array" ref="P755">SUM(INDEX(_xlfn._xlws.FILTER($B$6:$L$2160, $B$6:$B$2160=N755), 0, 10))</f>
        <v>1980</v>
      </c>
      <c r="Q755" s="84" cm="1">
        <f t="array" ref="Q755">SUM(INDEX(_xlfn._xlws.FILTER($B$6:$L$2160, $B$6:$B$2160=N755), 0, 11))</f>
        <v>-95</v>
      </c>
    </row>
    <row r="756" spans="2:17" x14ac:dyDescent="0.2">
      <c r="B756">
        <v>10530</v>
      </c>
      <c r="C756">
        <v>61</v>
      </c>
      <c r="D756" s="84">
        <v>28.5</v>
      </c>
      <c r="E756">
        <v>20</v>
      </c>
      <c r="F756" s="85">
        <v>0</v>
      </c>
      <c r="G756" s="86">
        <f t="shared" si="55"/>
        <v>570</v>
      </c>
      <c r="H756" s="86">
        <f t="shared" si="56"/>
        <v>0</v>
      </c>
      <c r="I756" s="86">
        <f t="shared" si="57"/>
        <v>570</v>
      </c>
      <c r="J756" s="84">
        <f>VLOOKUP(C756, Products[], 6)</f>
        <v>28.5</v>
      </c>
      <c r="K756" s="86">
        <f t="shared" si="58"/>
        <v>570</v>
      </c>
      <c r="L756" s="86">
        <f t="shared" si="59"/>
        <v>0</v>
      </c>
      <c r="N756">
        <v>10998</v>
      </c>
      <c r="O756" s="84" cm="1">
        <f t="array" ref="O756">SUM(INDEX(_xlfn._xlws.FILTER($B$6:$L$2160, $B$6:$B$2160=N756), 0, 8))</f>
        <v>686</v>
      </c>
      <c r="P756" s="84" cm="1">
        <f t="array" ref="P756">SUM(INDEX(_xlfn._xlws.FILTER($B$6:$L$2160, $B$6:$B$2160=N756), 0, 10))</f>
        <v>686</v>
      </c>
      <c r="Q756" s="84" cm="1">
        <f t="array" ref="Q756">SUM(INDEX(_xlfn._xlws.FILTER($B$6:$L$2160, $B$6:$B$2160=N756), 0, 11))</f>
        <v>0</v>
      </c>
    </row>
    <row r="757" spans="2:17" x14ac:dyDescent="0.2">
      <c r="B757">
        <v>10530</v>
      </c>
      <c r="C757">
        <v>76</v>
      </c>
      <c r="D757" s="84">
        <v>18</v>
      </c>
      <c r="E757">
        <v>50</v>
      </c>
      <c r="F757" s="85">
        <v>0</v>
      </c>
      <c r="G757" s="86">
        <f t="shared" si="55"/>
        <v>900</v>
      </c>
      <c r="H757" s="86">
        <f t="shared" si="56"/>
        <v>0</v>
      </c>
      <c r="I757" s="86">
        <f t="shared" si="57"/>
        <v>900</v>
      </c>
      <c r="J757" s="84">
        <f>VLOOKUP(C757, Products[], 6)</f>
        <v>18</v>
      </c>
      <c r="K757" s="86">
        <f t="shared" si="58"/>
        <v>900</v>
      </c>
      <c r="L757" s="86">
        <f t="shared" si="59"/>
        <v>0</v>
      </c>
      <c r="N757">
        <v>10999</v>
      </c>
      <c r="O757" s="84" cm="1">
        <f t="array" ref="O757">SUM(INDEX(_xlfn._xlws.FILTER($B$6:$L$2160, $B$6:$B$2160=N757), 0, 8))</f>
        <v>1197.95</v>
      </c>
      <c r="P757" s="84" cm="1">
        <f t="array" ref="P757">SUM(INDEX(_xlfn._xlws.FILTER($B$6:$L$2160, $B$6:$B$2160=N757), 0, 10))</f>
        <v>1261</v>
      </c>
      <c r="Q757" s="84" cm="1">
        <f t="array" ref="Q757">SUM(INDEX(_xlfn._xlws.FILTER($B$6:$L$2160, $B$6:$B$2160=N757), 0, 11))</f>
        <v>-63.049999999999983</v>
      </c>
    </row>
    <row r="758" spans="2:17" x14ac:dyDescent="0.2">
      <c r="B758">
        <v>10531</v>
      </c>
      <c r="C758">
        <v>59</v>
      </c>
      <c r="D758" s="84">
        <v>55</v>
      </c>
      <c r="E758">
        <v>2</v>
      </c>
      <c r="F758" s="85">
        <v>0</v>
      </c>
      <c r="G758" s="86">
        <f t="shared" si="55"/>
        <v>110</v>
      </c>
      <c r="H758" s="86">
        <f t="shared" si="56"/>
        <v>0</v>
      </c>
      <c r="I758" s="86">
        <f t="shared" si="57"/>
        <v>110</v>
      </c>
      <c r="J758" s="84">
        <f>VLOOKUP(C758, Products[], 6)</f>
        <v>55</v>
      </c>
      <c r="K758" s="86">
        <f t="shared" si="58"/>
        <v>110</v>
      </c>
      <c r="L758" s="86">
        <f t="shared" si="59"/>
        <v>0</v>
      </c>
      <c r="N758">
        <v>11000</v>
      </c>
      <c r="O758" s="84" cm="1">
        <f t="array" ref="O758">SUM(INDEX(_xlfn._xlws.FILTER($B$6:$L$2160, $B$6:$B$2160=N758), 0, 8))</f>
        <v>903.75</v>
      </c>
      <c r="P758" s="84" cm="1">
        <f t="array" ref="P758">SUM(INDEX(_xlfn._xlws.FILTER($B$6:$L$2160, $B$6:$B$2160=N758), 0, 10))</f>
        <v>1075</v>
      </c>
      <c r="Q758" s="84" cm="1">
        <f t="array" ref="Q758">SUM(INDEX(_xlfn._xlws.FILTER($B$6:$L$2160, $B$6:$B$2160=N758), 0, 11))</f>
        <v>-171.25</v>
      </c>
    </row>
    <row r="759" spans="2:17" x14ac:dyDescent="0.2">
      <c r="B759">
        <v>10532</v>
      </c>
      <c r="C759">
        <v>30</v>
      </c>
      <c r="D759" s="84">
        <v>25.89</v>
      </c>
      <c r="E759">
        <v>15</v>
      </c>
      <c r="F759" s="85">
        <v>0</v>
      </c>
      <c r="G759" s="86">
        <f t="shared" si="55"/>
        <v>388.35</v>
      </c>
      <c r="H759" s="86">
        <f t="shared" si="56"/>
        <v>0</v>
      </c>
      <c r="I759" s="86">
        <f t="shared" si="57"/>
        <v>388.35</v>
      </c>
      <c r="J759" s="84">
        <f>VLOOKUP(C759, Products[], 6)</f>
        <v>25.89</v>
      </c>
      <c r="K759" s="86">
        <f t="shared" si="58"/>
        <v>388.35</v>
      </c>
      <c r="L759" s="86">
        <f t="shared" si="59"/>
        <v>0</v>
      </c>
      <c r="N759">
        <v>11001</v>
      </c>
      <c r="O759" s="84" cm="1">
        <f t="array" ref="O759">SUM(INDEX(_xlfn._xlws.FILTER($B$6:$L$2160, $B$6:$B$2160=N759), 0, 8))</f>
        <v>2769</v>
      </c>
      <c r="P759" s="84" cm="1">
        <f t="array" ref="P759">SUM(INDEX(_xlfn._xlws.FILTER($B$6:$L$2160, $B$6:$B$2160=N759), 0, 10))</f>
        <v>2769</v>
      </c>
      <c r="Q759" s="84" cm="1">
        <f t="array" ref="Q759">SUM(INDEX(_xlfn._xlws.FILTER($B$6:$L$2160, $B$6:$B$2160=N759), 0, 11))</f>
        <v>0</v>
      </c>
    </row>
    <row r="760" spans="2:17" x14ac:dyDescent="0.2">
      <c r="B760">
        <v>10532</v>
      </c>
      <c r="C760">
        <v>66</v>
      </c>
      <c r="D760" s="84">
        <v>17</v>
      </c>
      <c r="E760">
        <v>24</v>
      </c>
      <c r="F760" s="85">
        <v>0</v>
      </c>
      <c r="G760" s="86">
        <f t="shared" si="55"/>
        <v>408</v>
      </c>
      <c r="H760" s="86">
        <f t="shared" si="56"/>
        <v>0</v>
      </c>
      <c r="I760" s="86">
        <f t="shared" si="57"/>
        <v>408</v>
      </c>
      <c r="J760" s="84">
        <f>VLOOKUP(C760, Products[], 6)</f>
        <v>17</v>
      </c>
      <c r="K760" s="86">
        <f t="shared" si="58"/>
        <v>408</v>
      </c>
      <c r="L760" s="86">
        <f t="shared" si="59"/>
        <v>0</v>
      </c>
      <c r="N760">
        <v>11002</v>
      </c>
      <c r="O760" s="84" cm="1">
        <f t="array" ref="O760">SUM(INDEX(_xlfn._xlws.FILTER($B$6:$L$2160, $B$6:$B$2160=N760), 0, 8))</f>
        <v>1811.1</v>
      </c>
      <c r="P760" s="84" cm="1">
        <f t="array" ref="P760">SUM(INDEX(_xlfn._xlws.FILTER($B$6:$L$2160, $B$6:$B$2160=N760), 0, 10))</f>
        <v>1902</v>
      </c>
      <c r="Q760" s="84" cm="1">
        <f t="array" ref="Q760">SUM(INDEX(_xlfn._xlws.FILTER($B$6:$L$2160, $B$6:$B$2160=N760), 0, 11))</f>
        <v>-90.899999999999977</v>
      </c>
    </row>
    <row r="761" spans="2:17" x14ac:dyDescent="0.2">
      <c r="B761">
        <v>10533</v>
      </c>
      <c r="C761">
        <v>4</v>
      </c>
      <c r="D761" s="84">
        <v>22</v>
      </c>
      <c r="E761">
        <v>50</v>
      </c>
      <c r="F761" s="85">
        <v>0.05</v>
      </c>
      <c r="G761" s="86">
        <f t="shared" si="55"/>
        <v>1100</v>
      </c>
      <c r="H761" s="86">
        <f t="shared" si="56"/>
        <v>55</v>
      </c>
      <c r="I761" s="86">
        <f t="shared" si="57"/>
        <v>1045</v>
      </c>
      <c r="J761" s="84">
        <f>VLOOKUP(C761, Products[], 6)</f>
        <v>22</v>
      </c>
      <c r="K761" s="86">
        <f t="shared" si="58"/>
        <v>1100</v>
      </c>
      <c r="L761" s="86">
        <f t="shared" si="59"/>
        <v>-55</v>
      </c>
      <c r="N761">
        <v>11003</v>
      </c>
      <c r="O761" s="84" cm="1">
        <f t="array" ref="O761">SUM(INDEX(_xlfn._xlws.FILTER($B$6:$L$2160, $B$6:$B$2160=N761), 0, 8))</f>
        <v>326</v>
      </c>
      <c r="P761" s="84" cm="1">
        <f t="array" ref="P761">SUM(INDEX(_xlfn._xlws.FILTER($B$6:$L$2160, $B$6:$B$2160=N761), 0, 10))</f>
        <v>326</v>
      </c>
      <c r="Q761" s="84" cm="1">
        <f t="array" ref="Q761">SUM(INDEX(_xlfn._xlws.FILTER($B$6:$L$2160, $B$6:$B$2160=N761), 0, 11))</f>
        <v>0</v>
      </c>
    </row>
    <row r="762" spans="2:17" x14ac:dyDescent="0.2">
      <c r="B762">
        <v>10533</v>
      </c>
      <c r="C762">
        <v>72</v>
      </c>
      <c r="D762" s="84">
        <v>34.799999999999997</v>
      </c>
      <c r="E762">
        <v>24</v>
      </c>
      <c r="F762" s="85">
        <v>0</v>
      </c>
      <c r="G762" s="86">
        <f t="shared" si="55"/>
        <v>835.19999999999993</v>
      </c>
      <c r="H762" s="86">
        <f t="shared" si="56"/>
        <v>0</v>
      </c>
      <c r="I762" s="86">
        <f t="shared" si="57"/>
        <v>835.19999999999993</v>
      </c>
      <c r="J762" s="84">
        <f>VLOOKUP(C762, Products[], 6)</f>
        <v>34.799999999999997</v>
      </c>
      <c r="K762" s="86">
        <f t="shared" si="58"/>
        <v>835.19999999999993</v>
      </c>
      <c r="L762" s="86">
        <f t="shared" si="59"/>
        <v>0</v>
      </c>
      <c r="N762">
        <v>11004</v>
      </c>
      <c r="O762" s="84" cm="1">
        <f t="array" ref="O762">SUM(INDEX(_xlfn._xlws.FILTER($B$6:$L$2160, $B$6:$B$2160=N762), 0, 8))</f>
        <v>295.38</v>
      </c>
      <c r="P762" s="84" cm="1">
        <f t="array" ref="P762">SUM(INDEX(_xlfn._xlws.FILTER($B$6:$L$2160, $B$6:$B$2160=N762), 0, 10))</f>
        <v>295.38</v>
      </c>
      <c r="Q762" s="84" cm="1">
        <f t="array" ref="Q762">SUM(INDEX(_xlfn._xlws.FILTER($B$6:$L$2160, $B$6:$B$2160=N762), 0, 11))</f>
        <v>0</v>
      </c>
    </row>
    <row r="763" spans="2:17" x14ac:dyDescent="0.2">
      <c r="B763">
        <v>10533</v>
      </c>
      <c r="C763">
        <v>73</v>
      </c>
      <c r="D763" s="84">
        <v>15</v>
      </c>
      <c r="E763">
        <v>24</v>
      </c>
      <c r="F763" s="85">
        <v>0.05</v>
      </c>
      <c r="G763" s="86">
        <f t="shared" si="55"/>
        <v>360</v>
      </c>
      <c r="H763" s="86">
        <f t="shared" si="56"/>
        <v>18</v>
      </c>
      <c r="I763" s="86">
        <f t="shared" si="57"/>
        <v>342</v>
      </c>
      <c r="J763" s="84">
        <f>VLOOKUP(C763, Products[], 6)</f>
        <v>15</v>
      </c>
      <c r="K763" s="86">
        <f t="shared" si="58"/>
        <v>360</v>
      </c>
      <c r="L763" s="86">
        <f t="shared" si="59"/>
        <v>-18</v>
      </c>
      <c r="N763">
        <v>11005</v>
      </c>
      <c r="O763" s="84" cm="1">
        <f t="array" ref="O763">SUM(INDEX(_xlfn._xlws.FILTER($B$6:$L$2160, $B$6:$B$2160=N763), 0, 8))</f>
        <v>586</v>
      </c>
      <c r="P763" s="84" cm="1">
        <f t="array" ref="P763">SUM(INDEX(_xlfn._xlws.FILTER($B$6:$L$2160, $B$6:$B$2160=N763), 0, 10))</f>
        <v>586</v>
      </c>
      <c r="Q763" s="84" cm="1">
        <f t="array" ref="Q763">SUM(INDEX(_xlfn._xlws.FILTER($B$6:$L$2160, $B$6:$B$2160=N763), 0, 11))</f>
        <v>0</v>
      </c>
    </row>
    <row r="764" spans="2:17" x14ac:dyDescent="0.2">
      <c r="B764">
        <v>10534</v>
      </c>
      <c r="C764">
        <v>30</v>
      </c>
      <c r="D764" s="84">
        <v>25.89</v>
      </c>
      <c r="E764">
        <v>10</v>
      </c>
      <c r="F764" s="85">
        <v>0</v>
      </c>
      <c r="G764" s="86">
        <f t="shared" si="55"/>
        <v>258.89999999999998</v>
      </c>
      <c r="H764" s="86">
        <f t="shared" si="56"/>
        <v>0</v>
      </c>
      <c r="I764" s="86">
        <f t="shared" si="57"/>
        <v>258.89999999999998</v>
      </c>
      <c r="J764" s="84">
        <f>VLOOKUP(C764, Products[], 6)</f>
        <v>25.89</v>
      </c>
      <c r="K764" s="86">
        <f t="shared" si="58"/>
        <v>258.89999999999998</v>
      </c>
      <c r="L764" s="86">
        <f t="shared" si="59"/>
        <v>0</v>
      </c>
      <c r="N764">
        <v>11006</v>
      </c>
      <c r="O764" s="84" cm="1">
        <f t="array" ref="O764">SUM(INDEX(_xlfn._xlws.FILTER($B$6:$L$2160, $B$6:$B$2160=N764), 0, 8))</f>
        <v>329.685</v>
      </c>
      <c r="P764" s="84" cm="1">
        <f t="array" ref="P764">SUM(INDEX(_xlfn._xlws.FILTER($B$6:$L$2160, $B$6:$B$2160=N764), 0, 10))</f>
        <v>391.58000000000004</v>
      </c>
      <c r="Q764" s="84" cm="1">
        <f t="array" ref="Q764">SUM(INDEX(_xlfn._xlws.FILTER($B$6:$L$2160, $B$6:$B$2160=N764), 0, 11))</f>
        <v>-61.89500000000001</v>
      </c>
    </row>
    <row r="765" spans="2:17" x14ac:dyDescent="0.2">
      <c r="B765">
        <v>10534</v>
      </c>
      <c r="C765">
        <v>40</v>
      </c>
      <c r="D765" s="84">
        <v>18.399999999999999</v>
      </c>
      <c r="E765">
        <v>10</v>
      </c>
      <c r="F765" s="85">
        <v>0.2</v>
      </c>
      <c r="G765" s="86">
        <f t="shared" si="55"/>
        <v>184</v>
      </c>
      <c r="H765" s="86">
        <f t="shared" si="56"/>
        <v>36.800000000000004</v>
      </c>
      <c r="I765" s="86">
        <f t="shared" si="57"/>
        <v>147.19999999999999</v>
      </c>
      <c r="J765" s="84">
        <f>VLOOKUP(C765, Products[], 6)</f>
        <v>18.399999999999999</v>
      </c>
      <c r="K765" s="86">
        <f t="shared" si="58"/>
        <v>184</v>
      </c>
      <c r="L765" s="86">
        <f t="shared" si="59"/>
        <v>-36.800000000000011</v>
      </c>
      <c r="N765">
        <v>11007</v>
      </c>
      <c r="O765" s="84" cm="1">
        <f t="array" ref="O765">SUM(INDEX(_xlfn._xlws.FILTER($B$6:$L$2160, $B$6:$B$2160=N765), 0, 8))</f>
        <v>2633.9</v>
      </c>
      <c r="P765" s="84" cm="1">
        <f t="array" ref="P765">SUM(INDEX(_xlfn._xlws.FILTER($B$6:$L$2160, $B$6:$B$2160=N765), 0, 10))</f>
        <v>2633.9</v>
      </c>
      <c r="Q765" s="84" cm="1">
        <f t="array" ref="Q765">SUM(INDEX(_xlfn._xlws.FILTER($B$6:$L$2160, $B$6:$B$2160=N765), 0, 11))</f>
        <v>0</v>
      </c>
    </row>
    <row r="766" spans="2:17" x14ac:dyDescent="0.2">
      <c r="B766">
        <v>10534</v>
      </c>
      <c r="C766">
        <v>54</v>
      </c>
      <c r="D766" s="84">
        <v>7.45</v>
      </c>
      <c r="E766">
        <v>10</v>
      </c>
      <c r="F766" s="85">
        <v>0.2</v>
      </c>
      <c r="G766" s="86">
        <f t="shared" si="55"/>
        <v>74.5</v>
      </c>
      <c r="H766" s="86">
        <f t="shared" si="56"/>
        <v>14.9</v>
      </c>
      <c r="I766" s="86">
        <f t="shared" si="57"/>
        <v>59.6</v>
      </c>
      <c r="J766" s="84">
        <f>VLOOKUP(C766, Products[], 6)</f>
        <v>7.45</v>
      </c>
      <c r="K766" s="86">
        <f t="shared" si="58"/>
        <v>74.5</v>
      </c>
      <c r="L766" s="86">
        <f t="shared" si="59"/>
        <v>-14.899999999999999</v>
      </c>
      <c r="N766">
        <v>11008</v>
      </c>
      <c r="O766" s="84" cm="1">
        <f t="array" ref="O766">SUM(INDEX(_xlfn._xlws.FILTER($B$6:$L$2160, $B$6:$B$2160=N766), 0, 8))</f>
        <v>4680.8999999999996</v>
      </c>
      <c r="P766" s="84" cm="1">
        <f t="array" ref="P766">SUM(INDEX(_xlfn._xlws.FILTER($B$6:$L$2160, $B$6:$B$2160=N766), 0, 10))</f>
        <v>4903.5</v>
      </c>
      <c r="Q766" s="84" cm="1">
        <f t="array" ref="Q766">SUM(INDEX(_xlfn._xlws.FILTER($B$6:$L$2160, $B$6:$B$2160=N766), 0, 11))</f>
        <v>-222.59999999999991</v>
      </c>
    </row>
    <row r="767" spans="2:17" x14ac:dyDescent="0.2">
      <c r="B767">
        <v>10535</v>
      </c>
      <c r="C767">
        <v>11</v>
      </c>
      <c r="D767" s="84">
        <v>21</v>
      </c>
      <c r="E767">
        <v>50</v>
      </c>
      <c r="F767" s="85">
        <v>0.1</v>
      </c>
      <c r="G767" s="86">
        <f t="shared" si="55"/>
        <v>1050</v>
      </c>
      <c r="H767" s="86">
        <f t="shared" si="56"/>
        <v>105</v>
      </c>
      <c r="I767" s="86">
        <f t="shared" si="57"/>
        <v>945</v>
      </c>
      <c r="J767" s="84">
        <f>VLOOKUP(C767, Products[], 6)</f>
        <v>21</v>
      </c>
      <c r="K767" s="86">
        <f t="shared" si="58"/>
        <v>1050</v>
      </c>
      <c r="L767" s="86">
        <f t="shared" si="59"/>
        <v>-105</v>
      </c>
      <c r="N767">
        <v>11009</v>
      </c>
      <c r="O767" s="84" cm="1">
        <f t="array" ref="O767">SUM(INDEX(_xlfn._xlws.FILTER($B$6:$L$2160, $B$6:$B$2160=N767), 0, 8))</f>
        <v>616.5</v>
      </c>
      <c r="P767" s="84" cm="1">
        <f t="array" ref="P767">SUM(INDEX(_xlfn._xlws.FILTER($B$6:$L$2160, $B$6:$B$2160=N767), 0, 10))</f>
        <v>702</v>
      </c>
      <c r="Q767" s="84" cm="1">
        <f t="array" ref="Q767">SUM(INDEX(_xlfn._xlws.FILTER($B$6:$L$2160, $B$6:$B$2160=N767), 0, 11))</f>
        <v>-85.5</v>
      </c>
    </row>
    <row r="768" spans="2:17" x14ac:dyDescent="0.2">
      <c r="B768">
        <v>10535</v>
      </c>
      <c r="C768">
        <v>40</v>
      </c>
      <c r="D768" s="84">
        <v>18.399999999999999</v>
      </c>
      <c r="E768">
        <v>10</v>
      </c>
      <c r="F768" s="85">
        <v>0.1</v>
      </c>
      <c r="G768" s="86">
        <f t="shared" si="55"/>
        <v>184</v>
      </c>
      <c r="H768" s="86">
        <f t="shared" si="56"/>
        <v>18.400000000000002</v>
      </c>
      <c r="I768" s="86">
        <f t="shared" si="57"/>
        <v>165.6</v>
      </c>
      <c r="J768" s="84">
        <f>VLOOKUP(C768, Products[], 6)</f>
        <v>18.399999999999999</v>
      </c>
      <c r="K768" s="86">
        <f t="shared" si="58"/>
        <v>184</v>
      </c>
      <c r="L768" s="86">
        <f t="shared" si="59"/>
        <v>-18.400000000000006</v>
      </c>
      <c r="N768">
        <v>11010</v>
      </c>
      <c r="O768" s="84" cm="1">
        <f t="array" ref="O768">SUM(INDEX(_xlfn._xlws.FILTER($B$6:$L$2160, $B$6:$B$2160=N768), 0, 8))</f>
        <v>645</v>
      </c>
      <c r="P768" s="84" cm="1">
        <f t="array" ref="P768">SUM(INDEX(_xlfn._xlws.FILTER($B$6:$L$2160, $B$6:$B$2160=N768), 0, 10))</f>
        <v>645</v>
      </c>
      <c r="Q768" s="84" cm="1">
        <f t="array" ref="Q768">SUM(INDEX(_xlfn._xlws.FILTER($B$6:$L$2160, $B$6:$B$2160=N768), 0, 11))</f>
        <v>0</v>
      </c>
    </row>
    <row r="769" spans="2:17" x14ac:dyDescent="0.2">
      <c r="B769">
        <v>10535</v>
      </c>
      <c r="C769">
        <v>57</v>
      </c>
      <c r="D769" s="84">
        <v>19.5</v>
      </c>
      <c r="E769">
        <v>5</v>
      </c>
      <c r="F769" s="85">
        <v>0.1</v>
      </c>
      <c r="G769" s="86">
        <f t="shared" si="55"/>
        <v>97.5</v>
      </c>
      <c r="H769" s="86">
        <f t="shared" si="56"/>
        <v>9.75</v>
      </c>
      <c r="I769" s="86">
        <f t="shared" si="57"/>
        <v>87.75</v>
      </c>
      <c r="J769" s="84">
        <f>VLOOKUP(C769, Products[], 6)</f>
        <v>19.5</v>
      </c>
      <c r="K769" s="86">
        <f t="shared" si="58"/>
        <v>97.5</v>
      </c>
      <c r="L769" s="86">
        <f t="shared" si="59"/>
        <v>-9.75</v>
      </c>
      <c r="N769">
        <v>11011</v>
      </c>
      <c r="O769" s="84" cm="1">
        <f t="array" ref="O769">SUM(INDEX(_xlfn._xlws.FILTER($B$6:$L$2160, $B$6:$B$2160=N769), 0, 8))</f>
        <v>933.5</v>
      </c>
      <c r="P769" s="84" cm="1">
        <f t="array" ref="P769">SUM(INDEX(_xlfn._xlws.FILTER($B$6:$L$2160, $B$6:$B$2160=N769), 0, 10))</f>
        <v>960</v>
      </c>
      <c r="Q769" s="84" cm="1">
        <f t="array" ref="Q769">SUM(INDEX(_xlfn._xlws.FILTER($B$6:$L$2160, $B$6:$B$2160=N769), 0, 11))</f>
        <v>-26.5</v>
      </c>
    </row>
    <row r="770" spans="2:17" x14ac:dyDescent="0.2">
      <c r="B770">
        <v>10535</v>
      </c>
      <c r="C770">
        <v>59</v>
      </c>
      <c r="D770" s="84">
        <v>55</v>
      </c>
      <c r="E770">
        <v>15</v>
      </c>
      <c r="F770" s="85">
        <v>0.1</v>
      </c>
      <c r="G770" s="86">
        <f t="shared" si="55"/>
        <v>825</v>
      </c>
      <c r="H770" s="86">
        <f t="shared" si="56"/>
        <v>82.5</v>
      </c>
      <c r="I770" s="86">
        <f t="shared" si="57"/>
        <v>742.5</v>
      </c>
      <c r="J770" s="84">
        <f>VLOOKUP(C770, Products[], 6)</f>
        <v>55</v>
      </c>
      <c r="K770" s="86">
        <f t="shared" si="58"/>
        <v>825</v>
      </c>
      <c r="L770" s="86">
        <f t="shared" si="59"/>
        <v>-82.5</v>
      </c>
      <c r="N770">
        <v>11012</v>
      </c>
      <c r="O770" s="84" cm="1">
        <f t="array" ref="O770">SUM(INDEX(_xlfn._xlws.FILTER($B$6:$L$2160, $B$6:$B$2160=N770), 0, 8))</f>
        <v>2825.3</v>
      </c>
      <c r="P770" s="84" cm="1">
        <f t="array" ref="P770">SUM(INDEX(_xlfn._xlws.FILTER($B$6:$L$2160, $B$6:$B$2160=N770), 0, 10))</f>
        <v>2974</v>
      </c>
      <c r="Q770" s="84" cm="1">
        <f t="array" ref="Q770">SUM(INDEX(_xlfn._xlws.FILTER($B$6:$L$2160, $B$6:$B$2160=N770), 0, 11))</f>
        <v>-148.70000000000005</v>
      </c>
    </row>
    <row r="771" spans="2:17" x14ac:dyDescent="0.2">
      <c r="B771">
        <v>10536</v>
      </c>
      <c r="C771">
        <v>12</v>
      </c>
      <c r="D771" s="84">
        <v>38</v>
      </c>
      <c r="E771">
        <v>15</v>
      </c>
      <c r="F771" s="85">
        <v>0.25</v>
      </c>
      <c r="G771" s="86">
        <f t="shared" si="55"/>
        <v>570</v>
      </c>
      <c r="H771" s="86">
        <f t="shared" si="56"/>
        <v>142.5</v>
      </c>
      <c r="I771" s="86">
        <f t="shared" si="57"/>
        <v>427.5</v>
      </c>
      <c r="J771" s="84">
        <f>VLOOKUP(C771, Products[], 6)</f>
        <v>38</v>
      </c>
      <c r="K771" s="86">
        <f t="shared" si="58"/>
        <v>570</v>
      </c>
      <c r="L771" s="86">
        <f t="shared" si="59"/>
        <v>-142.5</v>
      </c>
      <c r="N771">
        <v>11013</v>
      </c>
      <c r="O771" s="84" cm="1">
        <f t="array" ref="O771">SUM(INDEX(_xlfn._xlws.FILTER($B$6:$L$2160, $B$6:$B$2160=N771), 0, 8))</f>
        <v>361</v>
      </c>
      <c r="P771" s="84" cm="1">
        <f t="array" ref="P771">SUM(INDEX(_xlfn._xlws.FILTER($B$6:$L$2160, $B$6:$B$2160=N771), 0, 10))</f>
        <v>361</v>
      </c>
      <c r="Q771" s="84" cm="1">
        <f t="array" ref="Q771">SUM(INDEX(_xlfn._xlws.FILTER($B$6:$L$2160, $B$6:$B$2160=N771), 0, 11))</f>
        <v>0</v>
      </c>
    </row>
    <row r="772" spans="2:17" x14ac:dyDescent="0.2">
      <c r="B772">
        <v>10536</v>
      </c>
      <c r="C772">
        <v>31</v>
      </c>
      <c r="D772" s="84">
        <v>12.5</v>
      </c>
      <c r="E772">
        <v>20</v>
      </c>
      <c r="F772" s="85">
        <v>0</v>
      </c>
      <c r="G772" s="86">
        <f t="shared" si="55"/>
        <v>250</v>
      </c>
      <c r="H772" s="86">
        <f t="shared" si="56"/>
        <v>0</v>
      </c>
      <c r="I772" s="86">
        <f t="shared" si="57"/>
        <v>250</v>
      </c>
      <c r="J772" s="84">
        <f>VLOOKUP(C772, Products[], 6)</f>
        <v>12.5</v>
      </c>
      <c r="K772" s="86">
        <f t="shared" si="58"/>
        <v>250</v>
      </c>
      <c r="L772" s="86">
        <f t="shared" si="59"/>
        <v>0</v>
      </c>
      <c r="N772">
        <v>11014</v>
      </c>
      <c r="O772" s="84" cm="1">
        <f t="array" ref="O772">SUM(INDEX(_xlfn._xlws.FILTER($B$6:$L$2160, $B$6:$B$2160=N772), 0, 8))</f>
        <v>243.17999999999998</v>
      </c>
      <c r="P772" s="84" cm="1">
        <f t="array" ref="P772">SUM(INDEX(_xlfn._xlws.FILTER($B$6:$L$2160, $B$6:$B$2160=N772), 0, 10))</f>
        <v>270.2</v>
      </c>
      <c r="Q772" s="84" cm="1">
        <f t="array" ref="Q772">SUM(INDEX(_xlfn._xlws.FILTER($B$6:$L$2160, $B$6:$B$2160=N772), 0, 11))</f>
        <v>-27.02000000000001</v>
      </c>
    </row>
    <row r="773" spans="2:17" x14ac:dyDescent="0.2">
      <c r="B773">
        <v>10536</v>
      </c>
      <c r="C773">
        <v>33</v>
      </c>
      <c r="D773" s="84">
        <v>2.5</v>
      </c>
      <c r="E773">
        <v>30</v>
      </c>
      <c r="F773" s="85">
        <v>0</v>
      </c>
      <c r="G773" s="86">
        <f t="shared" si="55"/>
        <v>75</v>
      </c>
      <c r="H773" s="86">
        <f t="shared" si="56"/>
        <v>0</v>
      </c>
      <c r="I773" s="86">
        <f t="shared" si="57"/>
        <v>75</v>
      </c>
      <c r="J773" s="84">
        <f>VLOOKUP(C773, Products[], 6)</f>
        <v>2.5</v>
      </c>
      <c r="K773" s="86">
        <f t="shared" si="58"/>
        <v>75</v>
      </c>
      <c r="L773" s="86">
        <f t="shared" si="59"/>
        <v>0</v>
      </c>
      <c r="N773">
        <v>11015</v>
      </c>
      <c r="O773" s="84" cm="1">
        <f t="array" ref="O773">SUM(INDEX(_xlfn._xlws.FILTER($B$6:$L$2160, $B$6:$B$2160=N773), 0, 8))</f>
        <v>622.35</v>
      </c>
      <c r="P773" s="84" cm="1">
        <f t="array" ref="P773">SUM(INDEX(_xlfn._xlws.FILTER($B$6:$L$2160, $B$6:$B$2160=N773), 0, 10))</f>
        <v>622.35</v>
      </c>
      <c r="Q773" s="84" cm="1">
        <f t="array" ref="Q773">SUM(INDEX(_xlfn._xlws.FILTER($B$6:$L$2160, $B$6:$B$2160=N773), 0, 11))</f>
        <v>0</v>
      </c>
    </row>
    <row r="774" spans="2:17" x14ac:dyDescent="0.2">
      <c r="B774">
        <v>10536</v>
      </c>
      <c r="C774">
        <v>60</v>
      </c>
      <c r="D774" s="84">
        <v>34</v>
      </c>
      <c r="E774">
        <v>35</v>
      </c>
      <c r="F774" s="85">
        <v>0.25</v>
      </c>
      <c r="G774" s="86">
        <f t="shared" si="55"/>
        <v>1190</v>
      </c>
      <c r="H774" s="86">
        <f t="shared" si="56"/>
        <v>297.5</v>
      </c>
      <c r="I774" s="86">
        <f t="shared" si="57"/>
        <v>892.5</v>
      </c>
      <c r="J774" s="84">
        <f>VLOOKUP(C774, Products[], 6)</f>
        <v>34</v>
      </c>
      <c r="K774" s="86">
        <f t="shared" si="58"/>
        <v>1190</v>
      </c>
      <c r="L774" s="86">
        <f t="shared" si="59"/>
        <v>-297.5</v>
      </c>
      <c r="N774">
        <v>11016</v>
      </c>
      <c r="O774" s="84" cm="1">
        <f t="array" ref="O774">SUM(INDEX(_xlfn._xlws.FILTER($B$6:$L$2160, $B$6:$B$2160=N774), 0, 8))</f>
        <v>491.5</v>
      </c>
      <c r="P774" s="84" cm="1">
        <f t="array" ref="P774">SUM(INDEX(_xlfn._xlws.FILTER($B$6:$L$2160, $B$6:$B$2160=N774), 0, 10))</f>
        <v>491.5</v>
      </c>
      <c r="Q774" s="84" cm="1">
        <f t="array" ref="Q774">SUM(INDEX(_xlfn._xlws.FILTER($B$6:$L$2160, $B$6:$B$2160=N774), 0, 11))</f>
        <v>0</v>
      </c>
    </row>
    <row r="775" spans="2:17" x14ac:dyDescent="0.2">
      <c r="B775">
        <v>10537</v>
      </c>
      <c r="C775">
        <v>31</v>
      </c>
      <c r="D775" s="84">
        <v>12.5</v>
      </c>
      <c r="E775">
        <v>30</v>
      </c>
      <c r="F775" s="85">
        <v>0</v>
      </c>
      <c r="G775" s="86">
        <f t="shared" ref="G775:G838" si="60">D775*E775</f>
        <v>375</v>
      </c>
      <c r="H775" s="86">
        <f t="shared" ref="H775:H838" si="61">G775*F775</f>
        <v>0</v>
      </c>
      <c r="I775" s="86">
        <f t="shared" ref="I775:I838" si="62">G775-H775</f>
        <v>375</v>
      </c>
      <c r="J775" s="84">
        <f>VLOOKUP(C775, Products[], 6)</f>
        <v>12.5</v>
      </c>
      <c r="K775" s="86">
        <f t="shared" ref="K775:K838" si="63">J775*E775</f>
        <v>375</v>
      </c>
      <c r="L775" s="86">
        <f t="shared" ref="L775:L838" si="64">I775-K775</f>
        <v>0</v>
      </c>
      <c r="N775">
        <v>11017</v>
      </c>
      <c r="O775" s="84" cm="1">
        <f t="array" ref="O775">SUM(INDEX(_xlfn._xlws.FILTER($B$6:$L$2160, $B$6:$B$2160=N775), 0, 8))</f>
        <v>6750</v>
      </c>
      <c r="P775" s="84" cm="1">
        <f t="array" ref="P775">SUM(INDEX(_xlfn._xlws.FILTER($B$6:$L$2160, $B$6:$B$2160=N775), 0, 10))</f>
        <v>6750</v>
      </c>
      <c r="Q775" s="84" cm="1">
        <f t="array" ref="Q775">SUM(INDEX(_xlfn._xlws.FILTER($B$6:$L$2160, $B$6:$B$2160=N775), 0, 11))</f>
        <v>0</v>
      </c>
    </row>
    <row r="776" spans="2:17" x14ac:dyDescent="0.2">
      <c r="B776">
        <v>10537</v>
      </c>
      <c r="C776">
        <v>51</v>
      </c>
      <c r="D776" s="84">
        <v>53</v>
      </c>
      <c r="E776">
        <v>6</v>
      </c>
      <c r="F776" s="85">
        <v>0</v>
      </c>
      <c r="G776" s="86">
        <f t="shared" si="60"/>
        <v>318</v>
      </c>
      <c r="H776" s="86">
        <f t="shared" si="61"/>
        <v>0</v>
      </c>
      <c r="I776" s="86">
        <f t="shared" si="62"/>
        <v>318</v>
      </c>
      <c r="J776" s="84">
        <f>VLOOKUP(C776, Products[], 6)</f>
        <v>53</v>
      </c>
      <c r="K776" s="86">
        <f t="shared" si="63"/>
        <v>318</v>
      </c>
      <c r="L776" s="86">
        <f t="shared" si="64"/>
        <v>0</v>
      </c>
      <c r="N776">
        <v>11018</v>
      </c>
      <c r="O776" s="84" cm="1">
        <f t="array" ref="O776">SUM(INDEX(_xlfn._xlws.FILTER($B$6:$L$2160, $B$6:$B$2160=N776), 0, 8))</f>
        <v>1575</v>
      </c>
      <c r="P776" s="84" cm="1">
        <f t="array" ref="P776">SUM(INDEX(_xlfn._xlws.FILTER($B$6:$L$2160, $B$6:$B$2160=N776), 0, 10))</f>
        <v>1575</v>
      </c>
      <c r="Q776" s="84" cm="1">
        <f t="array" ref="Q776">SUM(INDEX(_xlfn._xlws.FILTER($B$6:$L$2160, $B$6:$B$2160=N776), 0, 11))</f>
        <v>0</v>
      </c>
    </row>
    <row r="777" spans="2:17" x14ac:dyDescent="0.2">
      <c r="B777">
        <v>10537</v>
      </c>
      <c r="C777">
        <v>58</v>
      </c>
      <c r="D777" s="84">
        <v>13.25</v>
      </c>
      <c r="E777">
        <v>20</v>
      </c>
      <c r="F777" s="85">
        <v>0</v>
      </c>
      <c r="G777" s="86">
        <f t="shared" si="60"/>
        <v>265</v>
      </c>
      <c r="H777" s="86">
        <f t="shared" si="61"/>
        <v>0</v>
      </c>
      <c r="I777" s="86">
        <f t="shared" si="62"/>
        <v>265</v>
      </c>
      <c r="J777" s="84">
        <f>VLOOKUP(C777, Products[], 6)</f>
        <v>13.25</v>
      </c>
      <c r="K777" s="86">
        <f t="shared" si="63"/>
        <v>265</v>
      </c>
      <c r="L777" s="86">
        <f t="shared" si="64"/>
        <v>0</v>
      </c>
      <c r="N777">
        <v>11019</v>
      </c>
      <c r="O777" s="84" cm="1">
        <f t="array" ref="O777">SUM(INDEX(_xlfn._xlws.FILTER($B$6:$L$2160, $B$6:$B$2160=N777), 0, 8))</f>
        <v>76</v>
      </c>
      <c r="P777" s="84" cm="1">
        <f t="array" ref="P777">SUM(INDEX(_xlfn._xlws.FILTER($B$6:$L$2160, $B$6:$B$2160=N777), 0, 10))</f>
        <v>76</v>
      </c>
      <c r="Q777" s="84" cm="1">
        <f t="array" ref="Q777">SUM(INDEX(_xlfn._xlws.FILTER($B$6:$L$2160, $B$6:$B$2160=N777), 0, 11))</f>
        <v>0</v>
      </c>
    </row>
    <row r="778" spans="2:17" x14ac:dyDescent="0.2">
      <c r="B778">
        <v>10537</v>
      </c>
      <c r="C778">
        <v>72</v>
      </c>
      <c r="D778" s="84">
        <v>34.799999999999997</v>
      </c>
      <c r="E778">
        <v>21</v>
      </c>
      <c r="F778" s="85">
        <v>0</v>
      </c>
      <c r="G778" s="86">
        <f t="shared" si="60"/>
        <v>730.8</v>
      </c>
      <c r="H778" s="86">
        <f t="shared" si="61"/>
        <v>0</v>
      </c>
      <c r="I778" s="86">
        <f t="shared" si="62"/>
        <v>730.8</v>
      </c>
      <c r="J778" s="84">
        <f>VLOOKUP(C778, Products[], 6)</f>
        <v>34.799999999999997</v>
      </c>
      <c r="K778" s="86">
        <f t="shared" si="63"/>
        <v>730.8</v>
      </c>
      <c r="L778" s="86">
        <f t="shared" si="64"/>
        <v>0</v>
      </c>
      <c r="N778">
        <v>11020</v>
      </c>
      <c r="O778" s="84" cm="1">
        <f t="array" ref="O778">SUM(INDEX(_xlfn._xlws.FILTER($B$6:$L$2160, $B$6:$B$2160=N778), 0, 8))</f>
        <v>632.4</v>
      </c>
      <c r="P778" s="84" cm="1">
        <f t="array" ref="P778">SUM(INDEX(_xlfn._xlws.FILTER($B$6:$L$2160, $B$6:$B$2160=N778), 0, 10))</f>
        <v>744</v>
      </c>
      <c r="Q778" s="84" cm="1">
        <f t="array" ref="Q778">SUM(INDEX(_xlfn._xlws.FILTER($B$6:$L$2160, $B$6:$B$2160=N778), 0, 11))</f>
        <v>-111.60000000000002</v>
      </c>
    </row>
    <row r="779" spans="2:17" x14ac:dyDescent="0.2">
      <c r="B779">
        <v>10537</v>
      </c>
      <c r="C779">
        <v>73</v>
      </c>
      <c r="D779" s="84">
        <v>15</v>
      </c>
      <c r="E779">
        <v>9</v>
      </c>
      <c r="F779" s="85">
        <v>0</v>
      </c>
      <c r="G779" s="86">
        <f t="shared" si="60"/>
        <v>135</v>
      </c>
      <c r="H779" s="86">
        <f t="shared" si="61"/>
        <v>0</v>
      </c>
      <c r="I779" s="86">
        <f t="shared" si="62"/>
        <v>135</v>
      </c>
      <c r="J779" s="84">
        <f>VLOOKUP(C779, Products[], 6)</f>
        <v>15</v>
      </c>
      <c r="K779" s="86">
        <f t="shared" si="63"/>
        <v>135</v>
      </c>
      <c r="L779" s="86">
        <f t="shared" si="64"/>
        <v>0</v>
      </c>
      <c r="N779">
        <v>11021</v>
      </c>
      <c r="O779" s="84" cm="1">
        <f t="array" ref="O779">SUM(INDEX(_xlfn._xlws.FILTER($B$6:$L$2160, $B$6:$B$2160=N779), 0, 8))</f>
        <v>6306.24</v>
      </c>
      <c r="P779" s="84" cm="1">
        <f t="array" ref="P779">SUM(INDEX(_xlfn._xlws.FILTER($B$6:$L$2160, $B$6:$B$2160=N779), 0, 10))</f>
        <v>6941.49</v>
      </c>
      <c r="Q779" s="84" cm="1">
        <f t="array" ref="Q779">SUM(INDEX(_xlfn._xlws.FILTER($B$6:$L$2160, $B$6:$B$2160=N779), 0, 11))</f>
        <v>-635.25</v>
      </c>
    </row>
    <row r="780" spans="2:17" x14ac:dyDescent="0.2">
      <c r="B780">
        <v>10538</v>
      </c>
      <c r="C780">
        <v>70</v>
      </c>
      <c r="D780" s="84">
        <v>15</v>
      </c>
      <c r="E780">
        <v>7</v>
      </c>
      <c r="F780" s="85">
        <v>0</v>
      </c>
      <c r="G780" s="86">
        <f t="shared" si="60"/>
        <v>105</v>
      </c>
      <c r="H780" s="86">
        <f t="shared" si="61"/>
        <v>0</v>
      </c>
      <c r="I780" s="86">
        <f t="shared" si="62"/>
        <v>105</v>
      </c>
      <c r="J780" s="84">
        <f>VLOOKUP(C780, Products[], 6)</f>
        <v>15</v>
      </c>
      <c r="K780" s="86">
        <f t="shared" si="63"/>
        <v>105</v>
      </c>
      <c r="L780" s="86">
        <f t="shared" si="64"/>
        <v>0</v>
      </c>
      <c r="N780">
        <v>11022</v>
      </c>
      <c r="O780" s="84" cm="1">
        <f t="array" ref="O780">SUM(INDEX(_xlfn._xlws.FILTER($B$6:$L$2160, $B$6:$B$2160=N780), 0, 8))</f>
        <v>1402</v>
      </c>
      <c r="P780" s="84" cm="1">
        <f t="array" ref="P780">SUM(INDEX(_xlfn._xlws.FILTER($B$6:$L$2160, $B$6:$B$2160=N780), 0, 10))</f>
        <v>1402</v>
      </c>
      <c r="Q780" s="84" cm="1">
        <f t="array" ref="Q780">SUM(INDEX(_xlfn._xlws.FILTER($B$6:$L$2160, $B$6:$B$2160=N780), 0, 11))</f>
        <v>0</v>
      </c>
    </row>
    <row r="781" spans="2:17" x14ac:dyDescent="0.2">
      <c r="B781">
        <v>10538</v>
      </c>
      <c r="C781">
        <v>72</v>
      </c>
      <c r="D781" s="84">
        <v>34.799999999999997</v>
      </c>
      <c r="E781">
        <v>1</v>
      </c>
      <c r="F781" s="85">
        <v>0</v>
      </c>
      <c r="G781" s="86">
        <f t="shared" si="60"/>
        <v>34.799999999999997</v>
      </c>
      <c r="H781" s="86">
        <f t="shared" si="61"/>
        <v>0</v>
      </c>
      <c r="I781" s="86">
        <f t="shared" si="62"/>
        <v>34.799999999999997</v>
      </c>
      <c r="J781" s="84">
        <f>VLOOKUP(C781, Products[], 6)</f>
        <v>34.799999999999997</v>
      </c>
      <c r="K781" s="86">
        <f t="shared" si="63"/>
        <v>34.799999999999997</v>
      </c>
      <c r="L781" s="86">
        <f t="shared" si="64"/>
        <v>0</v>
      </c>
      <c r="N781">
        <v>11023</v>
      </c>
      <c r="O781" s="84" cm="1">
        <f t="array" ref="O781">SUM(INDEX(_xlfn._xlws.FILTER($B$6:$L$2160, $B$6:$B$2160=N781), 0, 8))</f>
        <v>1500</v>
      </c>
      <c r="P781" s="84" cm="1">
        <f t="array" ref="P781">SUM(INDEX(_xlfn._xlws.FILTER($B$6:$L$2160, $B$6:$B$2160=N781), 0, 10))</f>
        <v>1500</v>
      </c>
      <c r="Q781" s="84" cm="1">
        <f t="array" ref="Q781">SUM(INDEX(_xlfn._xlws.FILTER($B$6:$L$2160, $B$6:$B$2160=N781), 0, 11))</f>
        <v>0</v>
      </c>
    </row>
    <row r="782" spans="2:17" x14ac:dyDescent="0.2">
      <c r="B782">
        <v>10539</v>
      </c>
      <c r="C782">
        <v>13</v>
      </c>
      <c r="D782" s="84">
        <v>6</v>
      </c>
      <c r="E782">
        <v>8</v>
      </c>
      <c r="F782" s="85">
        <v>0</v>
      </c>
      <c r="G782" s="86">
        <f t="shared" si="60"/>
        <v>48</v>
      </c>
      <c r="H782" s="86">
        <f t="shared" si="61"/>
        <v>0</v>
      </c>
      <c r="I782" s="86">
        <f t="shared" si="62"/>
        <v>48</v>
      </c>
      <c r="J782" s="84">
        <f>VLOOKUP(C782, Products[], 6)</f>
        <v>6</v>
      </c>
      <c r="K782" s="86">
        <f t="shared" si="63"/>
        <v>48</v>
      </c>
      <c r="L782" s="86">
        <f t="shared" si="64"/>
        <v>0</v>
      </c>
      <c r="N782">
        <v>11024</v>
      </c>
      <c r="O782" s="84" cm="1">
        <f t="array" ref="O782">SUM(INDEX(_xlfn._xlws.FILTER($B$6:$L$2160, $B$6:$B$2160=N782), 0, 8))</f>
        <v>1966.81</v>
      </c>
      <c r="P782" s="84" cm="1">
        <f t="array" ref="P782">SUM(INDEX(_xlfn._xlws.FILTER($B$6:$L$2160, $B$6:$B$2160=N782), 0, 10))</f>
        <v>1966.81</v>
      </c>
      <c r="Q782" s="84" cm="1">
        <f t="array" ref="Q782">SUM(INDEX(_xlfn._xlws.FILTER($B$6:$L$2160, $B$6:$B$2160=N782), 0, 11))</f>
        <v>0</v>
      </c>
    </row>
    <row r="783" spans="2:17" x14ac:dyDescent="0.2">
      <c r="B783">
        <v>10539</v>
      </c>
      <c r="C783">
        <v>21</v>
      </c>
      <c r="D783" s="84">
        <v>10</v>
      </c>
      <c r="E783">
        <v>15</v>
      </c>
      <c r="F783" s="85">
        <v>0</v>
      </c>
      <c r="G783" s="86">
        <f t="shared" si="60"/>
        <v>150</v>
      </c>
      <c r="H783" s="86">
        <f t="shared" si="61"/>
        <v>0</v>
      </c>
      <c r="I783" s="86">
        <f t="shared" si="62"/>
        <v>150</v>
      </c>
      <c r="J783" s="84">
        <f>VLOOKUP(C783, Products[], 6)</f>
        <v>10</v>
      </c>
      <c r="K783" s="86">
        <f t="shared" si="63"/>
        <v>150</v>
      </c>
      <c r="L783" s="86">
        <f t="shared" si="64"/>
        <v>0</v>
      </c>
      <c r="N783">
        <v>11025</v>
      </c>
      <c r="O783" s="84" cm="1">
        <f t="array" ref="O783">SUM(INDEX(_xlfn._xlws.FILTER($B$6:$L$2160, $B$6:$B$2160=N783), 0, 8))</f>
        <v>270</v>
      </c>
      <c r="P783" s="84" cm="1">
        <f t="array" ref="P783">SUM(INDEX(_xlfn._xlws.FILTER($B$6:$L$2160, $B$6:$B$2160=N783), 0, 10))</f>
        <v>300</v>
      </c>
      <c r="Q783" s="84" cm="1">
        <f t="array" ref="Q783">SUM(INDEX(_xlfn._xlws.FILTER($B$6:$L$2160, $B$6:$B$2160=N783), 0, 11))</f>
        <v>-30</v>
      </c>
    </row>
    <row r="784" spans="2:17" x14ac:dyDescent="0.2">
      <c r="B784">
        <v>10539</v>
      </c>
      <c r="C784">
        <v>33</v>
      </c>
      <c r="D784" s="84">
        <v>2.5</v>
      </c>
      <c r="E784">
        <v>15</v>
      </c>
      <c r="F784" s="85">
        <v>0</v>
      </c>
      <c r="G784" s="86">
        <f t="shared" si="60"/>
        <v>37.5</v>
      </c>
      <c r="H784" s="86">
        <f t="shared" si="61"/>
        <v>0</v>
      </c>
      <c r="I784" s="86">
        <f t="shared" si="62"/>
        <v>37.5</v>
      </c>
      <c r="J784" s="84">
        <f>VLOOKUP(C784, Products[], 6)</f>
        <v>2.5</v>
      </c>
      <c r="K784" s="86">
        <f t="shared" si="63"/>
        <v>37.5</v>
      </c>
      <c r="L784" s="86">
        <f t="shared" si="64"/>
        <v>0</v>
      </c>
      <c r="N784">
        <v>11026</v>
      </c>
      <c r="O784" s="84" cm="1">
        <f t="array" ref="O784">SUM(INDEX(_xlfn._xlws.FILTER($B$6:$L$2160, $B$6:$B$2160=N784), 0, 8))</f>
        <v>1030</v>
      </c>
      <c r="P784" s="84" cm="1">
        <f t="array" ref="P784">SUM(INDEX(_xlfn._xlws.FILTER($B$6:$L$2160, $B$6:$B$2160=N784), 0, 10))</f>
        <v>1030</v>
      </c>
      <c r="Q784" s="84" cm="1">
        <f t="array" ref="Q784">SUM(INDEX(_xlfn._xlws.FILTER($B$6:$L$2160, $B$6:$B$2160=N784), 0, 11))</f>
        <v>0</v>
      </c>
    </row>
    <row r="785" spans="2:17" x14ac:dyDescent="0.2">
      <c r="B785">
        <v>10539</v>
      </c>
      <c r="C785">
        <v>49</v>
      </c>
      <c r="D785" s="84">
        <v>20</v>
      </c>
      <c r="E785">
        <v>6</v>
      </c>
      <c r="F785" s="85">
        <v>0</v>
      </c>
      <c r="G785" s="86">
        <f t="shared" si="60"/>
        <v>120</v>
      </c>
      <c r="H785" s="86">
        <f t="shared" si="61"/>
        <v>0</v>
      </c>
      <c r="I785" s="86">
        <f t="shared" si="62"/>
        <v>120</v>
      </c>
      <c r="J785" s="84">
        <f>VLOOKUP(C785, Products[], 6)</f>
        <v>20</v>
      </c>
      <c r="K785" s="86">
        <f t="shared" si="63"/>
        <v>120</v>
      </c>
      <c r="L785" s="86">
        <f t="shared" si="64"/>
        <v>0</v>
      </c>
      <c r="N785">
        <v>11027</v>
      </c>
      <c r="O785" s="84" cm="1">
        <f t="array" ref="O785">SUM(INDEX(_xlfn._xlws.FILTER($B$6:$L$2160, $B$6:$B$2160=N785), 0, 8))</f>
        <v>877.72499999999991</v>
      </c>
      <c r="P785" s="84" cm="1">
        <f t="array" ref="P785">SUM(INDEX(_xlfn._xlws.FILTER($B$6:$L$2160, $B$6:$B$2160=N785), 0, 10))</f>
        <v>1170.3</v>
      </c>
      <c r="Q785" s="84" cm="1">
        <f t="array" ref="Q785">SUM(INDEX(_xlfn._xlws.FILTER($B$6:$L$2160, $B$6:$B$2160=N785), 0, 11))</f>
        <v>-292.57500000000005</v>
      </c>
    </row>
    <row r="786" spans="2:17" x14ac:dyDescent="0.2">
      <c r="B786">
        <v>10540</v>
      </c>
      <c r="C786">
        <v>3</v>
      </c>
      <c r="D786" s="84">
        <v>10</v>
      </c>
      <c r="E786">
        <v>60</v>
      </c>
      <c r="F786" s="85">
        <v>0</v>
      </c>
      <c r="G786" s="86">
        <f t="shared" si="60"/>
        <v>600</v>
      </c>
      <c r="H786" s="86">
        <f t="shared" si="61"/>
        <v>0</v>
      </c>
      <c r="I786" s="86">
        <f t="shared" si="62"/>
        <v>600</v>
      </c>
      <c r="J786" s="84">
        <f>VLOOKUP(C786, Products[], 6)</f>
        <v>10</v>
      </c>
      <c r="K786" s="86">
        <f t="shared" si="63"/>
        <v>600</v>
      </c>
      <c r="L786" s="86">
        <f t="shared" si="64"/>
        <v>0</v>
      </c>
      <c r="N786">
        <v>11028</v>
      </c>
      <c r="O786" s="84" cm="1">
        <f t="array" ref="O786">SUM(INDEX(_xlfn._xlws.FILTER($B$6:$L$2160, $B$6:$B$2160=N786), 0, 8))</f>
        <v>2160</v>
      </c>
      <c r="P786" s="84" cm="1">
        <f t="array" ref="P786">SUM(INDEX(_xlfn._xlws.FILTER($B$6:$L$2160, $B$6:$B$2160=N786), 0, 10))</f>
        <v>2160</v>
      </c>
      <c r="Q786" s="84" cm="1">
        <f t="array" ref="Q786">SUM(INDEX(_xlfn._xlws.FILTER($B$6:$L$2160, $B$6:$B$2160=N786), 0, 11))</f>
        <v>0</v>
      </c>
    </row>
    <row r="787" spans="2:17" x14ac:dyDescent="0.2">
      <c r="B787">
        <v>10540</v>
      </c>
      <c r="C787">
        <v>26</v>
      </c>
      <c r="D787" s="84">
        <v>31.23</v>
      </c>
      <c r="E787">
        <v>40</v>
      </c>
      <c r="F787" s="85">
        <v>0</v>
      </c>
      <c r="G787" s="86">
        <f t="shared" si="60"/>
        <v>1249.2</v>
      </c>
      <c r="H787" s="86">
        <f t="shared" si="61"/>
        <v>0</v>
      </c>
      <c r="I787" s="86">
        <f t="shared" si="62"/>
        <v>1249.2</v>
      </c>
      <c r="J787" s="84">
        <f>VLOOKUP(C787, Products[], 6)</f>
        <v>31.23</v>
      </c>
      <c r="K787" s="86">
        <f t="shared" si="63"/>
        <v>1249.2</v>
      </c>
      <c r="L787" s="86">
        <f t="shared" si="64"/>
        <v>0</v>
      </c>
      <c r="N787">
        <v>11029</v>
      </c>
      <c r="O787" s="84" cm="1">
        <f t="array" ref="O787">SUM(INDEX(_xlfn._xlws.FILTER($B$6:$L$2160, $B$6:$B$2160=N787), 0, 8))</f>
        <v>1286.8</v>
      </c>
      <c r="P787" s="84" cm="1">
        <f t="array" ref="P787">SUM(INDEX(_xlfn._xlws.FILTER($B$6:$L$2160, $B$6:$B$2160=N787), 0, 10))</f>
        <v>1286.8</v>
      </c>
      <c r="Q787" s="84" cm="1">
        <f t="array" ref="Q787">SUM(INDEX(_xlfn._xlws.FILTER($B$6:$L$2160, $B$6:$B$2160=N787), 0, 11))</f>
        <v>0</v>
      </c>
    </row>
    <row r="788" spans="2:17" x14ac:dyDescent="0.2">
      <c r="B788">
        <v>10540</v>
      </c>
      <c r="C788">
        <v>38</v>
      </c>
      <c r="D788" s="84">
        <v>263.5</v>
      </c>
      <c r="E788">
        <v>30</v>
      </c>
      <c r="F788" s="85">
        <v>0</v>
      </c>
      <c r="G788" s="86">
        <f t="shared" si="60"/>
        <v>7905</v>
      </c>
      <c r="H788" s="86">
        <f t="shared" si="61"/>
        <v>0</v>
      </c>
      <c r="I788" s="86">
        <f t="shared" si="62"/>
        <v>7905</v>
      </c>
      <c r="J788" s="84">
        <f>VLOOKUP(C788, Products[], 6)</f>
        <v>263.5</v>
      </c>
      <c r="K788" s="86">
        <f t="shared" si="63"/>
        <v>7905</v>
      </c>
      <c r="L788" s="86">
        <f t="shared" si="64"/>
        <v>0</v>
      </c>
      <c r="N788">
        <v>11030</v>
      </c>
      <c r="O788" s="84" cm="1">
        <f t="array" ref="O788">SUM(INDEX(_xlfn._xlws.FILTER($B$6:$L$2160, $B$6:$B$2160=N788), 0, 8))</f>
        <v>12615.05</v>
      </c>
      <c r="P788" s="84" cm="1">
        <f t="array" ref="P788">SUM(INDEX(_xlfn._xlws.FILTER($B$6:$L$2160, $B$6:$B$2160=N788), 0, 10))</f>
        <v>16321.900000000001</v>
      </c>
      <c r="Q788" s="84" cm="1">
        <f t="array" ref="Q788">SUM(INDEX(_xlfn._xlws.FILTER($B$6:$L$2160, $B$6:$B$2160=N788), 0, 11))</f>
        <v>-3706.8500000000004</v>
      </c>
    </row>
    <row r="789" spans="2:17" x14ac:dyDescent="0.2">
      <c r="B789">
        <v>10540</v>
      </c>
      <c r="C789">
        <v>68</v>
      </c>
      <c r="D789" s="84">
        <v>12.5</v>
      </c>
      <c r="E789">
        <v>35</v>
      </c>
      <c r="F789" s="85">
        <v>0</v>
      </c>
      <c r="G789" s="86">
        <f t="shared" si="60"/>
        <v>437.5</v>
      </c>
      <c r="H789" s="86">
        <f t="shared" si="61"/>
        <v>0</v>
      </c>
      <c r="I789" s="86">
        <f t="shared" si="62"/>
        <v>437.5</v>
      </c>
      <c r="J789" s="84">
        <f>VLOOKUP(C789, Products[], 6)</f>
        <v>12.5</v>
      </c>
      <c r="K789" s="86">
        <f t="shared" si="63"/>
        <v>437.5</v>
      </c>
      <c r="L789" s="86">
        <f t="shared" si="64"/>
        <v>0</v>
      </c>
      <c r="N789">
        <v>11031</v>
      </c>
      <c r="O789" s="84" cm="1">
        <f t="array" ref="O789">SUM(INDEX(_xlfn._xlws.FILTER($B$6:$L$2160, $B$6:$B$2160=N789), 0, 8))</f>
        <v>2393.5</v>
      </c>
      <c r="P789" s="84" cm="1">
        <f t="array" ref="P789">SUM(INDEX(_xlfn._xlws.FILTER($B$6:$L$2160, $B$6:$B$2160=N789), 0, 10))</f>
        <v>2393.5</v>
      </c>
      <c r="Q789" s="84" cm="1">
        <f t="array" ref="Q789">SUM(INDEX(_xlfn._xlws.FILTER($B$6:$L$2160, $B$6:$B$2160=N789), 0, 11))</f>
        <v>0</v>
      </c>
    </row>
    <row r="790" spans="2:17" x14ac:dyDescent="0.2">
      <c r="B790">
        <v>10541</v>
      </c>
      <c r="C790">
        <v>24</v>
      </c>
      <c r="D790" s="84">
        <v>4.5</v>
      </c>
      <c r="E790">
        <v>35</v>
      </c>
      <c r="F790" s="85">
        <v>0.1</v>
      </c>
      <c r="G790" s="86">
        <f t="shared" si="60"/>
        <v>157.5</v>
      </c>
      <c r="H790" s="86">
        <f t="shared" si="61"/>
        <v>15.75</v>
      </c>
      <c r="I790" s="86">
        <f t="shared" si="62"/>
        <v>141.75</v>
      </c>
      <c r="J790" s="84">
        <f>VLOOKUP(C790, Products[], 6)</f>
        <v>4.5</v>
      </c>
      <c r="K790" s="86">
        <f t="shared" si="63"/>
        <v>157.5</v>
      </c>
      <c r="L790" s="86">
        <f t="shared" si="64"/>
        <v>-15.75</v>
      </c>
      <c r="N790">
        <v>11032</v>
      </c>
      <c r="O790" s="84" cm="1">
        <f t="array" ref="O790">SUM(INDEX(_xlfn._xlws.FILTER($B$6:$L$2160, $B$6:$B$2160=N790), 0, 8))</f>
        <v>8902.5</v>
      </c>
      <c r="P790" s="84" cm="1">
        <f t="array" ref="P790">SUM(INDEX(_xlfn._xlws.FILTER($B$6:$L$2160, $B$6:$B$2160=N790), 0, 10))</f>
        <v>8902.5</v>
      </c>
      <c r="Q790" s="84" cm="1">
        <f t="array" ref="Q790">SUM(INDEX(_xlfn._xlws.FILTER($B$6:$L$2160, $B$6:$B$2160=N790), 0, 11))</f>
        <v>0</v>
      </c>
    </row>
    <row r="791" spans="2:17" x14ac:dyDescent="0.2">
      <c r="B791">
        <v>10541</v>
      </c>
      <c r="C791">
        <v>38</v>
      </c>
      <c r="D791" s="84">
        <v>263.5</v>
      </c>
      <c r="E791">
        <v>4</v>
      </c>
      <c r="F791" s="85">
        <v>0.1</v>
      </c>
      <c r="G791" s="86">
        <f t="shared" si="60"/>
        <v>1054</v>
      </c>
      <c r="H791" s="86">
        <f t="shared" si="61"/>
        <v>105.4</v>
      </c>
      <c r="I791" s="86">
        <f t="shared" si="62"/>
        <v>948.6</v>
      </c>
      <c r="J791" s="84">
        <f>VLOOKUP(C791, Products[], 6)</f>
        <v>263.5</v>
      </c>
      <c r="K791" s="86">
        <f t="shared" si="63"/>
        <v>1054</v>
      </c>
      <c r="L791" s="86">
        <f t="shared" si="64"/>
        <v>-105.39999999999998</v>
      </c>
      <c r="N791">
        <v>11033</v>
      </c>
      <c r="O791" s="84" cm="1">
        <f t="array" ref="O791">SUM(INDEX(_xlfn._xlws.FILTER($B$6:$L$2160, $B$6:$B$2160=N791), 0, 8))</f>
        <v>3232.8</v>
      </c>
      <c r="P791" s="84" cm="1">
        <f t="array" ref="P791">SUM(INDEX(_xlfn._xlws.FILTER($B$6:$L$2160, $B$6:$B$2160=N791), 0, 10))</f>
        <v>3592</v>
      </c>
      <c r="Q791" s="84" cm="1">
        <f t="array" ref="Q791">SUM(INDEX(_xlfn._xlws.FILTER($B$6:$L$2160, $B$6:$B$2160=N791), 0, 11))</f>
        <v>-359.19999999999982</v>
      </c>
    </row>
    <row r="792" spans="2:17" x14ac:dyDescent="0.2">
      <c r="B792">
        <v>10541</v>
      </c>
      <c r="C792">
        <v>65</v>
      </c>
      <c r="D792" s="84">
        <v>21.05</v>
      </c>
      <c r="E792">
        <v>36</v>
      </c>
      <c r="F792" s="85">
        <v>0.1</v>
      </c>
      <c r="G792" s="86">
        <f t="shared" si="60"/>
        <v>757.80000000000007</v>
      </c>
      <c r="H792" s="86">
        <f t="shared" si="61"/>
        <v>75.780000000000015</v>
      </c>
      <c r="I792" s="86">
        <f t="shared" si="62"/>
        <v>682.0200000000001</v>
      </c>
      <c r="J792" s="84">
        <f>VLOOKUP(C792, Products[], 6)</f>
        <v>21.05</v>
      </c>
      <c r="K792" s="86">
        <f t="shared" si="63"/>
        <v>757.80000000000007</v>
      </c>
      <c r="L792" s="86">
        <f t="shared" si="64"/>
        <v>-75.779999999999973</v>
      </c>
      <c r="N792">
        <v>11034</v>
      </c>
      <c r="O792" s="84" cm="1">
        <f t="array" ref="O792">SUM(INDEX(_xlfn._xlws.FILTER($B$6:$L$2160, $B$6:$B$2160=N792), 0, 8))</f>
        <v>539.4</v>
      </c>
      <c r="P792" s="84" cm="1">
        <f t="array" ref="P792">SUM(INDEX(_xlfn._xlws.FILTER($B$6:$L$2160, $B$6:$B$2160=N792), 0, 10))</f>
        <v>554.4</v>
      </c>
      <c r="Q792" s="84" cm="1">
        <f t="array" ref="Q792">SUM(INDEX(_xlfn._xlws.FILTER($B$6:$L$2160, $B$6:$B$2160=N792), 0, 11))</f>
        <v>-15</v>
      </c>
    </row>
    <row r="793" spans="2:17" x14ac:dyDescent="0.2">
      <c r="B793">
        <v>10541</v>
      </c>
      <c r="C793">
        <v>71</v>
      </c>
      <c r="D793" s="84">
        <v>21.5</v>
      </c>
      <c r="E793">
        <v>9</v>
      </c>
      <c r="F793" s="85">
        <v>0.1</v>
      </c>
      <c r="G793" s="86">
        <f t="shared" si="60"/>
        <v>193.5</v>
      </c>
      <c r="H793" s="86">
        <f t="shared" si="61"/>
        <v>19.350000000000001</v>
      </c>
      <c r="I793" s="86">
        <f t="shared" si="62"/>
        <v>174.15</v>
      </c>
      <c r="J793" s="84">
        <f>VLOOKUP(C793, Products[], 6)</f>
        <v>21.5</v>
      </c>
      <c r="K793" s="86">
        <f t="shared" si="63"/>
        <v>193.5</v>
      </c>
      <c r="L793" s="86">
        <f t="shared" si="64"/>
        <v>-19.349999999999994</v>
      </c>
      <c r="N793">
        <v>11035</v>
      </c>
      <c r="O793" s="84" cm="1">
        <f t="array" ref="O793">SUM(INDEX(_xlfn._xlws.FILTER($B$6:$L$2160, $B$6:$B$2160=N793), 0, 8))</f>
        <v>1754.5</v>
      </c>
      <c r="P793" s="84" cm="1">
        <f t="array" ref="P793">SUM(INDEX(_xlfn._xlws.FILTER($B$6:$L$2160, $B$6:$B$2160=N793), 0, 10))</f>
        <v>1754.5</v>
      </c>
      <c r="Q793" s="84" cm="1">
        <f t="array" ref="Q793">SUM(INDEX(_xlfn._xlws.FILTER($B$6:$L$2160, $B$6:$B$2160=N793), 0, 11))</f>
        <v>0</v>
      </c>
    </row>
    <row r="794" spans="2:17" x14ac:dyDescent="0.2">
      <c r="B794">
        <v>10542</v>
      </c>
      <c r="C794">
        <v>11</v>
      </c>
      <c r="D794" s="84">
        <v>21</v>
      </c>
      <c r="E794">
        <v>15</v>
      </c>
      <c r="F794" s="85">
        <v>0.05</v>
      </c>
      <c r="G794" s="86">
        <f t="shared" si="60"/>
        <v>315</v>
      </c>
      <c r="H794" s="86">
        <f t="shared" si="61"/>
        <v>15.75</v>
      </c>
      <c r="I794" s="86">
        <f t="shared" si="62"/>
        <v>299.25</v>
      </c>
      <c r="J794" s="84">
        <f>VLOOKUP(C794, Products[], 6)</f>
        <v>21</v>
      </c>
      <c r="K794" s="86">
        <f t="shared" si="63"/>
        <v>315</v>
      </c>
      <c r="L794" s="86">
        <f t="shared" si="64"/>
        <v>-15.75</v>
      </c>
      <c r="N794">
        <v>11036</v>
      </c>
      <c r="O794" s="84" cm="1">
        <f t="array" ref="O794">SUM(INDEX(_xlfn._xlws.FILTER($B$6:$L$2160, $B$6:$B$2160=N794), 0, 8))</f>
        <v>1692</v>
      </c>
      <c r="P794" s="84" cm="1">
        <f t="array" ref="P794">SUM(INDEX(_xlfn._xlws.FILTER($B$6:$L$2160, $B$6:$B$2160=N794), 0, 10))</f>
        <v>1692</v>
      </c>
      <c r="Q794" s="84" cm="1">
        <f t="array" ref="Q794">SUM(INDEX(_xlfn._xlws.FILTER($B$6:$L$2160, $B$6:$B$2160=N794), 0, 11))</f>
        <v>0</v>
      </c>
    </row>
    <row r="795" spans="2:17" x14ac:dyDescent="0.2">
      <c r="B795">
        <v>10542</v>
      </c>
      <c r="C795">
        <v>54</v>
      </c>
      <c r="D795" s="84">
        <v>7.45</v>
      </c>
      <c r="E795">
        <v>24</v>
      </c>
      <c r="F795" s="85">
        <v>0.05</v>
      </c>
      <c r="G795" s="86">
        <f t="shared" si="60"/>
        <v>178.8</v>
      </c>
      <c r="H795" s="86">
        <f t="shared" si="61"/>
        <v>8.9400000000000013</v>
      </c>
      <c r="I795" s="86">
        <f t="shared" si="62"/>
        <v>169.86</v>
      </c>
      <c r="J795" s="84">
        <f>VLOOKUP(C795, Products[], 6)</f>
        <v>7.45</v>
      </c>
      <c r="K795" s="86">
        <f t="shared" si="63"/>
        <v>178.8</v>
      </c>
      <c r="L795" s="86">
        <f t="shared" si="64"/>
        <v>-8.9399999999999977</v>
      </c>
      <c r="N795">
        <v>11037</v>
      </c>
      <c r="O795" s="84" cm="1">
        <f t="array" ref="O795">SUM(INDEX(_xlfn._xlws.FILTER($B$6:$L$2160, $B$6:$B$2160=N795), 0, 8))</f>
        <v>60</v>
      </c>
      <c r="P795" s="84" cm="1">
        <f t="array" ref="P795">SUM(INDEX(_xlfn._xlws.FILTER($B$6:$L$2160, $B$6:$B$2160=N795), 0, 10))</f>
        <v>60</v>
      </c>
      <c r="Q795" s="84" cm="1">
        <f t="array" ref="Q795">SUM(INDEX(_xlfn._xlws.FILTER($B$6:$L$2160, $B$6:$B$2160=N795), 0, 11))</f>
        <v>0</v>
      </c>
    </row>
    <row r="796" spans="2:17" x14ac:dyDescent="0.2">
      <c r="B796">
        <v>10543</v>
      </c>
      <c r="C796">
        <v>12</v>
      </c>
      <c r="D796" s="84">
        <v>38</v>
      </c>
      <c r="E796">
        <v>30</v>
      </c>
      <c r="F796" s="85">
        <v>0.15</v>
      </c>
      <c r="G796" s="86">
        <f t="shared" si="60"/>
        <v>1140</v>
      </c>
      <c r="H796" s="86">
        <f t="shared" si="61"/>
        <v>171</v>
      </c>
      <c r="I796" s="86">
        <f t="shared" si="62"/>
        <v>969</v>
      </c>
      <c r="J796" s="84">
        <f>VLOOKUP(C796, Products[], 6)</f>
        <v>38</v>
      </c>
      <c r="K796" s="86">
        <f t="shared" si="63"/>
        <v>1140</v>
      </c>
      <c r="L796" s="86">
        <f t="shared" si="64"/>
        <v>-171</v>
      </c>
      <c r="N796">
        <v>11038</v>
      </c>
      <c r="O796" s="84" cm="1">
        <f t="array" ref="O796">SUM(INDEX(_xlfn._xlws.FILTER($B$6:$L$2160, $B$6:$B$2160=N796), 0, 8))</f>
        <v>732.6</v>
      </c>
      <c r="P796" s="84" cm="1">
        <f t="array" ref="P796">SUM(INDEX(_xlfn._xlws.FILTER($B$6:$L$2160, $B$6:$B$2160=N796), 0, 10))</f>
        <v>751</v>
      </c>
      <c r="Q796" s="84" cm="1">
        <f t="array" ref="Q796">SUM(INDEX(_xlfn._xlws.FILTER($B$6:$L$2160, $B$6:$B$2160=N796), 0, 11))</f>
        <v>-18.400000000000006</v>
      </c>
    </row>
    <row r="797" spans="2:17" x14ac:dyDescent="0.2">
      <c r="B797">
        <v>10543</v>
      </c>
      <c r="C797">
        <v>23</v>
      </c>
      <c r="D797" s="84">
        <v>9</v>
      </c>
      <c r="E797">
        <v>70</v>
      </c>
      <c r="F797" s="85">
        <v>0.15</v>
      </c>
      <c r="G797" s="86">
        <f t="shared" si="60"/>
        <v>630</v>
      </c>
      <c r="H797" s="86">
        <f t="shared" si="61"/>
        <v>94.5</v>
      </c>
      <c r="I797" s="86">
        <f t="shared" si="62"/>
        <v>535.5</v>
      </c>
      <c r="J797" s="84">
        <f>VLOOKUP(C797, Products[], 6)</f>
        <v>9</v>
      </c>
      <c r="K797" s="86">
        <f t="shared" si="63"/>
        <v>630</v>
      </c>
      <c r="L797" s="86">
        <f t="shared" si="64"/>
        <v>-94.5</v>
      </c>
      <c r="N797">
        <v>11039</v>
      </c>
      <c r="O797" s="84" cm="1">
        <f t="array" ref="O797">SUM(INDEX(_xlfn._xlws.FILTER($B$6:$L$2160, $B$6:$B$2160=N797), 0, 8))</f>
        <v>3090</v>
      </c>
      <c r="P797" s="84" cm="1">
        <f t="array" ref="P797">SUM(INDEX(_xlfn._xlws.FILTER($B$6:$L$2160, $B$6:$B$2160=N797), 0, 10))</f>
        <v>3090</v>
      </c>
      <c r="Q797" s="84" cm="1">
        <f t="array" ref="Q797">SUM(INDEX(_xlfn._xlws.FILTER($B$6:$L$2160, $B$6:$B$2160=N797), 0, 11))</f>
        <v>0</v>
      </c>
    </row>
    <row r="798" spans="2:17" x14ac:dyDescent="0.2">
      <c r="B798">
        <v>10544</v>
      </c>
      <c r="C798">
        <v>28</v>
      </c>
      <c r="D798" s="84">
        <v>45.6</v>
      </c>
      <c r="E798">
        <v>7</v>
      </c>
      <c r="F798" s="85">
        <v>0</v>
      </c>
      <c r="G798" s="86">
        <f t="shared" si="60"/>
        <v>319.2</v>
      </c>
      <c r="H798" s="86">
        <f t="shared" si="61"/>
        <v>0</v>
      </c>
      <c r="I798" s="86">
        <f t="shared" si="62"/>
        <v>319.2</v>
      </c>
      <c r="J798" s="84">
        <f>VLOOKUP(C798, Products[], 6)</f>
        <v>45.6</v>
      </c>
      <c r="K798" s="86">
        <f t="shared" si="63"/>
        <v>319.2</v>
      </c>
      <c r="L798" s="86">
        <f t="shared" si="64"/>
        <v>0</v>
      </c>
      <c r="N798">
        <v>11040</v>
      </c>
      <c r="O798" s="84" cm="1">
        <f t="array" ref="O798">SUM(INDEX(_xlfn._xlws.FILTER($B$6:$L$2160, $B$6:$B$2160=N798), 0, 8))</f>
        <v>200</v>
      </c>
      <c r="P798" s="84" cm="1">
        <f t="array" ref="P798">SUM(INDEX(_xlfn._xlws.FILTER($B$6:$L$2160, $B$6:$B$2160=N798), 0, 10))</f>
        <v>200</v>
      </c>
      <c r="Q798" s="84" cm="1">
        <f t="array" ref="Q798">SUM(INDEX(_xlfn._xlws.FILTER($B$6:$L$2160, $B$6:$B$2160=N798), 0, 11))</f>
        <v>0</v>
      </c>
    </row>
    <row r="799" spans="2:17" x14ac:dyDescent="0.2">
      <c r="B799">
        <v>10544</v>
      </c>
      <c r="C799">
        <v>67</v>
      </c>
      <c r="D799" s="84">
        <v>14</v>
      </c>
      <c r="E799">
        <v>7</v>
      </c>
      <c r="F799" s="85">
        <v>0</v>
      </c>
      <c r="G799" s="86">
        <f t="shared" si="60"/>
        <v>98</v>
      </c>
      <c r="H799" s="86">
        <f t="shared" si="61"/>
        <v>0</v>
      </c>
      <c r="I799" s="86">
        <f t="shared" si="62"/>
        <v>98</v>
      </c>
      <c r="J799" s="84">
        <f>VLOOKUP(C799, Products[], 6)</f>
        <v>14</v>
      </c>
      <c r="K799" s="86">
        <f t="shared" si="63"/>
        <v>98</v>
      </c>
      <c r="L799" s="86">
        <f t="shared" si="64"/>
        <v>0</v>
      </c>
      <c r="N799">
        <v>11041</v>
      </c>
      <c r="O799" s="84" cm="1">
        <f t="array" ref="O799">SUM(INDEX(_xlfn._xlws.FILTER($B$6:$L$2160, $B$6:$B$2160=N799), 0, 8))</f>
        <v>1773</v>
      </c>
      <c r="P799" s="84" cm="1">
        <f t="array" ref="P799">SUM(INDEX(_xlfn._xlws.FILTER($B$6:$L$2160, $B$6:$B$2160=N799), 0, 10))</f>
        <v>1887</v>
      </c>
      <c r="Q799" s="84" cm="1">
        <f t="array" ref="Q799">SUM(INDEX(_xlfn._xlws.FILTER($B$6:$L$2160, $B$6:$B$2160=N799), 0, 11))</f>
        <v>-114</v>
      </c>
    </row>
    <row r="800" spans="2:17" x14ac:dyDescent="0.2">
      <c r="B800">
        <v>10545</v>
      </c>
      <c r="C800">
        <v>11</v>
      </c>
      <c r="D800" s="84">
        <v>21</v>
      </c>
      <c r="E800">
        <v>10</v>
      </c>
      <c r="F800" s="85">
        <v>0</v>
      </c>
      <c r="G800" s="86">
        <f t="shared" si="60"/>
        <v>210</v>
      </c>
      <c r="H800" s="86">
        <f t="shared" si="61"/>
        <v>0</v>
      </c>
      <c r="I800" s="86">
        <f t="shared" si="62"/>
        <v>210</v>
      </c>
      <c r="J800" s="84">
        <f>VLOOKUP(C800, Products[], 6)</f>
        <v>21</v>
      </c>
      <c r="K800" s="86">
        <f t="shared" si="63"/>
        <v>210</v>
      </c>
      <c r="L800" s="86">
        <f t="shared" si="64"/>
        <v>0</v>
      </c>
      <c r="N800">
        <v>11042</v>
      </c>
      <c r="O800" s="84" cm="1">
        <f t="array" ref="O800">SUM(INDEX(_xlfn._xlws.FILTER($B$6:$L$2160, $B$6:$B$2160=N800), 0, 8))</f>
        <v>405.75</v>
      </c>
      <c r="P800" s="84" cm="1">
        <f t="array" ref="P800">SUM(INDEX(_xlfn._xlws.FILTER($B$6:$L$2160, $B$6:$B$2160=N800), 0, 10))</f>
        <v>405.75</v>
      </c>
      <c r="Q800" s="84" cm="1">
        <f t="array" ref="Q800">SUM(INDEX(_xlfn._xlws.FILTER($B$6:$L$2160, $B$6:$B$2160=N800), 0, 11))</f>
        <v>0</v>
      </c>
    </row>
    <row r="801" spans="2:17" x14ac:dyDescent="0.2">
      <c r="B801">
        <v>10546</v>
      </c>
      <c r="C801">
        <v>7</v>
      </c>
      <c r="D801" s="84">
        <v>30</v>
      </c>
      <c r="E801">
        <v>10</v>
      </c>
      <c r="F801" s="85">
        <v>0</v>
      </c>
      <c r="G801" s="86">
        <f t="shared" si="60"/>
        <v>300</v>
      </c>
      <c r="H801" s="86">
        <f t="shared" si="61"/>
        <v>0</v>
      </c>
      <c r="I801" s="86">
        <f t="shared" si="62"/>
        <v>300</v>
      </c>
      <c r="J801" s="84">
        <f>VLOOKUP(C801, Products[], 6)</f>
        <v>30</v>
      </c>
      <c r="K801" s="86">
        <f t="shared" si="63"/>
        <v>300</v>
      </c>
      <c r="L801" s="86">
        <f t="shared" si="64"/>
        <v>0</v>
      </c>
      <c r="N801">
        <v>11043</v>
      </c>
      <c r="O801" s="84" cm="1">
        <f t="array" ref="O801">SUM(INDEX(_xlfn._xlws.FILTER($B$6:$L$2160, $B$6:$B$2160=N801), 0, 8))</f>
        <v>210</v>
      </c>
      <c r="P801" s="84" cm="1">
        <f t="array" ref="P801">SUM(INDEX(_xlfn._xlws.FILTER($B$6:$L$2160, $B$6:$B$2160=N801), 0, 10))</f>
        <v>210</v>
      </c>
      <c r="Q801" s="84" cm="1">
        <f t="array" ref="Q801">SUM(INDEX(_xlfn._xlws.FILTER($B$6:$L$2160, $B$6:$B$2160=N801), 0, 11))</f>
        <v>0</v>
      </c>
    </row>
    <row r="802" spans="2:17" x14ac:dyDescent="0.2">
      <c r="B802">
        <v>10546</v>
      </c>
      <c r="C802">
        <v>35</v>
      </c>
      <c r="D802" s="84">
        <v>18</v>
      </c>
      <c r="E802">
        <v>30</v>
      </c>
      <c r="F802" s="85">
        <v>0</v>
      </c>
      <c r="G802" s="86">
        <f t="shared" si="60"/>
        <v>540</v>
      </c>
      <c r="H802" s="86">
        <f t="shared" si="61"/>
        <v>0</v>
      </c>
      <c r="I802" s="86">
        <f t="shared" si="62"/>
        <v>540</v>
      </c>
      <c r="J802" s="84">
        <f>VLOOKUP(C802, Products[], 6)</f>
        <v>18</v>
      </c>
      <c r="K802" s="86">
        <f t="shared" si="63"/>
        <v>540</v>
      </c>
      <c r="L802" s="86">
        <f t="shared" si="64"/>
        <v>0</v>
      </c>
      <c r="N802">
        <v>11044</v>
      </c>
      <c r="O802" s="84" cm="1">
        <f t="array" ref="O802">SUM(INDEX(_xlfn._xlws.FILTER($B$6:$L$2160, $B$6:$B$2160=N802), 0, 8))</f>
        <v>591.59999999999991</v>
      </c>
      <c r="P802" s="84" cm="1">
        <f t="array" ref="P802">SUM(INDEX(_xlfn._xlws.FILTER($B$6:$L$2160, $B$6:$B$2160=N802), 0, 10))</f>
        <v>591.59999999999991</v>
      </c>
      <c r="Q802" s="84" cm="1">
        <f t="array" ref="Q802">SUM(INDEX(_xlfn._xlws.FILTER($B$6:$L$2160, $B$6:$B$2160=N802), 0, 11))</f>
        <v>0</v>
      </c>
    </row>
    <row r="803" spans="2:17" x14ac:dyDescent="0.2">
      <c r="B803">
        <v>10546</v>
      </c>
      <c r="C803">
        <v>62</v>
      </c>
      <c r="D803" s="84">
        <v>49.3</v>
      </c>
      <c r="E803">
        <v>40</v>
      </c>
      <c r="F803" s="85">
        <v>0</v>
      </c>
      <c r="G803" s="86">
        <f t="shared" si="60"/>
        <v>1972</v>
      </c>
      <c r="H803" s="86">
        <f t="shared" si="61"/>
        <v>0</v>
      </c>
      <c r="I803" s="86">
        <f t="shared" si="62"/>
        <v>1972</v>
      </c>
      <c r="J803" s="84">
        <f>VLOOKUP(C803, Products[], 6)</f>
        <v>49.3</v>
      </c>
      <c r="K803" s="86">
        <f t="shared" si="63"/>
        <v>1972</v>
      </c>
      <c r="L803" s="86">
        <f t="shared" si="64"/>
        <v>0</v>
      </c>
      <c r="N803">
        <v>11045</v>
      </c>
      <c r="O803" s="84" cm="1">
        <f t="array" ref="O803">SUM(INDEX(_xlfn._xlws.FILTER($B$6:$L$2160, $B$6:$B$2160=N803), 0, 8))</f>
        <v>1309.5</v>
      </c>
      <c r="P803" s="84" cm="1">
        <f t="array" ref="P803">SUM(INDEX(_xlfn._xlws.FILTER($B$6:$L$2160, $B$6:$B$2160=N803), 0, 10))</f>
        <v>1309.5</v>
      </c>
      <c r="Q803" s="84" cm="1">
        <f t="array" ref="Q803">SUM(INDEX(_xlfn._xlws.FILTER($B$6:$L$2160, $B$6:$B$2160=N803), 0, 11))</f>
        <v>0</v>
      </c>
    </row>
    <row r="804" spans="2:17" x14ac:dyDescent="0.2">
      <c r="B804">
        <v>10547</v>
      </c>
      <c r="C804">
        <v>32</v>
      </c>
      <c r="D804" s="84">
        <v>32</v>
      </c>
      <c r="E804">
        <v>24</v>
      </c>
      <c r="F804" s="85">
        <v>0.15</v>
      </c>
      <c r="G804" s="86">
        <f t="shared" si="60"/>
        <v>768</v>
      </c>
      <c r="H804" s="86">
        <f t="shared" si="61"/>
        <v>115.19999999999999</v>
      </c>
      <c r="I804" s="86">
        <f t="shared" si="62"/>
        <v>652.79999999999995</v>
      </c>
      <c r="J804" s="84">
        <f>VLOOKUP(C804, Products[], 6)</f>
        <v>32</v>
      </c>
      <c r="K804" s="86">
        <f t="shared" si="63"/>
        <v>768</v>
      </c>
      <c r="L804" s="86">
        <f t="shared" si="64"/>
        <v>-115.20000000000005</v>
      </c>
      <c r="N804">
        <v>11046</v>
      </c>
      <c r="O804" s="84" cm="1">
        <f t="array" ref="O804">SUM(INDEX(_xlfn._xlws.FILTER($B$6:$L$2160, $B$6:$B$2160=N804), 0, 8))</f>
        <v>1485.8</v>
      </c>
      <c r="P804" s="84" cm="1">
        <f t="array" ref="P804">SUM(INDEX(_xlfn._xlws.FILTER($B$6:$L$2160, $B$6:$B$2160=N804), 0, 10))</f>
        <v>1564</v>
      </c>
      <c r="Q804" s="84" cm="1">
        <f t="array" ref="Q804">SUM(INDEX(_xlfn._xlws.FILTER($B$6:$L$2160, $B$6:$B$2160=N804), 0, 11))</f>
        <v>-78.199999999999989</v>
      </c>
    </row>
    <row r="805" spans="2:17" x14ac:dyDescent="0.2">
      <c r="B805">
        <v>10547</v>
      </c>
      <c r="C805">
        <v>36</v>
      </c>
      <c r="D805" s="84">
        <v>19</v>
      </c>
      <c r="E805">
        <v>60</v>
      </c>
      <c r="F805" s="85">
        <v>0</v>
      </c>
      <c r="G805" s="86">
        <f t="shared" si="60"/>
        <v>1140</v>
      </c>
      <c r="H805" s="86">
        <f t="shared" si="61"/>
        <v>0</v>
      </c>
      <c r="I805" s="86">
        <f t="shared" si="62"/>
        <v>1140</v>
      </c>
      <c r="J805" s="84">
        <f>VLOOKUP(C805, Products[], 6)</f>
        <v>19</v>
      </c>
      <c r="K805" s="86">
        <f t="shared" si="63"/>
        <v>1140</v>
      </c>
      <c r="L805" s="86">
        <f t="shared" si="64"/>
        <v>0</v>
      </c>
      <c r="N805">
        <v>11047</v>
      </c>
      <c r="O805" s="84" cm="1">
        <f t="array" ref="O805">SUM(INDEX(_xlfn._xlws.FILTER($B$6:$L$2160, $B$6:$B$2160=N805), 0, 8))</f>
        <v>817.875</v>
      </c>
      <c r="P805" s="84" cm="1">
        <f t="array" ref="P805">SUM(INDEX(_xlfn._xlws.FILTER($B$6:$L$2160, $B$6:$B$2160=N805), 0, 10))</f>
        <v>1090.5</v>
      </c>
      <c r="Q805" s="84" cm="1">
        <f t="array" ref="Q805">SUM(INDEX(_xlfn._xlws.FILTER($B$6:$L$2160, $B$6:$B$2160=N805), 0, 11))</f>
        <v>-272.625</v>
      </c>
    </row>
    <row r="806" spans="2:17" x14ac:dyDescent="0.2">
      <c r="B806">
        <v>10548</v>
      </c>
      <c r="C806">
        <v>34</v>
      </c>
      <c r="D806" s="84">
        <v>14</v>
      </c>
      <c r="E806">
        <v>10</v>
      </c>
      <c r="F806" s="85">
        <v>0.25</v>
      </c>
      <c r="G806" s="86">
        <f t="shared" si="60"/>
        <v>140</v>
      </c>
      <c r="H806" s="86">
        <f t="shared" si="61"/>
        <v>35</v>
      </c>
      <c r="I806" s="86">
        <f t="shared" si="62"/>
        <v>105</v>
      </c>
      <c r="J806" s="84">
        <f>VLOOKUP(C806, Products[], 6)</f>
        <v>14</v>
      </c>
      <c r="K806" s="86">
        <f t="shared" si="63"/>
        <v>140</v>
      </c>
      <c r="L806" s="86">
        <f t="shared" si="64"/>
        <v>-35</v>
      </c>
      <c r="N806">
        <v>11048</v>
      </c>
      <c r="O806" s="84" cm="1">
        <f t="array" ref="O806">SUM(INDEX(_xlfn._xlws.FILTER($B$6:$L$2160, $B$6:$B$2160=N806), 0, 8))</f>
        <v>525</v>
      </c>
      <c r="P806" s="84" cm="1">
        <f t="array" ref="P806">SUM(INDEX(_xlfn._xlws.FILTER($B$6:$L$2160, $B$6:$B$2160=N806), 0, 10))</f>
        <v>525</v>
      </c>
      <c r="Q806" s="84" cm="1">
        <f t="array" ref="Q806">SUM(INDEX(_xlfn._xlws.FILTER($B$6:$L$2160, $B$6:$B$2160=N806), 0, 11))</f>
        <v>0</v>
      </c>
    </row>
    <row r="807" spans="2:17" x14ac:dyDescent="0.2">
      <c r="B807">
        <v>10548</v>
      </c>
      <c r="C807">
        <v>41</v>
      </c>
      <c r="D807" s="84">
        <v>9.65</v>
      </c>
      <c r="E807">
        <v>14</v>
      </c>
      <c r="F807" s="85">
        <v>0</v>
      </c>
      <c r="G807" s="86">
        <f t="shared" si="60"/>
        <v>135.1</v>
      </c>
      <c r="H807" s="86">
        <f t="shared" si="61"/>
        <v>0</v>
      </c>
      <c r="I807" s="86">
        <f t="shared" si="62"/>
        <v>135.1</v>
      </c>
      <c r="J807" s="84">
        <f>VLOOKUP(C807, Products[], 6)</f>
        <v>9.65</v>
      </c>
      <c r="K807" s="86">
        <f t="shared" si="63"/>
        <v>135.1</v>
      </c>
      <c r="L807" s="86">
        <f t="shared" si="64"/>
        <v>0</v>
      </c>
      <c r="N807">
        <v>11049</v>
      </c>
      <c r="O807" s="84" cm="1">
        <f t="array" ref="O807">SUM(INDEX(_xlfn._xlws.FILTER($B$6:$L$2160, $B$6:$B$2160=N807), 0, 8))</f>
        <v>273.60000000000002</v>
      </c>
      <c r="P807" s="84" cm="1">
        <f t="array" ref="P807">SUM(INDEX(_xlfn._xlws.FILTER($B$6:$L$2160, $B$6:$B$2160=N807), 0, 10))</f>
        <v>342</v>
      </c>
      <c r="Q807" s="84" cm="1">
        <f t="array" ref="Q807">SUM(INDEX(_xlfn._xlws.FILTER($B$6:$L$2160, $B$6:$B$2160=N807), 0, 11))</f>
        <v>-68.400000000000006</v>
      </c>
    </row>
    <row r="808" spans="2:17" x14ac:dyDescent="0.2">
      <c r="B808">
        <v>10549</v>
      </c>
      <c r="C808">
        <v>31</v>
      </c>
      <c r="D808" s="84">
        <v>12.5</v>
      </c>
      <c r="E808">
        <v>55</v>
      </c>
      <c r="F808" s="85">
        <v>0.15</v>
      </c>
      <c r="G808" s="86">
        <f t="shared" si="60"/>
        <v>687.5</v>
      </c>
      <c r="H808" s="86">
        <f t="shared" si="61"/>
        <v>103.125</v>
      </c>
      <c r="I808" s="86">
        <f t="shared" si="62"/>
        <v>584.375</v>
      </c>
      <c r="J808" s="84">
        <f>VLOOKUP(C808, Products[], 6)</f>
        <v>12.5</v>
      </c>
      <c r="K808" s="86">
        <f t="shared" si="63"/>
        <v>687.5</v>
      </c>
      <c r="L808" s="86">
        <f t="shared" si="64"/>
        <v>-103.125</v>
      </c>
      <c r="N808">
        <v>11050</v>
      </c>
      <c r="O808" s="84" cm="1">
        <f t="array" ref="O808">SUM(INDEX(_xlfn._xlws.FILTER($B$6:$L$2160, $B$6:$B$2160=N808), 0, 8))</f>
        <v>810</v>
      </c>
      <c r="P808" s="84" cm="1">
        <f t="array" ref="P808">SUM(INDEX(_xlfn._xlws.FILTER($B$6:$L$2160, $B$6:$B$2160=N808), 0, 10))</f>
        <v>900</v>
      </c>
      <c r="Q808" s="84" cm="1">
        <f t="array" ref="Q808">SUM(INDEX(_xlfn._xlws.FILTER($B$6:$L$2160, $B$6:$B$2160=N808), 0, 11))</f>
        <v>-90</v>
      </c>
    </row>
    <row r="809" spans="2:17" x14ac:dyDescent="0.2">
      <c r="B809">
        <v>10549</v>
      </c>
      <c r="C809">
        <v>45</v>
      </c>
      <c r="D809" s="84">
        <v>9.5</v>
      </c>
      <c r="E809">
        <v>100</v>
      </c>
      <c r="F809" s="85">
        <v>0.15</v>
      </c>
      <c r="G809" s="86">
        <f t="shared" si="60"/>
        <v>950</v>
      </c>
      <c r="H809" s="86">
        <f t="shared" si="61"/>
        <v>142.5</v>
      </c>
      <c r="I809" s="86">
        <f t="shared" si="62"/>
        <v>807.5</v>
      </c>
      <c r="J809" s="84">
        <f>VLOOKUP(C809, Products[], 6)</f>
        <v>9.5</v>
      </c>
      <c r="K809" s="86">
        <f t="shared" si="63"/>
        <v>950</v>
      </c>
      <c r="L809" s="86">
        <f t="shared" si="64"/>
        <v>-142.5</v>
      </c>
      <c r="N809">
        <v>11051</v>
      </c>
      <c r="O809" s="84" cm="1">
        <f t="array" ref="O809">SUM(INDEX(_xlfn._xlws.FILTER($B$6:$L$2160, $B$6:$B$2160=N809), 0, 8))</f>
        <v>36</v>
      </c>
      <c r="P809" s="84" cm="1">
        <f t="array" ref="P809">SUM(INDEX(_xlfn._xlws.FILTER($B$6:$L$2160, $B$6:$B$2160=N809), 0, 10))</f>
        <v>45</v>
      </c>
      <c r="Q809" s="84" cm="1">
        <f t="array" ref="Q809">SUM(INDEX(_xlfn._xlws.FILTER($B$6:$L$2160, $B$6:$B$2160=N809), 0, 11))</f>
        <v>-9</v>
      </c>
    </row>
    <row r="810" spans="2:17" x14ac:dyDescent="0.2">
      <c r="B810">
        <v>10549</v>
      </c>
      <c r="C810">
        <v>51</v>
      </c>
      <c r="D810" s="84">
        <v>53</v>
      </c>
      <c r="E810">
        <v>48</v>
      </c>
      <c r="F810" s="85">
        <v>0.15</v>
      </c>
      <c r="G810" s="86">
        <f t="shared" si="60"/>
        <v>2544</v>
      </c>
      <c r="H810" s="86">
        <f t="shared" si="61"/>
        <v>381.59999999999997</v>
      </c>
      <c r="I810" s="86">
        <f t="shared" si="62"/>
        <v>2162.4</v>
      </c>
      <c r="J810" s="84">
        <f>VLOOKUP(C810, Products[], 6)</f>
        <v>53</v>
      </c>
      <c r="K810" s="86">
        <f t="shared" si="63"/>
        <v>2544</v>
      </c>
      <c r="L810" s="86">
        <f t="shared" si="64"/>
        <v>-381.59999999999991</v>
      </c>
      <c r="N810">
        <v>11052</v>
      </c>
      <c r="O810" s="84" cm="1">
        <f t="array" ref="O810">SUM(INDEX(_xlfn._xlws.FILTER($B$6:$L$2160, $B$6:$B$2160=N810), 0, 8))</f>
        <v>1332</v>
      </c>
      <c r="P810" s="84" cm="1">
        <f t="array" ref="P810">SUM(INDEX(_xlfn._xlws.FILTER($B$6:$L$2160, $B$6:$B$2160=N810), 0, 10))</f>
        <v>1665</v>
      </c>
      <c r="Q810" s="84" cm="1">
        <f t="array" ref="Q810">SUM(INDEX(_xlfn._xlws.FILTER($B$6:$L$2160, $B$6:$B$2160=N810), 0, 11))</f>
        <v>-333</v>
      </c>
    </row>
    <row r="811" spans="2:17" x14ac:dyDescent="0.2">
      <c r="B811">
        <v>10550</v>
      </c>
      <c r="C811">
        <v>17</v>
      </c>
      <c r="D811" s="84">
        <v>39</v>
      </c>
      <c r="E811">
        <v>8</v>
      </c>
      <c r="F811" s="85">
        <v>0.1</v>
      </c>
      <c r="G811" s="86">
        <f t="shared" si="60"/>
        <v>312</v>
      </c>
      <c r="H811" s="86">
        <f t="shared" si="61"/>
        <v>31.200000000000003</v>
      </c>
      <c r="I811" s="86">
        <f t="shared" si="62"/>
        <v>280.8</v>
      </c>
      <c r="J811" s="84">
        <f>VLOOKUP(C811, Products[], 6)</f>
        <v>39</v>
      </c>
      <c r="K811" s="86">
        <f t="shared" si="63"/>
        <v>312</v>
      </c>
      <c r="L811" s="86">
        <f t="shared" si="64"/>
        <v>-31.199999999999989</v>
      </c>
      <c r="N811">
        <v>11053</v>
      </c>
      <c r="O811" s="84" cm="1">
        <f t="array" ref="O811">SUM(INDEX(_xlfn._xlws.FILTER($B$6:$L$2160, $B$6:$B$2160=N811), 0, 8))</f>
        <v>3055</v>
      </c>
      <c r="P811" s="84" cm="1">
        <f t="array" ref="P811">SUM(INDEX(_xlfn._xlws.FILTER($B$6:$L$2160, $B$6:$B$2160=N811), 0, 10))</f>
        <v>3658.75</v>
      </c>
      <c r="Q811" s="84" cm="1">
        <f t="array" ref="Q811">SUM(INDEX(_xlfn._xlws.FILTER($B$6:$L$2160, $B$6:$B$2160=N811), 0, 11))</f>
        <v>-603.75</v>
      </c>
    </row>
    <row r="812" spans="2:17" x14ac:dyDescent="0.2">
      <c r="B812">
        <v>10550</v>
      </c>
      <c r="C812">
        <v>19</v>
      </c>
      <c r="D812" s="84">
        <v>9.1999999999999993</v>
      </c>
      <c r="E812">
        <v>10</v>
      </c>
      <c r="F812" s="85">
        <v>0</v>
      </c>
      <c r="G812" s="86">
        <f t="shared" si="60"/>
        <v>92</v>
      </c>
      <c r="H812" s="86">
        <f t="shared" si="61"/>
        <v>0</v>
      </c>
      <c r="I812" s="86">
        <f t="shared" si="62"/>
        <v>92</v>
      </c>
      <c r="J812" s="84">
        <f>VLOOKUP(C812, Products[], 6)</f>
        <v>9.1999999999999993</v>
      </c>
      <c r="K812" s="86">
        <f t="shared" si="63"/>
        <v>92</v>
      </c>
      <c r="L812" s="86">
        <f t="shared" si="64"/>
        <v>0</v>
      </c>
      <c r="N812">
        <v>11054</v>
      </c>
      <c r="O812" s="84" cm="1">
        <f t="array" ref="O812">SUM(INDEX(_xlfn._xlws.FILTER($B$6:$L$2160, $B$6:$B$2160=N812), 0, 8))</f>
        <v>305</v>
      </c>
      <c r="P812" s="84" cm="1">
        <f t="array" ref="P812">SUM(INDEX(_xlfn._xlws.FILTER($B$6:$L$2160, $B$6:$B$2160=N812), 0, 10))</f>
        <v>305</v>
      </c>
      <c r="Q812" s="84" cm="1">
        <f t="array" ref="Q812">SUM(INDEX(_xlfn._xlws.FILTER($B$6:$L$2160, $B$6:$B$2160=N812), 0, 11))</f>
        <v>0</v>
      </c>
    </row>
    <row r="813" spans="2:17" x14ac:dyDescent="0.2">
      <c r="B813">
        <v>10550</v>
      </c>
      <c r="C813">
        <v>21</v>
      </c>
      <c r="D813" s="84">
        <v>10</v>
      </c>
      <c r="E813">
        <v>6</v>
      </c>
      <c r="F813" s="85">
        <v>0.1</v>
      </c>
      <c r="G813" s="86">
        <f t="shared" si="60"/>
        <v>60</v>
      </c>
      <c r="H813" s="86">
        <f t="shared" si="61"/>
        <v>6</v>
      </c>
      <c r="I813" s="86">
        <f t="shared" si="62"/>
        <v>54</v>
      </c>
      <c r="J813" s="84">
        <f>VLOOKUP(C813, Products[], 6)</f>
        <v>10</v>
      </c>
      <c r="K813" s="86">
        <f t="shared" si="63"/>
        <v>60</v>
      </c>
      <c r="L813" s="86">
        <f t="shared" si="64"/>
        <v>-6</v>
      </c>
      <c r="N813">
        <v>11055</v>
      </c>
      <c r="O813" s="84" cm="1">
        <f t="array" ref="O813">SUM(INDEX(_xlfn._xlws.FILTER($B$6:$L$2160, $B$6:$B$2160=N813), 0, 8))</f>
        <v>1727.5</v>
      </c>
      <c r="P813" s="84" cm="1">
        <f t="array" ref="P813">SUM(INDEX(_xlfn._xlws.FILTER($B$6:$L$2160, $B$6:$B$2160=N813), 0, 10))</f>
        <v>1727.5</v>
      </c>
      <c r="Q813" s="84" cm="1">
        <f t="array" ref="Q813">SUM(INDEX(_xlfn._xlws.FILTER($B$6:$L$2160, $B$6:$B$2160=N813), 0, 11))</f>
        <v>0</v>
      </c>
    </row>
    <row r="814" spans="2:17" x14ac:dyDescent="0.2">
      <c r="B814">
        <v>10550</v>
      </c>
      <c r="C814">
        <v>61</v>
      </c>
      <c r="D814" s="84">
        <v>28.5</v>
      </c>
      <c r="E814">
        <v>10</v>
      </c>
      <c r="F814" s="85">
        <v>0.1</v>
      </c>
      <c r="G814" s="86">
        <f t="shared" si="60"/>
        <v>285</v>
      </c>
      <c r="H814" s="86">
        <f t="shared" si="61"/>
        <v>28.5</v>
      </c>
      <c r="I814" s="86">
        <f t="shared" si="62"/>
        <v>256.5</v>
      </c>
      <c r="J814" s="84">
        <f>VLOOKUP(C814, Products[], 6)</f>
        <v>28.5</v>
      </c>
      <c r="K814" s="86">
        <f t="shared" si="63"/>
        <v>285</v>
      </c>
      <c r="L814" s="86">
        <f t="shared" si="64"/>
        <v>-28.5</v>
      </c>
      <c r="N814">
        <v>11056</v>
      </c>
      <c r="O814" s="84" cm="1">
        <f t="array" ref="O814">SUM(INDEX(_xlfn._xlws.FILTER($B$6:$L$2160, $B$6:$B$2160=N814), 0, 8))</f>
        <v>3740</v>
      </c>
      <c r="P814" s="84" cm="1">
        <f t="array" ref="P814">SUM(INDEX(_xlfn._xlws.FILTER($B$6:$L$2160, $B$6:$B$2160=N814), 0, 10))</f>
        <v>3740</v>
      </c>
      <c r="Q814" s="84" cm="1">
        <f t="array" ref="Q814">SUM(INDEX(_xlfn._xlws.FILTER($B$6:$L$2160, $B$6:$B$2160=N814), 0, 11))</f>
        <v>0</v>
      </c>
    </row>
    <row r="815" spans="2:17" x14ac:dyDescent="0.2">
      <c r="B815">
        <v>10551</v>
      </c>
      <c r="C815">
        <v>16</v>
      </c>
      <c r="D815" s="84">
        <v>17.45</v>
      </c>
      <c r="E815">
        <v>40</v>
      </c>
      <c r="F815" s="85">
        <v>0.15</v>
      </c>
      <c r="G815" s="86">
        <f t="shared" si="60"/>
        <v>698</v>
      </c>
      <c r="H815" s="86">
        <f t="shared" si="61"/>
        <v>104.7</v>
      </c>
      <c r="I815" s="86">
        <f t="shared" si="62"/>
        <v>593.29999999999995</v>
      </c>
      <c r="J815" s="84">
        <f>VLOOKUP(C815, Products[], 6)</f>
        <v>17.45</v>
      </c>
      <c r="K815" s="86">
        <f t="shared" si="63"/>
        <v>698</v>
      </c>
      <c r="L815" s="86">
        <f t="shared" si="64"/>
        <v>-104.70000000000005</v>
      </c>
      <c r="N815">
        <v>11057</v>
      </c>
      <c r="O815" s="84" cm="1">
        <f t="array" ref="O815">SUM(INDEX(_xlfn._xlws.FILTER($B$6:$L$2160, $B$6:$B$2160=N815), 0, 8))</f>
        <v>45</v>
      </c>
      <c r="P815" s="84" cm="1">
        <f t="array" ref="P815">SUM(INDEX(_xlfn._xlws.FILTER($B$6:$L$2160, $B$6:$B$2160=N815), 0, 10))</f>
        <v>45</v>
      </c>
      <c r="Q815" s="84" cm="1">
        <f t="array" ref="Q815">SUM(INDEX(_xlfn._xlws.FILTER($B$6:$L$2160, $B$6:$B$2160=N815), 0, 11))</f>
        <v>0</v>
      </c>
    </row>
    <row r="816" spans="2:17" x14ac:dyDescent="0.2">
      <c r="B816">
        <v>10551</v>
      </c>
      <c r="C816">
        <v>35</v>
      </c>
      <c r="D816" s="84">
        <v>18</v>
      </c>
      <c r="E816">
        <v>20</v>
      </c>
      <c r="F816" s="85">
        <v>0.15</v>
      </c>
      <c r="G816" s="86">
        <f t="shared" si="60"/>
        <v>360</v>
      </c>
      <c r="H816" s="86">
        <f t="shared" si="61"/>
        <v>54</v>
      </c>
      <c r="I816" s="86">
        <f t="shared" si="62"/>
        <v>306</v>
      </c>
      <c r="J816" s="84">
        <f>VLOOKUP(C816, Products[], 6)</f>
        <v>18</v>
      </c>
      <c r="K816" s="86">
        <f t="shared" si="63"/>
        <v>360</v>
      </c>
      <c r="L816" s="86">
        <f t="shared" si="64"/>
        <v>-54</v>
      </c>
      <c r="N816">
        <v>11058</v>
      </c>
      <c r="O816" s="84" cm="1">
        <f t="array" ref="O816">SUM(INDEX(_xlfn._xlws.FILTER($B$6:$L$2160, $B$6:$B$2160=N816), 0, 8))</f>
        <v>858</v>
      </c>
      <c r="P816" s="84" cm="1">
        <f t="array" ref="P816">SUM(INDEX(_xlfn._xlws.FILTER($B$6:$L$2160, $B$6:$B$2160=N816), 0, 10))</f>
        <v>858</v>
      </c>
      <c r="Q816" s="84" cm="1">
        <f t="array" ref="Q816">SUM(INDEX(_xlfn._xlws.FILTER($B$6:$L$2160, $B$6:$B$2160=N816), 0, 11))</f>
        <v>0</v>
      </c>
    </row>
    <row r="817" spans="2:17" x14ac:dyDescent="0.2">
      <c r="B817">
        <v>10551</v>
      </c>
      <c r="C817">
        <v>44</v>
      </c>
      <c r="D817" s="84">
        <v>19.45</v>
      </c>
      <c r="E817">
        <v>40</v>
      </c>
      <c r="F817" s="85">
        <v>0</v>
      </c>
      <c r="G817" s="86">
        <f t="shared" si="60"/>
        <v>778</v>
      </c>
      <c r="H817" s="86">
        <f t="shared" si="61"/>
        <v>0</v>
      </c>
      <c r="I817" s="86">
        <f t="shared" si="62"/>
        <v>778</v>
      </c>
      <c r="J817" s="84">
        <f>VLOOKUP(C817, Products[], 6)</f>
        <v>19.45</v>
      </c>
      <c r="K817" s="86">
        <f t="shared" si="63"/>
        <v>778</v>
      </c>
      <c r="L817" s="86">
        <f t="shared" si="64"/>
        <v>0</v>
      </c>
      <c r="N817">
        <v>11059</v>
      </c>
      <c r="O817" s="84" cm="1">
        <f t="array" ref="O817">SUM(INDEX(_xlfn._xlws.FILTER($B$6:$L$2160, $B$6:$B$2160=N817), 0, 8))</f>
        <v>1838</v>
      </c>
      <c r="P817" s="84" cm="1">
        <f t="array" ref="P817">SUM(INDEX(_xlfn._xlws.FILTER($B$6:$L$2160, $B$6:$B$2160=N817), 0, 10))</f>
        <v>1838</v>
      </c>
      <c r="Q817" s="84" cm="1">
        <f t="array" ref="Q817">SUM(INDEX(_xlfn._xlws.FILTER($B$6:$L$2160, $B$6:$B$2160=N817), 0, 11))</f>
        <v>0</v>
      </c>
    </row>
    <row r="818" spans="2:17" x14ac:dyDescent="0.2">
      <c r="B818">
        <v>10552</v>
      </c>
      <c r="C818">
        <v>69</v>
      </c>
      <c r="D818" s="84">
        <v>36</v>
      </c>
      <c r="E818">
        <v>18</v>
      </c>
      <c r="F818" s="85">
        <v>0</v>
      </c>
      <c r="G818" s="86">
        <f t="shared" si="60"/>
        <v>648</v>
      </c>
      <c r="H818" s="86">
        <f t="shared" si="61"/>
        <v>0</v>
      </c>
      <c r="I818" s="86">
        <f t="shared" si="62"/>
        <v>648</v>
      </c>
      <c r="J818" s="84">
        <f>VLOOKUP(C818, Products[], 6)</f>
        <v>36</v>
      </c>
      <c r="K818" s="86">
        <f t="shared" si="63"/>
        <v>648</v>
      </c>
      <c r="L818" s="86">
        <f t="shared" si="64"/>
        <v>0</v>
      </c>
      <c r="N818">
        <v>11060</v>
      </c>
      <c r="O818" s="84" cm="1">
        <f t="array" ref="O818">SUM(INDEX(_xlfn._xlws.FILTER($B$6:$L$2160, $B$6:$B$2160=N818), 0, 8))</f>
        <v>266</v>
      </c>
      <c r="P818" s="84" cm="1">
        <f t="array" ref="P818">SUM(INDEX(_xlfn._xlws.FILTER($B$6:$L$2160, $B$6:$B$2160=N818), 0, 10))</f>
        <v>266</v>
      </c>
      <c r="Q818" s="84" cm="1">
        <f t="array" ref="Q818">SUM(INDEX(_xlfn._xlws.FILTER($B$6:$L$2160, $B$6:$B$2160=N818), 0, 11))</f>
        <v>0</v>
      </c>
    </row>
    <row r="819" spans="2:17" x14ac:dyDescent="0.2">
      <c r="B819">
        <v>10552</v>
      </c>
      <c r="C819">
        <v>75</v>
      </c>
      <c r="D819" s="84">
        <v>7.75</v>
      </c>
      <c r="E819">
        <v>30</v>
      </c>
      <c r="F819" s="85">
        <v>0</v>
      </c>
      <c r="G819" s="86">
        <f t="shared" si="60"/>
        <v>232.5</v>
      </c>
      <c r="H819" s="86">
        <f t="shared" si="61"/>
        <v>0</v>
      </c>
      <c r="I819" s="86">
        <f t="shared" si="62"/>
        <v>232.5</v>
      </c>
      <c r="J819" s="84">
        <f>VLOOKUP(C819, Products[], 6)</f>
        <v>7.75</v>
      </c>
      <c r="K819" s="86">
        <f t="shared" si="63"/>
        <v>232.5</v>
      </c>
      <c r="L819" s="86">
        <f t="shared" si="64"/>
        <v>0</v>
      </c>
      <c r="N819">
        <v>11061</v>
      </c>
      <c r="O819" s="84" cm="1">
        <f t="array" ref="O819">SUM(INDEX(_xlfn._xlws.FILTER($B$6:$L$2160, $B$6:$B$2160=N819), 0, 8))</f>
        <v>510</v>
      </c>
      <c r="P819" s="84" cm="1">
        <f t="array" ref="P819">SUM(INDEX(_xlfn._xlws.FILTER($B$6:$L$2160, $B$6:$B$2160=N819), 0, 10))</f>
        <v>510</v>
      </c>
      <c r="Q819" s="84" cm="1">
        <f t="array" ref="Q819">SUM(INDEX(_xlfn._xlws.FILTER($B$6:$L$2160, $B$6:$B$2160=N819), 0, 11))</f>
        <v>0</v>
      </c>
    </row>
    <row r="820" spans="2:17" x14ac:dyDescent="0.2">
      <c r="B820">
        <v>10553</v>
      </c>
      <c r="C820">
        <v>11</v>
      </c>
      <c r="D820" s="84">
        <v>21</v>
      </c>
      <c r="E820">
        <v>15</v>
      </c>
      <c r="F820" s="85">
        <v>0</v>
      </c>
      <c r="G820" s="86">
        <f t="shared" si="60"/>
        <v>315</v>
      </c>
      <c r="H820" s="86">
        <f t="shared" si="61"/>
        <v>0</v>
      </c>
      <c r="I820" s="86">
        <f t="shared" si="62"/>
        <v>315</v>
      </c>
      <c r="J820" s="84">
        <f>VLOOKUP(C820, Products[], 6)</f>
        <v>21</v>
      </c>
      <c r="K820" s="86">
        <f t="shared" si="63"/>
        <v>315</v>
      </c>
      <c r="L820" s="86">
        <f t="shared" si="64"/>
        <v>0</v>
      </c>
      <c r="N820">
        <v>11062</v>
      </c>
      <c r="O820" s="84" cm="1">
        <f t="array" ref="O820">SUM(INDEX(_xlfn._xlws.FILTER($B$6:$L$2160, $B$6:$B$2160=N820), 0, 8))</f>
        <v>406.4</v>
      </c>
      <c r="P820" s="84" cm="1">
        <f t="array" ref="P820">SUM(INDEX(_xlfn._xlws.FILTER($B$6:$L$2160, $B$6:$B$2160=N820), 0, 10))</f>
        <v>508</v>
      </c>
      <c r="Q820" s="84" cm="1">
        <f t="array" ref="Q820">SUM(INDEX(_xlfn._xlws.FILTER($B$6:$L$2160, $B$6:$B$2160=N820), 0, 11))</f>
        <v>-101.60000000000002</v>
      </c>
    </row>
    <row r="821" spans="2:17" x14ac:dyDescent="0.2">
      <c r="B821">
        <v>10553</v>
      </c>
      <c r="C821">
        <v>16</v>
      </c>
      <c r="D821" s="84">
        <v>17.45</v>
      </c>
      <c r="E821">
        <v>14</v>
      </c>
      <c r="F821" s="85">
        <v>0</v>
      </c>
      <c r="G821" s="86">
        <f t="shared" si="60"/>
        <v>244.29999999999998</v>
      </c>
      <c r="H821" s="86">
        <f t="shared" si="61"/>
        <v>0</v>
      </c>
      <c r="I821" s="86">
        <f t="shared" si="62"/>
        <v>244.29999999999998</v>
      </c>
      <c r="J821" s="84">
        <f>VLOOKUP(C821, Products[], 6)</f>
        <v>17.45</v>
      </c>
      <c r="K821" s="86">
        <f t="shared" si="63"/>
        <v>244.29999999999998</v>
      </c>
      <c r="L821" s="86">
        <f t="shared" si="64"/>
        <v>0</v>
      </c>
      <c r="N821">
        <v>11063</v>
      </c>
      <c r="O821" s="84" cm="1">
        <f t="array" ref="O821">SUM(INDEX(_xlfn._xlws.FILTER($B$6:$L$2160, $B$6:$B$2160=N821), 0, 8))</f>
        <v>1342.95</v>
      </c>
      <c r="P821" s="84" cm="1">
        <f t="array" ref="P821">SUM(INDEX(_xlfn._xlws.FILTER($B$6:$L$2160, $B$6:$B$2160=N821), 0, 10))</f>
        <v>1445.5</v>
      </c>
      <c r="Q821" s="84" cm="1">
        <f t="array" ref="Q821">SUM(INDEX(_xlfn._xlws.FILTER($B$6:$L$2160, $B$6:$B$2160=N821), 0, 11))</f>
        <v>-102.55000000000001</v>
      </c>
    </row>
    <row r="822" spans="2:17" x14ac:dyDescent="0.2">
      <c r="B822">
        <v>10553</v>
      </c>
      <c r="C822">
        <v>22</v>
      </c>
      <c r="D822" s="84">
        <v>21</v>
      </c>
      <c r="E822">
        <v>24</v>
      </c>
      <c r="F822" s="85">
        <v>0</v>
      </c>
      <c r="G822" s="86">
        <f t="shared" si="60"/>
        <v>504</v>
      </c>
      <c r="H822" s="86">
        <f t="shared" si="61"/>
        <v>0</v>
      </c>
      <c r="I822" s="86">
        <f t="shared" si="62"/>
        <v>504</v>
      </c>
      <c r="J822" s="84">
        <f>VLOOKUP(C822, Products[], 6)</f>
        <v>21</v>
      </c>
      <c r="K822" s="86">
        <f t="shared" si="63"/>
        <v>504</v>
      </c>
      <c r="L822" s="86">
        <f t="shared" si="64"/>
        <v>0</v>
      </c>
      <c r="N822">
        <v>11064</v>
      </c>
      <c r="O822" s="84" cm="1">
        <f t="array" ref="O822">SUM(INDEX(_xlfn._xlws.FILTER($B$6:$L$2160, $B$6:$B$2160=N822), 0, 8))</f>
        <v>4330.3999999999996</v>
      </c>
      <c r="P822" s="84" cm="1">
        <f t="array" ref="P822">SUM(INDEX(_xlfn._xlws.FILTER($B$6:$L$2160, $B$6:$B$2160=N822), 0, 10))</f>
        <v>4722.3</v>
      </c>
      <c r="Q822" s="84" cm="1">
        <f t="array" ref="Q822">SUM(INDEX(_xlfn._xlws.FILTER($B$6:$L$2160, $B$6:$B$2160=N822), 0, 11))</f>
        <v>-391.9000000000002</v>
      </c>
    </row>
    <row r="823" spans="2:17" x14ac:dyDescent="0.2">
      <c r="B823">
        <v>10553</v>
      </c>
      <c r="C823">
        <v>31</v>
      </c>
      <c r="D823" s="84">
        <v>12.5</v>
      </c>
      <c r="E823">
        <v>30</v>
      </c>
      <c r="F823" s="85">
        <v>0</v>
      </c>
      <c r="G823" s="86">
        <f t="shared" si="60"/>
        <v>375</v>
      </c>
      <c r="H823" s="86">
        <f t="shared" si="61"/>
        <v>0</v>
      </c>
      <c r="I823" s="86">
        <f t="shared" si="62"/>
        <v>375</v>
      </c>
      <c r="J823" s="84">
        <f>VLOOKUP(C823, Products[], 6)</f>
        <v>12.5</v>
      </c>
      <c r="K823" s="86">
        <f t="shared" si="63"/>
        <v>375</v>
      </c>
      <c r="L823" s="86">
        <f t="shared" si="64"/>
        <v>0</v>
      </c>
      <c r="N823">
        <v>11065</v>
      </c>
      <c r="O823" s="84" cm="1">
        <f t="array" ref="O823">SUM(INDEX(_xlfn._xlws.FILTER($B$6:$L$2160, $B$6:$B$2160=N823), 0, 8))</f>
        <v>189.42000000000002</v>
      </c>
      <c r="P823" s="84" cm="1">
        <f t="array" ref="P823">SUM(INDEX(_xlfn._xlws.FILTER($B$6:$L$2160, $B$6:$B$2160=N823), 0, 10))</f>
        <v>252.56</v>
      </c>
      <c r="Q823" s="84" cm="1">
        <f t="array" ref="Q823">SUM(INDEX(_xlfn._xlws.FILTER($B$6:$L$2160, $B$6:$B$2160=N823), 0, 11))</f>
        <v>-63.14</v>
      </c>
    </row>
    <row r="824" spans="2:17" x14ac:dyDescent="0.2">
      <c r="B824">
        <v>10553</v>
      </c>
      <c r="C824">
        <v>35</v>
      </c>
      <c r="D824" s="84">
        <v>18</v>
      </c>
      <c r="E824">
        <v>6</v>
      </c>
      <c r="F824" s="85">
        <v>0</v>
      </c>
      <c r="G824" s="86">
        <f t="shared" si="60"/>
        <v>108</v>
      </c>
      <c r="H824" s="86">
        <f t="shared" si="61"/>
        <v>0</v>
      </c>
      <c r="I824" s="86">
        <f t="shared" si="62"/>
        <v>108</v>
      </c>
      <c r="J824" s="84">
        <f>VLOOKUP(C824, Products[], 6)</f>
        <v>18</v>
      </c>
      <c r="K824" s="86">
        <f t="shared" si="63"/>
        <v>108</v>
      </c>
      <c r="L824" s="86">
        <f t="shared" si="64"/>
        <v>0</v>
      </c>
      <c r="N824">
        <v>11066</v>
      </c>
      <c r="O824" s="84" cm="1">
        <f t="array" ref="O824">SUM(INDEX(_xlfn._xlws.FILTER($B$6:$L$2160, $B$6:$B$2160=N824), 0, 8))</f>
        <v>928.75</v>
      </c>
      <c r="P824" s="84" cm="1">
        <f t="array" ref="P824">SUM(INDEX(_xlfn._xlws.FILTER($B$6:$L$2160, $B$6:$B$2160=N824), 0, 10))</f>
        <v>928.75</v>
      </c>
      <c r="Q824" s="84" cm="1">
        <f t="array" ref="Q824">SUM(INDEX(_xlfn._xlws.FILTER($B$6:$L$2160, $B$6:$B$2160=N824), 0, 11))</f>
        <v>0</v>
      </c>
    </row>
    <row r="825" spans="2:17" x14ac:dyDescent="0.2">
      <c r="B825">
        <v>10554</v>
      </c>
      <c r="C825">
        <v>16</v>
      </c>
      <c r="D825" s="84">
        <v>17.45</v>
      </c>
      <c r="E825">
        <v>30</v>
      </c>
      <c r="F825" s="85">
        <v>0.05</v>
      </c>
      <c r="G825" s="86">
        <f t="shared" si="60"/>
        <v>523.5</v>
      </c>
      <c r="H825" s="86">
        <f t="shared" si="61"/>
        <v>26.175000000000001</v>
      </c>
      <c r="I825" s="86">
        <f t="shared" si="62"/>
        <v>497.32499999999999</v>
      </c>
      <c r="J825" s="84">
        <f>VLOOKUP(C825, Products[], 6)</f>
        <v>17.45</v>
      </c>
      <c r="K825" s="86">
        <f t="shared" si="63"/>
        <v>523.5</v>
      </c>
      <c r="L825" s="86">
        <f t="shared" si="64"/>
        <v>-26.175000000000011</v>
      </c>
      <c r="N825">
        <v>11067</v>
      </c>
      <c r="O825" s="84" cm="1">
        <f t="array" ref="O825">SUM(INDEX(_xlfn._xlws.FILTER($B$6:$L$2160, $B$6:$B$2160=N825), 0, 8))</f>
        <v>86.850000000000009</v>
      </c>
      <c r="P825" s="84" cm="1">
        <f t="array" ref="P825">SUM(INDEX(_xlfn._xlws.FILTER($B$6:$L$2160, $B$6:$B$2160=N825), 0, 10))</f>
        <v>86.850000000000009</v>
      </c>
      <c r="Q825" s="84" cm="1">
        <f t="array" ref="Q825">SUM(INDEX(_xlfn._xlws.FILTER($B$6:$L$2160, $B$6:$B$2160=N825), 0, 11))</f>
        <v>0</v>
      </c>
    </row>
    <row r="826" spans="2:17" x14ac:dyDescent="0.2">
      <c r="B826">
        <v>10554</v>
      </c>
      <c r="C826">
        <v>23</v>
      </c>
      <c r="D826" s="84">
        <v>9</v>
      </c>
      <c r="E826">
        <v>20</v>
      </c>
      <c r="F826" s="85">
        <v>0.05</v>
      </c>
      <c r="G826" s="86">
        <f t="shared" si="60"/>
        <v>180</v>
      </c>
      <c r="H826" s="86">
        <f t="shared" si="61"/>
        <v>9</v>
      </c>
      <c r="I826" s="86">
        <f t="shared" si="62"/>
        <v>171</v>
      </c>
      <c r="J826" s="84">
        <f>VLOOKUP(C826, Products[], 6)</f>
        <v>9</v>
      </c>
      <c r="K826" s="86">
        <f t="shared" si="63"/>
        <v>180</v>
      </c>
      <c r="L826" s="86">
        <f t="shared" si="64"/>
        <v>-9</v>
      </c>
      <c r="N826">
        <v>11068</v>
      </c>
      <c r="O826" s="84" cm="1">
        <f t="array" ref="O826">SUM(INDEX(_xlfn._xlws.FILTER($B$6:$L$2160, $B$6:$B$2160=N826), 0, 8))</f>
        <v>2027.08</v>
      </c>
      <c r="P826" s="84" cm="1">
        <f t="array" ref="P826">SUM(INDEX(_xlfn._xlws.FILTER($B$6:$L$2160, $B$6:$B$2160=N826), 0, 10))</f>
        <v>2384.8000000000002</v>
      </c>
      <c r="Q826" s="84" cm="1">
        <f t="array" ref="Q826">SUM(INDEX(_xlfn._xlws.FILTER($B$6:$L$2160, $B$6:$B$2160=N826), 0, 11))</f>
        <v>-357.72000000000008</v>
      </c>
    </row>
    <row r="827" spans="2:17" x14ac:dyDescent="0.2">
      <c r="B827">
        <v>10554</v>
      </c>
      <c r="C827">
        <v>62</v>
      </c>
      <c r="D827" s="84">
        <v>49.3</v>
      </c>
      <c r="E827">
        <v>20</v>
      </c>
      <c r="F827" s="85">
        <v>0.05</v>
      </c>
      <c r="G827" s="86">
        <f t="shared" si="60"/>
        <v>986</v>
      </c>
      <c r="H827" s="86">
        <f t="shared" si="61"/>
        <v>49.300000000000004</v>
      </c>
      <c r="I827" s="86">
        <f t="shared" si="62"/>
        <v>936.7</v>
      </c>
      <c r="J827" s="84">
        <f>VLOOKUP(C827, Products[], 6)</f>
        <v>49.3</v>
      </c>
      <c r="K827" s="86">
        <f t="shared" si="63"/>
        <v>986</v>
      </c>
      <c r="L827" s="86">
        <f t="shared" si="64"/>
        <v>-49.299999999999955</v>
      </c>
      <c r="N827">
        <v>11069</v>
      </c>
      <c r="O827" s="84" cm="1">
        <f t="array" ref="O827">SUM(INDEX(_xlfn._xlws.FILTER($B$6:$L$2160, $B$6:$B$2160=N827), 0, 8))</f>
        <v>360</v>
      </c>
      <c r="P827" s="84" cm="1">
        <f t="array" ref="P827">SUM(INDEX(_xlfn._xlws.FILTER($B$6:$L$2160, $B$6:$B$2160=N827), 0, 10))</f>
        <v>360</v>
      </c>
      <c r="Q827" s="84" cm="1">
        <f t="array" ref="Q827">SUM(INDEX(_xlfn._xlws.FILTER($B$6:$L$2160, $B$6:$B$2160=N827), 0, 11))</f>
        <v>0</v>
      </c>
    </row>
    <row r="828" spans="2:17" x14ac:dyDescent="0.2">
      <c r="B828">
        <v>10554</v>
      </c>
      <c r="C828">
        <v>77</v>
      </c>
      <c r="D828" s="84">
        <v>13</v>
      </c>
      <c r="E828">
        <v>10</v>
      </c>
      <c r="F828" s="85">
        <v>0.05</v>
      </c>
      <c r="G828" s="86">
        <f t="shared" si="60"/>
        <v>130</v>
      </c>
      <c r="H828" s="86">
        <f t="shared" si="61"/>
        <v>6.5</v>
      </c>
      <c r="I828" s="86">
        <f t="shared" si="62"/>
        <v>123.5</v>
      </c>
      <c r="J828" s="84">
        <f>VLOOKUP(C828, Products[], 6)</f>
        <v>13</v>
      </c>
      <c r="K828" s="86">
        <f t="shared" si="63"/>
        <v>130</v>
      </c>
      <c r="L828" s="86">
        <f t="shared" si="64"/>
        <v>-6.5</v>
      </c>
      <c r="N828">
        <v>11070</v>
      </c>
      <c r="O828" s="84" cm="1">
        <f t="array" ref="O828">SUM(INDEX(_xlfn._xlws.FILTER($B$6:$L$2160, $B$6:$B$2160=N828), 0, 8))</f>
        <v>1629.9749999999999</v>
      </c>
      <c r="P828" s="84" cm="1">
        <f t="array" ref="P828">SUM(INDEX(_xlfn._xlws.FILTER($B$6:$L$2160, $B$6:$B$2160=N828), 0, 10))</f>
        <v>1873.5</v>
      </c>
      <c r="Q828" s="84" cm="1">
        <f t="array" ref="Q828">SUM(INDEX(_xlfn._xlws.FILTER($B$6:$L$2160, $B$6:$B$2160=N828), 0, 11))</f>
        <v>-243.52499999999998</v>
      </c>
    </row>
    <row r="829" spans="2:17" x14ac:dyDescent="0.2">
      <c r="B829">
        <v>10555</v>
      </c>
      <c r="C829">
        <v>14</v>
      </c>
      <c r="D829" s="84">
        <v>23.25</v>
      </c>
      <c r="E829">
        <v>30</v>
      </c>
      <c r="F829" s="85">
        <v>0.2</v>
      </c>
      <c r="G829" s="86">
        <f t="shared" si="60"/>
        <v>697.5</v>
      </c>
      <c r="H829" s="86">
        <f t="shared" si="61"/>
        <v>139.5</v>
      </c>
      <c r="I829" s="86">
        <f t="shared" si="62"/>
        <v>558</v>
      </c>
      <c r="J829" s="84">
        <f>VLOOKUP(C829, Products[], 6)</f>
        <v>23.25</v>
      </c>
      <c r="K829" s="86">
        <f t="shared" si="63"/>
        <v>697.5</v>
      </c>
      <c r="L829" s="86">
        <f t="shared" si="64"/>
        <v>-139.5</v>
      </c>
      <c r="N829">
        <v>11071</v>
      </c>
      <c r="O829" s="84" cm="1">
        <f t="array" ref="O829">SUM(INDEX(_xlfn._xlws.FILTER($B$6:$L$2160, $B$6:$B$2160=N829), 0, 8))</f>
        <v>484.5</v>
      </c>
      <c r="P829" s="84" cm="1">
        <f t="array" ref="P829">SUM(INDEX(_xlfn._xlws.FILTER($B$6:$L$2160, $B$6:$B$2160=N829), 0, 10))</f>
        <v>510</v>
      </c>
      <c r="Q829" s="84" cm="1">
        <f t="array" ref="Q829">SUM(INDEX(_xlfn._xlws.FILTER($B$6:$L$2160, $B$6:$B$2160=N829), 0, 11))</f>
        <v>-25.5</v>
      </c>
    </row>
    <row r="830" spans="2:17" x14ac:dyDescent="0.2">
      <c r="B830">
        <v>10555</v>
      </c>
      <c r="C830">
        <v>19</v>
      </c>
      <c r="D830" s="84">
        <v>9.1999999999999993</v>
      </c>
      <c r="E830">
        <v>35</v>
      </c>
      <c r="F830" s="85">
        <v>0.2</v>
      </c>
      <c r="G830" s="86">
        <f t="shared" si="60"/>
        <v>322</v>
      </c>
      <c r="H830" s="86">
        <f t="shared" si="61"/>
        <v>64.400000000000006</v>
      </c>
      <c r="I830" s="86">
        <f t="shared" si="62"/>
        <v>257.60000000000002</v>
      </c>
      <c r="J830" s="84">
        <f>VLOOKUP(C830, Products[], 6)</f>
        <v>9.1999999999999993</v>
      </c>
      <c r="K830" s="86">
        <f t="shared" si="63"/>
        <v>322</v>
      </c>
      <c r="L830" s="86">
        <f t="shared" si="64"/>
        <v>-64.399999999999977</v>
      </c>
      <c r="N830">
        <v>11072</v>
      </c>
      <c r="O830" s="84" cm="1">
        <f t="array" ref="O830">SUM(INDEX(_xlfn._xlws.FILTER($B$6:$L$2160, $B$6:$B$2160=N830), 0, 8))</f>
        <v>5218</v>
      </c>
      <c r="P830" s="84" cm="1">
        <f t="array" ref="P830">SUM(INDEX(_xlfn._xlws.FILTER($B$6:$L$2160, $B$6:$B$2160=N830), 0, 10))</f>
        <v>5218</v>
      </c>
      <c r="Q830" s="84" cm="1">
        <f t="array" ref="Q830">SUM(INDEX(_xlfn._xlws.FILTER($B$6:$L$2160, $B$6:$B$2160=N830), 0, 11))</f>
        <v>0</v>
      </c>
    </row>
    <row r="831" spans="2:17" x14ac:dyDescent="0.2">
      <c r="B831">
        <v>10555</v>
      </c>
      <c r="C831">
        <v>24</v>
      </c>
      <c r="D831" s="84">
        <v>4.5</v>
      </c>
      <c r="E831">
        <v>18</v>
      </c>
      <c r="F831" s="85">
        <v>0.2</v>
      </c>
      <c r="G831" s="86">
        <f t="shared" si="60"/>
        <v>81</v>
      </c>
      <c r="H831" s="86">
        <f t="shared" si="61"/>
        <v>16.2</v>
      </c>
      <c r="I831" s="86">
        <f t="shared" si="62"/>
        <v>64.8</v>
      </c>
      <c r="J831" s="84">
        <f>VLOOKUP(C831, Products[], 6)</f>
        <v>4.5</v>
      </c>
      <c r="K831" s="86">
        <f t="shared" si="63"/>
        <v>81</v>
      </c>
      <c r="L831" s="86">
        <f t="shared" si="64"/>
        <v>-16.200000000000003</v>
      </c>
      <c r="N831">
        <v>11073</v>
      </c>
      <c r="O831" s="84" cm="1">
        <f t="array" ref="O831">SUM(INDEX(_xlfn._xlws.FILTER($B$6:$L$2160, $B$6:$B$2160=N831), 0, 8))</f>
        <v>300</v>
      </c>
      <c r="P831" s="84" cm="1">
        <f t="array" ref="P831">SUM(INDEX(_xlfn._xlws.FILTER($B$6:$L$2160, $B$6:$B$2160=N831), 0, 10))</f>
        <v>300</v>
      </c>
      <c r="Q831" s="84" cm="1">
        <f t="array" ref="Q831">SUM(INDEX(_xlfn._xlws.FILTER($B$6:$L$2160, $B$6:$B$2160=N831), 0, 11))</f>
        <v>0</v>
      </c>
    </row>
    <row r="832" spans="2:17" x14ac:dyDescent="0.2">
      <c r="B832">
        <v>10555</v>
      </c>
      <c r="C832">
        <v>51</v>
      </c>
      <c r="D832" s="84">
        <v>53</v>
      </c>
      <c r="E832">
        <v>20</v>
      </c>
      <c r="F832" s="85">
        <v>0.2</v>
      </c>
      <c r="G832" s="86">
        <f t="shared" si="60"/>
        <v>1060</v>
      </c>
      <c r="H832" s="86">
        <f t="shared" si="61"/>
        <v>212</v>
      </c>
      <c r="I832" s="86">
        <f t="shared" si="62"/>
        <v>848</v>
      </c>
      <c r="J832" s="84">
        <f>VLOOKUP(C832, Products[], 6)</f>
        <v>53</v>
      </c>
      <c r="K832" s="86">
        <f t="shared" si="63"/>
        <v>1060</v>
      </c>
      <c r="L832" s="86">
        <f t="shared" si="64"/>
        <v>-212</v>
      </c>
      <c r="N832">
        <v>11074</v>
      </c>
      <c r="O832" s="84" cm="1">
        <f t="array" ref="O832">SUM(INDEX(_xlfn._xlws.FILTER($B$6:$L$2160, $B$6:$B$2160=N832), 0, 8))</f>
        <v>232.08499999999998</v>
      </c>
      <c r="P832" s="84" cm="1">
        <f t="array" ref="P832">SUM(INDEX(_xlfn._xlws.FILTER($B$6:$L$2160, $B$6:$B$2160=N832), 0, 10))</f>
        <v>244.29999999999998</v>
      </c>
      <c r="Q832" s="84" cm="1">
        <f t="array" ref="Q832">SUM(INDEX(_xlfn._xlws.FILTER($B$6:$L$2160, $B$6:$B$2160=N832), 0, 11))</f>
        <v>-12.215000000000003</v>
      </c>
    </row>
    <row r="833" spans="2:17" x14ac:dyDescent="0.2">
      <c r="B833">
        <v>10555</v>
      </c>
      <c r="C833">
        <v>56</v>
      </c>
      <c r="D833" s="84">
        <v>38</v>
      </c>
      <c r="E833">
        <v>40</v>
      </c>
      <c r="F833" s="85">
        <v>0.2</v>
      </c>
      <c r="G833" s="86">
        <f t="shared" si="60"/>
        <v>1520</v>
      </c>
      <c r="H833" s="86">
        <f t="shared" si="61"/>
        <v>304</v>
      </c>
      <c r="I833" s="86">
        <f t="shared" si="62"/>
        <v>1216</v>
      </c>
      <c r="J833" s="84">
        <f>VLOOKUP(C833, Products[], 6)</f>
        <v>38</v>
      </c>
      <c r="K833" s="86">
        <f t="shared" si="63"/>
        <v>1520</v>
      </c>
      <c r="L833" s="86">
        <f t="shared" si="64"/>
        <v>-304</v>
      </c>
      <c r="N833">
        <v>11075</v>
      </c>
      <c r="O833" s="84" cm="1">
        <f t="array" ref="O833">SUM(INDEX(_xlfn._xlws.FILTER($B$6:$L$2160, $B$6:$B$2160=N833), 0, 8))</f>
        <v>498.1</v>
      </c>
      <c r="P833" s="84" cm="1">
        <f t="array" ref="P833">SUM(INDEX(_xlfn._xlws.FILTER($B$6:$L$2160, $B$6:$B$2160=N833), 0, 10))</f>
        <v>586</v>
      </c>
      <c r="Q833" s="84" cm="1">
        <f t="array" ref="Q833">SUM(INDEX(_xlfn._xlws.FILTER($B$6:$L$2160, $B$6:$B$2160=N833), 0, 11))</f>
        <v>-87.9</v>
      </c>
    </row>
    <row r="834" spans="2:17" x14ac:dyDescent="0.2">
      <c r="B834">
        <v>10556</v>
      </c>
      <c r="C834">
        <v>72</v>
      </c>
      <c r="D834" s="84">
        <v>34.799999999999997</v>
      </c>
      <c r="E834">
        <v>24</v>
      </c>
      <c r="F834" s="85">
        <v>0</v>
      </c>
      <c r="G834" s="86">
        <f t="shared" si="60"/>
        <v>835.19999999999993</v>
      </c>
      <c r="H834" s="86">
        <f t="shared" si="61"/>
        <v>0</v>
      </c>
      <c r="I834" s="86">
        <f t="shared" si="62"/>
        <v>835.19999999999993</v>
      </c>
      <c r="J834" s="84">
        <f>VLOOKUP(C834, Products[], 6)</f>
        <v>34.799999999999997</v>
      </c>
      <c r="K834" s="86">
        <f t="shared" si="63"/>
        <v>835.19999999999993</v>
      </c>
      <c r="L834" s="86">
        <f t="shared" si="64"/>
        <v>0</v>
      </c>
      <c r="N834">
        <v>11076</v>
      </c>
      <c r="O834" s="84" cm="1">
        <f t="array" ref="O834">SUM(INDEX(_xlfn._xlws.FILTER($B$6:$L$2160, $B$6:$B$2160=N834), 0, 8))</f>
        <v>792.75</v>
      </c>
      <c r="P834" s="84" cm="1">
        <f t="array" ref="P834">SUM(INDEX(_xlfn._xlws.FILTER($B$6:$L$2160, $B$6:$B$2160=N834), 0, 10))</f>
        <v>1057</v>
      </c>
      <c r="Q834" s="84" cm="1">
        <f t="array" ref="Q834">SUM(INDEX(_xlfn._xlws.FILTER($B$6:$L$2160, $B$6:$B$2160=N834), 0, 11))</f>
        <v>-264.25</v>
      </c>
    </row>
    <row r="835" spans="2:17" x14ac:dyDescent="0.2">
      <c r="B835">
        <v>10557</v>
      </c>
      <c r="C835">
        <v>64</v>
      </c>
      <c r="D835" s="84">
        <v>33.25</v>
      </c>
      <c r="E835">
        <v>30</v>
      </c>
      <c r="F835" s="85">
        <v>0</v>
      </c>
      <c r="G835" s="86">
        <f t="shared" si="60"/>
        <v>997.5</v>
      </c>
      <c r="H835" s="86">
        <f t="shared" si="61"/>
        <v>0</v>
      </c>
      <c r="I835" s="86">
        <f t="shared" si="62"/>
        <v>997.5</v>
      </c>
      <c r="J835" s="84">
        <f>VLOOKUP(C835, Products[], 6)</f>
        <v>33.25</v>
      </c>
      <c r="K835" s="86">
        <f t="shared" si="63"/>
        <v>997.5</v>
      </c>
      <c r="L835" s="86">
        <f t="shared" si="64"/>
        <v>0</v>
      </c>
      <c r="N835">
        <v>11077</v>
      </c>
      <c r="O835" s="84" cm="1">
        <f t="array" ref="O835">SUM(INDEX(_xlfn._xlws.FILTER($B$6:$L$2160, $B$6:$B$2160=N835), 0, 8))</f>
        <v>1255.7205000000001</v>
      </c>
      <c r="P835" s="84" cm="1">
        <f t="array" ref="P835">SUM(INDEX(_xlfn._xlws.FILTER($B$6:$L$2160, $B$6:$B$2160=N835), 0, 10))</f>
        <v>1374.6</v>
      </c>
      <c r="Q835" s="84" cm="1">
        <f t="array" ref="Q835">SUM(INDEX(_xlfn._xlws.FILTER($B$6:$L$2160, $B$6:$B$2160=N835), 0, 11))</f>
        <v>-118.87949999999998</v>
      </c>
    </row>
    <row r="836" spans="2:17" x14ac:dyDescent="0.2">
      <c r="B836">
        <v>10557</v>
      </c>
      <c r="C836">
        <v>75</v>
      </c>
      <c r="D836" s="84">
        <v>7.75</v>
      </c>
      <c r="E836">
        <v>20</v>
      </c>
      <c r="F836" s="85">
        <v>0</v>
      </c>
      <c r="G836" s="86">
        <f t="shared" si="60"/>
        <v>155</v>
      </c>
      <c r="H836" s="86">
        <f t="shared" si="61"/>
        <v>0</v>
      </c>
      <c r="I836" s="86">
        <f t="shared" si="62"/>
        <v>155</v>
      </c>
      <c r="J836" s="84">
        <f>VLOOKUP(C836, Products[], 6)</f>
        <v>7.75</v>
      </c>
      <c r="K836" s="86">
        <f t="shared" si="63"/>
        <v>155</v>
      </c>
      <c r="L836" s="86">
        <f t="shared" si="64"/>
        <v>0</v>
      </c>
    </row>
    <row r="837" spans="2:17" x14ac:dyDescent="0.2">
      <c r="B837">
        <v>10558</v>
      </c>
      <c r="C837">
        <v>47</v>
      </c>
      <c r="D837" s="84">
        <v>9.5</v>
      </c>
      <c r="E837">
        <v>25</v>
      </c>
      <c r="F837" s="85">
        <v>0</v>
      </c>
      <c r="G837" s="86">
        <f t="shared" si="60"/>
        <v>237.5</v>
      </c>
      <c r="H837" s="86">
        <f t="shared" si="61"/>
        <v>0</v>
      </c>
      <c r="I837" s="86">
        <f t="shared" si="62"/>
        <v>237.5</v>
      </c>
      <c r="J837" s="84">
        <f>VLOOKUP(C837, Products[], 6)</f>
        <v>9.5</v>
      </c>
      <c r="K837" s="86">
        <f t="shared" si="63"/>
        <v>237.5</v>
      </c>
      <c r="L837" s="86">
        <f t="shared" si="64"/>
        <v>0</v>
      </c>
    </row>
    <row r="838" spans="2:17" x14ac:dyDescent="0.2">
      <c r="B838">
        <v>10558</v>
      </c>
      <c r="C838">
        <v>51</v>
      </c>
      <c r="D838" s="84">
        <v>53</v>
      </c>
      <c r="E838">
        <v>20</v>
      </c>
      <c r="F838" s="85">
        <v>0</v>
      </c>
      <c r="G838" s="86">
        <f t="shared" si="60"/>
        <v>1060</v>
      </c>
      <c r="H838" s="86">
        <f t="shared" si="61"/>
        <v>0</v>
      </c>
      <c r="I838" s="86">
        <f t="shared" si="62"/>
        <v>1060</v>
      </c>
      <c r="J838" s="84">
        <f>VLOOKUP(C838, Products[], 6)</f>
        <v>53</v>
      </c>
      <c r="K838" s="86">
        <f t="shared" si="63"/>
        <v>1060</v>
      </c>
      <c r="L838" s="86">
        <f t="shared" si="64"/>
        <v>0</v>
      </c>
    </row>
    <row r="839" spans="2:17" x14ac:dyDescent="0.2">
      <c r="B839">
        <v>10558</v>
      </c>
      <c r="C839">
        <v>52</v>
      </c>
      <c r="D839" s="84">
        <v>7</v>
      </c>
      <c r="E839">
        <v>30</v>
      </c>
      <c r="F839" s="85">
        <v>0</v>
      </c>
      <c r="G839" s="86">
        <f t="shared" ref="G839:G902" si="65">D839*E839</f>
        <v>210</v>
      </c>
      <c r="H839" s="86">
        <f t="shared" ref="H839:H902" si="66">G839*F839</f>
        <v>0</v>
      </c>
      <c r="I839" s="86">
        <f t="shared" ref="I839:I902" si="67">G839-H839</f>
        <v>210</v>
      </c>
      <c r="J839" s="84">
        <f>VLOOKUP(C839, Products[], 6)</f>
        <v>7</v>
      </c>
      <c r="K839" s="86">
        <f t="shared" ref="K839:K902" si="68">J839*E839</f>
        <v>210</v>
      </c>
      <c r="L839" s="86">
        <f t="shared" ref="L839:L902" si="69">I839-K839</f>
        <v>0</v>
      </c>
    </row>
    <row r="840" spans="2:17" x14ac:dyDescent="0.2">
      <c r="B840">
        <v>10558</v>
      </c>
      <c r="C840">
        <v>53</v>
      </c>
      <c r="D840" s="84">
        <v>32.799999999999997</v>
      </c>
      <c r="E840">
        <v>18</v>
      </c>
      <c r="F840" s="85">
        <v>0</v>
      </c>
      <c r="G840" s="86">
        <f t="shared" si="65"/>
        <v>590.4</v>
      </c>
      <c r="H840" s="86">
        <f t="shared" si="66"/>
        <v>0</v>
      </c>
      <c r="I840" s="86">
        <f t="shared" si="67"/>
        <v>590.4</v>
      </c>
      <c r="J840" s="84">
        <f>VLOOKUP(C840, Products[], 6)</f>
        <v>32.799999999999997</v>
      </c>
      <c r="K840" s="86">
        <f t="shared" si="68"/>
        <v>590.4</v>
      </c>
      <c r="L840" s="86">
        <f t="shared" si="69"/>
        <v>0</v>
      </c>
    </row>
    <row r="841" spans="2:17" x14ac:dyDescent="0.2">
      <c r="B841">
        <v>10558</v>
      </c>
      <c r="C841">
        <v>73</v>
      </c>
      <c r="D841" s="84">
        <v>15</v>
      </c>
      <c r="E841">
        <v>3</v>
      </c>
      <c r="F841" s="85">
        <v>0</v>
      </c>
      <c r="G841" s="86">
        <f t="shared" si="65"/>
        <v>45</v>
      </c>
      <c r="H841" s="86">
        <f t="shared" si="66"/>
        <v>0</v>
      </c>
      <c r="I841" s="86">
        <f t="shared" si="67"/>
        <v>45</v>
      </c>
      <c r="J841" s="84">
        <f>VLOOKUP(C841, Products[], 6)</f>
        <v>15</v>
      </c>
      <c r="K841" s="86">
        <f t="shared" si="68"/>
        <v>45</v>
      </c>
      <c r="L841" s="86">
        <f t="shared" si="69"/>
        <v>0</v>
      </c>
    </row>
    <row r="842" spans="2:17" x14ac:dyDescent="0.2">
      <c r="B842">
        <v>10559</v>
      </c>
      <c r="C842">
        <v>41</v>
      </c>
      <c r="D842" s="84">
        <v>9.65</v>
      </c>
      <c r="E842">
        <v>12</v>
      </c>
      <c r="F842" s="85">
        <v>0.05</v>
      </c>
      <c r="G842" s="86">
        <f t="shared" si="65"/>
        <v>115.80000000000001</v>
      </c>
      <c r="H842" s="86">
        <f t="shared" si="66"/>
        <v>5.7900000000000009</v>
      </c>
      <c r="I842" s="86">
        <f t="shared" si="67"/>
        <v>110.01</v>
      </c>
      <c r="J842" s="84">
        <f>VLOOKUP(C842, Products[], 6)</f>
        <v>9.65</v>
      </c>
      <c r="K842" s="86">
        <f t="shared" si="68"/>
        <v>115.80000000000001</v>
      </c>
      <c r="L842" s="86">
        <f t="shared" si="69"/>
        <v>-5.7900000000000063</v>
      </c>
    </row>
    <row r="843" spans="2:17" x14ac:dyDescent="0.2">
      <c r="B843">
        <v>10559</v>
      </c>
      <c r="C843">
        <v>55</v>
      </c>
      <c r="D843" s="84">
        <v>24</v>
      </c>
      <c r="E843">
        <v>18</v>
      </c>
      <c r="F843" s="85">
        <v>0.05</v>
      </c>
      <c r="G843" s="86">
        <f t="shared" si="65"/>
        <v>432</v>
      </c>
      <c r="H843" s="86">
        <f t="shared" si="66"/>
        <v>21.6</v>
      </c>
      <c r="I843" s="86">
        <f t="shared" si="67"/>
        <v>410.4</v>
      </c>
      <c r="J843" s="84">
        <f>VLOOKUP(C843, Products[], 6)</f>
        <v>24</v>
      </c>
      <c r="K843" s="86">
        <f t="shared" si="68"/>
        <v>432</v>
      </c>
      <c r="L843" s="86">
        <f t="shared" si="69"/>
        <v>-21.600000000000023</v>
      </c>
    </row>
    <row r="844" spans="2:17" x14ac:dyDescent="0.2">
      <c r="B844">
        <v>10560</v>
      </c>
      <c r="C844">
        <v>30</v>
      </c>
      <c r="D844" s="84">
        <v>25.89</v>
      </c>
      <c r="E844">
        <v>20</v>
      </c>
      <c r="F844" s="85">
        <v>0</v>
      </c>
      <c r="G844" s="86">
        <f t="shared" si="65"/>
        <v>517.79999999999995</v>
      </c>
      <c r="H844" s="86">
        <f t="shared" si="66"/>
        <v>0</v>
      </c>
      <c r="I844" s="86">
        <f t="shared" si="67"/>
        <v>517.79999999999995</v>
      </c>
      <c r="J844" s="84">
        <f>VLOOKUP(C844, Products[], 6)</f>
        <v>25.89</v>
      </c>
      <c r="K844" s="86">
        <f t="shared" si="68"/>
        <v>517.79999999999995</v>
      </c>
      <c r="L844" s="86">
        <f t="shared" si="69"/>
        <v>0</v>
      </c>
    </row>
    <row r="845" spans="2:17" x14ac:dyDescent="0.2">
      <c r="B845">
        <v>10560</v>
      </c>
      <c r="C845">
        <v>62</v>
      </c>
      <c r="D845" s="84">
        <v>49.3</v>
      </c>
      <c r="E845">
        <v>15</v>
      </c>
      <c r="F845" s="85">
        <v>0.25</v>
      </c>
      <c r="G845" s="86">
        <f t="shared" si="65"/>
        <v>739.5</v>
      </c>
      <c r="H845" s="86">
        <f t="shared" si="66"/>
        <v>184.875</v>
      </c>
      <c r="I845" s="86">
        <f t="shared" si="67"/>
        <v>554.625</v>
      </c>
      <c r="J845" s="84">
        <f>VLOOKUP(C845, Products[], 6)</f>
        <v>49.3</v>
      </c>
      <c r="K845" s="86">
        <f t="shared" si="68"/>
        <v>739.5</v>
      </c>
      <c r="L845" s="86">
        <f t="shared" si="69"/>
        <v>-184.875</v>
      </c>
    </row>
    <row r="846" spans="2:17" x14ac:dyDescent="0.2">
      <c r="B846">
        <v>10561</v>
      </c>
      <c r="C846">
        <v>44</v>
      </c>
      <c r="D846" s="84">
        <v>19.45</v>
      </c>
      <c r="E846">
        <v>10</v>
      </c>
      <c r="F846" s="85">
        <v>0</v>
      </c>
      <c r="G846" s="86">
        <f t="shared" si="65"/>
        <v>194.5</v>
      </c>
      <c r="H846" s="86">
        <f t="shared" si="66"/>
        <v>0</v>
      </c>
      <c r="I846" s="86">
        <f t="shared" si="67"/>
        <v>194.5</v>
      </c>
      <c r="J846" s="84">
        <f>VLOOKUP(C846, Products[], 6)</f>
        <v>19.45</v>
      </c>
      <c r="K846" s="86">
        <f t="shared" si="68"/>
        <v>194.5</v>
      </c>
      <c r="L846" s="86">
        <f t="shared" si="69"/>
        <v>0</v>
      </c>
    </row>
    <row r="847" spans="2:17" x14ac:dyDescent="0.2">
      <c r="B847">
        <v>10561</v>
      </c>
      <c r="C847">
        <v>51</v>
      </c>
      <c r="D847" s="84">
        <v>53</v>
      </c>
      <c r="E847">
        <v>50</v>
      </c>
      <c r="F847" s="85">
        <v>0</v>
      </c>
      <c r="G847" s="86">
        <f t="shared" si="65"/>
        <v>2650</v>
      </c>
      <c r="H847" s="86">
        <f t="shared" si="66"/>
        <v>0</v>
      </c>
      <c r="I847" s="86">
        <f t="shared" si="67"/>
        <v>2650</v>
      </c>
      <c r="J847" s="84">
        <f>VLOOKUP(C847, Products[], 6)</f>
        <v>53</v>
      </c>
      <c r="K847" s="86">
        <f t="shared" si="68"/>
        <v>2650</v>
      </c>
      <c r="L847" s="86">
        <f t="shared" si="69"/>
        <v>0</v>
      </c>
    </row>
    <row r="848" spans="2:17" x14ac:dyDescent="0.2">
      <c r="B848">
        <v>10562</v>
      </c>
      <c r="C848">
        <v>33</v>
      </c>
      <c r="D848" s="84">
        <v>2.5</v>
      </c>
      <c r="E848">
        <v>20</v>
      </c>
      <c r="F848" s="85">
        <v>0.1</v>
      </c>
      <c r="G848" s="86">
        <f t="shared" si="65"/>
        <v>50</v>
      </c>
      <c r="H848" s="86">
        <f t="shared" si="66"/>
        <v>5</v>
      </c>
      <c r="I848" s="86">
        <f t="shared" si="67"/>
        <v>45</v>
      </c>
      <c r="J848" s="84">
        <f>VLOOKUP(C848, Products[], 6)</f>
        <v>2.5</v>
      </c>
      <c r="K848" s="86">
        <f t="shared" si="68"/>
        <v>50</v>
      </c>
      <c r="L848" s="86">
        <f t="shared" si="69"/>
        <v>-5</v>
      </c>
    </row>
    <row r="849" spans="2:12" x14ac:dyDescent="0.2">
      <c r="B849">
        <v>10562</v>
      </c>
      <c r="C849">
        <v>62</v>
      </c>
      <c r="D849" s="84">
        <v>49.3</v>
      </c>
      <c r="E849">
        <v>10</v>
      </c>
      <c r="F849" s="85">
        <v>0.1</v>
      </c>
      <c r="G849" s="86">
        <f t="shared" si="65"/>
        <v>493</v>
      </c>
      <c r="H849" s="86">
        <f t="shared" si="66"/>
        <v>49.300000000000004</v>
      </c>
      <c r="I849" s="86">
        <f t="shared" si="67"/>
        <v>443.7</v>
      </c>
      <c r="J849" s="84">
        <f>VLOOKUP(C849, Products[], 6)</f>
        <v>49.3</v>
      </c>
      <c r="K849" s="86">
        <f t="shared" si="68"/>
        <v>493</v>
      </c>
      <c r="L849" s="86">
        <f t="shared" si="69"/>
        <v>-49.300000000000011</v>
      </c>
    </row>
    <row r="850" spans="2:12" x14ac:dyDescent="0.2">
      <c r="B850">
        <v>10563</v>
      </c>
      <c r="C850">
        <v>36</v>
      </c>
      <c r="D850" s="84">
        <v>19</v>
      </c>
      <c r="E850">
        <v>25</v>
      </c>
      <c r="F850" s="85">
        <v>0</v>
      </c>
      <c r="G850" s="86">
        <f t="shared" si="65"/>
        <v>475</v>
      </c>
      <c r="H850" s="86">
        <f t="shared" si="66"/>
        <v>0</v>
      </c>
      <c r="I850" s="86">
        <f t="shared" si="67"/>
        <v>475</v>
      </c>
      <c r="J850" s="84">
        <f>VLOOKUP(C850, Products[], 6)</f>
        <v>19</v>
      </c>
      <c r="K850" s="86">
        <f t="shared" si="68"/>
        <v>475</v>
      </c>
      <c r="L850" s="86">
        <f t="shared" si="69"/>
        <v>0</v>
      </c>
    </row>
    <row r="851" spans="2:12" x14ac:dyDescent="0.2">
      <c r="B851">
        <v>10563</v>
      </c>
      <c r="C851">
        <v>52</v>
      </c>
      <c r="D851" s="84">
        <v>7</v>
      </c>
      <c r="E851">
        <v>70</v>
      </c>
      <c r="F851" s="85">
        <v>0</v>
      </c>
      <c r="G851" s="86">
        <f t="shared" si="65"/>
        <v>490</v>
      </c>
      <c r="H851" s="86">
        <f t="shared" si="66"/>
        <v>0</v>
      </c>
      <c r="I851" s="86">
        <f t="shared" si="67"/>
        <v>490</v>
      </c>
      <c r="J851" s="84">
        <f>VLOOKUP(C851, Products[], 6)</f>
        <v>7</v>
      </c>
      <c r="K851" s="86">
        <f t="shared" si="68"/>
        <v>490</v>
      </c>
      <c r="L851" s="86">
        <f t="shared" si="69"/>
        <v>0</v>
      </c>
    </row>
    <row r="852" spans="2:12" x14ac:dyDescent="0.2">
      <c r="B852">
        <v>10564</v>
      </c>
      <c r="C852">
        <v>17</v>
      </c>
      <c r="D852" s="84">
        <v>39</v>
      </c>
      <c r="E852">
        <v>16</v>
      </c>
      <c r="F852" s="85">
        <v>0.05</v>
      </c>
      <c r="G852" s="86">
        <f t="shared" si="65"/>
        <v>624</v>
      </c>
      <c r="H852" s="86">
        <f t="shared" si="66"/>
        <v>31.200000000000003</v>
      </c>
      <c r="I852" s="86">
        <f t="shared" si="67"/>
        <v>592.79999999999995</v>
      </c>
      <c r="J852" s="84">
        <f>VLOOKUP(C852, Products[], 6)</f>
        <v>39</v>
      </c>
      <c r="K852" s="86">
        <f t="shared" si="68"/>
        <v>624</v>
      </c>
      <c r="L852" s="86">
        <f t="shared" si="69"/>
        <v>-31.200000000000045</v>
      </c>
    </row>
    <row r="853" spans="2:12" x14ac:dyDescent="0.2">
      <c r="B853">
        <v>10564</v>
      </c>
      <c r="C853">
        <v>31</v>
      </c>
      <c r="D853" s="84">
        <v>12.5</v>
      </c>
      <c r="E853">
        <v>6</v>
      </c>
      <c r="F853" s="85">
        <v>0.05</v>
      </c>
      <c r="G853" s="86">
        <f t="shared" si="65"/>
        <v>75</v>
      </c>
      <c r="H853" s="86">
        <f t="shared" si="66"/>
        <v>3.75</v>
      </c>
      <c r="I853" s="86">
        <f t="shared" si="67"/>
        <v>71.25</v>
      </c>
      <c r="J853" s="84">
        <f>VLOOKUP(C853, Products[], 6)</f>
        <v>12.5</v>
      </c>
      <c r="K853" s="86">
        <f t="shared" si="68"/>
        <v>75</v>
      </c>
      <c r="L853" s="86">
        <f t="shared" si="69"/>
        <v>-3.75</v>
      </c>
    </row>
    <row r="854" spans="2:12" x14ac:dyDescent="0.2">
      <c r="B854">
        <v>10564</v>
      </c>
      <c r="C854">
        <v>55</v>
      </c>
      <c r="D854" s="84">
        <v>24</v>
      </c>
      <c r="E854">
        <v>25</v>
      </c>
      <c r="F854" s="85">
        <v>0.05</v>
      </c>
      <c r="G854" s="86">
        <f t="shared" si="65"/>
        <v>600</v>
      </c>
      <c r="H854" s="86">
        <f t="shared" si="66"/>
        <v>30</v>
      </c>
      <c r="I854" s="86">
        <f t="shared" si="67"/>
        <v>570</v>
      </c>
      <c r="J854" s="84">
        <f>VLOOKUP(C854, Products[], 6)</f>
        <v>24</v>
      </c>
      <c r="K854" s="86">
        <f t="shared" si="68"/>
        <v>600</v>
      </c>
      <c r="L854" s="86">
        <f t="shared" si="69"/>
        <v>-30</v>
      </c>
    </row>
    <row r="855" spans="2:12" x14ac:dyDescent="0.2">
      <c r="B855">
        <v>10565</v>
      </c>
      <c r="C855">
        <v>24</v>
      </c>
      <c r="D855" s="84">
        <v>4.5</v>
      </c>
      <c r="E855">
        <v>25</v>
      </c>
      <c r="F855" s="85">
        <v>0.1</v>
      </c>
      <c r="G855" s="86">
        <f t="shared" si="65"/>
        <v>112.5</v>
      </c>
      <c r="H855" s="86">
        <f t="shared" si="66"/>
        <v>11.25</v>
      </c>
      <c r="I855" s="86">
        <f t="shared" si="67"/>
        <v>101.25</v>
      </c>
      <c r="J855" s="84">
        <f>VLOOKUP(C855, Products[], 6)</f>
        <v>4.5</v>
      </c>
      <c r="K855" s="86">
        <f t="shared" si="68"/>
        <v>112.5</v>
      </c>
      <c r="L855" s="86">
        <f t="shared" si="69"/>
        <v>-11.25</v>
      </c>
    </row>
    <row r="856" spans="2:12" x14ac:dyDescent="0.2">
      <c r="B856">
        <v>10565</v>
      </c>
      <c r="C856">
        <v>64</v>
      </c>
      <c r="D856" s="84">
        <v>33.25</v>
      </c>
      <c r="E856">
        <v>18</v>
      </c>
      <c r="F856" s="85">
        <v>0.1</v>
      </c>
      <c r="G856" s="86">
        <f t="shared" si="65"/>
        <v>598.5</v>
      </c>
      <c r="H856" s="86">
        <f t="shared" si="66"/>
        <v>59.85</v>
      </c>
      <c r="I856" s="86">
        <f t="shared" si="67"/>
        <v>538.65</v>
      </c>
      <c r="J856" s="84">
        <f>VLOOKUP(C856, Products[], 6)</f>
        <v>33.25</v>
      </c>
      <c r="K856" s="86">
        <f t="shared" si="68"/>
        <v>598.5</v>
      </c>
      <c r="L856" s="86">
        <f t="shared" si="69"/>
        <v>-59.850000000000023</v>
      </c>
    </row>
    <row r="857" spans="2:12" x14ac:dyDescent="0.2">
      <c r="B857">
        <v>10566</v>
      </c>
      <c r="C857">
        <v>11</v>
      </c>
      <c r="D857" s="84">
        <v>21</v>
      </c>
      <c r="E857">
        <v>35</v>
      </c>
      <c r="F857" s="85">
        <v>0.15</v>
      </c>
      <c r="G857" s="86">
        <f t="shared" si="65"/>
        <v>735</v>
      </c>
      <c r="H857" s="86">
        <f t="shared" si="66"/>
        <v>110.25</v>
      </c>
      <c r="I857" s="86">
        <f t="shared" si="67"/>
        <v>624.75</v>
      </c>
      <c r="J857" s="84">
        <f>VLOOKUP(C857, Products[], 6)</f>
        <v>21</v>
      </c>
      <c r="K857" s="86">
        <f t="shared" si="68"/>
        <v>735</v>
      </c>
      <c r="L857" s="86">
        <f t="shared" si="69"/>
        <v>-110.25</v>
      </c>
    </row>
    <row r="858" spans="2:12" x14ac:dyDescent="0.2">
      <c r="B858">
        <v>10566</v>
      </c>
      <c r="C858">
        <v>18</v>
      </c>
      <c r="D858" s="84">
        <v>62.5</v>
      </c>
      <c r="E858">
        <v>18</v>
      </c>
      <c r="F858" s="85">
        <v>0.15</v>
      </c>
      <c r="G858" s="86">
        <f t="shared" si="65"/>
        <v>1125</v>
      </c>
      <c r="H858" s="86">
        <f t="shared" si="66"/>
        <v>168.75</v>
      </c>
      <c r="I858" s="86">
        <f t="shared" si="67"/>
        <v>956.25</v>
      </c>
      <c r="J858" s="84">
        <f>VLOOKUP(C858, Products[], 6)</f>
        <v>62.5</v>
      </c>
      <c r="K858" s="86">
        <f t="shared" si="68"/>
        <v>1125</v>
      </c>
      <c r="L858" s="86">
        <f t="shared" si="69"/>
        <v>-168.75</v>
      </c>
    </row>
    <row r="859" spans="2:12" x14ac:dyDescent="0.2">
      <c r="B859">
        <v>10566</v>
      </c>
      <c r="C859">
        <v>76</v>
      </c>
      <c r="D859" s="84">
        <v>18</v>
      </c>
      <c r="E859">
        <v>10</v>
      </c>
      <c r="F859" s="85">
        <v>0</v>
      </c>
      <c r="G859" s="86">
        <f t="shared" si="65"/>
        <v>180</v>
      </c>
      <c r="H859" s="86">
        <f t="shared" si="66"/>
        <v>0</v>
      </c>
      <c r="I859" s="86">
        <f t="shared" si="67"/>
        <v>180</v>
      </c>
      <c r="J859" s="84">
        <f>VLOOKUP(C859, Products[], 6)</f>
        <v>18</v>
      </c>
      <c r="K859" s="86">
        <f t="shared" si="68"/>
        <v>180</v>
      </c>
      <c r="L859" s="86">
        <f t="shared" si="69"/>
        <v>0</v>
      </c>
    </row>
    <row r="860" spans="2:12" x14ac:dyDescent="0.2">
      <c r="B860">
        <v>10567</v>
      </c>
      <c r="C860">
        <v>31</v>
      </c>
      <c r="D860" s="84">
        <v>12.5</v>
      </c>
      <c r="E860">
        <v>60</v>
      </c>
      <c r="F860" s="85">
        <v>0.2</v>
      </c>
      <c r="G860" s="86">
        <f t="shared" si="65"/>
        <v>750</v>
      </c>
      <c r="H860" s="86">
        <f t="shared" si="66"/>
        <v>150</v>
      </c>
      <c r="I860" s="86">
        <f t="shared" si="67"/>
        <v>600</v>
      </c>
      <c r="J860" s="84">
        <f>VLOOKUP(C860, Products[], 6)</f>
        <v>12.5</v>
      </c>
      <c r="K860" s="86">
        <f t="shared" si="68"/>
        <v>750</v>
      </c>
      <c r="L860" s="86">
        <f t="shared" si="69"/>
        <v>-150</v>
      </c>
    </row>
    <row r="861" spans="2:12" x14ac:dyDescent="0.2">
      <c r="B861">
        <v>10567</v>
      </c>
      <c r="C861">
        <v>51</v>
      </c>
      <c r="D861" s="84">
        <v>53</v>
      </c>
      <c r="E861">
        <v>3</v>
      </c>
      <c r="F861" s="85">
        <v>0</v>
      </c>
      <c r="G861" s="86">
        <f t="shared" si="65"/>
        <v>159</v>
      </c>
      <c r="H861" s="86">
        <f t="shared" si="66"/>
        <v>0</v>
      </c>
      <c r="I861" s="86">
        <f t="shared" si="67"/>
        <v>159</v>
      </c>
      <c r="J861" s="84">
        <f>VLOOKUP(C861, Products[], 6)</f>
        <v>53</v>
      </c>
      <c r="K861" s="86">
        <f t="shared" si="68"/>
        <v>159</v>
      </c>
      <c r="L861" s="86">
        <f t="shared" si="69"/>
        <v>0</v>
      </c>
    </row>
    <row r="862" spans="2:12" x14ac:dyDescent="0.2">
      <c r="B862">
        <v>10567</v>
      </c>
      <c r="C862">
        <v>59</v>
      </c>
      <c r="D862" s="84">
        <v>55</v>
      </c>
      <c r="E862">
        <v>40</v>
      </c>
      <c r="F862" s="85">
        <v>0.2</v>
      </c>
      <c r="G862" s="86">
        <f t="shared" si="65"/>
        <v>2200</v>
      </c>
      <c r="H862" s="86">
        <f t="shared" si="66"/>
        <v>440</v>
      </c>
      <c r="I862" s="86">
        <f t="shared" si="67"/>
        <v>1760</v>
      </c>
      <c r="J862" s="84">
        <f>VLOOKUP(C862, Products[], 6)</f>
        <v>55</v>
      </c>
      <c r="K862" s="86">
        <f t="shared" si="68"/>
        <v>2200</v>
      </c>
      <c r="L862" s="86">
        <f t="shared" si="69"/>
        <v>-440</v>
      </c>
    </row>
    <row r="863" spans="2:12" x14ac:dyDescent="0.2">
      <c r="B863">
        <v>10568</v>
      </c>
      <c r="C863">
        <v>10</v>
      </c>
      <c r="D863" s="84">
        <v>31</v>
      </c>
      <c r="E863">
        <v>5</v>
      </c>
      <c r="F863" s="85">
        <v>0</v>
      </c>
      <c r="G863" s="86">
        <f t="shared" si="65"/>
        <v>155</v>
      </c>
      <c r="H863" s="86">
        <f t="shared" si="66"/>
        <v>0</v>
      </c>
      <c r="I863" s="86">
        <f t="shared" si="67"/>
        <v>155</v>
      </c>
      <c r="J863" s="84">
        <f>VLOOKUP(C863, Products[], 6)</f>
        <v>31</v>
      </c>
      <c r="K863" s="86">
        <f t="shared" si="68"/>
        <v>155</v>
      </c>
      <c r="L863" s="86">
        <f t="shared" si="69"/>
        <v>0</v>
      </c>
    </row>
    <row r="864" spans="2:12" x14ac:dyDescent="0.2">
      <c r="B864">
        <v>10569</v>
      </c>
      <c r="C864">
        <v>31</v>
      </c>
      <c r="D864" s="84">
        <v>12.5</v>
      </c>
      <c r="E864">
        <v>35</v>
      </c>
      <c r="F864" s="85">
        <v>0.2</v>
      </c>
      <c r="G864" s="86">
        <f t="shared" si="65"/>
        <v>437.5</v>
      </c>
      <c r="H864" s="86">
        <f t="shared" si="66"/>
        <v>87.5</v>
      </c>
      <c r="I864" s="86">
        <f t="shared" si="67"/>
        <v>350</v>
      </c>
      <c r="J864" s="84">
        <f>VLOOKUP(C864, Products[], 6)</f>
        <v>12.5</v>
      </c>
      <c r="K864" s="86">
        <f t="shared" si="68"/>
        <v>437.5</v>
      </c>
      <c r="L864" s="86">
        <f t="shared" si="69"/>
        <v>-87.5</v>
      </c>
    </row>
    <row r="865" spans="2:12" x14ac:dyDescent="0.2">
      <c r="B865">
        <v>10569</v>
      </c>
      <c r="C865">
        <v>76</v>
      </c>
      <c r="D865" s="84">
        <v>18</v>
      </c>
      <c r="E865">
        <v>30</v>
      </c>
      <c r="F865" s="85">
        <v>0</v>
      </c>
      <c r="G865" s="86">
        <f t="shared" si="65"/>
        <v>540</v>
      </c>
      <c r="H865" s="86">
        <f t="shared" si="66"/>
        <v>0</v>
      </c>
      <c r="I865" s="86">
        <f t="shared" si="67"/>
        <v>540</v>
      </c>
      <c r="J865" s="84">
        <f>VLOOKUP(C865, Products[], 6)</f>
        <v>18</v>
      </c>
      <c r="K865" s="86">
        <f t="shared" si="68"/>
        <v>540</v>
      </c>
      <c r="L865" s="86">
        <f t="shared" si="69"/>
        <v>0</v>
      </c>
    </row>
    <row r="866" spans="2:12" x14ac:dyDescent="0.2">
      <c r="B866">
        <v>10570</v>
      </c>
      <c r="C866">
        <v>11</v>
      </c>
      <c r="D866" s="84">
        <v>21</v>
      </c>
      <c r="E866">
        <v>15</v>
      </c>
      <c r="F866" s="85">
        <v>0.05</v>
      </c>
      <c r="G866" s="86">
        <f t="shared" si="65"/>
        <v>315</v>
      </c>
      <c r="H866" s="86">
        <f t="shared" si="66"/>
        <v>15.75</v>
      </c>
      <c r="I866" s="86">
        <f t="shared" si="67"/>
        <v>299.25</v>
      </c>
      <c r="J866" s="84">
        <f>VLOOKUP(C866, Products[], 6)</f>
        <v>21</v>
      </c>
      <c r="K866" s="86">
        <f t="shared" si="68"/>
        <v>315</v>
      </c>
      <c r="L866" s="86">
        <f t="shared" si="69"/>
        <v>-15.75</v>
      </c>
    </row>
    <row r="867" spans="2:12" x14ac:dyDescent="0.2">
      <c r="B867">
        <v>10570</v>
      </c>
      <c r="C867">
        <v>56</v>
      </c>
      <c r="D867" s="84">
        <v>38</v>
      </c>
      <c r="E867">
        <v>60</v>
      </c>
      <c r="F867" s="85">
        <v>0.05</v>
      </c>
      <c r="G867" s="86">
        <f t="shared" si="65"/>
        <v>2280</v>
      </c>
      <c r="H867" s="86">
        <f t="shared" si="66"/>
        <v>114</v>
      </c>
      <c r="I867" s="86">
        <f t="shared" si="67"/>
        <v>2166</v>
      </c>
      <c r="J867" s="84">
        <f>VLOOKUP(C867, Products[], 6)</f>
        <v>38</v>
      </c>
      <c r="K867" s="86">
        <f t="shared" si="68"/>
        <v>2280</v>
      </c>
      <c r="L867" s="86">
        <f t="shared" si="69"/>
        <v>-114</v>
      </c>
    </row>
    <row r="868" spans="2:12" x14ac:dyDescent="0.2">
      <c r="B868">
        <v>10571</v>
      </c>
      <c r="C868">
        <v>14</v>
      </c>
      <c r="D868" s="84">
        <v>23.25</v>
      </c>
      <c r="E868">
        <v>11</v>
      </c>
      <c r="F868" s="85">
        <v>0.15</v>
      </c>
      <c r="G868" s="86">
        <f t="shared" si="65"/>
        <v>255.75</v>
      </c>
      <c r="H868" s="86">
        <f t="shared" si="66"/>
        <v>38.362499999999997</v>
      </c>
      <c r="I868" s="86">
        <f t="shared" si="67"/>
        <v>217.38749999999999</v>
      </c>
      <c r="J868" s="84">
        <f>VLOOKUP(C868, Products[], 6)</f>
        <v>23.25</v>
      </c>
      <c r="K868" s="86">
        <f t="shared" si="68"/>
        <v>255.75</v>
      </c>
      <c r="L868" s="86">
        <f t="shared" si="69"/>
        <v>-38.362500000000011</v>
      </c>
    </row>
    <row r="869" spans="2:12" x14ac:dyDescent="0.2">
      <c r="B869">
        <v>10571</v>
      </c>
      <c r="C869">
        <v>42</v>
      </c>
      <c r="D869" s="84">
        <v>14</v>
      </c>
      <c r="E869">
        <v>28</v>
      </c>
      <c r="F869" s="85">
        <v>0.15</v>
      </c>
      <c r="G869" s="86">
        <f t="shared" si="65"/>
        <v>392</v>
      </c>
      <c r="H869" s="86">
        <f t="shared" si="66"/>
        <v>58.8</v>
      </c>
      <c r="I869" s="86">
        <f t="shared" si="67"/>
        <v>333.2</v>
      </c>
      <c r="J869" s="84">
        <f>VLOOKUP(C869, Products[], 6)</f>
        <v>14</v>
      </c>
      <c r="K869" s="86">
        <f t="shared" si="68"/>
        <v>392</v>
      </c>
      <c r="L869" s="86">
        <f t="shared" si="69"/>
        <v>-58.800000000000011</v>
      </c>
    </row>
    <row r="870" spans="2:12" x14ac:dyDescent="0.2">
      <c r="B870">
        <v>10572</v>
      </c>
      <c r="C870">
        <v>16</v>
      </c>
      <c r="D870" s="84">
        <v>17.45</v>
      </c>
      <c r="E870">
        <v>12</v>
      </c>
      <c r="F870" s="85">
        <v>0.1</v>
      </c>
      <c r="G870" s="86">
        <f t="shared" si="65"/>
        <v>209.39999999999998</v>
      </c>
      <c r="H870" s="86">
        <f t="shared" si="66"/>
        <v>20.939999999999998</v>
      </c>
      <c r="I870" s="86">
        <f t="shared" si="67"/>
        <v>188.45999999999998</v>
      </c>
      <c r="J870" s="84">
        <f>VLOOKUP(C870, Products[], 6)</f>
        <v>17.45</v>
      </c>
      <c r="K870" s="86">
        <f t="shared" si="68"/>
        <v>209.39999999999998</v>
      </c>
      <c r="L870" s="86">
        <f t="shared" si="69"/>
        <v>-20.939999999999998</v>
      </c>
    </row>
    <row r="871" spans="2:12" x14ac:dyDescent="0.2">
      <c r="B871">
        <v>10572</v>
      </c>
      <c r="C871">
        <v>32</v>
      </c>
      <c r="D871" s="84">
        <v>32</v>
      </c>
      <c r="E871">
        <v>10</v>
      </c>
      <c r="F871" s="85">
        <v>0.1</v>
      </c>
      <c r="G871" s="86">
        <f t="shared" si="65"/>
        <v>320</v>
      </c>
      <c r="H871" s="86">
        <f t="shared" si="66"/>
        <v>32</v>
      </c>
      <c r="I871" s="86">
        <f t="shared" si="67"/>
        <v>288</v>
      </c>
      <c r="J871" s="84">
        <f>VLOOKUP(C871, Products[], 6)</f>
        <v>32</v>
      </c>
      <c r="K871" s="86">
        <f t="shared" si="68"/>
        <v>320</v>
      </c>
      <c r="L871" s="86">
        <f t="shared" si="69"/>
        <v>-32</v>
      </c>
    </row>
    <row r="872" spans="2:12" x14ac:dyDescent="0.2">
      <c r="B872">
        <v>10572</v>
      </c>
      <c r="C872">
        <v>40</v>
      </c>
      <c r="D872" s="84">
        <v>18.399999999999999</v>
      </c>
      <c r="E872">
        <v>50</v>
      </c>
      <c r="F872" s="85">
        <v>0</v>
      </c>
      <c r="G872" s="86">
        <f t="shared" si="65"/>
        <v>919.99999999999989</v>
      </c>
      <c r="H872" s="86">
        <f t="shared" si="66"/>
        <v>0</v>
      </c>
      <c r="I872" s="86">
        <f t="shared" si="67"/>
        <v>919.99999999999989</v>
      </c>
      <c r="J872" s="84">
        <f>VLOOKUP(C872, Products[], 6)</f>
        <v>18.399999999999999</v>
      </c>
      <c r="K872" s="86">
        <f t="shared" si="68"/>
        <v>919.99999999999989</v>
      </c>
      <c r="L872" s="86">
        <f t="shared" si="69"/>
        <v>0</v>
      </c>
    </row>
    <row r="873" spans="2:12" x14ac:dyDescent="0.2">
      <c r="B873">
        <v>10572</v>
      </c>
      <c r="C873">
        <v>75</v>
      </c>
      <c r="D873" s="84">
        <v>7.75</v>
      </c>
      <c r="E873">
        <v>15</v>
      </c>
      <c r="F873" s="85">
        <v>0.1</v>
      </c>
      <c r="G873" s="86">
        <f t="shared" si="65"/>
        <v>116.25</v>
      </c>
      <c r="H873" s="86">
        <f t="shared" si="66"/>
        <v>11.625</v>
      </c>
      <c r="I873" s="86">
        <f t="shared" si="67"/>
        <v>104.625</v>
      </c>
      <c r="J873" s="84">
        <f>VLOOKUP(C873, Products[], 6)</f>
        <v>7.75</v>
      </c>
      <c r="K873" s="86">
        <f t="shared" si="68"/>
        <v>116.25</v>
      </c>
      <c r="L873" s="86">
        <f t="shared" si="69"/>
        <v>-11.625</v>
      </c>
    </row>
    <row r="874" spans="2:12" x14ac:dyDescent="0.2">
      <c r="B874">
        <v>10573</v>
      </c>
      <c r="C874">
        <v>17</v>
      </c>
      <c r="D874" s="84">
        <v>39</v>
      </c>
      <c r="E874">
        <v>18</v>
      </c>
      <c r="F874" s="85">
        <v>0</v>
      </c>
      <c r="G874" s="86">
        <f t="shared" si="65"/>
        <v>702</v>
      </c>
      <c r="H874" s="86">
        <f t="shared" si="66"/>
        <v>0</v>
      </c>
      <c r="I874" s="86">
        <f t="shared" si="67"/>
        <v>702</v>
      </c>
      <c r="J874" s="84">
        <f>VLOOKUP(C874, Products[], 6)</f>
        <v>39</v>
      </c>
      <c r="K874" s="86">
        <f t="shared" si="68"/>
        <v>702</v>
      </c>
      <c r="L874" s="86">
        <f t="shared" si="69"/>
        <v>0</v>
      </c>
    </row>
    <row r="875" spans="2:12" x14ac:dyDescent="0.2">
      <c r="B875">
        <v>10573</v>
      </c>
      <c r="C875">
        <v>34</v>
      </c>
      <c r="D875" s="84">
        <v>14</v>
      </c>
      <c r="E875">
        <v>40</v>
      </c>
      <c r="F875" s="85">
        <v>0</v>
      </c>
      <c r="G875" s="86">
        <f t="shared" si="65"/>
        <v>560</v>
      </c>
      <c r="H875" s="86">
        <f t="shared" si="66"/>
        <v>0</v>
      </c>
      <c r="I875" s="86">
        <f t="shared" si="67"/>
        <v>560</v>
      </c>
      <c r="J875" s="84">
        <f>VLOOKUP(C875, Products[], 6)</f>
        <v>14</v>
      </c>
      <c r="K875" s="86">
        <f t="shared" si="68"/>
        <v>560</v>
      </c>
      <c r="L875" s="86">
        <f t="shared" si="69"/>
        <v>0</v>
      </c>
    </row>
    <row r="876" spans="2:12" x14ac:dyDescent="0.2">
      <c r="B876">
        <v>10573</v>
      </c>
      <c r="C876">
        <v>53</v>
      </c>
      <c r="D876" s="84">
        <v>32.799999999999997</v>
      </c>
      <c r="E876">
        <v>25</v>
      </c>
      <c r="F876" s="85">
        <v>0</v>
      </c>
      <c r="G876" s="86">
        <f t="shared" si="65"/>
        <v>819.99999999999989</v>
      </c>
      <c r="H876" s="86">
        <f t="shared" si="66"/>
        <v>0</v>
      </c>
      <c r="I876" s="86">
        <f t="shared" si="67"/>
        <v>819.99999999999989</v>
      </c>
      <c r="J876" s="84">
        <f>VLOOKUP(C876, Products[], 6)</f>
        <v>32.799999999999997</v>
      </c>
      <c r="K876" s="86">
        <f t="shared" si="68"/>
        <v>819.99999999999989</v>
      </c>
      <c r="L876" s="86">
        <f t="shared" si="69"/>
        <v>0</v>
      </c>
    </row>
    <row r="877" spans="2:12" x14ac:dyDescent="0.2">
      <c r="B877">
        <v>10574</v>
      </c>
      <c r="C877">
        <v>33</v>
      </c>
      <c r="D877" s="84">
        <v>2.5</v>
      </c>
      <c r="E877">
        <v>14</v>
      </c>
      <c r="F877" s="85">
        <v>0</v>
      </c>
      <c r="G877" s="86">
        <f t="shared" si="65"/>
        <v>35</v>
      </c>
      <c r="H877" s="86">
        <f t="shared" si="66"/>
        <v>0</v>
      </c>
      <c r="I877" s="86">
        <f t="shared" si="67"/>
        <v>35</v>
      </c>
      <c r="J877" s="84">
        <f>VLOOKUP(C877, Products[], 6)</f>
        <v>2.5</v>
      </c>
      <c r="K877" s="86">
        <f t="shared" si="68"/>
        <v>35</v>
      </c>
      <c r="L877" s="86">
        <f t="shared" si="69"/>
        <v>0</v>
      </c>
    </row>
    <row r="878" spans="2:12" x14ac:dyDescent="0.2">
      <c r="B878">
        <v>10574</v>
      </c>
      <c r="C878">
        <v>40</v>
      </c>
      <c r="D878" s="84">
        <v>18.399999999999999</v>
      </c>
      <c r="E878">
        <v>2</v>
      </c>
      <c r="F878" s="85">
        <v>0</v>
      </c>
      <c r="G878" s="86">
        <f t="shared" si="65"/>
        <v>36.799999999999997</v>
      </c>
      <c r="H878" s="86">
        <f t="shared" si="66"/>
        <v>0</v>
      </c>
      <c r="I878" s="86">
        <f t="shared" si="67"/>
        <v>36.799999999999997</v>
      </c>
      <c r="J878" s="84">
        <f>VLOOKUP(C878, Products[], 6)</f>
        <v>18.399999999999999</v>
      </c>
      <c r="K878" s="86">
        <f t="shared" si="68"/>
        <v>36.799999999999997</v>
      </c>
      <c r="L878" s="86">
        <f t="shared" si="69"/>
        <v>0</v>
      </c>
    </row>
    <row r="879" spans="2:12" x14ac:dyDescent="0.2">
      <c r="B879">
        <v>10574</v>
      </c>
      <c r="C879">
        <v>62</v>
      </c>
      <c r="D879" s="84">
        <v>49.3</v>
      </c>
      <c r="E879">
        <v>10</v>
      </c>
      <c r="F879" s="85">
        <v>0</v>
      </c>
      <c r="G879" s="86">
        <f t="shared" si="65"/>
        <v>493</v>
      </c>
      <c r="H879" s="86">
        <f t="shared" si="66"/>
        <v>0</v>
      </c>
      <c r="I879" s="86">
        <f t="shared" si="67"/>
        <v>493</v>
      </c>
      <c r="J879" s="84">
        <f>VLOOKUP(C879, Products[], 6)</f>
        <v>49.3</v>
      </c>
      <c r="K879" s="86">
        <f t="shared" si="68"/>
        <v>493</v>
      </c>
      <c r="L879" s="86">
        <f t="shared" si="69"/>
        <v>0</v>
      </c>
    </row>
    <row r="880" spans="2:12" x14ac:dyDescent="0.2">
      <c r="B880">
        <v>10574</v>
      </c>
      <c r="C880">
        <v>64</v>
      </c>
      <c r="D880" s="84">
        <v>33.25</v>
      </c>
      <c r="E880">
        <v>6</v>
      </c>
      <c r="F880" s="85">
        <v>0</v>
      </c>
      <c r="G880" s="86">
        <f t="shared" si="65"/>
        <v>199.5</v>
      </c>
      <c r="H880" s="86">
        <f t="shared" si="66"/>
        <v>0</v>
      </c>
      <c r="I880" s="86">
        <f t="shared" si="67"/>
        <v>199.5</v>
      </c>
      <c r="J880" s="84">
        <f>VLOOKUP(C880, Products[], 6)</f>
        <v>33.25</v>
      </c>
      <c r="K880" s="86">
        <f t="shared" si="68"/>
        <v>199.5</v>
      </c>
      <c r="L880" s="86">
        <f t="shared" si="69"/>
        <v>0</v>
      </c>
    </row>
    <row r="881" spans="2:12" x14ac:dyDescent="0.2">
      <c r="B881">
        <v>10575</v>
      </c>
      <c r="C881">
        <v>59</v>
      </c>
      <c r="D881" s="84">
        <v>55</v>
      </c>
      <c r="E881">
        <v>12</v>
      </c>
      <c r="F881" s="85">
        <v>0</v>
      </c>
      <c r="G881" s="86">
        <f t="shared" si="65"/>
        <v>660</v>
      </c>
      <c r="H881" s="86">
        <f t="shared" si="66"/>
        <v>0</v>
      </c>
      <c r="I881" s="86">
        <f t="shared" si="67"/>
        <v>660</v>
      </c>
      <c r="J881" s="84">
        <f>VLOOKUP(C881, Products[], 6)</f>
        <v>55</v>
      </c>
      <c r="K881" s="86">
        <f t="shared" si="68"/>
        <v>660</v>
      </c>
      <c r="L881" s="86">
        <f t="shared" si="69"/>
        <v>0</v>
      </c>
    </row>
    <row r="882" spans="2:12" x14ac:dyDescent="0.2">
      <c r="B882">
        <v>10575</v>
      </c>
      <c r="C882">
        <v>63</v>
      </c>
      <c r="D882" s="84">
        <v>43.9</v>
      </c>
      <c r="E882">
        <v>6</v>
      </c>
      <c r="F882" s="85">
        <v>0</v>
      </c>
      <c r="G882" s="86">
        <f t="shared" si="65"/>
        <v>263.39999999999998</v>
      </c>
      <c r="H882" s="86">
        <f t="shared" si="66"/>
        <v>0</v>
      </c>
      <c r="I882" s="86">
        <f t="shared" si="67"/>
        <v>263.39999999999998</v>
      </c>
      <c r="J882" s="84">
        <f>VLOOKUP(C882, Products[], 6)</f>
        <v>43.9</v>
      </c>
      <c r="K882" s="86">
        <f t="shared" si="68"/>
        <v>263.39999999999998</v>
      </c>
      <c r="L882" s="86">
        <f t="shared" si="69"/>
        <v>0</v>
      </c>
    </row>
    <row r="883" spans="2:12" x14ac:dyDescent="0.2">
      <c r="B883">
        <v>10575</v>
      </c>
      <c r="C883">
        <v>72</v>
      </c>
      <c r="D883" s="84">
        <v>34.799999999999997</v>
      </c>
      <c r="E883">
        <v>30</v>
      </c>
      <c r="F883" s="85">
        <v>0</v>
      </c>
      <c r="G883" s="86">
        <f t="shared" si="65"/>
        <v>1044</v>
      </c>
      <c r="H883" s="86">
        <f t="shared" si="66"/>
        <v>0</v>
      </c>
      <c r="I883" s="86">
        <f t="shared" si="67"/>
        <v>1044</v>
      </c>
      <c r="J883" s="84">
        <f>VLOOKUP(C883, Products[], 6)</f>
        <v>34.799999999999997</v>
      </c>
      <c r="K883" s="86">
        <f t="shared" si="68"/>
        <v>1044</v>
      </c>
      <c r="L883" s="86">
        <f t="shared" si="69"/>
        <v>0</v>
      </c>
    </row>
    <row r="884" spans="2:12" x14ac:dyDescent="0.2">
      <c r="B884">
        <v>10575</v>
      </c>
      <c r="C884">
        <v>76</v>
      </c>
      <c r="D884" s="84">
        <v>18</v>
      </c>
      <c r="E884">
        <v>10</v>
      </c>
      <c r="F884" s="85">
        <v>0</v>
      </c>
      <c r="G884" s="86">
        <f t="shared" si="65"/>
        <v>180</v>
      </c>
      <c r="H884" s="86">
        <f t="shared" si="66"/>
        <v>0</v>
      </c>
      <c r="I884" s="86">
        <f t="shared" si="67"/>
        <v>180</v>
      </c>
      <c r="J884" s="84">
        <f>VLOOKUP(C884, Products[], 6)</f>
        <v>18</v>
      </c>
      <c r="K884" s="86">
        <f t="shared" si="68"/>
        <v>180</v>
      </c>
      <c r="L884" s="86">
        <f t="shared" si="69"/>
        <v>0</v>
      </c>
    </row>
    <row r="885" spans="2:12" x14ac:dyDescent="0.2">
      <c r="B885">
        <v>10576</v>
      </c>
      <c r="C885">
        <v>1</v>
      </c>
      <c r="D885" s="84">
        <v>18</v>
      </c>
      <c r="E885">
        <v>10</v>
      </c>
      <c r="F885" s="85">
        <v>0</v>
      </c>
      <c r="G885" s="86">
        <f t="shared" si="65"/>
        <v>180</v>
      </c>
      <c r="H885" s="86">
        <f t="shared" si="66"/>
        <v>0</v>
      </c>
      <c r="I885" s="86">
        <f t="shared" si="67"/>
        <v>180</v>
      </c>
      <c r="J885" s="84">
        <f>VLOOKUP(C885, Products[], 6)</f>
        <v>18</v>
      </c>
      <c r="K885" s="86">
        <f t="shared" si="68"/>
        <v>180</v>
      </c>
      <c r="L885" s="86">
        <f t="shared" si="69"/>
        <v>0</v>
      </c>
    </row>
    <row r="886" spans="2:12" x14ac:dyDescent="0.2">
      <c r="B886">
        <v>10576</v>
      </c>
      <c r="C886">
        <v>31</v>
      </c>
      <c r="D886" s="84">
        <v>12.5</v>
      </c>
      <c r="E886">
        <v>20</v>
      </c>
      <c r="F886" s="85">
        <v>0</v>
      </c>
      <c r="G886" s="86">
        <f t="shared" si="65"/>
        <v>250</v>
      </c>
      <c r="H886" s="86">
        <f t="shared" si="66"/>
        <v>0</v>
      </c>
      <c r="I886" s="86">
        <f t="shared" si="67"/>
        <v>250</v>
      </c>
      <c r="J886" s="84">
        <f>VLOOKUP(C886, Products[], 6)</f>
        <v>12.5</v>
      </c>
      <c r="K886" s="86">
        <f t="shared" si="68"/>
        <v>250</v>
      </c>
      <c r="L886" s="86">
        <f t="shared" si="69"/>
        <v>0</v>
      </c>
    </row>
    <row r="887" spans="2:12" x14ac:dyDescent="0.2">
      <c r="B887">
        <v>10576</v>
      </c>
      <c r="C887">
        <v>44</v>
      </c>
      <c r="D887" s="84">
        <v>19.45</v>
      </c>
      <c r="E887">
        <v>21</v>
      </c>
      <c r="F887" s="85">
        <v>0</v>
      </c>
      <c r="G887" s="86">
        <f t="shared" si="65"/>
        <v>408.45</v>
      </c>
      <c r="H887" s="86">
        <f t="shared" si="66"/>
        <v>0</v>
      </c>
      <c r="I887" s="86">
        <f t="shared" si="67"/>
        <v>408.45</v>
      </c>
      <c r="J887" s="84">
        <f>VLOOKUP(C887, Products[], 6)</f>
        <v>19.45</v>
      </c>
      <c r="K887" s="86">
        <f t="shared" si="68"/>
        <v>408.45</v>
      </c>
      <c r="L887" s="86">
        <f t="shared" si="69"/>
        <v>0</v>
      </c>
    </row>
    <row r="888" spans="2:12" x14ac:dyDescent="0.2">
      <c r="B888">
        <v>10577</v>
      </c>
      <c r="C888">
        <v>39</v>
      </c>
      <c r="D888" s="84">
        <v>18</v>
      </c>
      <c r="E888">
        <v>10</v>
      </c>
      <c r="F888" s="85">
        <v>0</v>
      </c>
      <c r="G888" s="86">
        <f t="shared" si="65"/>
        <v>180</v>
      </c>
      <c r="H888" s="86">
        <f t="shared" si="66"/>
        <v>0</v>
      </c>
      <c r="I888" s="86">
        <f t="shared" si="67"/>
        <v>180</v>
      </c>
      <c r="J888" s="84">
        <f>VLOOKUP(C888, Products[], 6)</f>
        <v>18</v>
      </c>
      <c r="K888" s="86">
        <f t="shared" si="68"/>
        <v>180</v>
      </c>
      <c r="L888" s="86">
        <f t="shared" si="69"/>
        <v>0</v>
      </c>
    </row>
    <row r="889" spans="2:12" x14ac:dyDescent="0.2">
      <c r="B889">
        <v>10577</v>
      </c>
      <c r="C889">
        <v>75</v>
      </c>
      <c r="D889" s="84">
        <v>7.75</v>
      </c>
      <c r="E889">
        <v>20</v>
      </c>
      <c r="F889" s="85">
        <v>0</v>
      </c>
      <c r="G889" s="86">
        <f t="shared" si="65"/>
        <v>155</v>
      </c>
      <c r="H889" s="86">
        <f t="shared" si="66"/>
        <v>0</v>
      </c>
      <c r="I889" s="86">
        <f t="shared" si="67"/>
        <v>155</v>
      </c>
      <c r="J889" s="84">
        <f>VLOOKUP(C889, Products[], 6)</f>
        <v>7.75</v>
      </c>
      <c r="K889" s="86">
        <f t="shared" si="68"/>
        <v>155</v>
      </c>
      <c r="L889" s="86">
        <f t="shared" si="69"/>
        <v>0</v>
      </c>
    </row>
    <row r="890" spans="2:12" x14ac:dyDescent="0.2">
      <c r="B890">
        <v>10577</v>
      </c>
      <c r="C890">
        <v>77</v>
      </c>
      <c r="D890" s="84">
        <v>13</v>
      </c>
      <c r="E890">
        <v>18</v>
      </c>
      <c r="F890" s="85">
        <v>0</v>
      </c>
      <c r="G890" s="86">
        <f t="shared" si="65"/>
        <v>234</v>
      </c>
      <c r="H890" s="86">
        <f t="shared" si="66"/>
        <v>0</v>
      </c>
      <c r="I890" s="86">
        <f t="shared" si="67"/>
        <v>234</v>
      </c>
      <c r="J890" s="84">
        <f>VLOOKUP(C890, Products[], 6)</f>
        <v>13</v>
      </c>
      <c r="K890" s="86">
        <f t="shared" si="68"/>
        <v>234</v>
      </c>
      <c r="L890" s="86">
        <f t="shared" si="69"/>
        <v>0</v>
      </c>
    </row>
    <row r="891" spans="2:12" x14ac:dyDescent="0.2">
      <c r="B891">
        <v>10578</v>
      </c>
      <c r="C891">
        <v>35</v>
      </c>
      <c r="D891" s="84">
        <v>18</v>
      </c>
      <c r="E891">
        <v>20</v>
      </c>
      <c r="F891" s="85">
        <v>0</v>
      </c>
      <c r="G891" s="86">
        <f t="shared" si="65"/>
        <v>360</v>
      </c>
      <c r="H891" s="86">
        <f t="shared" si="66"/>
        <v>0</v>
      </c>
      <c r="I891" s="86">
        <f t="shared" si="67"/>
        <v>360</v>
      </c>
      <c r="J891" s="84">
        <f>VLOOKUP(C891, Products[], 6)</f>
        <v>18</v>
      </c>
      <c r="K891" s="86">
        <f t="shared" si="68"/>
        <v>360</v>
      </c>
      <c r="L891" s="86">
        <f t="shared" si="69"/>
        <v>0</v>
      </c>
    </row>
    <row r="892" spans="2:12" x14ac:dyDescent="0.2">
      <c r="B892">
        <v>10578</v>
      </c>
      <c r="C892">
        <v>57</v>
      </c>
      <c r="D892" s="84">
        <v>19.5</v>
      </c>
      <c r="E892">
        <v>6</v>
      </c>
      <c r="F892" s="85">
        <v>0</v>
      </c>
      <c r="G892" s="86">
        <f t="shared" si="65"/>
        <v>117</v>
      </c>
      <c r="H892" s="86">
        <f t="shared" si="66"/>
        <v>0</v>
      </c>
      <c r="I892" s="86">
        <f t="shared" si="67"/>
        <v>117</v>
      </c>
      <c r="J892" s="84">
        <f>VLOOKUP(C892, Products[], 6)</f>
        <v>19.5</v>
      </c>
      <c r="K892" s="86">
        <f t="shared" si="68"/>
        <v>117</v>
      </c>
      <c r="L892" s="86">
        <f t="shared" si="69"/>
        <v>0</v>
      </c>
    </row>
    <row r="893" spans="2:12" x14ac:dyDescent="0.2">
      <c r="B893">
        <v>10579</v>
      </c>
      <c r="C893">
        <v>15</v>
      </c>
      <c r="D893" s="84">
        <v>15.5</v>
      </c>
      <c r="E893">
        <v>10</v>
      </c>
      <c r="F893" s="85">
        <v>0</v>
      </c>
      <c r="G893" s="86">
        <f t="shared" si="65"/>
        <v>155</v>
      </c>
      <c r="H893" s="86">
        <f t="shared" si="66"/>
        <v>0</v>
      </c>
      <c r="I893" s="86">
        <f t="shared" si="67"/>
        <v>155</v>
      </c>
      <c r="J893" s="84">
        <f>VLOOKUP(C893, Products[], 6)</f>
        <v>15.5</v>
      </c>
      <c r="K893" s="86">
        <f t="shared" si="68"/>
        <v>155</v>
      </c>
      <c r="L893" s="86">
        <f t="shared" si="69"/>
        <v>0</v>
      </c>
    </row>
    <row r="894" spans="2:12" x14ac:dyDescent="0.2">
      <c r="B894">
        <v>10579</v>
      </c>
      <c r="C894">
        <v>75</v>
      </c>
      <c r="D894" s="84">
        <v>7.75</v>
      </c>
      <c r="E894">
        <v>21</v>
      </c>
      <c r="F894" s="85">
        <v>0</v>
      </c>
      <c r="G894" s="86">
        <f t="shared" si="65"/>
        <v>162.75</v>
      </c>
      <c r="H894" s="86">
        <f t="shared" si="66"/>
        <v>0</v>
      </c>
      <c r="I894" s="86">
        <f t="shared" si="67"/>
        <v>162.75</v>
      </c>
      <c r="J894" s="84">
        <f>VLOOKUP(C894, Products[], 6)</f>
        <v>7.75</v>
      </c>
      <c r="K894" s="86">
        <f t="shared" si="68"/>
        <v>162.75</v>
      </c>
      <c r="L894" s="86">
        <f t="shared" si="69"/>
        <v>0</v>
      </c>
    </row>
    <row r="895" spans="2:12" x14ac:dyDescent="0.2">
      <c r="B895">
        <v>10580</v>
      </c>
      <c r="C895">
        <v>14</v>
      </c>
      <c r="D895" s="84">
        <v>23.25</v>
      </c>
      <c r="E895">
        <v>15</v>
      </c>
      <c r="F895" s="85">
        <v>0.05</v>
      </c>
      <c r="G895" s="86">
        <f t="shared" si="65"/>
        <v>348.75</v>
      </c>
      <c r="H895" s="86">
        <f t="shared" si="66"/>
        <v>17.4375</v>
      </c>
      <c r="I895" s="86">
        <f t="shared" si="67"/>
        <v>331.3125</v>
      </c>
      <c r="J895" s="84">
        <f>VLOOKUP(C895, Products[], 6)</f>
        <v>23.25</v>
      </c>
      <c r="K895" s="86">
        <f t="shared" si="68"/>
        <v>348.75</v>
      </c>
      <c r="L895" s="86">
        <f t="shared" si="69"/>
        <v>-17.4375</v>
      </c>
    </row>
    <row r="896" spans="2:12" x14ac:dyDescent="0.2">
      <c r="B896">
        <v>10580</v>
      </c>
      <c r="C896">
        <v>41</v>
      </c>
      <c r="D896" s="84">
        <v>9.65</v>
      </c>
      <c r="E896">
        <v>9</v>
      </c>
      <c r="F896" s="85">
        <v>0.05</v>
      </c>
      <c r="G896" s="86">
        <f t="shared" si="65"/>
        <v>86.850000000000009</v>
      </c>
      <c r="H896" s="86">
        <f t="shared" si="66"/>
        <v>4.3425000000000002</v>
      </c>
      <c r="I896" s="86">
        <f t="shared" si="67"/>
        <v>82.507500000000007</v>
      </c>
      <c r="J896" s="84">
        <f>VLOOKUP(C896, Products[], 6)</f>
        <v>9.65</v>
      </c>
      <c r="K896" s="86">
        <f t="shared" si="68"/>
        <v>86.850000000000009</v>
      </c>
      <c r="L896" s="86">
        <f t="shared" si="69"/>
        <v>-4.3425000000000011</v>
      </c>
    </row>
    <row r="897" spans="2:12" x14ac:dyDescent="0.2">
      <c r="B897">
        <v>10580</v>
      </c>
      <c r="C897">
        <v>65</v>
      </c>
      <c r="D897" s="84">
        <v>21.05</v>
      </c>
      <c r="E897">
        <v>30</v>
      </c>
      <c r="F897" s="85">
        <v>0.05</v>
      </c>
      <c r="G897" s="86">
        <f t="shared" si="65"/>
        <v>631.5</v>
      </c>
      <c r="H897" s="86">
        <f t="shared" si="66"/>
        <v>31.575000000000003</v>
      </c>
      <c r="I897" s="86">
        <f t="shared" si="67"/>
        <v>599.92499999999995</v>
      </c>
      <c r="J897" s="84">
        <f>VLOOKUP(C897, Products[], 6)</f>
        <v>21.05</v>
      </c>
      <c r="K897" s="86">
        <f t="shared" si="68"/>
        <v>631.5</v>
      </c>
      <c r="L897" s="86">
        <f t="shared" si="69"/>
        <v>-31.575000000000045</v>
      </c>
    </row>
    <row r="898" spans="2:12" x14ac:dyDescent="0.2">
      <c r="B898">
        <v>10581</v>
      </c>
      <c r="C898">
        <v>75</v>
      </c>
      <c r="D898" s="84">
        <v>7.75</v>
      </c>
      <c r="E898">
        <v>50</v>
      </c>
      <c r="F898" s="85">
        <v>0.2</v>
      </c>
      <c r="G898" s="86">
        <f t="shared" si="65"/>
        <v>387.5</v>
      </c>
      <c r="H898" s="86">
        <f t="shared" si="66"/>
        <v>77.5</v>
      </c>
      <c r="I898" s="86">
        <f t="shared" si="67"/>
        <v>310</v>
      </c>
      <c r="J898" s="84">
        <f>VLOOKUP(C898, Products[], 6)</f>
        <v>7.75</v>
      </c>
      <c r="K898" s="86">
        <f t="shared" si="68"/>
        <v>387.5</v>
      </c>
      <c r="L898" s="86">
        <f t="shared" si="69"/>
        <v>-77.5</v>
      </c>
    </row>
    <row r="899" spans="2:12" x14ac:dyDescent="0.2">
      <c r="B899">
        <v>10582</v>
      </c>
      <c r="C899">
        <v>57</v>
      </c>
      <c r="D899" s="84">
        <v>19.5</v>
      </c>
      <c r="E899">
        <v>4</v>
      </c>
      <c r="F899" s="85">
        <v>0</v>
      </c>
      <c r="G899" s="86">
        <f t="shared" si="65"/>
        <v>78</v>
      </c>
      <c r="H899" s="86">
        <f t="shared" si="66"/>
        <v>0</v>
      </c>
      <c r="I899" s="86">
        <f t="shared" si="67"/>
        <v>78</v>
      </c>
      <c r="J899" s="84">
        <f>VLOOKUP(C899, Products[], 6)</f>
        <v>19.5</v>
      </c>
      <c r="K899" s="86">
        <f t="shared" si="68"/>
        <v>78</v>
      </c>
      <c r="L899" s="86">
        <f t="shared" si="69"/>
        <v>0</v>
      </c>
    </row>
    <row r="900" spans="2:12" x14ac:dyDescent="0.2">
      <c r="B900">
        <v>10582</v>
      </c>
      <c r="C900">
        <v>76</v>
      </c>
      <c r="D900" s="84">
        <v>18</v>
      </c>
      <c r="E900">
        <v>14</v>
      </c>
      <c r="F900" s="85">
        <v>0</v>
      </c>
      <c r="G900" s="86">
        <f t="shared" si="65"/>
        <v>252</v>
      </c>
      <c r="H900" s="86">
        <f t="shared" si="66"/>
        <v>0</v>
      </c>
      <c r="I900" s="86">
        <f t="shared" si="67"/>
        <v>252</v>
      </c>
      <c r="J900" s="84">
        <f>VLOOKUP(C900, Products[], 6)</f>
        <v>18</v>
      </c>
      <c r="K900" s="86">
        <f t="shared" si="68"/>
        <v>252</v>
      </c>
      <c r="L900" s="86">
        <f t="shared" si="69"/>
        <v>0</v>
      </c>
    </row>
    <row r="901" spans="2:12" x14ac:dyDescent="0.2">
      <c r="B901">
        <v>10583</v>
      </c>
      <c r="C901">
        <v>29</v>
      </c>
      <c r="D901" s="84">
        <v>123.79</v>
      </c>
      <c r="E901">
        <v>10</v>
      </c>
      <c r="F901" s="85">
        <v>0</v>
      </c>
      <c r="G901" s="86">
        <f t="shared" si="65"/>
        <v>1237.9000000000001</v>
      </c>
      <c r="H901" s="86">
        <f t="shared" si="66"/>
        <v>0</v>
      </c>
      <c r="I901" s="86">
        <f t="shared" si="67"/>
        <v>1237.9000000000001</v>
      </c>
      <c r="J901" s="84">
        <f>VLOOKUP(C901, Products[], 6)</f>
        <v>123.79</v>
      </c>
      <c r="K901" s="86">
        <f t="shared" si="68"/>
        <v>1237.9000000000001</v>
      </c>
      <c r="L901" s="86">
        <f t="shared" si="69"/>
        <v>0</v>
      </c>
    </row>
    <row r="902" spans="2:12" x14ac:dyDescent="0.2">
      <c r="B902">
        <v>10583</v>
      </c>
      <c r="C902">
        <v>60</v>
      </c>
      <c r="D902" s="84">
        <v>34</v>
      </c>
      <c r="E902">
        <v>24</v>
      </c>
      <c r="F902" s="85">
        <v>0.15</v>
      </c>
      <c r="G902" s="86">
        <f t="shared" si="65"/>
        <v>816</v>
      </c>
      <c r="H902" s="86">
        <f t="shared" si="66"/>
        <v>122.39999999999999</v>
      </c>
      <c r="I902" s="86">
        <f t="shared" si="67"/>
        <v>693.6</v>
      </c>
      <c r="J902" s="84">
        <f>VLOOKUP(C902, Products[], 6)</f>
        <v>34</v>
      </c>
      <c r="K902" s="86">
        <f t="shared" si="68"/>
        <v>816</v>
      </c>
      <c r="L902" s="86">
        <f t="shared" si="69"/>
        <v>-122.39999999999998</v>
      </c>
    </row>
    <row r="903" spans="2:12" x14ac:dyDescent="0.2">
      <c r="B903">
        <v>10583</v>
      </c>
      <c r="C903">
        <v>69</v>
      </c>
      <c r="D903" s="84">
        <v>36</v>
      </c>
      <c r="E903">
        <v>10</v>
      </c>
      <c r="F903" s="85">
        <v>0.15</v>
      </c>
      <c r="G903" s="86">
        <f t="shared" ref="G903:G966" si="70">D903*E903</f>
        <v>360</v>
      </c>
      <c r="H903" s="86">
        <f t="shared" ref="H903:H966" si="71">G903*F903</f>
        <v>54</v>
      </c>
      <c r="I903" s="86">
        <f t="shared" ref="I903:I966" si="72">G903-H903</f>
        <v>306</v>
      </c>
      <c r="J903" s="84">
        <f>VLOOKUP(C903, Products[], 6)</f>
        <v>36</v>
      </c>
      <c r="K903" s="86">
        <f t="shared" ref="K903:K966" si="73">J903*E903</f>
        <v>360</v>
      </c>
      <c r="L903" s="86">
        <f t="shared" ref="L903:L966" si="74">I903-K903</f>
        <v>-54</v>
      </c>
    </row>
    <row r="904" spans="2:12" x14ac:dyDescent="0.2">
      <c r="B904">
        <v>10584</v>
      </c>
      <c r="C904">
        <v>31</v>
      </c>
      <c r="D904" s="84">
        <v>12.5</v>
      </c>
      <c r="E904">
        <v>50</v>
      </c>
      <c r="F904" s="85">
        <v>0.05</v>
      </c>
      <c r="G904" s="86">
        <f t="shared" si="70"/>
        <v>625</v>
      </c>
      <c r="H904" s="86">
        <f t="shared" si="71"/>
        <v>31.25</v>
      </c>
      <c r="I904" s="86">
        <f t="shared" si="72"/>
        <v>593.75</v>
      </c>
      <c r="J904" s="84">
        <f>VLOOKUP(C904, Products[], 6)</f>
        <v>12.5</v>
      </c>
      <c r="K904" s="86">
        <f t="shared" si="73"/>
        <v>625</v>
      </c>
      <c r="L904" s="86">
        <f t="shared" si="74"/>
        <v>-31.25</v>
      </c>
    </row>
    <row r="905" spans="2:12" x14ac:dyDescent="0.2">
      <c r="B905">
        <v>10585</v>
      </c>
      <c r="C905">
        <v>47</v>
      </c>
      <c r="D905" s="84">
        <v>9.5</v>
      </c>
      <c r="E905">
        <v>15</v>
      </c>
      <c r="F905" s="85">
        <v>0</v>
      </c>
      <c r="G905" s="86">
        <f t="shared" si="70"/>
        <v>142.5</v>
      </c>
      <c r="H905" s="86">
        <f t="shared" si="71"/>
        <v>0</v>
      </c>
      <c r="I905" s="86">
        <f t="shared" si="72"/>
        <v>142.5</v>
      </c>
      <c r="J905" s="84">
        <f>VLOOKUP(C905, Products[], 6)</f>
        <v>9.5</v>
      </c>
      <c r="K905" s="86">
        <f t="shared" si="73"/>
        <v>142.5</v>
      </c>
      <c r="L905" s="86">
        <f t="shared" si="74"/>
        <v>0</v>
      </c>
    </row>
    <row r="906" spans="2:12" x14ac:dyDescent="0.2">
      <c r="B906">
        <v>10586</v>
      </c>
      <c r="C906">
        <v>52</v>
      </c>
      <c r="D906" s="84">
        <v>7</v>
      </c>
      <c r="E906">
        <v>4</v>
      </c>
      <c r="F906" s="85">
        <v>0.15</v>
      </c>
      <c r="G906" s="86">
        <f t="shared" si="70"/>
        <v>28</v>
      </c>
      <c r="H906" s="86">
        <f t="shared" si="71"/>
        <v>4.2</v>
      </c>
      <c r="I906" s="86">
        <f t="shared" si="72"/>
        <v>23.8</v>
      </c>
      <c r="J906" s="84">
        <f>VLOOKUP(C906, Products[], 6)</f>
        <v>7</v>
      </c>
      <c r="K906" s="86">
        <f t="shared" si="73"/>
        <v>28</v>
      </c>
      <c r="L906" s="86">
        <f t="shared" si="74"/>
        <v>-4.1999999999999993</v>
      </c>
    </row>
    <row r="907" spans="2:12" x14ac:dyDescent="0.2">
      <c r="B907">
        <v>10587</v>
      </c>
      <c r="C907">
        <v>26</v>
      </c>
      <c r="D907" s="84">
        <v>31.23</v>
      </c>
      <c r="E907">
        <v>6</v>
      </c>
      <c r="F907" s="85">
        <v>0</v>
      </c>
      <c r="G907" s="86">
        <f t="shared" si="70"/>
        <v>187.38</v>
      </c>
      <c r="H907" s="86">
        <f t="shared" si="71"/>
        <v>0</v>
      </c>
      <c r="I907" s="86">
        <f t="shared" si="72"/>
        <v>187.38</v>
      </c>
      <c r="J907" s="84">
        <f>VLOOKUP(C907, Products[], 6)</f>
        <v>31.23</v>
      </c>
      <c r="K907" s="86">
        <f t="shared" si="73"/>
        <v>187.38</v>
      </c>
      <c r="L907" s="86">
        <f t="shared" si="74"/>
        <v>0</v>
      </c>
    </row>
    <row r="908" spans="2:12" x14ac:dyDescent="0.2">
      <c r="B908">
        <v>10587</v>
      </c>
      <c r="C908">
        <v>35</v>
      </c>
      <c r="D908" s="84">
        <v>18</v>
      </c>
      <c r="E908">
        <v>20</v>
      </c>
      <c r="F908" s="85">
        <v>0</v>
      </c>
      <c r="G908" s="86">
        <f t="shared" si="70"/>
        <v>360</v>
      </c>
      <c r="H908" s="86">
        <f t="shared" si="71"/>
        <v>0</v>
      </c>
      <c r="I908" s="86">
        <f t="shared" si="72"/>
        <v>360</v>
      </c>
      <c r="J908" s="84">
        <f>VLOOKUP(C908, Products[], 6)</f>
        <v>18</v>
      </c>
      <c r="K908" s="86">
        <f t="shared" si="73"/>
        <v>360</v>
      </c>
      <c r="L908" s="86">
        <f t="shared" si="74"/>
        <v>0</v>
      </c>
    </row>
    <row r="909" spans="2:12" x14ac:dyDescent="0.2">
      <c r="B909">
        <v>10587</v>
      </c>
      <c r="C909">
        <v>77</v>
      </c>
      <c r="D909" s="84">
        <v>13</v>
      </c>
      <c r="E909">
        <v>20</v>
      </c>
      <c r="F909" s="85">
        <v>0</v>
      </c>
      <c r="G909" s="86">
        <f t="shared" si="70"/>
        <v>260</v>
      </c>
      <c r="H909" s="86">
        <f t="shared" si="71"/>
        <v>0</v>
      </c>
      <c r="I909" s="86">
        <f t="shared" si="72"/>
        <v>260</v>
      </c>
      <c r="J909" s="84">
        <f>VLOOKUP(C909, Products[], 6)</f>
        <v>13</v>
      </c>
      <c r="K909" s="86">
        <f t="shared" si="73"/>
        <v>260</v>
      </c>
      <c r="L909" s="86">
        <f t="shared" si="74"/>
        <v>0</v>
      </c>
    </row>
    <row r="910" spans="2:12" x14ac:dyDescent="0.2">
      <c r="B910">
        <v>10588</v>
      </c>
      <c r="C910">
        <v>18</v>
      </c>
      <c r="D910" s="84">
        <v>62.5</v>
      </c>
      <c r="E910">
        <v>40</v>
      </c>
      <c r="F910" s="85">
        <v>0.2</v>
      </c>
      <c r="G910" s="86">
        <f t="shared" si="70"/>
        <v>2500</v>
      </c>
      <c r="H910" s="86">
        <f t="shared" si="71"/>
        <v>500</v>
      </c>
      <c r="I910" s="86">
        <f t="shared" si="72"/>
        <v>2000</v>
      </c>
      <c r="J910" s="84">
        <f>VLOOKUP(C910, Products[], 6)</f>
        <v>62.5</v>
      </c>
      <c r="K910" s="86">
        <f t="shared" si="73"/>
        <v>2500</v>
      </c>
      <c r="L910" s="86">
        <f t="shared" si="74"/>
        <v>-500</v>
      </c>
    </row>
    <row r="911" spans="2:12" x14ac:dyDescent="0.2">
      <c r="B911">
        <v>10588</v>
      </c>
      <c r="C911">
        <v>42</v>
      </c>
      <c r="D911" s="84">
        <v>14</v>
      </c>
      <c r="E911">
        <v>100</v>
      </c>
      <c r="F911" s="85">
        <v>0.2</v>
      </c>
      <c r="G911" s="86">
        <f t="shared" si="70"/>
        <v>1400</v>
      </c>
      <c r="H911" s="86">
        <f t="shared" si="71"/>
        <v>280</v>
      </c>
      <c r="I911" s="86">
        <f t="shared" si="72"/>
        <v>1120</v>
      </c>
      <c r="J911" s="84">
        <f>VLOOKUP(C911, Products[], 6)</f>
        <v>14</v>
      </c>
      <c r="K911" s="86">
        <f t="shared" si="73"/>
        <v>1400</v>
      </c>
      <c r="L911" s="86">
        <f t="shared" si="74"/>
        <v>-280</v>
      </c>
    </row>
    <row r="912" spans="2:12" x14ac:dyDescent="0.2">
      <c r="B912">
        <v>10589</v>
      </c>
      <c r="C912">
        <v>35</v>
      </c>
      <c r="D912" s="84">
        <v>18</v>
      </c>
      <c r="E912">
        <v>4</v>
      </c>
      <c r="F912" s="85">
        <v>0</v>
      </c>
      <c r="G912" s="86">
        <f t="shared" si="70"/>
        <v>72</v>
      </c>
      <c r="H912" s="86">
        <f t="shared" si="71"/>
        <v>0</v>
      </c>
      <c r="I912" s="86">
        <f t="shared" si="72"/>
        <v>72</v>
      </c>
      <c r="J912" s="84">
        <f>VLOOKUP(C912, Products[], 6)</f>
        <v>18</v>
      </c>
      <c r="K912" s="86">
        <f t="shared" si="73"/>
        <v>72</v>
      </c>
      <c r="L912" s="86">
        <f t="shared" si="74"/>
        <v>0</v>
      </c>
    </row>
    <row r="913" spans="2:12" x14ac:dyDescent="0.2">
      <c r="B913">
        <v>10590</v>
      </c>
      <c r="C913">
        <v>1</v>
      </c>
      <c r="D913" s="84">
        <v>18</v>
      </c>
      <c r="E913">
        <v>20</v>
      </c>
      <c r="F913" s="85">
        <v>0</v>
      </c>
      <c r="G913" s="86">
        <f t="shared" si="70"/>
        <v>360</v>
      </c>
      <c r="H913" s="86">
        <f t="shared" si="71"/>
        <v>0</v>
      </c>
      <c r="I913" s="86">
        <f t="shared" si="72"/>
        <v>360</v>
      </c>
      <c r="J913" s="84">
        <f>VLOOKUP(C913, Products[], 6)</f>
        <v>18</v>
      </c>
      <c r="K913" s="86">
        <f t="shared" si="73"/>
        <v>360</v>
      </c>
      <c r="L913" s="86">
        <f t="shared" si="74"/>
        <v>0</v>
      </c>
    </row>
    <row r="914" spans="2:12" x14ac:dyDescent="0.2">
      <c r="B914">
        <v>10590</v>
      </c>
      <c r="C914">
        <v>77</v>
      </c>
      <c r="D914" s="84">
        <v>13</v>
      </c>
      <c r="E914">
        <v>60</v>
      </c>
      <c r="F914" s="85">
        <v>0.05</v>
      </c>
      <c r="G914" s="86">
        <f t="shared" si="70"/>
        <v>780</v>
      </c>
      <c r="H914" s="86">
        <f t="shared" si="71"/>
        <v>39</v>
      </c>
      <c r="I914" s="86">
        <f t="shared" si="72"/>
        <v>741</v>
      </c>
      <c r="J914" s="84">
        <f>VLOOKUP(C914, Products[], 6)</f>
        <v>13</v>
      </c>
      <c r="K914" s="86">
        <f t="shared" si="73"/>
        <v>780</v>
      </c>
      <c r="L914" s="86">
        <f t="shared" si="74"/>
        <v>-39</v>
      </c>
    </row>
    <row r="915" spans="2:12" x14ac:dyDescent="0.2">
      <c r="B915">
        <v>10591</v>
      </c>
      <c r="C915">
        <v>3</v>
      </c>
      <c r="D915" s="84">
        <v>10</v>
      </c>
      <c r="E915">
        <v>14</v>
      </c>
      <c r="F915" s="85">
        <v>0</v>
      </c>
      <c r="G915" s="86">
        <f t="shared" si="70"/>
        <v>140</v>
      </c>
      <c r="H915" s="86">
        <f t="shared" si="71"/>
        <v>0</v>
      </c>
      <c r="I915" s="86">
        <f t="shared" si="72"/>
        <v>140</v>
      </c>
      <c r="J915" s="84">
        <f>VLOOKUP(C915, Products[], 6)</f>
        <v>10</v>
      </c>
      <c r="K915" s="86">
        <f t="shared" si="73"/>
        <v>140</v>
      </c>
      <c r="L915" s="86">
        <f t="shared" si="74"/>
        <v>0</v>
      </c>
    </row>
    <row r="916" spans="2:12" x14ac:dyDescent="0.2">
      <c r="B916">
        <v>10591</v>
      </c>
      <c r="C916">
        <v>7</v>
      </c>
      <c r="D916" s="84">
        <v>30</v>
      </c>
      <c r="E916">
        <v>10</v>
      </c>
      <c r="F916" s="85">
        <v>0</v>
      </c>
      <c r="G916" s="86">
        <f t="shared" si="70"/>
        <v>300</v>
      </c>
      <c r="H916" s="86">
        <f t="shared" si="71"/>
        <v>0</v>
      </c>
      <c r="I916" s="86">
        <f t="shared" si="72"/>
        <v>300</v>
      </c>
      <c r="J916" s="84">
        <f>VLOOKUP(C916, Products[], 6)</f>
        <v>30</v>
      </c>
      <c r="K916" s="86">
        <f t="shared" si="73"/>
        <v>300</v>
      </c>
      <c r="L916" s="86">
        <f t="shared" si="74"/>
        <v>0</v>
      </c>
    </row>
    <row r="917" spans="2:12" x14ac:dyDescent="0.2">
      <c r="B917">
        <v>10591</v>
      </c>
      <c r="C917">
        <v>54</v>
      </c>
      <c r="D917" s="84">
        <v>7.45</v>
      </c>
      <c r="E917">
        <v>50</v>
      </c>
      <c r="F917" s="85">
        <v>0</v>
      </c>
      <c r="G917" s="86">
        <f t="shared" si="70"/>
        <v>372.5</v>
      </c>
      <c r="H917" s="86">
        <f t="shared" si="71"/>
        <v>0</v>
      </c>
      <c r="I917" s="86">
        <f t="shared" si="72"/>
        <v>372.5</v>
      </c>
      <c r="J917" s="84">
        <f>VLOOKUP(C917, Products[], 6)</f>
        <v>7.45</v>
      </c>
      <c r="K917" s="86">
        <f t="shared" si="73"/>
        <v>372.5</v>
      </c>
      <c r="L917" s="86">
        <f t="shared" si="74"/>
        <v>0</v>
      </c>
    </row>
    <row r="918" spans="2:12" x14ac:dyDescent="0.2">
      <c r="B918">
        <v>10592</v>
      </c>
      <c r="C918">
        <v>15</v>
      </c>
      <c r="D918" s="84">
        <v>15.5</v>
      </c>
      <c r="E918">
        <v>25</v>
      </c>
      <c r="F918" s="85">
        <v>0.05</v>
      </c>
      <c r="G918" s="86">
        <f t="shared" si="70"/>
        <v>387.5</v>
      </c>
      <c r="H918" s="86">
        <f t="shared" si="71"/>
        <v>19.375</v>
      </c>
      <c r="I918" s="86">
        <f t="shared" si="72"/>
        <v>368.125</v>
      </c>
      <c r="J918" s="84">
        <f>VLOOKUP(C918, Products[], 6)</f>
        <v>15.5</v>
      </c>
      <c r="K918" s="86">
        <f t="shared" si="73"/>
        <v>387.5</v>
      </c>
      <c r="L918" s="86">
        <f t="shared" si="74"/>
        <v>-19.375</v>
      </c>
    </row>
    <row r="919" spans="2:12" x14ac:dyDescent="0.2">
      <c r="B919">
        <v>10592</v>
      </c>
      <c r="C919">
        <v>26</v>
      </c>
      <c r="D919" s="84">
        <v>31.23</v>
      </c>
      <c r="E919">
        <v>5</v>
      </c>
      <c r="F919" s="85">
        <v>0.05</v>
      </c>
      <c r="G919" s="86">
        <f t="shared" si="70"/>
        <v>156.15</v>
      </c>
      <c r="H919" s="86">
        <f t="shared" si="71"/>
        <v>7.807500000000001</v>
      </c>
      <c r="I919" s="86">
        <f t="shared" si="72"/>
        <v>148.3425</v>
      </c>
      <c r="J919" s="84">
        <f>VLOOKUP(C919, Products[], 6)</f>
        <v>31.23</v>
      </c>
      <c r="K919" s="86">
        <f t="shared" si="73"/>
        <v>156.15</v>
      </c>
      <c r="L919" s="86">
        <f t="shared" si="74"/>
        <v>-7.8075000000000045</v>
      </c>
    </row>
    <row r="920" spans="2:12" x14ac:dyDescent="0.2">
      <c r="B920">
        <v>10593</v>
      </c>
      <c r="C920">
        <v>20</v>
      </c>
      <c r="D920" s="84">
        <v>81</v>
      </c>
      <c r="E920">
        <v>21</v>
      </c>
      <c r="F920" s="85">
        <v>0.2</v>
      </c>
      <c r="G920" s="86">
        <f t="shared" si="70"/>
        <v>1701</v>
      </c>
      <c r="H920" s="86">
        <f t="shared" si="71"/>
        <v>340.20000000000005</v>
      </c>
      <c r="I920" s="86">
        <f t="shared" si="72"/>
        <v>1360.8</v>
      </c>
      <c r="J920" s="84">
        <f>VLOOKUP(C920, Products[], 6)</f>
        <v>81</v>
      </c>
      <c r="K920" s="86">
        <f t="shared" si="73"/>
        <v>1701</v>
      </c>
      <c r="L920" s="86">
        <f t="shared" si="74"/>
        <v>-340.20000000000005</v>
      </c>
    </row>
    <row r="921" spans="2:12" x14ac:dyDescent="0.2">
      <c r="B921">
        <v>10593</v>
      </c>
      <c r="C921">
        <v>69</v>
      </c>
      <c r="D921" s="84">
        <v>36</v>
      </c>
      <c r="E921">
        <v>20</v>
      </c>
      <c r="F921" s="85">
        <v>0.2</v>
      </c>
      <c r="G921" s="86">
        <f t="shared" si="70"/>
        <v>720</v>
      </c>
      <c r="H921" s="86">
        <f t="shared" si="71"/>
        <v>144</v>
      </c>
      <c r="I921" s="86">
        <f t="shared" si="72"/>
        <v>576</v>
      </c>
      <c r="J921" s="84">
        <f>VLOOKUP(C921, Products[], 6)</f>
        <v>36</v>
      </c>
      <c r="K921" s="86">
        <f t="shared" si="73"/>
        <v>720</v>
      </c>
      <c r="L921" s="86">
        <f t="shared" si="74"/>
        <v>-144</v>
      </c>
    </row>
    <row r="922" spans="2:12" x14ac:dyDescent="0.2">
      <c r="B922">
        <v>10593</v>
      </c>
      <c r="C922">
        <v>76</v>
      </c>
      <c r="D922" s="84">
        <v>18</v>
      </c>
      <c r="E922">
        <v>4</v>
      </c>
      <c r="F922" s="85">
        <v>0.2</v>
      </c>
      <c r="G922" s="86">
        <f t="shared" si="70"/>
        <v>72</v>
      </c>
      <c r="H922" s="86">
        <f t="shared" si="71"/>
        <v>14.4</v>
      </c>
      <c r="I922" s="86">
        <f t="shared" si="72"/>
        <v>57.6</v>
      </c>
      <c r="J922" s="84">
        <f>VLOOKUP(C922, Products[], 6)</f>
        <v>18</v>
      </c>
      <c r="K922" s="86">
        <f t="shared" si="73"/>
        <v>72</v>
      </c>
      <c r="L922" s="86">
        <f t="shared" si="74"/>
        <v>-14.399999999999999</v>
      </c>
    </row>
    <row r="923" spans="2:12" x14ac:dyDescent="0.2">
      <c r="B923">
        <v>10594</v>
      </c>
      <c r="C923">
        <v>52</v>
      </c>
      <c r="D923" s="84">
        <v>7</v>
      </c>
      <c r="E923">
        <v>24</v>
      </c>
      <c r="F923" s="85">
        <v>0</v>
      </c>
      <c r="G923" s="86">
        <f t="shared" si="70"/>
        <v>168</v>
      </c>
      <c r="H923" s="86">
        <f t="shared" si="71"/>
        <v>0</v>
      </c>
      <c r="I923" s="86">
        <f t="shared" si="72"/>
        <v>168</v>
      </c>
      <c r="J923" s="84">
        <f>VLOOKUP(C923, Products[], 6)</f>
        <v>7</v>
      </c>
      <c r="K923" s="86">
        <f t="shared" si="73"/>
        <v>168</v>
      </c>
      <c r="L923" s="86">
        <f t="shared" si="74"/>
        <v>0</v>
      </c>
    </row>
    <row r="924" spans="2:12" x14ac:dyDescent="0.2">
      <c r="B924">
        <v>10594</v>
      </c>
      <c r="C924">
        <v>58</v>
      </c>
      <c r="D924" s="84">
        <v>13.25</v>
      </c>
      <c r="E924">
        <v>30</v>
      </c>
      <c r="F924" s="85">
        <v>0</v>
      </c>
      <c r="G924" s="86">
        <f t="shared" si="70"/>
        <v>397.5</v>
      </c>
      <c r="H924" s="86">
        <f t="shared" si="71"/>
        <v>0</v>
      </c>
      <c r="I924" s="86">
        <f t="shared" si="72"/>
        <v>397.5</v>
      </c>
      <c r="J924" s="84">
        <f>VLOOKUP(C924, Products[], 6)</f>
        <v>13.25</v>
      </c>
      <c r="K924" s="86">
        <f t="shared" si="73"/>
        <v>397.5</v>
      </c>
      <c r="L924" s="86">
        <f t="shared" si="74"/>
        <v>0</v>
      </c>
    </row>
    <row r="925" spans="2:12" x14ac:dyDescent="0.2">
      <c r="B925">
        <v>10595</v>
      </c>
      <c r="C925">
        <v>35</v>
      </c>
      <c r="D925" s="84">
        <v>18</v>
      </c>
      <c r="E925">
        <v>30</v>
      </c>
      <c r="F925" s="85">
        <v>0.25</v>
      </c>
      <c r="G925" s="86">
        <f t="shared" si="70"/>
        <v>540</v>
      </c>
      <c r="H925" s="86">
        <f t="shared" si="71"/>
        <v>135</v>
      </c>
      <c r="I925" s="86">
        <f t="shared" si="72"/>
        <v>405</v>
      </c>
      <c r="J925" s="84">
        <f>VLOOKUP(C925, Products[], 6)</f>
        <v>18</v>
      </c>
      <c r="K925" s="86">
        <f t="shared" si="73"/>
        <v>540</v>
      </c>
      <c r="L925" s="86">
        <f t="shared" si="74"/>
        <v>-135</v>
      </c>
    </row>
    <row r="926" spans="2:12" x14ac:dyDescent="0.2">
      <c r="B926">
        <v>10595</v>
      </c>
      <c r="C926">
        <v>61</v>
      </c>
      <c r="D926" s="84">
        <v>28.5</v>
      </c>
      <c r="E926">
        <v>120</v>
      </c>
      <c r="F926" s="85">
        <v>0.25</v>
      </c>
      <c r="G926" s="86">
        <f t="shared" si="70"/>
        <v>3420</v>
      </c>
      <c r="H926" s="86">
        <f t="shared" si="71"/>
        <v>855</v>
      </c>
      <c r="I926" s="86">
        <f t="shared" si="72"/>
        <v>2565</v>
      </c>
      <c r="J926" s="84">
        <f>VLOOKUP(C926, Products[], 6)</f>
        <v>28.5</v>
      </c>
      <c r="K926" s="86">
        <f t="shared" si="73"/>
        <v>3420</v>
      </c>
      <c r="L926" s="86">
        <f t="shared" si="74"/>
        <v>-855</v>
      </c>
    </row>
    <row r="927" spans="2:12" x14ac:dyDescent="0.2">
      <c r="B927">
        <v>10595</v>
      </c>
      <c r="C927">
        <v>69</v>
      </c>
      <c r="D927" s="84">
        <v>36</v>
      </c>
      <c r="E927">
        <v>65</v>
      </c>
      <c r="F927" s="85">
        <v>0.25</v>
      </c>
      <c r="G927" s="86">
        <f t="shared" si="70"/>
        <v>2340</v>
      </c>
      <c r="H927" s="86">
        <f t="shared" si="71"/>
        <v>585</v>
      </c>
      <c r="I927" s="86">
        <f t="shared" si="72"/>
        <v>1755</v>
      </c>
      <c r="J927" s="84">
        <f>VLOOKUP(C927, Products[], 6)</f>
        <v>36</v>
      </c>
      <c r="K927" s="86">
        <f t="shared" si="73"/>
        <v>2340</v>
      </c>
      <c r="L927" s="86">
        <f t="shared" si="74"/>
        <v>-585</v>
      </c>
    </row>
    <row r="928" spans="2:12" x14ac:dyDescent="0.2">
      <c r="B928">
        <v>10596</v>
      </c>
      <c r="C928">
        <v>56</v>
      </c>
      <c r="D928" s="84">
        <v>38</v>
      </c>
      <c r="E928">
        <v>5</v>
      </c>
      <c r="F928" s="85">
        <v>0.2</v>
      </c>
      <c r="G928" s="86">
        <f t="shared" si="70"/>
        <v>190</v>
      </c>
      <c r="H928" s="86">
        <f t="shared" si="71"/>
        <v>38</v>
      </c>
      <c r="I928" s="86">
        <f t="shared" si="72"/>
        <v>152</v>
      </c>
      <c r="J928" s="84">
        <f>VLOOKUP(C928, Products[], 6)</f>
        <v>38</v>
      </c>
      <c r="K928" s="86">
        <f t="shared" si="73"/>
        <v>190</v>
      </c>
      <c r="L928" s="86">
        <f t="shared" si="74"/>
        <v>-38</v>
      </c>
    </row>
    <row r="929" spans="2:12" x14ac:dyDescent="0.2">
      <c r="B929">
        <v>10596</v>
      </c>
      <c r="C929">
        <v>63</v>
      </c>
      <c r="D929" s="84">
        <v>43.9</v>
      </c>
      <c r="E929">
        <v>24</v>
      </c>
      <c r="F929" s="85">
        <v>0.2</v>
      </c>
      <c r="G929" s="86">
        <f t="shared" si="70"/>
        <v>1053.5999999999999</v>
      </c>
      <c r="H929" s="86">
        <f t="shared" si="71"/>
        <v>210.72</v>
      </c>
      <c r="I929" s="86">
        <f t="shared" si="72"/>
        <v>842.87999999999988</v>
      </c>
      <c r="J929" s="84">
        <f>VLOOKUP(C929, Products[], 6)</f>
        <v>43.9</v>
      </c>
      <c r="K929" s="86">
        <f t="shared" si="73"/>
        <v>1053.5999999999999</v>
      </c>
      <c r="L929" s="86">
        <f t="shared" si="74"/>
        <v>-210.72000000000003</v>
      </c>
    </row>
    <row r="930" spans="2:12" x14ac:dyDescent="0.2">
      <c r="B930">
        <v>10596</v>
      </c>
      <c r="C930">
        <v>75</v>
      </c>
      <c r="D930" s="84">
        <v>7.75</v>
      </c>
      <c r="E930">
        <v>30</v>
      </c>
      <c r="F930" s="85">
        <v>0.2</v>
      </c>
      <c r="G930" s="86">
        <f t="shared" si="70"/>
        <v>232.5</v>
      </c>
      <c r="H930" s="86">
        <f t="shared" si="71"/>
        <v>46.5</v>
      </c>
      <c r="I930" s="86">
        <f t="shared" si="72"/>
        <v>186</v>
      </c>
      <c r="J930" s="84">
        <f>VLOOKUP(C930, Products[], 6)</f>
        <v>7.75</v>
      </c>
      <c r="K930" s="86">
        <f t="shared" si="73"/>
        <v>232.5</v>
      </c>
      <c r="L930" s="86">
        <f t="shared" si="74"/>
        <v>-46.5</v>
      </c>
    </row>
    <row r="931" spans="2:12" x14ac:dyDescent="0.2">
      <c r="B931">
        <v>10597</v>
      </c>
      <c r="C931">
        <v>24</v>
      </c>
      <c r="D931" s="84">
        <v>4.5</v>
      </c>
      <c r="E931">
        <v>35</v>
      </c>
      <c r="F931" s="85">
        <v>0.2</v>
      </c>
      <c r="G931" s="86">
        <f t="shared" si="70"/>
        <v>157.5</v>
      </c>
      <c r="H931" s="86">
        <f t="shared" si="71"/>
        <v>31.5</v>
      </c>
      <c r="I931" s="86">
        <f t="shared" si="72"/>
        <v>126</v>
      </c>
      <c r="J931" s="84">
        <f>VLOOKUP(C931, Products[], 6)</f>
        <v>4.5</v>
      </c>
      <c r="K931" s="86">
        <f t="shared" si="73"/>
        <v>157.5</v>
      </c>
      <c r="L931" s="86">
        <f t="shared" si="74"/>
        <v>-31.5</v>
      </c>
    </row>
    <row r="932" spans="2:12" x14ac:dyDescent="0.2">
      <c r="B932">
        <v>10597</v>
      </c>
      <c r="C932">
        <v>57</v>
      </c>
      <c r="D932" s="84">
        <v>19.5</v>
      </c>
      <c r="E932">
        <v>20</v>
      </c>
      <c r="F932" s="85">
        <v>0</v>
      </c>
      <c r="G932" s="86">
        <f t="shared" si="70"/>
        <v>390</v>
      </c>
      <c r="H932" s="86">
        <f t="shared" si="71"/>
        <v>0</v>
      </c>
      <c r="I932" s="86">
        <f t="shared" si="72"/>
        <v>390</v>
      </c>
      <c r="J932" s="84">
        <f>VLOOKUP(C932, Products[], 6)</f>
        <v>19.5</v>
      </c>
      <c r="K932" s="86">
        <f t="shared" si="73"/>
        <v>390</v>
      </c>
      <c r="L932" s="86">
        <f t="shared" si="74"/>
        <v>0</v>
      </c>
    </row>
    <row r="933" spans="2:12" x14ac:dyDescent="0.2">
      <c r="B933">
        <v>10597</v>
      </c>
      <c r="C933">
        <v>65</v>
      </c>
      <c r="D933" s="84">
        <v>21.05</v>
      </c>
      <c r="E933">
        <v>12</v>
      </c>
      <c r="F933" s="85">
        <v>0.2</v>
      </c>
      <c r="G933" s="86">
        <f t="shared" si="70"/>
        <v>252.60000000000002</v>
      </c>
      <c r="H933" s="86">
        <f t="shared" si="71"/>
        <v>50.52000000000001</v>
      </c>
      <c r="I933" s="86">
        <f t="shared" si="72"/>
        <v>202.08</v>
      </c>
      <c r="J933" s="84">
        <f>VLOOKUP(C933, Products[], 6)</f>
        <v>21.05</v>
      </c>
      <c r="K933" s="86">
        <f t="shared" si="73"/>
        <v>252.60000000000002</v>
      </c>
      <c r="L933" s="86">
        <f t="shared" si="74"/>
        <v>-50.52000000000001</v>
      </c>
    </row>
    <row r="934" spans="2:12" x14ac:dyDescent="0.2">
      <c r="B934">
        <v>10598</v>
      </c>
      <c r="C934">
        <v>27</v>
      </c>
      <c r="D934" s="84">
        <v>43.9</v>
      </c>
      <c r="E934">
        <v>50</v>
      </c>
      <c r="F934" s="85">
        <v>0</v>
      </c>
      <c r="G934" s="86">
        <f t="shared" si="70"/>
        <v>2195</v>
      </c>
      <c r="H934" s="86">
        <f t="shared" si="71"/>
        <v>0</v>
      </c>
      <c r="I934" s="86">
        <f t="shared" si="72"/>
        <v>2195</v>
      </c>
      <c r="J934" s="84">
        <f>VLOOKUP(C934, Products[], 6)</f>
        <v>43.9</v>
      </c>
      <c r="K934" s="86">
        <f t="shared" si="73"/>
        <v>2195</v>
      </c>
      <c r="L934" s="86">
        <f t="shared" si="74"/>
        <v>0</v>
      </c>
    </row>
    <row r="935" spans="2:12" x14ac:dyDescent="0.2">
      <c r="B935">
        <v>10598</v>
      </c>
      <c r="C935">
        <v>71</v>
      </c>
      <c r="D935" s="84">
        <v>21.5</v>
      </c>
      <c r="E935">
        <v>9</v>
      </c>
      <c r="F935" s="85">
        <v>0</v>
      </c>
      <c r="G935" s="86">
        <f t="shared" si="70"/>
        <v>193.5</v>
      </c>
      <c r="H935" s="86">
        <f t="shared" si="71"/>
        <v>0</v>
      </c>
      <c r="I935" s="86">
        <f t="shared" si="72"/>
        <v>193.5</v>
      </c>
      <c r="J935" s="84">
        <f>VLOOKUP(C935, Products[], 6)</f>
        <v>21.5</v>
      </c>
      <c r="K935" s="86">
        <f t="shared" si="73"/>
        <v>193.5</v>
      </c>
      <c r="L935" s="86">
        <f t="shared" si="74"/>
        <v>0</v>
      </c>
    </row>
    <row r="936" spans="2:12" x14ac:dyDescent="0.2">
      <c r="B936">
        <v>10599</v>
      </c>
      <c r="C936">
        <v>62</v>
      </c>
      <c r="D936" s="84">
        <v>49.3</v>
      </c>
      <c r="E936">
        <v>10</v>
      </c>
      <c r="F936" s="85">
        <v>0</v>
      </c>
      <c r="G936" s="86">
        <f t="shared" si="70"/>
        <v>493</v>
      </c>
      <c r="H936" s="86">
        <f t="shared" si="71"/>
        <v>0</v>
      </c>
      <c r="I936" s="86">
        <f t="shared" si="72"/>
        <v>493</v>
      </c>
      <c r="J936" s="84">
        <f>VLOOKUP(C936, Products[], 6)</f>
        <v>49.3</v>
      </c>
      <c r="K936" s="86">
        <f t="shared" si="73"/>
        <v>493</v>
      </c>
      <c r="L936" s="86">
        <f t="shared" si="74"/>
        <v>0</v>
      </c>
    </row>
    <row r="937" spans="2:12" x14ac:dyDescent="0.2">
      <c r="B937">
        <v>10600</v>
      </c>
      <c r="C937">
        <v>54</v>
      </c>
      <c r="D937" s="84">
        <v>7.45</v>
      </c>
      <c r="E937">
        <v>4</v>
      </c>
      <c r="F937" s="85">
        <v>0</v>
      </c>
      <c r="G937" s="86">
        <f t="shared" si="70"/>
        <v>29.8</v>
      </c>
      <c r="H937" s="86">
        <f t="shared" si="71"/>
        <v>0</v>
      </c>
      <c r="I937" s="86">
        <f t="shared" si="72"/>
        <v>29.8</v>
      </c>
      <c r="J937" s="84">
        <f>VLOOKUP(C937, Products[], 6)</f>
        <v>7.45</v>
      </c>
      <c r="K937" s="86">
        <f t="shared" si="73"/>
        <v>29.8</v>
      </c>
      <c r="L937" s="86">
        <f t="shared" si="74"/>
        <v>0</v>
      </c>
    </row>
    <row r="938" spans="2:12" x14ac:dyDescent="0.2">
      <c r="B938">
        <v>10600</v>
      </c>
      <c r="C938">
        <v>73</v>
      </c>
      <c r="D938" s="84">
        <v>15</v>
      </c>
      <c r="E938">
        <v>30</v>
      </c>
      <c r="F938" s="85">
        <v>0</v>
      </c>
      <c r="G938" s="86">
        <f t="shared" si="70"/>
        <v>450</v>
      </c>
      <c r="H938" s="86">
        <f t="shared" si="71"/>
        <v>0</v>
      </c>
      <c r="I938" s="86">
        <f t="shared" si="72"/>
        <v>450</v>
      </c>
      <c r="J938" s="84">
        <f>VLOOKUP(C938, Products[], 6)</f>
        <v>15</v>
      </c>
      <c r="K938" s="86">
        <f t="shared" si="73"/>
        <v>450</v>
      </c>
      <c r="L938" s="86">
        <f t="shared" si="74"/>
        <v>0</v>
      </c>
    </row>
    <row r="939" spans="2:12" x14ac:dyDescent="0.2">
      <c r="B939">
        <v>10601</v>
      </c>
      <c r="C939">
        <v>13</v>
      </c>
      <c r="D939" s="84">
        <v>6</v>
      </c>
      <c r="E939">
        <v>60</v>
      </c>
      <c r="F939" s="85">
        <v>0</v>
      </c>
      <c r="G939" s="86">
        <f t="shared" si="70"/>
        <v>360</v>
      </c>
      <c r="H939" s="86">
        <f t="shared" si="71"/>
        <v>0</v>
      </c>
      <c r="I939" s="86">
        <f t="shared" si="72"/>
        <v>360</v>
      </c>
      <c r="J939" s="84">
        <f>VLOOKUP(C939, Products[], 6)</f>
        <v>6</v>
      </c>
      <c r="K939" s="86">
        <f t="shared" si="73"/>
        <v>360</v>
      </c>
      <c r="L939" s="86">
        <f t="shared" si="74"/>
        <v>0</v>
      </c>
    </row>
    <row r="940" spans="2:12" x14ac:dyDescent="0.2">
      <c r="B940">
        <v>10601</v>
      </c>
      <c r="C940">
        <v>59</v>
      </c>
      <c r="D940" s="84">
        <v>55</v>
      </c>
      <c r="E940">
        <v>35</v>
      </c>
      <c r="F940" s="85">
        <v>0</v>
      </c>
      <c r="G940" s="86">
        <f t="shared" si="70"/>
        <v>1925</v>
      </c>
      <c r="H940" s="86">
        <f t="shared" si="71"/>
        <v>0</v>
      </c>
      <c r="I940" s="86">
        <f t="shared" si="72"/>
        <v>1925</v>
      </c>
      <c r="J940" s="84">
        <f>VLOOKUP(C940, Products[], 6)</f>
        <v>55</v>
      </c>
      <c r="K940" s="86">
        <f t="shared" si="73"/>
        <v>1925</v>
      </c>
      <c r="L940" s="86">
        <f t="shared" si="74"/>
        <v>0</v>
      </c>
    </row>
    <row r="941" spans="2:12" x14ac:dyDescent="0.2">
      <c r="B941">
        <v>10602</v>
      </c>
      <c r="C941">
        <v>77</v>
      </c>
      <c r="D941" s="84">
        <v>13</v>
      </c>
      <c r="E941">
        <v>5</v>
      </c>
      <c r="F941" s="85">
        <v>0.25</v>
      </c>
      <c r="G941" s="86">
        <f t="shared" si="70"/>
        <v>65</v>
      </c>
      <c r="H941" s="86">
        <f t="shared" si="71"/>
        <v>16.25</v>
      </c>
      <c r="I941" s="86">
        <f t="shared" si="72"/>
        <v>48.75</v>
      </c>
      <c r="J941" s="84">
        <f>VLOOKUP(C941, Products[], 6)</f>
        <v>13</v>
      </c>
      <c r="K941" s="86">
        <f t="shared" si="73"/>
        <v>65</v>
      </c>
      <c r="L941" s="86">
        <f t="shared" si="74"/>
        <v>-16.25</v>
      </c>
    </row>
    <row r="942" spans="2:12" x14ac:dyDescent="0.2">
      <c r="B942">
        <v>10603</v>
      </c>
      <c r="C942">
        <v>22</v>
      </c>
      <c r="D942" s="84">
        <v>21</v>
      </c>
      <c r="E942">
        <v>48</v>
      </c>
      <c r="F942" s="85">
        <v>0</v>
      </c>
      <c r="G942" s="86">
        <f t="shared" si="70"/>
        <v>1008</v>
      </c>
      <c r="H942" s="86">
        <f t="shared" si="71"/>
        <v>0</v>
      </c>
      <c r="I942" s="86">
        <f t="shared" si="72"/>
        <v>1008</v>
      </c>
      <c r="J942" s="84">
        <f>VLOOKUP(C942, Products[], 6)</f>
        <v>21</v>
      </c>
      <c r="K942" s="86">
        <f t="shared" si="73"/>
        <v>1008</v>
      </c>
      <c r="L942" s="86">
        <f t="shared" si="74"/>
        <v>0</v>
      </c>
    </row>
    <row r="943" spans="2:12" x14ac:dyDescent="0.2">
      <c r="B943">
        <v>10603</v>
      </c>
      <c r="C943">
        <v>49</v>
      </c>
      <c r="D943" s="84">
        <v>20</v>
      </c>
      <c r="E943">
        <v>25</v>
      </c>
      <c r="F943" s="85">
        <v>0.05</v>
      </c>
      <c r="G943" s="86">
        <f t="shared" si="70"/>
        <v>500</v>
      </c>
      <c r="H943" s="86">
        <f t="shared" si="71"/>
        <v>25</v>
      </c>
      <c r="I943" s="86">
        <f t="shared" si="72"/>
        <v>475</v>
      </c>
      <c r="J943" s="84">
        <f>VLOOKUP(C943, Products[], 6)</f>
        <v>20</v>
      </c>
      <c r="K943" s="86">
        <f t="shared" si="73"/>
        <v>500</v>
      </c>
      <c r="L943" s="86">
        <f t="shared" si="74"/>
        <v>-25</v>
      </c>
    </row>
    <row r="944" spans="2:12" x14ac:dyDescent="0.2">
      <c r="B944">
        <v>10604</v>
      </c>
      <c r="C944">
        <v>48</v>
      </c>
      <c r="D944" s="84">
        <v>12.75</v>
      </c>
      <c r="E944">
        <v>6</v>
      </c>
      <c r="F944" s="85">
        <v>0.1</v>
      </c>
      <c r="G944" s="86">
        <f t="shared" si="70"/>
        <v>76.5</v>
      </c>
      <c r="H944" s="86">
        <f t="shared" si="71"/>
        <v>7.65</v>
      </c>
      <c r="I944" s="86">
        <f t="shared" si="72"/>
        <v>68.849999999999994</v>
      </c>
      <c r="J944" s="84">
        <f>VLOOKUP(C944, Products[], 6)</f>
        <v>12.75</v>
      </c>
      <c r="K944" s="86">
        <f t="shared" si="73"/>
        <v>76.5</v>
      </c>
      <c r="L944" s="86">
        <f t="shared" si="74"/>
        <v>-7.6500000000000057</v>
      </c>
    </row>
    <row r="945" spans="2:12" x14ac:dyDescent="0.2">
      <c r="B945">
        <v>10604</v>
      </c>
      <c r="C945">
        <v>76</v>
      </c>
      <c r="D945" s="84">
        <v>18</v>
      </c>
      <c r="E945">
        <v>10</v>
      </c>
      <c r="F945" s="85">
        <v>0.1</v>
      </c>
      <c r="G945" s="86">
        <f t="shared" si="70"/>
        <v>180</v>
      </c>
      <c r="H945" s="86">
        <f t="shared" si="71"/>
        <v>18</v>
      </c>
      <c r="I945" s="86">
        <f t="shared" si="72"/>
        <v>162</v>
      </c>
      <c r="J945" s="84">
        <f>VLOOKUP(C945, Products[], 6)</f>
        <v>18</v>
      </c>
      <c r="K945" s="86">
        <f t="shared" si="73"/>
        <v>180</v>
      </c>
      <c r="L945" s="86">
        <f t="shared" si="74"/>
        <v>-18</v>
      </c>
    </row>
    <row r="946" spans="2:12" x14ac:dyDescent="0.2">
      <c r="B946">
        <v>10605</v>
      </c>
      <c r="C946">
        <v>16</v>
      </c>
      <c r="D946" s="84">
        <v>17.45</v>
      </c>
      <c r="E946">
        <v>30</v>
      </c>
      <c r="F946" s="85">
        <v>0.05</v>
      </c>
      <c r="G946" s="86">
        <f t="shared" si="70"/>
        <v>523.5</v>
      </c>
      <c r="H946" s="86">
        <f t="shared" si="71"/>
        <v>26.175000000000001</v>
      </c>
      <c r="I946" s="86">
        <f t="shared" si="72"/>
        <v>497.32499999999999</v>
      </c>
      <c r="J946" s="84">
        <f>VLOOKUP(C946, Products[], 6)</f>
        <v>17.45</v>
      </c>
      <c r="K946" s="86">
        <f t="shared" si="73"/>
        <v>523.5</v>
      </c>
      <c r="L946" s="86">
        <f t="shared" si="74"/>
        <v>-26.175000000000011</v>
      </c>
    </row>
    <row r="947" spans="2:12" x14ac:dyDescent="0.2">
      <c r="B947">
        <v>10605</v>
      </c>
      <c r="C947">
        <v>59</v>
      </c>
      <c r="D947" s="84">
        <v>55</v>
      </c>
      <c r="E947">
        <v>20</v>
      </c>
      <c r="F947" s="85">
        <v>0.05</v>
      </c>
      <c r="G947" s="86">
        <f t="shared" si="70"/>
        <v>1100</v>
      </c>
      <c r="H947" s="86">
        <f t="shared" si="71"/>
        <v>55</v>
      </c>
      <c r="I947" s="86">
        <f t="shared" si="72"/>
        <v>1045</v>
      </c>
      <c r="J947" s="84">
        <f>VLOOKUP(C947, Products[], 6)</f>
        <v>55</v>
      </c>
      <c r="K947" s="86">
        <f t="shared" si="73"/>
        <v>1100</v>
      </c>
      <c r="L947" s="86">
        <f t="shared" si="74"/>
        <v>-55</v>
      </c>
    </row>
    <row r="948" spans="2:12" x14ac:dyDescent="0.2">
      <c r="B948">
        <v>10605</v>
      </c>
      <c r="C948">
        <v>60</v>
      </c>
      <c r="D948" s="84">
        <v>34</v>
      </c>
      <c r="E948">
        <v>70</v>
      </c>
      <c r="F948" s="85">
        <v>0.05</v>
      </c>
      <c r="G948" s="86">
        <f t="shared" si="70"/>
        <v>2380</v>
      </c>
      <c r="H948" s="86">
        <f t="shared" si="71"/>
        <v>119</v>
      </c>
      <c r="I948" s="86">
        <f t="shared" si="72"/>
        <v>2261</v>
      </c>
      <c r="J948" s="84">
        <f>VLOOKUP(C948, Products[], 6)</f>
        <v>34</v>
      </c>
      <c r="K948" s="86">
        <f t="shared" si="73"/>
        <v>2380</v>
      </c>
      <c r="L948" s="86">
        <f t="shared" si="74"/>
        <v>-119</v>
      </c>
    </row>
    <row r="949" spans="2:12" x14ac:dyDescent="0.2">
      <c r="B949">
        <v>10605</v>
      </c>
      <c r="C949">
        <v>71</v>
      </c>
      <c r="D949" s="84">
        <v>21.5</v>
      </c>
      <c r="E949">
        <v>15</v>
      </c>
      <c r="F949" s="85">
        <v>0.05</v>
      </c>
      <c r="G949" s="86">
        <f t="shared" si="70"/>
        <v>322.5</v>
      </c>
      <c r="H949" s="86">
        <f t="shared" si="71"/>
        <v>16.125</v>
      </c>
      <c r="I949" s="86">
        <f t="shared" si="72"/>
        <v>306.375</v>
      </c>
      <c r="J949" s="84">
        <f>VLOOKUP(C949, Products[], 6)</f>
        <v>21.5</v>
      </c>
      <c r="K949" s="86">
        <f t="shared" si="73"/>
        <v>322.5</v>
      </c>
      <c r="L949" s="86">
        <f t="shared" si="74"/>
        <v>-16.125</v>
      </c>
    </row>
    <row r="950" spans="2:12" x14ac:dyDescent="0.2">
      <c r="B950">
        <v>10606</v>
      </c>
      <c r="C950">
        <v>4</v>
      </c>
      <c r="D950" s="84">
        <v>22</v>
      </c>
      <c r="E950">
        <v>20</v>
      </c>
      <c r="F950" s="85">
        <v>0.2</v>
      </c>
      <c r="G950" s="86">
        <f t="shared" si="70"/>
        <v>440</v>
      </c>
      <c r="H950" s="86">
        <f t="shared" si="71"/>
        <v>88</v>
      </c>
      <c r="I950" s="86">
        <f t="shared" si="72"/>
        <v>352</v>
      </c>
      <c r="J950" s="84">
        <f>VLOOKUP(C950, Products[], 6)</f>
        <v>22</v>
      </c>
      <c r="K950" s="86">
        <f t="shared" si="73"/>
        <v>440</v>
      </c>
      <c r="L950" s="86">
        <f t="shared" si="74"/>
        <v>-88</v>
      </c>
    </row>
    <row r="951" spans="2:12" x14ac:dyDescent="0.2">
      <c r="B951">
        <v>10606</v>
      </c>
      <c r="C951">
        <v>55</v>
      </c>
      <c r="D951" s="84">
        <v>24</v>
      </c>
      <c r="E951">
        <v>20</v>
      </c>
      <c r="F951" s="85">
        <v>0.2</v>
      </c>
      <c r="G951" s="86">
        <f t="shared" si="70"/>
        <v>480</v>
      </c>
      <c r="H951" s="86">
        <f t="shared" si="71"/>
        <v>96</v>
      </c>
      <c r="I951" s="86">
        <f t="shared" si="72"/>
        <v>384</v>
      </c>
      <c r="J951" s="84">
        <f>VLOOKUP(C951, Products[], 6)</f>
        <v>24</v>
      </c>
      <c r="K951" s="86">
        <f t="shared" si="73"/>
        <v>480</v>
      </c>
      <c r="L951" s="86">
        <f t="shared" si="74"/>
        <v>-96</v>
      </c>
    </row>
    <row r="952" spans="2:12" x14ac:dyDescent="0.2">
      <c r="B952">
        <v>10606</v>
      </c>
      <c r="C952">
        <v>62</v>
      </c>
      <c r="D952" s="84">
        <v>49.3</v>
      </c>
      <c r="E952">
        <v>10</v>
      </c>
      <c r="F952" s="85">
        <v>0.2</v>
      </c>
      <c r="G952" s="86">
        <f t="shared" si="70"/>
        <v>493</v>
      </c>
      <c r="H952" s="86">
        <f t="shared" si="71"/>
        <v>98.600000000000009</v>
      </c>
      <c r="I952" s="86">
        <f t="shared" si="72"/>
        <v>394.4</v>
      </c>
      <c r="J952" s="84">
        <f>VLOOKUP(C952, Products[], 6)</f>
        <v>49.3</v>
      </c>
      <c r="K952" s="86">
        <f t="shared" si="73"/>
        <v>493</v>
      </c>
      <c r="L952" s="86">
        <f t="shared" si="74"/>
        <v>-98.600000000000023</v>
      </c>
    </row>
    <row r="953" spans="2:12" x14ac:dyDescent="0.2">
      <c r="B953">
        <v>10607</v>
      </c>
      <c r="C953">
        <v>7</v>
      </c>
      <c r="D953" s="84">
        <v>30</v>
      </c>
      <c r="E953">
        <v>45</v>
      </c>
      <c r="F953" s="85">
        <v>0</v>
      </c>
      <c r="G953" s="86">
        <f t="shared" si="70"/>
        <v>1350</v>
      </c>
      <c r="H953" s="86">
        <f t="shared" si="71"/>
        <v>0</v>
      </c>
      <c r="I953" s="86">
        <f t="shared" si="72"/>
        <v>1350</v>
      </c>
      <c r="J953" s="84">
        <f>VLOOKUP(C953, Products[], 6)</f>
        <v>30</v>
      </c>
      <c r="K953" s="86">
        <f t="shared" si="73"/>
        <v>1350</v>
      </c>
      <c r="L953" s="86">
        <f t="shared" si="74"/>
        <v>0</v>
      </c>
    </row>
    <row r="954" spans="2:12" x14ac:dyDescent="0.2">
      <c r="B954">
        <v>10607</v>
      </c>
      <c r="C954">
        <v>17</v>
      </c>
      <c r="D954" s="84">
        <v>39</v>
      </c>
      <c r="E954">
        <v>100</v>
      </c>
      <c r="F954" s="85">
        <v>0</v>
      </c>
      <c r="G954" s="86">
        <f t="shared" si="70"/>
        <v>3900</v>
      </c>
      <c r="H954" s="86">
        <f t="shared" si="71"/>
        <v>0</v>
      </c>
      <c r="I954" s="86">
        <f t="shared" si="72"/>
        <v>3900</v>
      </c>
      <c r="J954" s="84">
        <f>VLOOKUP(C954, Products[], 6)</f>
        <v>39</v>
      </c>
      <c r="K954" s="86">
        <f t="shared" si="73"/>
        <v>3900</v>
      </c>
      <c r="L954" s="86">
        <f t="shared" si="74"/>
        <v>0</v>
      </c>
    </row>
    <row r="955" spans="2:12" x14ac:dyDescent="0.2">
      <c r="B955">
        <v>10607</v>
      </c>
      <c r="C955">
        <v>33</v>
      </c>
      <c r="D955" s="84">
        <v>2.5</v>
      </c>
      <c r="E955">
        <v>14</v>
      </c>
      <c r="F955" s="85">
        <v>0</v>
      </c>
      <c r="G955" s="86">
        <f t="shared" si="70"/>
        <v>35</v>
      </c>
      <c r="H955" s="86">
        <f t="shared" si="71"/>
        <v>0</v>
      </c>
      <c r="I955" s="86">
        <f t="shared" si="72"/>
        <v>35</v>
      </c>
      <c r="J955" s="84">
        <f>VLOOKUP(C955, Products[], 6)</f>
        <v>2.5</v>
      </c>
      <c r="K955" s="86">
        <f t="shared" si="73"/>
        <v>35</v>
      </c>
      <c r="L955" s="86">
        <f t="shared" si="74"/>
        <v>0</v>
      </c>
    </row>
    <row r="956" spans="2:12" x14ac:dyDescent="0.2">
      <c r="B956">
        <v>10607</v>
      </c>
      <c r="C956">
        <v>40</v>
      </c>
      <c r="D956" s="84">
        <v>18.399999999999999</v>
      </c>
      <c r="E956">
        <v>42</v>
      </c>
      <c r="F956" s="85">
        <v>0</v>
      </c>
      <c r="G956" s="86">
        <f t="shared" si="70"/>
        <v>772.8</v>
      </c>
      <c r="H956" s="86">
        <f t="shared" si="71"/>
        <v>0</v>
      </c>
      <c r="I956" s="86">
        <f t="shared" si="72"/>
        <v>772.8</v>
      </c>
      <c r="J956" s="84">
        <f>VLOOKUP(C956, Products[], 6)</f>
        <v>18.399999999999999</v>
      </c>
      <c r="K956" s="86">
        <f t="shared" si="73"/>
        <v>772.8</v>
      </c>
      <c r="L956" s="86">
        <f t="shared" si="74"/>
        <v>0</v>
      </c>
    </row>
    <row r="957" spans="2:12" x14ac:dyDescent="0.2">
      <c r="B957">
        <v>10607</v>
      </c>
      <c r="C957">
        <v>72</v>
      </c>
      <c r="D957" s="84">
        <v>34.799999999999997</v>
      </c>
      <c r="E957">
        <v>12</v>
      </c>
      <c r="F957" s="85">
        <v>0</v>
      </c>
      <c r="G957" s="86">
        <f t="shared" si="70"/>
        <v>417.59999999999997</v>
      </c>
      <c r="H957" s="86">
        <f t="shared" si="71"/>
        <v>0</v>
      </c>
      <c r="I957" s="86">
        <f t="shared" si="72"/>
        <v>417.59999999999997</v>
      </c>
      <c r="J957" s="84">
        <f>VLOOKUP(C957, Products[], 6)</f>
        <v>34.799999999999997</v>
      </c>
      <c r="K957" s="86">
        <f t="shared" si="73"/>
        <v>417.59999999999997</v>
      </c>
      <c r="L957" s="86">
        <f t="shared" si="74"/>
        <v>0</v>
      </c>
    </row>
    <row r="958" spans="2:12" x14ac:dyDescent="0.2">
      <c r="B958">
        <v>10608</v>
      </c>
      <c r="C958">
        <v>56</v>
      </c>
      <c r="D958" s="84">
        <v>38</v>
      </c>
      <c r="E958">
        <v>28</v>
      </c>
      <c r="F958" s="85">
        <v>0</v>
      </c>
      <c r="G958" s="86">
        <f t="shared" si="70"/>
        <v>1064</v>
      </c>
      <c r="H958" s="86">
        <f t="shared" si="71"/>
        <v>0</v>
      </c>
      <c r="I958" s="86">
        <f t="shared" si="72"/>
        <v>1064</v>
      </c>
      <c r="J958" s="84">
        <f>VLOOKUP(C958, Products[], 6)</f>
        <v>38</v>
      </c>
      <c r="K958" s="86">
        <f t="shared" si="73"/>
        <v>1064</v>
      </c>
      <c r="L958" s="86">
        <f t="shared" si="74"/>
        <v>0</v>
      </c>
    </row>
    <row r="959" spans="2:12" x14ac:dyDescent="0.2">
      <c r="B959">
        <v>10609</v>
      </c>
      <c r="C959">
        <v>1</v>
      </c>
      <c r="D959" s="84">
        <v>18</v>
      </c>
      <c r="E959">
        <v>3</v>
      </c>
      <c r="F959" s="85">
        <v>0</v>
      </c>
      <c r="G959" s="86">
        <f t="shared" si="70"/>
        <v>54</v>
      </c>
      <c r="H959" s="86">
        <f t="shared" si="71"/>
        <v>0</v>
      </c>
      <c r="I959" s="86">
        <f t="shared" si="72"/>
        <v>54</v>
      </c>
      <c r="J959" s="84">
        <f>VLOOKUP(C959, Products[], 6)</f>
        <v>18</v>
      </c>
      <c r="K959" s="86">
        <f t="shared" si="73"/>
        <v>54</v>
      </c>
      <c r="L959" s="86">
        <f t="shared" si="74"/>
        <v>0</v>
      </c>
    </row>
    <row r="960" spans="2:12" x14ac:dyDescent="0.2">
      <c r="B960">
        <v>10609</v>
      </c>
      <c r="C960">
        <v>10</v>
      </c>
      <c r="D960" s="84">
        <v>31</v>
      </c>
      <c r="E960">
        <v>10</v>
      </c>
      <c r="F960" s="85">
        <v>0</v>
      </c>
      <c r="G960" s="86">
        <f t="shared" si="70"/>
        <v>310</v>
      </c>
      <c r="H960" s="86">
        <f t="shared" si="71"/>
        <v>0</v>
      </c>
      <c r="I960" s="86">
        <f t="shared" si="72"/>
        <v>310</v>
      </c>
      <c r="J960" s="84">
        <f>VLOOKUP(C960, Products[], 6)</f>
        <v>31</v>
      </c>
      <c r="K960" s="86">
        <f t="shared" si="73"/>
        <v>310</v>
      </c>
      <c r="L960" s="86">
        <f t="shared" si="74"/>
        <v>0</v>
      </c>
    </row>
    <row r="961" spans="2:12" x14ac:dyDescent="0.2">
      <c r="B961">
        <v>10609</v>
      </c>
      <c r="C961">
        <v>21</v>
      </c>
      <c r="D961" s="84">
        <v>10</v>
      </c>
      <c r="E961">
        <v>6</v>
      </c>
      <c r="F961" s="85">
        <v>0</v>
      </c>
      <c r="G961" s="86">
        <f t="shared" si="70"/>
        <v>60</v>
      </c>
      <c r="H961" s="86">
        <f t="shared" si="71"/>
        <v>0</v>
      </c>
      <c r="I961" s="86">
        <f t="shared" si="72"/>
        <v>60</v>
      </c>
      <c r="J961" s="84">
        <f>VLOOKUP(C961, Products[], 6)</f>
        <v>10</v>
      </c>
      <c r="K961" s="86">
        <f t="shared" si="73"/>
        <v>60</v>
      </c>
      <c r="L961" s="86">
        <f t="shared" si="74"/>
        <v>0</v>
      </c>
    </row>
    <row r="962" spans="2:12" x14ac:dyDescent="0.2">
      <c r="B962">
        <v>10610</v>
      </c>
      <c r="C962">
        <v>36</v>
      </c>
      <c r="D962" s="84">
        <v>19</v>
      </c>
      <c r="E962">
        <v>21</v>
      </c>
      <c r="F962" s="85">
        <v>0.25</v>
      </c>
      <c r="G962" s="86">
        <f t="shared" si="70"/>
        <v>399</v>
      </c>
      <c r="H962" s="86">
        <f t="shared" si="71"/>
        <v>99.75</v>
      </c>
      <c r="I962" s="86">
        <f t="shared" si="72"/>
        <v>299.25</v>
      </c>
      <c r="J962" s="84">
        <f>VLOOKUP(C962, Products[], 6)</f>
        <v>19</v>
      </c>
      <c r="K962" s="86">
        <f t="shared" si="73"/>
        <v>399</v>
      </c>
      <c r="L962" s="86">
        <f t="shared" si="74"/>
        <v>-99.75</v>
      </c>
    </row>
    <row r="963" spans="2:12" x14ac:dyDescent="0.2">
      <c r="B963">
        <v>10611</v>
      </c>
      <c r="C963">
        <v>1</v>
      </c>
      <c r="D963" s="84">
        <v>18</v>
      </c>
      <c r="E963">
        <v>6</v>
      </c>
      <c r="F963" s="85">
        <v>0</v>
      </c>
      <c r="G963" s="86">
        <f t="shared" si="70"/>
        <v>108</v>
      </c>
      <c r="H963" s="86">
        <f t="shared" si="71"/>
        <v>0</v>
      </c>
      <c r="I963" s="86">
        <f t="shared" si="72"/>
        <v>108</v>
      </c>
      <c r="J963" s="84">
        <f>VLOOKUP(C963, Products[], 6)</f>
        <v>18</v>
      </c>
      <c r="K963" s="86">
        <f t="shared" si="73"/>
        <v>108</v>
      </c>
      <c r="L963" s="86">
        <f t="shared" si="74"/>
        <v>0</v>
      </c>
    </row>
    <row r="964" spans="2:12" x14ac:dyDescent="0.2">
      <c r="B964">
        <v>10611</v>
      </c>
      <c r="C964">
        <v>2</v>
      </c>
      <c r="D964" s="84">
        <v>19</v>
      </c>
      <c r="E964">
        <v>10</v>
      </c>
      <c r="F964" s="85">
        <v>0</v>
      </c>
      <c r="G964" s="86">
        <f t="shared" si="70"/>
        <v>190</v>
      </c>
      <c r="H964" s="86">
        <f t="shared" si="71"/>
        <v>0</v>
      </c>
      <c r="I964" s="86">
        <f t="shared" si="72"/>
        <v>190</v>
      </c>
      <c r="J964" s="84">
        <f>VLOOKUP(C964, Products[], 6)</f>
        <v>19</v>
      </c>
      <c r="K964" s="86">
        <f t="shared" si="73"/>
        <v>190</v>
      </c>
      <c r="L964" s="86">
        <f t="shared" si="74"/>
        <v>0</v>
      </c>
    </row>
    <row r="965" spans="2:12" x14ac:dyDescent="0.2">
      <c r="B965">
        <v>10611</v>
      </c>
      <c r="C965">
        <v>60</v>
      </c>
      <c r="D965" s="84">
        <v>34</v>
      </c>
      <c r="E965">
        <v>15</v>
      </c>
      <c r="F965" s="85">
        <v>0</v>
      </c>
      <c r="G965" s="86">
        <f t="shared" si="70"/>
        <v>510</v>
      </c>
      <c r="H965" s="86">
        <f t="shared" si="71"/>
        <v>0</v>
      </c>
      <c r="I965" s="86">
        <f t="shared" si="72"/>
        <v>510</v>
      </c>
      <c r="J965" s="84">
        <f>VLOOKUP(C965, Products[], 6)</f>
        <v>34</v>
      </c>
      <c r="K965" s="86">
        <f t="shared" si="73"/>
        <v>510</v>
      </c>
      <c r="L965" s="86">
        <f t="shared" si="74"/>
        <v>0</v>
      </c>
    </row>
    <row r="966" spans="2:12" x14ac:dyDescent="0.2">
      <c r="B966">
        <v>10612</v>
      </c>
      <c r="C966">
        <v>10</v>
      </c>
      <c r="D966" s="84">
        <v>31</v>
      </c>
      <c r="E966">
        <v>70</v>
      </c>
      <c r="F966" s="85">
        <v>0</v>
      </c>
      <c r="G966" s="86">
        <f t="shared" si="70"/>
        <v>2170</v>
      </c>
      <c r="H966" s="86">
        <f t="shared" si="71"/>
        <v>0</v>
      </c>
      <c r="I966" s="86">
        <f t="shared" si="72"/>
        <v>2170</v>
      </c>
      <c r="J966" s="84">
        <f>VLOOKUP(C966, Products[], 6)</f>
        <v>31</v>
      </c>
      <c r="K966" s="86">
        <f t="shared" si="73"/>
        <v>2170</v>
      </c>
      <c r="L966" s="86">
        <f t="shared" si="74"/>
        <v>0</v>
      </c>
    </row>
    <row r="967" spans="2:12" x14ac:dyDescent="0.2">
      <c r="B967">
        <v>10612</v>
      </c>
      <c r="C967">
        <v>36</v>
      </c>
      <c r="D967" s="84">
        <v>19</v>
      </c>
      <c r="E967">
        <v>55</v>
      </c>
      <c r="F967" s="85">
        <v>0</v>
      </c>
      <c r="G967" s="86">
        <f t="shared" ref="G967:G1030" si="75">D967*E967</f>
        <v>1045</v>
      </c>
      <c r="H967" s="86">
        <f t="shared" ref="H967:H1030" si="76">G967*F967</f>
        <v>0</v>
      </c>
      <c r="I967" s="86">
        <f t="shared" ref="I967:I1030" si="77">G967-H967</f>
        <v>1045</v>
      </c>
      <c r="J967" s="84">
        <f>VLOOKUP(C967, Products[], 6)</f>
        <v>19</v>
      </c>
      <c r="K967" s="86">
        <f t="shared" ref="K967:K1030" si="78">J967*E967</f>
        <v>1045</v>
      </c>
      <c r="L967" s="86">
        <f t="shared" ref="L967:L1030" si="79">I967-K967</f>
        <v>0</v>
      </c>
    </row>
    <row r="968" spans="2:12" x14ac:dyDescent="0.2">
      <c r="B968">
        <v>10612</v>
      </c>
      <c r="C968">
        <v>49</v>
      </c>
      <c r="D968" s="84">
        <v>20</v>
      </c>
      <c r="E968">
        <v>18</v>
      </c>
      <c r="F968" s="85">
        <v>0</v>
      </c>
      <c r="G968" s="86">
        <f t="shared" si="75"/>
        <v>360</v>
      </c>
      <c r="H968" s="86">
        <f t="shared" si="76"/>
        <v>0</v>
      </c>
      <c r="I968" s="86">
        <f t="shared" si="77"/>
        <v>360</v>
      </c>
      <c r="J968" s="84">
        <f>VLOOKUP(C968, Products[], 6)</f>
        <v>20</v>
      </c>
      <c r="K968" s="86">
        <f t="shared" si="78"/>
        <v>360</v>
      </c>
      <c r="L968" s="86">
        <f t="shared" si="79"/>
        <v>0</v>
      </c>
    </row>
    <row r="969" spans="2:12" x14ac:dyDescent="0.2">
      <c r="B969">
        <v>10612</v>
      </c>
      <c r="C969">
        <v>60</v>
      </c>
      <c r="D969" s="84">
        <v>34</v>
      </c>
      <c r="E969">
        <v>40</v>
      </c>
      <c r="F969" s="85">
        <v>0</v>
      </c>
      <c r="G969" s="86">
        <f t="shared" si="75"/>
        <v>1360</v>
      </c>
      <c r="H969" s="86">
        <f t="shared" si="76"/>
        <v>0</v>
      </c>
      <c r="I969" s="86">
        <f t="shared" si="77"/>
        <v>1360</v>
      </c>
      <c r="J969" s="84">
        <f>VLOOKUP(C969, Products[], 6)</f>
        <v>34</v>
      </c>
      <c r="K969" s="86">
        <f t="shared" si="78"/>
        <v>1360</v>
      </c>
      <c r="L969" s="86">
        <f t="shared" si="79"/>
        <v>0</v>
      </c>
    </row>
    <row r="970" spans="2:12" x14ac:dyDescent="0.2">
      <c r="B970">
        <v>10612</v>
      </c>
      <c r="C970">
        <v>76</v>
      </c>
      <c r="D970" s="84">
        <v>18</v>
      </c>
      <c r="E970">
        <v>80</v>
      </c>
      <c r="F970" s="85">
        <v>0</v>
      </c>
      <c r="G970" s="86">
        <f t="shared" si="75"/>
        <v>1440</v>
      </c>
      <c r="H970" s="86">
        <f t="shared" si="76"/>
        <v>0</v>
      </c>
      <c r="I970" s="86">
        <f t="shared" si="77"/>
        <v>1440</v>
      </c>
      <c r="J970" s="84">
        <f>VLOOKUP(C970, Products[], 6)</f>
        <v>18</v>
      </c>
      <c r="K970" s="86">
        <f t="shared" si="78"/>
        <v>1440</v>
      </c>
      <c r="L970" s="86">
        <f t="shared" si="79"/>
        <v>0</v>
      </c>
    </row>
    <row r="971" spans="2:12" x14ac:dyDescent="0.2">
      <c r="B971">
        <v>10613</v>
      </c>
      <c r="C971">
        <v>13</v>
      </c>
      <c r="D971" s="84">
        <v>6</v>
      </c>
      <c r="E971">
        <v>8</v>
      </c>
      <c r="F971" s="85">
        <v>0.1</v>
      </c>
      <c r="G971" s="86">
        <f t="shared" si="75"/>
        <v>48</v>
      </c>
      <c r="H971" s="86">
        <f t="shared" si="76"/>
        <v>4.8000000000000007</v>
      </c>
      <c r="I971" s="86">
        <f t="shared" si="77"/>
        <v>43.2</v>
      </c>
      <c r="J971" s="84">
        <f>VLOOKUP(C971, Products[], 6)</f>
        <v>6</v>
      </c>
      <c r="K971" s="86">
        <f t="shared" si="78"/>
        <v>48</v>
      </c>
      <c r="L971" s="86">
        <f t="shared" si="79"/>
        <v>-4.7999999999999972</v>
      </c>
    </row>
    <row r="972" spans="2:12" x14ac:dyDescent="0.2">
      <c r="B972">
        <v>10613</v>
      </c>
      <c r="C972">
        <v>75</v>
      </c>
      <c r="D972" s="84">
        <v>7.75</v>
      </c>
      <c r="E972">
        <v>40</v>
      </c>
      <c r="F972" s="85">
        <v>0</v>
      </c>
      <c r="G972" s="86">
        <f t="shared" si="75"/>
        <v>310</v>
      </c>
      <c r="H972" s="86">
        <f t="shared" si="76"/>
        <v>0</v>
      </c>
      <c r="I972" s="86">
        <f t="shared" si="77"/>
        <v>310</v>
      </c>
      <c r="J972" s="84">
        <f>VLOOKUP(C972, Products[], 6)</f>
        <v>7.75</v>
      </c>
      <c r="K972" s="86">
        <f t="shared" si="78"/>
        <v>310</v>
      </c>
      <c r="L972" s="86">
        <f t="shared" si="79"/>
        <v>0</v>
      </c>
    </row>
    <row r="973" spans="2:12" x14ac:dyDescent="0.2">
      <c r="B973">
        <v>10614</v>
      </c>
      <c r="C973">
        <v>11</v>
      </c>
      <c r="D973" s="84">
        <v>21</v>
      </c>
      <c r="E973">
        <v>14</v>
      </c>
      <c r="F973" s="85">
        <v>0</v>
      </c>
      <c r="G973" s="86">
        <f t="shared" si="75"/>
        <v>294</v>
      </c>
      <c r="H973" s="86">
        <f t="shared" si="76"/>
        <v>0</v>
      </c>
      <c r="I973" s="86">
        <f t="shared" si="77"/>
        <v>294</v>
      </c>
      <c r="J973" s="84">
        <f>VLOOKUP(C973, Products[], 6)</f>
        <v>21</v>
      </c>
      <c r="K973" s="86">
        <f t="shared" si="78"/>
        <v>294</v>
      </c>
      <c r="L973" s="86">
        <f t="shared" si="79"/>
        <v>0</v>
      </c>
    </row>
    <row r="974" spans="2:12" x14ac:dyDescent="0.2">
      <c r="B974">
        <v>10614</v>
      </c>
      <c r="C974">
        <v>21</v>
      </c>
      <c r="D974" s="84">
        <v>10</v>
      </c>
      <c r="E974">
        <v>8</v>
      </c>
      <c r="F974" s="85">
        <v>0</v>
      </c>
      <c r="G974" s="86">
        <f t="shared" si="75"/>
        <v>80</v>
      </c>
      <c r="H974" s="86">
        <f t="shared" si="76"/>
        <v>0</v>
      </c>
      <c r="I974" s="86">
        <f t="shared" si="77"/>
        <v>80</v>
      </c>
      <c r="J974" s="84">
        <f>VLOOKUP(C974, Products[], 6)</f>
        <v>10</v>
      </c>
      <c r="K974" s="86">
        <f t="shared" si="78"/>
        <v>80</v>
      </c>
      <c r="L974" s="86">
        <f t="shared" si="79"/>
        <v>0</v>
      </c>
    </row>
    <row r="975" spans="2:12" x14ac:dyDescent="0.2">
      <c r="B975">
        <v>10614</v>
      </c>
      <c r="C975">
        <v>39</v>
      </c>
      <c r="D975" s="84">
        <v>18</v>
      </c>
      <c r="E975">
        <v>5</v>
      </c>
      <c r="F975" s="85">
        <v>0</v>
      </c>
      <c r="G975" s="86">
        <f t="shared" si="75"/>
        <v>90</v>
      </c>
      <c r="H975" s="86">
        <f t="shared" si="76"/>
        <v>0</v>
      </c>
      <c r="I975" s="86">
        <f t="shared" si="77"/>
        <v>90</v>
      </c>
      <c r="J975" s="84">
        <f>VLOOKUP(C975, Products[], 6)</f>
        <v>18</v>
      </c>
      <c r="K975" s="86">
        <f t="shared" si="78"/>
        <v>90</v>
      </c>
      <c r="L975" s="86">
        <f t="shared" si="79"/>
        <v>0</v>
      </c>
    </row>
    <row r="976" spans="2:12" x14ac:dyDescent="0.2">
      <c r="B976">
        <v>10615</v>
      </c>
      <c r="C976">
        <v>55</v>
      </c>
      <c r="D976" s="84">
        <v>24</v>
      </c>
      <c r="E976">
        <v>5</v>
      </c>
      <c r="F976" s="85">
        <v>0</v>
      </c>
      <c r="G976" s="86">
        <f t="shared" si="75"/>
        <v>120</v>
      </c>
      <c r="H976" s="86">
        <f t="shared" si="76"/>
        <v>0</v>
      </c>
      <c r="I976" s="86">
        <f t="shared" si="77"/>
        <v>120</v>
      </c>
      <c r="J976" s="84">
        <f>VLOOKUP(C976, Products[], 6)</f>
        <v>24</v>
      </c>
      <c r="K976" s="86">
        <f t="shared" si="78"/>
        <v>120</v>
      </c>
      <c r="L976" s="86">
        <f t="shared" si="79"/>
        <v>0</v>
      </c>
    </row>
    <row r="977" spans="2:12" x14ac:dyDescent="0.2">
      <c r="B977">
        <v>10616</v>
      </c>
      <c r="C977">
        <v>38</v>
      </c>
      <c r="D977" s="84">
        <v>263.5</v>
      </c>
      <c r="E977">
        <v>15</v>
      </c>
      <c r="F977" s="85">
        <v>0.05</v>
      </c>
      <c r="G977" s="86">
        <f t="shared" si="75"/>
        <v>3952.5</v>
      </c>
      <c r="H977" s="86">
        <f t="shared" si="76"/>
        <v>197.625</v>
      </c>
      <c r="I977" s="86">
        <f t="shared" si="77"/>
        <v>3754.875</v>
      </c>
      <c r="J977" s="84">
        <f>VLOOKUP(C977, Products[], 6)</f>
        <v>263.5</v>
      </c>
      <c r="K977" s="86">
        <f t="shared" si="78"/>
        <v>3952.5</v>
      </c>
      <c r="L977" s="86">
        <f t="shared" si="79"/>
        <v>-197.625</v>
      </c>
    </row>
    <row r="978" spans="2:12" x14ac:dyDescent="0.2">
      <c r="B978">
        <v>10616</v>
      </c>
      <c r="C978">
        <v>56</v>
      </c>
      <c r="D978" s="84">
        <v>38</v>
      </c>
      <c r="E978">
        <v>14</v>
      </c>
      <c r="F978" s="85">
        <v>0</v>
      </c>
      <c r="G978" s="86">
        <f t="shared" si="75"/>
        <v>532</v>
      </c>
      <c r="H978" s="86">
        <f t="shared" si="76"/>
        <v>0</v>
      </c>
      <c r="I978" s="86">
        <f t="shared" si="77"/>
        <v>532</v>
      </c>
      <c r="J978" s="84">
        <f>VLOOKUP(C978, Products[], 6)</f>
        <v>38</v>
      </c>
      <c r="K978" s="86">
        <f t="shared" si="78"/>
        <v>532</v>
      </c>
      <c r="L978" s="86">
        <f t="shared" si="79"/>
        <v>0</v>
      </c>
    </row>
    <row r="979" spans="2:12" x14ac:dyDescent="0.2">
      <c r="B979">
        <v>10616</v>
      </c>
      <c r="C979">
        <v>70</v>
      </c>
      <c r="D979" s="84">
        <v>15</v>
      </c>
      <c r="E979">
        <v>15</v>
      </c>
      <c r="F979" s="85">
        <v>0.05</v>
      </c>
      <c r="G979" s="86">
        <f t="shared" si="75"/>
        <v>225</v>
      </c>
      <c r="H979" s="86">
        <f t="shared" si="76"/>
        <v>11.25</v>
      </c>
      <c r="I979" s="86">
        <f t="shared" si="77"/>
        <v>213.75</v>
      </c>
      <c r="J979" s="84">
        <f>VLOOKUP(C979, Products[], 6)</f>
        <v>15</v>
      </c>
      <c r="K979" s="86">
        <f t="shared" si="78"/>
        <v>225</v>
      </c>
      <c r="L979" s="86">
        <f t="shared" si="79"/>
        <v>-11.25</v>
      </c>
    </row>
    <row r="980" spans="2:12" x14ac:dyDescent="0.2">
      <c r="B980">
        <v>10616</v>
      </c>
      <c r="C980">
        <v>71</v>
      </c>
      <c r="D980" s="84">
        <v>21.5</v>
      </c>
      <c r="E980">
        <v>15</v>
      </c>
      <c r="F980" s="85">
        <v>0.05</v>
      </c>
      <c r="G980" s="86">
        <f t="shared" si="75"/>
        <v>322.5</v>
      </c>
      <c r="H980" s="86">
        <f t="shared" si="76"/>
        <v>16.125</v>
      </c>
      <c r="I980" s="86">
        <f t="shared" si="77"/>
        <v>306.375</v>
      </c>
      <c r="J980" s="84">
        <f>VLOOKUP(C980, Products[], 6)</f>
        <v>21.5</v>
      </c>
      <c r="K980" s="86">
        <f t="shared" si="78"/>
        <v>322.5</v>
      </c>
      <c r="L980" s="86">
        <f t="shared" si="79"/>
        <v>-16.125</v>
      </c>
    </row>
    <row r="981" spans="2:12" x14ac:dyDescent="0.2">
      <c r="B981">
        <v>10617</v>
      </c>
      <c r="C981">
        <v>59</v>
      </c>
      <c r="D981" s="84">
        <v>55</v>
      </c>
      <c r="E981">
        <v>30</v>
      </c>
      <c r="F981" s="85">
        <v>0.15</v>
      </c>
      <c r="G981" s="86">
        <f t="shared" si="75"/>
        <v>1650</v>
      </c>
      <c r="H981" s="86">
        <f t="shared" si="76"/>
        <v>247.5</v>
      </c>
      <c r="I981" s="86">
        <f t="shared" si="77"/>
        <v>1402.5</v>
      </c>
      <c r="J981" s="84">
        <f>VLOOKUP(C981, Products[], 6)</f>
        <v>55</v>
      </c>
      <c r="K981" s="86">
        <f t="shared" si="78"/>
        <v>1650</v>
      </c>
      <c r="L981" s="86">
        <f t="shared" si="79"/>
        <v>-247.5</v>
      </c>
    </row>
    <row r="982" spans="2:12" x14ac:dyDescent="0.2">
      <c r="B982">
        <v>10618</v>
      </c>
      <c r="C982">
        <v>6</v>
      </c>
      <c r="D982" s="84">
        <v>25</v>
      </c>
      <c r="E982">
        <v>70</v>
      </c>
      <c r="F982" s="85">
        <v>0</v>
      </c>
      <c r="G982" s="86">
        <f t="shared" si="75"/>
        <v>1750</v>
      </c>
      <c r="H982" s="86">
        <f t="shared" si="76"/>
        <v>0</v>
      </c>
      <c r="I982" s="86">
        <f t="shared" si="77"/>
        <v>1750</v>
      </c>
      <c r="J982" s="84">
        <f>VLOOKUP(C982, Products[], 6)</f>
        <v>25</v>
      </c>
      <c r="K982" s="86">
        <f t="shared" si="78"/>
        <v>1750</v>
      </c>
      <c r="L982" s="86">
        <f t="shared" si="79"/>
        <v>0</v>
      </c>
    </row>
    <row r="983" spans="2:12" x14ac:dyDescent="0.2">
      <c r="B983">
        <v>10618</v>
      </c>
      <c r="C983">
        <v>56</v>
      </c>
      <c r="D983" s="84">
        <v>38</v>
      </c>
      <c r="E983">
        <v>20</v>
      </c>
      <c r="F983" s="85">
        <v>0</v>
      </c>
      <c r="G983" s="86">
        <f t="shared" si="75"/>
        <v>760</v>
      </c>
      <c r="H983" s="86">
        <f t="shared" si="76"/>
        <v>0</v>
      </c>
      <c r="I983" s="86">
        <f t="shared" si="77"/>
        <v>760</v>
      </c>
      <c r="J983" s="84">
        <f>VLOOKUP(C983, Products[], 6)</f>
        <v>38</v>
      </c>
      <c r="K983" s="86">
        <f t="shared" si="78"/>
        <v>760</v>
      </c>
      <c r="L983" s="86">
        <f t="shared" si="79"/>
        <v>0</v>
      </c>
    </row>
    <row r="984" spans="2:12" x14ac:dyDescent="0.2">
      <c r="B984">
        <v>10618</v>
      </c>
      <c r="C984">
        <v>68</v>
      </c>
      <c r="D984" s="84">
        <v>12.5</v>
      </c>
      <c r="E984">
        <v>15</v>
      </c>
      <c r="F984" s="85">
        <v>0</v>
      </c>
      <c r="G984" s="86">
        <f t="shared" si="75"/>
        <v>187.5</v>
      </c>
      <c r="H984" s="86">
        <f t="shared" si="76"/>
        <v>0</v>
      </c>
      <c r="I984" s="86">
        <f t="shared" si="77"/>
        <v>187.5</v>
      </c>
      <c r="J984" s="84">
        <f>VLOOKUP(C984, Products[], 6)</f>
        <v>12.5</v>
      </c>
      <c r="K984" s="86">
        <f t="shared" si="78"/>
        <v>187.5</v>
      </c>
      <c r="L984" s="86">
        <f t="shared" si="79"/>
        <v>0</v>
      </c>
    </row>
    <row r="985" spans="2:12" x14ac:dyDescent="0.2">
      <c r="B985">
        <v>10619</v>
      </c>
      <c r="C985">
        <v>21</v>
      </c>
      <c r="D985" s="84">
        <v>10</v>
      </c>
      <c r="E985">
        <v>42</v>
      </c>
      <c r="F985" s="85">
        <v>0</v>
      </c>
      <c r="G985" s="86">
        <f t="shared" si="75"/>
        <v>420</v>
      </c>
      <c r="H985" s="86">
        <f t="shared" si="76"/>
        <v>0</v>
      </c>
      <c r="I985" s="86">
        <f t="shared" si="77"/>
        <v>420</v>
      </c>
      <c r="J985" s="84">
        <f>VLOOKUP(C985, Products[], 6)</f>
        <v>10</v>
      </c>
      <c r="K985" s="86">
        <f t="shared" si="78"/>
        <v>420</v>
      </c>
      <c r="L985" s="86">
        <f t="shared" si="79"/>
        <v>0</v>
      </c>
    </row>
    <row r="986" spans="2:12" x14ac:dyDescent="0.2">
      <c r="B986">
        <v>10619</v>
      </c>
      <c r="C986">
        <v>22</v>
      </c>
      <c r="D986" s="84">
        <v>21</v>
      </c>
      <c r="E986">
        <v>40</v>
      </c>
      <c r="F986" s="85">
        <v>0</v>
      </c>
      <c r="G986" s="86">
        <f t="shared" si="75"/>
        <v>840</v>
      </c>
      <c r="H986" s="86">
        <f t="shared" si="76"/>
        <v>0</v>
      </c>
      <c r="I986" s="86">
        <f t="shared" si="77"/>
        <v>840</v>
      </c>
      <c r="J986" s="84">
        <f>VLOOKUP(C986, Products[], 6)</f>
        <v>21</v>
      </c>
      <c r="K986" s="86">
        <f t="shared" si="78"/>
        <v>840</v>
      </c>
      <c r="L986" s="86">
        <f t="shared" si="79"/>
        <v>0</v>
      </c>
    </row>
    <row r="987" spans="2:12" x14ac:dyDescent="0.2">
      <c r="B987">
        <v>10620</v>
      </c>
      <c r="C987">
        <v>24</v>
      </c>
      <c r="D987" s="84">
        <v>4.5</v>
      </c>
      <c r="E987">
        <v>5</v>
      </c>
      <c r="F987" s="85">
        <v>0</v>
      </c>
      <c r="G987" s="86">
        <f t="shared" si="75"/>
        <v>22.5</v>
      </c>
      <c r="H987" s="86">
        <f t="shared" si="76"/>
        <v>0</v>
      </c>
      <c r="I987" s="86">
        <f t="shared" si="77"/>
        <v>22.5</v>
      </c>
      <c r="J987" s="84">
        <f>VLOOKUP(C987, Products[], 6)</f>
        <v>4.5</v>
      </c>
      <c r="K987" s="86">
        <f t="shared" si="78"/>
        <v>22.5</v>
      </c>
      <c r="L987" s="86">
        <f t="shared" si="79"/>
        <v>0</v>
      </c>
    </row>
    <row r="988" spans="2:12" x14ac:dyDescent="0.2">
      <c r="B988">
        <v>10620</v>
      </c>
      <c r="C988">
        <v>52</v>
      </c>
      <c r="D988" s="84">
        <v>7</v>
      </c>
      <c r="E988">
        <v>5</v>
      </c>
      <c r="F988" s="85">
        <v>0</v>
      </c>
      <c r="G988" s="86">
        <f t="shared" si="75"/>
        <v>35</v>
      </c>
      <c r="H988" s="86">
        <f t="shared" si="76"/>
        <v>0</v>
      </c>
      <c r="I988" s="86">
        <f t="shared" si="77"/>
        <v>35</v>
      </c>
      <c r="J988" s="84">
        <f>VLOOKUP(C988, Products[], 6)</f>
        <v>7</v>
      </c>
      <c r="K988" s="86">
        <f t="shared" si="78"/>
        <v>35</v>
      </c>
      <c r="L988" s="86">
        <f t="shared" si="79"/>
        <v>0</v>
      </c>
    </row>
    <row r="989" spans="2:12" x14ac:dyDescent="0.2">
      <c r="B989">
        <v>10621</v>
      </c>
      <c r="C989">
        <v>19</v>
      </c>
      <c r="D989" s="84">
        <v>9.1999999999999993</v>
      </c>
      <c r="E989">
        <v>5</v>
      </c>
      <c r="F989" s="85">
        <v>0</v>
      </c>
      <c r="G989" s="86">
        <f t="shared" si="75"/>
        <v>46</v>
      </c>
      <c r="H989" s="86">
        <f t="shared" si="76"/>
        <v>0</v>
      </c>
      <c r="I989" s="86">
        <f t="shared" si="77"/>
        <v>46</v>
      </c>
      <c r="J989" s="84">
        <f>VLOOKUP(C989, Products[], 6)</f>
        <v>9.1999999999999993</v>
      </c>
      <c r="K989" s="86">
        <f t="shared" si="78"/>
        <v>46</v>
      </c>
      <c r="L989" s="86">
        <f t="shared" si="79"/>
        <v>0</v>
      </c>
    </row>
    <row r="990" spans="2:12" x14ac:dyDescent="0.2">
      <c r="B990">
        <v>10621</v>
      </c>
      <c r="C990">
        <v>23</v>
      </c>
      <c r="D990" s="84">
        <v>9</v>
      </c>
      <c r="E990">
        <v>10</v>
      </c>
      <c r="F990" s="85">
        <v>0</v>
      </c>
      <c r="G990" s="86">
        <f t="shared" si="75"/>
        <v>90</v>
      </c>
      <c r="H990" s="86">
        <f t="shared" si="76"/>
        <v>0</v>
      </c>
      <c r="I990" s="86">
        <f t="shared" si="77"/>
        <v>90</v>
      </c>
      <c r="J990" s="84">
        <f>VLOOKUP(C990, Products[], 6)</f>
        <v>9</v>
      </c>
      <c r="K990" s="86">
        <f t="shared" si="78"/>
        <v>90</v>
      </c>
      <c r="L990" s="86">
        <f t="shared" si="79"/>
        <v>0</v>
      </c>
    </row>
    <row r="991" spans="2:12" x14ac:dyDescent="0.2">
      <c r="B991">
        <v>10621</v>
      </c>
      <c r="C991">
        <v>70</v>
      </c>
      <c r="D991" s="84">
        <v>15</v>
      </c>
      <c r="E991">
        <v>20</v>
      </c>
      <c r="F991" s="85">
        <v>0</v>
      </c>
      <c r="G991" s="86">
        <f t="shared" si="75"/>
        <v>300</v>
      </c>
      <c r="H991" s="86">
        <f t="shared" si="76"/>
        <v>0</v>
      </c>
      <c r="I991" s="86">
        <f t="shared" si="77"/>
        <v>300</v>
      </c>
      <c r="J991" s="84">
        <f>VLOOKUP(C991, Products[], 6)</f>
        <v>15</v>
      </c>
      <c r="K991" s="86">
        <f t="shared" si="78"/>
        <v>300</v>
      </c>
      <c r="L991" s="86">
        <f t="shared" si="79"/>
        <v>0</v>
      </c>
    </row>
    <row r="992" spans="2:12" x14ac:dyDescent="0.2">
      <c r="B992">
        <v>10621</v>
      </c>
      <c r="C992">
        <v>71</v>
      </c>
      <c r="D992" s="84">
        <v>21.5</v>
      </c>
      <c r="E992">
        <v>15</v>
      </c>
      <c r="F992" s="85">
        <v>0</v>
      </c>
      <c r="G992" s="86">
        <f t="shared" si="75"/>
        <v>322.5</v>
      </c>
      <c r="H992" s="86">
        <f t="shared" si="76"/>
        <v>0</v>
      </c>
      <c r="I992" s="86">
        <f t="shared" si="77"/>
        <v>322.5</v>
      </c>
      <c r="J992" s="84">
        <f>VLOOKUP(C992, Products[], 6)</f>
        <v>21.5</v>
      </c>
      <c r="K992" s="86">
        <f t="shared" si="78"/>
        <v>322.5</v>
      </c>
      <c r="L992" s="86">
        <f t="shared" si="79"/>
        <v>0</v>
      </c>
    </row>
    <row r="993" spans="2:12" x14ac:dyDescent="0.2">
      <c r="B993">
        <v>10622</v>
      </c>
      <c r="C993">
        <v>2</v>
      </c>
      <c r="D993" s="84">
        <v>19</v>
      </c>
      <c r="E993">
        <v>20</v>
      </c>
      <c r="F993" s="85">
        <v>0</v>
      </c>
      <c r="G993" s="86">
        <f t="shared" si="75"/>
        <v>380</v>
      </c>
      <c r="H993" s="86">
        <f t="shared" si="76"/>
        <v>0</v>
      </c>
      <c r="I993" s="86">
        <f t="shared" si="77"/>
        <v>380</v>
      </c>
      <c r="J993" s="84">
        <f>VLOOKUP(C993, Products[], 6)</f>
        <v>19</v>
      </c>
      <c r="K993" s="86">
        <f t="shared" si="78"/>
        <v>380</v>
      </c>
      <c r="L993" s="86">
        <f t="shared" si="79"/>
        <v>0</v>
      </c>
    </row>
    <row r="994" spans="2:12" x14ac:dyDescent="0.2">
      <c r="B994">
        <v>10622</v>
      </c>
      <c r="C994">
        <v>68</v>
      </c>
      <c r="D994" s="84">
        <v>12.5</v>
      </c>
      <c r="E994">
        <v>18</v>
      </c>
      <c r="F994" s="85">
        <v>0.2</v>
      </c>
      <c r="G994" s="86">
        <f t="shared" si="75"/>
        <v>225</v>
      </c>
      <c r="H994" s="86">
        <f t="shared" si="76"/>
        <v>45</v>
      </c>
      <c r="I994" s="86">
        <f t="shared" si="77"/>
        <v>180</v>
      </c>
      <c r="J994" s="84">
        <f>VLOOKUP(C994, Products[], 6)</f>
        <v>12.5</v>
      </c>
      <c r="K994" s="86">
        <f t="shared" si="78"/>
        <v>225</v>
      </c>
      <c r="L994" s="86">
        <f t="shared" si="79"/>
        <v>-45</v>
      </c>
    </row>
    <row r="995" spans="2:12" x14ac:dyDescent="0.2">
      <c r="B995">
        <v>10623</v>
      </c>
      <c r="C995">
        <v>14</v>
      </c>
      <c r="D995" s="84">
        <v>23.25</v>
      </c>
      <c r="E995">
        <v>21</v>
      </c>
      <c r="F995" s="85">
        <v>0</v>
      </c>
      <c r="G995" s="86">
        <f t="shared" si="75"/>
        <v>488.25</v>
      </c>
      <c r="H995" s="86">
        <f t="shared" si="76"/>
        <v>0</v>
      </c>
      <c r="I995" s="86">
        <f t="shared" si="77"/>
        <v>488.25</v>
      </c>
      <c r="J995" s="84">
        <f>VLOOKUP(C995, Products[], 6)</f>
        <v>23.25</v>
      </c>
      <c r="K995" s="86">
        <f t="shared" si="78"/>
        <v>488.25</v>
      </c>
      <c r="L995" s="86">
        <f t="shared" si="79"/>
        <v>0</v>
      </c>
    </row>
    <row r="996" spans="2:12" x14ac:dyDescent="0.2">
      <c r="B996">
        <v>10623</v>
      </c>
      <c r="C996">
        <v>19</v>
      </c>
      <c r="D996" s="84">
        <v>9.1999999999999993</v>
      </c>
      <c r="E996">
        <v>15</v>
      </c>
      <c r="F996" s="85">
        <v>0.1</v>
      </c>
      <c r="G996" s="86">
        <f t="shared" si="75"/>
        <v>138</v>
      </c>
      <c r="H996" s="86">
        <f t="shared" si="76"/>
        <v>13.8</v>
      </c>
      <c r="I996" s="86">
        <f t="shared" si="77"/>
        <v>124.2</v>
      </c>
      <c r="J996" s="84">
        <f>VLOOKUP(C996, Products[], 6)</f>
        <v>9.1999999999999993</v>
      </c>
      <c r="K996" s="86">
        <f t="shared" si="78"/>
        <v>138</v>
      </c>
      <c r="L996" s="86">
        <f t="shared" si="79"/>
        <v>-13.799999999999997</v>
      </c>
    </row>
    <row r="997" spans="2:12" x14ac:dyDescent="0.2">
      <c r="B997">
        <v>10623</v>
      </c>
      <c r="C997">
        <v>21</v>
      </c>
      <c r="D997" s="84">
        <v>10</v>
      </c>
      <c r="E997">
        <v>25</v>
      </c>
      <c r="F997" s="85">
        <v>0.1</v>
      </c>
      <c r="G997" s="86">
        <f t="shared" si="75"/>
        <v>250</v>
      </c>
      <c r="H997" s="86">
        <f t="shared" si="76"/>
        <v>25</v>
      </c>
      <c r="I997" s="86">
        <f t="shared" si="77"/>
        <v>225</v>
      </c>
      <c r="J997" s="84">
        <f>VLOOKUP(C997, Products[], 6)</f>
        <v>10</v>
      </c>
      <c r="K997" s="86">
        <f t="shared" si="78"/>
        <v>250</v>
      </c>
      <c r="L997" s="86">
        <f t="shared" si="79"/>
        <v>-25</v>
      </c>
    </row>
    <row r="998" spans="2:12" x14ac:dyDescent="0.2">
      <c r="B998">
        <v>10623</v>
      </c>
      <c r="C998">
        <v>24</v>
      </c>
      <c r="D998" s="84">
        <v>4.5</v>
      </c>
      <c r="E998">
        <v>3</v>
      </c>
      <c r="F998" s="85">
        <v>0</v>
      </c>
      <c r="G998" s="86">
        <f t="shared" si="75"/>
        <v>13.5</v>
      </c>
      <c r="H998" s="86">
        <f t="shared" si="76"/>
        <v>0</v>
      </c>
      <c r="I998" s="86">
        <f t="shared" si="77"/>
        <v>13.5</v>
      </c>
      <c r="J998" s="84">
        <f>VLOOKUP(C998, Products[], 6)</f>
        <v>4.5</v>
      </c>
      <c r="K998" s="86">
        <f t="shared" si="78"/>
        <v>13.5</v>
      </c>
      <c r="L998" s="86">
        <f t="shared" si="79"/>
        <v>0</v>
      </c>
    </row>
    <row r="999" spans="2:12" x14ac:dyDescent="0.2">
      <c r="B999">
        <v>10623</v>
      </c>
      <c r="C999">
        <v>35</v>
      </c>
      <c r="D999" s="84">
        <v>18</v>
      </c>
      <c r="E999">
        <v>30</v>
      </c>
      <c r="F999" s="85">
        <v>0.1</v>
      </c>
      <c r="G999" s="86">
        <f t="shared" si="75"/>
        <v>540</v>
      </c>
      <c r="H999" s="86">
        <f t="shared" si="76"/>
        <v>54</v>
      </c>
      <c r="I999" s="86">
        <f t="shared" si="77"/>
        <v>486</v>
      </c>
      <c r="J999" s="84">
        <f>VLOOKUP(C999, Products[], 6)</f>
        <v>18</v>
      </c>
      <c r="K999" s="86">
        <f t="shared" si="78"/>
        <v>540</v>
      </c>
      <c r="L999" s="86">
        <f t="shared" si="79"/>
        <v>-54</v>
      </c>
    </row>
    <row r="1000" spans="2:12" x14ac:dyDescent="0.2">
      <c r="B1000">
        <v>10624</v>
      </c>
      <c r="C1000">
        <v>28</v>
      </c>
      <c r="D1000" s="84">
        <v>45.6</v>
      </c>
      <c r="E1000">
        <v>10</v>
      </c>
      <c r="F1000" s="85">
        <v>0</v>
      </c>
      <c r="G1000" s="86">
        <f t="shared" si="75"/>
        <v>456</v>
      </c>
      <c r="H1000" s="86">
        <f t="shared" si="76"/>
        <v>0</v>
      </c>
      <c r="I1000" s="86">
        <f t="shared" si="77"/>
        <v>456</v>
      </c>
      <c r="J1000" s="84">
        <f>VLOOKUP(C1000, Products[], 6)</f>
        <v>45.6</v>
      </c>
      <c r="K1000" s="86">
        <f t="shared" si="78"/>
        <v>456</v>
      </c>
      <c r="L1000" s="86">
        <f t="shared" si="79"/>
        <v>0</v>
      </c>
    </row>
    <row r="1001" spans="2:12" x14ac:dyDescent="0.2">
      <c r="B1001">
        <v>10624</v>
      </c>
      <c r="C1001">
        <v>29</v>
      </c>
      <c r="D1001" s="84">
        <v>123.79</v>
      </c>
      <c r="E1001">
        <v>6</v>
      </c>
      <c r="F1001" s="85">
        <v>0</v>
      </c>
      <c r="G1001" s="86">
        <f t="shared" si="75"/>
        <v>742.74</v>
      </c>
      <c r="H1001" s="86">
        <f t="shared" si="76"/>
        <v>0</v>
      </c>
      <c r="I1001" s="86">
        <f t="shared" si="77"/>
        <v>742.74</v>
      </c>
      <c r="J1001" s="84">
        <f>VLOOKUP(C1001, Products[], 6)</f>
        <v>123.79</v>
      </c>
      <c r="K1001" s="86">
        <f t="shared" si="78"/>
        <v>742.74</v>
      </c>
      <c r="L1001" s="86">
        <f t="shared" si="79"/>
        <v>0</v>
      </c>
    </row>
    <row r="1002" spans="2:12" x14ac:dyDescent="0.2">
      <c r="B1002">
        <v>10624</v>
      </c>
      <c r="C1002">
        <v>44</v>
      </c>
      <c r="D1002" s="84">
        <v>19.45</v>
      </c>
      <c r="E1002">
        <v>10</v>
      </c>
      <c r="F1002" s="85">
        <v>0</v>
      </c>
      <c r="G1002" s="86">
        <f t="shared" si="75"/>
        <v>194.5</v>
      </c>
      <c r="H1002" s="86">
        <f t="shared" si="76"/>
        <v>0</v>
      </c>
      <c r="I1002" s="86">
        <f t="shared" si="77"/>
        <v>194.5</v>
      </c>
      <c r="J1002" s="84">
        <f>VLOOKUP(C1002, Products[], 6)</f>
        <v>19.45</v>
      </c>
      <c r="K1002" s="86">
        <f t="shared" si="78"/>
        <v>194.5</v>
      </c>
      <c r="L1002" s="86">
        <f t="shared" si="79"/>
        <v>0</v>
      </c>
    </row>
    <row r="1003" spans="2:12" x14ac:dyDescent="0.2">
      <c r="B1003">
        <v>10625</v>
      </c>
      <c r="C1003">
        <v>14</v>
      </c>
      <c r="D1003" s="84">
        <v>23.25</v>
      </c>
      <c r="E1003">
        <v>3</v>
      </c>
      <c r="F1003" s="85">
        <v>0</v>
      </c>
      <c r="G1003" s="86">
        <f t="shared" si="75"/>
        <v>69.75</v>
      </c>
      <c r="H1003" s="86">
        <f t="shared" si="76"/>
        <v>0</v>
      </c>
      <c r="I1003" s="86">
        <f t="shared" si="77"/>
        <v>69.75</v>
      </c>
      <c r="J1003" s="84">
        <f>VLOOKUP(C1003, Products[], 6)</f>
        <v>23.25</v>
      </c>
      <c r="K1003" s="86">
        <f t="shared" si="78"/>
        <v>69.75</v>
      </c>
      <c r="L1003" s="86">
        <f t="shared" si="79"/>
        <v>0</v>
      </c>
    </row>
    <row r="1004" spans="2:12" x14ac:dyDescent="0.2">
      <c r="B1004">
        <v>10625</v>
      </c>
      <c r="C1004">
        <v>42</v>
      </c>
      <c r="D1004" s="84">
        <v>14</v>
      </c>
      <c r="E1004">
        <v>5</v>
      </c>
      <c r="F1004" s="85">
        <v>0</v>
      </c>
      <c r="G1004" s="86">
        <f t="shared" si="75"/>
        <v>70</v>
      </c>
      <c r="H1004" s="86">
        <f t="shared" si="76"/>
        <v>0</v>
      </c>
      <c r="I1004" s="86">
        <f t="shared" si="77"/>
        <v>70</v>
      </c>
      <c r="J1004" s="84">
        <f>VLOOKUP(C1004, Products[], 6)</f>
        <v>14</v>
      </c>
      <c r="K1004" s="86">
        <f t="shared" si="78"/>
        <v>70</v>
      </c>
      <c r="L1004" s="86">
        <f t="shared" si="79"/>
        <v>0</v>
      </c>
    </row>
    <row r="1005" spans="2:12" x14ac:dyDescent="0.2">
      <c r="B1005">
        <v>10625</v>
      </c>
      <c r="C1005">
        <v>60</v>
      </c>
      <c r="D1005" s="84">
        <v>34</v>
      </c>
      <c r="E1005">
        <v>10</v>
      </c>
      <c r="F1005" s="85">
        <v>0</v>
      </c>
      <c r="G1005" s="86">
        <f t="shared" si="75"/>
        <v>340</v>
      </c>
      <c r="H1005" s="86">
        <f t="shared" si="76"/>
        <v>0</v>
      </c>
      <c r="I1005" s="86">
        <f t="shared" si="77"/>
        <v>340</v>
      </c>
      <c r="J1005" s="84">
        <f>VLOOKUP(C1005, Products[], 6)</f>
        <v>34</v>
      </c>
      <c r="K1005" s="86">
        <f t="shared" si="78"/>
        <v>340</v>
      </c>
      <c r="L1005" s="86">
        <f t="shared" si="79"/>
        <v>0</v>
      </c>
    </row>
    <row r="1006" spans="2:12" x14ac:dyDescent="0.2">
      <c r="B1006">
        <v>10626</v>
      </c>
      <c r="C1006">
        <v>53</v>
      </c>
      <c r="D1006" s="84">
        <v>32.799999999999997</v>
      </c>
      <c r="E1006">
        <v>12</v>
      </c>
      <c r="F1006" s="85">
        <v>0</v>
      </c>
      <c r="G1006" s="86">
        <f t="shared" si="75"/>
        <v>393.59999999999997</v>
      </c>
      <c r="H1006" s="86">
        <f t="shared" si="76"/>
        <v>0</v>
      </c>
      <c r="I1006" s="86">
        <f t="shared" si="77"/>
        <v>393.59999999999997</v>
      </c>
      <c r="J1006" s="84">
        <f>VLOOKUP(C1006, Products[], 6)</f>
        <v>32.799999999999997</v>
      </c>
      <c r="K1006" s="86">
        <f t="shared" si="78"/>
        <v>393.59999999999997</v>
      </c>
      <c r="L1006" s="86">
        <f t="shared" si="79"/>
        <v>0</v>
      </c>
    </row>
    <row r="1007" spans="2:12" x14ac:dyDescent="0.2">
      <c r="B1007">
        <v>10626</v>
      </c>
      <c r="C1007">
        <v>60</v>
      </c>
      <c r="D1007" s="84">
        <v>34</v>
      </c>
      <c r="E1007">
        <v>20</v>
      </c>
      <c r="F1007" s="85">
        <v>0</v>
      </c>
      <c r="G1007" s="86">
        <f t="shared" si="75"/>
        <v>680</v>
      </c>
      <c r="H1007" s="86">
        <f t="shared" si="76"/>
        <v>0</v>
      </c>
      <c r="I1007" s="86">
        <f t="shared" si="77"/>
        <v>680</v>
      </c>
      <c r="J1007" s="84">
        <f>VLOOKUP(C1007, Products[], 6)</f>
        <v>34</v>
      </c>
      <c r="K1007" s="86">
        <f t="shared" si="78"/>
        <v>680</v>
      </c>
      <c r="L1007" s="86">
        <f t="shared" si="79"/>
        <v>0</v>
      </c>
    </row>
    <row r="1008" spans="2:12" x14ac:dyDescent="0.2">
      <c r="B1008">
        <v>10626</v>
      </c>
      <c r="C1008">
        <v>71</v>
      </c>
      <c r="D1008" s="84">
        <v>21.5</v>
      </c>
      <c r="E1008">
        <v>20</v>
      </c>
      <c r="F1008" s="85">
        <v>0</v>
      </c>
      <c r="G1008" s="86">
        <f t="shared" si="75"/>
        <v>430</v>
      </c>
      <c r="H1008" s="86">
        <f t="shared" si="76"/>
        <v>0</v>
      </c>
      <c r="I1008" s="86">
        <f t="shared" si="77"/>
        <v>430</v>
      </c>
      <c r="J1008" s="84">
        <f>VLOOKUP(C1008, Products[], 6)</f>
        <v>21.5</v>
      </c>
      <c r="K1008" s="86">
        <f t="shared" si="78"/>
        <v>430</v>
      </c>
      <c r="L1008" s="86">
        <f t="shared" si="79"/>
        <v>0</v>
      </c>
    </row>
    <row r="1009" spans="2:12" x14ac:dyDescent="0.2">
      <c r="B1009">
        <v>10627</v>
      </c>
      <c r="C1009">
        <v>62</v>
      </c>
      <c r="D1009" s="84">
        <v>49.3</v>
      </c>
      <c r="E1009">
        <v>15</v>
      </c>
      <c r="F1009" s="85">
        <v>0</v>
      </c>
      <c r="G1009" s="86">
        <f t="shared" si="75"/>
        <v>739.5</v>
      </c>
      <c r="H1009" s="86">
        <f t="shared" si="76"/>
        <v>0</v>
      </c>
      <c r="I1009" s="86">
        <f t="shared" si="77"/>
        <v>739.5</v>
      </c>
      <c r="J1009" s="84">
        <f>VLOOKUP(C1009, Products[], 6)</f>
        <v>49.3</v>
      </c>
      <c r="K1009" s="86">
        <f t="shared" si="78"/>
        <v>739.5</v>
      </c>
      <c r="L1009" s="86">
        <f t="shared" si="79"/>
        <v>0</v>
      </c>
    </row>
    <row r="1010" spans="2:12" x14ac:dyDescent="0.2">
      <c r="B1010">
        <v>10627</v>
      </c>
      <c r="C1010">
        <v>73</v>
      </c>
      <c r="D1010" s="84">
        <v>15</v>
      </c>
      <c r="E1010">
        <v>35</v>
      </c>
      <c r="F1010" s="85">
        <v>0.15</v>
      </c>
      <c r="G1010" s="86">
        <f t="shared" si="75"/>
        <v>525</v>
      </c>
      <c r="H1010" s="86">
        <f t="shared" si="76"/>
        <v>78.75</v>
      </c>
      <c r="I1010" s="86">
        <f t="shared" si="77"/>
        <v>446.25</v>
      </c>
      <c r="J1010" s="84">
        <f>VLOOKUP(C1010, Products[], 6)</f>
        <v>15</v>
      </c>
      <c r="K1010" s="86">
        <f t="shared" si="78"/>
        <v>525</v>
      </c>
      <c r="L1010" s="86">
        <f t="shared" si="79"/>
        <v>-78.75</v>
      </c>
    </row>
    <row r="1011" spans="2:12" x14ac:dyDescent="0.2">
      <c r="B1011">
        <v>10628</v>
      </c>
      <c r="C1011">
        <v>1</v>
      </c>
      <c r="D1011" s="84">
        <v>18</v>
      </c>
      <c r="E1011">
        <v>25</v>
      </c>
      <c r="F1011" s="85">
        <v>0</v>
      </c>
      <c r="G1011" s="86">
        <f t="shared" si="75"/>
        <v>450</v>
      </c>
      <c r="H1011" s="86">
        <f t="shared" si="76"/>
        <v>0</v>
      </c>
      <c r="I1011" s="86">
        <f t="shared" si="77"/>
        <v>450</v>
      </c>
      <c r="J1011" s="84">
        <f>VLOOKUP(C1011, Products[], 6)</f>
        <v>18</v>
      </c>
      <c r="K1011" s="86">
        <f t="shared" si="78"/>
        <v>450</v>
      </c>
      <c r="L1011" s="86">
        <f t="shared" si="79"/>
        <v>0</v>
      </c>
    </row>
    <row r="1012" spans="2:12" x14ac:dyDescent="0.2">
      <c r="B1012">
        <v>10629</v>
      </c>
      <c r="C1012">
        <v>29</v>
      </c>
      <c r="D1012" s="84">
        <v>123.79</v>
      </c>
      <c r="E1012">
        <v>20</v>
      </c>
      <c r="F1012" s="85">
        <v>0</v>
      </c>
      <c r="G1012" s="86">
        <f t="shared" si="75"/>
        <v>2475.8000000000002</v>
      </c>
      <c r="H1012" s="86">
        <f t="shared" si="76"/>
        <v>0</v>
      </c>
      <c r="I1012" s="86">
        <f t="shared" si="77"/>
        <v>2475.8000000000002</v>
      </c>
      <c r="J1012" s="84">
        <f>VLOOKUP(C1012, Products[], 6)</f>
        <v>123.79</v>
      </c>
      <c r="K1012" s="86">
        <f t="shared" si="78"/>
        <v>2475.8000000000002</v>
      </c>
      <c r="L1012" s="86">
        <f t="shared" si="79"/>
        <v>0</v>
      </c>
    </row>
    <row r="1013" spans="2:12" x14ac:dyDescent="0.2">
      <c r="B1013">
        <v>10629</v>
      </c>
      <c r="C1013">
        <v>64</v>
      </c>
      <c r="D1013" s="84">
        <v>33.25</v>
      </c>
      <c r="E1013">
        <v>9</v>
      </c>
      <c r="F1013" s="85">
        <v>0</v>
      </c>
      <c r="G1013" s="86">
        <f t="shared" si="75"/>
        <v>299.25</v>
      </c>
      <c r="H1013" s="86">
        <f t="shared" si="76"/>
        <v>0</v>
      </c>
      <c r="I1013" s="86">
        <f t="shared" si="77"/>
        <v>299.25</v>
      </c>
      <c r="J1013" s="84">
        <f>VLOOKUP(C1013, Products[], 6)</f>
        <v>33.25</v>
      </c>
      <c r="K1013" s="86">
        <f t="shared" si="78"/>
        <v>299.25</v>
      </c>
      <c r="L1013" s="86">
        <f t="shared" si="79"/>
        <v>0</v>
      </c>
    </row>
    <row r="1014" spans="2:12" x14ac:dyDescent="0.2">
      <c r="B1014">
        <v>10630</v>
      </c>
      <c r="C1014">
        <v>55</v>
      </c>
      <c r="D1014" s="84">
        <v>24</v>
      </c>
      <c r="E1014">
        <v>12</v>
      </c>
      <c r="F1014" s="85">
        <v>0.05</v>
      </c>
      <c r="G1014" s="86">
        <f t="shared" si="75"/>
        <v>288</v>
      </c>
      <c r="H1014" s="86">
        <f t="shared" si="76"/>
        <v>14.4</v>
      </c>
      <c r="I1014" s="86">
        <f t="shared" si="77"/>
        <v>273.60000000000002</v>
      </c>
      <c r="J1014" s="84">
        <f>VLOOKUP(C1014, Products[], 6)</f>
        <v>24</v>
      </c>
      <c r="K1014" s="86">
        <f t="shared" si="78"/>
        <v>288</v>
      </c>
      <c r="L1014" s="86">
        <f t="shared" si="79"/>
        <v>-14.399999999999977</v>
      </c>
    </row>
    <row r="1015" spans="2:12" x14ac:dyDescent="0.2">
      <c r="B1015">
        <v>10630</v>
      </c>
      <c r="C1015">
        <v>76</v>
      </c>
      <c r="D1015" s="84">
        <v>18</v>
      </c>
      <c r="E1015">
        <v>35</v>
      </c>
      <c r="F1015" s="85">
        <v>0</v>
      </c>
      <c r="G1015" s="86">
        <f t="shared" si="75"/>
        <v>630</v>
      </c>
      <c r="H1015" s="86">
        <f t="shared" si="76"/>
        <v>0</v>
      </c>
      <c r="I1015" s="86">
        <f t="shared" si="77"/>
        <v>630</v>
      </c>
      <c r="J1015" s="84">
        <f>VLOOKUP(C1015, Products[], 6)</f>
        <v>18</v>
      </c>
      <c r="K1015" s="86">
        <f t="shared" si="78"/>
        <v>630</v>
      </c>
      <c r="L1015" s="86">
        <f t="shared" si="79"/>
        <v>0</v>
      </c>
    </row>
    <row r="1016" spans="2:12" x14ac:dyDescent="0.2">
      <c r="B1016">
        <v>10631</v>
      </c>
      <c r="C1016">
        <v>75</v>
      </c>
      <c r="D1016" s="84">
        <v>7.75</v>
      </c>
      <c r="E1016">
        <v>8</v>
      </c>
      <c r="F1016" s="85">
        <v>0.1</v>
      </c>
      <c r="G1016" s="86">
        <f t="shared" si="75"/>
        <v>62</v>
      </c>
      <c r="H1016" s="86">
        <f t="shared" si="76"/>
        <v>6.2</v>
      </c>
      <c r="I1016" s="86">
        <f t="shared" si="77"/>
        <v>55.8</v>
      </c>
      <c r="J1016" s="84">
        <f>VLOOKUP(C1016, Products[], 6)</f>
        <v>7.75</v>
      </c>
      <c r="K1016" s="86">
        <f t="shared" si="78"/>
        <v>62</v>
      </c>
      <c r="L1016" s="86">
        <f t="shared" si="79"/>
        <v>-6.2000000000000028</v>
      </c>
    </row>
    <row r="1017" spans="2:12" x14ac:dyDescent="0.2">
      <c r="B1017">
        <v>10632</v>
      </c>
      <c r="C1017">
        <v>2</v>
      </c>
      <c r="D1017" s="84">
        <v>19</v>
      </c>
      <c r="E1017">
        <v>30</v>
      </c>
      <c r="F1017" s="85">
        <v>0.05</v>
      </c>
      <c r="G1017" s="86">
        <f t="shared" si="75"/>
        <v>570</v>
      </c>
      <c r="H1017" s="86">
        <f t="shared" si="76"/>
        <v>28.5</v>
      </c>
      <c r="I1017" s="86">
        <f t="shared" si="77"/>
        <v>541.5</v>
      </c>
      <c r="J1017" s="84">
        <f>VLOOKUP(C1017, Products[], 6)</f>
        <v>19</v>
      </c>
      <c r="K1017" s="86">
        <f t="shared" si="78"/>
        <v>570</v>
      </c>
      <c r="L1017" s="86">
        <f t="shared" si="79"/>
        <v>-28.5</v>
      </c>
    </row>
    <row r="1018" spans="2:12" x14ac:dyDescent="0.2">
      <c r="B1018">
        <v>10632</v>
      </c>
      <c r="C1018">
        <v>33</v>
      </c>
      <c r="D1018" s="84">
        <v>2.5</v>
      </c>
      <c r="E1018">
        <v>20</v>
      </c>
      <c r="F1018" s="85">
        <v>0.05</v>
      </c>
      <c r="G1018" s="86">
        <f t="shared" si="75"/>
        <v>50</v>
      </c>
      <c r="H1018" s="86">
        <f t="shared" si="76"/>
        <v>2.5</v>
      </c>
      <c r="I1018" s="86">
        <f t="shared" si="77"/>
        <v>47.5</v>
      </c>
      <c r="J1018" s="84">
        <f>VLOOKUP(C1018, Products[], 6)</f>
        <v>2.5</v>
      </c>
      <c r="K1018" s="86">
        <f t="shared" si="78"/>
        <v>50</v>
      </c>
      <c r="L1018" s="86">
        <f t="shared" si="79"/>
        <v>-2.5</v>
      </c>
    </row>
    <row r="1019" spans="2:12" x14ac:dyDescent="0.2">
      <c r="B1019">
        <v>10633</v>
      </c>
      <c r="C1019">
        <v>12</v>
      </c>
      <c r="D1019" s="84">
        <v>38</v>
      </c>
      <c r="E1019">
        <v>36</v>
      </c>
      <c r="F1019" s="85">
        <v>0.15</v>
      </c>
      <c r="G1019" s="86">
        <f t="shared" si="75"/>
        <v>1368</v>
      </c>
      <c r="H1019" s="86">
        <f t="shared" si="76"/>
        <v>205.2</v>
      </c>
      <c r="I1019" s="86">
        <f t="shared" si="77"/>
        <v>1162.8</v>
      </c>
      <c r="J1019" s="84">
        <f>VLOOKUP(C1019, Products[], 6)</f>
        <v>38</v>
      </c>
      <c r="K1019" s="86">
        <f t="shared" si="78"/>
        <v>1368</v>
      </c>
      <c r="L1019" s="86">
        <f t="shared" si="79"/>
        <v>-205.20000000000005</v>
      </c>
    </row>
    <row r="1020" spans="2:12" x14ac:dyDescent="0.2">
      <c r="B1020">
        <v>10633</v>
      </c>
      <c r="C1020">
        <v>13</v>
      </c>
      <c r="D1020" s="84">
        <v>6</v>
      </c>
      <c r="E1020">
        <v>13</v>
      </c>
      <c r="F1020" s="85">
        <v>0.15</v>
      </c>
      <c r="G1020" s="86">
        <f t="shared" si="75"/>
        <v>78</v>
      </c>
      <c r="H1020" s="86">
        <f t="shared" si="76"/>
        <v>11.7</v>
      </c>
      <c r="I1020" s="86">
        <f t="shared" si="77"/>
        <v>66.3</v>
      </c>
      <c r="J1020" s="84">
        <f>VLOOKUP(C1020, Products[], 6)</f>
        <v>6</v>
      </c>
      <c r="K1020" s="86">
        <f t="shared" si="78"/>
        <v>78</v>
      </c>
      <c r="L1020" s="86">
        <f t="shared" si="79"/>
        <v>-11.700000000000003</v>
      </c>
    </row>
    <row r="1021" spans="2:12" x14ac:dyDescent="0.2">
      <c r="B1021">
        <v>10633</v>
      </c>
      <c r="C1021">
        <v>26</v>
      </c>
      <c r="D1021" s="84">
        <v>31.23</v>
      </c>
      <c r="E1021">
        <v>35</v>
      </c>
      <c r="F1021" s="85">
        <v>0.15</v>
      </c>
      <c r="G1021" s="86">
        <f t="shared" si="75"/>
        <v>1093.05</v>
      </c>
      <c r="H1021" s="86">
        <f t="shared" si="76"/>
        <v>163.95749999999998</v>
      </c>
      <c r="I1021" s="86">
        <f t="shared" si="77"/>
        <v>929.09249999999997</v>
      </c>
      <c r="J1021" s="84">
        <f>VLOOKUP(C1021, Products[], 6)</f>
        <v>31.23</v>
      </c>
      <c r="K1021" s="86">
        <f t="shared" si="78"/>
        <v>1093.05</v>
      </c>
      <c r="L1021" s="86">
        <f t="shared" si="79"/>
        <v>-163.95749999999998</v>
      </c>
    </row>
    <row r="1022" spans="2:12" x14ac:dyDescent="0.2">
      <c r="B1022">
        <v>10633</v>
      </c>
      <c r="C1022">
        <v>62</v>
      </c>
      <c r="D1022" s="84">
        <v>49.3</v>
      </c>
      <c r="E1022">
        <v>80</v>
      </c>
      <c r="F1022" s="85">
        <v>0.15</v>
      </c>
      <c r="G1022" s="86">
        <f t="shared" si="75"/>
        <v>3944</v>
      </c>
      <c r="H1022" s="86">
        <f t="shared" si="76"/>
        <v>591.6</v>
      </c>
      <c r="I1022" s="86">
        <f t="shared" si="77"/>
        <v>3352.4</v>
      </c>
      <c r="J1022" s="84">
        <f>VLOOKUP(C1022, Products[], 6)</f>
        <v>49.3</v>
      </c>
      <c r="K1022" s="86">
        <f t="shared" si="78"/>
        <v>3944</v>
      </c>
      <c r="L1022" s="86">
        <f t="shared" si="79"/>
        <v>-591.59999999999991</v>
      </c>
    </row>
    <row r="1023" spans="2:12" x14ac:dyDescent="0.2">
      <c r="B1023">
        <v>10634</v>
      </c>
      <c r="C1023">
        <v>7</v>
      </c>
      <c r="D1023" s="84">
        <v>30</v>
      </c>
      <c r="E1023">
        <v>35</v>
      </c>
      <c r="F1023" s="85">
        <v>0</v>
      </c>
      <c r="G1023" s="86">
        <f t="shared" si="75"/>
        <v>1050</v>
      </c>
      <c r="H1023" s="86">
        <f t="shared" si="76"/>
        <v>0</v>
      </c>
      <c r="I1023" s="86">
        <f t="shared" si="77"/>
        <v>1050</v>
      </c>
      <c r="J1023" s="84">
        <f>VLOOKUP(C1023, Products[], 6)</f>
        <v>30</v>
      </c>
      <c r="K1023" s="86">
        <f t="shared" si="78"/>
        <v>1050</v>
      </c>
      <c r="L1023" s="86">
        <f t="shared" si="79"/>
        <v>0</v>
      </c>
    </row>
    <row r="1024" spans="2:12" x14ac:dyDescent="0.2">
      <c r="B1024">
        <v>10634</v>
      </c>
      <c r="C1024">
        <v>18</v>
      </c>
      <c r="D1024" s="84">
        <v>62.5</v>
      </c>
      <c r="E1024">
        <v>50</v>
      </c>
      <c r="F1024" s="85">
        <v>0</v>
      </c>
      <c r="G1024" s="86">
        <f t="shared" si="75"/>
        <v>3125</v>
      </c>
      <c r="H1024" s="86">
        <f t="shared" si="76"/>
        <v>0</v>
      </c>
      <c r="I1024" s="86">
        <f t="shared" si="77"/>
        <v>3125</v>
      </c>
      <c r="J1024" s="84">
        <f>VLOOKUP(C1024, Products[], 6)</f>
        <v>62.5</v>
      </c>
      <c r="K1024" s="86">
        <f t="shared" si="78"/>
        <v>3125</v>
      </c>
      <c r="L1024" s="86">
        <f t="shared" si="79"/>
        <v>0</v>
      </c>
    </row>
    <row r="1025" spans="2:12" x14ac:dyDescent="0.2">
      <c r="B1025">
        <v>10634</v>
      </c>
      <c r="C1025">
        <v>51</v>
      </c>
      <c r="D1025" s="84">
        <v>53</v>
      </c>
      <c r="E1025">
        <v>15</v>
      </c>
      <c r="F1025" s="85">
        <v>0</v>
      </c>
      <c r="G1025" s="86">
        <f t="shared" si="75"/>
        <v>795</v>
      </c>
      <c r="H1025" s="86">
        <f t="shared" si="76"/>
        <v>0</v>
      </c>
      <c r="I1025" s="86">
        <f t="shared" si="77"/>
        <v>795</v>
      </c>
      <c r="J1025" s="84">
        <f>VLOOKUP(C1025, Products[], 6)</f>
        <v>53</v>
      </c>
      <c r="K1025" s="86">
        <f t="shared" si="78"/>
        <v>795</v>
      </c>
      <c r="L1025" s="86">
        <f t="shared" si="79"/>
        <v>0</v>
      </c>
    </row>
    <row r="1026" spans="2:12" x14ac:dyDescent="0.2">
      <c r="B1026">
        <v>10634</v>
      </c>
      <c r="C1026">
        <v>75</v>
      </c>
      <c r="D1026" s="84">
        <v>7.75</v>
      </c>
      <c r="E1026">
        <v>2</v>
      </c>
      <c r="F1026" s="85">
        <v>0</v>
      </c>
      <c r="G1026" s="86">
        <f t="shared" si="75"/>
        <v>15.5</v>
      </c>
      <c r="H1026" s="86">
        <f t="shared" si="76"/>
        <v>0</v>
      </c>
      <c r="I1026" s="86">
        <f t="shared" si="77"/>
        <v>15.5</v>
      </c>
      <c r="J1026" s="84">
        <f>VLOOKUP(C1026, Products[], 6)</f>
        <v>7.75</v>
      </c>
      <c r="K1026" s="86">
        <f t="shared" si="78"/>
        <v>15.5</v>
      </c>
      <c r="L1026" s="86">
        <f t="shared" si="79"/>
        <v>0</v>
      </c>
    </row>
    <row r="1027" spans="2:12" x14ac:dyDescent="0.2">
      <c r="B1027">
        <v>10635</v>
      </c>
      <c r="C1027">
        <v>4</v>
      </c>
      <c r="D1027" s="84">
        <v>22</v>
      </c>
      <c r="E1027">
        <v>10</v>
      </c>
      <c r="F1027" s="85">
        <v>0.1</v>
      </c>
      <c r="G1027" s="86">
        <f t="shared" si="75"/>
        <v>220</v>
      </c>
      <c r="H1027" s="86">
        <f t="shared" si="76"/>
        <v>22</v>
      </c>
      <c r="I1027" s="86">
        <f t="shared" si="77"/>
        <v>198</v>
      </c>
      <c r="J1027" s="84">
        <f>VLOOKUP(C1027, Products[], 6)</f>
        <v>22</v>
      </c>
      <c r="K1027" s="86">
        <f t="shared" si="78"/>
        <v>220</v>
      </c>
      <c r="L1027" s="86">
        <f t="shared" si="79"/>
        <v>-22</v>
      </c>
    </row>
    <row r="1028" spans="2:12" x14ac:dyDescent="0.2">
      <c r="B1028">
        <v>10635</v>
      </c>
      <c r="C1028">
        <v>5</v>
      </c>
      <c r="D1028" s="84">
        <v>21.35</v>
      </c>
      <c r="E1028">
        <v>15</v>
      </c>
      <c r="F1028" s="85">
        <v>0.1</v>
      </c>
      <c r="G1028" s="86">
        <f t="shared" si="75"/>
        <v>320.25</v>
      </c>
      <c r="H1028" s="86">
        <f t="shared" si="76"/>
        <v>32.024999999999999</v>
      </c>
      <c r="I1028" s="86">
        <f t="shared" si="77"/>
        <v>288.22500000000002</v>
      </c>
      <c r="J1028" s="84">
        <f>VLOOKUP(C1028, Products[], 6)</f>
        <v>21.35</v>
      </c>
      <c r="K1028" s="86">
        <f t="shared" si="78"/>
        <v>320.25</v>
      </c>
      <c r="L1028" s="86">
        <f t="shared" si="79"/>
        <v>-32.024999999999977</v>
      </c>
    </row>
    <row r="1029" spans="2:12" x14ac:dyDescent="0.2">
      <c r="B1029">
        <v>10635</v>
      </c>
      <c r="C1029">
        <v>22</v>
      </c>
      <c r="D1029" s="84">
        <v>21</v>
      </c>
      <c r="E1029">
        <v>40</v>
      </c>
      <c r="F1029" s="85">
        <v>0</v>
      </c>
      <c r="G1029" s="86">
        <f t="shared" si="75"/>
        <v>840</v>
      </c>
      <c r="H1029" s="86">
        <f t="shared" si="76"/>
        <v>0</v>
      </c>
      <c r="I1029" s="86">
        <f t="shared" si="77"/>
        <v>840</v>
      </c>
      <c r="J1029" s="84">
        <f>VLOOKUP(C1029, Products[], 6)</f>
        <v>21</v>
      </c>
      <c r="K1029" s="86">
        <f t="shared" si="78"/>
        <v>840</v>
      </c>
      <c r="L1029" s="86">
        <f t="shared" si="79"/>
        <v>0</v>
      </c>
    </row>
    <row r="1030" spans="2:12" x14ac:dyDescent="0.2">
      <c r="B1030">
        <v>10636</v>
      </c>
      <c r="C1030">
        <v>4</v>
      </c>
      <c r="D1030" s="84">
        <v>22</v>
      </c>
      <c r="E1030">
        <v>25</v>
      </c>
      <c r="F1030" s="85">
        <v>0</v>
      </c>
      <c r="G1030" s="86">
        <f t="shared" si="75"/>
        <v>550</v>
      </c>
      <c r="H1030" s="86">
        <f t="shared" si="76"/>
        <v>0</v>
      </c>
      <c r="I1030" s="86">
        <f t="shared" si="77"/>
        <v>550</v>
      </c>
      <c r="J1030" s="84">
        <f>VLOOKUP(C1030, Products[], 6)</f>
        <v>22</v>
      </c>
      <c r="K1030" s="86">
        <f t="shared" si="78"/>
        <v>550</v>
      </c>
      <c r="L1030" s="86">
        <f t="shared" si="79"/>
        <v>0</v>
      </c>
    </row>
    <row r="1031" spans="2:12" x14ac:dyDescent="0.2">
      <c r="B1031">
        <v>10636</v>
      </c>
      <c r="C1031">
        <v>58</v>
      </c>
      <c r="D1031" s="84">
        <v>13.25</v>
      </c>
      <c r="E1031">
        <v>6</v>
      </c>
      <c r="F1031" s="85">
        <v>0</v>
      </c>
      <c r="G1031" s="86">
        <f t="shared" ref="G1031:G1094" si="80">D1031*E1031</f>
        <v>79.5</v>
      </c>
      <c r="H1031" s="86">
        <f t="shared" ref="H1031:H1094" si="81">G1031*F1031</f>
        <v>0</v>
      </c>
      <c r="I1031" s="86">
        <f t="shared" ref="I1031:I1094" si="82">G1031-H1031</f>
        <v>79.5</v>
      </c>
      <c r="J1031" s="84">
        <f>VLOOKUP(C1031, Products[], 6)</f>
        <v>13.25</v>
      </c>
      <c r="K1031" s="86">
        <f t="shared" ref="K1031:K1094" si="83">J1031*E1031</f>
        <v>79.5</v>
      </c>
      <c r="L1031" s="86">
        <f t="shared" ref="L1031:L1094" si="84">I1031-K1031</f>
        <v>0</v>
      </c>
    </row>
    <row r="1032" spans="2:12" x14ac:dyDescent="0.2">
      <c r="B1032">
        <v>10637</v>
      </c>
      <c r="C1032">
        <v>11</v>
      </c>
      <c r="D1032" s="84">
        <v>21</v>
      </c>
      <c r="E1032">
        <v>10</v>
      </c>
      <c r="F1032" s="85">
        <v>0</v>
      </c>
      <c r="G1032" s="86">
        <f t="shared" si="80"/>
        <v>210</v>
      </c>
      <c r="H1032" s="86">
        <f t="shared" si="81"/>
        <v>0</v>
      </c>
      <c r="I1032" s="86">
        <f t="shared" si="82"/>
        <v>210</v>
      </c>
      <c r="J1032" s="84">
        <f>VLOOKUP(C1032, Products[], 6)</f>
        <v>21</v>
      </c>
      <c r="K1032" s="86">
        <f t="shared" si="83"/>
        <v>210</v>
      </c>
      <c r="L1032" s="86">
        <f t="shared" si="84"/>
        <v>0</v>
      </c>
    </row>
    <row r="1033" spans="2:12" x14ac:dyDescent="0.2">
      <c r="B1033">
        <v>10637</v>
      </c>
      <c r="C1033">
        <v>50</v>
      </c>
      <c r="D1033" s="84">
        <v>16.25</v>
      </c>
      <c r="E1033">
        <v>25</v>
      </c>
      <c r="F1033" s="85">
        <v>0.05</v>
      </c>
      <c r="G1033" s="86">
        <f t="shared" si="80"/>
        <v>406.25</v>
      </c>
      <c r="H1033" s="86">
        <f t="shared" si="81"/>
        <v>20.3125</v>
      </c>
      <c r="I1033" s="86">
        <f t="shared" si="82"/>
        <v>385.9375</v>
      </c>
      <c r="J1033" s="84">
        <f>VLOOKUP(C1033, Products[], 6)</f>
        <v>16.25</v>
      </c>
      <c r="K1033" s="86">
        <f t="shared" si="83"/>
        <v>406.25</v>
      </c>
      <c r="L1033" s="86">
        <f t="shared" si="84"/>
        <v>-20.3125</v>
      </c>
    </row>
    <row r="1034" spans="2:12" x14ac:dyDescent="0.2">
      <c r="B1034">
        <v>10637</v>
      </c>
      <c r="C1034">
        <v>56</v>
      </c>
      <c r="D1034" s="84">
        <v>38</v>
      </c>
      <c r="E1034">
        <v>60</v>
      </c>
      <c r="F1034" s="85">
        <v>0.05</v>
      </c>
      <c r="G1034" s="86">
        <f t="shared" si="80"/>
        <v>2280</v>
      </c>
      <c r="H1034" s="86">
        <f t="shared" si="81"/>
        <v>114</v>
      </c>
      <c r="I1034" s="86">
        <f t="shared" si="82"/>
        <v>2166</v>
      </c>
      <c r="J1034" s="84">
        <f>VLOOKUP(C1034, Products[], 6)</f>
        <v>38</v>
      </c>
      <c r="K1034" s="86">
        <f t="shared" si="83"/>
        <v>2280</v>
      </c>
      <c r="L1034" s="86">
        <f t="shared" si="84"/>
        <v>-114</v>
      </c>
    </row>
    <row r="1035" spans="2:12" x14ac:dyDescent="0.2">
      <c r="B1035">
        <v>10638</v>
      </c>
      <c r="C1035">
        <v>45</v>
      </c>
      <c r="D1035" s="84">
        <v>9.5</v>
      </c>
      <c r="E1035">
        <v>20</v>
      </c>
      <c r="F1035" s="85">
        <v>0</v>
      </c>
      <c r="G1035" s="86">
        <f t="shared" si="80"/>
        <v>190</v>
      </c>
      <c r="H1035" s="86">
        <f t="shared" si="81"/>
        <v>0</v>
      </c>
      <c r="I1035" s="86">
        <f t="shared" si="82"/>
        <v>190</v>
      </c>
      <c r="J1035" s="84">
        <f>VLOOKUP(C1035, Products[], 6)</f>
        <v>9.5</v>
      </c>
      <c r="K1035" s="86">
        <f t="shared" si="83"/>
        <v>190</v>
      </c>
      <c r="L1035" s="86">
        <f t="shared" si="84"/>
        <v>0</v>
      </c>
    </row>
    <row r="1036" spans="2:12" x14ac:dyDescent="0.2">
      <c r="B1036">
        <v>10638</v>
      </c>
      <c r="C1036">
        <v>65</v>
      </c>
      <c r="D1036" s="84">
        <v>21.05</v>
      </c>
      <c r="E1036">
        <v>21</v>
      </c>
      <c r="F1036" s="85">
        <v>0</v>
      </c>
      <c r="G1036" s="86">
        <f t="shared" si="80"/>
        <v>442.05</v>
      </c>
      <c r="H1036" s="86">
        <f t="shared" si="81"/>
        <v>0</v>
      </c>
      <c r="I1036" s="86">
        <f t="shared" si="82"/>
        <v>442.05</v>
      </c>
      <c r="J1036" s="84">
        <f>VLOOKUP(C1036, Products[], 6)</f>
        <v>21.05</v>
      </c>
      <c r="K1036" s="86">
        <f t="shared" si="83"/>
        <v>442.05</v>
      </c>
      <c r="L1036" s="86">
        <f t="shared" si="84"/>
        <v>0</v>
      </c>
    </row>
    <row r="1037" spans="2:12" x14ac:dyDescent="0.2">
      <c r="B1037">
        <v>10638</v>
      </c>
      <c r="C1037">
        <v>72</v>
      </c>
      <c r="D1037" s="84">
        <v>34.799999999999997</v>
      </c>
      <c r="E1037">
        <v>60</v>
      </c>
      <c r="F1037" s="85">
        <v>0</v>
      </c>
      <c r="G1037" s="86">
        <f t="shared" si="80"/>
        <v>2088</v>
      </c>
      <c r="H1037" s="86">
        <f t="shared" si="81"/>
        <v>0</v>
      </c>
      <c r="I1037" s="86">
        <f t="shared" si="82"/>
        <v>2088</v>
      </c>
      <c r="J1037" s="84">
        <f>VLOOKUP(C1037, Products[], 6)</f>
        <v>34.799999999999997</v>
      </c>
      <c r="K1037" s="86">
        <f t="shared" si="83"/>
        <v>2088</v>
      </c>
      <c r="L1037" s="86">
        <f t="shared" si="84"/>
        <v>0</v>
      </c>
    </row>
    <row r="1038" spans="2:12" x14ac:dyDescent="0.2">
      <c r="B1038">
        <v>10639</v>
      </c>
      <c r="C1038">
        <v>18</v>
      </c>
      <c r="D1038" s="84">
        <v>62.5</v>
      </c>
      <c r="E1038">
        <v>8</v>
      </c>
      <c r="F1038" s="85">
        <v>0</v>
      </c>
      <c r="G1038" s="86">
        <f t="shared" si="80"/>
        <v>500</v>
      </c>
      <c r="H1038" s="86">
        <f t="shared" si="81"/>
        <v>0</v>
      </c>
      <c r="I1038" s="86">
        <f t="shared" si="82"/>
        <v>500</v>
      </c>
      <c r="J1038" s="84">
        <f>VLOOKUP(C1038, Products[], 6)</f>
        <v>62.5</v>
      </c>
      <c r="K1038" s="86">
        <f t="shared" si="83"/>
        <v>500</v>
      </c>
      <c r="L1038" s="86">
        <f t="shared" si="84"/>
        <v>0</v>
      </c>
    </row>
    <row r="1039" spans="2:12" x14ac:dyDescent="0.2">
      <c r="B1039">
        <v>10640</v>
      </c>
      <c r="C1039">
        <v>69</v>
      </c>
      <c r="D1039" s="84">
        <v>36</v>
      </c>
      <c r="E1039">
        <v>20</v>
      </c>
      <c r="F1039" s="85">
        <v>0.25</v>
      </c>
      <c r="G1039" s="86">
        <f t="shared" si="80"/>
        <v>720</v>
      </c>
      <c r="H1039" s="86">
        <f t="shared" si="81"/>
        <v>180</v>
      </c>
      <c r="I1039" s="86">
        <f t="shared" si="82"/>
        <v>540</v>
      </c>
      <c r="J1039" s="84">
        <f>VLOOKUP(C1039, Products[], 6)</f>
        <v>36</v>
      </c>
      <c r="K1039" s="86">
        <f t="shared" si="83"/>
        <v>720</v>
      </c>
      <c r="L1039" s="86">
        <f t="shared" si="84"/>
        <v>-180</v>
      </c>
    </row>
    <row r="1040" spans="2:12" x14ac:dyDescent="0.2">
      <c r="B1040">
        <v>10640</v>
      </c>
      <c r="C1040">
        <v>70</v>
      </c>
      <c r="D1040" s="84">
        <v>15</v>
      </c>
      <c r="E1040">
        <v>15</v>
      </c>
      <c r="F1040" s="85">
        <v>0.25</v>
      </c>
      <c r="G1040" s="86">
        <f t="shared" si="80"/>
        <v>225</v>
      </c>
      <c r="H1040" s="86">
        <f t="shared" si="81"/>
        <v>56.25</v>
      </c>
      <c r="I1040" s="86">
        <f t="shared" si="82"/>
        <v>168.75</v>
      </c>
      <c r="J1040" s="84">
        <f>VLOOKUP(C1040, Products[], 6)</f>
        <v>15</v>
      </c>
      <c r="K1040" s="86">
        <f t="shared" si="83"/>
        <v>225</v>
      </c>
      <c r="L1040" s="86">
        <f t="shared" si="84"/>
        <v>-56.25</v>
      </c>
    </row>
    <row r="1041" spans="2:12" x14ac:dyDescent="0.2">
      <c r="B1041">
        <v>10641</v>
      </c>
      <c r="C1041">
        <v>2</v>
      </c>
      <c r="D1041" s="84">
        <v>19</v>
      </c>
      <c r="E1041">
        <v>50</v>
      </c>
      <c r="F1041" s="85">
        <v>0</v>
      </c>
      <c r="G1041" s="86">
        <f t="shared" si="80"/>
        <v>950</v>
      </c>
      <c r="H1041" s="86">
        <f t="shared" si="81"/>
        <v>0</v>
      </c>
      <c r="I1041" s="86">
        <f t="shared" si="82"/>
        <v>950</v>
      </c>
      <c r="J1041" s="84">
        <f>VLOOKUP(C1041, Products[], 6)</f>
        <v>19</v>
      </c>
      <c r="K1041" s="86">
        <f t="shared" si="83"/>
        <v>950</v>
      </c>
      <c r="L1041" s="86">
        <f t="shared" si="84"/>
        <v>0</v>
      </c>
    </row>
    <row r="1042" spans="2:12" x14ac:dyDescent="0.2">
      <c r="B1042">
        <v>10641</v>
      </c>
      <c r="C1042">
        <v>40</v>
      </c>
      <c r="D1042" s="84">
        <v>18.399999999999999</v>
      </c>
      <c r="E1042">
        <v>60</v>
      </c>
      <c r="F1042" s="85">
        <v>0</v>
      </c>
      <c r="G1042" s="86">
        <f t="shared" si="80"/>
        <v>1104</v>
      </c>
      <c r="H1042" s="86">
        <f t="shared" si="81"/>
        <v>0</v>
      </c>
      <c r="I1042" s="86">
        <f t="shared" si="82"/>
        <v>1104</v>
      </c>
      <c r="J1042" s="84">
        <f>VLOOKUP(C1042, Products[], 6)</f>
        <v>18.399999999999999</v>
      </c>
      <c r="K1042" s="86">
        <f t="shared" si="83"/>
        <v>1104</v>
      </c>
      <c r="L1042" s="86">
        <f t="shared" si="84"/>
        <v>0</v>
      </c>
    </row>
    <row r="1043" spans="2:12" x14ac:dyDescent="0.2">
      <c r="B1043">
        <v>10642</v>
      </c>
      <c r="C1043">
        <v>21</v>
      </c>
      <c r="D1043" s="84">
        <v>10</v>
      </c>
      <c r="E1043">
        <v>30</v>
      </c>
      <c r="F1043" s="85">
        <v>0.2</v>
      </c>
      <c r="G1043" s="86">
        <f t="shared" si="80"/>
        <v>300</v>
      </c>
      <c r="H1043" s="86">
        <f t="shared" si="81"/>
        <v>60</v>
      </c>
      <c r="I1043" s="86">
        <f t="shared" si="82"/>
        <v>240</v>
      </c>
      <c r="J1043" s="84">
        <f>VLOOKUP(C1043, Products[], 6)</f>
        <v>10</v>
      </c>
      <c r="K1043" s="86">
        <f t="shared" si="83"/>
        <v>300</v>
      </c>
      <c r="L1043" s="86">
        <f t="shared" si="84"/>
        <v>-60</v>
      </c>
    </row>
    <row r="1044" spans="2:12" x14ac:dyDescent="0.2">
      <c r="B1044">
        <v>10642</v>
      </c>
      <c r="C1044">
        <v>61</v>
      </c>
      <c r="D1044" s="84">
        <v>28.5</v>
      </c>
      <c r="E1044">
        <v>20</v>
      </c>
      <c r="F1044" s="85">
        <v>0.2</v>
      </c>
      <c r="G1044" s="86">
        <f t="shared" si="80"/>
        <v>570</v>
      </c>
      <c r="H1044" s="86">
        <f t="shared" si="81"/>
        <v>114</v>
      </c>
      <c r="I1044" s="86">
        <f t="shared" si="82"/>
        <v>456</v>
      </c>
      <c r="J1044" s="84">
        <f>VLOOKUP(C1044, Products[], 6)</f>
        <v>28.5</v>
      </c>
      <c r="K1044" s="86">
        <f t="shared" si="83"/>
        <v>570</v>
      </c>
      <c r="L1044" s="86">
        <f t="shared" si="84"/>
        <v>-114</v>
      </c>
    </row>
    <row r="1045" spans="2:12" x14ac:dyDescent="0.2">
      <c r="B1045">
        <v>10643</v>
      </c>
      <c r="C1045">
        <v>28</v>
      </c>
      <c r="D1045" s="84">
        <v>45.6</v>
      </c>
      <c r="E1045">
        <v>15</v>
      </c>
      <c r="F1045" s="85">
        <v>0.25</v>
      </c>
      <c r="G1045" s="86">
        <f t="shared" si="80"/>
        <v>684</v>
      </c>
      <c r="H1045" s="86">
        <f t="shared" si="81"/>
        <v>171</v>
      </c>
      <c r="I1045" s="86">
        <f t="shared" si="82"/>
        <v>513</v>
      </c>
      <c r="J1045" s="84">
        <f>VLOOKUP(C1045, Products[], 6)</f>
        <v>45.6</v>
      </c>
      <c r="K1045" s="86">
        <f t="shared" si="83"/>
        <v>684</v>
      </c>
      <c r="L1045" s="86">
        <f t="shared" si="84"/>
        <v>-171</v>
      </c>
    </row>
    <row r="1046" spans="2:12" x14ac:dyDescent="0.2">
      <c r="B1046">
        <v>10643</v>
      </c>
      <c r="C1046">
        <v>39</v>
      </c>
      <c r="D1046" s="84">
        <v>18</v>
      </c>
      <c r="E1046">
        <v>21</v>
      </c>
      <c r="F1046" s="85">
        <v>0.25</v>
      </c>
      <c r="G1046" s="86">
        <f t="shared" si="80"/>
        <v>378</v>
      </c>
      <c r="H1046" s="86">
        <f t="shared" si="81"/>
        <v>94.5</v>
      </c>
      <c r="I1046" s="86">
        <f t="shared" si="82"/>
        <v>283.5</v>
      </c>
      <c r="J1046" s="84">
        <f>VLOOKUP(C1046, Products[], 6)</f>
        <v>18</v>
      </c>
      <c r="K1046" s="86">
        <f t="shared" si="83"/>
        <v>378</v>
      </c>
      <c r="L1046" s="86">
        <f t="shared" si="84"/>
        <v>-94.5</v>
      </c>
    </row>
    <row r="1047" spans="2:12" x14ac:dyDescent="0.2">
      <c r="B1047">
        <v>10643</v>
      </c>
      <c r="C1047">
        <v>46</v>
      </c>
      <c r="D1047" s="84">
        <v>12</v>
      </c>
      <c r="E1047">
        <v>2</v>
      </c>
      <c r="F1047" s="85">
        <v>0.25</v>
      </c>
      <c r="G1047" s="86">
        <f t="shared" si="80"/>
        <v>24</v>
      </c>
      <c r="H1047" s="86">
        <f t="shared" si="81"/>
        <v>6</v>
      </c>
      <c r="I1047" s="86">
        <f t="shared" si="82"/>
        <v>18</v>
      </c>
      <c r="J1047" s="84">
        <f>VLOOKUP(C1047, Products[], 6)</f>
        <v>12</v>
      </c>
      <c r="K1047" s="86">
        <f t="shared" si="83"/>
        <v>24</v>
      </c>
      <c r="L1047" s="86">
        <f t="shared" si="84"/>
        <v>-6</v>
      </c>
    </row>
    <row r="1048" spans="2:12" x14ac:dyDescent="0.2">
      <c r="B1048">
        <v>10644</v>
      </c>
      <c r="C1048">
        <v>18</v>
      </c>
      <c r="D1048" s="84">
        <v>62.5</v>
      </c>
      <c r="E1048">
        <v>4</v>
      </c>
      <c r="F1048" s="85">
        <v>0.1</v>
      </c>
      <c r="G1048" s="86">
        <f t="shared" si="80"/>
        <v>250</v>
      </c>
      <c r="H1048" s="86">
        <f t="shared" si="81"/>
        <v>25</v>
      </c>
      <c r="I1048" s="86">
        <f t="shared" si="82"/>
        <v>225</v>
      </c>
      <c r="J1048" s="84">
        <f>VLOOKUP(C1048, Products[], 6)</f>
        <v>62.5</v>
      </c>
      <c r="K1048" s="86">
        <f t="shared" si="83"/>
        <v>250</v>
      </c>
      <c r="L1048" s="86">
        <f t="shared" si="84"/>
        <v>-25</v>
      </c>
    </row>
    <row r="1049" spans="2:12" x14ac:dyDescent="0.2">
      <c r="B1049">
        <v>10644</v>
      </c>
      <c r="C1049">
        <v>43</v>
      </c>
      <c r="D1049" s="84">
        <v>46</v>
      </c>
      <c r="E1049">
        <v>20</v>
      </c>
      <c r="F1049" s="85">
        <v>0</v>
      </c>
      <c r="G1049" s="86">
        <f t="shared" si="80"/>
        <v>920</v>
      </c>
      <c r="H1049" s="86">
        <f t="shared" si="81"/>
        <v>0</v>
      </c>
      <c r="I1049" s="86">
        <f t="shared" si="82"/>
        <v>920</v>
      </c>
      <c r="J1049" s="84">
        <f>VLOOKUP(C1049, Products[], 6)</f>
        <v>46</v>
      </c>
      <c r="K1049" s="86">
        <f t="shared" si="83"/>
        <v>920</v>
      </c>
      <c r="L1049" s="86">
        <f t="shared" si="84"/>
        <v>0</v>
      </c>
    </row>
    <row r="1050" spans="2:12" x14ac:dyDescent="0.2">
      <c r="B1050">
        <v>10644</v>
      </c>
      <c r="C1050">
        <v>46</v>
      </c>
      <c r="D1050" s="84">
        <v>12</v>
      </c>
      <c r="E1050">
        <v>21</v>
      </c>
      <c r="F1050" s="85">
        <v>0.1</v>
      </c>
      <c r="G1050" s="86">
        <f t="shared" si="80"/>
        <v>252</v>
      </c>
      <c r="H1050" s="86">
        <f t="shared" si="81"/>
        <v>25.200000000000003</v>
      </c>
      <c r="I1050" s="86">
        <f t="shared" si="82"/>
        <v>226.8</v>
      </c>
      <c r="J1050" s="84">
        <f>VLOOKUP(C1050, Products[], 6)</f>
        <v>12</v>
      </c>
      <c r="K1050" s="86">
        <f t="shared" si="83"/>
        <v>252</v>
      </c>
      <c r="L1050" s="86">
        <f t="shared" si="84"/>
        <v>-25.199999999999989</v>
      </c>
    </row>
    <row r="1051" spans="2:12" x14ac:dyDescent="0.2">
      <c r="B1051">
        <v>10645</v>
      </c>
      <c r="C1051">
        <v>18</v>
      </c>
      <c r="D1051" s="84">
        <v>62.5</v>
      </c>
      <c r="E1051">
        <v>20</v>
      </c>
      <c r="F1051" s="85">
        <v>0</v>
      </c>
      <c r="G1051" s="86">
        <f t="shared" si="80"/>
        <v>1250</v>
      </c>
      <c r="H1051" s="86">
        <f t="shared" si="81"/>
        <v>0</v>
      </c>
      <c r="I1051" s="86">
        <f t="shared" si="82"/>
        <v>1250</v>
      </c>
      <c r="J1051" s="84">
        <f>VLOOKUP(C1051, Products[], 6)</f>
        <v>62.5</v>
      </c>
      <c r="K1051" s="86">
        <f t="shared" si="83"/>
        <v>1250</v>
      </c>
      <c r="L1051" s="86">
        <f t="shared" si="84"/>
        <v>0</v>
      </c>
    </row>
    <row r="1052" spans="2:12" x14ac:dyDescent="0.2">
      <c r="B1052">
        <v>10645</v>
      </c>
      <c r="C1052">
        <v>36</v>
      </c>
      <c r="D1052" s="84">
        <v>19</v>
      </c>
      <c r="E1052">
        <v>15</v>
      </c>
      <c r="F1052" s="85">
        <v>0</v>
      </c>
      <c r="G1052" s="86">
        <f t="shared" si="80"/>
        <v>285</v>
      </c>
      <c r="H1052" s="86">
        <f t="shared" si="81"/>
        <v>0</v>
      </c>
      <c r="I1052" s="86">
        <f t="shared" si="82"/>
        <v>285</v>
      </c>
      <c r="J1052" s="84">
        <f>VLOOKUP(C1052, Products[], 6)</f>
        <v>19</v>
      </c>
      <c r="K1052" s="86">
        <f t="shared" si="83"/>
        <v>285</v>
      </c>
      <c r="L1052" s="86">
        <f t="shared" si="84"/>
        <v>0</v>
      </c>
    </row>
    <row r="1053" spans="2:12" x14ac:dyDescent="0.2">
      <c r="B1053">
        <v>10646</v>
      </c>
      <c r="C1053">
        <v>1</v>
      </c>
      <c r="D1053" s="84">
        <v>18</v>
      </c>
      <c r="E1053">
        <v>15</v>
      </c>
      <c r="F1053" s="85">
        <v>0.25</v>
      </c>
      <c r="G1053" s="86">
        <f t="shared" si="80"/>
        <v>270</v>
      </c>
      <c r="H1053" s="86">
        <f t="shared" si="81"/>
        <v>67.5</v>
      </c>
      <c r="I1053" s="86">
        <f t="shared" si="82"/>
        <v>202.5</v>
      </c>
      <c r="J1053" s="84">
        <f>VLOOKUP(C1053, Products[], 6)</f>
        <v>18</v>
      </c>
      <c r="K1053" s="86">
        <f t="shared" si="83"/>
        <v>270</v>
      </c>
      <c r="L1053" s="86">
        <f t="shared" si="84"/>
        <v>-67.5</v>
      </c>
    </row>
    <row r="1054" spans="2:12" x14ac:dyDescent="0.2">
      <c r="B1054">
        <v>10646</v>
      </c>
      <c r="C1054">
        <v>10</v>
      </c>
      <c r="D1054" s="84">
        <v>31</v>
      </c>
      <c r="E1054">
        <v>18</v>
      </c>
      <c r="F1054" s="85">
        <v>0.25</v>
      </c>
      <c r="G1054" s="86">
        <f t="shared" si="80"/>
        <v>558</v>
      </c>
      <c r="H1054" s="86">
        <f t="shared" si="81"/>
        <v>139.5</v>
      </c>
      <c r="I1054" s="86">
        <f t="shared" si="82"/>
        <v>418.5</v>
      </c>
      <c r="J1054" s="84">
        <f>VLOOKUP(C1054, Products[], 6)</f>
        <v>31</v>
      </c>
      <c r="K1054" s="86">
        <f t="shared" si="83"/>
        <v>558</v>
      </c>
      <c r="L1054" s="86">
        <f t="shared" si="84"/>
        <v>-139.5</v>
      </c>
    </row>
    <row r="1055" spans="2:12" x14ac:dyDescent="0.2">
      <c r="B1055">
        <v>10646</v>
      </c>
      <c r="C1055">
        <v>71</v>
      </c>
      <c r="D1055" s="84">
        <v>21.5</v>
      </c>
      <c r="E1055">
        <v>30</v>
      </c>
      <c r="F1055" s="85">
        <v>0.25</v>
      </c>
      <c r="G1055" s="86">
        <f t="shared" si="80"/>
        <v>645</v>
      </c>
      <c r="H1055" s="86">
        <f t="shared" si="81"/>
        <v>161.25</v>
      </c>
      <c r="I1055" s="86">
        <f t="shared" si="82"/>
        <v>483.75</v>
      </c>
      <c r="J1055" s="84">
        <f>VLOOKUP(C1055, Products[], 6)</f>
        <v>21.5</v>
      </c>
      <c r="K1055" s="86">
        <f t="shared" si="83"/>
        <v>645</v>
      </c>
      <c r="L1055" s="86">
        <f t="shared" si="84"/>
        <v>-161.25</v>
      </c>
    </row>
    <row r="1056" spans="2:12" x14ac:dyDescent="0.2">
      <c r="B1056">
        <v>10646</v>
      </c>
      <c r="C1056">
        <v>77</v>
      </c>
      <c r="D1056" s="84">
        <v>13</v>
      </c>
      <c r="E1056">
        <v>35</v>
      </c>
      <c r="F1056" s="85">
        <v>0.25</v>
      </c>
      <c r="G1056" s="86">
        <f t="shared" si="80"/>
        <v>455</v>
      </c>
      <c r="H1056" s="86">
        <f t="shared" si="81"/>
        <v>113.75</v>
      </c>
      <c r="I1056" s="86">
        <f t="shared" si="82"/>
        <v>341.25</v>
      </c>
      <c r="J1056" s="84">
        <f>VLOOKUP(C1056, Products[], 6)</f>
        <v>13</v>
      </c>
      <c r="K1056" s="86">
        <f t="shared" si="83"/>
        <v>455</v>
      </c>
      <c r="L1056" s="86">
        <f t="shared" si="84"/>
        <v>-113.75</v>
      </c>
    </row>
    <row r="1057" spans="2:12" x14ac:dyDescent="0.2">
      <c r="B1057">
        <v>10647</v>
      </c>
      <c r="C1057">
        <v>19</v>
      </c>
      <c r="D1057" s="84">
        <v>9.1999999999999993</v>
      </c>
      <c r="E1057">
        <v>30</v>
      </c>
      <c r="F1057" s="85">
        <v>0</v>
      </c>
      <c r="G1057" s="86">
        <f t="shared" si="80"/>
        <v>276</v>
      </c>
      <c r="H1057" s="86">
        <f t="shared" si="81"/>
        <v>0</v>
      </c>
      <c r="I1057" s="86">
        <f t="shared" si="82"/>
        <v>276</v>
      </c>
      <c r="J1057" s="84">
        <f>VLOOKUP(C1057, Products[], 6)</f>
        <v>9.1999999999999993</v>
      </c>
      <c r="K1057" s="86">
        <f t="shared" si="83"/>
        <v>276</v>
      </c>
      <c r="L1057" s="86">
        <f t="shared" si="84"/>
        <v>0</v>
      </c>
    </row>
    <row r="1058" spans="2:12" x14ac:dyDescent="0.2">
      <c r="B1058">
        <v>10647</v>
      </c>
      <c r="C1058">
        <v>39</v>
      </c>
      <c r="D1058" s="84">
        <v>18</v>
      </c>
      <c r="E1058">
        <v>20</v>
      </c>
      <c r="F1058" s="85">
        <v>0</v>
      </c>
      <c r="G1058" s="86">
        <f t="shared" si="80"/>
        <v>360</v>
      </c>
      <c r="H1058" s="86">
        <f t="shared" si="81"/>
        <v>0</v>
      </c>
      <c r="I1058" s="86">
        <f t="shared" si="82"/>
        <v>360</v>
      </c>
      <c r="J1058" s="84">
        <f>VLOOKUP(C1058, Products[], 6)</f>
        <v>18</v>
      </c>
      <c r="K1058" s="86">
        <f t="shared" si="83"/>
        <v>360</v>
      </c>
      <c r="L1058" s="86">
        <f t="shared" si="84"/>
        <v>0</v>
      </c>
    </row>
    <row r="1059" spans="2:12" x14ac:dyDescent="0.2">
      <c r="B1059">
        <v>10648</v>
      </c>
      <c r="C1059">
        <v>22</v>
      </c>
      <c r="D1059" s="84">
        <v>21</v>
      </c>
      <c r="E1059">
        <v>15</v>
      </c>
      <c r="F1059" s="85">
        <v>0</v>
      </c>
      <c r="G1059" s="86">
        <f t="shared" si="80"/>
        <v>315</v>
      </c>
      <c r="H1059" s="86">
        <f t="shared" si="81"/>
        <v>0</v>
      </c>
      <c r="I1059" s="86">
        <f t="shared" si="82"/>
        <v>315</v>
      </c>
      <c r="J1059" s="84">
        <f>VLOOKUP(C1059, Products[], 6)</f>
        <v>21</v>
      </c>
      <c r="K1059" s="86">
        <f t="shared" si="83"/>
        <v>315</v>
      </c>
      <c r="L1059" s="86">
        <f t="shared" si="84"/>
        <v>0</v>
      </c>
    </row>
    <row r="1060" spans="2:12" x14ac:dyDescent="0.2">
      <c r="B1060">
        <v>10648</v>
      </c>
      <c r="C1060">
        <v>24</v>
      </c>
      <c r="D1060" s="84">
        <v>4.5</v>
      </c>
      <c r="E1060">
        <v>15</v>
      </c>
      <c r="F1060" s="85">
        <v>0.15</v>
      </c>
      <c r="G1060" s="86">
        <f t="shared" si="80"/>
        <v>67.5</v>
      </c>
      <c r="H1060" s="86">
        <f t="shared" si="81"/>
        <v>10.125</v>
      </c>
      <c r="I1060" s="86">
        <f t="shared" si="82"/>
        <v>57.375</v>
      </c>
      <c r="J1060" s="84">
        <f>VLOOKUP(C1060, Products[], 6)</f>
        <v>4.5</v>
      </c>
      <c r="K1060" s="86">
        <f t="shared" si="83"/>
        <v>67.5</v>
      </c>
      <c r="L1060" s="86">
        <f t="shared" si="84"/>
        <v>-10.125</v>
      </c>
    </row>
    <row r="1061" spans="2:12" x14ac:dyDescent="0.2">
      <c r="B1061">
        <v>10649</v>
      </c>
      <c r="C1061">
        <v>28</v>
      </c>
      <c r="D1061" s="84">
        <v>45.6</v>
      </c>
      <c r="E1061">
        <v>20</v>
      </c>
      <c r="F1061" s="85">
        <v>0</v>
      </c>
      <c r="G1061" s="86">
        <f t="shared" si="80"/>
        <v>912</v>
      </c>
      <c r="H1061" s="86">
        <f t="shared" si="81"/>
        <v>0</v>
      </c>
      <c r="I1061" s="86">
        <f t="shared" si="82"/>
        <v>912</v>
      </c>
      <c r="J1061" s="84">
        <f>VLOOKUP(C1061, Products[], 6)</f>
        <v>45.6</v>
      </c>
      <c r="K1061" s="86">
        <f t="shared" si="83"/>
        <v>912</v>
      </c>
      <c r="L1061" s="86">
        <f t="shared" si="84"/>
        <v>0</v>
      </c>
    </row>
    <row r="1062" spans="2:12" x14ac:dyDescent="0.2">
      <c r="B1062">
        <v>10649</v>
      </c>
      <c r="C1062">
        <v>72</v>
      </c>
      <c r="D1062" s="84">
        <v>34.799999999999997</v>
      </c>
      <c r="E1062">
        <v>15</v>
      </c>
      <c r="F1062" s="85">
        <v>0</v>
      </c>
      <c r="G1062" s="86">
        <f t="shared" si="80"/>
        <v>522</v>
      </c>
      <c r="H1062" s="86">
        <f t="shared" si="81"/>
        <v>0</v>
      </c>
      <c r="I1062" s="86">
        <f t="shared" si="82"/>
        <v>522</v>
      </c>
      <c r="J1062" s="84">
        <f>VLOOKUP(C1062, Products[], 6)</f>
        <v>34.799999999999997</v>
      </c>
      <c r="K1062" s="86">
        <f t="shared" si="83"/>
        <v>522</v>
      </c>
      <c r="L1062" s="86">
        <f t="shared" si="84"/>
        <v>0</v>
      </c>
    </row>
    <row r="1063" spans="2:12" x14ac:dyDescent="0.2">
      <c r="B1063">
        <v>10650</v>
      </c>
      <c r="C1063">
        <v>30</v>
      </c>
      <c r="D1063" s="84">
        <v>25.89</v>
      </c>
      <c r="E1063">
        <v>30</v>
      </c>
      <c r="F1063" s="85">
        <v>0</v>
      </c>
      <c r="G1063" s="86">
        <f t="shared" si="80"/>
        <v>776.7</v>
      </c>
      <c r="H1063" s="86">
        <f t="shared" si="81"/>
        <v>0</v>
      </c>
      <c r="I1063" s="86">
        <f t="shared" si="82"/>
        <v>776.7</v>
      </c>
      <c r="J1063" s="84">
        <f>VLOOKUP(C1063, Products[], 6)</f>
        <v>25.89</v>
      </c>
      <c r="K1063" s="86">
        <f t="shared" si="83"/>
        <v>776.7</v>
      </c>
      <c r="L1063" s="86">
        <f t="shared" si="84"/>
        <v>0</v>
      </c>
    </row>
    <row r="1064" spans="2:12" x14ac:dyDescent="0.2">
      <c r="B1064">
        <v>10650</v>
      </c>
      <c r="C1064">
        <v>53</v>
      </c>
      <c r="D1064" s="84">
        <v>32.799999999999997</v>
      </c>
      <c r="E1064">
        <v>25</v>
      </c>
      <c r="F1064" s="85">
        <v>0.05</v>
      </c>
      <c r="G1064" s="86">
        <f t="shared" si="80"/>
        <v>819.99999999999989</v>
      </c>
      <c r="H1064" s="86">
        <f t="shared" si="81"/>
        <v>41</v>
      </c>
      <c r="I1064" s="86">
        <f t="shared" si="82"/>
        <v>778.99999999999989</v>
      </c>
      <c r="J1064" s="84">
        <f>VLOOKUP(C1064, Products[], 6)</f>
        <v>32.799999999999997</v>
      </c>
      <c r="K1064" s="86">
        <f t="shared" si="83"/>
        <v>819.99999999999989</v>
      </c>
      <c r="L1064" s="86">
        <f t="shared" si="84"/>
        <v>-41</v>
      </c>
    </row>
    <row r="1065" spans="2:12" x14ac:dyDescent="0.2">
      <c r="B1065">
        <v>10650</v>
      </c>
      <c r="C1065">
        <v>54</v>
      </c>
      <c r="D1065" s="84">
        <v>7.45</v>
      </c>
      <c r="E1065">
        <v>30</v>
      </c>
      <c r="F1065" s="85">
        <v>0</v>
      </c>
      <c r="G1065" s="86">
        <f t="shared" si="80"/>
        <v>223.5</v>
      </c>
      <c r="H1065" s="86">
        <f t="shared" si="81"/>
        <v>0</v>
      </c>
      <c r="I1065" s="86">
        <f t="shared" si="82"/>
        <v>223.5</v>
      </c>
      <c r="J1065" s="84">
        <f>VLOOKUP(C1065, Products[], 6)</f>
        <v>7.45</v>
      </c>
      <c r="K1065" s="86">
        <f t="shared" si="83"/>
        <v>223.5</v>
      </c>
      <c r="L1065" s="86">
        <f t="shared" si="84"/>
        <v>0</v>
      </c>
    </row>
    <row r="1066" spans="2:12" x14ac:dyDescent="0.2">
      <c r="B1066">
        <v>10651</v>
      </c>
      <c r="C1066">
        <v>19</v>
      </c>
      <c r="D1066" s="84">
        <v>9.1999999999999993</v>
      </c>
      <c r="E1066">
        <v>12</v>
      </c>
      <c r="F1066" s="85">
        <v>0.25</v>
      </c>
      <c r="G1066" s="86">
        <f t="shared" si="80"/>
        <v>110.39999999999999</v>
      </c>
      <c r="H1066" s="86">
        <f t="shared" si="81"/>
        <v>27.599999999999998</v>
      </c>
      <c r="I1066" s="86">
        <f t="shared" si="82"/>
        <v>82.8</v>
      </c>
      <c r="J1066" s="84">
        <f>VLOOKUP(C1066, Products[], 6)</f>
        <v>9.1999999999999993</v>
      </c>
      <c r="K1066" s="86">
        <f t="shared" si="83"/>
        <v>110.39999999999999</v>
      </c>
      <c r="L1066" s="86">
        <f t="shared" si="84"/>
        <v>-27.599999999999994</v>
      </c>
    </row>
    <row r="1067" spans="2:12" x14ac:dyDescent="0.2">
      <c r="B1067">
        <v>10651</v>
      </c>
      <c r="C1067">
        <v>22</v>
      </c>
      <c r="D1067" s="84">
        <v>21</v>
      </c>
      <c r="E1067">
        <v>20</v>
      </c>
      <c r="F1067" s="85">
        <v>0.25</v>
      </c>
      <c r="G1067" s="86">
        <f t="shared" si="80"/>
        <v>420</v>
      </c>
      <c r="H1067" s="86">
        <f t="shared" si="81"/>
        <v>105</v>
      </c>
      <c r="I1067" s="86">
        <f t="shared" si="82"/>
        <v>315</v>
      </c>
      <c r="J1067" s="84">
        <f>VLOOKUP(C1067, Products[], 6)</f>
        <v>21</v>
      </c>
      <c r="K1067" s="86">
        <f t="shared" si="83"/>
        <v>420</v>
      </c>
      <c r="L1067" s="86">
        <f t="shared" si="84"/>
        <v>-105</v>
      </c>
    </row>
    <row r="1068" spans="2:12" x14ac:dyDescent="0.2">
      <c r="B1068">
        <v>10652</v>
      </c>
      <c r="C1068">
        <v>30</v>
      </c>
      <c r="D1068" s="84">
        <v>25.89</v>
      </c>
      <c r="E1068">
        <v>2</v>
      </c>
      <c r="F1068" s="85">
        <v>0.25</v>
      </c>
      <c r="G1068" s="86">
        <f t="shared" si="80"/>
        <v>51.78</v>
      </c>
      <c r="H1068" s="86">
        <f t="shared" si="81"/>
        <v>12.945</v>
      </c>
      <c r="I1068" s="86">
        <f t="shared" si="82"/>
        <v>38.835000000000001</v>
      </c>
      <c r="J1068" s="84">
        <f>VLOOKUP(C1068, Products[], 6)</f>
        <v>25.89</v>
      </c>
      <c r="K1068" s="86">
        <f t="shared" si="83"/>
        <v>51.78</v>
      </c>
      <c r="L1068" s="86">
        <f t="shared" si="84"/>
        <v>-12.945</v>
      </c>
    </row>
    <row r="1069" spans="2:12" x14ac:dyDescent="0.2">
      <c r="B1069">
        <v>10652</v>
      </c>
      <c r="C1069">
        <v>42</v>
      </c>
      <c r="D1069" s="84">
        <v>14</v>
      </c>
      <c r="E1069">
        <v>20</v>
      </c>
      <c r="F1069" s="85">
        <v>0</v>
      </c>
      <c r="G1069" s="86">
        <f t="shared" si="80"/>
        <v>280</v>
      </c>
      <c r="H1069" s="86">
        <f t="shared" si="81"/>
        <v>0</v>
      </c>
      <c r="I1069" s="86">
        <f t="shared" si="82"/>
        <v>280</v>
      </c>
      <c r="J1069" s="84">
        <f>VLOOKUP(C1069, Products[], 6)</f>
        <v>14</v>
      </c>
      <c r="K1069" s="86">
        <f t="shared" si="83"/>
        <v>280</v>
      </c>
      <c r="L1069" s="86">
        <f t="shared" si="84"/>
        <v>0</v>
      </c>
    </row>
    <row r="1070" spans="2:12" x14ac:dyDescent="0.2">
      <c r="B1070">
        <v>10653</v>
      </c>
      <c r="C1070">
        <v>16</v>
      </c>
      <c r="D1070" s="84">
        <v>17.45</v>
      </c>
      <c r="E1070">
        <v>30</v>
      </c>
      <c r="F1070" s="85">
        <v>0.1</v>
      </c>
      <c r="G1070" s="86">
        <f t="shared" si="80"/>
        <v>523.5</v>
      </c>
      <c r="H1070" s="86">
        <f t="shared" si="81"/>
        <v>52.35</v>
      </c>
      <c r="I1070" s="86">
        <f t="shared" si="82"/>
        <v>471.15</v>
      </c>
      <c r="J1070" s="84">
        <f>VLOOKUP(C1070, Products[], 6)</f>
        <v>17.45</v>
      </c>
      <c r="K1070" s="86">
        <f t="shared" si="83"/>
        <v>523.5</v>
      </c>
      <c r="L1070" s="86">
        <f t="shared" si="84"/>
        <v>-52.350000000000023</v>
      </c>
    </row>
    <row r="1071" spans="2:12" x14ac:dyDescent="0.2">
      <c r="B1071">
        <v>10653</v>
      </c>
      <c r="C1071">
        <v>60</v>
      </c>
      <c r="D1071" s="84">
        <v>34</v>
      </c>
      <c r="E1071">
        <v>20</v>
      </c>
      <c r="F1071" s="85">
        <v>0.1</v>
      </c>
      <c r="G1071" s="86">
        <f t="shared" si="80"/>
        <v>680</v>
      </c>
      <c r="H1071" s="86">
        <f t="shared" si="81"/>
        <v>68</v>
      </c>
      <c r="I1071" s="86">
        <f t="shared" si="82"/>
        <v>612</v>
      </c>
      <c r="J1071" s="84">
        <f>VLOOKUP(C1071, Products[], 6)</f>
        <v>34</v>
      </c>
      <c r="K1071" s="86">
        <f t="shared" si="83"/>
        <v>680</v>
      </c>
      <c r="L1071" s="86">
        <f t="shared" si="84"/>
        <v>-68</v>
      </c>
    </row>
    <row r="1072" spans="2:12" x14ac:dyDescent="0.2">
      <c r="B1072">
        <v>10654</v>
      </c>
      <c r="C1072">
        <v>4</v>
      </c>
      <c r="D1072" s="84">
        <v>22</v>
      </c>
      <c r="E1072">
        <v>12</v>
      </c>
      <c r="F1072" s="85">
        <v>0.1</v>
      </c>
      <c r="G1072" s="86">
        <f t="shared" si="80"/>
        <v>264</v>
      </c>
      <c r="H1072" s="86">
        <f t="shared" si="81"/>
        <v>26.400000000000002</v>
      </c>
      <c r="I1072" s="86">
        <f t="shared" si="82"/>
        <v>237.6</v>
      </c>
      <c r="J1072" s="84">
        <f>VLOOKUP(C1072, Products[], 6)</f>
        <v>22</v>
      </c>
      <c r="K1072" s="86">
        <f t="shared" si="83"/>
        <v>264</v>
      </c>
      <c r="L1072" s="86">
        <f t="shared" si="84"/>
        <v>-26.400000000000006</v>
      </c>
    </row>
    <row r="1073" spans="2:12" x14ac:dyDescent="0.2">
      <c r="B1073">
        <v>10654</v>
      </c>
      <c r="C1073">
        <v>39</v>
      </c>
      <c r="D1073" s="84">
        <v>18</v>
      </c>
      <c r="E1073">
        <v>20</v>
      </c>
      <c r="F1073" s="85">
        <v>0.1</v>
      </c>
      <c r="G1073" s="86">
        <f t="shared" si="80"/>
        <v>360</v>
      </c>
      <c r="H1073" s="86">
        <f t="shared" si="81"/>
        <v>36</v>
      </c>
      <c r="I1073" s="86">
        <f t="shared" si="82"/>
        <v>324</v>
      </c>
      <c r="J1073" s="84">
        <f>VLOOKUP(C1073, Products[], 6)</f>
        <v>18</v>
      </c>
      <c r="K1073" s="86">
        <f t="shared" si="83"/>
        <v>360</v>
      </c>
      <c r="L1073" s="86">
        <f t="shared" si="84"/>
        <v>-36</v>
      </c>
    </row>
    <row r="1074" spans="2:12" x14ac:dyDescent="0.2">
      <c r="B1074">
        <v>10654</v>
      </c>
      <c r="C1074">
        <v>54</v>
      </c>
      <c r="D1074" s="84">
        <v>7.45</v>
      </c>
      <c r="E1074">
        <v>6</v>
      </c>
      <c r="F1074" s="85">
        <v>0.1</v>
      </c>
      <c r="G1074" s="86">
        <f t="shared" si="80"/>
        <v>44.7</v>
      </c>
      <c r="H1074" s="86">
        <f t="shared" si="81"/>
        <v>4.4700000000000006</v>
      </c>
      <c r="I1074" s="86">
        <f t="shared" si="82"/>
        <v>40.230000000000004</v>
      </c>
      <c r="J1074" s="84">
        <f>VLOOKUP(C1074, Products[], 6)</f>
        <v>7.45</v>
      </c>
      <c r="K1074" s="86">
        <f t="shared" si="83"/>
        <v>44.7</v>
      </c>
      <c r="L1074" s="86">
        <f t="shared" si="84"/>
        <v>-4.4699999999999989</v>
      </c>
    </row>
    <row r="1075" spans="2:12" x14ac:dyDescent="0.2">
      <c r="B1075">
        <v>10655</v>
      </c>
      <c r="C1075">
        <v>41</v>
      </c>
      <c r="D1075" s="84">
        <v>9.65</v>
      </c>
      <c r="E1075">
        <v>20</v>
      </c>
      <c r="F1075" s="85">
        <v>0.2</v>
      </c>
      <c r="G1075" s="86">
        <f t="shared" si="80"/>
        <v>193</v>
      </c>
      <c r="H1075" s="86">
        <f t="shared" si="81"/>
        <v>38.6</v>
      </c>
      <c r="I1075" s="86">
        <f t="shared" si="82"/>
        <v>154.4</v>
      </c>
      <c r="J1075" s="84">
        <f>VLOOKUP(C1075, Products[], 6)</f>
        <v>9.65</v>
      </c>
      <c r="K1075" s="86">
        <f t="shared" si="83"/>
        <v>193</v>
      </c>
      <c r="L1075" s="86">
        <f t="shared" si="84"/>
        <v>-38.599999999999994</v>
      </c>
    </row>
    <row r="1076" spans="2:12" x14ac:dyDescent="0.2">
      <c r="B1076">
        <v>10656</v>
      </c>
      <c r="C1076">
        <v>14</v>
      </c>
      <c r="D1076" s="84">
        <v>23.25</v>
      </c>
      <c r="E1076">
        <v>3</v>
      </c>
      <c r="F1076" s="85">
        <v>0.1</v>
      </c>
      <c r="G1076" s="86">
        <f t="shared" si="80"/>
        <v>69.75</v>
      </c>
      <c r="H1076" s="86">
        <f t="shared" si="81"/>
        <v>6.9750000000000005</v>
      </c>
      <c r="I1076" s="86">
        <f t="shared" si="82"/>
        <v>62.774999999999999</v>
      </c>
      <c r="J1076" s="84">
        <f>VLOOKUP(C1076, Products[], 6)</f>
        <v>23.25</v>
      </c>
      <c r="K1076" s="86">
        <f t="shared" si="83"/>
        <v>69.75</v>
      </c>
      <c r="L1076" s="86">
        <f t="shared" si="84"/>
        <v>-6.9750000000000014</v>
      </c>
    </row>
    <row r="1077" spans="2:12" x14ac:dyDescent="0.2">
      <c r="B1077">
        <v>10656</v>
      </c>
      <c r="C1077">
        <v>44</v>
      </c>
      <c r="D1077" s="84">
        <v>19.45</v>
      </c>
      <c r="E1077">
        <v>28</v>
      </c>
      <c r="F1077" s="85">
        <v>0.1</v>
      </c>
      <c r="G1077" s="86">
        <f t="shared" si="80"/>
        <v>544.6</v>
      </c>
      <c r="H1077" s="86">
        <f t="shared" si="81"/>
        <v>54.460000000000008</v>
      </c>
      <c r="I1077" s="86">
        <f t="shared" si="82"/>
        <v>490.14</v>
      </c>
      <c r="J1077" s="84">
        <f>VLOOKUP(C1077, Products[], 6)</f>
        <v>19.45</v>
      </c>
      <c r="K1077" s="86">
        <f t="shared" si="83"/>
        <v>544.6</v>
      </c>
      <c r="L1077" s="86">
        <f t="shared" si="84"/>
        <v>-54.460000000000036</v>
      </c>
    </row>
    <row r="1078" spans="2:12" x14ac:dyDescent="0.2">
      <c r="B1078">
        <v>10656</v>
      </c>
      <c r="C1078">
        <v>47</v>
      </c>
      <c r="D1078" s="84">
        <v>9.5</v>
      </c>
      <c r="E1078">
        <v>6</v>
      </c>
      <c r="F1078" s="85">
        <v>0.1</v>
      </c>
      <c r="G1078" s="86">
        <f t="shared" si="80"/>
        <v>57</v>
      </c>
      <c r="H1078" s="86">
        <f t="shared" si="81"/>
        <v>5.7</v>
      </c>
      <c r="I1078" s="86">
        <f t="shared" si="82"/>
        <v>51.3</v>
      </c>
      <c r="J1078" s="84">
        <f>VLOOKUP(C1078, Products[], 6)</f>
        <v>9.5</v>
      </c>
      <c r="K1078" s="86">
        <f t="shared" si="83"/>
        <v>57</v>
      </c>
      <c r="L1078" s="86">
        <f t="shared" si="84"/>
        <v>-5.7000000000000028</v>
      </c>
    </row>
    <row r="1079" spans="2:12" x14ac:dyDescent="0.2">
      <c r="B1079">
        <v>10657</v>
      </c>
      <c r="C1079">
        <v>15</v>
      </c>
      <c r="D1079" s="84">
        <v>15.5</v>
      </c>
      <c r="E1079">
        <v>50</v>
      </c>
      <c r="F1079" s="85">
        <v>0</v>
      </c>
      <c r="G1079" s="86">
        <f t="shared" si="80"/>
        <v>775</v>
      </c>
      <c r="H1079" s="86">
        <f t="shared" si="81"/>
        <v>0</v>
      </c>
      <c r="I1079" s="86">
        <f t="shared" si="82"/>
        <v>775</v>
      </c>
      <c r="J1079" s="84">
        <f>VLOOKUP(C1079, Products[], 6)</f>
        <v>15.5</v>
      </c>
      <c r="K1079" s="86">
        <f t="shared" si="83"/>
        <v>775</v>
      </c>
      <c r="L1079" s="86">
        <f t="shared" si="84"/>
        <v>0</v>
      </c>
    </row>
    <row r="1080" spans="2:12" x14ac:dyDescent="0.2">
      <c r="B1080">
        <v>10657</v>
      </c>
      <c r="C1080">
        <v>41</v>
      </c>
      <c r="D1080" s="84">
        <v>9.65</v>
      </c>
      <c r="E1080">
        <v>24</v>
      </c>
      <c r="F1080" s="85">
        <v>0</v>
      </c>
      <c r="G1080" s="86">
        <f t="shared" si="80"/>
        <v>231.60000000000002</v>
      </c>
      <c r="H1080" s="86">
        <f t="shared" si="81"/>
        <v>0</v>
      </c>
      <c r="I1080" s="86">
        <f t="shared" si="82"/>
        <v>231.60000000000002</v>
      </c>
      <c r="J1080" s="84">
        <f>VLOOKUP(C1080, Products[], 6)</f>
        <v>9.65</v>
      </c>
      <c r="K1080" s="86">
        <f t="shared" si="83"/>
        <v>231.60000000000002</v>
      </c>
      <c r="L1080" s="86">
        <f t="shared" si="84"/>
        <v>0</v>
      </c>
    </row>
    <row r="1081" spans="2:12" x14ac:dyDescent="0.2">
      <c r="B1081">
        <v>10657</v>
      </c>
      <c r="C1081">
        <v>46</v>
      </c>
      <c r="D1081" s="84">
        <v>12</v>
      </c>
      <c r="E1081">
        <v>45</v>
      </c>
      <c r="F1081" s="85">
        <v>0</v>
      </c>
      <c r="G1081" s="86">
        <f t="shared" si="80"/>
        <v>540</v>
      </c>
      <c r="H1081" s="86">
        <f t="shared" si="81"/>
        <v>0</v>
      </c>
      <c r="I1081" s="86">
        <f t="shared" si="82"/>
        <v>540</v>
      </c>
      <c r="J1081" s="84">
        <f>VLOOKUP(C1081, Products[], 6)</f>
        <v>12</v>
      </c>
      <c r="K1081" s="86">
        <f t="shared" si="83"/>
        <v>540</v>
      </c>
      <c r="L1081" s="86">
        <f t="shared" si="84"/>
        <v>0</v>
      </c>
    </row>
    <row r="1082" spans="2:12" x14ac:dyDescent="0.2">
      <c r="B1082">
        <v>10657</v>
      </c>
      <c r="C1082">
        <v>47</v>
      </c>
      <c r="D1082" s="84">
        <v>9.5</v>
      </c>
      <c r="E1082">
        <v>10</v>
      </c>
      <c r="F1082" s="85">
        <v>0</v>
      </c>
      <c r="G1082" s="86">
        <f t="shared" si="80"/>
        <v>95</v>
      </c>
      <c r="H1082" s="86">
        <f t="shared" si="81"/>
        <v>0</v>
      </c>
      <c r="I1082" s="86">
        <f t="shared" si="82"/>
        <v>95</v>
      </c>
      <c r="J1082" s="84">
        <f>VLOOKUP(C1082, Products[], 6)</f>
        <v>9.5</v>
      </c>
      <c r="K1082" s="86">
        <f t="shared" si="83"/>
        <v>95</v>
      </c>
      <c r="L1082" s="86">
        <f t="shared" si="84"/>
        <v>0</v>
      </c>
    </row>
    <row r="1083" spans="2:12" x14ac:dyDescent="0.2">
      <c r="B1083">
        <v>10657</v>
      </c>
      <c r="C1083">
        <v>56</v>
      </c>
      <c r="D1083" s="84">
        <v>38</v>
      </c>
      <c r="E1083">
        <v>45</v>
      </c>
      <c r="F1083" s="85">
        <v>0</v>
      </c>
      <c r="G1083" s="86">
        <f t="shared" si="80"/>
        <v>1710</v>
      </c>
      <c r="H1083" s="86">
        <f t="shared" si="81"/>
        <v>0</v>
      </c>
      <c r="I1083" s="86">
        <f t="shared" si="82"/>
        <v>1710</v>
      </c>
      <c r="J1083" s="84">
        <f>VLOOKUP(C1083, Products[], 6)</f>
        <v>38</v>
      </c>
      <c r="K1083" s="86">
        <f t="shared" si="83"/>
        <v>1710</v>
      </c>
      <c r="L1083" s="86">
        <f t="shared" si="84"/>
        <v>0</v>
      </c>
    </row>
    <row r="1084" spans="2:12" x14ac:dyDescent="0.2">
      <c r="B1084">
        <v>10657</v>
      </c>
      <c r="C1084">
        <v>60</v>
      </c>
      <c r="D1084" s="84">
        <v>34</v>
      </c>
      <c r="E1084">
        <v>30</v>
      </c>
      <c r="F1084" s="85">
        <v>0</v>
      </c>
      <c r="G1084" s="86">
        <f t="shared" si="80"/>
        <v>1020</v>
      </c>
      <c r="H1084" s="86">
        <f t="shared" si="81"/>
        <v>0</v>
      </c>
      <c r="I1084" s="86">
        <f t="shared" si="82"/>
        <v>1020</v>
      </c>
      <c r="J1084" s="84">
        <f>VLOOKUP(C1084, Products[], 6)</f>
        <v>34</v>
      </c>
      <c r="K1084" s="86">
        <f t="shared" si="83"/>
        <v>1020</v>
      </c>
      <c r="L1084" s="86">
        <f t="shared" si="84"/>
        <v>0</v>
      </c>
    </row>
    <row r="1085" spans="2:12" x14ac:dyDescent="0.2">
      <c r="B1085">
        <v>10658</v>
      </c>
      <c r="C1085">
        <v>21</v>
      </c>
      <c r="D1085" s="84">
        <v>10</v>
      </c>
      <c r="E1085">
        <v>60</v>
      </c>
      <c r="F1085" s="85">
        <v>0</v>
      </c>
      <c r="G1085" s="86">
        <f t="shared" si="80"/>
        <v>600</v>
      </c>
      <c r="H1085" s="86">
        <f t="shared" si="81"/>
        <v>0</v>
      </c>
      <c r="I1085" s="86">
        <f t="shared" si="82"/>
        <v>600</v>
      </c>
      <c r="J1085" s="84">
        <f>VLOOKUP(C1085, Products[], 6)</f>
        <v>10</v>
      </c>
      <c r="K1085" s="86">
        <f t="shared" si="83"/>
        <v>600</v>
      </c>
      <c r="L1085" s="86">
        <f t="shared" si="84"/>
        <v>0</v>
      </c>
    </row>
    <row r="1086" spans="2:12" x14ac:dyDescent="0.2">
      <c r="B1086">
        <v>10658</v>
      </c>
      <c r="C1086">
        <v>40</v>
      </c>
      <c r="D1086" s="84">
        <v>18.399999999999999</v>
      </c>
      <c r="E1086">
        <v>70</v>
      </c>
      <c r="F1086" s="85">
        <v>0.05</v>
      </c>
      <c r="G1086" s="86">
        <f t="shared" si="80"/>
        <v>1288</v>
      </c>
      <c r="H1086" s="86">
        <f t="shared" si="81"/>
        <v>64.400000000000006</v>
      </c>
      <c r="I1086" s="86">
        <f t="shared" si="82"/>
        <v>1223.5999999999999</v>
      </c>
      <c r="J1086" s="84">
        <f>VLOOKUP(C1086, Products[], 6)</f>
        <v>18.399999999999999</v>
      </c>
      <c r="K1086" s="86">
        <f t="shared" si="83"/>
        <v>1288</v>
      </c>
      <c r="L1086" s="86">
        <f t="shared" si="84"/>
        <v>-64.400000000000091</v>
      </c>
    </row>
    <row r="1087" spans="2:12" x14ac:dyDescent="0.2">
      <c r="B1087">
        <v>10658</v>
      </c>
      <c r="C1087">
        <v>60</v>
      </c>
      <c r="D1087" s="84">
        <v>34</v>
      </c>
      <c r="E1087">
        <v>55</v>
      </c>
      <c r="F1087" s="85">
        <v>0.05</v>
      </c>
      <c r="G1087" s="86">
        <f t="shared" si="80"/>
        <v>1870</v>
      </c>
      <c r="H1087" s="86">
        <f t="shared" si="81"/>
        <v>93.5</v>
      </c>
      <c r="I1087" s="86">
        <f t="shared" si="82"/>
        <v>1776.5</v>
      </c>
      <c r="J1087" s="84">
        <f>VLOOKUP(C1087, Products[], 6)</f>
        <v>34</v>
      </c>
      <c r="K1087" s="86">
        <f t="shared" si="83"/>
        <v>1870</v>
      </c>
      <c r="L1087" s="86">
        <f t="shared" si="84"/>
        <v>-93.5</v>
      </c>
    </row>
    <row r="1088" spans="2:12" x14ac:dyDescent="0.2">
      <c r="B1088">
        <v>10658</v>
      </c>
      <c r="C1088">
        <v>77</v>
      </c>
      <c r="D1088" s="84">
        <v>13</v>
      </c>
      <c r="E1088">
        <v>70</v>
      </c>
      <c r="F1088" s="85">
        <v>0.05</v>
      </c>
      <c r="G1088" s="86">
        <f t="shared" si="80"/>
        <v>910</v>
      </c>
      <c r="H1088" s="86">
        <f t="shared" si="81"/>
        <v>45.5</v>
      </c>
      <c r="I1088" s="86">
        <f t="shared" si="82"/>
        <v>864.5</v>
      </c>
      <c r="J1088" s="84">
        <f>VLOOKUP(C1088, Products[], 6)</f>
        <v>13</v>
      </c>
      <c r="K1088" s="86">
        <f t="shared" si="83"/>
        <v>910</v>
      </c>
      <c r="L1088" s="86">
        <f t="shared" si="84"/>
        <v>-45.5</v>
      </c>
    </row>
    <row r="1089" spans="2:12" x14ac:dyDescent="0.2">
      <c r="B1089">
        <v>10659</v>
      </c>
      <c r="C1089">
        <v>31</v>
      </c>
      <c r="D1089" s="84">
        <v>12.5</v>
      </c>
      <c r="E1089">
        <v>20</v>
      </c>
      <c r="F1089" s="85">
        <v>0.05</v>
      </c>
      <c r="G1089" s="86">
        <f t="shared" si="80"/>
        <v>250</v>
      </c>
      <c r="H1089" s="86">
        <f t="shared" si="81"/>
        <v>12.5</v>
      </c>
      <c r="I1089" s="86">
        <f t="shared" si="82"/>
        <v>237.5</v>
      </c>
      <c r="J1089" s="84">
        <f>VLOOKUP(C1089, Products[], 6)</f>
        <v>12.5</v>
      </c>
      <c r="K1089" s="86">
        <f t="shared" si="83"/>
        <v>250</v>
      </c>
      <c r="L1089" s="86">
        <f t="shared" si="84"/>
        <v>-12.5</v>
      </c>
    </row>
    <row r="1090" spans="2:12" x14ac:dyDescent="0.2">
      <c r="B1090">
        <v>10659</v>
      </c>
      <c r="C1090">
        <v>40</v>
      </c>
      <c r="D1090" s="84">
        <v>18.399999999999999</v>
      </c>
      <c r="E1090">
        <v>24</v>
      </c>
      <c r="F1090" s="85">
        <v>0.05</v>
      </c>
      <c r="G1090" s="86">
        <f t="shared" si="80"/>
        <v>441.59999999999997</v>
      </c>
      <c r="H1090" s="86">
        <f t="shared" si="81"/>
        <v>22.08</v>
      </c>
      <c r="I1090" s="86">
        <f t="shared" si="82"/>
        <v>419.52</v>
      </c>
      <c r="J1090" s="84">
        <f>VLOOKUP(C1090, Products[], 6)</f>
        <v>18.399999999999999</v>
      </c>
      <c r="K1090" s="86">
        <f t="shared" si="83"/>
        <v>441.59999999999997</v>
      </c>
      <c r="L1090" s="86">
        <f t="shared" si="84"/>
        <v>-22.079999999999984</v>
      </c>
    </row>
    <row r="1091" spans="2:12" x14ac:dyDescent="0.2">
      <c r="B1091">
        <v>10659</v>
      </c>
      <c r="C1091">
        <v>70</v>
      </c>
      <c r="D1091" s="84">
        <v>15</v>
      </c>
      <c r="E1091">
        <v>40</v>
      </c>
      <c r="F1091" s="85">
        <v>0.05</v>
      </c>
      <c r="G1091" s="86">
        <f t="shared" si="80"/>
        <v>600</v>
      </c>
      <c r="H1091" s="86">
        <f t="shared" si="81"/>
        <v>30</v>
      </c>
      <c r="I1091" s="86">
        <f t="shared" si="82"/>
        <v>570</v>
      </c>
      <c r="J1091" s="84">
        <f>VLOOKUP(C1091, Products[], 6)</f>
        <v>15</v>
      </c>
      <c r="K1091" s="86">
        <f t="shared" si="83"/>
        <v>600</v>
      </c>
      <c r="L1091" s="86">
        <f t="shared" si="84"/>
        <v>-30</v>
      </c>
    </row>
    <row r="1092" spans="2:12" x14ac:dyDescent="0.2">
      <c r="B1092">
        <v>10660</v>
      </c>
      <c r="C1092">
        <v>20</v>
      </c>
      <c r="D1092" s="84">
        <v>81</v>
      </c>
      <c r="E1092">
        <v>21</v>
      </c>
      <c r="F1092" s="85">
        <v>0</v>
      </c>
      <c r="G1092" s="86">
        <f t="shared" si="80"/>
        <v>1701</v>
      </c>
      <c r="H1092" s="86">
        <f t="shared" si="81"/>
        <v>0</v>
      </c>
      <c r="I1092" s="86">
        <f t="shared" si="82"/>
        <v>1701</v>
      </c>
      <c r="J1092" s="84">
        <f>VLOOKUP(C1092, Products[], 6)</f>
        <v>81</v>
      </c>
      <c r="K1092" s="86">
        <f t="shared" si="83"/>
        <v>1701</v>
      </c>
      <c r="L1092" s="86">
        <f t="shared" si="84"/>
        <v>0</v>
      </c>
    </row>
    <row r="1093" spans="2:12" x14ac:dyDescent="0.2">
      <c r="B1093">
        <v>10661</v>
      </c>
      <c r="C1093">
        <v>39</v>
      </c>
      <c r="D1093" s="84">
        <v>18</v>
      </c>
      <c r="E1093">
        <v>3</v>
      </c>
      <c r="F1093" s="85">
        <v>0.2</v>
      </c>
      <c r="G1093" s="86">
        <f t="shared" si="80"/>
        <v>54</v>
      </c>
      <c r="H1093" s="86">
        <f t="shared" si="81"/>
        <v>10.8</v>
      </c>
      <c r="I1093" s="86">
        <f t="shared" si="82"/>
        <v>43.2</v>
      </c>
      <c r="J1093" s="84">
        <f>VLOOKUP(C1093, Products[], 6)</f>
        <v>18</v>
      </c>
      <c r="K1093" s="86">
        <f t="shared" si="83"/>
        <v>54</v>
      </c>
      <c r="L1093" s="86">
        <f t="shared" si="84"/>
        <v>-10.799999999999997</v>
      </c>
    </row>
    <row r="1094" spans="2:12" x14ac:dyDescent="0.2">
      <c r="B1094">
        <v>10661</v>
      </c>
      <c r="C1094">
        <v>58</v>
      </c>
      <c r="D1094" s="84">
        <v>13.25</v>
      </c>
      <c r="E1094">
        <v>49</v>
      </c>
      <c r="F1094" s="85">
        <v>0.2</v>
      </c>
      <c r="G1094" s="86">
        <f t="shared" si="80"/>
        <v>649.25</v>
      </c>
      <c r="H1094" s="86">
        <f t="shared" si="81"/>
        <v>129.85</v>
      </c>
      <c r="I1094" s="86">
        <f t="shared" si="82"/>
        <v>519.4</v>
      </c>
      <c r="J1094" s="84">
        <f>VLOOKUP(C1094, Products[], 6)</f>
        <v>13.25</v>
      </c>
      <c r="K1094" s="86">
        <f t="shared" si="83"/>
        <v>649.25</v>
      </c>
      <c r="L1094" s="86">
        <f t="shared" si="84"/>
        <v>-129.85000000000002</v>
      </c>
    </row>
    <row r="1095" spans="2:12" x14ac:dyDescent="0.2">
      <c r="B1095">
        <v>10662</v>
      </c>
      <c r="C1095">
        <v>68</v>
      </c>
      <c r="D1095" s="84">
        <v>12.5</v>
      </c>
      <c r="E1095">
        <v>10</v>
      </c>
      <c r="F1095" s="85">
        <v>0</v>
      </c>
      <c r="G1095" s="86">
        <f t="shared" ref="G1095:G1158" si="85">D1095*E1095</f>
        <v>125</v>
      </c>
      <c r="H1095" s="86">
        <f t="shared" ref="H1095:H1158" si="86">G1095*F1095</f>
        <v>0</v>
      </c>
      <c r="I1095" s="86">
        <f t="shared" ref="I1095:I1158" si="87">G1095-H1095</f>
        <v>125</v>
      </c>
      <c r="J1095" s="84">
        <f>VLOOKUP(C1095, Products[], 6)</f>
        <v>12.5</v>
      </c>
      <c r="K1095" s="86">
        <f t="shared" ref="K1095:K1158" si="88">J1095*E1095</f>
        <v>125</v>
      </c>
      <c r="L1095" s="86">
        <f t="shared" ref="L1095:L1158" si="89">I1095-K1095</f>
        <v>0</v>
      </c>
    </row>
    <row r="1096" spans="2:12" x14ac:dyDescent="0.2">
      <c r="B1096">
        <v>10663</v>
      </c>
      <c r="C1096">
        <v>40</v>
      </c>
      <c r="D1096" s="84">
        <v>18.399999999999999</v>
      </c>
      <c r="E1096">
        <v>30</v>
      </c>
      <c r="F1096" s="85">
        <v>0.05</v>
      </c>
      <c r="G1096" s="86">
        <f t="shared" si="85"/>
        <v>552</v>
      </c>
      <c r="H1096" s="86">
        <f t="shared" si="86"/>
        <v>27.6</v>
      </c>
      <c r="I1096" s="86">
        <f t="shared" si="87"/>
        <v>524.4</v>
      </c>
      <c r="J1096" s="84">
        <f>VLOOKUP(C1096, Products[], 6)</f>
        <v>18.399999999999999</v>
      </c>
      <c r="K1096" s="86">
        <f t="shared" si="88"/>
        <v>552</v>
      </c>
      <c r="L1096" s="86">
        <f t="shared" si="89"/>
        <v>-27.600000000000023</v>
      </c>
    </row>
    <row r="1097" spans="2:12" x14ac:dyDescent="0.2">
      <c r="B1097">
        <v>10663</v>
      </c>
      <c r="C1097">
        <v>42</v>
      </c>
      <c r="D1097" s="84">
        <v>14</v>
      </c>
      <c r="E1097">
        <v>30</v>
      </c>
      <c r="F1097" s="85">
        <v>0.05</v>
      </c>
      <c r="G1097" s="86">
        <f t="shared" si="85"/>
        <v>420</v>
      </c>
      <c r="H1097" s="86">
        <f t="shared" si="86"/>
        <v>21</v>
      </c>
      <c r="I1097" s="86">
        <f t="shared" si="87"/>
        <v>399</v>
      </c>
      <c r="J1097" s="84">
        <f>VLOOKUP(C1097, Products[], 6)</f>
        <v>14</v>
      </c>
      <c r="K1097" s="86">
        <f t="shared" si="88"/>
        <v>420</v>
      </c>
      <c r="L1097" s="86">
        <f t="shared" si="89"/>
        <v>-21</v>
      </c>
    </row>
    <row r="1098" spans="2:12" x14ac:dyDescent="0.2">
      <c r="B1098">
        <v>10663</v>
      </c>
      <c r="C1098">
        <v>51</v>
      </c>
      <c r="D1098" s="84">
        <v>53</v>
      </c>
      <c r="E1098">
        <v>20</v>
      </c>
      <c r="F1098" s="85">
        <v>0.05</v>
      </c>
      <c r="G1098" s="86">
        <f t="shared" si="85"/>
        <v>1060</v>
      </c>
      <c r="H1098" s="86">
        <f t="shared" si="86"/>
        <v>53</v>
      </c>
      <c r="I1098" s="86">
        <f t="shared" si="87"/>
        <v>1007</v>
      </c>
      <c r="J1098" s="84">
        <f>VLOOKUP(C1098, Products[], 6)</f>
        <v>53</v>
      </c>
      <c r="K1098" s="86">
        <f t="shared" si="88"/>
        <v>1060</v>
      </c>
      <c r="L1098" s="86">
        <f t="shared" si="89"/>
        <v>-53</v>
      </c>
    </row>
    <row r="1099" spans="2:12" x14ac:dyDescent="0.2">
      <c r="B1099">
        <v>10664</v>
      </c>
      <c r="C1099">
        <v>10</v>
      </c>
      <c r="D1099" s="84">
        <v>31</v>
      </c>
      <c r="E1099">
        <v>24</v>
      </c>
      <c r="F1099" s="85">
        <v>0.15</v>
      </c>
      <c r="G1099" s="86">
        <f t="shared" si="85"/>
        <v>744</v>
      </c>
      <c r="H1099" s="86">
        <f t="shared" si="86"/>
        <v>111.6</v>
      </c>
      <c r="I1099" s="86">
        <f t="shared" si="87"/>
        <v>632.4</v>
      </c>
      <c r="J1099" s="84">
        <f>VLOOKUP(C1099, Products[], 6)</f>
        <v>31</v>
      </c>
      <c r="K1099" s="86">
        <f t="shared" si="88"/>
        <v>744</v>
      </c>
      <c r="L1099" s="86">
        <f t="shared" si="89"/>
        <v>-111.60000000000002</v>
      </c>
    </row>
    <row r="1100" spans="2:12" x14ac:dyDescent="0.2">
      <c r="B1100">
        <v>10664</v>
      </c>
      <c r="C1100">
        <v>56</v>
      </c>
      <c r="D1100" s="84">
        <v>38</v>
      </c>
      <c r="E1100">
        <v>12</v>
      </c>
      <c r="F1100" s="85">
        <v>0.15</v>
      </c>
      <c r="G1100" s="86">
        <f t="shared" si="85"/>
        <v>456</v>
      </c>
      <c r="H1100" s="86">
        <f t="shared" si="86"/>
        <v>68.399999999999991</v>
      </c>
      <c r="I1100" s="86">
        <f t="shared" si="87"/>
        <v>387.6</v>
      </c>
      <c r="J1100" s="84">
        <f>VLOOKUP(C1100, Products[], 6)</f>
        <v>38</v>
      </c>
      <c r="K1100" s="86">
        <f t="shared" si="88"/>
        <v>456</v>
      </c>
      <c r="L1100" s="86">
        <f t="shared" si="89"/>
        <v>-68.399999999999977</v>
      </c>
    </row>
    <row r="1101" spans="2:12" x14ac:dyDescent="0.2">
      <c r="B1101">
        <v>10664</v>
      </c>
      <c r="C1101">
        <v>65</v>
      </c>
      <c r="D1101" s="84">
        <v>21.05</v>
      </c>
      <c r="E1101">
        <v>15</v>
      </c>
      <c r="F1101" s="85">
        <v>0.15</v>
      </c>
      <c r="G1101" s="86">
        <f t="shared" si="85"/>
        <v>315.75</v>
      </c>
      <c r="H1101" s="86">
        <f t="shared" si="86"/>
        <v>47.362499999999997</v>
      </c>
      <c r="I1101" s="86">
        <f t="shared" si="87"/>
        <v>268.38749999999999</v>
      </c>
      <c r="J1101" s="84">
        <f>VLOOKUP(C1101, Products[], 6)</f>
        <v>21.05</v>
      </c>
      <c r="K1101" s="86">
        <f t="shared" si="88"/>
        <v>315.75</v>
      </c>
      <c r="L1101" s="86">
        <f t="shared" si="89"/>
        <v>-47.362500000000011</v>
      </c>
    </row>
    <row r="1102" spans="2:12" x14ac:dyDescent="0.2">
      <c r="B1102">
        <v>10665</v>
      </c>
      <c r="C1102">
        <v>51</v>
      </c>
      <c r="D1102" s="84">
        <v>53</v>
      </c>
      <c r="E1102">
        <v>20</v>
      </c>
      <c r="F1102" s="85">
        <v>0</v>
      </c>
      <c r="G1102" s="86">
        <f t="shared" si="85"/>
        <v>1060</v>
      </c>
      <c r="H1102" s="86">
        <f t="shared" si="86"/>
        <v>0</v>
      </c>
      <c r="I1102" s="86">
        <f t="shared" si="87"/>
        <v>1060</v>
      </c>
      <c r="J1102" s="84">
        <f>VLOOKUP(C1102, Products[], 6)</f>
        <v>53</v>
      </c>
      <c r="K1102" s="86">
        <f t="shared" si="88"/>
        <v>1060</v>
      </c>
      <c r="L1102" s="86">
        <f t="shared" si="89"/>
        <v>0</v>
      </c>
    </row>
    <row r="1103" spans="2:12" x14ac:dyDescent="0.2">
      <c r="B1103">
        <v>10665</v>
      </c>
      <c r="C1103">
        <v>59</v>
      </c>
      <c r="D1103" s="84">
        <v>55</v>
      </c>
      <c r="E1103">
        <v>1</v>
      </c>
      <c r="F1103" s="85">
        <v>0</v>
      </c>
      <c r="G1103" s="86">
        <f t="shared" si="85"/>
        <v>55</v>
      </c>
      <c r="H1103" s="86">
        <f t="shared" si="86"/>
        <v>0</v>
      </c>
      <c r="I1103" s="86">
        <f t="shared" si="87"/>
        <v>55</v>
      </c>
      <c r="J1103" s="84">
        <f>VLOOKUP(C1103, Products[], 6)</f>
        <v>55</v>
      </c>
      <c r="K1103" s="86">
        <f t="shared" si="88"/>
        <v>55</v>
      </c>
      <c r="L1103" s="86">
        <f t="shared" si="89"/>
        <v>0</v>
      </c>
    </row>
    <row r="1104" spans="2:12" x14ac:dyDescent="0.2">
      <c r="B1104">
        <v>10665</v>
      </c>
      <c r="C1104">
        <v>76</v>
      </c>
      <c r="D1104" s="84">
        <v>18</v>
      </c>
      <c r="E1104">
        <v>10</v>
      </c>
      <c r="F1104" s="85">
        <v>0</v>
      </c>
      <c r="G1104" s="86">
        <f t="shared" si="85"/>
        <v>180</v>
      </c>
      <c r="H1104" s="86">
        <f t="shared" si="86"/>
        <v>0</v>
      </c>
      <c r="I1104" s="86">
        <f t="shared" si="87"/>
        <v>180</v>
      </c>
      <c r="J1104" s="84">
        <f>VLOOKUP(C1104, Products[], 6)</f>
        <v>18</v>
      </c>
      <c r="K1104" s="86">
        <f t="shared" si="88"/>
        <v>180</v>
      </c>
      <c r="L1104" s="86">
        <f t="shared" si="89"/>
        <v>0</v>
      </c>
    </row>
    <row r="1105" spans="2:12" x14ac:dyDescent="0.2">
      <c r="B1105">
        <v>10666</v>
      </c>
      <c r="C1105">
        <v>29</v>
      </c>
      <c r="D1105" s="84">
        <v>123.79</v>
      </c>
      <c r="E1105">
        <v>36</v>
      </c>
      <c r="F1105" s="85">
        <v>0</v>
      </c>
      <c r="G1105" s="86">
        <f t="shared" si="85"/>
        <v>4456.4400000000005</v>
      </c>
      <c r="H1105" s="86">
        <f t="shared" si="86"/>
        <v>0</v>
      </c>
      <c r="I1105" s="86">
        <f t="shared" si="87"/>
        <v>4456.4400000000005</v>
      </c>
      <c r="J1105" s="84">
        <f>VLOOKUP(C1105, Products[], 6)</f>
        <v>123.79</v>
      </c>
      <c r="K1105" s="86">
        <f t="shared" si="88"/>
        <v>4456.4400000000005</v>
      </c>
      <c r="L1105" s="86">
        <f t="shared" si="89"/>
        <v>0</v>
      </c>
    </row>
    <row r="1106" spans="2:12" x14ac:dyDescent="0.2">
      <c r="B1106">
        <v>10666</v>
      </c>
      <c r="C1106">
        <v>65</v>
      </c>
      <c r="D1106" s="84">
        <v>21.05</v>
      </c>
      <c r="E1106">
        <v>10</v>
      </c>
      <c r="F1106" s="85">
        <v>0</v>
      </c>
      <c r="G1106" s="86">
        <f t="shared" si="85"/>
        <v>210.5</v>
      </c>
      <c r="H1106" s="86">
        <f t="shared" si="86"/>
        <v>0</v>
      </c>
      <c r="I1106" s="86">
        <f t="shared" si="87"/>
        <v>210.5</v>
      </c>
      <c r="J1106" s="84">
        <f>VLOOKUP(C1106, Products[], 6)</f>
        <v>21.05</v>
      </c>
      <c r="K1106" s="86">
        <f t="shared" si="88"/>
        <v>210.5</v>
      </c>
      <c r="L1106" s="86">
        <f t="shared" si="89"/>
        <v>0</v>
      </c>
    </row>
    <row r="1107" spans="2:12" x14ac:dyDescent="0.2">
      <c r="B1107">
        <v>10667</v>
      </c>
      <c r="C1107">
        <v>69</v>
      </c>
      <c r="D1107" s="84">
        <v>36</v>
      </c>
      <c r="E1107">
        <v>45</v>
      </c>
      <c r="F1107" s="85">
        <v>0.2</v>
      </c>
      <c r="G1107" s="86">
        <f t="shared" si="85"/>
        <v>1620</v>
      </c>
      <c r="H1107" s="86">
        <f t="shared" si="86"/>
        <v>324</v>
      </c>
      <c r="I1107" s="86">
        <f t="shared" si="87"/>
        <v>1296</v>
      </c>
      <c r="J1107" s="84">
        <f>VLOOKUP(C1107, Products[], 6)</f>
        <v>36</v>
      </c>
      <c r="K1107" s="86">
        <f t="shared" si="88"/>
        <v>1620</v>
      </c>
      <c r="L1107" s="86">
        <f t="shared" si="89"/>
        <v>-324</v>
      </c>
    </row>
    <row r="1108" spans="2:12" x14ac:dyDescent="0.2">
      <c r="B1108">
        <v>10667</v>
      </c>
      <c r="C1108">
        <v>71</v>
      </c>
      <c r="D1108" s="84">
        <v>21.5</v>
      </c>
      <c r="E1108">
        <v>14</v>
      </c>
      <c r="F1108" s="85">
        <v>0.2</v>
      </c>
      <c r="G1108" s="86">
        <f t="shared" si="85"/>
        <v>301</v>
      </c>
      <c r="H1108" s="86">
        <f t="shared" si="86"/>
        <v>60.2</v>
      </c>
      <c r="I1108" s="86">
        <f t="shared" si="87"/>
        <v>240.8</v>
      </c>
      <c r="J1108" s="84">
        <f>VLOOKUP(C1108, Products[], 6)</f>
        <v>21.5</v>
      </c>
      <c r="K1108" s="86">
        <f t="shared" si="88"/>
        <v>301</v>
      </c>
      <c r="L1108" s="86">
        <f t="shared" si="89"/>
        <v>-60.199999999999989</v>
      </c>
    </row>
    <row r="1109" spans="2:12" x14ac:dyDescent="0.2">
      <c r="B1109">
        <v>10668</v>
      </c>
      <c r="C1109">
        <v>31</v>
      </c>
      <c r="D1109" s="84">
        <v>12.5</v>
      </c>
      <c r="E1109">
        <v>8</v>
      </c>
      <c r="F1109" s="85">
        <v>0.1</v>
      </c>
      <c r="G1109" s="86">
        <f t="shared" si="85"/>
        <v>100</v>
      </c>
      <c r="H1109" s="86">
        <f t="shared" si="86"/>
        <v>10</v>
      </c>
      <c r="I1109" s="86">
        <f t="shared" si="87"/>
        <v>90</v>
      </c>
      <c r="J1109" s="84">
        <f>VLOOKUP(C1109, Products[], 6)</f>
        <v>12.5</v>
      </c>
      <c r="K1109" s="86">
        <f t="shared" si="88"/>
        <v>100</v>
      </c>
      <c r="L1109" s="86">
        <f t="shared" si="89"/>
        <v>-10</v>
      </c>
    </row>
    <row r="1110" spans="2:12" x14ac:dyDescent="0.2">
      <c r="B1110">
        <v>10668</v>
      </c>
      <c r="C1110">
        <v>55</v>
      </c>
      <c r="D1110" s="84">
        <v>24</v>
      </c>
      <c r="E1110">
        <v>4</v>
      </c>
      <c r="F1110" s="85">
        <v>0.1</v>
      </c>
      <c r="G1110" s="86">
        <f t="shared" si="85"/>
        <v>96</v>
      </c>
      <c r="H1110" s="86">
        <f t="shared" si="86"/>
        <v>9.6000000000000014</v>
      </c>
      <c r="I1110" s="86">
        <f t="shared" si="87"/>
        <v>86.4</v>
      </c>
      <c r="J1110" s="84">
        <f>VLOOKUP(C1110, Products[], 6)</f>
        <v>24</v>
      </c>
      <c r="K1110" s="86">
        <f t="shared" si="88"/>
        <v>96</v>
      </c>
      <c r="L1110" s="86">
        <f t="shared" si="89"/>
        <v>-9.5999999999999943</v>
      </c>
    </row>
    <row r="1111" spans="2:12" x14ac:dyDescent="0.2">
      <c r="B1111">
        <v>10668</v>
      </c>
      <c r="C1111">
        <v>64</v>
      </c>
      <c r="D1111" s="84">
        <v>33.25</v>
      </c>
      <c r="E1111">
        <v>15</v>
      </c>
      <c r="F1111" s="85">
        <v>0.1</v>
      </c>
      <c r="G1111" s="86">
        <f t="shared" si="85"/>
        <v>498.75</v>
      </c>
      <c r="H1111" s="86">
        <f t="shared" si="86"/>
        <v>49.875</v>
      </c>
      <c r="I1111" s="86">
        <f t="shared" si="87"/>
        <v>448.875</v>
      </c>
      <c r="J1111" s="84">
        <f>VLOOKUP(C1111, Products[], 6)</f>
        <v>33.25</v>
      </c>
      <c r="K1111" s="86">
        <f t="shared" si="88"/>
        <v>498.75</v>
      </c>
      <c r="L1111" s="86">
        <f t="shared" si="89"/>
        <v>-49.875</v>
      </c>
    </row>
    <row r="1112" spans="2:12" x14ac:dyDescent="0.2">
      <c r="B1112">
        <v>10669</v>
      </c>
      <c r="C1112">
        <v>36</v>
      </c>
      <c r="D1112" s="84">
        <v>19</v>
      </c>
      <c r="E1112">
        <v>30</v>
      </c>
      <c r="F1112" s="85">
        <v>0</v>
      </c>
      <c r="G1112" s="86">
        <f t="shared" si="85"/>
        <v>570</v>
      </c>
      <c r="H1112" s="86">
        <f t="shared" si="86"/>
        <v>0</v>
      </c>
      <c r="I1112" s="86">
        <f t="shared" si="87"/>
        <v>570</v>
      </c>
      <c r="J1112" s="84">
        <f>VLOOKUP(C1112, Products[], 6)</f>
        <v>19</v>
      </c>
      <c r="K1112" s="86">
        <f t="shared" si="88"/>
        <v>570</v>
      </c>
      <c r="L1112" s="86">
        <f t="shared" si="89"/>
        <v>0</v>
      </c>
    </row>
    <row r="1113" spans="2:12" x14ac:dyDescent="0.2">
      <c r="B1113">
        <v>10670</v>
      </c>
      <c r="C1113">
        <v>23</v>
      </c>
      <c r="D1113" s="84">
        <v>9</v>
      </c>
      <c r="E1113">
        <v>32</v>
      </c>
      <c r="F1113" s="85">
        <v>0</v>
      </c>
      <c r="G1113" s="86">
        <f t="shared" si="85"/>
        <v>288</v>
      </c>
      <c r="H1113" s="86">
        <f t="shared" si="86"/>
        <v>0</v>
      </c>
      <c r="I1113" s="86">
        <f t="shared" si="87"/>
        <v>288</v>
      </c>
      <c r="J1113" s="84">
        <f>VLOOKUP(C1113, Products[], 6)</f>
        <v>9</v>
      </c>
      <c r="K1113" s="86">
        <f t="shared" si="88"/>
        <v>288</v>
      </c>
      <c r="L1113" s="86">
        <f t="shared" si="89"/>
        <v>0</v>
      </c>
    </row>
    <row r="1114" spans="2:12" x14ac:dyDescent="0.2">
      <c r="B1114">
        <v>10670</v>
      </c>
      <c r="C1114">
        <v>46</v>
      </c>
      <c r="D1114" s="84">
        <v>12</v>
      </c>
      <c r="E1114">
        <v>60</v>
      </c>
      <c r="F1114" s="85">
        <v>0</v>
      </c>
      <c r="G1114" s="86">
        <f t="shared" si="85"/>
        <v>720</v>
      </c>
      <c r="H1114" s="86">
        <f t="shared" si="86"/>
        <v>0</v>
      </c>
      <c r="I1114" s="86">
        <f t="shared" si="87"/>
        <v>720</v>
      </c>
      <c r="J1114" s="84">
        <f>VLOOKUP(C1114, Products[], 6)</f>
        <v>12</v>
      </c>
      <c r="K1114" s="86">
        <f t="shared" si="88"/>
        <v>720</v>
      </c>
      <c r="L1114" s="86">
        <f t="shared" si="89"/>
        <v>0</v>
      </c>
    </row>
    <row r="1115" spans="2:12" x14ac:dyDescent="0.2">
      <c r="B1115">
        <v>10670</v>
      </c>
      <c r="C1115">
        <v>67</v>
      </c>
      <c r="D1115" s="84">
        <v>14</v>
      </c>
      <c r="E1115">
        <v>25</v>
      </c>
      <c r="F1115" s="85">
        <v>0</v>
      </c>
      <c r="G1115" s="86">
        <f t="shared" si="85"/>
        <v>350</v>
      </c>
      <c r="H1115" s="86">
        <f t="shared" si="86"/>
        <v>0</v>
      </c>
      <c r="I1115" s="86">
        <f t="shared" si="87"/>
        <v>350</v>
      </c>
      <c r="J1115" s="84">
        <f>VLOOKUP(C1115, Products[], 6)</f>
        <v>14</v>
      </c>
      <c r="K1115" s="86">
        <f t="shared" si="88"/>
        <v>350</v>
      </c>
      <c r="L1115" s="86">
        <f t="shared" si="89"/>
        <v>0</v>
      </c>
    </row>
    <row r="1116" spans="2:12" x14ac:dyDescent="0.2">
      <c r="B1116">
        <v>10670</v>
      </c>
      <c r="C1116">
        <v>73</v>
      </c>
      <c r="D1116" s="84">
        <v>15</v>
      </c>
      <c r="E1116">
        <v>50</v>
      </c>
      <c r="F1116" s="85">
        <v>0</v>
      </c>
      <c r="G1116" s="86">
        <f t="shared" si="85"/>
        <v>750</v>
      </c>
      <c r="H1116" s="86">
        <f t="shared" si="86"/>
        <v>0</v>
      </c>
      <c r="I1116" s="86">
        <f t="shared" si="87"/>
        <v>750</v>
      </c>
      <c r="J1116" s="84">
        <f>VLOOKUP(C1116, Products[], 6)</f>
        <v>15</v>
      </c>
      <c r="K1116" s="86">
        <f t="shared" si="88"/>
        <v>750</v>
      </c>
      <c r="L1116" s="86">
        <f t="shared" si="89"/>
        <v>0</v>
      </c>
    </row>
    <row r="1117" spans="2:12" x14ac:dyDescent="0.2">
      <c r="B1117">
        <v>10670</v>
      </c>
      <c r="C1117">
        <v>75</v>
      </c>
      <c r="D1117" s="84">
        <v>7.75</v>
      </c>
      <c r="E1117">
        <v>25</v>
      </c>
      <c r="F1117" s="85">
        <v>0</v>
      </c>
      <c r="G1117" s="86">
        <f t="shared" si="85"/>
        <v>193.75</v>
      </c>
      <c r="H1117" s="86">
        <f t="shared" si="86"/>
        <v>0</v>
      </c>
      <c r="I1117" s="86">
        <f t="shared" si="87"/>
        <v>193.75</v>
      </c>
      <c r="J1117" s="84">
        <f>VLOOKUP(C1117, Products[], 6)</f>
        <v>7.75</v>
      </c>
      <c r="K1117" s="86">
        <f t="shared" si="88"/>
        <v>193.75</v>
      </c>
      <c r="L1117" s="86">
        <f t="shared" si="89"/>
        <v>0</v>
      </c>
    </row>
    <row r="1118" spans="2:12" x14ac:dyDescent="0.2">
      <c r="B1118">
        <v>10671</v>
      </c>
      <c r="C1118">
        <v>16</v>
      </c>
      <c r="D1118" s="84">
        <v>17.45</v>
      </c>
      <c r="E1118">
        <v>10</v>
      </c>
      <c r="F1118" s="85">
        <v>0</v>
      </c>
      <c r="G1118" s="86">
        <f t="shared" si="85"/>
        <v>174.5</v>
      </c>
      <c r="H1118" s="86">
        <f t="shared" si="86"/>
        <v>0</v>
      </c>
      <c r="I1118" s="86">
        <f t="shared" si="87"/>
        <v>174.5</v>
      </c>
      <c r="J1118" s="84">
        <f>VLOOKUP(C1118, Products[], 6)</f>
        <v>17.45</v>
      </c>
      <c r="K1118" s="86">
        <f t="shared" si="88"/>
        <v>174.5</v>
      </c>
      <c r="L1118" s="86">
        <f t="shared" si="89"/>
        <v>0</v>
      </c>
    </row>
    <row r="1119" spans="2:12" x14ac:dyDescent="0.2">
      <c r="B1119">
        <v>10671</v>
      </c>
      <c r="C1119">
        <v>62</v>
      </c>
      <c r="D1119" s="84">
        <v>49.3</v>
      </c>
      <c r="E1119">
        <v>10</v>
      </c>
      <c r="F1119" s="85">
        <v>0</v>
      </c>
      <c r="G1119" s="86">
        <f t="shared" si="85"/>
        <v>493</v>
      </c>
      <c r="H1119" s="86">
        <f t="shared" si="86"/>
        <v>0</v>
      </c>
      <c r="I1119" s="86">
        <f t="shared" si="87"/>
        <v>493</v>
      </c>
      <c r="J1119" s="84">
        <f>VLOOKUP(C1119, Products[], 6)</f>
        <v>49.3</v>
      </c>
      <c r="K1119" s="86">
        <f t="shared" si="88"/>
        <v>493</v>
      </c>
      <c r="L1119" s="86">
        <f t="shared" si="89"/>
        <v>0</v>
      </c>
    </row>
    <row r="1120" spans="2:12" x14ac:dyDescent="0.2">
      <c r="B1120">
        <v>10671</v>
      </c>
      <c r="C1120">
        <v>65</v>
      </c>
      <c r="D1120" s="84">
        <v>21.05</v>
      </c>
      <c r="E1120">
        <v>12</v>
      </c>
      <c r="F1120" s="85">
        <v>0</v>
      </c>
      <c r="G1120" s="86">
        <f t="shared" si="85"/>
        <v>252.60000000000002</v>
      </c>
      <c r="H1120" s="86">
        <f t="shared" si="86"/>
        <v>0</v>
      </c>
      <c r="I1120" s="86">
        <f t="shared" si="87"/>
        <v>252.60000000000002</v>
      </c>
      <c r="J1120" s="84">
        <f>VLOOKUP(C1120, Products[], 6)</f>
        <v>21.05</v>
      </c>
      <c r="K1120" s="86">
        <f t="shared" si="88"/>
        <v>252.60000000000002</v>
      </c>
      <c r="L1120" s="86">
        <f t="shared" si="89"/>
        <v>0</v>
      </c>
    </row>
    <row r="1121" spans="2:12" x14ac:dyDescent="0.2">
      <c r="B1121">
        <v>10672</v>
      </c>
      <c r="C1121">
        <v>38</v>
      </c>
      <c r="D1121" s="84">
        <v>263.5</v>
      </c>
      <c r="E1121">
        <v>15</v>
      </c>
      <c r="F1121" s="85">
        <v>0.1</v>
      </c>
      <c r="G1121" s="86">
        <f t="shared" si="85"/>
        <v>3952.5</v>
      </c>
      <c r="H1121" s="86">
        <f t="shared" si="86"/>
        <v>395.25</v>
      </c>
      <c r="I1121" s="86">
        <f t="shared" si="87"/>
        <v>3557.25</v>
      </c>
      <c r="J1121" s="84">
        <f>VLOOKUP(C1121, Products[], 6)</f>
        <v>263.5</v>
      </c>
      <c r="K1121" s="86">
        <f t="shared" si="88"/>
        <v>3952.5</v>
      </c>
      <c r="L1121" s="86">
        <f t="shared" si="89"/>
        <v>-395.25</v>
      </c>
    </row>
    <row r="1122" spans="2:12" x14ac:dyDescent="0.2">
      <c r="B1122">
        <v>10672</v>
      </c>
      <c r="C1122">
        <v>71</v>
      </c>
      <c r="D1122" s="84">
        <v>21.5</v>
      </c>
      <c r="E1122">
        <v>12</v>
      </c>
      <c r="F1122" s="85">
        <v>0</v>
      </c>
      <c r="G1122" s="86">
        <f t="shared" si="85"/>
        <v>258</v>
      </c>
      <c r="H1122" s="86">
        <f t="shared" si="86"/>
        <v>0</v>
      </c>
      <c r="I1122" s="86">
        <f t="shared" si="87"/>
        <v>258</v>
      </c>
      <c r="J1122" s="84">
        <f>VLOOKUP(C1122, Products[], 6)</f>
        <v>21.5</v>
      </c>
      <c r="K1122" s="86">
        <f t="shared" si="88"/>
        <v>258</v>
      </c>
      <c r="L1122" s="86">
        <f t="shared" si="89"/>
        <v>0</v>
      </c>
    </row>
    <row r="1123" spans="2:12" x14ac:dyDescent="0.2">
      <c r="B1123">
        <v>10673</v>
      </c>
      <c r="C1123">
        <v>16</v>
      </c>
      <c r="D1123" s="84">
        <v>17.45</v>
      </c>
      <c r="E1123">
        <v>3</v>
      </c>
      <c r="F1123" s="85">
        <v>0</v>
      </c>
      <c r="G1123" s="86">
        <f t="shared" si="85"/>
        <v>52.349999999999994</v>
      </c>
      <c r="H1123" s="86">
        <f t="shared" si="86"/>
        <v>0</v>
      </c>
      <c r="I1123" s="86">
        <f t="shared" si="87"/>
        <v>52.349999999999994</v>
      </c>
      <c r="J1123" s="84">
        <f>VLOOKUP(C1123, Products[], 6)</f>
        <v>17.45</v>
      </c>
      <c r="K1123" s="86">
        <f t="shared" si="88"/>
        <v>52.349999999999994</v>
      </c>
      <c r="L1123" s="86">
        <f t="shared" si="89"/>
        <v>0</v>
      </c>
    </row>
    <row r="1124" spans="2:12" x14ac:dyDescent="0.2">
      <c r="B1124">
        <v>10673</v>
      </c>
      <c r="C1124">
        <v>42</v>
      </c>
      <c r="D1124" s="84">
        <v>14</v>
      </c>
      <c r="E1124">
        <v>6</v>
      </c>
      <c r="F1124" s="85">
        <v>0</v>
      </c>
      <c r="G1124" s="86">
        <f t="shared" si="85"/>
        <v>84</v>
      </c>
      <c r="H1124" s="86">
        <f t="shared" si="86"/>
        <v>0</v>
      </c>
      <c r="I1124" s="86">
        <f t="shared" si="87"/>
        <v>84</v>
      </c>
      <c r="J1124" s="84">
        <f>VLOOKUP(C1124, Products[], 6)</f>
        <v>14</v>
      </c>
      <c r="K1124" s="86">
        <f t="shared" si="88"/>
        <v>84</v>
      </c>
      <c r="L1124" s="86">
        <f t="shared" si="89"/>
        <v>0</v>
      </c>
    </row>
    <row r="1125" spans="2:12" x14ac:dyDescent="0.2">
      <c r="B1125">
        <v>10673</v>
      </c>
      <c r="C1125">
        <v>43</v>
      </c>
      <c r="D1125" s="84">
        <v>46</v>
      </c>
      <c r="E1125">
        <v>6</v>
      </c>
      <c r="F1125" s="85">
        <v>0</v>
      </c>
      <c r="G1125" s="86">
        <f t="shared" si="85"/>
        <v>276</v>
      </c>
      <c r="H1125" s="86">
        <f t="shared" si="86"/>
        <v>0</v>
      </c>
      <c r="I1125" s="86">
        <f t="shared" si="87"/>
        <v>276</v>
      </c>
      <c r="J1125" s="84">
        <f>VLOOKUP(C1125, Products[], 6)</f>
        <v>46</v>
      </c>
      <c r="K1125" s="86">
        <f t="shared" si="88"/>
        <v>276</v>
      </c>
      <c r="L1125" s="86">
        <f t="shared" si="89"/>
        <v>0</v>
      </c>
    </row>
    <row r="1126" spans="2:12" x14ac:dyDescent="0.2">
      <c r="B1126">
        <v>10674</v>
      </c>
      <c r="C1126">
        <v>23</v>
      </c>
      <c r="D1126" s="84">
        <v>9</v>
      </c>
      <c r="E1126">
        <v>5</v>
      </c>
      <c r="F1126" s="85">
        <v>0</v>
      </c>
      <c r="G1126" s="86">
        <f t="shared" si="85"/>
        <v>45</v>
      </c>
      <c r="H1126" s="86">
        <f t="shared" si="86"/>
        <v>0</v>
      </c>
      <c r="I1126" s="86">
        <f t="shared" si="87"/>
        <v>45</v>
      </c>
      <c r="J1126" s="84">
        <f>VLOOKUP(C1126, Products[], 6)</f>
        <v>9</v>
      </c>
      <c r="K1126" s="86">
        <f t="shared" si="88"/>
        <v>45</v>
      </c>
      <c r="L1126" s="86">
        <f t="shared" si="89"/>
        <v>0</v>
      </c>
    </row>
    <row r="1127" spans="2:12" x14ac:dyDescent="0.2">
      <c r="B1127">
        <v>10675</v>
      </c>
      <c r="C1127">
        <v>14</v>
      </c>
      <c r="D1127" s="84">
        <v>23.25</v>
      </c>
      <c r="E1127">
        <v>30</v>
      </c>
      <c r="F1127" s="85">
        <v>0</v>
      </c>
      <c r="G1127" s="86">
        <f t="shared" si="85"/>
        <v>697.5</v>
      </c>
      <c r="H1127" s="86">
        <f t="shared" si="86"/>
        <v>0</v>
      </c>
      <c r="I1127" s="86">
        <f t="shared" si="87"/>
        <v>697.5</v>
      </c>
      <c r="J1127" s="84">
        <f>VLOOKUP(C1127, Products[], 6)</f>
        <v>23.25</v>
      </c>
      <c r="K1127" s="86">
        <f t="shared" si="88"/>
        <v>697.5</v>
      </c>
      <c r="L1127" s="86">
        <f t="shared" si="89"/>
        <v>0</v>
      </c>
    </row>
    <row r="1128" spans="2:12" x14ac:dyDescent="0.2">
      <c r="B1128">
        <v>10675</v>
      </c>
      <c r="C1128">
        <v>53</v>
      </c>
      <c r="D1128" s="84">
        <v>32.799999999999997</v>
      </c>
      <c r="E1128">
        <v>10</v>
      </c>
      <c r="F1128" s="85">
        <v>0</v>
      </c>
      <c r="G1128" s="86">
        <f t="shared" si="85"/>
        <v>328</v>
      </c>
      <c r="H1128" s="86">
        <f t="shared" si="86"/>
        <v>0</v>
      </c>
      <c r="I1128" s="86">
        <f t="shared" si="87"/>
        <v>328</v>
      </c>
      <c r="J1128" s="84">
        <f>VLOOKUP(C1128, Products[], 6)</f>
        <v>32.799999999999997</v>
      </c>
      <c r="K1128" s="86">
        <f t="shared" si="88"/>
        <v>328</v>
      </c>
      <c r="L1128" s="86">
        <f t="shared" si="89"/>
        <v>0</v>
      </c>
    </row>
    <row r="1129" spans="2:12" x14ac:dyDescent="0.2">
      <c r="B1129">
        <v>10675</v>
      </c>
      <c r="C1129">
        <v>58</v>
      </c>
      <c r="D1129" s="84">
        <v>13.25</v>
      </c>
      <c r="E1129">
        <v>30</v>
      </c>
      <c r="F1129" s="85">
        <v>0</v>
      </c>
      <c r="G1129" s="86">
        <f t="shared" si="85"/>
        <v>397.5</v>
      </c>
      <c r="H1129" s="86">
        <f t="shared" si="86"/>
        <v>0</v>
      </c>
      <c r="I1129" s="86">
        <f t="shared" si="87"/>
        <v>397.5</v>
      </c>
      <c r="J1129" s="84">
        <f>VLOOKUP(C1129, Products[], 6)</f>
        <v>13.25</v>
      </c>
      <c r="K1129" s="86">
        <f t="shared" si="88"/>
        <v>397.5</v>
      </c>
      <c r="L1129" s="86">
        <f t="shared" si="89"/>
        <v>0</v>
      </c>
    </row>
    <row r="1130" spans="2:12" x14ac:dyDescent="0.2">
      <c r="B1130">
        <v>10676</v>
      </c>
      <c r="C1130">
        <v>10</v>
      </c>
      <c r="D1130" s="84">
        <v>31</v>
      </c>
      <c r="E1130">
        <v>2</v>
      </c>
      <c r="F1130" s="85">
        <v>0</v>
      </c>
      <c r="G1130" s="86">
        <f t="shared" si="85"/>
        <v>62</v>
      </c>
      <c r="H1130" s="86">
        <f t="shared" si="86"/>
        <v>0</v>
      </c>
      <c r="I1130" s="86">
        <f t="shared" si="87"/>
        <v>62</v>
      </c>
      <c r="J1130" s="84">
        <f>VLOOKUP(C1130, Products[], 6)</f>
        <v>31</v>
      </c>
      <c r="K1130" s="86">
        <f t="shared" si="88"/>
        <v>62</v>
      </c>
      <c r="L1130" s="86">
        <f t="shared" si="89"/>
        <v>0</v>
      </c>
    </row>
    <row r="1131" spans="2:12" x14ac:dyDescent="0.2">
      <c r="B1131">
        <v>10676</v>
      </c>
      <c r="C1131">
        <v>19</v>
      </c>
      <c r="D1131" s="84">
        <v>9.1999999999999993</v>
      </c>
      <c r="E1131">
        <v>7</v>
      </c>
      <c r="F1131" s="85">
        <v>0</v>
      </c>
      <c r="G1131" s="86">
        <f t="shared" si="85"/>
        <v>64.399999999999991</v>
      </c>
      <c r="H1131" s="86">
        <f t="shared" si="86"/>
        <v>0</v>
      </c>
      <c r="I1131" s="86">
        <f t="shared" si="87"/>
        <v>64.399999999999991</v>
      </c>
      <c r="J1131" s="84">
        <f>VLOOKUP(C1131, Products[], 6)</f>
        <v>9.1999999999999993</v>
      </c>
      <c r="K1131" s="86">
        <f t="shared" si="88"/>
        <v>64.399999999999991</v>
      </c>
      <c r="L1131" s="86">
        <f t="shared" si="89"/>
        <v>0</v>
      </c>
    </row>
    <row r="1132" spans="2:12" x14ac:dyDescent="0.2">
      <c r="B1132">
        <v>10676</v>
      </c>
      <c r="C1132">
        <v>44</v>
      </c>
      <c r="D1132" s="84">
        <v>19.45</v>
      </c>
      <c r="E1132">
        <v>21</v>
      </c>
      <c r="F1132" s="85">
        <v>0</v>
      </c>
      <c r="G1132" s="86">
        <f t="shared" si="85"/>
        <v>408.45</v>
      </c>
      <c r="H1132" s="86">
        <f t="shared" si="86"/>
        <v>0</v>
      </c>
      <c r="I1132" s="86">
        <f t="shared" si="87"/>
        <v>408.45</v>
      </c>
      <c r="J1132" s="84">
        <f>VLOOKUP(C1132, Products[], 6)</f>
        <v>19.45</v>
      </c>
      <c r="K1132" s="86">
        <f t="shared" si="88"/>
        <v>408.45</v>
      </c>
      <c r="L1132" s="86">
        <f t="shared" si="89"/>
        <v>0</v>
      </c>
    </row>
    <row r="1133" spans="2:12" x14ac:dyDescent="0.2">
      <c r="B1133">
        <v>10677</v>
      </c>
      <c r="C1133">
        <v>26</v>
      </c>
      <c r="D1133" s="84">
        <v>31.23</v>
      </c>
      <c r="E1133">
        <v>30</v>
      </c>
      <c r="F1133" s="85">
        <v>0.15</v>
      </c>
      <c r="G1133" s="86">
        <f t="shared" si="85"/>
        <v>936.9</v>
      </c>
      <c r="H1133" s="86">
        <f t="shared" si="86"/>
        <v>140.535</v>
      </c>
      <c r="I1133" s="86">
        <f t="shared" si="87"/>
        <v>796.36500000000001</v>
      </c>
      <c r="J1133" s="84">
        <f>VLOOKUP(C1133, Products[], 6)</f>
        <v>31.23</v>
      </c>
      <c r="K1133" s="86">
        <f t="shared" si="88"/>
        <v>936.9</v>
      </c>
      <c r="L1133" s="86">
        <f t="shared" si="89"/>
        <v>-140.53499999999997</v>
      </c>
    </row>
    <row r="1134" spans="2:12" x14ac:dyDescent="0.2">
      <c r="B1134">
        <v>10677</v>
      </c>
      <c r="C1134">
        <v>33</v>
      </c>
      <c r="D1134" s="84">
        <v>2.5</v>
      </c>
      <c r="E1134">
        <v>8</v>
      </c>
      <c r="F1134" s="85">
        <v>0.15</v>
      </c>
      <c r="G1134" s="86">
        <f t="shared" si="85"/>
        <v>20</v>
      </c>
      <c r="H1134" s="86">
        <f t="shared" si="86"/>
        <v>3</v>
      </c>
      <c r="I1134" s="86">
        <f t="shared" si="87"/>
        <v>17</v>
      </c>
      <c r="J1134" s="84">
        <f>VLOOKUP(C1134, Products[], 6)</f>
        <v>2.5</v>
      </c>
      <c r="K1134" s="86">
        <f t="shared" si="88"/>
        <v>20</v>
      </c>
      <c r="L1134" s="86">
        <f t="shared" si="89"/>
        <v>-3</v>
      </c>
    </row>
    <row r="1135" spans="2:12" x14ac:dyDescent="0.2">
      <c r="B1135">
        <v>10678</v>
      </c>
      <c r="C1135">
        <v>12</v>
      </c>
      <c r="D1135" s="84">
        <v>38</v>
      </c>
      <c r="E1135">
        <v>100</v>
      </c>
      <c r="F1135" s="85">
        <v>0</v>
      </c>
      <c r="G1135" s="86">
        <f t="shared" si="85"/>
        <v>3800</v>
      </c>
      <c r="H1135" s="86">
        <f t="shared" si="86"/>
        <v>0</v>
      </c>
      <c r="I1135" s="86">
        <f t="shared" si="87"/>
        <v>3800</v>
      </c>
      <c r="J1135" s="84">
        <f>VLOOKUP(C1135, Products[], 6)</f>
        <v>38</v>
      </c>
      <c r="K1135" s="86">
        <f t="shared" si="88"/>
        <v>3800</v>
      </c>
      <c r="L1135" s="86">
        <f t="shared" si="89"/>
        <v>0</v>
      </c>
    </row>
    <row r="1136" spans="2:12" x14ac:dyDescent="0.2">
      <c r="B1136">
        <v>10678</v>
      </c>
      <c r="C1136">
        <v>33</v>
      </c>
      <c r="D1136" s="84">
        <v>2.5</v>
      </c>
      <c r="E1136">
        <v>30</v>
      </c>
      <c r="F1136" s="85">
        <v>0</v>
      </c>
      <c r="G1136" s="86">
        <f t="shared" si="85"/>
        <v>75</v>
      </c>
      <c r="H1136" s="86">
        <f t="shared" si="86"/>
        <v>0</v>
      </c>
      <c r="I1136" s="86">
        <f t="shared" si="87"/>
        <v>75</v>
      </c>
      <c r="J1136" s="84">
        <f>VLOOKUP(C1136, Products[], 6)</f>
        <v>2.5</v>
      </c>
      <c r="K1136" s="86">
        <f t="shared" si="88"/>
        <v>75</v>
      </c>
      <c r="L1136" s="86">
        <f t="shared" si="89"/>
        <v>0</v>
      </c>
    </row>
    <row r="1137" spans="2:12" x14ac:dyDescent="0.2">
      <c r="B1137">
        <v>10678</v>
      </c>
      <c r="C1137">
        <v>41</v>
      </c>
      <c r="D1137" s="84">
        <v>9.65</v>
      </c>
      <c r="E1137">
        <v>120</v>
      </c>
      <c r="F1137" s="85">
        <v>0</v>
      </c>
      <c r="G1137" s="86">
        <f t="shared" si="85"/>
        <v>1158</v>
      </c>
      <c r="H1137" s="86">
        <f t="shared" si="86"/>
        <v>0</v>
      </c>
      <c r="I1137" s="86">
        <f t="shared" si="87"/>
        <v>1158</v>
      </c>
      <c r="J1137" s="84">
        <f>VLOOKUP(C1137, Products[], 6)</f>
        <v>9.65</v>
      </c>
      <c r="K1137" s="86">
        <f t="shared" si="88"/>
        <v>1158</v>
      </c>
      <c r="L1137" s="86">
        <f t="shared" si="89"/>
        <v>0</v>
      </c>
    </row>
    <row r="1138" spans="2:12" x14ac:dyDescent="0.2">
      <c r="B1138">
        <v>10678</v>
      </c>
      <c r="C1138">
        <v>54</v>
      </c>
      <c r="D1138" s="84">
        <v>7.45</v>
      </c>
      <c r="E1138">
        <v>30</v>
      </c>
      <c r="F1138" s="85">
        <v>0</v>
      </c>
      <c r="G1138" s="86">
        <f t="shared" si="85"/>
        <v>223.5</v>
      </c>
      <c r="H1138" s="86">
        <f t="shared" si="86"/>
        <v>0</v>
      </c>
      <c r="I1138" s="86">
        <f t="shared" si="87"/>
        <v>223.5</v>
      </c>
      <c r="J1138" s="84">
        <f>VLOOKUP(C1138, Products[], 6)</f>
        <v>7.45</v>
      </c>
      <c r="K1138" s="86">
        <f t="shared" si="88"/>
        <v>223.5</v>
      </c>
      <c r="L1138" s="86">
        <f t="shared" si="89"/>
        <v>0</v>
      </c>
    </row>
    <row r="1139" spans="2:12" x14ac:dyDescent="0.2">
      <c r="B1139">
        <v>10679</v>
      </c>
      <c r="C1139">
        <v>59</v>
      </c>
      <c r="D1139" s="84">
        <v>55</v>
      </c>
      <c r="E1139">
        <v>12</v>
      </c>
      <c r="F1139" s="85">
        <v>0</v>
      </c>
      <c r="G1139" s="86">
        <f t="shared" si="85"/>
        <v>660</v>
      </c>
      <c r="H1139" s="86">
        <f t="shared" si="86"/>
        <v>0</v>
      </c>
      <c r="I1139" s="86">
        <f t="shared" si="87"/>
        <v>660</v>
      </c>
      <c r="J1139" s="84">
        <f>VLOOKUP(C1139, Products[], 6)</f>
        <v>55</v>
      </c>
      <c r="K1139" s="86">
        <f t="shared" si="88"/>
        <v>660</v>
      </c>
      <c r="L1139" s="86">
        <f t="shared" si="89"/>
        <v>0</v>
      </c>
    </row>
    <row r="1140" spans="2:12" x14ac:dyDescent="0.2">
      <c r="B1140">
        <v>10680</v>
      </c>
      <c r="C1140">
        <v>16</v>
      </c>
      <c r="D1140" s="84">
        <v>17.45</v>
      </c>
      <c r="E1140">
        <v>50</v>
      </c>
      <c r="F1140" s="85">
        <v>0.25</v>
      </c>
      <c r="G1140" s="86">
        <f t="shared" si="85"/>
        <v>872.5</v>
      </c>
      <c r="H1140" s="86">
        <f t="shared" si="86"/>
        <v>218.125</v>
      </c>
      <c r="I1140" s="86">
        <f t="shared" si="87"/>
        <v>654.375</v>
      </c>
      <c r="J1140" s="84">
        <f>VLOOKUP(C1140, Products[], 6)</f>
        <v>17.45</v>
      </c>
      <c r="K1140" s="86">
        <f t="shared" si="88"/>
        <v>872.5</v>
      </c>
      <c r="L1140" s="86">
        <f t="shared" si="89"/>
        <v>-218.125</v>
      </c>
    </row>
    <row r="1141" spans="2:12" x14ac:dyDescent="0.2">
      <c r="B1141">
        <v>10680</v>
      </c>
      <c r="C1141">
        <v>31</v>
      </c>
      <c r="D1141" s="84">
        <v>12.5</v>
      </c>
      <c r="E1141">
        <v>20</v>
      </c>
      <c r="F1141" s="85">
        <v>0.25</v>
      </c>
      <c r="G1141" s="86">
        <f t="shared" si="85"/>
        <v>250</v>
      </c>
      <c r="H1141" s="86">
        <f t="shared" si="86"/>
        <v>62.5</v>
      </c>
      <c r="I1141" s="86">
        <f t="shared" si="87"/>
        <v>187.5</v>
      </c>
      <c r="J1141" s="84">
        <f>VLOOKUP(C1141, Products[], 6)</f>
        <v>12.5</v>
      </c>
      <c r="K1141" s="86">
        <f t="shared" si="88"/>
        <v>250</v>
      </c>
      <c r="L1141" s="86">
        <f t="shared" si="89"/>
        <v>-62.5</v>
      </c>
    </row>
    <row r="1142" spans="2:12" x14ac:dyDescent="0.2">
      <c r="B1142">
        <v>10680</v>
      </c>
      <c r="C1142">
        <v>42</v>
      </c>
      <c r="D1142" s="84">
        <v>14</v>
      </c>
      <c r="E1142">
        <v>40</v>
      </c>
      <c r="F1142" s="85">
        <v>0.25</v>
      </c>
      <c r="G1142" s="86">
        <f t="shared" si="85"/>
        <v>560</v>
      </c>
      <c r="H1142" s="86">
        <f t="shared" si="86"/>
        <v>140</v>
      </c>
      <c r="I1142" s="86">
        <f t="shared" si="87"/>
        <v>420</v>
      </c>
      <c r="J1142" s="84">
        <f>VLOOKUP(C1142, Products[], 6)</f>
        <v>14</v>
      </c>
      <c r="K1142" s="86">
        <f t="shared" si="88"/>
        <v>560</v>
      </c>
      <c r="L1142" s="86">
        <f t="shared" si="89"/>
        <v>-140</v>
      </c>
    </row>
    <row r="1143" spans="2:12" x14ac:dyDescent="0.2">
      <c r="B1143">
        <v>10681</v>
      </c>
      <c r="C1143">
        <v>19</v>
      </c>
      <c r="D1143" s="84">
        <v>9.1999999999999993</v>
      </c>
      <c r="E1143">
        <v>30</v>
      </c>
      <c r="F1143" s="85">
        <v>0.1</v>
      </c>
      <c r="G1143" s="86">
        <f t="shared" si="85"/>
        <v>276</v>
      </c>
      <c r="H1143" s="86">
        <f t="shared" si="86"/>
        <v>27.6</v>
      </c>
      <c r="I1143" s="86">
        <f t="shared" si="87"/>
        <v>248.4</v>
      </c>
      <c r="J1143" s="84">
        <f>VLOOKUP(C1143, Products[], 6)</f>
        <v>9.1999999999999993</v>
      </c>
      <c r="K1143" s="86">
        <f t="shared" si="88"/>
        <v>276</v>
      </c>
      <c r="L1143" s="86">
        <f t="shared" si="89"/>
        <v>-27.599999999999994</v>
      </c>
    </row>
    <row r="1144" spans="2:12" x14ac:dyDescent="0.2">
      <c r="B1144">
        <v>10681</v>
      </c>
      <c r="C1144">
        <v>21</v>
      </c>
      <c r="D1144" s="84">
        <v>10</v>
      </c>
      <c r="E1144">
        <v>12</v>
      </c>
      <c r="F1144" s="85">
        <v>0.1</v>
      </c>
      <c r="G1144" s="86">
        <f t="shared" si="85"/>
        <v>120</v>
      </c>
      <c r="H1144" s="86">
        <f t="shared" si="86"/>
        <v>12</v>
      </c>
      <c r="I1144" s="86">
        <f t="shared" si="87"/>
        <v>108</v>
      </c>
      <c r="J1144" s="84">
        <f>VLOOKUP(C1144, Products[], 6)</f>
        <v>10</v>
      </c>
      <c r="K1144" s="86">
        <f t="shared" si="88"/>
        <v>120</v>
      </c>
      <c r="L1144" s="86">
        <f t="shared" si="89"/>
        <v>-12</v>
      </c>
    </row>
    <row r="1145" spans="2:12" x14ac:dyDescent="0.2">
      <c r="B1145">
        <v>10681</v>
      </c>
      <c r="C1145">
        <v>64</v>
      </c>
      <c r="D1145" s="84">
        <v>33.25</v>
      </c>
      <c r="E1145">
        <v>28</v>
      </c>
      <c r="F1145" s="85">
        <v>0</v>
      </c>
      <c r="G1145" s="86">
        <f t="shared" si="85"/>
        <v>931</v>
      </c>
      <c r="H1145" s="86">
        <f t="shared" si="86"/>
        <v>0</v>
      </c>
      <c r="I1145" s="86">
        <f t="shared" si="87"/>
        <v>931</v>
      </c>
      <c r="J1145" s="84">
        <f>VLOOKUP(C1145, Products[], 6)</f>
        <v>33.25</v>
      </c>
      <c r="K1145" s="86">
        <f t="shared" si="88"/>
        <v>931</v>
      </c>
      <c r="L1145" s="86">
        <f t="shared" si="89"/>
        <v>0</v>
      </c>
    </row>
    <row r="1146" spans="2:12" x14ac:dyDescent="0.2">
      <c r="B1146">
        <v>10682</v>
      </c>
      <c r="C1146">
        <v>33</v>
      </c>
      <c r="D1146" s="84">
        <v>2.5</v>
      </c>
      <c r="E1146">
        <v>30</v>
      </c>
      <c r="F1146" s="85">
        <v>0</v>
      </c>
      <c r="G1146" s="86">
        <f t="shared" si="85"/>
        <v>75</v>
      </c>
      <c r="H1146" s="86">
        <f t="shared" si="86"/>
        <v>0</v>
      </c>
      <c r="I1146" s="86">
        <f t="shared" si="87"/>
        <v>75</v>
      </c>
      <c r="J1146" s="84">
        <f>VLOOKUP(C1146, Products[], 6)</f>
        <v>2.5</v>
      </c>
      <c r="K1146" s="86">
        <f t="shared" si="88"/>
        <v>75</v>
      </c>
      <c r="L1146" s="86">
        <f t="shared" si="89"/>
        <v>0</v>
      </c>
    </row>
    <row r="1147" spans="2:12" x14ac:dyDescent="0.2">
      <c r="B1147">
        <v>10682</v>
      </c>
      <c r="C1147">
        <v>66</v>
      </c>
      <c r="D1147" s="84">
        <v>17</v>
      </c>
      <c r="E1147">
        <v>4</v>
      </c>
      <c r="F1147" s="85">
        <v>0</v>
      </c>
      <c r="G1147" s="86">
        <f t="shared" si="85"/>
        <v>68</v>
      </c>
      <c r="H1147" s="86">
        <f t="shared" si="86"/>
        <v>0</v>
      </c>
      <c r="I1147" s="86">
        <f t="shared" si="87"/>
        <v>68</v>
      </c>
      <c r="J1147" s="84">
        <f>VLOOKUP(C1147, Products[], 6)</f>
        <v>17</v>
      </c>
      <c r="K1147" s="86">
        <f t="shared" si="88"/>
        <v>68</v>
      </c>
      <c r="L1147" s="86">
        <f t="shared" si="89"/>
        <v>0</v>
      </c>
    </row>
    <row r="1148" spans="2:12" x14ac:dyDescent="0.2">
      <c r="B1148">
        <v>10682</v>
      </c>
      <c r="C1148">
        <v>75</v>
      </c>
      <c r="D1148" s="84">
        <v>7.75</v>
      </c>
      <c r="E1148">
        <v>30</v>
      </c>
      <c r="F1148" s="85">
        <v>0</v>
      </c>
      <c r="G1148" s="86">
        <f t="shared" si="85"/>
        <v>232.5</v>
      </c>
      <c r="H1148" s="86">
        <f t="shared" si="86"/>
        <v>0</v>
      </c>
      <c r="I1148" s="86">
        <f t="shared" si="87"/>
        <v>232.5</v>
      </c>
      <c r="J1148" s="84">
        <f>VLOOKUP(C1148, Products[], 6)</f>
        <v>7.75</v>
      </c>
      <c r="K1148" s="86">
        <f t="shared" si="88"/>
        <v>232.5</v>
      </c>
      <c r="L1148" s="86">
        <f t="shared" si="89"/>
        <v>0</v>
      </c>
    </row>
    <row r="1149" spans="2:12" x14ac:dyDescent="0.2">
      <c r="B1149">
        <v>10683</v>
      </c>
      <c r="C1149">
        <v>52</v>
      </c>
      <c r="D1149" s="84">
        <v>7</v>
      </c>
      <c r="E1149">
        <v>9</v>
      </c>
      <c r="F1149" s="85">
        <v>0</v>
      </c>
      <c r="G1149" s="86">
        <f t="shared" si="85"/>
        <v>63</v>
      </c>
      <c r="H1149" s="86">
        <f t="shared" si="86"/>
        <v>0</v>
      </c>
      <c r="I1149" s="86">
        <f t="shared" si="87"/>
        <v>63</v>
      </c>
      <c r="J1149" s="84">
        <f>VLOOKUP(C1149, Products[], 6)</f>
        <v>7</v>
      </c>
      <c r="K1149" s="86">
        <f t="shared" si="88"/>
        <v>63</v>
      </c>
      <c r="L1149" s="86">
        <f t="shared" si="89"/>
        <v>0</v>
      </c>
    </row>
    <row r="1150" spans="2:12" x14ac:dyDescent="0.2">
      <c r="B1150">
        <v>10684</v>
      </c>
      <c r="C1150">
        <v>40</v>
      </c>
      <c r="D1150" s="84">
        <v>18.399999999999999</v>
      </c>
      <c r="E1150">
        <v>20</v>
      </c>
      <c r="F1150" s="85">
        <v>0</v>
      </c>
      <c r="G1150" s="86">
        <f t="shared" si="85"/>
        <v>368</v>
      </c>
      <c r="H1150" s="86">
        <f t="shared" si="86"/>
        <v>0</v>
      </c>
      <c r="I1150" s="86">
        <f t="shared" si="87"/>
        <v>368</v>
      </c>
      <c r="J1150" s="84">
        <f>VLOOKUP(C1150, Products[], 6)</f>
        <v>18.399999999999999</v>
      </c>
      <c r="K1150" s="86">
        <f t="shared" si="88"/>
        <v>368</v>
      </c>
      <c r="L1150" s="86">
        <f t="shared" si="89"/>
        <v>0</v>
      </c>
    </row>
    <row r="1151" spans="2:12" x14ac:dyDescent="0.2">
      <c r="B1151">
        <v>10684</v>
      </c>
      <c r="C1151">
        <v>47</v>
      </c>
      <c r="D1151" s="84">
        <v>9.5</v>
      </c>
      <c r="E1151">
        <v>40</v>
      </c>
      <c r="F1151" s="85">
        <v>0</v>
      </c>
      <c r="G1151" s="86">
        <f t="shared" si="85"/>
        <v>380</v>
      </c>
      <c r="H1151" s="86">
        <f t="shared" si="86"/>
        <v>0</v>
      </c>
      <c r="I1151" s="86">
        <f t="shared" si="87"/>
        <v>380</v>
      </c>
      <c r="J1151" s="84">
        <f>VLOOKUP(C1151, Products[], 6)</f>
        <v>9.5</v>
      </c>
      <c r="K1151" s="86">
        <f t="shared" si="88"/>
        <v>380</v>
      </c>
      <c r="L1151" s="86">
        <f t="shared" si="89"/>
        <v>0</v>
      </c>
    </row>
    <row r="1152" spans="2:12" x14ac:dyDescent="0.2">
      <c r="B1152">
        <v>10684</v>
      </c>
      <c r="C1152">
        <v>60</v>
      </c>
      <c r="D1152" s="84">
        <v>34</v>
      </c>
      <c r="E1152">
        <v>30</v>
      </c>
      <c r="F1152" s="85">
        <v>0</v>
      </c>
      <c r="G1152" s="86">
        <f t="shared" si="85"/>
        <v>1020</v>
      </c>
      <c r="H1152" s="86">
        <f t="shared" si="86"/>
        <v>0</v>
      </c>
      <c r="I1152" s="86">
        <f t="shared" si="87"/>
        <v>1020</v>
      </c>
      <c r="J1152" s="84">
        <f>VLOOKUP(C1152, Products[], 6)</f>
        <v>34</v>
      </c>
      <c r="K1152" s="86">
        <f t="shared" si="88"/>
        <v>1020</v>
      </c>
      <c r="L1152" s="86">
        <f t="shared" si="89"/>
        <v>0</v>
      </c>
    </row>
    <row r="1153" spans="2:12" x14ac:dyDescent="0.2">
      <c r="B1153">
        <v>10685</v>
      </c>
      <c r="C1153">
        <v>10</v>
      </c>
      <c r="D1153" s="84">
        <v>31</v>
      </c>
      <c r="E1153">
        <v>20</v>
      </c>
      <c r="F1153" s="85">
        <v>0</v>
      </c>
      <c r="G1153" s="86">
        <f t="shared" si="85"/>
        <v>620</v>
      </c>
      <c r="H1153" s="86">
        <f t="shared" si="86"/>
        <v>0</v>
      </c>
      <c r="I1153" s="86">
        <f t="shared" si="87"/>
        <v>620</v>
      </c>
      <c r="J1153" s="84">
        <f>VLOOKUP(C1153, Products[], 6)</f>
        <v>31</v>
      </c>
      <c r="K1153" s="86">
        <f t="shared" si="88"/>
        <v>620</v>
      </c>
      <c r="L1153" s="86">
        <f t="shared" si="89"/>
        <v>0</v>
      </c>
    </row>
    <row r="1154" spans="2:12" x14ac:dyDescent="0.2">
      <c r="B1154">
        <v>10685</v>
      </c>
      <c r="C1154">
        <v>41</v>
      </c>
      <c r="D1154" s="84">
        <v>9.65</v>
      </c>
      <c r="E1154">
        <v>4</v>
      </c>
      <c r="F1154" s="85">
        <v>0</v>
      </c>
      <c r="G1154" s="86">
        <f t="shared" si="85"/>
        <v>38.6</v>
      </c>
      <c r="H1154" s="86">
        <f t="shared" si="86"/>
        <v>0</v>
      </c>
      <c r="I1154" s="86">
        <f t="shared" si="87"/>
        <v>38.6</v>
      </c>
      <c r="J1154" s="84">
        <f>VLOOKUP(C1154, Products[], 6)</f>
        <v>9.65</v>
      </c>
      <c r="K1154" s="86">
        <f t="shared" si="88"/>
        <v>38.6</v>
      </c>
      <c r="L1154" s="86">
        <f t="shared" si="89"/>
        <v>0</v>
      </c>
    </row>
    <row r="1155" spans="2:12" x14ac:dyDescent="0.2">
      <c r="B1155">
        <v>10685</v>
      </c>
      <c r="C1155">
        <v>47</v>
      </c>
      <c r="D1155" s="84">
        <v>9.5</v>
      </c>
      <c r="E1155">
        <v>15</v>
      </c>
      <c r="F1155" s="85">
        <v>0</v>
      </c>
      <c r="G1155" s="86">
        <f t="shared" si="85"/>
        <v>142.5</v>
      </c>
      <c r="H1155" s="86">
        <f t="shared" si="86"/>
        <v>0</v>
      </c>
      <c r="I1155" s="86">
        <f t="shared" si="87"/>
        <v>142.5</v>
      </c>
      <c r="J1155" s="84">
        <f>VLOOKUP(C1155, Products[], 6)</f>
        <v>9.5</v>
      </c>
      <c r="K1155" s="86">
        <f t="shared" si="88"/>
        <v>142.5</v>
      </c>
      <c r="L1155" s="86">
        <f t="shared" si="89"/>
        <v>0</v>
      </c>
    </row>
    <row r="1156" spans="2:12" x14ac:dyDescent="0.2">
      <c r="B1156">
        <v>10686</v>
      </c>
      <c r="C1156">
        <v>17</v>
      </c>
      <c r="D1156" s="84">
        <v>39</v>
      </c>
      <c r="E1156">
        <v>30</v>
      </c>
      <c r="F1156" s="85">
        <v>0.2</v>
      </c>
      <c r="G1156" s="86">
        <f t="shared" si="85"/>
        <v>1170</v>
      </c>
      <c r="H1156" s="86">
        <f t="shared" si="86"/>
        <v>234</v>
      </c>
      <c r="I1156" s="86">
        <f t="shared" si="87"/>
        <v>936</v>
      </c>
      <c r="J1156" s="84">
        <f>VLOOKUP(C1156, Products[], 6)</f>
        <v>39</v>
      </c>
      <c r="K1156" s="86">
        <f t="shared" si="88"/>
        <v>1170</v>
      </c>
      <c r="L1156" s="86">
        <f t="shared" si="89"/>
        <v>-234</v>
      </c>
    </row>
    <row r="1157" spans="2:12" x14ac:dyDescent="0.2">
      <c r="B1157">
        <v>10686</v>
      </c>
      <c r="C1157">
        <v>26</v>
      </c>
      <c r="D1157" s="84">
        <v>31.23</v>
      </c>
      <c r="E1157">
        <v>15</v>
      </c>
      <c r="F1157" s="85">
        <v>0</v>
      </c>
      <c r="G1157" s="86">
        <f t="shared" si="85"/>
        <v>468.45</v>
      </c>
      <c r="H1157" s="86">
        <f t="shared" si="86"/>
        <v>0</v>
      </c>
      <c r="I1157" s="86">
        <f t="shared" si="87"/>
        <v>468.45</v>
      </c>
      <c r="J1157" s="84">
        <f>VLOOKUP(C1157, Products[], 6)</f>
        <v>31.23</v>
      </c>
      <c r="K1157" s="86">
        <f t="shared" si="88"/>
        <v>468.45</v>
      </c>
      <c r="L1157" s="86">
        <f t="shared" si="89"/>
        <v>0</v>
      </c>
    </row>
    <row r="1158" spans="2:12" x14ac:dyDescent="0.2">
      <c r="B1158">
        <v>10687</v>
      </c>
      <c r="C1158">
        <v>9</v>
      </c>
      <c r="D1158" s="84">
        <v>97</v>
      </c>
      <c r="E1158">
        <v>50</v>
      </c>
      <c r="F1158" s="85">
        <v>0.25</v>
      </c>
      <c r="G1158" s="86">
        <f t="shared" si="85"/>
        <v>4850</v>
      </c>
      <c r="H1158" s="86">
        <f t="shared" si="86"/>
        <v>1212.5</v>
      </c>
      <c r="I1158" s="86">
        <f t="shared" si="87"/>
        <v>3637.5</v>
      </c>
      <c r="J1158" s="84">
        <f>VLOOKUP(C1158, Products[], 6)</f>
        <v>97</v>
      </c>
      <c r="K1158" s="86">
        <f t="shared" si="88"/>
        <v>4850</v>
      </c>
      <c r="L1158" s="86">
        <f t="shared" si="89"/>
        <v>-1212.5</v>
      </c>
    </row>
    <row r="1159" spans="2:12" x14ac:dyDescent="0.2">
      <c r="B1159">
        <v>10687</v>
      </c>
      <c r="C1159">
        <v>29</v>
      </c>
      <c r="D1159" s="84">
        <v>123.79</v>
      </c>
      <c r="E1159">
        <v>10</v>
      </c>
      <c r="F1159" s="85">
        <v>0</v>
      </c>
      <c r="G1159" s="86">
        <f t="shared" ref="G1159:G1222" si="90">D1159*E1159</f>
        <v>1237.9000000000001</v>
      </c>
      <c r="H1159" s="86">
        <f t="shared" ref="H1159:H1222" si="91">G1159*F1159</f>
        <v>0</v>
      </c>
      <c r="I1159" s="86">
        <f t="shared" ref="I1159:I1222" si="92">G1159-H1159</f>
        <v>1237.9000000000001</v>
      </c>
      <c r="J1159" s="84">
        <f>VLOOKUP(C1159, Products[], 6)</f>
        <v>123.79</v>
      </c>
      <c r="K1159" s="86">
        <f t="shared" ref="K1159:K1222" si="93">J1159*E1159</f>
        <v>1237.9000000000001</v>
      </c>
      <c r="L1159" s="86">
        <f t="shared" ref="L1159:L1222" si="94">I1159-K1159</f>
        <v>0</v>
      </c>
    </row>
    <row r="1160" spans="2:12" x14ac:dyDescent="0.2">
      <c r="B1160">
        <v>10687</v>
      </c>
      <c r="C1160">
        <v>36</v>
      </c>
      <c r="D1160" s="84">
        <v>19</v>
      </c>
      <c r="E1160">
        <v>6</v>
      </c>
      <c r="F1160" s="85">
        <v>0.25</v>
      </c>
      <c r="G1160" s="86">
        <f t="shared" si="90"/>
        <v>114</v>
      </c>
      <c r="H1160" s="86">
        <f t="shared" si="91"/>
        <v>28.5</v>
      </c>
      <c r="I1160" s="86">
        <f t="shared" si="92"/>
        <v>85.5</v>
      </c>
      <c r="J1160" s="84">
        <f>VLOOKUP(C1160, Products[], 6)</f>
        <v>19</v>
      </c>
      <c r="K1160" s="86">
        <f t="shared" si="93"/>
        <v>114</v>
      </c>
      <c r="L1160" s="86">
        <f t="shared" si="94"/>
        <v>-28.5</v>
      </c>
    </row>
    <row r="1161" spans="2:12" x14ac:dyDescent="0.2">
      <c r="B1161">
        <v>10688</v>
      </c>
      <c r="C1161">
        <v>10</v>
      </c>
      <c r="D1161" s="84">
        <v>31</v>
      </c>
      <c r="E1161">
        <v>18</v>
      </c>
      <c r="F1161" s="85">
        <v>0.1</v>
      </c>
      <c r="G1161" s="86">
        <f t="shared" si="90"/>
        <v>558</v>
      </c>
      <c r="H1161" s="86">
        <f t="shared" si="91"/>
        <v>55.800000000000004</v>
      </c>
      <c r="I1161" s="86">
        <f t="shared" si="92"/>
        <v>502.2</v>
      </c>
      <c r="J1161" s="84">
        <f>VLOOKUP(C1161, Products[], 6)</f>
        <v>31</v>
      </c>
      <c r="K1161" s="86">
        <f t="shared" si="93"/>
        <v>558</v>
      </c>
      <c r="L1161" s="86">
        <f t="shared" si="94"/>
        <v>-55.800000000000011</v>
      </c>
    </row>
    <row r="1162" spans="2:12" x14ac:dyDescent="0.2">
      <c r="B1162">
        <v>10688</v>
      </c>
      <c r="C1162">
        <v>28</v>
      </c>
      <c r="D1162" s="84">
        <v>45.6</v>
      </c>
      <c r="E1162">
        <v>60</v>
      </c>
      <c r="F1162" s="85">
        <v>0.1</v>
      </c>
      <c r="G1162" s="86">
        <f t="shared" si="90"/>
        <v>2736</v>
      </c>
      <c r="H1162" s="86">
        <f t="shared" si="91"/>
        <v>273.60000000000002</v>
      </c>
      <c r="I1162" s="86">
        <f t="shared" si="92"/>
        <v>2462.4</v>
      </c>
      <c r="J1162" s="84">
        <f>VLOOKUP(C1162, Products[], 6)</f>
        <v>45.6</v>
      </c>
      <c r="K1162" s="86">
        <f t="shared" si="93"/>
        <v>2736</v>
      </c>
      <c r="L1162" s="86">
        <f t="shared" si="94"/>
        <v>-273.59999999999991</v>
      </c>
    </row>
    <row r="1163" spans="2:12" x14ac:dyDescent="0.2">
      <c r="B1163">
        <v>10688</v>
      </c>
      <c r="C1163">
        <v>34</v>
      </c>
      <c r="D1163" s="84">
        <v>14</v>
      </c>
      <c r="E1163">
        <v>14</v>
      </c>
      <c r="F1163" s="85">
        <v>0</v>
      </c>
      <c r="G1163" s="86">
        <f t="shared" si="90"/>
        <v>196</v>
      </c>
      <c r="H1163" s="86">
        <f t="shared" si="91"/>
        <v>0</v>
      </c>
      <c r="I1163" s="86">
        <f t="shared" si="92"/>
        <v>196</v>
      </c>
      <c r="J1163" s="84">
        <f>VLOOKUP(C1163, Products[], 6)</f>
        <v>14</v>
      </c>
      <c r="K1163" s="86">
        <f t="shared" si="93"/>
        <v>196</v>
      </c>
      <c r="L1163" s="86">
        <f t="shared" si="94"/>
        <v>0</v>
      </c>
    </row>
    <row r="1164" spans="2:12" x14ac:dyDescent="0.2">
      <c r="B1164">
        <v>10689</v>
      </c>
      <c r="C1164">
        <v>1</v>
      </c>
      <c r="D1164" s="84">
        <v>18</v>
      </c>
      <c r="E1164">
        <v>35</v>
      </c>
      <c r="F1164" s="85">
        <v>0.25</v>
      </c>
      <c r="G1164" s="86">
        <f t="shared" si="90"/>
        <v>630</v>
      </c>
      <c r="H1164" s="86">
        <f t="shared" si="91"/>
        <v>157.5</v>
      </c>
      <c r="I1164" s="86">
        <f t="shared" si="92"/>
        <v>472.5</v>
      </c>
      <c r="J1164" s="84">
        <f>VLOOKUP(C1164, Products[], 6)</f>
        <v>18</v>
      </c>
      <c r="K1164" s="86">
        <f t="shared" si="93"/>
        <v>630</v>
      </c>
      <c r="L1164" s="86">
        <f t="shared" si="94"/>
        <v>-157.5</v>
      </c>
    </row>
    <row r="1165" spans="2:12" x14ac:dyDescent="0.2">
      <c r="B1165">
        <v>10690</v>
      </c>
      <c r="C1165">
        <v>56</v>
      </c>
      <c r="D1165" s="84">
        <v>38</v>
      </c>
      <c r="E1165">
        <v>20</v>
      </c>
      <c r="F1165" s="85">
        <v>0.25</v>
      </c>
      <c r="G1165" s="86">
        <f t="shared" si="90"/>
        <v>760</v>
      </c>
      <c r="H1165" s="86">
        <f t="shared" si="91"/>
        <v>190</v>
      </c>
      <c r="I1165" s="86">
        <f t="shared" si="92"/>
        <v>570</v>
      </c>
      <c r="J1165" s="84">
        <f>VLOOKUP(C1165, Products[], 6)</f>
        <v>38</v>
      </c>
      <c r="K1165" s="86">
        <f t="shared" si="93"/>
        <v>760</v>
      </c>
      <c r="L1165" s="86">
        <f t="shared" si="94"/>
        <v>-190</v>
      </c>
    </row>
    <row r="1166" spans="2:12" x14ac:dyDescent="0.2">
      <c r="B1166">
        <v>10690</v>
      </c>
      <c r="C1166">
        <v>77</v>
      </c>
      <c r="D1166" s="84">
        <v>13</v>
      </c>
      <c r="E1166">
        <v>30</v>
      </c>
      <c r="F1166" s="85">
        <v>0.25</v>
      </c>
      <c r="G1166" s="86">
        <f t="shared" si="90"/>
        <v>390</v>
      </c>
      <c r="H1166" s="86">
        <f t="shared" si="91"/>
        <v>97.5</v>
      </c>
      <c r="I1166" s="86">
        <f t="shared" si="92"/>
        <v>292.5</v>
      </c>
      <c r="J1166" s="84">
        <f>VLOOKUP(C1166, Products[], 6)</f>
        <v>13</v>
      </c>
      <c r="K1166" s="86">
        <f t="shared" si="93"/>
        <v>390</v>
      </c>
      <c r="L1166" s="86">
        <f t="shared" si="94"/>
        <v>-97.5</v>
      </c>
    </row>
    <row r="1167" spans="2:12" x14ac:dyDescent="0.2">
      <c r="B1167">
        <v>10691</v>
      </c>
      <c r="C1167">
        <v>1</v>
      </c>
      <c r="D1167" s="84">
        <v>18</v>
      </c>
      <c r="E1167">
        <v>30</v>
      </c>
      <c r="F1167" s="85">
        <v>0</v>
      </c>
      <c r="G1167" s="86">
        <f t="shared" si="90"/>
        <v>540</v>
      </c>
      <c r="H1167" s="86">
        <f t="shared" si="91"/>
        <v>0</v>
      </c>
      <c r="I1167" s="86">
        <f t="shared" si="92"/>
        <v>540</v>
      </c>
      <c r="J1167" s="84">
        <f>VLOOKUP(C1167, Products[], 6)</f>
        <v>18</v>
      </c>
      <c r="K1167" s="86">
        <f t="shared" si="93"/>
        <v>540</v>
      </c>
      <c r="L1167" s="86">
        <f t="shared" si="94"/>
        <v>0</v>
      </c>
    </row>
    <row r="1168" spans="2:12" x14ac:dyDescent="0.2">
      <c r="B1168">
        <v>10691</v>
      </c>
      <c r="C1168">
        <v>29</v>
      </c>
      <c r="D1168" s="84">
        <v>123.79</v>
      </c>
      <c r="E1168">
        <v>40</v>
      </c>
      <c r="F1168" s="85">
        <v>0</v>
      </c>
      <c r="G1168" s="86">
        <f t="shared" si="90"/>
        <v>4951.6000000000004</v>
      </c>
      <c r="H1168" s="86">
        <f t="shared" si="91"/>
        <v>0</v>
      </c>
      <c r="I1168" s="86">
        <f t="shared" si="92"/>
        <v>4951.6000000000004</v>
      </c>
      <c r="J1168" s="84">
        <f>VLOOKUP(C1168, Products[], 6)</f>
        <v>123.79</v>
      </c>
      <c r="K1168" s="86">
        <f t="shared" si="93"/>
        <v>4951.6000000000004</v>
      </c>
      <c r="L1168" s="86">
        <f t="shared" si="94"/>
        <v>0</v>
      </c>
    </row>
    <row r="1169" spans="2:12" x14ac:dyDescent="0.2">
      <c r="B1169">
        <v>10691</v>
      </c>
      <c r="C1169">
        <v>43</v>
      </c>
      <c r="D1169" s="84">
        <v>46</v>
      </c>
      <c r="E1169">
        <v>40</v>
      </c>
      <c r="F1169" s="85">
        <v>0</v>
      </c>
      <c r="G1169" s="86">
        <f t="shared" si="90"/>
        <v>1840</v>
      </c>
      <c r="H1169" s="86">
        <f t="shared" si="91"/>
        <v>0</v>
      </c>
      <c r="I1169" s="86">
        <f t="shared" si="92"/>
        <v>1840</v>
      </c>
      <c r="J1169" s="84">
        <f>VLOOKUP(C1169, Products[], 6)</f>
        <v>46</v>
      </c>
      <c r="K1169" s="86">
        <f t="shared" si="93"/>
        <v>1840</v>
      </c>
      <c r="L1169" s="86">
        <f t="shared" si="94"/>
        <v>0</v>
      </c>
    </row>
    <row r="1170" spans="2:12" x14ac:dyDescent="0.2">
      <c r="B1170">
        <v>10691</v>
      </c>
      <c r="C1170">
        <v>44</v>
      </c>
      <c r="D1170" s="84">
        <v>19.45</v>
      </c>
      <c r="E1170">
        <v>24</v>
      </c>
      <c r="F1170" s="85">
        <v>0</v>
      </c>
      <c r="G1170" s="86">
        <f t="shared" si="90"/>
        <v>466.79999999999995</v>
      </c>
      <c r="H1170" s="86">
        <f t="shared" si="91"/>
        <v>0</v>
      </c>
      <c r="I1170" s="86">
        <f t="shared" si="92"/>
        <v>466.79999999999995</v>
      </c>
      <c r="J1170" s="84">
        <f>VLOOKUP(C1170, Products[], 6)</f>
        <v>19.45</v>
      </c>
      <c r="K1170" s="86">
        <f t="shared" si="93"/>
        <v>466.79999999999995</v>
      </c>
      <c r="L1170" s="86">
        <f t="shared" si="94"/>
        <v>0</v>
      </c>
    </row>
    <row r="1171" spans="2:12" x14ac:dyDescent="0.2">
      <c r="B1171">
        <v>10691</v>
      </c>
      <c r="C1171">
        <v>62</v>
      </c>
      <c r="D1171" s="84">
        <v>49.3</v>
      </c>
      <c r="E1171">
        <v>48</v>
      </c>
      <c r="F1171" s="85">
        <v>0</v>
      </c>
      <c r="G1171" s="86">
        <f t="shared" si="90"/>
        <v>2366.3999999999996</v>
      </c>
      <c r="H1171" s="86">
        <f t="shared" si="91"/>
        <v>0</v>
      </c>
      <c r="I1171" s="86">
        <f t="shared" si="92"/>
        <v>2366.3999999999996</v>
      </c>
      <c r="J1171" s="84">
        <f>VLOOKUP(C1171, Products[], 6)</f>
        <v>49.3</v>
      </c>
      <c r="K1171" s="86">
        <f t="shared" si="93"/>
        <v>2366.3999999999996</v>
      </c>
      <c r="L1171" s="86">
        <f t="shared" si="94"/>
        <v>0</v>
      </c>
    </row>
    <row r="1172" spans="2:12" x14ac:dyDescent="0.2">
      <c r="B1172">
        <v>10692</v>
      </c>
      <c r="C1172">
        <v>63</v>
      </c>
      <c r="D1172" s="84">
        <v>43.9</v>
      </c>
      <c r="E1172">
        <v>20</v>
      </c>
      <c r="F1172" s="85">
        <v>0</v>
      </c>
      <c r="G1172" s="86">
        <f t="shared" si="90"/>
        <v>878</v>
      </c>
      <c r="H1172" s="86">
        <f t="shared" si="91"/>
        <v>0</v>
      </c>
      <c r="I1172" s="86">
        <f t="shared" si="92"/>
        <v>878</v>
      </c>
      <c r="J1172" s="84">
        <f>VLOOKUP(C1172, Products[], 6)</f>
        <v>43.9</v>
      </c>
      <c r="K1172" s="86">
        <f t="shared" si="93"/>
        <v>878</v>
      </c>
      <c r="L1172" s="86">
        <f t="shared" si="94"/>
        <v>0</v>
      </c>
    </row>
    <row r="1173" spans="2:12" x14ac:dyDescent="0.2">
      <c r="B1173">
        <v>10693</v>
      </c>
      <c r="C1173">
        <v>9</v>
      </c>
      <c r="D1173" s="84">
        <v>97</v>
      </c>
      <c r="E1173">
        <v>6</v>
      </c>
      <c r="F1173" s="85">
        <v>0</v>
      </c>
      <c r="G1173" s="86">
        <f t="shared" si="90"/>
        <v>582</v>
      </c>
      <c r="H1173" s="86">
        <f t="shared" si="91"/>
        <v>0</v>
      </c>
      <c r="I1173" s="86">
        <f t="shared" si="92"/>
        <v>582</v>
      </c>
      <c r="J1173" s="84">
        <f>VLOOKUP(C1173, Products[], 6)</f>
        <v>97</v>
      </c>
      <c r="K1173" s="86">
        <f t="shared" si="93"/>
        <v>582</v>
      </c>
      <c r="L1173" s="86">
        <f t="shared" si="94"/>
        <v>0</v>
      </c>
    </row>
    <row r="1174" spans="2:12" x14ac:dyDescent="0.2">
      <c r="B1174">
        <v>10693</v>
      </c>
      <c r="C1174">
        <v>54</v>
      </c>
      <c r="D1174" s="84">
        <v>7.45</v>
      </c>
      <c r="E1174">
        <v>60</v>
      </c>
      <c r="F1174" s="85">
        <v>0.15</v>
      </c>
      <c r="G1174" s="86">
        <f t="shared" si="90"/>
        <v>447</v>
      </c>
      <c r="H1174" s="86">
        <f t="shared" si="91"/>
        <v>67.05</v>
      </c>
      <c r="I1174" s="86">
        <f t="shared" si="92"/>
        <v>379.95</v>
      </c>
      <c r="J1174" s="84">
        <f>VLOOKUP(C1174, Products[], 6)</f>
        <v>7.45</v>
      </c>
      <c r="K1174" s="86">
        <f t="shared" si="93"/>
        <v>447</v>
      </c>
      <c r="L1174" s="86">
        <f t="shared" si="94"/>
        <v>-67.050000000000011</v>
      </c>
    </row>
    <row r="1175" spans="2:12" x14ac:dyDescent="0.2">
      <c r="B1175">
        <v>10693</v>
      </c>
      <c r="C1175">
        <v>69</v>
      </c>
      <c r="D1175" s="84">
        <v>36</v>
      </c>
      <c r="E1175">
        <v>30</v>
      </c>
      <c r="F1175" s="85">
        <v>0.15</v>
      </c>
      <c r="G1175" s="86">
        <f t="shared" si="90"/>
        <v>1080</v>
      </c>
      <c r="H1175" s="86">
        <f t="shared" si="91"/>
        <v>162</v>
      </c>
      <c r="I1175" s="86">
        <f t="shared" si="92"/>
        <v>918</v>
      </c>
      <c r="J1175" s="84">
        <f>VLOOKUP(C1175, Products[], 6)</f>
        <v>36</v>
      </c>
      <c r="K1175" s="86">
        <f t="shared" si="93"/>
        <v>1080</v>
      </c>
      <c r="L1175" s="86">
        <f t="shared" si="94"/>
        <v>-162</v>
      </c>
    </row>
    <row r="1176" spans="2:12" x14ac:dyDescent="0.2">
      <c r="B1176">
        <v>10693</v>
      </c>
      <c r="C1176">
        <v>73</v>
      </c>
      <c r="D1176" s="84">
        <v>15</v>
      </c>
      <c r="E1176">
        <v>15</v>
      </c>
      <c r="F1176" s="85">
        <v>0.15</v>
      </c>
      <c r="G1176" s="86">
        <f t="shared" si="90"/>
        <v>225</v>
      </c>
      <c r="H1176" s="86">
        <f t="shared" si="91"/>
        <v>33.75</v>
      </c>
      <c r="I1176" s="86">
        <f t="shared" si="92"/>
        <v>191.25</v>
      </c>
      <c r="J1176" s="84">
        <f>VLOOKUP(C1176, Products[], 6)</f>
        <v>15</v>
      </c>
      <c r="K1176" s="86">
        <f t="shared" si="93"/>
        <v>225</v>
      </c>
      <c r="L1176" s="86">
        <f t="shared" si="94"/>
        <v>-33.75</v>
      </c>
    </row>
    <row r="1177" spans="2:12" x14ac:dyDescent="0.2">
      <c r="B1177">
        <v>10694</v>
      </c>
      <c r="C1177">
        <v>7</v>
      </c>
      <c r="D1177" s="84">
        <v>30</v>
      </c>
      <c r="E1177">
        <v>90</v>
      </c>
      <c r="F1177" s="85">
        <v>0</v>
      </c>
      <c r="G1177" s="86">
        <f t="shared" si="90"/>
        <v>2700</v>
      </c>
      <c r="H1177" s="86">
        <f t="shared" si="91"/>
        <v>0</v>
      </c>
      <c r="I1177" s="86">
        <f t="shared" si="92"/>
        <v>2700</v>
      </c>
      <c r="J1177" s="84">
        <f>VLOOKUP(C1177, Products[], 6)</f>
        <v>30</v>
      </c>
      <c r="K1177" s="86">
        <f t="shared" si="93"/>
        <v>2700</v>
      </c>
      <c r="L1177" s="86">
        <f t="shared" si="94"/>
        <v>0</v>
      </c>
    </row>
    <row r="1178" spans="2:12" x14ac:dyDescent="0.2">
      <c r="B1178">
        <v>10694</v>
      </c>
      <c r="C1178">
        <v>59</v>
      </c>
      <c r="D1178" s="84">
        <v>55</v>
      </c>
      <c r="E1178">
        <v>25</v>
      </c>
      <c r="F1178" s="85">
        <v>0</v>
      </c>
      <c r="G1178" s="86">
        <f t="shared" si="90"/>
        <v>1375</v>
      </c>
      <c r="H1178" s="86">
        <f t="shared" si="91"/>
        <v>0</v>
      </c>
      <c r="I1178" s="86">
        <f t="shared" si="92"/>
        <v>1375</v>
      </c>
      <c r="J1178" s="84">
        <f>VLOOKUP(C1178, Products[], 6)</f>
        <v>55</v>
      </c>
      <c r="K1178" s="86">
        <f t="shared" si="93"/>
        <v>1375</v>
      </c>
      <c r="L1178" s="86">
        <f t="shared" si="94"/>
        <v>0</v>
      </c>
    </row>
    <row r="1179" spans="2:12" x14ac:dyDescent="0.2">
      <c r="B1179">
        <v>10694</v>
      </c>
      <c r="C1179">
        <v>70</v>
      </c>
      <c r="D1179" s="84">
        <v>15</v>
      </c>
      <c r="E1179">
        <v>50</v>
      </c>
      <c r="F1179" s="85">
        <v>0</v>
      </c>
      <c r="G1179" s="86">
        <f t="shared" si="90"/>
        <v>750</v>
      </c>
      <c r="H1179" s="86">
        <f t="shared" si="91"/>
        <v>0</v>
      </c>
      <c r="I1179" s="86">
        <f t="shared" si="92"/>
        <v>750</v>
      </c>
      <c r="J1179" s="84">
        <f>VLOOKUP(C1179, Products[], 6)</f>
        <v>15</v>
      </c>
      <c r="K1179" s="86">
        <f t="shared" si="93"/>
        <v>750</v>
      </c>
      <c r="L1179" s="86">
        <f t="shared" si="94"/>
        <v>0</v>
      </c>
    </row>
    <row r="1180" spans="2:12" x14ac:dyDescent="0.2">
      <c r="B1180">
        <v>10695</v>
      </c>
      <c r="C1180">
        <v>8</v>
      </c>
      <c r="D1180" s="84">
        <v>40</v>
      </c>
      <c r="E1180">
        <v>10</v>
      </c>
      <c r="F1180" s="85">
        <v>0</v>
      </c>
      <c r="G1180" s="86">
        <f t="shared" si="90"/>
        <v>400</v>
      </c>
      <c r="H1180" s="86">
        <f t="shared" si="91"/>
        <v>0</v>
      </c>
      <c r="I1180" s="86">
        <f t="shared" si="92"/>
        <v>400</v>
      </c>
      <c r="J1180" s="84">
        <f>VLOOKUP(C1180, Products[], 6)</f>
        <v>40</v>
      </c>
      <c r="K1180" s="86">
        <f t="shared" si="93"/>
        <v>400</v>
      </c>
      <c r="L1180" s="86">
        <f t="shared" si="94"/>
        <v>0</v>
      </c>
    </row>
    <row r="1181" spans="2:12" x14ac:dyDescent="0.2">
      <c r="B1181">
        <v>10695</v>
      </c>
      <c r="C1181">
        <v>12</v>
      </c>
      <c r="D1181" s="84">
        <v>38</v>
      </c>
      <c r="E1181">
        <v>4</v>
      </c>
      <c r="F1181" s="85">
        <v>0</v>
      </c>
      <c r="G1181" s="86">
        <f t="shared" si="90"/>
        <v>152</v>
      </c>
      <c r="H1181" s="86">
        <f t="shared" si="91"/>
        <v>0</v>
      </c>
      <c r="I1181" s="86">
        <f t="shared" si="92"/>
        <v>152</v>
      </c>
      <c r="J1181" s="84">
        <f>VLOOKUP(C1181, Products[], 6)</f>
        <v>38</v>
      </c>
      <c r="K1181" s="86">
        <f t="shared" si="93"/>
        <v>152</v>
      </c>
      <c r="L1181" s="86">
        <f t="shared" si="94"/>
        <v>0</v>
      </c>
    </row>
    <row r="1182" spans="2:12" x14ac:dyDescent="0.2">
      <c r="B1182">
        <v>10695</v>
      </c>
      <c r="C1182">
        <v>24</v>
      </c>
      <c r="D1182" s="84">
        <v>4.5</v>
      </c>
      <c r="E1182">
        <v>20</v>
      </c>
      <c r="F1182" s="85">
        <v>0</v>
      </c>
      <c r="G1182" s="86">
        <f t="shared" si="90"/>
        <v>90</v>
      </c>
      <c r="H1182" s="86">
        <f t="shared" si="91"/>
        <v>0</v>
      </c>
      <c r="I1182" s="86">
        <f t="shared" si="92"/>
        <v>90</v>
      </c>
      <c r="J1182" s="84">
        <f>VLOOKUP(C1182, Products[], 6)</f>
        <v>4.5</v>
      </c>
      <c r="K1182" s="86">
        <f t="shared" si="93"/>
        <v>90</v>
      </c>
      <c r="L1182" s="86">
        <f t="shared" si="94"/>
        <v>0</v>
      </c>
    </row>
    <row r="1183" spans="2:12" x14ac:dyDescent="0.2">
      <c r="B1183">
        <v>10696</v>
      </c>
      <c r="C1183">
        <v>17</v>
      </c>
      <c r="D1183" s="84">
        <v>39</v>
      </c>
      <c r="E1183">
        <v>20</v>
      </c>
      <c r="F1183" s="85">
        <v>0</v>
      </c>
      <c r="G1183" s="86">
        <f t="shared" si="90"/>
        <v>780</v>
      </c>
      <c r="H1183" s="86">
        <f t="shared" si="91"/>
        <v>0</v>
      </c>
      <c r="I1183" s="86">
        <f t="shared" si="92"/>
        <v>780</v>
      </c>
      <c r="J1183" s="84">
        <f>VLOOKUP(C1183, Products[], 6)</f>
        <v>39</v>
      </c>
      <c r="K1183" s="86">
        <f t="shared" si="93"/>
        <v>780</v>
      </c>
      <c r="L1183" s="86">
        <f t="shared" si="94"/>
        <v>0</v>
      </c>
    </row>
    <row r="1184" spans="2:12" x14ac:dyDescent="0.2">
      <c r="B1184">
        <v>10696</v>
      </c>
      <c r="C1184">
        <v>46</v>
      </c>
      <c r="D1184" s="84">
        <v>12</v>
      </c>
      <c r="E1184">
        <v>18</v>
      </c>
      <c r="F1184" s="85">
        <v>0</v>
      </c>
      <c r="G1184" s="86">
        <f t="shared" si="90"/>
        <v>216</v>
      </c>
      <c r="H1184" s="86">
        <f t="shared" si="91"/>
        <v>0</v>
      </c>
      <c r="I1184" s="86">
        <f t="shared" si="92"/>
        <v>216</v>
      </c>
      <c r="J1184" s="84">
        <f>VLOOKUP(C1184, Products[], 6)</f>
        <v>12</v>
      </c>
      <c r="K1184" s="86">
        <f t="shared" si="93"/>
        <v>216</v>
      </c>
      <c r="L1184" s="86">
        <f t="shared" si="94"/>
        <v>0</v>
      </c>
    </row>
    <row r="1185" spans="2:12" x14ac:dyDescent="0.2">
      <c r="B1185">
        <v>10697</v>
      </c>
      <c r="C1185">
        <v>19</v>
      </c>
      <c r="D1185" s="84">
        <v>9.1999999999999993</v>
      </c>
      <c r="E1185">
        <v>7</v>
      </c>
      <c r="F1185" s="85">
        <v>0.25</v>
      </c>
      <c r="G1185" s="86">
        <f t="shared" si="90"/>
        <v>64.399999999999991</v>
      </c>
      <c r="H1185" s="86">
        <f t="shared" si="91"/>
        <v>16.099999999999998</v>
      </c>
      <c r="I1185" s="86">
        <f t="shared" si="92"/>
        <v>48.3</v>
      </c>
      <c r="J1185" s="84">
        <f>VLOOKUP(C1185, Products[], 6)</f>
        <v>9.1999999999999993</v>
      </c>
      <c r="K1185" s="86">
        <f t="shared" si="93"/>
        <v>64.399999999999991</v>
      </c>
      <c r="L1185" s="86">
        <f t="shared" si="94"/>
        <v>-16.099999999999994</v>
      </c>
    </row>
    <row r="1186" spans="2:12" x14ac:dyDescent="0.2">
      <c r="B1186">
        <v>10697</v>
      </c>
      <c r="C1186">
        <v>35</v>
      </c>
      <c r="D1186" s="84">
        <v>18</v>
      </c>
      <c r="E1186">
        <v>9</v>
      </c>
      <c r="F1186" s="85">
        <v>0.25</v>
      </c>
      <c r="G1186" s="86">
        <f t="shared" si="90"/>
        <v>162</v>
      </c>
      <c r="H1186" s="86">
        <f t="shared" si="91"/>
        <v>40.5</v>
      </c>
      <c r="I1186" s="86">
        <f t="shared" si="92"/>
        <v>121.5</v>
      </c>
      <c r="J1186" s="84">
        <f>VLOOKUP(C1186, Products[], 6)</f>
        <v>18</v>
      </c>
      <c r="K1186" s="86">
        <f t="shared" si="93"/>
        <v>162</v>
      </c>
      <c r="L1186" s="86">
        <f t="shared" si="94"/>
        <v>-40.5</v>
      </c>
    </row>
    <row r="1187" spans="2:12" x14ac:dyDescent="0.2">
      <c r="B1187">
        <v>10697</v>
      </c>
      <c r="C1187">
        <v>58</v>
      </c>
      <c r="D1187" s="84">
        <v>13.25</v>
      </c>
      <c r="E1187">
        <v>30</v>
      </c>
      <c r="F1187" s="85">
        <v>0.25</v>
      </c>
      <c r="G1187" s="86">
        <f t="shared" si="90"/>
        <v>397.5</v>
      </c>
      <c r="H1187" s="86">
        <f t="shared" si="91"/>
        <v>99.375</v>
      </c>
      <c r="I1187" s="86">
        <f t="shared" si="92"/>
        <v>298.125</v>
      </c>
      <c r="J1187" s="84">
        <f>VLOOKUP(C1187, Products[], 6)</f>
        <v>13.25</v>
      </c>
      <c r="K1187" s="86">
        <f t="shared" si="93"/>
        <v>397.5</v>
      </c>
      <c r="L1187" s="86">
        <f t="shared" si="94"/>
        <v>-99.375</v>
      </c>
    </row>
    <row r="1188" spans="2:12" x14ac:dyDescent="0.2">
      <c r="B1188">
        <v>10697</v>
      </c>
      <c r="C1188">
        <v>70</v>
      </c>
      <c r="D1188" s="84">
        <v>15</v>
      </c>
      <c r="E1188">
        <v>30</v>
      </c>
      <c r="F1188" s="85">
        <v>0.25</v>
      </c>
      <c r="G1188" s="86">
        <f t="shared" si="90"/>
        <v>450</v>
      </c>
      <c r="H1188" s="86">
        <f t="shared" si="91"/>
        <v>112.5</v>
      </c>
      <c r="I1188" s="86">
        <f t="shared" si="92"/>
        <v>337.5</v>
      </c>
      <c r="J1188" s="84">
        <f>VLOOKUP(C1188, Products[], 6)</f>
        <v>15</v>
      </c>
      <c r="K1188" s="86">
        <f t="shared" si="93"/>
        <v>450</v>
      </c>
      <c r="L1188" s="86">
        <f t="shared" si="94"/>
        <v>-112.5</v>
      </c>
    </row>
    <row r="1189" spans="2:12" x14ac:dyDescent="0.2">
      <c r="B1189">
        <v>10698</v>
      </c>
      <c r="C1189">
        <v>11</v>
      </c>
      <c r="D1189" s="84">
        <v>21</v>
      </c>
      <c r="E1189">
        <v>15</v>
      </c>
      <c r="F1189" s="85">
        <v>0</v>
      </c>
      <c r="G1189" s="86">
        <f t="shared" si="90"/>
        <v>315</v>
      </c>
      <c r="H1189" s="86">
        <f t="shared" si="91"/>
        <v>0</v>
      </c>
      <c r="I1189" s="86">
        <f t="shared" si="92"/>
        <v>315</v>
      </c>
      <c r="J1189" s="84">
        <f>VLOOKUP(C1189, Products[], 6)</f>
        <v>21</v>
      </c>
      <c r="K1189" s="86">
        <f t="shared" si="93"/>
        <v>315</v>
      </c>
      <c r="L1189" s="86">
        <f t="shared" si="94"/>
        <v>0</v>
      </c>
    </row>
    <row r="1190" spans="2:12" x14ac:dyDescent="0.2">
      <c r="B1190">
        <v>10698</v>
      </c>
      <c r="C1190">
        <v>17</v>
      </c>
      <c r="D1190" s="84">
        <v>39</v>
      </c>
      <c r="E1190">
        <v>8</v>
      </c>
      <c r="F1190" s="85">
        <v>0.05</v>
      </c>
      <c r="G1190" s="86">
        <f t="shared" si="90"/>
        <v>312</v>
      </c>
      <c r="H1190" s="86">
        <f t="shared" si="91"/>
        <v>15.600000000000001</v>
      </c>
      <c r="I1190" s="86">
        <f t="shared" si="92"/>
        <v>296.39999999999998</v>
      </c>
      <c r="J1190" s="84">
        <f>VLOOKUP(C1190, Products[], 6)</f>
        <v>39</v>
      </c>
      <c r="K1190" s="86">
        <f t="shared" si="93"/>
        <v>312</v>
      </c>
      <c r="L1190" s="86">
        <f t="shared" si="94"/>
        <v>-15.600000000000023</v>
      </c>
    </row>
    <row r="1191" spans="2:12" x14ac:dyDescent="0.2">
      <c r="B1191">
        <v>10698</v>
      </c>
      <c r="C1191">
        <v>29</v>
      </c>
      <c r="D1191" s="84">
        <v>123.79</v>
      </c>
      <c r="E1191">
        <v>12</v>
      </c>
      <c r="F1191" s="85">
        <v>0.05</v>
      </c>
      <c r="G1191" s="86">
        <f t="shared" si="90"/>
        <v>1485.48</v>
      </c>
      <c r="H1191" s="86">
        <f t="shared" si="91"/>
        <v>74.274000000000001</v>
      </c>
      <c r="I1191" s="86">
        <f t="shared" si="92"/>
        <v>1411.2060000000001</v>
      </c>
      <c r="J1191" s="84">
        <f>VLOOKUP(C1191, Products[], 6)</f>
        <v>123.79</v>
      </c>
      <c r="K1191" s="86">
        <f t="shared" si="93"/>
        <v>1485.48</v>
      </c>
      <c r="L1191" s="86">
        <f t="shared" si="94"/>
        <v>-74.273999999999887</v>
      </c>
    </row>
    <row r="1192" spans="2:12" x14ac:dyDescent="0.2">
      <c r="B1192">
        <v>10698</v>
      </c>
      <c r="C1192">
        <v>65</v>
      </c>
      <c r="D1192" s="84">
        <v>21.05</v>
      </c>
      <c r="E1192">
        <v>65</v>
      </c>
      <c r="F1192" s="85">
        <v>0.05</v>
      </c>
      <c r="G1192" s="86">
        <f t="shared" si="90"/>
        <v>1368.25</v>
      </c>
      <c r="H1192" s="86">
        <f t="shared" si="91"/>
        <v>68.412500000000009</v>
      </c>
      <c r="I1192" s="86">
        <f t="shared" si="92"/>
        <v>1299.8375000000001</v>
      </c>
      <c r="J1192" s="84">
        <f>VLOOKUP(C1192, Products[], 6)</f>
        <v>21.05</v>
      </c>
      <c r="K1192" s="86">
        <f t="shared" si="93"/>
        <v>1368.25</v>
      </c>
      <c r="L1192" s="86">
        <f t="shared" si="94"/>
        <v>-68.412499999999909</v>
      </c>
    </row>
    <row r="1193" spans="2:12" x14ac:dyDescent="0.2">
      <c r="B1193">
        <v>10698</v>
      </c>
      <c r="C1193">
        <v>70</v>
      </c>
      <c r="D1193" s="84">
        <v>15</v>
      </c>
      <c r="E1193">
        <v>8</v>
      </c>
      <c r="F1193" s="85">
        <v>0.05</v>
      </c>
      <c r="G1193" s="86">
        <f t="shared" si="90"/>
        <v>120</v>
      </c>
      <c r="H1193" s="86">
        <f t="shared" si="91"/>
        <v>6</v>
      </c>
      <c r="I1193" s="86">
        <f t="shared" si="92"/>
        <v>114</v>
      </c>
      <c r="J1193" s="84">
        <f>VLOOKUP(C1193, Products[], 6)</f>
        <v>15</v>
      </c>
      <c r="K1193" s="86">
        <f t="shared" si="93"/>
        <v>120</v>
      </c>
      <c r="L1193" s="86">
        <f t="shared" si="94"/>
        <v>-6</v>
      </c>
    </row>
    <row r="1194" spans="2:12" x14ac:dyDescent="0.2">
      <c r="B1194">
        <v>10699</v>
      </c>
      <c r="C1194">
        <v>47</v>
      </c>
      <c r="D1194" s="84">
        <v>9.5</v>
      </c>
      <c r="E1194">
        <v>12</v>
      </c>
      <c r="F1194" s="85">
        <v>0</v>
      </c>
      <c r="G1194" s="86">
        <f t="shared" si="90"/>
        <v>114</v>
      </c>
      <c r="H1194" s="86">
        <f t="shared" si="91"/>
        <v>0</v>
      </c>
      <c r="I1194" s="86">
        <f t="shared" si="92"/>
        <v>114</v>
      </c>
      <c r="J1194" s="84">
        <f>VLOOKUP(C1194, Products[], 6)</f>
        <v>9.5</v>
      </c>
      <c r="K1194" s="86">
        <f t="shared" si="93"/>
        <v>114</v>
      </c>
      <c r="L1194" s="86">
        <f t="shared" si="94"/>
        <v>0</v>
      </c>
    </row>
    <row r="1195" spans="2:12" x14ac:dyDescent="0.2">
      <c r="B1195">
        <v>10700</v>
      </c>
      <c r="C1195">
        <v>1</v>
      </c>
      <c r="D1195" s="84">
        <v>18</v>
      </c>
      <c r="E1195">
        <v>5</v>
      </c>
      <c r="F1195" s="85">
        <v>0.2</v>
      </c>
      <c r="G1195" s="86">
        <f t="shared" si="90"/>
        <v>90</v>
      </c>
      <c r="H1195" s="86">
        <f t="shared" si="91"/>
        <v>18</v>
      </c>
      <c r="I1195" s="86">
        <f t="shared" si="92"/>
        <v>72</v>
      </c>
      <c r="J1195" s="84">
        <f>VLOOKUP(C1195, Products[], 6)</f>
        <v>18</v>
      </c>
      <c r="K1195" s="86">
        <f t="shared" si="93"/>
        <v>90</v>
      </c>
      <c r="L1195" s="86">
        <f t="shared" si="94"/>
        <v>-18</v>
      </c>
    </row>
    <row r="1196" spans="2:12" x14ac:dyDescent="0.2">
      <c r="B1196">
        <v>10700</v>
      </c>
      <c r="C1196">
        <v>34</v>
      </c>
      <c r="D1196" s="84">
        <v>14</v>
      </c>
      <c r="E1196">
        <v>12</v>
      </c>
      <c r="F1196" s="85">
        <v>0.2</v>
      </c>
      <c r="G1196" s="86">
        <f t="shared" si="90"/>
        <v>168</v>
      </c>
      <c r="H1196" s="86">
        <f t="shared" si="91"/>
        <v>33.6</v>
      </c>
      <c r="I1196" s="86">
        <f t="shared" si="92"/>
        <v>134.4</v>
      </c>
      <c r="J1196" s="84">
        <f>VLOOKUP(C1196, Products[], 6)</f>
        <v>14</v>
      </c>
      <c r="K1196" s="86">
        <f t="shared" si="93"/>
        <v>168</v>
      </c>
      <c r="L1196" s="86">
        <f t="shared" si="94"/>
        <v>-33.599999999999994</v>
      </c>
    </row>
    <row r="1197" spans="2:12" x14ac:dyDescent="0.2">
      <c r="B1197">
        <v>10700</v>
      </c>
      <c r="C1197">
        <v>68</v>
      </c>
      <c r="D1197" s="84">
        <v>12.5</v>
      </c>
      <c r="E1197">
        <v>40</v>
      </c>
      <c r="F1197" s="85">
        <v>0.2</v>
      </c>
      <c r="G1197" s="86">
        <f t="shared" si="90"/>
        <v>500</v>
      </c>
      <c r="H1197" s="86">
        <f t="shared" si="91"/>
        <v>100</v>
      </c>
      <c r="I1197" s="86">
        <f t="shared" si="92"/>
        <v>400</v>
      </c>
      <c r="J1197" s="84">
        <f>VLOOKUP(C1197, Products[], 6)</f>
        <v>12.5</v>
      </c>
      <c r="K1197" s="86">
        <f t="shared" si="93"/>
        <v>500</v>
      </c>
      <c r="L1197" s="86">
        <f t="shared" si="94"/>
        <v>-100</v>
      </c>
    </row>
    <row r="1198" spans="2:12" x14ac:dyDescent="0.2">
      <c r="B1198">
        <v>10700</v>
      </c>
      <c r="C1198">
        <v>71</v>
      </c>
      <c r="D1198" s="84">
        <v>21.5</v>
      </c>
      <c r="E1198">
        <v>60</v>
      </c>
      <c r="F1198" s="85">
        <v>0.2</v>
      </c>
      <c r="G1198" s="86">
        <f t="shared" si="90"/>
        <v>1290</v>
      </c>
      <c r="H1198" s="86">
        <f t="shared" si="91"/>
        <v>258</v>
      </c>
      <c r="I1198" s="86">
        <f t="shared" si="92"/>
        <v>1032</v>
      </c>
      <c r="J1198" s="84">
        <f>VLOOKUP(C1198, Products[], 6)</f>
        <v>21.5</v>
      </c>
      <c r="K1198" s="86">
        <f t="shared" si="93"/>
        <v>1290</v>
      </c>
      <c r="L1198" s="86">
        <f t="shared" si="94"/>
        <v>-258</v>
      </c>
    </row>
    <row r="1199" spans="2:12" x14ac:dyDescent="0.2">
      <c r="B1199">
        <v>10701</v>
      </c>
      <c r="C1199">
        <v>59</v>
      </c>
      <c r="D1199" s="84">
        <v>55</v>
      </c>
      <c r="E1199">
        <v>42</v>
      </c>
      <c r="F1199" s="85">
        <v>0.15</v>
      </c>
      <c r="G1199" s="86">
        <f t="shared" si="90"/>
        <v>2310</v>
      </c>
      <c r="H1199" s="86">
        <f t="shared" si="91"/>
        <v>346.5</v>
      </c>
      <c r="I1199" s="86">
        <f t="shared" si="92"/>
        <v>1963.5</v>
      </c>
      <c r="J1199" s="84">
        <f>VLOOKUP(C1199, Products[], 6)</f>
        <v>55</v>
      </c>
      <c r="K1199" s="86">
        <f t="shared" si="93"/>
        <v>2310</v>
      </c>
      <c r="L1199" s="86">
        <f t="shared" si="94"/>
        <v>-346.5</v>
      </c>
    </row>
    <row r="1200" spans="2:12" x14ac:dyDescent="0.2">
      <c r="B1200">
        <v>10701</v>
      </c>
      <c r="C1200">
        <v>71</v>
      </c>
      <c r="D1200" s="84">
        <v>21.5</v>
      </c>
      <c r="E1200">
        <v>20</v>
      </c>
      <c r="F1200" s="85">
        <v>0.15</v>
      </c>
      <c r="G1200" s="86">
        <f t="shared" si="90"/>
        <v>430</v>
      </c>
      <c r="H1200" s="86">
        <f t="shared" si="91"/>
        <v>64.5</v>
      </c>
      <c r="I1200" s="86">
        <f t="shared" si="92"/>
        <v>365.5</v>
      </c>
      <c r="J1200" s="84">
        <f>VLOOKUP(C1200, Products[], 6)</f>
        <v>21.5</v>
      </c>
      <c r="K1200" s="86">
        <f t="shared" si="93"/>
        <v>430</v>
      </c>
      <c r="L1200" s="86">
        <f t="shared" si="94"/>
        <v>-64.5</v>
      </c>
    </row>
    <row r="1201" spans="2:12" x14ac:dyDescent="0.2">
      <c r="B1201">
        <v>10701</v>
      </c>
      <c r="C1201">
        <v>76</v>
      </c>
      <c r="D1201" s="84">
        <v>18</v>
      </c>
      <c r="E1201">
        <v>35</v>
      </c>
      <c r="F1201" s="85">
        <v>0.15</v>
      </c>
      <c r="G1201" s="86">
        <f t="shared" si="90"/>
        <v>630</v>
      </c>
      <c r="H1201" s="86">
        <f t="shared" si="91"/>
        <v>94.5</v>
      </c>
      <c r="I1201" s="86">
        <f t="shared" si="92"/>
        <v>535.5</v>
      </c>
      <c r="J1201" s="84">
        <f>VLOOKUP(C1201, Products[], 6)</f>
        <v>18</v>
      </c>
      <c r="K1201" s="86">
        <f t="shared" si="93"/>
        <v>630</v>
      </c>
      <c r="L1201" s="86">
        <f t="shared" si="94"/>
        <v>-94.5</v>
      </c>
    </row>
    <row r="1202" spans="2:12" x14ac:dyDescent="0.2">
      <c r="B1202">
        <v>10702</v>
      </c>
      <c r="C1202">
        <v>3</v>
      </c>
      <c r="D1202" s="84">
        <v>10</v>
      </c>
      <c r="E1202">
        <v>6</v>
      </c>
      <c r="F1202" s="85">
        <v>0</v>
      </c>
      <c r="G1202" s="86">
        <f t="shared" si="90"/>
        <v>60</v>
      </c>
      <c r="H1202" s="86">
        <f t="shared" si="91"/>
        <v>0</v>
      </c>
      <c r="I1202" s="86">
        <f t="shared" si="92"/>
        <v>60</v>
      </c>
      <c r="J1202" s="84">
        <f>VLOOKUP(C1202, Products[], 6)</f>
        <v>10</v>
      </c>
      <c r="K1202" s="86">
        <f t="shared" si="93"/>
        <v>60</v>
      </c>
      <c r="L1202" s="86">
        <f t="shared" si="94"/>
        <v>0</v>
      </c>
    </row>
    <row r="1203" spans="2:12" x14ac:dyDescent="0.2">
      <c r="B1203">
        <v>10702</v>
      </c>
      <c r="C1203">
        <v>76</v>
      </c>
      <c r="D1203" s="84">
        <v>18</v>
      </c>
      <c r="E1203">
        <v>15</v>
      </c>
      <c r="F1203" s="85">
        <v>0</v>
      </c>
      <c r="G1203" s="86">
        <f t="shared" si="90"/>
        <v>270</v>
      </c>
      <c r="H1203" s="86">
        <f t="shared" si="91"/>
        <v>0</v>
      </c>
      <c r="I1203" s="86">
        <f t="shared" si="92"/>
        <v>270</v>
      </c>
      <c r="J1203" s="84">
        <f>VLOOKUP(C1203, Products[], 6)</f>
        <v>18</v>
      </c>
      <c r="K1203" s="86">
        <f t="shared" si="93"/>
        <v>270</v>
      </c>
      <c r="L1203" s="86">
        <f t="shared" si="94"/>
        <v>0</v>
      </c>
    </row>
    <row r="1204" spans="2:12" x14ac:dyDescent="0.2">
      <c r="B1204">
        <v>10703</v>
      </c>
      <c r="C1204">
        <v>2</v>
      </c>
      <c r="D1204" s="84">
        <v>19</v>
      </c>
      <c r="E1204">
        <v>5</v>
      </c>
      <c r="F1204" s="85">
        <v>0</v>
      </c>
      <c r="G1204" s="86">
        <f t="shared" si="90"/>
        <v>95</v>
      </c>
      <c r="H1204" s="86">
        <f t="shared" si="91"/>
        <v>0</v>
      </c>
      <c r="I1204" s="86">
        <f t="shared" si="92"/>
        <v>95</v>
      </c>
      <c r="J1204" s="84">
        <f>VLOOKUP(C1204, Products[], 6)</f>
        <v>19</v>
      </c>
      <c r="K1204" s="86">
        <f t="shared" si="93"/>
        <v>95</v>
      </c>
      <c r="L1204" s="86">
        <f t="shared" si="94"/>
        <v>0</v>
      </c>
    </row>
    <row r="1205" spans="2:12" x14ac:dyDescent="0.2">
      <c r="B1205">
        <v>10703</v>
      </c>
      <c r="C1205">
        <v>59</v>
      </c>
      <c r="D1205" s="84">
        <v>55</v>
      </c>
      <c r="E1205">
        <v>35</v>
      </c>
      <c r="F1205" s="85">
        <v>0</v>
      </c>
      <c r="G1205" s="86">
        <f t="shared" si="90"/>
        <v>1925</v>
      </c>
      <c r="H1205" s="86">
        <f t="shared" si="91"/>
        <v>0</v>
      </c>
      <c r="I1205" s="86">
        <f t="shared" si="92"/>
        <v>1925</v>
      </c>
      <c r="J1205" s="84">
        <f>VLOOKUP(C1205, Products[], 6)</f>
        <v>55</v>
      </c>
      <c r="K1205" s="86">
        <f t="shared" si="93"/>
        <v>1925</v>
      </c>
      <c r="L1205" s="86">
        <f t="shared" si="94"/>
        <v>0</v>
      </c>
    </row>
    <row r="1206" spans="2:12" x14ac:dyDescent="0.2">
      <c r="B1206">
        <v>10703</v>
      </c>
      <c r="C1206">
        <v>73</v>
      </c>
      <c r="D1206" s="84">
        <v>15</v>
      </c>
      <c r="E1206">
        <v>35</v>
      </c>
      <c r="F1206" s="85">
        <v>0</v>
      </c>
      <c r="G1206" s="86">
        <f t="shared" si="90"/>
        <v>525</v>
      </c>
      <c r="H1206" s="86">
        <f t="shared" si="91"/>
        <v>0</v>
      </c>
      <c r="I1206" s="86">
        <f t="shared" si="92"/>
        <v>525</v>
      </c>
      <c r="J1206" s="84">
        <f>VLOOKUP(C1206, Products[], 6)</f>
        <v>15</v>
      </c>
      <c r="K1206" s="86">
        <f t="shared" si="93"/>
        <v>525</v>
      </c>
      <c r="L1206" s="86">
        <f t="shared" si="94"/>
        <v>0</v>
      </c>
    </row>
    <row r="1207" spans="2:12" x14ac:dyDescent="0.2">
      <c r="B1207">
        <v>10704</v>
      </c>
      <c r="C1207">
        <v>4</v>
      </c>
      <c r="D1207" s="84">
        <v>22</v>
      </c>
      <c r="E1207">
        <v>6</v>
      </c>
      <c r="F1207" s="85">
        <v>0</v>
      </c>
      <c r="G1207" s="86">
        <f t="shared" si="90"/>
        <v>132</v>
      </c>
      <c r="H1207" s="86">
        <f t="shared" si="91"/>
        <v>0</v>
      </c>
      <c r="I1207" s="86">
        <f t="shared" si="92"/>
        <v>132</v>
      </c>
      <c r="J1207" s="84">
        <f>VLOOKUP(C1207, Products[], 6)</f>
        <v>22</v>
      </c>
      <c r="K1207" s="86">
        <f t="shared" si="93"/>
        <v>132</v>
      </c>
      <c r="L1207" s="86">
        <f t="shared" si="94"/>
        <v>0</v>
      </c>
    </row>
    <row r="1208" spans="2:12" x14ac:dyDescent="0.2">
      <c r="B1208">
        <v>10704</v>
      </c>
      <c r="C1208">
        <v>24</v>
      </c>
      <c r="D1208" s="84">
        <v>4.5</v>
      </c>
      <c r="E1208">
        <v>35</v>
      </c>
      <c r="F1208" s="85">
        <v>0</v>
      </c>
      <c r="G1208" s="86">
        <f t="shared" si="90"/>
        <v>157.5</v>
      </c>
      <c r="H1208" s="86">
        <f t="shared" si="91"/>
        <v>0</v>
      </c>
      <c r="I1208" s="86">
        <f t="shared" si="92"/>
        <v>157.5</v>
      </c>
      <c r="J1208" s="84">
        <f>VLOOKUP(C1208, Products[], 6)</f>
        <v>4.5</v>
      </c>
      <c r="K1208" s="86">
        <f t="shared" si="93"/>
        <v>157.5</v>
      </c>
      <c r="L1208" s="86">
        <f t="shared" si="94"/>
        <v>0</v>
      </c>
    </row>
    <row r="1209" spans="2:12" x14ac:dyDescent="0.2">
      <c r="B1209">
        <v>10704</v>
      </c>
      <c r="C1209">
        <v>48</v>
      </c>
      <c r="D1209" s="84">
        <v>12.75</v>
      </c>
      <c r="E1209">
        <v>24</v>
      </c>
      <c r="F1209" s="85">
        <v>0</v>
      </c>
      <c r="G1209" s="86">
        <f t="shared" si="90"/>
        <v>306</v>
      </c>
      <c r="H1209" s="86">
        <f t="shared" si="91"/>
        <v>0</v>
      </c>
      <c r="I1209" s="86">
        <f t="shared" si="92"/>
        <v>306</v>
      </c>
      <c r="J1209" s="84">
        <f>VLOOKUP(C1209, Products[], 6)</f>
        <v>12.75</v>
      </c>
      <c r="K1209" s="86">
        <f t="shared" si="93"/>
        <v>306</v>
      </c>
      <c r="L1209" s="86">
        <f t="shared" si="94"/>
        <v>0</v>
      </c>
    </row>
    <row r="1210" spans="2:12" x14ac:dyDescent="0.2">
      <c r="B1210">
        <v>10705</v>
      </c>
      <c r="C1210">
        <v>31</v>
      </c>
      <c r="D1210" s="84">
        <v>12.5</v>
      </c>
      <c r="E1210">
        <v>20</v>
      </c>
      <c r="F1210" s="85">
        <v>0</v>
      </c>
      <c r="G1210" s="86">
        <f t="shared" si="90"/>
        <v>250</v>
      </c>
      <c r="H1210" s="86">
        <f t="shared" si="91"/>
        <v>0</v>
      </c>
      <c r="I1210" s="86">
        <f t="shared" si="92"/>
        <v>250</v>
      </c>
      <c r="J1210" s="84">
        <f>VLOOKUP(C1210, Products[], 6)</f>
        <v>12.5</v>
      </c>
      <c r="K1210" s="86">
        <f t="shared" si="93"/>
        <v>250</v>
      </c>
      <c r="L1210" s="86">
        <f t="shared" si="94"/>
        <v>0</v>
      </c>
    </row>
    <row r="1211" spans="2:12" x14ac:dyDescent="0.2">
      <c r="B1211">
        <v>10705</v>
      </c>
      <c r="C1211">
        <v>32</v>
      </c>
      <c r="D1211" s="84">
        <v>32</v>
      </c>
      <c r="E1211">
        <v>4</v>
      </c>
      <c r="F1211" s="85">
        <v>0</v>
      </c>
      <c r="G1211" s="86">
        <f t="shared" si="90"/>
        <v>128</v>
      </c>
      <c r="H1211" s="86">
        <f t="shared" si="91"/>
        <v>0</v>
      </c>
      <c r="I1211" s="86">
        <f t="shared" si="92"/>
        <v>128</v>
      </c>
      <c r="J1211" s="84">
        <f>VLOOKUP(C1211, Products[], 6)</f>
        <v>32</v>
      </c>
      <c r="K1211" s="86">
        <f t="shared" si="93"/>
        <v>128</v>
      </c>
      <c r="L1211" s="86">
        <f t="shared" si="94"/>
        <v>0</v>
      </c>
    </row>
    <row r="1212" spans="2:12" x14ac:dyDescent="0.2">
      <c r="B1212">
        <v>10706</v>
      </c>
      <c r="C1212">
        <v>16</v>
      </c>
      <c r="D1212" s="84">
        <v>17.45</v>
      </c>
      <c r="E1212">
        <v>20</v>
      </c>
      <c r="F1212" s="85">
        <v>0</v>
      </c>
      <c r="G1212" s="86">
        <f t="shared" si="90"/>
        <v>349</v>
      </c>
      <c r="H1212" s="86">
        <f t="shared" si="91"/>
        <v>0</v>
      </c>
      <c r="I1212" s="86">
        <f t="shared" si="92"/>
        <v>349</v>
      </c>
      <c r="J1212" s="84">
        <f>VLOOKUP(C1212, Products[], 6)</f>
        <v>17.45</v>
      </c>
      <c r="K1212" s="86">
        <f t="shared" si="93"/>
        <v>349</v>
      </c>
      <c r="L1212" s="86">
        <f t="shared" si="94"/>
        <v>0</v>
      </c>
    </row>
    <row r="1213" spans="2:12" x14ac:dyDescent="0.2">
      <c r="B1213">
        <v>10706</v>
      </c>
      <c r="C1213">
        <v>43</v>
      </c>
      <c r="D1213" s="84">
        <v>46</v>
      </c>
      <c r="E1213">
        <v>24</v>
      </c>
      <c r="F1213" s="85">
        <v>0</v>
      </c>
      <c r="G1213" s="86">
        <f t="shared" si="90"/>
        <v>1104</v>
      </c>
      <c r="H1213" s="86">
        <f t="shared" si="91"/>
        <v>0</v>
      </c>
      <c r="I1213" s="86">
        <f t="shared" si="92"/>
        <v>1104</v>
      </c>
      <c r="J1213" s="84">
        <f>VLOOKUP(C1213, Products[], 6)</f>
        <v>46</v>
      </c>
      <c r="K1213" s="86">
        <f t="shared" si="93"/>
        <v>1104</v>
      </c>
      <c r="L1213" s="86">
        <f t="shared" si="94"/>
        <v>0</v>
      </c>
    </row>
    <row r="1214" spans="2:12" x14ac:dyDescent="0.2">
      <c r="B1214">
        <v>10706</v>
      </c>
      <c r="C1214">
        <v>59</v>
      </c>
      <c r="D1214" s="84">
        <v>55</v>
      </c>
      <c r="E1214">
        <v>8</v>
      </c>
      <c r="F1214" s="85">
        <v>0</v>
      </c>
      <c r="G1214" s="86">
        <f t="shared" si="90"/>
        <v>440</v>
      </c>
      <c r="H1214" s="86">
        <f t="shared" si="91"/>
        <v>0</v>
      </c>
      <c r="I1214" s="86">
        <f t="shared" si="92"/>
        <v>440</v>
      </c>
      <c r="J1214" s="84">
        <f>VLOOKUP(C1214, Products[], 6)</f>
        <v>55</v>
      </c>
      <c r="K1214" s="86">
        <f t="shared" si="93"/>
        <v>440</v>
      </c>
      <c r="L1214" s="86">
        <f t="shared" si="94"/>
        <v>0</v>
      </c>
    </row>
    <row r="1215" spans="2:12" x14ac:dyDescent="0.2">
      <c r="B1215">
        <v>10707</v>
      </c>
      <c r="C1215">
        <v>55</v>
      </c>
      <c r="D1215" s="84">
        <v>24</v>
      </c>
      <c r="E1215">
        <v>21</v>
      </c>
      <c r="F1215" s="85">
        <v>0</v>
      </c>
      <c r="G1215" s="86">
        <f t="shared" si="90"/>
        <v>504</v>
      </c>
      <c r="H1215" s="86">
        <f t="shared" si="91"/>
        <v>0</v>
      </c>
      <c r="I1215" s="86">
        <f t="shared" si="92"/>
        <v>504</v>
      </c>
      <c r="J1215" s="84">
        <f>VLOOKUP(C1215, Products[], 6)</f>
        <v>24</v>
      </c>
      <c r="K1215" s="86">
        <f t="shared" si="93"/>
        <v>504</v>
      </c>
      <c r="L1215" s="86">
        <f t="shared" si="94"/>
        <v>0</v>
      </c>
    </row>
    <row r="1216" spans="2:12" x14ac:dyDescent="0.2">
      <c r="B1216">
        <v>10707</v>
      </c>
      <c r="C1216">
        <v>57</v>
      </c>
      <c r="D1216" s="84">
        <v>19.5</v>
      </c>
      <c r="E1216">
        <v>40</v>
      </c>
      <c r="F1216" s="85">
        <v>0</v>
      </c>
      <c r="G1216" s="86">
        <f t="shared" si="90"/>
        <v>780</v>
      </c>
      <c r="H1216" s="86">
        <f t="shared" si="91"/>
        <v>0</v>
      </c>
      <c r="I1216" s="86">
        <f t="shared" si="92"/>
        <v>780</v>
      </c>
      <c r="J1216" s="84">
        <f>VLOOKUP(C1216, Products[], 6)</f>
        <v>19.5</v>
      </c>
      <c r="K1216" s="86">
        <f t="shared" si="93"/>
        <v>780</v>
      </c>
      <c r="L1216" s="86">
        <f t="shared" si="94"/>
        <v>0</v>
      </c>
    </row>
    <row r="1217" spans="2:12" x14ac:dyDescent="0.2">
      <c r="B1217">
        <v>10707</v>
      </c>
      <c r="C1217">
        <v>70</v>
      </c>
      <c r="D1217" s="84">
        <v>15</v>
      </c>
      <c r="E1217">
        <v>28</v>
      </c>
      <c r="F1217" s="85">
        <v>0.15</v>
      </c>
      <c r="G1217" s="86">
        <f t="shared" si="90"/>
        <v>420</v>
      </c>
      <c r="H1217" s="86">
        <f t="shared" si="91"/>
        <v>63</v>
      </c>
      <c r="I1217" s="86">
        <f t="shared" si="92"/>
        <v>357</v>
      </c>
      <c r="J1217" s="84">
        <f>VLOOKUP(C1217, Products[], 6)</f>
        <v>15</v>
      </c>
      <c r="K1217" s="86">
        <f t="shared" si="93"/>
        <v>420</v>
      </c>
      <c r="L1217" s="86">
        <f t="shared" si="94"/>
        <v>-63</v>
      </c>
    </row>
    <row r="1218" spans="2:12" x14ac:dyDescent="0.2">
      <c r="B1218">
        <v>10708</v>
      </c>
      <c r="C1218">
        <v>5</v>
      </c>
      <c r="D1218" s="84">
        <v>21.35</v>
      </c>
      <c r="E1218">
        <v>4</v>
      </c>
      <c r="F1218" s="85">
        <v>0</v>
      </c>
      <c r="G1218" s="86">
        <f t="shared" si="90"/>
        <v>85.4</v>
      </c>
      <c r="H1218" s="86">
        <f t="shared" si="91"/>
        <v>0</v>
      </c>
      <c r="I1218" s="86">
        <f t="shared" si="92"/>
        <v>85.4</v>
      </c>
      <c r="J1218" s="84">
        <f>VLOOKUP(C1218, Products[], 6)</f>
        <v>21.35</v>
      </c>
      <c r="K1218" s="86">
        <f t="shared" si="93"/>
        <v>85.4</v>
      </c>
      <c r="L1218" s="86">
        <f t="shared" si="94"/>
        <v>0</v>
      </c>
    </row>
    <row r="1219" spans="2:12" x14ac:dyDescent="0.2">
      <c r="B1219">
        <v>10708</v>
      </c>
      <c r="C1219">
        <v>36</v>
      </c>
      <c r="D1219" s="84">
        <v>19</v>
      </c>
      <c r="E1219">
        <v>5</v>
      </c>
      <c r="F1219" s="85">
        <v>0</v>
      </c>
      <c r="G1219" s="86">
        <f t="shared" si="90"/>
        <v>95</v>
      </c>
      <c r="H1219" s="86">
        <f t="shared" si="91"/>
        <v>0</v>
      </c>
      <c r="I1219" s="86">
        <f t="shared" si="92"/>
        <v>95</v>
      </c>
      <c r="J1219" s="84">
        <f>VLOOKUP(C1219, Products[], 6)</f>
        <v>19</v>
      </c>
      <c r="K1219" s="86">
        <f t="shared" si="93"/>
        <v>95</v>
      </c>
      <c r="L1219" s="86">
        <f t="shared" si="94"/>
        <v>0</v>
      </c>
    </row>
    <row r="1220" spans="2:12" x14ac:dyDescent="0.2">
      <c r="B1220">
        <v>10709</v>
      </c>
      <c r="C1220">
        <v>8</v>
      </c>
      <c r="D1220" s="84">
        <v>40</v>
      </c>
      <c r="E1220">
        <v>40</v>
      </c>
      <c r="F1220" s="85">
        <v>0</v>
      </c>
      <c r="G1220" s="86">
        <f t="shared" si="90"/>
        <v>1600</v>
      </c>
      <c r="H1220" s="86">
        <f t="shared" si="91"/>
        <v>0</v>
      </c>
      <c r="I1220" s="86">
        <f t="shared" si="92"/>
        <v>1600</v>
      </c>
      <c r="J1220" s="84">
        <f>VLOOKUP(C1220, Products[], 6)</f>
        <v>40</v>
      </c>
      <c r="K1220" s="86">
        <f t="shared" si="93"/>
        <v>1600</v>
      </c>
      <c r="L1220" s="86">
        <f t="shared" si="94"/>
        <v>0</v>
      </c>
    </row>
    <row r="1221" spans="2:12" x14ac:dyDescent="0.2">
      <c r="B1221">
        <v>10709</v>
      </c>
      <c r="C1221">
        <v>51</v>
      </c>
      <c r="D1221" s="84">
        <v>53</v>
      </c>
      <c r="E1221">
        <v>28</v>
      </c>
      <c r="F1221" s="85">
        <v>0</v>
      </c>
      <c r="G1221" s="86">
        <f t="shared" si="90"/>
        <v>1484</v>
      </c>
      <c r="H1221" s="86">
        <f t="shared" si="91"/>
        <v>0</v>
      </c>
      <c r="I1221" s="86">
        <f t="shared" si="92"/>
        <v>1484</v>
      </c>
      <c r="J1221" s="84">
        <f>VLOOKUP(C1221, Products[], 6)</f>
        <v>53</v>
      </c>
      <c r="K1221" s="86">
        <f t="shared" si="93"/>
        <v>1484</v>
      </c>
      <c r="L1221" s="86">
        <f t="shared" si="94"/>
        <v>0</v>
      </c>
    </row>
    <row r="1222" spans="2:12" x14ac:dyDescent="0.2">
      <c r="B1222">
        <v>10709</v>
      </c>
      <c r="C1222">
        <v>60</v>
      </c>
      <c r="D1222" s="84">
        <v>34</v>
      </c>
      <c r="E1222">
        <v>10</v>
      </c>
      <c r="F1222" s="85">
        <v>0</v>
      </c>
      <c r="G1222" s="86">
        <f t="shared" si="90"/>
        <v>340</v>
      </c>
      <c r="H1222" s="86">
        <f t="shared" si="91"/>
        <v>0</v>
      </c>
      <c r="I1222" s="86">
        <f t="shared" si="92"/>
        <v>340</v>
      </c>
      <c r="J1222" s="84">
        <f>VLOOKUP(C1222, Products[], 6)</f>
        <v>34</v>
      </c>
      <c r="K1222" s="86">
        <f t="shared" si="93"/>
        <v>340</v>
      </c>
      <c r="L1222" s="86">
        <f t="shared" si="94"/>
        <v>0</v>
      </c>
    </row>
    <row r="1223" spans="2:12" x14ac:dyDescent="0.2">
      <c r="B1223">
        <v>10710</v>
      </c>
      <c r="C1223">
        <v>19</v>
      </c>
      <c r="D1223" s="84">
        <v>9.1999999999999993</v>
      </c>
      <c r="E1223">
        <v>5</v>
      </c>
      <c r="F1223" s="85">
        <v>0</v>
      </c>
      <c r="G1223" s="86">
        <f t="shared" ref="G1223:G1286" si="95">D1223*E1223</f>
        <v>46</v>
      </c>
      <c r="H1223" s="86">
        <f t="shared" ref="H1223:H1286" si="96">G1223*F1223</f>
        <v>0</v>
      </c>
      <c r="I1223" s="86">
        <f t="shared" ref="I1223:I1286" si="97">G1223-H1223</f>
        <v>46</v>
      </c>
      <c r="J1223" s="84">
        <f>VLOOKUP(C1223, Products[], 6)</f>
        <v>9.1999999999999993</v>
      </c>
      <c r="K1223" s="86">
        <f t="shared" ref="K1223:K1286" si="98">J1223*E1223</f>
        <v>46</v>
      </c>
      <c r="L1223" s="86">
        <f t="shared" ref="L1223:L1286" si="99">I1223-K1223</f>
        <v>0</v>
      </c>
    </row>
    <row r="1224" spans="2:12" x14ac:dyDescent="0.2">
      <c r="B1224">
        <v>10710</v>
      </c>
      <c r="C1224">
        <v>47</v>
      </c>
      <c r="D1224" s="84">
        <v>9.5</v>
      </c>
      <c r="E1224">
        <v>5</v>
      </c>
      <c r="F1224" s="85">
        <v>0</v>
      </c>
      <c r="G1224" s="86">
        <f t="shared" si="95"/>
        <v>47.5</v>
      </c>
      <c r="H1224" s="86">
        <f t="shared" si="96"/>
        <v>0</v>
      </c>
      <c r="I1224" s="86">
        <f t="shared" si="97"/>
        <v>47.5</v>
      </c>
      <c r="J1224" s="84">
        <f>VLOOKUP(C1224, Products[], 6)</f>
        <v>9.5</v>
      </c>
      <c r="K1224" s="86">
        <f t="shared" si="98"/>
        <v>47.5</v>
      </c>
      <c r="L1224" s="86">
        <f t="shared" si="99"/>
        <v>0</v>
      </c>
    </row>
    <row r="1225" spans="2:12" x14ac:dyDescent="0.2">
      <c r="B1225">
        <v>10711</v>
      </c>
      <c r="C1225">
        <v>19</v>
      </c>
      <c r="D1225" s="84">
        <v>9.1999999999999993</v>
      </c>
      <c r="E1225">
        <v>12</v>
      </c>
      <c r="F1225" s="85">
        <v>0</v>
      </c>
      <c r="G1225" s="86">
        <f t="shared" si="95"/>
        <v>110.39999999999999</v>
      </c>
      <c r="H1225" s="86">
        <f t="shared" si="96"/>
        <v>0</v>
      </c>
      <c r="I1225" s="86">
        <f t="shared" si="97"/>
        <v>110.39999999999999</v>
      </c>
      <c r="J1225" s="84">
        <f>VLOOKUP(C1225, Products[], 6)</f>
        <v>9.1999999999999993</v>
      </c>
      <c r="K1225" s="86">
        <f t="shared" si="98"/>
        <v>110.39999999999999</v>
      </c>
      <c r="L1225" s="86">
        <f t="shared" si="99"/>
        <v>0</v>
      </c>
    </row>
    <row r="1226" spans="2:12" x14ac:dyDescent="0.2">
      <c r="B1226">
        <v>10711</v>
      </c>
      <c r="C1226">
        <v>41</v>
      </c>
      <c r="D1226" s="84">
        <v>9.65</v>
      </c>
      <c r="E1226">
        <v>42</v>
      </c>
      <c r="F1226" s="85">
        <v>0</v>
      </c>
      <c r="G1226" s="86">
        <f t="shared" si="95"/>
        <v>405.3</v>
      </c>
      <c r="H1226" s="86">
        <f t="shared" si="96"/>
        <v>0</v>
      </c>
      <c r="I1226" s="86">
        <f t="shared" si="97"/>
        <v>405.3</v>
      </c>
      <c r="J1226" s="84">
        <f>VLOOKUP(C1226, Products[], 6)</f>
        <v>9.65</v>
      </c>
      <c r="K1226" s="86">
        <f t="shared" si="98"/>
        <v>405.3</v>
      </c>
      <c r="L1226" s="86">
        <f t="shared" si="99"/>
        <v>0</v>
      </c>
    </row>
    <row r="1227" spans="2:12" x14ac:dyDescent="0.2">
      <c r="B1227">
        <v>10711</v>
      </c>
      <c r="C1227">
        <v>53</v>
      </c>
      <c r="D1227" s="84">
        <v>32.799999999999997</v>
      </c>
      <c r="E1227">
        <v>120</v>
      </c>
      <c r="F1227" s="85">
        <v>0</v>
      </c>
      <c r="G1227" s="86">
        <f t="shared" si="95"/>
        <v>3935.9999999999995</v>
      </c>
      <c r="H1227" s="86">
        <f t="shared" si="96"/>
        <v>0</v>
      </c>
      <c r="I1227" s="86">
        <f t="shared" si="97"/>
        <v>3935.9999999999995</v>
      </c>
      <c r="J1227" s="84">
        <f>VLOOKUP(C1227, Products[], 6)</f>
        <v>32.799999999999997</v>
      </c>
      <c r="K1227" s="86">
        <f t="shared" si="98"/>
        <v>3935.9999999999995</v>
      </c>
      <c r="L1227" s="86">
        <f t="shared" si="99"/>
        <v>0</v>
      </c>
    </row>
    <row r="1228" spans="2:12" x14ac:dyDescent="0.2">
      <c r="B1228">
        <v>10712</v>
      </c>
      <c r="C1228">
        <v>53</v>
      </c>
      <c r="D1228" s="84">
        <v>32.799999999999997</v>
      </c>
      <c r="E1228">
        <v>3</v>
      </c>
      <c r="F1228" s="85">
        <v>0.05</v>
      </c>
      <c r="G1228" s="86">
        <f t="shared" si="95"/>
        <v>98.399999999999991</v>
      </c>
      <c r="H1228" s="86">
        <f t="shared" si="96"/>
        <v>4.92</v>
      </c>
      <c r="I1228" s="86">
        <f t="shared" si="97"/>
        <v>93.47999999999999</v>
      </c>
      <c r="J1228" s="84">
        <f>VLOOKUP(C1228, Products[], 6)</f>
        <v>32.799999999999997</v>
      </c>
      <c r="K1228" s="86">
        <f t="shared" si="98"/>
        <v>98.399999999999991</v>
      </c>
      <c r="L1228" s="86">
        <f t="shared" si="99"/>
        <v>-4.9200000000000017</v>
      </c>
    </row>
    <row r="1229" spans="2:12" x14ac:dyDescent="0.2">
      <c r="B1229">
        <v>10712</v>
      </c>
      <c r="C1229">
        <v>56</v>
      </c>
      <c r="D1229" s="84">
        <v>38</v>
      </c>
      <c r="E1229">
        <v>30</v>
      </c>
      <c r="F1229" s="85">
        <v>0</v>
      </c>
      <c r="G1229" s="86">
        <f t="shared" si="95"/>
        <v>1140</v>
      </c>
      <c r="H1229" s="86">
        <f t="shared" si="96"/>
        <v>0</v>
      </c>
      <c r="I1229" s="86">
        <f t="shared" si="97"/>
        <v>1140</v>
      </c>
      <c r="J1229" s="84">
        <f>VLOOKUP(C1229, Products[], 6)</f>
        <v>38</v>
      </c>
      <c r="K1229" s="86">
        <f t="shared" si="98"/>
        <v>1140</v>
      </c>
      <c r="L1229" s="86">
        <f t="shared" si="99"/>
        <v>0</v>
      </c>
    </row>
    <row r="1230" spans="2:12" x14ac:dyDescent="0.2">
      <c r="B1230">
        <v>10713</v>
      </c>
      <c r="C1230">
        <v>10</v>
      </c>
      <c r="D1230" s="84">
        <v>31</v>
      </c>
      <c r="E1230">
        <v>18</v>
      </c>
      <c r="F1230" s="85">
        <v>0</v>
      </c>
      <c r="G1230" s="86">
        <f t="shared" si="95"/>
        <v>558</v>
      </c>
      <c r="H1230" s="86">
        <f t="shared" si="96"/>
        <v>0</v>
      </c>
      <c r="I1230" s="86">
        <f t="shared" si="97"/>
        <v>558</v>
      </c>
      <c r="J1230" s="84">
        <f>VLOOKUP(C1230, Products[], 6)</f>
        <v>31</v>
      </c>
      <c r="K1230" s="86">
        <f t="shared" si="98"/>
        <v>558</v>
      </c>
      <c r="L1230" s="86">
        <f t="shared" si="99"/>
        <v>0</v>
      </c>
    </row>
    <row r="1231" spans="2:12" x14ac:dyDescent="0.2">
      <c r="B1231">
        <v>10713</v>
      </c>
      <c r="C1231">
        <v>26</v>
      </c>
      <c r="D1231" s="84">
        <v>31.23</v>
      </c>
      <c r="E1231">
        <v>30</v>
      </c>
      <c r="F1231" s="85">
        <v>0</v>
      </c>
      <c r="G1231" s="86">
        <f t="shared" si="95"/>
        <v>936.9</v>
      </c>
      <c r="H1231" s="86">
        <f t="shared" si="96"/>
        <v>0</v>
      </c>
      <c r="I1231" s="86">
        <f t="shared" si="97"/>
        <v>936.9</v>
      </c>
      <c r="J1231" s="84">
        <f>VLOOKUP(C1231, Products[], 6)</f>
        <v>31.23</v>
      </c>
      <c r="K1231" s="86">
        <f t="shared" si="98"/>
        <v>936.9</v>
      </c>
      <c r="L1231" s="86">
        <f t="shared" si="99"/>
        <v>0</v>
      </c>
    </row>
    <row r="1232" spans="2:12" x14ac:dyDescent="0.2">
      <c r="B1232">
        <v>10713</v>
      </c>
      <c r="C1232">
        <v>45</v>
      </c>
      <c r="D1232" s="84">
        <v>9.5</v>
      </c>
      <c r="E1232">
        <v>110</v>
      </c>
      <c r="F1232" s="85">
        <v>0</v>
      </c>
      <c r="G1232" s="86">
        <f t="shared" si="95"/>
        <v>1045</v>
      </c>
      <c r="H1232" s="86">
        <f t="shared" si="96"/>
        <v>0</v>
      </c>
      <c r="I1232" s="86">
        <f t="shared" si="97"/>
        <v>1045</v>
      </c>
      <c r="J1232" s="84">
        <f>VLOOKUP(C1232, Products[], 6)</f>
        <v>9.5</v>
      </c>
      <c r="K1232" s="86">
        <f t="shared" si="98"/>
        <v>1045</v>
      </c>
      <c r="L1232" s="86">
        <f t="shared" si="99"/>
        <v>0</v>
      </c>
    </row>
    <row r="1233" spans="2:12" x14ac:dyDescent="0.2">
      <c r="B1233">
        <v>10713</v>
      </c>
      <c r="C1233">
        <v>46</v>
      </c>
      <c r="D1233" s="84">
        <v>12</v>
      </c>
      <c r="E1233">
        <v>24</v>
      </c>
      <c r="F1233" s="85">
        <v>0</v>
      </c>
      <c r="G1233" s="86">
        <f t="shared" si="95"/>
        <v>288</v>
      </c>
      <c r="H1233" s="86">
        <f t="shared" si="96"/>
        <v>0</v>
      </c>
      <c r="I1233" s="86">
        <f t="shared" si="97"/>
        <v>288</v>
      </c>
      <c r="J1233" s="84">
        <f>VLOOKUP(C1233, Products[], 6)</f>
        <v>12</v>
      </c>
      <c r="K1233" s="86">
        <f t="shared" si="98"/>
        <v>288</v>
      </c>
      <c r="L1233" s="86">
        <f t="shared" si="99"/>
        <v>0</v>
      </c>
    </row>
    <row r="1234" spans="2:12" x14ac:dyDescent="0.2">
      <c r="B1234">
        <v>10714</v>
      </c>
      <c r="C1234">
        <v>2</v>
      </c>
      <c r="D1234" s="84">
        <v>19</v>
      </c>
      <c r="E1234">
        <v>30</v>
      </c>
      <c r="F1234" s="85">
        <v>0.25</v>
      </c>
      <c r="G1234" s="86">
        <f t="shared" si="95"/>
        <v>570</v>
      </c>
      <c r="H1234" s="86">
        <f t="shared" si="96"/>
        <v>142.5</v>
      </c>
      <c r="I1234" s="86">
        <f t="shared" si="97"/>
        <v>427.5</v>
      </c>
      <c r="J1234" s="84">
        <f>VLOOKUP(C1234, Products[], 6)</f>
        <v>19</v>
      </c>
      <c r="K1234" s="86">
        <f t="shared" si="98"/>
        <v>570</v>
      </c>
      <c r="L1234" s="86">
        <f t="shared" si="99"/>
        <v>-142.5</v>
      </c>
    </row>
    <row r="1235" spans="2:12" x14ac:dyDescent="0.2">
      <c r="B1235">
        <v>10714</v>
      </c>
      <c r="C1235">
        <v>17</v>
      </c>
      <c r="D1235" s="84">
        <v>39</v>
      </c>
      <c r="E1235">
        <v>27</v>
      </c>
      <c r="F1235" s="85">
        <v>0.25</v>
      </c>
      <c r="G1235" s="86">
        <f t="shared" si="95"/>
        <v>1053</v>
      </c>
      <c r="H1235" s="86">
        <f t="shared" si="96"/>
        <v>263.25</v>
      </c>
      <c r="I1235" s="86">
        <f t="shared" si="97"/>
        <v>789.75</v>
      </c>
      <c r="J1235" s="84">
        <f>VLOOKUP(C1235, Products[], 6)</f>
        <v>39</v>
      </c>
      <c r="K1235" s="86">
        <f t="shared" si="98"/>
        <v>1053</v>
      </c>
      <c r="L1235" s="86">
        <f t="shared" si="99"/>
        <v>-263.25</v>
      </c>
    </row>
    <row r="1236" spans="2:12" x14ac:dyDescent="0.2">
      <c r="B1236">
        <v>10714</v>
      </c>
      <c r="C1236">
        <v>47</v>
      </c>
      <c r="D1236" s="84">
        <v>9.5</v>
      </c>
      <c r="E1236">
        <v>50</v>
      </c>
      <c r="F1236" s="85">
        <v>0.25</v>
      </c>
      <c r="G1236" s="86">
        <f t="shared" si="95"/>
        <v>475</v>
      </c>
      <c r="H1236" s="86">
        <f t="shared" si="96"/>
        <v>118.75</v>
      </c>
      <c r="I1236" s="86">
        <f t="shared" si="97"/>
        <v>356.25</v>
      </c>
      <c r="J1236" s="84">
        <f>VLOOKUP(C1236, Products[], 6)</f>
        <v>9.5</v>
      </c>
      <c r="K1236" s="86">
        <f t="shared" si="98"/>
        <v>475</v>
      </c>
      <c r="L1236" s="86">
        <f t="shared" si="99"/>
        <v>-118.75</v>
      </c>
    </row>
    <row r="1237" spans="2:12" x14ac:dyDescent="0.2">
      <c r="B1237">
        <v>10714</v>
      </c>
      <c r="C1237">
        <v>56</v>
      </c>
      <c r="D1237" s="84">
        <v>38</v>
      </c>
      <c r="E1237">
        <v>18</v>
      </c>
      <c r="F1237" s="85">
        <v>0.25</v>
      </c>
      <c r="G1237" s="86">
        <f t="shared" si="95"/>
        <v>684</v>
      </c>
      <c r="H1237" s="86">
        <f t="shared" si="96"/>
        <v>171</v>
      </c>
      <c r="I1237" s="86">
        <f t="shared" si="97"/>
        <v>513</v>
      </c>
      <c r="J1237" s="84">
        <f>VLOOKUP(C1237, Products[], 6)</f>
        <v>38</v>
      </c>
      <c r="K1237" s="86">
        <f t="shared" si="98"/>
        <v>684</v>
      </c>
      <c r="L1237" s="86">
        <f t="shared" si="99"/>
        <v>-171</v>
      </c>
    </row>
    <row r="1238" spans="2:12" x14ac:dyDescent="0.2">
      <c r="B1238">
        <v>10714</v>
      </c>
      <c r="C1238">
        <v>58</v>
      </c>
      <c r="D1238" s="84">
        <v>13.25</v>
      </c>
      <c r="E1238">
        <v>12</v>
      </c>
      <c r="F1238" s="85">
        <v>0.25</v>
      </c>
      <c r="G1238" s="86">
        <f t="shared" si="95"/>
        <v>159</v>
      </c>
      <c r="H1238" s="86">
        <f t="shared" si="96"/>
        <v>39.75</v>
      </c>
      <c r="I1238" s="86">
        <f t="shared" si="97"/>
        <v>119.25</v>
      </c>
      <c r="J1238" s="84">
        <f>VLOOKUP(C1238, Products[], 6)</f>
        <v>13.25</v>
      </c>
      <c r="K1238" s="86">
        <f t="shared" si="98"/>
        <v>159</v>
      </c>
      <c r="L1238" s="86">
        <f t="shared" si="99"/>
        <v>-39.75</v>
      </c>
    </row>
    <row r="1239" spans="2:12" x14ac:dyDescent="0.2">
      <c r="B1239">
        <v>10715</v>
      </c>
      <c r="C1239">
        <v>10</v>
      </c>
      <c r="D1239" s="84">
        <v>31</v>
      </c>
      <c r="E1239">
        <v>21</v>
      </c>
      <c r="F1239" s="85">
        <v>0</v>
      </c>
      <c r="G1239" s="86">
        <f t="shared" si="95"/>
        <v>651</v>
      </c>
      <c r="H1239" s="86">
        <f t="shared" si="96"/>
        <v>0</v>
      </c>
      <c r="I1239" s="86">
        <f t="shared" si="97"/>
        <v>651</v>
      </c>
      <c r="J1239" s="84">
        <f>VLOOKUP(C1239, Products[], 6)</f>
        <v>31</v>
      </c>
      <c r="K1239" s="86">
        <f t="shared" si="98"/>
        <v>651</v>
      </c>
      <c r="L1239" s="86">
        <f t="shared" si="99"/>
        <v>0</v>
      </c>
    </row>
    <row r="1240" spans="2:12" x14ac:dyDescent="0.2">
      <c r="B1240">
        <v>10715</v>
      </c>
      <c r="C1240">
        <v>71</v>
      </c>
      <c r="D1240" s="84">
        <v>21.5</v>
      </c>
      <c r="E1240">
        <v>30</v>
      </c>
      <c r="F1240" s="85">
        <v>0</v>
      </c>
      <c r="G1240" s="86">
        <f t="shared" si="95"/>
        <v>645</v>
      </c>
      <c r="H1240" s="86">
        <f t="shared" si="96"/>
        <v>0</v>
      </c>
      <c r="I1240" s="86">
        <f t="shared" si="97"/>
        <v>645</v>
      </c>
      <c r="J1240" s="84">
        <f>VLOOKUP(C1240, Products[], 6)</f>
        <v>21.5</v>
      </c>
      <c r="K1240" s="86">
        <f t="shared" si="98"/>
        <v>645</v>
      </c>
      <c r="L1240" s="86">
        <f t="shared" si="99"/>
        <v>0</v>
      </c>
    </row>
    <row r="1241" spans="2:12" x14ac:dyDescent="0.2">
      <c r="B1241">
        <v>10716</v>
      </c>
      <c r="C1241">
        <v>21</v>
      </c>
      <c r="D1241" s="84">
        <v>10</v>
      </c>
      <c r="E1241">
        <v>5</v>
      </c>
      <c r="F1241" s="85">
        <v>0</v>
      </c>
      <c r="G1241" s="86">
        <f t="shared" si="95"/>
        <v>50</v>
      </c>
      <c r="H1241" s="86">
        <f t="shared" si="96"/>
        <v>0</v>
      </c>
      <c r="I1241" s="86">
        <f t="shared" si="97"/>
        <v>50</v>
      </c>
      <c r="J1241" s="84">
        <f>VLOOKUP(C1241, Products[], 6)</f>
        <v>10</v>
      </c>
      <c r="K1241" s="86">
        <f t="shared" si="98"/>
        <v>50</v>
      </c>
      <c r="L1241" s="86">
        <f t="shared" si="99"/>
        <v>0</v>
      </c>
    </row>
    <row r="1242" spans="2:12" x14ac:dyDescent="0.2">
      <c r="B1242">
        <v>10716</v>
      </c>
      <c r="C1242">
        <v>51</v>
      </c>
      <c r="D1242" s="84">
        <v>53</v>
      </c>
      <c r="E1242">
        <v>7</v>
      </c>
      <c r="F1242" s="85">
        <v>0</v>
      </c>
      <c r="G1242" s="86">
        <f t="shared" si="95"/>
        <v>371</v>
      </c>
      <c r="H1242" s="86">
        <f t="shared" si="96"/>
        <v>0</v>
      </c>
      <c r="I1242" s="86">
        <f t="shared" si="97"/>
        <v>371</v>
      </c>
      <c r="J1242" s="84">
        <f>VLOOKUP(C1242, Products[], 6)</f>
        <v>53</v>
      </c>
      <c r="K1242" s="86">
        <f t="shared" si="98"/>
        <v>371</v>
      </c>
      <c r="L1242" s="86">
        <f t="shared" si="99"/>
        <v>0</v>
      </c>
    </row>
    <row r="1243" spans="2:12" x14ac:dyDescent="0.2">
      <c r="B1243">
        <v>10716</v>
      </c>
      <c r="C1243">
        <v>61</v>
      </c>
      <c r="D1243" s="84">
        <v>28.5</v>
      </c>
      <c r="E1243">
        <v>10</v>
      </c>
      <c r="F1243" s="85">
        <v>0</v>
      </c>
      <c r="G1243" s="86">
        <f t="shared" si="95"/>
        <v>285</v>
      </c>
      <c r="H1243" s="86">
        <f t="shared" si="96"/>
        <v>0</v>
      </c>
      <c r="I1243" s="86">
        <f t="shared" si="97"/>
        <v>285</v>
      </c>
      <c r="J1243" s="84">
        <f>VLOOKUP(C1243, Products[], 6)</f>
        <v>28.5</v>
      </c>
      <c r="K1243" s="86">
        <f t="shared" si="98"/>
        <v>285</v>
      </c>
      <c r="L1243" s="86">
        <f t="shared" si="99"/>
        <v>0</v>
      </c>
    </row>
    <row r="1244" spans="2:12" x14ac:dyDescent="0.2">
      <c r="B1244">
        <v>10717</v>
      </c>
      <c r="C1244">
        <v>21</v>
      </c>
      <c r="D1244" s="84">
        <v>10</v>
      </c>
      <c r="E1244">
        <v>32</v>
      </c>
      <c r="F1244" s="85">
        <v>0.05</v>
      </c>
      <c r="G1244" s="86">
        <f t="shared" si="95"/>
        <v>320</v>
      </c>
      <c r="H1244" s="86">
        <f t="shared" si="96"/>
        <v>16</v>
      </c>
      <c r="I1244" s="86">
        <f t="shared" si="97"/>
        <v>304</v>
      </c>
      <c r="J1244" s="84">
        <f>VLOOKUP(C1244, Products[], 6)</f>
        <v>10</v>
      </c>
      <c r="K1244" s="86">
        <f t="shared" si="98"/>
        <v>320</v>
      </c>
      <c r="L1244" s="86">
        <f t="shared" si="99"/>
        <v>-16</v>
      </c>
    </row>
    <row r="1245" spans="2:12" x14ac:dyDescent="0.2">
      <c r="B1245">
        <v>10717</v>
      </c>
      <c r="C1245">
        <v>54</v>
      </c>
      <c r="D1245" s="84">
        <v>7.45</v>
      </c>
      <c r="E1245">
        <v>15</v>
      </c>
      <c r="F1245" s="85">
        <v>0</v>
      </c>
      <c r="G1245" s="86">
        <f t="shared" si="95"/>
        <v>111.75</v>
      </c>
      <c r="H1245" s="86">
        <f t="shared" si="96"/>
        <v>0</v>
      </c>
      <c r="I1245" s="86">
        <f t="shared" si="97"/>
        <v>111.75</v>
      </c>
      <c r="J1245" s="84">
        <f>VLOOKUP(C1245, Products[], 6)</f>
        <v>7.45</v>
      </c>
      <c r="K1245" s="86">
        <f t="shared" si="98"/>
        <v>111.75</v>
      </c>
      <c r="L1245" s="86">
        <f t="shared" si="99"/>
        <v>0</v>
      </c>
    </row>
    <row r="1246" spans="2:12" x14ac:dyDescent="0.2">
      <c r="B1246">
        <v>10717</v>
      </c>
      <c r="C1246">
        <v>69</v>
      </c>
      <c r="D1246" s="84">
        <v>36</v>
      </c>
      <c r="E1246">
        <v>25</v>
      </c>
      <c r="F1246" s="85">
        <v>0.05</v>
      </c>
      <c r="G1246" s="86">
        <f t="shared" si="95"/>
        <v>900</v>
      </c>
      <c r="H1246" s="86">
        <f t="shared" si="96"/>
        <v>45</v>
      </c>
      <c r="I1246" s="86">
        <f t="shared" si="97"/>
        <v>855</v>
      </c>
      <c r="J1246" s="84">
        <f>VLOOKUP(C1246, Products[], 6)</f>
        <v>36</v>
      </c>
      <c r="K1246" s="86">
        <f t="shared" si="98"/>
        <v>900</v>
      </c>
      <c r="L1246" s="86">
        <f t="shared" si="99"/>
        <v>-45</v>
      </c>
    </row>
    <row r="1247" spans="2:12" x14ac:dyDescent="0.2">
      <c r="B1247">
        <v>10718</v>
      </c>
      <c r="C1247">
        <v>12</v>
      </c>
      <c r="D1247" s="84">
        <v>38</v>
      </c>
      <c r="E1247">
        <v>36</v>
      </c>
      <c r="F1247" s="85">
        <v>0</v>
      </c>
      <c r="G1247" s="86">
        <f t="shared" si="95"/>
        <v>1368</v>
      </c>
      <c r="H1247" s="86">
        <f t="shared" si="96"/>
        <v>0</v>
      </c>
      <c r="I1247" s="86">
        <f t="shared" si="97"/>
        <v>1368</v>
      </c>
      <c r="J1247" s="84">
        <f>VLOOKUP(C1247, Products[], 6)</f>
        <v>38</v>
      </c>
      <c r="K1247" s="86">
        <f t="shared" si="98"/>
        <v>1368</v>
      </c>
      <c r="L1247" s="86">
        <f t="shared" si="99"/>
        <v>0</v>
      </c>
    </row>
    <row r="1248" spans="2:12" x14ac:dyDescent="0.2">
      <c r="B1248">
        <v>10718</v>
      </c>
      <c r="C1248">
        <v>16</v>
      </c>
      <c r="D1248" s="84">
        <v>17.45</v>
      </c>
      <c r="E1248">
        <v>20</v>
      </c>
      <c r="F1248" s="85">
        <v>0</v>
      </c>
      <c r="G1248" s="86">
        <f t="shared" si="95"/>
        <v>349</v>
      </c>
      <c r="H1248" s="86">
        <f t="shared" si="96"/>
        <v>0</v>
      </c>
      <c r="I1248" s="86">
        <f t="shared" si="97"/>
        <v>349</v>
      </c>
      <c r="J1248" s="84">
        <f>VLOOKUP(C1248, Products[], 6)</f>
        <v>17.45</v>
      </c>
      <c r="K1248" s="86">
        <f t="shared" si="98"/>
        <v>349</v>
      </c>
      <c r="L1248" s="86">
        <f t="shared" si="99"/>
        <v>0</v>
      </c>
    </row>
    <row r="1249" spans="2:12" x14ac:dyDescent="0.2">
      <c r="B1249">
        <v>10718</v>
      </c>
      <c r="C1249">
        <v>36</v>
      </c>
      <c r="D1249" s="84">
        <v>19</v>
      </c>
      <c r="E1249">
        <v>40</v>
      </c>
      <c r="F1249" s="85">
        <v>0</v>
      </c>
      <c r="G1249" s="86">
        <f t="shared" si="95"/>
        <v>760</v>
      </c>
      <c r="H1249" s="86">
        <f t="shared" si="96"/>
        <v>0</v>
      </c>
      <c r="I1249" s="86">
        <f t="shared" si="97"/>
        <v>760</v>
      </c>
      <c r="J1249" s="84">
        <f>VLOOKUP(C1249, Products[], 6)</f>
        <v>19</v>
      </c>
      <c r="K1249" s="86">
        <f t="shared" si="98"/>
        <v>760</v>
      </c>
      <c r="L1249" s="86">
        <f t="shared" si="99"/>
        <v>0</v>
      </c>
    </row>
    <row r="1250" spans="2:12" x14ac:dyDescent="0.2">
      <c r="B1250">
        <v>10718</v>
      </c>
      <c r="C1250">
        <v>62</v>
      </c>
      <c r="D1250" s="84">
        <v>49.3</v>
      </c>
      <c r="E1250">
        <v>20</v>
      </c>
      <c r="F1250" s="85">
        <v>0</v>
      </c>
      <c r="G1250" s="86">
        <f t="shared" si="95"/>
        <v>986</v>
      </c>
      <c r="H1250" s="86">
        <f t="shared" si="96"/>
        <v>0</v>
      </c>
      <c r="I1250" s="86">
        <f t="shared" si="97"/>
        <v>986</v>
      </c>
      <c r="J1250" s="84">
        <f>VLOOKUP(C1250, Products[], 6)</f>
        <v>49.3</v>
      </c>
      <c r="K1250" s="86">
        <f t="shared" si="98"/>
        <v>986</v>
      </c>
      <c r="L1250" s="86">
        <f t="shared" si="99"/>
        <v>0</v>
      </c>
    </row>
    <row r="1251" spans="2:12" x14ac:dyDescent="0.2">
      <c r="B1251">
        <v>10719</v>
      </c>
      <c r="C1251">
        <v>18</v>
      </c>
      <c r="D1251" s="84">
        <v>62.5</v>
      </c>
      <c r="E1251">
        <v>12</v>
      </c>
      <c r="F1251" s="85">
        <v>0.25</v>
      </c>
      <c r="G1251" s="86">
        <f t="shared" si="95"/>
        <v>750</v>
      </c>
      <c r="H1251" s="86">
        <f t="shared" si="96"/>
        <v>187.5</v>
      </c>
      <c r="I1251" s="86">
        <f t="shared" si="97"/>
        <v>562.5</v>
      </c>
      <c r="J1251" s="84">
        <f>VLOOKUP(C1251, Products[], 6)</f>
        <v>62.5</v>
      </c>
      <c r="K1251" s="86">
        <f t="shared" si="98"/>
        <v>750</v>
      </c>
      <c r="L1251" s="86">
        <f t="shared" si="99"/>
        <v>-187.5</v>
      </c>
    </row>
    <row r="1252" spans="2:12" x14ac:dyDescent="0.2">
      <c r="B1252">
        <v>10719</v>
      </c>
      <c r="C1252">
        <v>30</v>
      </c>
      <c r="D1252" s="84">
        <v>25.89</v>
      </c>
      <c r="E1252">
        <v>3</v>
      </c>
      <c r="F1252" s="85">
        <v>0.25</v>
      </c>
      <c r="G1252" s="86">
        <f t="shared" si="95"/>
        <v>77.67</v>
      </c>
      <c r="H1252" s="86">
        <f t="shared" si="96"/>
        <v>19.4175</v>
      </c>
      <c r="I1252" s="86">
        <f t="shared" si="97"/>
        <v>58.252499999999998</v>
      </c>
      <c r="J1252" s="84">
        <f>VLOOKUP(C1252, Products[], 6)</f>
        <v>25.89</v>
      </c>
      <c r="K1252" s="86">
        <f t="shared" si="98"/>
        <v>77.67</v>
      </c>
      <c r="L1252" s="86">
        <f t="shared" si="99"/>
        <v>-19.417500000000004</v>
      </c>
    </row>
    <row r="1253" spans="2:12" x14ac:dyDescent="0.2">
      <c r="B1253">
        <v>10719</v>
      </c>
      <c r="C1253">
        <v>54</v>
      </c>
      <c r="D1253" s="84">
        <v>7.45</v>
      </c>
      <c r="E1253">
        <v>40</v>
      </c>
      <c r="F1253" s="85">
        <v>0.25</v>
      </c>
      <c r="G1253" s="86">
        <f t="shared" si="95"/>
        <v>298</v>
      </c>
      <c r="H1253" s="86">
        <f t="shared" si="96"/>
        <v>74.5</v>
      </c>
      <c r="I1253" s="86">
        <f t="shared" si="97"/>
        <v>223.5</v>
      </c>
      <c r="J1253" s="84">
        <f>VLOOKUP(C1253, Products[], 6)</f>
        <v>7.45</v>
      </c>
      <c r="K1253" s="86">
        <f t="shared" si="98"/>
        <v>298</v>
      </c>
      <c r="L1253" s="86">
        <f t="shared" si="99"/>
        <v>-74.5</v>
      </c>
    </row>
    <row r="1254" spans="2:12" x14ac:dyDescent="0.2">
      <c r="B1254">
        <v>10720</v>
      </c>
      <c r="C1254">
        <v>35</v>
      </c>
      <c r="D1254" s="84">
        <v>18</v>
      </c>
      <c r="E1254">
        <v>21</v>
      </c>
      <c r="F1254" s="85">
        <v>0</v>
      </c>
      <c r="G1254" s="86">
        <f t="shared" si="95"/>
        <v>378</v>
      </c>
      <c r="H1254" s="86">
        <f t="shared" si="96"/>
        <v>0</v>
      </c>
      <c r="I1254" s="86">
        <f t="shared" si="97"/>
        <v>378</v>
      </c>
      <c r="J1254" s="84">
        <f>VLOOKUP(C1254, Products[], 6)</f>
        <v>18</v>
      </c>
      <c r="K1254" s="86">
        <f t="shared" si="98"/>
        <v>378</v>
      </c>
      <c r="L1254" s="86">
        <f t="shared" si="99"/>
        <v>0</v>
      </c>
    </row>
    <row r="1255" spans="2:12" x14ac:dyDescent="0.2">
      <c r="B1255">
        <v>10720</v>
      </c>
      <c r="C1255">
        <v>71</v>
      </c>
      <c r="D1255" s="84">
        <v>21.5</v>
      </c>
      <c r="E1255">
        <v>8</v>
      </c>
      <c r="F1255" s="85">
        <v>0</v>
      </c>
      <c r="G1255" s="86">
        <f t="shared" si="95"/>
        <v>172</v>
      </c>
      <c r="H1255" s="86">
        <f t="shared" si="96"/>
        <v>0</v>
      </c>
      <c r="I1255" s="86">
        <f t="shared" si="97"/>
        <v>172</v>
      </c>
      <c r="J1255" s="84">
        <f>VLOOKUP(C1255, Products[], 6)</f>
        <v>21.5</v>
      </c>
      <c r="K1255" s="86">
        <f t="shared" si="98"/>
        <v>172</v>
      </c>
      <c r="L1255" s="86">
        <f t="shared" si="99"/>
        <v>0</v>
      </c>
    </row>
    <row r="1256" spans="2:12" x14ac:dyDescent="0.2">
      <c r="B1256">
        <v>10721</v>
      </c>
      <c r="C1256">
        <v>44</v>
      </c>
      <c r="D1256" s="84">
        <v>19.45</v>
      </c>
      <c r="E1256">
        <v>50</v>
      </c>
      <c r="F1256" s="85">
        <v>0.05</v>
      </c>
      <c r="G1256" s="86">
        <f t="shared" si="95"/>
        <v>972.5</v>
      </c>
      <c r="H1256" s="86">
        <f t="shared" si="96"/>
        <v>48.625</v>
      </c>
      <c r="I1256" s="86">
        <f t="shared" si="97"/>
        <v>923.875</v>
      </c>
      <c r="J1256" s="84">
        <f>VLOOKUP(C1256, Products[], 6)</f>
        <v>19.45</v>
      </c>
      <c r="K1256" s="86">
        <f t="shared" si="98"/>
        <v>972.5</v>
      </c>
      <c r="L1256" s="86">
        <f t="shared" si="99"/>
        <v>-48.625</v>
      </c>
    </row>
    <row r="1257" spans="2:12" x14ac:dyDescent="0.2">
      <c r="B1257">
        <v>10722</v>
      </c>
      <c r="C1257">
        <v>2</v>
      </c>
      <c r="D1257" s="84">
        <v>19</v>
      </c>
      <c r="E1257">
        <v>3</v>
      </c>
      <c r="F1257" s="85">
        <v>0</v>
      </c>
      <c r="G1257" s="86">
        <f t="shared" si="95"/>
        <v>57</v>
      </c>
      <c r="H1257" s="86">
        <f t="shared" si="96"/>
        <v>0</v>
      </c>
      <c r="I1257" s="86">
        <f t="shared" si="97"/>
        <v>57</v>
      </c>
      <c r="J1257" s="84">
        <f>VLOOKUP(C1257, Products[], 6)</f>
        <v>19</v>
      </c>
      <c r="K1257" s="86">
        <f t="shared" si="98"/>
        <v>57</v>
      </c>
      <c r="L1257" s="86">
        <f t="shared" si="99"/>
        <v>0</v>
      </c>
    </row>
    <row r="1258" spans="2:12" x14ac:dyDescent="0.2">
      <c r="B1258">
        <v>10722</v>
      </c>
      <c r="C1258">
        <v>31</v>
      </c>
      <c r="D1258" s="84">
        <v>12.5</v>
      </c>
      <c r="E1258">
        <v>50</v>
      </c>
      <c r="F1258" s="85">
        <v>0</v>
      </c>
      <c r="G1258" s="86">
        <f t="shared" si="95"/>
        <v>625</v>
      </c>
      <c r="H1258" s="86">
        <f t="shared" si="96"/>
        <v>0</v>
      </c>
      <c r="I1258" s="86">
        <f t="shared" si="97"/>
        <v>625</v>
      </c>
      <c r="J1258" s="84">
        <f>VLOOKUP(C1258, Products[], 6)</f>
        <v>12.5</v>
      </c>
      <c r="K1258" s="86">
        <f t="shared" si="98"/>
        <v>625</v>
      </c>
      <c r="L1258" s="86">
        <f t="shared" si="99"/>
        <v>0</v>
      </c>
    </row>
    <row r="1259" spans="2:12" x14ac:dyDescent="0.2">
      <c r="B1259">
        <v>10722</v>
      </c>
      <c r="C1259">
        <v>68</v>
      </c>
      <c r="D1259" s="84">
        <v>12.5</v>
      </c>
      <c r="E1259">
        <v>45</v>
      </c>
      <c r="F1259" s="85">
        <v>0</v>
      </c>
      <c r="G1259" s="86">
        <f t="shared" si="95"/>
        <v>562.5</v>
      </c>
      <c r="H1259" s="86">
        <f t="shared" si="96"/>
        <v>0</v>
      </c>
      <c r="I1259" s="86">
        <f t="shared" si="97"/>
        <v>562.5</v>
      </c>
      <c r="J1259" s="84">
        <f>VLOOKUP(C1259, Products[], 6)</f>
        <v>12.5</v>
      </c>
      <c r="K1259" s="86">
        <f t="shared" si="98"/>
        <v>562.5</v>
      </c>
      <c r="L1259" s="86">
        <f t="shared" si="99"/>
        <v>0</v>
      </c>
    </row>
    <row r="1260" spans="2:12" x14ac:dyDescent="0.2">
      <c r="B1260">
        <v>10722</v>
      </c>
      <c r="C1260">
        <v>75</v>
      </c>
      <c r="D1260" s="84">
        <v>7.75</v>
      </c>
      <c r="E1260">
        <v>42</v>
      </c>
      <c r="F1260" s="85">
        <v>0</v>
      </c>
      <c r="G1260" s="86">
        <f t="shared" si="95"/>
        <v>325.5</v>
      </c>
      <c r="H1260" s="86">
        <f t="shared" si="96"/>
        <v>0</v>
      </c>
      <c r="I1260" s="86">
        <f t="shared" si="97"/>
        <v>325.5</v>
      </c>
      <c r="J1260" s="84">
        <f>VLOOKUP(C1260, Products[], 6)</f>
        <v>7.75</v>
      </c>
      <c r="K1260" s="86">
        <f t="shared" si="98"/>
        <v>325.5</v>
      </c>
      <c r="L1260" s="86">
        <f t="shared" si="99"/>
        <v>0</v>
      </c>
    </row>
    <row r="1261" spans="2:12" x14ac:dyDescent="0.2">
      <c r="B1261">
        <v>10723</v>
      </c>
      <c r="C1261">
        <v>26</v>
      </c>
      <c r="D1261" s="84">
        <v>31.23</v>
      </c>
      <c r="E1261">
        <v>15</v>
      </c>
      <c r="F1261" s="85">
        <v>0</v>
      </c>
      <c r="G1261" s="86">
        <f t="shared" si="95"/>
        <v>468.45</v>
      </c>
      <c r="H1261" s="86">
        <f t="shared" si="96"/>
        <v>0</v>
      </c>
      <c r="I1261" s="86">
        <f t="shared" si="97"/>
        <v>468.45</v>
      </c>
      <c r="J1261" s="84">
        <f>VLOOKUP(C1261, Products[], 6)</f>
        <v>31.23</v>
      </c>
      <c r="K1261" s="86">
        <f t="shared" si="98"/>
        <v>468.45</v>
      </c>
      <c r="L1261" s="86">
        <f t="shared" si="99"/>
        <v>0</v>
      </c>
    </row>
    <row r="1262" spans="2:12" x14ac:dyDescent="0.2">
      <c r="B1262">
        <v>10724</v>
      </c>
      <c r="C1262">
        <v>10</v>
      </c>
      <c r="D1262" s="84">
        <v>31</v>
      </c>
      <c r="E1262">
        <v>16</v>
      </c>
      <c r="F1262" s="85">
        <v>0</v>
      </c>
      <c r="G1262" s="86">
        <f t="shared" si="95"/>
        <v>496</v>
      </c>
      <c r="H1262" s="86">
        <f t="shared" si="96"/>
        <v>0</v>
      </c>
      <c r="I1262" s="86">
        <f t="shared" si="97"/>
        <v>496</v>
      </c>
      <c r="J1262" s="84">
        <f>VLOOKUP(C1262, Products[], 6)</f>
        <v>31</v>
      </c>
      <c r="K1262" s="86">
        <f t="shared" si="98"/>
        <v>496</v>
      </c>
      <c r="L1262" s="86">
        <f t="shared" si="99"/>
        <v>0</v>
      </c>
    </row>
    <row r="1263" spans="2:12" x14ac:dyDescent="0.2">
      <c r="B1263">
        <v>10724</v>
      </c>
      <c r="C1263">
        <v>61</v>
      </c>
      <c r="D1263" s="84">
        <v>28.5</v>
      </c>
      <c r="E1263">
        <v>5</v>
      </c>
      <c r="F1263" s="85">
        <v>0</v>
      </c>
      <c r="G1263" s="86">
        <f t="shared" si="95"/>
        <v>142.5</v>
      </c>
      <c r="H1263" s="86">
        <f t="shared" si="96"/>
        <v>0</v>
      </c>
      <c r="I1263" s="86">
        <f t="shared" si="97"/>
        <v>142.5</v>
      </c>
      <c r="J1263" s="84">
        <f>VLOOKUP(C1263, Products[], 6)</f>
        <v>28.5</v>
      </c>
      <c r="K1263" s="86">
        <f t="shared" si="98"/>
        <v>142.5</v>
      </c>
      <c r="L1263" s="86">
        <f t="shared" si="99"/>
        <v>0</v>
      </c>
    </row>
    <row r="1264" spans="2:12" x14ac:dyDescent="0.2">
      <c r="B1264">
        <v>10725</v>
      </c>
      <c r="C1264">
        <v>41</v>
      </c>
      <c r="D1264" s="84">
        <v>9.65</v>
      </c>
      <c r="E1264">
        <v>12</v>
      </c>
      <c r="F1264" s="85">
        <v>0</v>
      </c>
      <c r="G1264" s="86">
        <f t="shared" si="95"/>
        <v>115.80000000000001</v>
      </c>
      <c r="H1264" s="86">
        <f t="shared" si="96"/>
        <v>0</v>
      </c>
      <c r="I1264" s="86">
        <f t="shared" si="97"/>
        <v>115.80000000000001</v>
      </c>
      <c r="J1264" s="84">
        <f>VLOOKUP(C1264, Products[], 6)</f>
        <v>9.65</v>
      </c>
      <c r="K1264" s="86">
        <f t="shared" si="98"/>
        <v>115.80000000000001</v>
      </c>
      <c r="L1264" s="86">
        <f t="shared" si="99"/>
        <v>0</v>
      </c>
    </row>
    <row r="1265" spans="2:12" x14ac:dyDescent="0.2">
      <c r="B1265">
        <v>10725</v>
      </c>
      <c r="C1265">
        <v>52</v>
      </c>
      <c r="D1265" s="84">
        <v>7</v>
      </c>
      <c r="E1265">
        <v>4</v>
      </c>
      <c r="F1265" s="85">
        <v>0</v>
      </c>
      <c r="G1265" s="86">
        <f t="shared" si="95"/>
        <v>28</v>
      </c>
      <c r="H1265" s="86">
        <f t="shared" si="96"/>
        <v>0</v>
      </c>
      <c r="I1265" s="86">
        <f t="shared" si="97"/>
        <v>28</v>
      </c>
      <c r="J1265" s="84">
        <f>VLOOKUP(C1265, Products[], 6)</f>
        <v>7</v>
      </c>
      <c r="K1265" s="86">
        <f t="shared" si="98"/>
        <v>28</v>
      </c>
      <c r="L1265" s="86">
        <f t="shared" si="99"/>
        <v>0</v>
      </c>
    </row>
    <row r="1266" spans="2:12" x14ac:dyDescent="0.2">
      <c r="B1266">
        <v>10725</v>
      </c>
      <c r="C1266">
        <v>55</v>
      </c>
      <c r="D1266" s="84">
        <v>24</v>
      </c>
      <c r="E1266">
        <v>6</v>
      </c>
      <c r="F1266" s="85">
        <v>0</v>
      </c>
      <c r="G1266" s="86">
        <f t="shared" si="95"/>
        <v>144</v>
      </c>
      <c r="H1266" s="86">
        <f t="shared" si="96"/>
        <v>0</v>
      </c>
      <c r="I1266" s="86">
        <f t="shared" si="97"/>
        <v>144</v>
      </c>
      <c r="J1266" s="84">
        <f>VLOOKUP(C1266, Products[], 6)</f>
        <v>24</v>
      </c>
      <c r="K1266" s="86">
        <f t="shared" si="98"/>
        <v>144</v>
      </c>
      <c r="L1266" s="86">
        <f t="shared" si="99"/>
        <v>0</v>
      </c>
    </row>
    <row r="1267" spans="2:12" x14ac:dyDescent="0.2">
      <c r="B1267">
        <v>10726</v>
      </c>
      <c r="C1267">
        <v>4</v>
      </c>
      <c r="D1267" s="84">
        <v>22</v>
      </c>
      <c r="E1267">
        <v>25</v>
      </c>
      <c r="F1267" s="85">
        <v>0</v>
      </c>
      <c r="G1267" s="86">
        <f t="shared" si="95"/>
        <v>550</v>
      </c>
      <c r="H1267" s="86">
        <f t="shared" si="96"/>
        <v>0</v>
      </c>
      <c r="I1267" s="86">
        <f t="shared" si="97"/>
        <v>550</v>
      </c>
      <c r="J1267" s="84">
        <f>VLOOKUP(C1267, Products[], 6)</f>
        <v>22</v>
      </c>
      <c r="K1267" s="86">
        <f t="shared" si="98"/>
        <v>550</v>
      </c>
      <c r="L1267" s="86">
        <f t="shared" si="99"/>
        <v>0</v>
      </c>
    </row>
    <row r="1268" spans="2:12" x14ac:dyDescent="0.2">
      <c r="B1268">
        <v>10726</v>
      </c>
      <c r="C1268">
        <v>11</v>
      </c>
      <c r="D1268" s="84">
        <v>21</v>
      </c>
      <c r="E1268">
        <v>5</v>
      </c>
      <c r="F1268" s="85">
        <v>0</v>
      </c>
      <c r="G1268" s="86">
        <f t="shared" si="95"/>
        <v>105</v>
      </c>
      <c r="H1268" s="86">
        <f t="shared" si="96"/>
        <v>0</v>
      </c>
      <c r="I1268" s="86">
        <f t="shared" si="97"/>
        <v>105</v>
      </c>
      <c r="J1268" s="84">
        <f>VLOOKUP(C1268, Products[], 6)</f>
        <v>21</v>
      </c>
      <c r="K1268" s="86">
        <f t="shared" si="98"/>
        <v>105</v>
      </c>
      <c r="L1268" s="86">
        <f t="shared" si="99"/>
        <v>0</v>
      </c>
    </row>
    <row r="1269" spans="2:12" x14ac:dyDescent="0.2">
      <c r="B1269">
        <v>10727</v>
      </c>
      <c r="C1269">
        <v>17</v>
      </c>
      <c r="D1269" s="84">
        <v>39</v>
      </c>
      <c r="E1269">
        <v>20</v>
      </c>
      <c r="F1269" s="85">
        <v>0.05</v>
      </c>
      <c r="G1269" s="86">
        <f t="shared" si="95"/>
        <v>780</v>
      </c>
      <c r="H1269" s="86">
        <f t="shared" si="96"/>
        <v>39</v>
      </c>
      <c r="I1269" s="86">
        <f t="shared" si="97"/>
        <v>741</v>
      </c>
      <c r="J1269" s="84">
        <f>VLOOKUP(C1269, Products[], 6)</f>
        <v>39</v>
      </c>
      <c r="K1269" s="86">
        <f t="shared" si="98"/>
        <v>780</v>
      </c>
      <c r="L1269" s="86">
        <f t="shared" si="99"/>
        <v>-39</v>
      </c>
    </row>
    <row r="1270" spans="2:12" x14ac:dyDescent="0.2">
      <c r="B1270">
        <v>10727</v>
      </c>
      <c r="C1270">
        <v>56</v>
      </c>
      <c r="D1270" s="84">
        <v>38</v>
      </c>
      <c r="E1270">
        <v>10</v>
      </c>
      <c r="F1270" s="85">
        <v>0.05</v>
      </c>
      <c r="G1270" s="86">
        <f t="shared" si="95"/>
        <v>380</v>
      </c>
      <c r="H1270" s="86">
        <f t="shared" si="96"/>
        <v>19</v>
      </c>
      <c r="I1270" s="86">
        <f t="shared" si="97"/>
        <v>361</v>
      </c>
      <c r="J1270" s="84">
        <f>VLOOKUP(C1270, Products[], 6)</f>
        <v>38</v>
      </c>
      <c r="K1270" s="86">
        <f t="shared" si="98"/>
        <v>380</v>
      </c>
      <c r="L1270" s="86">
        <f t="shared" si="99"/>
        <v>-19</v>
      </c>
    </row>
    <row r="1271" spans="2:12" x14ac:dyDescent="0.2">
      <c r="B1271">
        <v>10727</v>
      </c>
      <c r="C1271">
        <v>59</v>
      </c>
      <c r="D1271" s="84">
        <v>55</v>
      </c>
      <c r="E1271">
        <v>10</v>
      </c>
      <c r="F1271" s="85">
        <v>0.05</v>
      </c>
      <c r="G1271" s="86">
        <f t="shared" si="95"/>
        <v>550</v>
      </c>
      <c r="H1271" s="86">
        <f t="shared" si="96"/>
        <v>27.5</v>
      </c>
      <c r="I1271" s="86">
        <f t="shared" si="97"/>
        <v>522.5</v>
      </c>
      <c r="J1271" s="84">
        <f>VLOOKUP(C1271, Products[], 6)</f>
        <v>55</v>
      </c>
      <c r="K1271" s="86">
        <f t="shared" si="98"/>
        <v>550</v>
      </c>
      <c r="L1271" s="86">
        <f t="shared" si="99"/>
        <v>-27.5</v>
      </c>
    </row>
    <row r="1272" spans="2:12" x14ac:dyDescent="0.2">
      <c r="B1272">
        <v>10728</v>
      </c>
      <c r="C1272">
        <v>30</v>
      </c>
      <c r="D1272" s="84">
        <v>25.89</v>
      </c>
      <c r="E1272">
        <v>15</v>
      </c>
      <c r="F1272" s="85">
        <v>0</v>
      </c>
      <c r="G1272" s="86">
        <f t="shared" si="95"/>
        <v>388.35</v>
      </c>
      <c r="H1272" s="86">
        <f t="shared" si="96"/>
        <v>0</v>
      </c>
      <c r="I1272" s="86">
        <f t="shared" si="97"/>
        <v>388.35</v>
      </c>
      <c r="J1272" s="84">
        <f>VLOOKUP(C1272, Products[], 6)</f>
        <v>25.89</v>
      </c>
      <c r="K1272" s="86">
        <f t="shared" si="98"/>
        <v>388.35</v>
      </c>
      <c r="L1272" s="86">
        <f t="shared" si="99"/>
        <v>0</v>
      </c>
    </row>
    <row r="1273" spans="2:12" x14ac:dyDescent="0.2">
      <c r="B1273">
        <v>10728</v>
      </c>
      <c r="C1273">
        <v>40</v>
      </c>
      <c r="D1273" s="84">
        <v>18.399999999999999</v>
      </c>
      <c r="E1273">
        <v>6</v>
      </c>
      <c r="F1273" s="85">
        <v>0</v>
      </c>
      <c r="G1273" s="86">
        <f t="shared" si="95"/>
        <v>110.39999999999999</v>
      </c>
      <c r="H1273" s="86">
        <f t="shared" si="96"/>
        <v>0</v>
      </c>
      <c r="I1273" s="86">
        <f t="shared" si="97"/>
        <v>110.39999999999999</v>
      </c>
      <c r="J1273" s="84">
        <f>VLOOKUP(C1273, Products[], 6)</f>
        <v>18.399999999999999</v>
      </c>
      <c r="K1273" s="86">
        <f t="shared" si="98"/>
        <v>110.39999999999999</v>
      </c>
      <c r="L1273" s="86">
        <f t="shared" si="99"/>
        <v>0</v>
      </c>
    </row>
    <row r="1274" spans="2:12" x14ac:dyDescent="0.2">
      <c r="B1274">
        <v>10728</v>
      </c>
      <c r="C1274">
        <v>55</v>
      </c>
      <c r="D1274" s="84">
        <v>24</v>
      </c>
      <c r="E1274">
        <v>12</v>
      </c>
      <c r="F1274" s="85">
        <v>0</v>
      </c>
      <c r="G1274" s="86">
        <f t="shared" si="95"/>
        <v>288</v>
      </c>
      <c r="H1274" s="86">
        <f t="shared" si="96"/>
        <v>0</v>
      </c>
      <c r="I1274" s="86">
        <f t="shared" si="97"/>
        <v>288</v>
      </c>
      <c r="J1274" s="84">
        <f>VLOOKUP(C1274, Products[], 6)</f>
        <v>24</v>
      </c>
      <c r="K1274" s="86">
        <f t="shared" si="98"/>
        <v>288</v>
      </c>
      <c r="L1274" s="86">
        <f t="shared" si="99"/>
        <v>0</v>
      </c>
    </row>
    <row r="1275" spans="2:12" x14ac:dyDescent="0.2">
      <c r="B1275">
        <v>10728</v>
      </c>
      <c r="C1275">
        <v>60</v>
      </c>
      <c r="D1275" s="84">
        <v>34</v>
      </c>
      <c r="E1275">
        <v>15</v>
      </c>
      <c r="F1275" s="85">
        <v>0</v>
      </c>
      <c r="G1275" s="86">
        <f t="shared" si="95"/>
        <v>510</v>
      </c>
      <c r="H1275" s="86">
        <f t="shared" si="96"/>
        <v>0</v>
      </c>
      <c r="I1275" s="86">
        <f t="shared" si="97"/>
        <v>510</v>
      </c>
      <c r="J1275" s="84">
        <f>VLOOKUP(C1275, Products[], 6)</f>
        <v>34</v>
      </c>
      <c r="K1275" s="86">
        <f t="shared" si="98"/>
        <v>510</v>
      </c>
      <c r="L1275" s="86">
        <f t="shared" si="99"/>
        <v>0</v>
      </c>
    </row>
    <row r="1276" spans="2:12" x14ac:dyDescent="0.2">
      <c r="B1276">
        <v>10729</v>
      </c>
      <c r="C1276">
        <v>1</v>
      </c>
      <c r="D1276" s="84">
        <v>18</v>
      </c>
      <c r="E1276">
        <v>50</v>
      </c>
      <c r="F1276" s="85">
        <v>0</v>
      </c>
      <c r="G1276" s="86">
        <f t="shared" si="95"/>
        <v>900</v>
      </c>
      <c r="H1276" s="86">
        <f t="shared" si="96"/>
        <v>0</v>
      </c>
      <c r="I1276" s="86">
        <f t="shared" si="97"/>
        <v>900</v>
      </c>
      <c r="J1276" s="84">
        <f>VLOOKUP(C1276, Products[], 6)</f>
        <v>18</v>
      </c>
      <c r="K1276" s="86">
        <f t="shared" si="98"/>
        <v>900</v>
      </c>
      <c r="L1276" s="86">
        <f t="shared" si="99"/>
        <v>0</v>
      </c>
    </row>
    <row r="1277" spans="2:12" x14ac:dyDescent="0.2">
      <c r="B1277">
        <v>10729</v>
      </c>
      <c r="C1277">
        <v>21</v>
      </c>
      <c r="D1277" s="84">
        <v>10</v>
      </c>
      <c r="E1277">
        <v>30</v>
      </c>
      <c r="F1277" s="85">
        <v>0</v>
      </c>
      <c r="G1277" s="86">
        <f t="shared" si="95"/>
        <v>300</v>
      </c>
      <c r="H1277" s="86">
        <f t="shared" si="96"/>
        <v>0</v>
      </c>
      <c r="I1277" s="86">
        <f t="shared" si="97"/>
        <v>300</v>
      </c>
      <c r="J1277" s="84">
        <f>VLOOKUP(C1277, Products[], 6)</f>
        <v>10</v>
      </c>
      <c r="K1277" s="86">
        <f t="shared" si="98"/>
        <v>300</v>
      </c>
      <c r="L1277" s="86">
        <f t="shared" si="99"/>
        <v>0</v>
      </c>
    </row>
    <row r="1278" spans="2:12" x14ac:dyDescent="0.2">
      <c r="B1278">
        <v>10729</v>
      </c>
      <c r="C1278">
        <v>50</v>
      </c>
      <c r="D1278" s="84">
        <v>16.25</v>
      </c>
      <c r="E1278">
        <v>40</v>
      </c>
      <c r="F1278" s="85">
        <v>0</v>
      </c>
      <c r="G1278" s="86">
        <f t="shared" si="95"/>
        <v>650</v>
      </c>
      <c r="H1278" s="86">
        <f t="shared" si="96"/>
        <v>0</v>
      </c>
      <c r="I1278" s="86">
        <f t="shared" si="97"/>
        <v>650</v>
      </c>
      <c r="J1278" s="84">
        <f>VLOOKUP(C1278, Products[], 6)</f>
        <v>16.25</v>
      </c>
      <c r="K1278" s="86">
        <f t="shared" si="98"/>
        <v>650</v>
      </c>
      <c r="L1278" s="86">
        <f t="shared" si="99"/>
        <v>0</v>
      </c>
    </row>
    <row r="1279" spans="2:12" x14ac:dyDescent="0.2">
      <c r="B1279">
        <v>10730</v>
      </c>
      <c r="C1279">
        <v>16</v>
      </c>
      <c r="D1279" s="84">
        <v>17.45</v>
      </c>
      <c r="E1279">
        <v>15</v>
      </c>
      <c r="F1279" s="85">
        <v>0.05</v>
      </c>
      <c r="G1279" s="86">
        <f t="shared" si="95"/>
        <v>261.75</v>
      </c>
      <c r="H1279" s="86">
        <f t="shared" si="96"/>
        <v>13.0875</v>
      </c>
      <c r="I1279" s="86">
        <f t="shared" si="97"/>
        <v>248.66249999999999</v>
      </c>
      <c r="J1279" s="84">
        <f>VLOOKUP(C1279, Products[], 6)</f>
        <v>17.45</v>
      </c>
      <c r="K1279" s="86">
        <f t="shared" si="98"/>
        <v>261.75</v>
      </c>
      <c r="L1279" s="86">
        <f t="shared" si="99"/>
        <v>-13.087500000000006</v>
      </c>
    </row>
    <row r="1280" spans="2:12" x14ac:dyDescent="0.2">
      <c r="B1280">
        <v>10730</v>
      </c>
      <c r="C1280">
        <v>31</v>
      </c>
      <c r="D1280" s="84">
        <v>12.5</v>
      </c>
      <c r="E1280">
        <v>3</v>
      </c>
      <c r="F1280" s="85">
        <v>0.05</v>
      </c>
      <c r="G1280" s="86">
        <f t="shared" si="95"/>
        <v>37.5</v>
      </c>
      <c r="H1280" s="86">
        <f t="shared" si="96"/>
        <v>1.875</v>
      </c>
      <c r="I1280" s="86">
        <f t="shared" si="97"/>
        <v>35.625</v>
      </c>
      <c r="J1280" s="84">
        <f>VLOOKUP(C1280, Products[], 6)</f>
        <v>12.5</v>
      </c>
      <c r="K1280" s="86">
        <f t="shared" si="98"/>
        <v>37.5</v>
      </c>
      <c r="L1280" s="86">
        <f t="shared" si="99"/>
        <v>-1.875</v>
      </c>
    </row>
    <row r="1281" spans="2:12" x14ac:dyDescent="0.2">
      <c r="B1281">
        <v>10730</v>
      </c>
      <c r="C1281">
        <v>65</v>
      </c>
      <c r="D1281" s="84">
        <v>21.05</v>
      </c>
      <c r="E1281">
        <v>10</v>
      </c>
      <c r="F1281" s="85">
        <v>0.05</v>
      </c>
      <c r="G1281" s="86">
        <f t="shared" si="95"/>
        <v>210.5</v>
      </c>
      <c r="H1281" s="86">
        <f t="shared" si="96"/>
        <v>10.525</v>
      </c>
      <c r="I1281" s="86">
        <f t="shared" si="97"/>
        <v>199.97499999999999</v>
      </c>
      <c r="J1281" s="84">
        <f>VLOOKUP(C1281, Products[], 6)</f>
        <v>21.05</v>
      </c>
      <c r="K1281" s="86">
        <f t="shared" si="98"/>
        <v>210.5</v>
      </c>
      <c r="L1281" s="86">
        <f t="shared" si="99"/>
        <v>-10.525000000000006</v>
      </c>
    </row>
    <row r="1282" spans="2:12" x14ac:dyDescent="0.2">
      <c r="B1282">
        <v>10731</v>
      </c>
      <c r="C1282">
        <v>21</v>
      </c>
      <c r="D1282" s="84">
        <v>10</v>
      </c>
      <c r="E1282">
        <v>40</v>
      </c>
      <c r="F1282" s="85">
        <v>0.05</v>
      </c>
      <c r="G1282" s="86">
        <f t="shared" si="95"/>
        <v>400</v>
      </c>
      <c r="H1282" s="86">
        <f t="shared" si="96"/>
        <v>20</v>
      </c>
      <c r="I1282" s="86">
        <f t="shared" si="97"/>
        <v>380</v>
      </c>
      <c r="J1282" s="84">
        <f>VLOOKUP(C1282, Products[], 6)</f>
        <v>10</v>
      </c>
      <c r="K1282" s="86">
        <f t="shared" si="98"/>
        <v>400</v>
      </c>
      <c r="L1282" s="86">
        <f t="shared" si="99"/>
        <v>-20</v>
      </c>
    </row>
    <row r="1283" spans="2:12" x14ac:dyDescent="0.2">
      <c r="B1283">
        <v>10731</v>
      </c>
      <c r="C1283">
        <v>51</v>
      </c>
      <c r="D1283" s="84">
        <v>53</v>
      </c>
      <c r="E1283">
        <v>30</v>
      </c>
      <c r="F1283" s="85">
        <v>0.05</v>
      </c>
      <c r="G1283" s="86">
        <f t="shared" si="95"/>
        <v>1590</v>
      </c>
      <c r="H1283" s="86">
        <f t="shared" si="96"/>
        <v>79.5</v>
      </c>
      <c r="I1283" s="86">
        <f t="shared" si="97"/>
        <v>1510.5</v>
      </c>
      <c r="J1283" s="84">
        <f>VLOOKUP(C1283, Products[], 6)</f>
        <v>53</v>
      </c>
      <c r="K1283" s="86">
        <f t="shared" si="98"/>
        <v>1590</v>
      </c>
      <c r="L1283" s="86">
        <f t="shared" si="99"/>
        <v>-79.5</v>
      </c>
    </row>
    <row r="1284" spans="2:12" x14ac:dyDescent="0.2">
      <c r="B1284">
        <v>10732</v>
      </c>
      <c r="C1284">
        <v>76</v>
      </c>
      <c r="D1284" s="84">
        <v>18</v>
      </c>
      <c r="E1284">
        <v>20</v>
      </c>
      <c r="F1284" s="85">
        <v>0</v>
      </c>
      <c r="G1284" s="86">
        <f t="shared" si="95"/>
        <v>360</v>
      </c>
      <c r="H1284" s="86">
        <f t="shared" si="96"/>
        <v>0</v>
      </c>
      <c r="I1284" s="86">
        <f t="shared" si="97"/>
        <v>360</v>
      </c>
      <c r="J1284" s="84">
        <f>VLOOKUP(C1284, Products[], 6)</f>
        <v>18</v>
      </c>
      <c r="K1284" s="86">
        <f t="shared" si="98"/>
        <v>360</v>
      </c>
      <c r="L1284" s="86">
        <f t="shared" si="99"/>
        <v>0</v>
      </c>
    </row>
    <row r="1285" spans="2:12" x14ac:dyDescent="0.2">
      <c r="B1285">
        <v>10733</v>
      </c>
      <c r="C1285">
        <v>14</v>
      </c>
      <c r="D1285" s="84">
        <v>23.25</v>
      </c>
      <c r="E1285">
        <v>16</v>
      </c>
      <c r="F1285" s="85">
        <v>0</v>
      </c>
      <c r="G1285" s="86">
        <f t="shared" si="95"/>
        <v>372</v>
      </c>
      <c r="H1285" s="86">
        <f t="shared" si="96"/>
        <v>0</v>
      </c>
      <c r="I1285" s="86">
        <f t="shared" si="97"/>
        <v>372</v>
      </c>
      <c r="J1285" s="84">
        <f>VLOOKUP(C1285, Products[], 6)</f>
        <v>23.25</v>
      </c>
      <c r="K1285" s="86">
        <f t="shared" si="98"/>
        <v>372</v>
      </c>
      <c r="L1285" s="86">
        <f t="shared" si="99"/>
        <v>0</v>
      </c>
    </row>
    <row r="1286" spans="2:12" x14ac:dyDescent="0.2">
      <c r="B1286">
        <v>10733</v>
      </c>
      <c r="C1286">
        <v>28</v>
      </c>
      <c r="D1286" s="84">
        <v>45.6</v>
      </c>
      <c r="E1286">
        <v>20</v>
      </c>
      <c r="F1286" s="85">
        <v>0</v>
      </c>
      <c r="G1286" s="86">
        <f t="shared" si="95"/>
        <v>912</v>
      </c>
      <c r="H1286" s="86">
        <f t="shared" si="96"/>
        <v>0</v>
      </c>
      <c r="I1286" s="86">
        <f t="shared" si="97"/>
        <v>912</v>
      </c>
      <c r="J1286" s="84">
        <f>VLOOKUP(C1286, Products[], 6)</f>
        <v>45.6</v>
      </c>
      <c r="K1286" s="86">
        <f t="shared" si="98"/>
        <v>912</v>
      </c>
      <c r="L1286" s="86">
        <f t="shared" si="99"/>
        <v>0</v>
      </c>
    </row>
    <row r="1287" spans="2:12" x14ac:dyDescent="0.2">
      <c r="B1287">
        <v>10733</v>
      </c>
      <c r="C1287">
        <v>52</v>
      </c>
      <c r="D1287" s="84">
        <v>7</v>
      </c>
      <c r="E1287">
        <v>25</v>
      </c>
      <c r="F1287" s="85">
        <v>0</v>
      </c>
      <c r="G1287" s="86">
        <f t="shared" ref="G1287:G1350" si="100">D1287*E1287</f>
        <v>175</v>
      </c>
      <c r="H1287" s="86">
        <f t="shared" ref="H1287:H1350" si="101">G1287*F1287</f>
        <v>0</v>
      </c>
      <c r="I1287" s="86">
        <f t="shared" ref="I1287:I1350" si="102">G1287-H1287</f>
        <v>175</v>
      </c>
      <c r="J1287" s="84">
        <f>VLOOKUP(C1287, Products[], 6)</f>
        <v>7</v>
      </c>
      <c r="K1287" s="86">
        <f t="shared" ref="K1287:K1350" si="103">J1287*E1287</f>
        <v>175</v>
      </c>
      <c r="L1287" s="86">
        <f t="shared" ref="L1287:L1350" si="104">I1287-K1287</f>
        <v>0</v>
      </c>
    </row>
    <row r="1288" spans="2:12" x14ac:dyDescent="0.2">
      <c r="B1288">
        <v>10734</v>
      </c>
      <c r="C1288">
        <v>6</v>
      </c>
      <c r="D1288" s="84">
        <v>25</v>
      </c>
      <c r="E1288">
        <v>30</v>
      </c>
      <c r="F1288" s="85">
        <v>0</v>
      </c>
      <c r="G1288" s="86">
        <f t="shared" si="100"/>
        <v>750</v>
      </c>
      <c r="H1288" s="86">
        <f t="shared" si="101"/>
        <v>0</v>
      </c>
      <c r="I1288" s="86">
        <f t="shared" si="102"/>
        <v>750</v>
      </c>
      <c r="J1288" s="84">
        <f>VLOOKUP(C1288, Products[], 6)</f>
        <v>25</v>
      </c>
      <c r="K1288" s="86">
        <f t="shared" si="103"/>
        <v>750</v>
      </c>
      <c r="L1288" s="86">
        <f t="shared" si="104"/>
        <v>0</v>
      </c>
    </row>
    <row r="1289" spans="2:12" x14ac:dyDescent="0.2">
      <c r="B1289">
        <v>10734</v>
      </c>
      <c r="C1289">
        <v>30</v>
      </c>
      <c r="D1289" s="84">
        <v>25.89</v>
      </c>
      <c r="E1289">
        <v>15</v>
      </c>
      <c r="F1289" s="85">
        <v>0</v>
      </c>
      <c r="G1289" s="86">
        <f t="shared" si="100"/>
        <v>388.35</v>
      </c>
      <c r="H1289" s="86">
        <f t="shared" si="101"/>
        <v>0</v>
      </c>
      <c r="I1289" s="86">
        <f t="shared" si="102"/>
        <v>388.35</v>
      </c>
      <c r="J1289" s="84">
        <f>VLOOKUP(C1289, Products[], 6)</f>
        <v>25.89</v>
      </c>
      <c r="K1289" s="86">
        <f t="shared" si="103"/>
        <v>388.35</v>
      </c>
      <c r="L1289" s="86">
        <f t="shared" si="104"/>
        <v>0</v>
      </c>
    </row>
    <row r="1290" spans="2:12" x14ac:dyDescent="0.2">
      <c r="B1290">
        <v>10734</v>
      </c>
      <c r="C1290">
        <v>76</v>
      </c>
      <c r="D1290" s="84">
        <v>18</v>
      </c>
      <c r="E1290">
        <v>20</v>
      </c>
      <c r="F1290" s="85">
        <v>0</v>
      </c>
      <c r="G1290" s="86">
        <f t="shared" si="100"/>
        <v>360</v>
      </c>
      <c r="H1290" s="86">
        <f t="shared" si="101"/>
        <v>0</v>
      </c>
      <c r="I1290" s="86">
        <f t="shared" si="102"/>
        <v>360</v>
      </c>
      <c r="J1290" s="84">
        <f>VLOOKUP(C1290, Products[], 6)</f>
        <v>18</v>
      </c>
      <c r="K1290" s="86">
        <f t="shared" si="103"/>
        <v>360</v>
      </c>
      <c r="L1290" s="86">
        <f t="shared" si="104"/>
        <v>0</v>
      </c>
    </row>
    <row r="1291" spans="2:12" x14ac:dyDescent="0.2">
      <c r="B1291">
        <v>10735</v>
      </c>
      <c r="C1291">
        <v>61</v>
      </c>
      <c r="D1291" s="84">
        <v>28.5</v>
      </c>
      <c r="E1291">
        <v>20</v>
      </c>
      <c r="F1291" s="85">
        <v>0.1</v>
      </c>
      <c r="G1291" s="86">
        <f t="shared" si="100"/>
        <v>570</v>
      </c>
      <c r="H1291" s="86">
        <f t="shared" si="101"/>
        <v>57</v>
      </c>
      <c r="I1291" s="86">
        <f t="shared" si="102"/>
        <v>513</v>
      </c>
      <c r="J1291" s="84">
        <f>VLOOKUP(C1291, Products[], 6)</f>
        <v>28.5</v>
      </c>
      <c r="K1291" s="86">
        <f t="shared" si="103"/>
        <v>570</v>
      </c>
      <c r="L1291" s="86">
        <f t="shared" si="104"/>
        <v>-57</v>
      </c>
    </row>
    <row r="1292" spans="2:12" x14ac:dyDescent="0.2">
      <c r="B1292">
        <v>10735</v>
      </c>
      <c r="C1292">
        <v>77</v>
      </c>
      <c r="D1292" s="84">
        <v>13</v>
      </c>
      <c r="E1292">
        <v>2</v>
      </c>
      <c r="F1292" s="85">
        <v>0.1</v>
      </c>
      <c r="G1292" s="86">
        <f t="shared" si="100"/>
        <v>26</v>
      </c>
      <c r="H1292" s="86">
        <f t="shared" si="101"/>
        <v>2.6</v>
      </c>
      <c r="I1292" s="86">
        <f t="shared" si="102"/>
        <v>23.4</v>
      </c>
      <c r="J1292" s="84">
        <f>VLOOKUP(C1292, Products[], 6)</f>
        <v>13</v>
      </c>
      <c r="K1292" s="86">
        <f t="shared" si="103"/>
        <v>26</v>
      </c>
      <c r="L1292" s="86">
        <f t="shared" si="104"/>
        <v>-2.6000000000000014</v>
      </c>
    </row>
    <row r="1293" spans="2:12" x14ac:dyDescent="0.2">
      <c r="B1293">
        <v>10736</v>
      </c>
      <c r="C1293">
        <v>65</v>
      </c>
      <c r="D1293" s="84">
        <v>21.05</v>
      </c>
      <c r="E1293">
        <v>40</v>
      </c>
      <c r="F1293" s="85">
        <v>0</v>
      </c>
      <c r="G1293" s="86">
        <f t="shared" si="100"/>
        <v>842</v>
      </c>
      <c r="H1293" s="86">
        <f t="shared" si="101"/>
        <v>0</v>
      </c>
      <c r="I1293" s="86">
        <f t="shared" si="102"/>
        <v>842</v>
      </c>
      <c r="J1293" s="84">
        <f>VLOOKUP(C1293, Products[], 6)</f>
        <v>21.05</v>
      </c>
      <c r="K1293" s="86">
        <f t="shared" si="103"/>
        <v>842</v>
      </c>
      <c r="L1293" s="86">
        <f t="shared" si="104"/>
        <v>0</v>
      </c>
    </row>
    <row r="1294" spans="2:12" x14ac:dyDescent="0.2">
      <c r="B1294">
        <v>10736</v>
      </c>
      <c r="C1294">
        <v>75</v>
      </c>
      <c r="D1294" s="84">
        <v>7.75</v>
      </c>
      <c r="E1294">
        <v>20</v>
      </c>
      <c r="F1294" s="85">
        <v>0</v>
      </c>
      <c r="G1294" s="86">
        <f t="shared" si="100"/>
        <v>155</v>
      </c>
      <c r="H1294" s="86">
        <f t="shared" si="101"/>
        <v>0</v>
      </c>
      <c r="I1294" s="86">
        <f t="shared" si="102"/>
        <v>155</v>
      </c>
      <c r="J1294" s="84">
        <f>VLOOKUP(C1294, Products[], 6)</f>
        <v>7.75</v>
      </c>
      <c r="K1294" s="86">
        <f t="shared" si="103"/>
        <v>155</v>
      </c>
      <c r="L1294" s="86">
        <f t="shared" si="104"/>
        <v>0</v>
      </c>
    </row>
    <row r="1295" spans="2:12" x14ac:dyDescent="0.2">
      <c r="B1295">
        <v>10737</v>
      </c>
      <c r="C1295">
        <v>13</v>
      </c>
      <c r="D1295" s="84">
        <v>6</v>
      </c>
      <c r="E1295">
        <v>4</v>
      </c>
      <c r="F1295" s="85">
        <v>0</v>
      </c>
      <c r="G1295" s="86">
        <f t="shared" si="100"/>
        <v>24</v>
      </c>
      <c r="H1295" s="86">
        <f t="shared" si="101"/>
        <v>0</v>
      </c>
      <c r="I1295" s="86">
        <f t="shared" si="102"/>
        <v>24</v>
      </c>
      <c r="J1295" s="84">
        <f>VLOOKUP(C1295, Products[], 6)</f>
        <v>6</v>
      </c>
      <c r="K1295" s="86">
        <f t="shared" si="103"/>
        <v>24</v>
      </c>
      <c r="L1295" s="86">
        <f t="shared" si="104"/>
        <v>0</v>
      </c>
    </row>
    <row r="1296" spans="2:12" x14ac:dyDescent="0.2">
      <c r="B1296">
        <v>10737</v>
      </c>
      <c r="C1296">
        <v>41</v>
      </c>
      <c r="D1296" s="84">
        <v>9.65</v>
      </c>
      <c r="E1296">
        <v>12</v>
      </c>
      <c r="F1296" s="85">
        <v>0</v>
      </c>
      <c r="G1296" s="86">
        <f t="shared" si="100"/>
        <v>115.80000000000001</v>
      </c>
      <c r="H1296" s="86">
        <f t="shared" si="101"/>
        <v>0</v>
      </c>
      <c r="I1296" s="86">
        <f t="shared" si="102"/>
        <v>115.80000000000001</v>
      </c>
      <c r="J1296" s="84">
        <f>VLOOKUP(C1296, Products[], 6)</f>
        <v>9.65</v>
      </c>
      <c r="K1296" s="86">
        <f t="shared" si="103"/>
        <v>115.80000000000001</v>
      </c>
      <c r="L1296" s="86">
        <f t="shared" si="104"/>
        <v>0</v>
      </c>
    </row>
    <row r="1297" spans="2:12" x14ac:dyDescent="0.2">
      <c r="B1297">
        <v>10738</v>
      </c>
      <c r="C1297">
        <v>16</v>
      </c>
      <c r="D1297" s="84">
        <v>17.45</v>
      </c>
      <c r="E1297">
        <v>3</v>
      </c>
      <c r="F1297" s="85">
        <v>0</v>
      </c>
      <c r="G1297" s="86">
        <f t="shared" si="100"/>
        <v>52.349999999999994</v>
      </c>
      <c r="H1297" s="86">
        <f t="shared" si="101"/>
        <v>0</v>
      </c>
      <c r="I1297" s="86">
        <f t="shared" si="102"/>
        <v>52.349999999999994</v>
      </c>
      <c r="J1297" s="84">
        <f>VLOOKUP(C1297, Products[], 6)</f>
        <v>17.45</v>
      </c>
      <c r="K1297" s="86">
        <f t="shared" si="103"/>
        <v>52.349999999999994</v>
      </c>
      <c r="L1297" s="86">
        <f t="shared" si="104"/>
        <v>0</v>
      </c>
    </row>
    <row r="1298" spans="2:12" x14ac:dyDescent="0.2">
      <c r="B1298">
        <v>10739</v>
      </c>
      <c r="C1298">
        <v>36</v>
      </c>
      <c r="D1298" s="84">
        <v>19</v>
      </c>
      <c r="E1298">
        <v>6</v>
      </c>
      <c r="F1298" s="85">
        <v>0</v>
      </c>
      <c r="G1298" s="86">
        <f t="shared" si="100"/>
        <v>114</v>
      </c>
      <c r="H1298" s="86">
        <f t="shared" si="101"/>
        <v>0</v>
      </c>
      <c r="I1298" s="86">
        <f t="shared" si="102"/>
        <v>114</v>
      </c>
      <c r="J1298" s="84">
        <f>VLOOKUP(C1298, Products[], 6)</f>
        <v>19</v>
      </c>
      <c r="K1298" s="86">
        <f t="shared" si="103"/>
        <v>114</v>
      </c>
      <c r="L1298" s="86">
        <f t="shared" si="104"/>
        <v>0</v>
      </c>
    </row>
    <row r="1299" spans="2:12" x14ac:dyDescent="0.2">
      <c r="B1299">
        <v>10739</v>
      </c>
      <c r="C1299">
        <v>52</v>
      </c>
      <c r="D1299" s="84">
        <v>7</v>
      </c>
      <c r="E1299">
        <v>18</v>
      </c>
      <c r="F1299" s="85">
        <v>0</v>
      </c>
      <c r="G1299" s="86">
        <f t="shared" si="100"/>
        <v>126</v>
      </c>
      <c r="H1299" s="86">
        <f t="shared" si="101"/>
        <v>0</v>
      </c>
      <c r="I1299" s="86">
        <f t="shared" si="102"/>
        <v>126</v>
      </c>
      <c r="J1299" s="84">
        <f>VLOOKUP(C1299, Products[], 6)</f>
        <v>7</v>
      </c>
      <c r="K1299" s="86">
        <f t="shared" si="103"/>
        <v>126</v>
      </c>
      <c r="L1299" s="86">
        <f t="shared" si="104"/>
        <v>0</v>
      </c>
    </row>
    <row r="1300" spans="2:12" x14ac:dyDescent="0.2">
      <c r="B1300">
        <v>10740</v>
      </c>
      <c r="C1300">
        <v>28</v>
      </c>
      <c r="D1300" s="84">
        <v>45.6</v>
      </c>
      <c r="E1300">
        <v>5</v>
      </c>
      <c r="F1300" s="85">
        <v>0.2</v>
      </c>
      <c r="G1300" s="86">
        <f t="shared" si="100"/>
        <v>228</v>
      </c>
      <c r="H1300" s="86">
        <f t="shared" si="101"/>
        <v>45.6</v>
      </c>
      <c r="I1300" s="86">
        <f t="shared" si="102"/>
        <v>182.4</v>
      </c>
      <c r="J1300" s="84">
        <f>VLOOKUP(C1300, Products[], 6)</f>
        <v>45.6</v>
      </c>
      <c r="K1300" s="86">
        <f t="shared" si="103"/>
        <v>228</v>
      </c>
      <c r="L1300" s="86">
        <f t="shared" si="104"/>
        <v>-45.599999999999994</v>
      </c>
    </row>
    <row r="1301" spans="2:12" x14ac:dyDescent="0.2">
      <c r="B1301">
        <v>10740</v>
      </c>
      <c r="C1301">
        <v>35</v>
      </c>
      <c r="D1301" s="84">
        <v>18</v>
      </c>
      <c r="E1301">
        <v>35</v>
      </c>
      <c r="F1301" s="85">
        <v>0.2</v>
      </c>
      <c r="G1301" s="86">
        <f t="shared" si="100"/>
        <v>630</v>
      </c>
      <c r="H1301" s="86">
        <f t="shared" si="101"/>
        <v>126</v>
      </c>
      <c r="I1301" s="86">
        <f t="shared" si="102"/>
        <v>504</v>
      </c>
      <c r="J1301" s="84">
        <f>VLOOKUP(C1301, Products[], 6)</f>
        <v>18</v>
      </c>
      <c r="K1301" s="86">
        <f t="shared" si="103"/>
        <v>630</v>
      </c>
      <c r="L1301" s="86">
        <f t="shared" si="104"/>
        <v>-126</v>
      </c>
    </row>
    <row r="1302" spans="2:12" x14ac:dyDescent="0.2">
      <c r="B1302">
        <v>10740</v>
      </c>
      <c r="C1302">
        <v>45</v>
      </c>
      <c r="D1302" s="84">
        <v>9.5</v>
      </c>
      <c r="E1302">
        <v>40</v>
      </c>
      <c r="F1302" s="85">
        <v>0.2</v>
      </c>
      <c r="G1302" s="86">
        <f t="shared" si="100"/>
        <v>380</v>
      </c>
      <c r="H1302" s="86">
        <f t="shared" si="101"/>
        <v>76</v>
      </c>
      <c r="I1302" s="86">
        <f t="shared" si="102"/>
        <v>304</v>
      </c>
      <c r="J1302" s="84">
        <f>VLOOKUP(C1302, Products[], 6)</f>
        <v>9.5</v>
      </c>
      <c r="K1302" s="86">
        <f t="shared" si="103"/>
        <v>380</v>
      </c>
      <c r="L1302" s="86">
        <f t="shared" si="104"/>
        <v>-76</v>
      </c>
    </row>
    <row r="1303" spans="2:12" x14ac:dyDescent="0.2">
      <c r="B1303">
        <v>10740</v>
      </c>
      <c r="C1303">
        <v>56</v>
      </c>
      <c r="D1303" s="84">
        <v>38</v>
      </c>
      <c r="E1303">
        <v>14</v>
      </c>
      <c r="F1303" s="85">
        <v>0.2</v>
      </c>
      <c r="G1303" s="86">
        <f t="shared" si="100"/>
        <v>532</v>
      </c>
      <c r="H1303" s="86">
        <f t="shared" si="101"/>
        <v>106.4</v>
      </c>
      <c r="I1303" s="86">
        <f t="shared" si="102"/>
        <v>425.6</v>
      </c>
      <c r="J1303" s="84">
        <f>VLOOKUP(C1303, Products[], 6)</f>
        <v>38</v>
      </c>
      <c r="K1303" s="86">
        <f t="shared" si="103"/>
        <v>532</v>
      </c>
      <c r="L1303" s="86">
        <f t="shared" si="104"/>
        <v>-106.39999999999998</v>
      </c>
    </row>
    <row r="1304" spans="2:12" x14ac:dyDescent="0.2">
      <c r="B1304">
        <v>10741</v>
      </c>
      <c r="C1304">
        <v>2</v>
      </c>
      <c r="D1304" s="84">
        <v>19</v>
      </c>
      <c r="E1304">
        <v>15</v>
      </c>
      <c r="F1304" s="85">
        <v>0.2</v>
      </c>
      <c r="G1304" s="86">
        <f t="shared" si="100"/>
        <v>285</v>
      </c>
      <c r="H1304" s="86">
        <f t="shared" si="101"/>
        <v>57</v>
      </c>
      <c r="I1304" s="86">
        <f t="shared" si="102"/>
        <v>228</v>
      </c>
      <c r="J1304" s="84">
        <f>VLOOKUP(C1304, Products[], 6)</f>
        <v>19</v>
      </c>
      <c r="K1304" s="86">
        <f t="shared" si="103"/>
        <v>285</v>
      </c>
      <c r="L1304" s="86">
        <f t="shared" si="104"/>
        <v>-57</v>
      </c>
    </row>
    <row r="1305" spans="2:12" x14ac:dyDescent="0.2">
      <c r="B1305">
        <v>10742</v>
      </c>
      <c r="C1305">
        <v>3</v>
      </c>
      <c r="D1305" s="84">
        <v>10</v>
      </c>
      <c r="E1305">
        <v>20</v>
      </c>
      <c r="F1305" s="85">
        <v>0</v>
      </c>
      <c r="G1305" s="86">
        <f t="shared" si="100"/>
        <v>200</v>
      </c>
      <c r="H1305" s="86">
        <f t="shared" si="101"/>
        <v>0</v>
      </c>
      <c r="I1305" s="86">
        <f t="shared" si="102"/>
        <v>200</v>
      </c>
      <c r="J1305" s="84">
        <f>VLOOKUP(C1305, Products[], 6)</f>
        <v>10</v>
      </c>
      <c r="K1305" s="86">
        <f t="shared" si="103"/>
        <v>200</v>
      </c>
      <c r="L1305" s="86">
        <f t="shared" si="104"/>
        <v>0</v>
      </c>
    </row>
    <row r="1306" spans="2:12" x14ac:dyDescent="0.2">
      <c r="B1306">
        <v>10742</v>
      </c>
      <c r="C1306">
        <v>60</v>
      </c>
      <c r="D1306" s="84">
        <v>34</v>
      </c>
      <c r="E1306">
        <v>50</v>
      </c>
      <c r="F1306" s="85">
        <v>0</v>
      </c>
      <c r="G1306" s="86">
        <f t="shared" si="100"/>
        <v>1700</v>
      </c>
      <c r="H1306" s="86">
        <f t="shared" si="101"/>
        <v>0</v>
      </c>
      <c r="I1306" s="86">
        <f t="shared" si="102"/>
        <v>1700</v>
      </c>
      <c r="J1306" s="84">
        <f>VLOOKUP(C1306, Products[], 6)</f>
        <v>34</v>
      </c>
      <c r="K1306" s="86">
        <f t="shared" si="103"/>
        <v>1700</v>
      </c>
      <c r="L1306" s="86">
        <f t="shared" si="104"/>
        <v>0</v>
      </c>
    </row>
    <row r="1307" spans="2:12" x14ac:dyDescent="0.2">
      <c r="B1307">
        <v>10742</v>
      </c>
      <c r="C1307">
        <v>72</v>
      </c>
      <c r="D1307" s="84">
        <v>34.799999999999997</v>
      </c>
      <c r="E1307">
        <v>35</v>
      </c>
      <c r="F1307" s="85">
        <v>0</v>
      </c>
      <c r="G1307" s="86">
        <f t="shared" si="100"/>
        <v>1218</v>
      </c>
      <c r="H1307" s="86">
        <f t="shared" si="101"/>
        <v>0</v>
      </c>
      <c r="I1307" s="86">
        <f t="shared" si="102"/>
        <v>1218</v>
      </c>
      <c r="J1307" s="84">
        <f>VLOOKUP(C1307, Products[], 6)</f>
        <v>34.799999999999997</v>
      </c>
      <c r="K1307" s="86">
        <f t="shared" si="103"/>
        <v>1218</v>
      </c>
      <c r="L1307" s="86">
        <f t="shared" si="104"/>
        <v>0</v>
      </c>
    </row>
    <row r="1308" spans="2:12" x14ac:dyDescent="0.2">
      <c r="B1308">
        <v>10743</v>
      </c>
      <c r="C1308">
        <v>46</v>
      </c>
      <c r="D1308" s="84">
        <v>12</v>
      </c>
      <c r="E1308">
        <v>28</v>
      </c>
      <c r="F1308" s="85">
        <v>0.05</v>
      </c>
      <c r="G1308" s="86">
        <f t="shared" si="100"/>
        <v>336</v>
      </c>
      <c r="H1308" s="86">
        <f t="shared" si="101"/>
        <v>16.8</v>
      </c>
      <c r="I1308" s="86">
        <f t="shared" si="102"/>
        <v>319.2</v>
      </c>
      <c r="J1308" s="84">
        <f>VLOOKUP(C1308, Products[], 6)</f>
        <v>12</v>
      </c>
      <c r="K1308" s="86">
        <f t="shared" si="103"/>
        <v>336</v>
      </c>
      <c r="L1308" s="86">
        <f t="shared" si="104"/>
        <v>-16.800000000000011</v>
      </c>
    </row>
    <row r="1309" spans="2:12" x14ac:dyDescent="0.2">
      <c r="B1309">
        <v>10744</v>
      </c>
      <c r="C1309">
        <v>40</v>
      </c>
      <c r="D1309" s="84">
        <v>18.399999999999999</v>
      </c>
      <c r="E1309">
        <v>50</v>
      </c>
      <c r="F1309" s="85">
        <v>0.2</v>
      </c>
      <c r="G1309" s="86">
        <f t="shared" si="100"/>
        <v>919.99999999999989</v>
      </c>
      <c r="H1309" s="86">
        <f t="shared" si="101"/>
        <v>184</v>
      </c>
      <c r="I1309" s="86">
        <f t="shared" si="102"/>
        <v>735.99999999999989</v>
      </c>
      <c r="J1309" s="84">
        <f>VLOOKUP(C1309, Products[], 6)</f>
        <v>18.399999999999999</v>
      </c>
      <c r="K1309" s="86">
        <f t="shared" si="103"/>
        <v>919.99999999999989</v>
      </c>
      <c r="L1309" s="86">
        <f t="shared" si="104"/>
        <v>-184</v>
      </c>
    </row>
    <row r="1310" spans="2:12" x14ac:dyDescent="0.2">
      <c r="B1310">
        <v>10745</v>
      </c>
      <c r="C1310">
        <v>18</v>
      </c>
      <c r="D1310" s="84">
        <v>62.5</v>
      </c>
      <c r="E1310">
        <v>24</v>
      </c>
      <c r="F1310" s="85">
        <v>0</v>
      </c>
      <c r="G1310" s="86">
        <f t="shared" si="100"/>
        <v>1500</v>
      </c>
      <c r="H1310" s="86">
        <f t="shared" si="101"/>
        <v>0</v>
      </c>
      <c r="I1310" s="86">
        <f t="shared" si="102"/>
        <v>1500</v>
      </c>
      <c r="J1310" s="84">
        <f>VLOOKUP(C1310, Products[], 6)</f>
        <v>62.5</v>
      </c>
      <c r="K1310" s="86">
        <f t="shared" si="103"/>
        <v>1500</v>
      </c>
      <c r="L1310" s="86">
        <f t="shared" si="104"/>
        <v>0</v>
      </c>
    </row>
    <row r="1311" spans="2:12" x14ac:dyDescent="0.2">
      <c r="B1311">
        <v>10745</v>
      </c>
      <c r="C1311">
        <v>44</v>
      </c>
      <c r="D1311" s="84">
        <v>19.45</v>
      </c>
      <c r="E1311">
        <v>16</v>
      </c>
      <c r="F1311" s="85">
        <v>0</v>
      </c>
      <c r="G1311" s="86">
        <f t="shared" si="100"/>
        <v>311.2</v>
      </c>
      <c r="H1311" s="86">
        <f t="shared" si="101"/>
        <v>0</v>
      </c>
      <c r="I1311" s="86">
        <f t="shared" si="102"/>
        <v>311.2</v>
      </c>
      <c r="J1311" s="84">
        <f>VLOOKUP(C1311, Products[], 6)</f>
        <v>19.45</v>
      </c>
      <c r="K1311" s="86">
        <f t="shared" si="103"/>
        <v>311.2</v>
      </c>
      <c r="L1311" s="86">
        <f t="shared" si="104"/>
        <v>0</v>
      </c>
    </row>
    <row r="1312" spans="2:12" x14ac:dyDescent="0.2">
      <c r="B1312">
        <v>10745</v>
      </c>
      <c r="C1312">
        <v>59</v>
      </c>
      <c r="D1312" s="84">
        <v>55</v>
      </c>
      <c r="E1312">
        <v>45</v>
      </c>
      <c r="F1312" s="85">
        <v>0</v>
      </c>
      <c r="G1312" s="86">
        <f t="shared" si="100"/>
        <v>2475</v>
      </c>
      <c r="H1312" s="86">
        <f t="shared" si="101"/>
        <v>0</v>
      </c>
      <c r="I1312" s="86">
        <f t="shared" si="102"/>
        <v>2475</v>
      </c>
      <c r="J1312" s="84">
        <f>VLOOKUP(C1312, Products[], 6)</f>
        <v>55</v>
      </c>
      <c r="K1312" s="86">
        <f t="shared" si="103"/>
        <v>2475</v>
      </c>
      <c r="L1312" s="86">
        <f t="shared" si="104"/>
        <v>0</v>
      </c>
    </row>
    <row r="1313" spans="2:12" x14ac:dyDescent="0.2">
      <c r="B1313">
        <v>10745</v>
      </c>
      <c r="C1313">
        <v>72</v>
      </c>
      <c r="D1313" s="84">
        <v>34.799999999999997</v>
      </c>
      <c r="E1313">
        <v>7</v>
      </c>
      <c r="F1313" s="85">
        <v>0</v>
      </c>
      <c r="G1313" s="86">
        <f t="shared" si="100"/>
        <v>243.59999999999997</v>
      </c>
      <c r="H1313" s="86">
        <f t="shared" si="101"/>
        <v>0</v>
      </c>
      <c r="I1313" s="86">
        <f t="shared" si="102"/>
        <v>243.59999999999997</v>
      </c>
      <c r="J1313" s="84">
        <f>VLOOKUP(C1313, Products[], 6)</f>
        <v>34.799999999999997</v>
      </c>
      <c r="K1313" s="86">
        <f t="shared" si="103"/>
        <v>243.59999999999997</v>
      </c>
      <c r="L1313" s="86">
        <f t="shared" si="104"/>
        <v>0</v>
      </c>
    </row>
    <row r="1314" spans="2:12" x14ac:dyDescent="0.2">
      <c r="B1314">
        <v>10746</v>
      </c>
      <c r="C1314">
        <v>13</v>
      </c>
      <c r="D1314" s="84">
        <v>6</v>
      </c>
      <c r="E1314">
        <v>6</v>
      </c>
      <c r="F1314" s="85">
        <v>0</v>
      </c>
      <c r="G1314" s="86">
        <f t="shared" si="100"/>
        <v>36</v>
      </c>
      <c r="H1314" s="86">
        <f t="shared" si="101"/>
        <v>0</v>
      </c>
      <c r="I1314" s="86">
        <f t="shared" si="102"/>
        <v>36</v>
      </c>
      <c r="J1314" s="84">
        <f>VLOOKUP(C1314, Products[], 6)</f>
        <v>6</v>
      </c>
      <c r="K1314" s="86">
        <f t="shared" si="103"/>
        <v>36</v>
      </c>
      <c r="L1314" s="86">
        <f t="shared" si="104"/>
        <v>0</v>
      </c>
    </row>
    <row r="1315" spans="2:12" x14ac:dyDescent="0.2">
      <c r="B1315">
        <v>10746</v>
      </c>
      <c r="C1315">
        <v>42</v>
      </c>
      <c r="D1315" s="84">
        <v>14</v>
      </c>
      <c r="E1315">
        <v>28</v>
      </c>
      <c r="F1315" s="85">
        <v>0</v>
      </c>
      <c r="G1315" s="86">
        <f t="shared" si="100"/>
        <v>392</v>
      </c>
      <c r="H1315" s="86">
        <f t="shared" si="101"/>
        <v>0</v>
      </c>
      <c r="I1315" s="86">
        <f t="shared" si="102"/>
        <v>392</v>
      </c>
      <c r="J1315" s="84">
        <f>VLOOKUP(C1315, Products[], 6)</f>
        <v>14</v>
      </c>
      <c r="K1315" s="86">
        <f t="shared" si="103"/>
        <v>392</v>
      </c>
      <c r="L1315" s="86">
        <f t="shared" si="104"/>
        <v>0</v>
      </c>
    </row>
    <row r="1316" spans="2:12" x14ac:dyDescent="0.2">
      <c r="B1316">
        <v>10746</v>
      </c>
      <c r="C1316">
        <v>62</v>
      </c>
      <c r="D1316" s="84">
        <v>49.3</v>
      </c>
      <c r="E1316">
        <v>9</v>
      </c>
      <c r="F1316" s="85">
        <v>0</v>
      </c>
      <c r="G1316" s="86">
        <f t="shared" si="100"/>
        <v>443.7</v>
      </c>
      <c r="H1316" s="86">
        <f t="shared" si="101"/>
        <v>0</v>
      </c>
      <c r="I1316" s="86">
        <f t="shared" si="102"/>
        <v>443.7</v>
      </c>
      <c r="J1316" s="84">
        <f>VLOOKUP(C1316, Products[], 6)</f>
        <v>49.3</v>
      </c>
      <c r="K1316" s="86">
        <f t="shared" si="103"/>
        <v>443.7</v>
      </c>
      <c r="L1316" s="86">
        <f t="shared" si="104"/>
        <v>0</v>
      </c>
    </row>
    <row r="1317" spans="2:12" x14ac:dyDescent="0.2">
      <c r="B1317">
        <v>10746</v>
      </c>
      <c r="C1317">
        <v>69</v>
      </c>
      <c r="D1317" s="84">
        <v>36</v>
      </c>
      <c r="E1317">
        <v>40</v>
      </c>
      <c r="F1317" s="85">
        <v>0</v>
      </c>
      <c r="G1317" s="86">
        <f t="shared" si="100"/>
        <v>1440</v>
      </c>
      <c r="H1317" s="86">
        <f t="shared" si="101"/>
        <v>0</v>
      </c>
      <c r="I1317" s="86">
        <f t="shared" si="102"/>
        <v>1440</v>
      </c>
      <c r="J1317" s="84">
        <f>VLOOKUP(C1317, Products[], 6)</f>
        <v>36</v>
      </c>
      <c r="K1317" s="86">
        <f t="shared" si="103"/>
        <v>1440</v>
      </c>
      <c r="L1317" s="86">
        <f t="shared" si="104"/>
        <v>0</v>
      </c>
    </row>
    <row r="1318" spans="2:12" x14ac:dyDescent="0.2">
      <c r="B1318">
        <v>10747</v>
      </c>
      <c r="C1318">
        <v>31</v>
      </c>
      <c r="D1318" s="84">
        <v>12.5</v>
      </c>
      <c r="E1318">
        <v>8</v>
      </c>
      <c r="F1318" s="85">
        <v>0</v>
      </c>
      <c r="G1318" s="86">
        <f t="shared" si="100"/>
        <v>100</v>
      </c>
      <c r="H1318" s="86">
        <f t="shared" si="101"/>
        <v>0</v>
      </c>
      <c r="I1318" s="86">
        <f t="shared" si="102"/>
        <v>100</v>
      </c>
      <c r="J1318" s="84">
        <f>VLOOKUP(C1318, Products[], 6)</f>
        <v>12.5</v>
      </c>
      <c r="K1318" s="86">
        <f t="shared" si="103"/>
        <v>100</v>
      </c>
      <c r="L1318" s="86">
        <f t="shared" si="104"/>
        <v>0</v>
      </c>
    </row>
    <row r="1319" spans="2:12" x14ac:dyDescent="0.2">
      <c r="B1319">
        <v>10747</v>
      </c>
      <c r="C1319">
        <v>41</v>
      </c>
      <c r="D1319" s="84">
        <v>9.65</v>
      </c>
      <c r="E1319">
        <v>35</v>
      </c>
      <c r="F1319" s="85">
        <v>0</v>
      </c>
      <c r="G1319" s="86">
        <f t="shared" si="100"/>
        <v>337.75</v>
      </c>
      <c r="H1319" s="86">
        <f t="shared" si="101"/>
        <v>0</v>
      </c>
      <c r="I1319" s="86">
        <f t="shared" si="102"/>
        <v>337.75</v>
      </c>
      <c r="J1319" s="84">
        <f>VLOOKUP(C1319, Products[], 6)</f>
        <v>9.65</v>
      </c>
      <c r="K1319" s="86">
        <f t="shared" si="103"/>
        <v>337.75</v>
      </c>
      <c r="L1319" s="86">
        <f t="shared" si="104"/>
        <v>0</v>
      </c>
    </row>
    <row r="1320" spans="2:12" x14ac:dyDescent="0.2">
      <c r="B1320">
        <v>10747</v>
      </c>
      <c r="C1320">
        <v>63</v>
      </c>
      <c r="D1320" s="84">
        <v>43.9</v>
      </c>
      <c r="E1320">
        <v>9</v>
      </c>
      <c r="F1320" s="85">
        <v>0</v>
      </c>
      <c r="G1320" s="86">
        <f t="shared" si="100"/>
        <v>395.09999999999997</v>
      </c>
      <c r="H1320" s="86">
        <f t="shared" si="101"/>
        <v>0</v>
      </c>
      <c r="I1320" s="86">
        <f t="shared" si="102"/>
        <v>395.09999999999997</v>
      </c>
      <c r="J1320" s="84">
        <f>VLOOKUP(C1320, Products[], 6)</f>
        <v>43.9</v>
      </c>
      <c r="K1320" s="86">
        <f t="shared" si="103"/>
        <v>395.09999999999997</v>
      </c>
      <c r="L1320" s="86">
        <f t="shared" si="104"/>
        <v>0</v>
      </c>
    </row>
    <row r="1321" spans="2:12" x14ac:dyDescent="0.2">
      <c r="B1321">
        <v>10747</v>
      </c>
      <c r="C1321">
        <v>69</v>
      </c>
      <c r="D1321" s="84">
        <v>36</v>
      </c>
      <c r="E1321">
        <v>30</v>
      </c>
      <c r="F1321" s="85">
        <v>0</v>
      </c>
      <c r="G1321" s="86">
        <f t="shared" si="100"/>
        <v>1080</v>
      </c>
      <c r="H1321" s="86">
        <f t="shared" si="101"/>
        <v>0</v>
      </c>
      <c r="I1321" s="86">
        <f t="shared" si="102"/>
        <v>1080</v>
      </c>
      <c r="J1321" s="84">
        <f>VLOOKUP(C1321, Products[], 6)</f>
        <v>36</v>
      </c>
      <c r="K1321" s="86">
        <f t="shared" si="103"/>
        <v>1080</v>
      </c>
      <c r="L1321" s="86">
        <f t="shared" si="104"/>
        <v>0</v>
      </c>
    </row>
    <row r="1322" spans="2:12" x14ac:dyDescent="0.2">
      <c r="B1322">
        <v>10748</v>
      </c>
      <c r="C1322">
        <v>23</v>
      </c>
      <c r="D1322" s="84">
        <v>9</v>
      </c>
      <c r="E1322">
        <v>44</v>
      </c>
      <c r="F1322" s="85">
        <v>0</v>
      </c>
      <c r="G1322" s="86">
        <f t="shared" si="100"/>
        <v>396</v>
      </c>
      <c r="H1322" s="86">
        <f t="shared" si="101"/>
        <v>0</v>
      </c>
      <c r="I1322" s="86">
        <f t="shared" si="102"/>
        <v>396</v>
      </c>
      <c r="J1322" s="84">
        <f>VLOOKUP(C1322, Products[], 6)</f>
        <v>9</v>
      </c>
      <c r="K1322" s="86">
        <f t="shared" si="103"/>
        <v>396</v>
      </c>
      <c r="L1322" s="86">
        <f t="shared" si="104"/>
        <v>0</v>
      </c>
    </row>
    <row r="1323" spans="2:12" x14ac:dyDescent="0.2">
      <c r="B1323">
        <v>10748</v>
      </c>
      <c r="C1323">
        <v>40</v>
      </c>
      <c r="D1323" s="84">
        <v>18.399999999999999</v>
      </c>
      <c r="E1323">
        <v>40</v>
      </c>
      <c r="F1323" s="85">
        <v>0</v>
      </c>
      <c r="G1323" s="86">
        <f t="shared" si="100"/>
        <v>736</v>
      </c>
      <c r="H1323" s="86">
        <f t="shared" si="101"/>
        <v>0</v>
      </c>
      <c r="I1323" s="86">
        <f t="shared" si="102"/>
        <v>736</v>
      </c>
      <c r="J1323" s="84">
        <f>VLOOKUP(C1323, Products[], 6)</f>
        <v>18.399999999999999</v>
      </c>
      <c r="K1323" s="86">
        <f t="shared" si="103"/>
        <v>736</v>
      </c>
      <c r="L1323" s="86">
        <f t="shared" si="104"/>
        <v>0</v>
      </c>
    </row>
    <row r="1324" spans="2:12" x14ac:dyDescent="0.2">
      <c r="B1324">
        <v>10748</v>
      </c>
      <c r="C1324">
        <v>56</v>
      </c>
      <c r="D1324" s="84">
        <v>38</v>
      </c>
      <c r="E1324">
        <v>28</v>
      </c>
      <c r="F1324" s="85">
        <v>0</v>
      </c>
      <c r="G1324" s="86">
        <f t="shared" si="100"/>
        <v>1064</v>
      </c>
      <c r="H1324" s="86">
        <f t="shared" si="101"/>
        <v>0</v>
      </c>
      <c r="I1324" s="86">
        <f t="shared" si="102"/>
        <v>1064</v>
      </c>
      <c r="J1324" s="84">
        <f>VLOOKUP(C1324, Products[], 6)</f>
        <v>38</v>
      </c>
      <c r="K1324" s="86">
        <f t="shared" si="103"/>
        <v>1064</v>
      </c>
      <c r="L1324" s="86">
        <f t="shared" si="104"/>
        <v>0</v>
      </c>
    </row>
    <row r="1325" spans="2:12" x14ac:dyDescent="0.2">
      <c r="B1325">
        <v>10749</v>
      </c>
      <c r="C1325">
        <v>56</v>
      </c>
      <c r="D1325" s="84">
        <v>38</v>
      </c>
      <c r="E1325">
        <v>15</v>
      </c>
      <c r="F1325" s="85">
        <v>0</v>
      </c>
      <c r="G1325" s="86">
        <f t="shared" si="100"/>
        <v>570</v>
      </c>
      <c r="H1325" s="86">
        <f t="shared" si="101"/>
        <v>0</v>
      </c>
      <c r="I1325" s="86">
        <f t="shared" si="102"/>
        <v>570</v>
      </c>
      <c r="J1325" s="84">
        <f>VLOOKUP(C1325, Products[], 6)</f>
        <v>38</v>
      </c>
      <c r="K1325" s="86">
        <f t="shared" si="103"/>
        <v>570</v>
      </c>
      <c r="L1325" s="86">
        <f t="shared" si="104"/>
        <v>0</v>
      </c>
    </row>
    <row r="1326" spans="2:12" x14ac:dyDescent="0.2">
      <c r="B1326">
        <v>10749</v>
      </c>
      <c r="C1326">
        <v>59</v>
      </c>
      <c r="D1326" s="84">
        <v>55</v>
      </c>
      <c r="E1326">
        <v>6</v>
      </c>
      <c r="F1326" s="85">
        <v>0</v>
      </c>
      <c r="G1326" s="86">
        <f t="shared" si="100"/>
        <v>330</v>
      </c>
      <c r="H1326" s="86">
        <f t="shared" si="101"/>
        <v>0</v>
      </c>
      <c r="I1326" s="86">
        <f t="shared" si="102"/>
        <v>330</v>
      </c>
      <c r="J1326" s="84">
        <f>VLOOKUP(C1326, Products[], 6)</f>
        <v>55</v>
      </c>
      <c r="K1326" s="86">
        <f t="shared" si="103"/>
        <v>330</v>
      </c>
      <c r="L1326" s="86">
        <f t="shared" si="104"/>
        <v>0</v>
      </c>
    </row>
    <row r="1327" spans="2:12" x14ac:dyDescent="0.2">
      <c r="B1327">
        <v>10749</v>
      </c>
      <c r="C1327">
        <v>76</v>
      </c>
      <c r="D1327" s="84">
        <v>18</v>
      </c>
      <c r="E1327">
        <v>10</v>
      </c>
      <c r="F1327" s="85">
        <v>0</v>
      </c>
      <c r="G1327" s="86">
        <f t="shared" si="100"/>
        <v>180</v>
      </c>
      <c r="H1327" s="86">
        <f t="shared" si="101"/>
        <v>0</v>
      </c>
      <c r="I1327" s="86">
        <f t="shared" si="102"/>
        <v>180</v>
      </c>
      <c r="J1327" s="84">
        <f>VLOOKUP(C1327, Products[], 6)</f>
        <v>18</v>
      </c>
      <c r="K1327" s="86">
        <f t="shared" si="103"/>
        <v>180</v>
      </c>
      <c r="L1327" s="86">
        <f t="shared" si="104"/>
        <v>0</v>
      </c>
    </row>
    <row r="1328" spans="2:12" x14ac:dyDescent="0.2">
      <c r="B1328">
        <v>10750</v>
      </c>
      <c r="C1328">
        <v>14</v>
      </c>
      <c r="D1328" s="84">
        <v>23.25</v>
      </c>
      <c r="E1328">
        <v>5</v>
      </c>
      <c r="F1328" s="85">
        <v>0.15</v>
      </c>
      <c r="G1328" s="86">
        <f t="shared" si="100"/>
        <v>116.25</v>
      </c>
      <c r="H1328" s="86">
        <f t="shared" si="101"/>
        <v>17.4375</v>
      </c>
      <c r="I1328" s="86">
        <f t="shared" si="102"/>
        <v>98.8125</v>
      </c>
      <c r="J1328" s="84">
        <f>VLOOKUP(C1328, Products[], 6)</f>
        <v>23.25</v>
      </c>
      <c r="K1328" s="86">
        <f t="shared" si="103"/>
        <v>116.25</v>
      </c>
      <c r="L1328" s="86">
        <f t="shared" si="104"/>
        <v>-17.4375</v>
      </c>
    </row>
    <row r="1329" spans="2:12" x14ac:dyDescent="0.2">
      <c r="B1329">
        <v>10750</v>
      </c>
      <c r="C1329">
        <v>45</v>
      </c>
      <c r="D1329" s="84">
        <v>9.5</v>
      </c>
      <c r="E1329">
        <v>40</v>
      </c>
      <c r="F1329" s="85">
        <v>0.15</v>
      </c>
      <c r="G1329" s="86">
        <f t="shared" si="100"/>
        <v>380</v>
      </c>
      <c r="H1329" s="86">
        <f t="shared" si="101"/>
        <v>57</v>
      </c>
      <c r="I1329" s="86">
        <f t="shared" si="102"/>
        <v>323</v>
      </c>
      <c r="J1329" s="84">
        <f>VLOOKUP(C1329, Products[], 6)</f>
        <v>9.5</v>
      </c>
      <c r="K1329" s="86">
        <f t="shared" si="103"/>
        <v>380</v>
      </c>
      <c r="L1329" s="86">
        <f t="shared" si="104"/>
        <v>-57</v>
      </c>
    </row>
    <row r="1330" spans="2:12" x14ac:dyDescent="0.2">
      <c r="B1330">
        <v>10750</v>
      </c>
      <c r="C1330">
        <v>59</v>
      </c>
      <c r="D1330" s="84">
        <v>55</v>
      </c>
      <c r="E1330">
        <v>25</v>
      </c>
      <c r="F1330" s="85">
        <v>0.15</v>
      </c>
      <c r="G1330" s="86">
        <f t="shared" si="100"/>
        <v>1375</v>
      </c>
      <c r="H1330" s="86">
        <f t="shared" si="101"/>
        <v>206.25</v>
      </c>
      <c r="I1330" s="86">
        <f t="shared" si="102"/>
        <v>1168.75</v>
      </c>
      <c r="J1330" s="84">
        <f>VLOOKUP(C1330, Products[], 6)</f>
        <v>55</v>
      </c>
      <c r="K1330" s="86">
        <f t="shared" si="103"/>
        <v>1375</v>
      </c>
      <c r="L1330" s="86">
        <f t="shared" si="104"/>
        <v>-206.25</v>
      </c>
    </row>
    <row r="1331" spans="2:12" x14ac:dyDescent="0.2">
      <c r="B1331">
        <v>10751</v>
      </c>
      <c r="C1331">
        <v>26</v>
      </c>
      <c r="D1331" s="84">
        <v>31.23</v>
      </c>
      <c r="E1331">
        <v>12</v>
      </c>
      <c r="F1331" s="85">
        <v>0.1</v>
      </c>
      <c r="G1331" s="86">
        <f t="shared" si="100"/>
        <v>374.76</v>
      </c>
      <c r="H1331" s="86">
        <f t="shared" si="101"/>
        <v>37.475999999999999</v>
      </c>
      <c r="I1331" s="86">
        <f t="shared" si="102"/>
        <v>337.28399999999999</v>
      </c>
      <c r="J1331" s="84">
        <f>VLOOKUP(C1331, Products[], 6)</f>
        <v>31.23</v>
      </c>
      <c r="K1331" s="86">
        <f t="shared" si="103"/>
        <v>374.76</v>
      </c>
      <c r="L1331" s="86">
        <f t="shared" si="104"/>
        <v>-37.475999999999999</v>
      </c>
    </row>
    <row r="1332" spans="2:12" x14ac:dyDescent="0.2">
      <c r="B1332">
        <v>10751</v>
      </c>
      <c r="C1332">
        <v>30</v>
      </c>
      <c r="D1332" s="84">
        <v>25.89</v>
      </c>
      <c r="E1332">
        <v>30</v>
      </c>
      <c r="F1332" s="85">
        <v>0</v>
      </c>
      <c r="G1332" s="86">
        <f t="shared" si="100"/>
        <v>776.7</v>
      </c>
      <c r="H1332" s="86">
        <f t="shared" si="101"/>
        <v>0</v>
      </c>
      <c r="I1332" s="86">
        <f t="shared" si="102"/>
        <v>776.7</v>
      </c>
      <c r="J1332" s="84">
        <f>VLOOKUP(C1332, Products[], 6)</f>
        <v>25.89</v>
      </c>
      <c r="K1332" s="86">
        <f t="shared" si="103"/>
        <v>776.7</v>
      </c>
      <c r="L1332" s="86">
        <f t="shared" si="104"/>
        <v>0</v>
      </c>
    </row>
    <row r="1333" spans="2:12" x14ac:dyDescent="0.2">
      <c r="B1333">
        <v>10751</v>
      </c>
      <c r="C1333">
        <v>50</v>
      </c>
      <c r="D1333" s="84">
        <v>16.25</v>
      </c>
      <c r="E1333">
        <v>20</v>
      </c>
      <c r="F1333" s="85">
        <v>0.1</v>
      </c>
      <c r="G1333" s="86">
        <f t="shared" si="100"/>
        <v>325</v>
      </c>
      <c r="H1333" s="86">
        <f t="shared" si="101"/>
        <v>32.5</v>
      </c>
      <c r="I1333" s="86">
        <f t="shared" si="102"/>
        <v>292.5</v>
      </c>
      <c r="J1333" s="84">
        <f>VLOOKUP(C1333, Products[], 6)</f>
        <v>16.25</v>
      </c>
      <c r="K1333" s="86">
        <f t="shared" si="103"/>
        <v>325</v>
      </c>
      <c r="L1333" s="86">
        <f t="shared" si="104"/>
        <v>-32.5</v>
      </c>
    </row>
    <row r="1334" spans="2:12" x14ac:dyDescent="0.2">
      <c r="B1334">
        <v>10751</v>
      </c>
      <c r="C1334">
        <v>73</v>
      </c>
      <c r="D1334" s="84">
        <v>15</v>
      </c>
      <c r="E1334">
        <v>15</v>
      </c>
      <c r="F1334" s="85">
        <v>0</v>
      </c>
      <c r="G1334" s="86">
        <f t="shared" si="100"/>
        <v>225</v>
      </c>
      <c r="H1334" s="86">
        <f t="shared" si="101"/>
        <v>0</v>
      </c>
      <c r="I1334" s="86">
        <f t="shared" si="102"/>
        <v>225</v>
      </c>
      <c r="J1334" s="84">
        <f>VLOOKUP(C1334, Products[], 6)</f>
        <v>15</v>
      </c>
      <c r="K1334" s="86">
        <f t="shared" si="103"/>
        <v>225</v>
      </c>
      <c r="L1334" s="86">
        <f t="shared" si="104"/>
        <v>0</v>
      </c>
    </row>
    <row r="1335" spans="2:12" x14ac:dyDescent="0.2">
      <c r="B1335">
        <v>10752</v>
      </c>
      <c r="C1335">
        <v>1</v>
      </c>
      <c r="D1335" s="84">
        <v>18</v>
      </c>
      <c r="E1335">
        <v>8</v>
      </c>
      <c r="F1335" s="85">
        <v>0</v>
      </c>
      <c r="G1335" s="86">
        <f t="shared" si="100"/>
        <v>144</v>
      </c>
      <c r="H1335" s="86">
        <f t="shared" si="101"/>
        <v>0</v>
      </c>
      <c r="I1335" s="86">
        <f t="shared" si="102"/>
        <v>144</v>
      </c>
      <c r="J1335" s="84">
        <f>VLOOKUP(C1335, Products[], 6)</f>
        <v>18</v>
      </c>
      <c r="K1335" s="86">
        <f t="shared" si="103"/>
        <v>144</v>
      </c>
      <c r="L1335" s="86">
        <f t="shared" si="104"/>
        <v>0</v>
      </c>
    </row>
    <row r="1336" spans="2:12" x14ac:dyDescent="0.2">
      <c r="B1336">
        <v>10752</v>
      </c>
      <c r="C1336">
        <v>69</v>
      </c>
      <c r="D1336" s="84">
        <v>36</v>
      </c>
      <c r="E1336">
        <v>3</v>
      </c>
      <c r="F1336" s="85">
        <v>0</v>
      </c>
      <c r="G1336" s="86">
        <f t="shared" si="100"/>
        <v>108</v>
      </c>
      <c r="H1336" s="86">
        <f t="shared" si="101"/>
        <v>0</v>
      </c>
      <c r="I1336" s="86">
        <f t="shared" si="102"/>
        <v>108</v>
      </c>
      <c r="J1336" s="84">
        <f>VLOOKUP(C1336, Products[], 6)</f>
        <v>36</v>
      </c>
      <c r="K1336" s="86">
        <f t="shared" si="103"/>
        <v>108</v>
      </c>
      <c r="L1336" s="86">
        <f t="shared" si="104"/>
        <v>0</v>
      </c>
    </row>
    <row r="1337" spans="2:12" x14ac:dyDescent="0.2">
      <c r="B1337">
        <v>10753</v>
      </c>
      <c r="C1337">
        <v>45</v>
      </c>
      <c r="D1337" s="84">
        <v>9.5</v>
      </c>
      <c r="E1337">
        <v>4</v>
      </c>
      <c r="F1337" s="85">
        <v>0</v>
      </c>
      <c r="G1337" s="86">
        <f t="shared" si="100"/>
        <v>38</v>
      </c>
      <c r="H1337" s="86">
        <f t="shared" si="101"/>
        <v>0</v>
      </c>
      <c r="I1337" s="86">
        <f t="shared" si="102"/>
        <v>38</v>
      </c>
      <c r="J1337" s="84">
        <f>VLOOKUP(C1337, Products[], 6)</f>
        <v>9.5</v>
      </c>
      <c r="K1337" s="86">
        <f t="shared" si="103"/>
        <v>38</v>
      </c>
      <c r="L1337" s="86">
        <f t="shared" si="104"/>
        <v>0</v>
      </c>
    </row>
    <row r="1338" spans="2:12" x14ac:dyDescent="0.2">
      <c r="B1338">
        <v>10753</v>
      </c>
      <c r="C1338">
        <v>74</v>
      </c>
      <c r="D1338" s="84">
        <v>10</v>
      </c>
      <c r="E1338">
        <v>5</v>
      </c>
      <c r="F1338" s="85">
        <v>0</v>
      </c>
      <c r="G1338" s="86">
        <f t="shared" si="100"/>
        <v>50</v>
      </c>
      <c r="H1338" s="86">
        <f t="shared" si="101"/>
        <v>0</v>
      </c>
      <c r="I1338" s="86">
        <f t="shared" si="102"/>
        <v>50</v>
      </c>
      <c r="J1338" s="84">
        <f>VLOOKUP(C1338, Products[], 6)</f>
        <v>10</v>
      </c>
      <c r="K1338" s="86">
        <f t="shared" si="103"/>
        <v>50</v>
      </c>
      <c r="L1338" s="86">
        <f t="shared" si="104"/>
        <v>0</v>
      </c>
    </row>
    <row r="1339" spans="2:12" x14ac:dyDescent="0.2">
      <c r="B1339">
        <v>10754</v>
      </c>
      <c r="C1339">
        <v>40</v>
      </c>
      <c r="D1339" s="84">
        <v>18.399999999999999</v>
      </c>
      <c r="E1339">
        <v>3</v>
      </c>
      <c r="F1339" s="85">
        <v>0</v>
      </c>
      <c r="G1339" s="86">
        <f t="shared" si="100"/>
        <v>55.199999999999996</v>
      </c>
      <c r="H1339" s="86">
        <f t="shared" si="101"/>
        <v>0</v>
      </c>
      <c r="I1339" s="86">
        <f t="shared" si="102"/>
        <v>55.199999999999996</v>
      </c>
      <c r="J1339" s="84">
        <f>VLOOKUP(C1339, Products[], 6)</f>
        <v>18.399999999999999</v>
      </c>
      <c r="K1339" s="86">
        <f t="shared" si="103"/>
        <v>55.199999999999996</v>
      </c>
      <c r="L1339" s="86">
        <f t="shared" si="104"/>
        <v>0</v>
      </c>
    </row>
    <row r="1340" spans="2:12" x14ac:dyDescent="0.2">
      <c r="B1340">
        <v>10755</v>
      </c>
      <c r="C1340">
        <v>47</v>
      </c>
      <c r="D1340" s="84">
        <v>9.5</v>
      </c>
      <c r="E1340">
        <v>30</v>
      </c>
      <c r="F1340" s="85">
        <v>0.25</v>
      </c>
      <c r="G1340" s="86">
        <f t="shared" si="100"/>
        <v>285</v>
      </c>
      <c r="H1340" s="86">
        <f t="shared" si="101"/>
        <v>71.25</v>
      </c>
      <c r="I1340" s="86">
        <f t="shared" si="102"/>
        <v>213.75</v>
      </c>
      <c r="J1340" s="84">
        <f>VLOOKUP(C1340, Products[], 6)</f>
        <v>9.5</v>
      </c>
      <c r="K1340" s="86">
        <f t="shared" si="103"/>
        <v>285</v>
      </c>
      <c r="L1340" s="86">
        <f t="shared" si="104"/>
        <v>-71.25</v>
      </c>
    </row>
    <row r="1341" spans="2:12" x14ac:dyDescent="0.2">
      <c r="B1341">
        <v>10755</v>
      </c>
      <c r="C1341">
        <v>56</v>
      </c>
      <c r="D1341" s="84">
        <v>38</v>
      </c>
      <c r="E1341">
        <v>30</v>
      </c>
      <c r="F1341" s="85">
        <v>0.25</v>
      </c>
      <c r="G1341" s="86">
        <f t="shared" si="100"/>
        <v>1140</v>
      </c>
      <c r="H1341" s="86">
        <f t="shared" si="101"/>
        <v>285</v>
      </c>
      <c r="I1341" s="86">
        <f t="shared" si="102"/>
        <v>855</v>
      </c>
      <c r="J1341" s="84">
        <f>VLOOKUP(C1341, Products[], 6)</f>
        <v>38</v>
      </c>
      <c r="K1341" s="86">
        <f t="shared" si="103"/>
        <v>1140</v>
      </c>
      <c r="L1341" s="86">
        <f t="shared" si="104"/>
        <v>-285</v>
      </c>
    </row>
    <row r="1342" spans="2:12" x14ac:dyDescent="0.2">
      <c r="B1342">
        <v>10755</v>
      </c>
      <c r="C1342">
        <v>57</v>
      </c>
      <c r="D1342" s="84">
        <v>19.5</v>
      </c>
      <c r="E1342">
        <v>14</v>
      </c>
      <c r="F1342" s="85">
        <v>0.25</v>
      </c>
      <c r="G1342" s="86">
        <f t="shared" si="100"/>
        <v>273</v>
      </c>
      <c r="H1342" s="86">
        <f t="shared" si="101"/>
        <v>68.25</v>
      </c>
      <c r="I1342" s="86">
        <f t="shared" si="102"/>
        <v>204.75</v>
      </c>
      <c r="J1342" s="84">
        <f>VLOOKUP(C1342, Products[], 6)</f>
        <v>19.5</v>
      </c>
      <c r="K1342" s="86">
        <f t="shared" si="103"/>
        <v>273</v>
      </c>
      <c r="L1342" s="86">
        <f t="shared" si="104"/>
        <v>-68.25</v>
      </c>
    </row>
    <row r="1343" spans="2:12" x14ac:dyDescent="0.2">
      <c r="B1343">
        <v>10755</v>
      </c>
      <c r="C1343">
        <v>69</v>
      </c>
      <c r="D1343" s="84">
        <v>36</v>
      </c>
      <c r="E1343">
        <v>25</v>
      </c>
      <c r="F1343" s="85">
        <v>0.25</v>
      </c>
      <c r="G1343" s="86">
        <f t="shared" si="100"/>
        <v>900</v>
      </c>
      <c r="H1343" s="86">
        <f t="shared" si="101"/>
        <v>225</v>
      </c>
      <c r="I1343" s="86">
        <f t="shared" si="102"/>
        <v>675</v>
      </c>
      <c r="J1343" s="84">
        <f>VLOOKUP(C1343, Products[], 6)</f>
        <v>36</v>
      </c>
      <c r="K1343" s="86">
        <f t="shared" si="103"/>
        <v>900</v>
      </c>
      <c r="L1343" s="86">
        <f t="shared" si="104"/>
        <v>-225</v>
      </c>
    </row>
    <row r="1344" spans="2:12" x14ac:dyDescent="0.2">
      <c r="B1344">
        <v>10756</v>
      </c>
      <c r="C1344">
        <v>18</v>
      </c>
      <c r="D1344" s="84">
        <v>62.5</v>
      </c>
      <c r="E1344">
        <v>21</v>
      </c>
      <c r="F1344" s="85">
        <v>0.2</v>
      </c>
      <c r="G1344" s="86">
        <f t="shared" si="100"/>
        <v>1312.5</v>
      </c>
      <c r="H1344" s="86">
        <f t="shared" si="101"/>
        <v>262.5</v>
      </c>
      <c r="I1344" s="86">
        <f t="shared" si="102"/>
        <v>1050</v>
      </c>
      <c r="J1344" s="84">
        <f>VLOOKUP(C1344, Products[], 6)</f>
        <v>62.5</v>
      </c>
      <c r="K1344" s="86">
        <f t="shared" si="103"/>
        <v>1312.5</v>
      </c>
      <c r="L1344" s="86">
        <f t="shared" si="104"/>
        <v>-262.5</v>
      </c>
    </row>
    <row r="1345" spans="2:12" x14ac:dyDescent="0.2">
      <c r="B1345">
        <v>10756</v>
      </c>
      <c r="C1345">
        <v>36</v>
      </c>
      <c r="D1345" s="84">
        <v>19</v>
      </c>
      <c r="E1345">
        <v>20</v>
      </c>
      <c r="F1345" s="85">
        <v>0.2</v>
      </c>
      <c r="G1345" s="86">
        <f t="shared" si="100"/>
        <v>380</v>
      </c>
      <c r="H1345" s="86">
        <f t="shared" si="101"/>
        <v>76</v>
      </c>
      <c r="I1345" s="86">
        <f t="shared" si="102"/>
        <v>304</v>
      </c>
      <c r="J1345" s="84">
        <f>VLOOKUP(C1345, Products[], 6)</f>
        <v>19</v>
      </c>
      <c r="K1345" s="86">
        <f t="shared" si="103"/>
        <v>380</v>
      </c>
      <c r="L1345" s="86">
        <f t="shared" si="104"/>
        <v>-76</v>
      </c>
    </row>
    <row r="1346" spans="2:12" x14ac:dyDescent="0.2">
      <c r="B1346">
        <v>10756</v>
      </c>
      <c r="C1346">
        <v>68</v>
      </c>
      <c r="D1346" s="84">
        <v>12.5</v>
      </c>
      <c r="E1346">
        <v>6</v>
      </c>
      <c r="F1346" s="85">
        <v>0.2</v>
      </c>
      <c r="G1346" s="86">
        <f t="shared" si="100"/>
        <v>75</v>
      </c>
      <c r="H1346" s="86">
        <f t="shared" si="101"/>
        <v>15</v>
      </c>
      <c r="I1346" s="86">
        <f t="shared" si="102"/>
        <v>60</v>
      </c>
      <c r="J1346" s="84">
        <f>VLOOKUP(C1346, Products[], 6)</f>
        <v>12.5</v>
      </c>
      <c r="K1346" s="86">
        <f t="shared" si="103"/>
        <v>75</v>
      </c>
      <c r="L1346" s="86">
        <f t="shared" si="104"/>
        <v>-15</v>
      </c>
    </row>
    <row r="1347" spans="2:12" x14ac:dyDescent="0.2">
      <c r="B1347">
        <v>10756</v>
      </c>
      <c r="C1347">
        <v>69</v>
      </c>
      <c r="D1347" s="84">
        <v>36</v>
      </c>
      <c r="E1347">
        <v>20</v>
      </c>
      <c r="F1347" s="85">
        <v>0.2</v>
      </c>
      <c r="G1347" s="86">
        <f t="shared" si="100"/>
        <v>720</v>
      </c>
      <c r="H1347" s="86">
        <f t="shared" si="101"/>
        <v>144</v>
      </c>
      <c r="I1347" s="86">
        <f t="shared" si="102"/>
        <v>576</v>
      </c>
      <c r="J1347" s="84">
        <f>VLOOKUP(C1347, Products[], 6)</f>
        <v>36</v>
      </c>
      <c r="K1347" s="86">
        <f t="shared" si="103"/>
        <v>720</v>
      </c>
      <c r="L1347" s="86">
        <f t="shared" si="104"/>
        <v>-144</v>
      </c>
    </row>
    <row r="1348" spans="2:12" x14ac:dyDescent="0.2">
      <c r="B1348">
        <v>10757</v>
      </c>
      <c r="C1348">
        <v>34</v>
      </c>
      <c r="D1348" s="84">
        <v>14</v>
      </c>
      <c r="E1348">
        <v>30</v>
      </c>
      <c r="F1348" s="85">
        <v>0</v>
      </c>
      <c r="G1348" s="86">
        <f t="shared" si="100"/>
        <v>420</v>
      </c>
      <c r="H1348" s="86">
        <f t="shared" si="101"/>
        <v>0</v>
      </c>
      <c r="I1348" s="86">
        <f t="shared" si="102"/>
        <v>420</v>
      </c>
      <c r="J1348" s="84">
        <f>VLOOKUP(C1348, Products[], 6)</f>
        <v>14</v>
      </c>
      <c r="K1348" s="86">
        <f t="shared" si="103"/>
        <v>420</v>
      </c>
      <c r="L1348" s="86">
        <f t="shared" si="104"/>
        <v>0</v>
      </c>
    </row>
    <row r="1349" spans="2:12" x14ac:dyDescent="0.2">
      <c r="B1349">
        <v>10757</v>
      </c>
      <c r="C1349">
        <v>59</v>
      </c>
      <c r="D1349" s="84">
        <v>55</v>
      </c>
      <c r="E1349">
        <v>7</v>
      </c>
      <c r="F1349" s="85">
        <v>0</v>
      </c>
      <c r="G1349" s="86">
        <f t="shared" si="100"/>
        <v>385</v>
      </c>
      <c r="H1349" s="86">
        <f t="shared" si="101"/>
        <v>0</v>
      </c>
      <c r="I1349" s="86">
        <f t="shared" si="102"/>
        <v>385</v>
      </c>
      <c r="J1349" s="84">
        <f>VLOOKUP(C1349, Products[], 6)</f>
        <v>55</v>
      </c>
      <c r="K1349" s="86">
        <f t="shared" si="103"/>
        <v>385</v>
      </c>
      <c r="L1349" s="86">
        <f t="shared" si="104"/>
        <v>0</v>
      </c>
    </row>
    <row r="1350" spans="2:12" x14ac:dyDescent="0.2">
      <c r="B1350">
        <v>10757</v>
      </c>
      <c r="C1350">
        <v>62</v>
      </c>
      <c r="D1350" s="84">
        <v>49.3</v>
      </c>
      <c r="E1350">
        <v>30</v>
      </c>
      <c r="F1350" s="85">
        <v>0</v>
      </c>
      <c r="G1350" s="86">
        <f t="shared" si="100"/>
        <v>1479</v>
      </c>
      <c r="H1350" s="86">
        <f t="shared" si="101"/>
        <v>0</v>
      </c>
      <c r="I1350" s="86">
        <f t="shared" si="102"/>
        <v>1479</v>
      </c>
      <c r="J1350" s="84">
        <f>VLOOKUP(C1350, Products[], 6)</f>
        <v>49.3</v>
      </c>
      <c r="K1350" s="86">
        <f t="shared" si="103"/>
        <v>1479</v>
      </c>
      <c r="L1350" s="86">
        <f t="shared" si="104"/>
        <v>0</v>
      </c>
    </row>
    <row r="1351" spans="2:12" x14ac:dyDescent="0.2">
      <c r="B1351">
        <v>10757</v>
      </c>
      <c r="C1351">
        <v>64</v>
      </c>
      <c r="D1351" s="84">
        <v>33.25</v>
      </c>
      <c r="E1351">
        <v>24</v>
      </c>
      <c r="F1351" s="85">
        <v>0</v>
      </c>
      <c r="G1351" s="86">
        <f t="shared" ref="G1351:G1414" si="105">D1351*E1351</f>
        <v>798</v>
      </c>
      <c r="H1351" s="86">
        <f t="shared" ref="H1351:H1414" si="106">G1351*F1351</f>
        <v>0</v>
      </c>
      <c r="I1351" s="86">
        <f t="shared" ref="I1351:I1414" si="107">G1351-H1351</f>
        <v>798</v>
      </c>
      <c r="J1351" s="84">
        <f>VLOOKUP(C1351, Products[], 6)</f>
        <v>33.25</v>
      </c>
      <c r="K1351" s="86">
        <f t="shared" ref="K1351:K1414" si="108">J1351*E1351</f>
        <v>798</v>
      </c>
      <c r="L1351" s="86">
        <f t="shared" ref="L1351:L1414" si="109">I1351-K1351</f>
        <v>0</v>
      </c>
    </row>
    <row r="1352" spans="2:12" x14ac:dyDescent="0.2">
      <c r="B1352">
        <v>10758</v>
      </c>
      <c r="C1352">
        <v>26</v>
      </c>
      <c r="D1352" s="84">
        <v>31.23</v>
      </c>
      <c r="E1352">
        <v>20</v>
      </c>
      <c r="F1352" s="85">
        <v>0</v>
      </c>
      <c r="G1352" s="86">
        <f t="shared" si="105"/>
        <v>624.6</v>
      </c>
      <c r="H1352" s="86">
        <f t="shared" si="106"/>
        <v>0</v>
      </c>
      <c r="I1352" s="86">
        <f t="shared" si="107"/>
        <v>624.6</v>
      </c>
      <c r="J1352" s="84">
        <f>VLOOKUP(C1352, Products[], 6)</f>
        <v>31.23</v>
      </c>
      <c r="K1352" s="86">
        <f t="shared" si="108"/>
        <v>624.6</v>
      </c>
      <c r="L1352" s="86">
        <f t="shared" si="109"/>
        <v>0</v>
      </c>
    </row>
    <row r="1353" spans="2:12" x14ac:dyDescent="0.2">
      <c r="B1353">
        <v>10758</v>
      </c>
      <c r="C1353">
        <v>52</v>
      </c>
      <c r="D1353" s="84">
        <v>7</v>
      </c>
      <c r="E1353">
        <v>60</v>
      </c>
      <c r="F1353" s="85">
        <v>0</v>
      </c>
      <c r="G1353" s="86">
        <f t="shared" si="105"/>
        <v>420</v>
      </c>
      <c r="H1353" s="86">
        <f t="shared" si="106"/>
        <v>0</v>
      </c>
      <c r="I1353" s="86">
        <f t="shared" si="107"/>
        <v>420</v>
      </c>
      <c r="J1353" s="84">
        <f>VLOOKUP(C1353, Products[], 6)</f>
        <v>7</v>
      </c>
      <c r="K1353" s="86">
        <f t="shared" si="108"/>
        <v>420</v>
      </c>
      <c r="L1353" s="86">
        <f t="shared" si="109"/>
        <v>0</v>
      </c>
    </row>
    <row r="1354" spans="2:12" x14ac:dyDescent="0.2">
      <c r="B1354">
        <v>10758</v>
      </c>
      <c r="C1354">
        <v>70</v>
      </c>
      <c r="D1354" s="84">
        <v>15</v>
      </c>
      <c r="E1354">
        <v>40</v>
      </c>
      <c r="F1354" s="85">
        <v>0</v>
      </c>
      <c r="G1354" s="86">
        <f t="shared" si="105"/>
        <v>600</v>
      </c>
      <c r="H1354" s="86">
        <f t="shared" si="106"/>
        <v>0</v>
      </c>
      <c r="I1354" s="86">
        <f t="shared" si="107"/>
        <v>600</v>
      </c>
      <c r="J1354" s="84">
        <f>VLOOKUP(C1354, Products[], 6)</f>
        <v>15</v>
      </c>
      <c r="K1354" s="86">
        <f t="shared" si="108"/>
        <v>600</v>
      </c>
      <c r="L1354" s="86">
        <f t="shared" si="109"/>
        <v>0</v>
      </c>
    </row>
    <row r="1355" spans="2:12" x14ac:dyDescent="0.2">
      <c r="B1355">
        <v>10759</v>
      </c>
      <c r="C1355">
        <v>32</v>
      </c>
      <c r="D1355" s="84">
        <v>32</v>
      </c>
      <c r="E1355">
        <v>10</v>
      </c>
      <c r="F1355" s="85">
        <v>0</v>
      </c>
      <c r="G1355" s="86">
        <f t="shared" si="105"/>
        <v>320</v>
      </c>
      <c r="H1355" s="86">
        <f t="shared" si="106"/>
        <v>0</v>
      </c>
      <c r="I1355" s="86">
        <f t="shared" si="107"/>
        <v>320</v>
      </c>
      <c r="J1355" s="84">
        <f>VLOOKUP(C1355, Products[], 6)</f>
        <v>32</v>
      </c>
      <c r="K1355" s="86">
        <f t="shared" si="108"/>
        <v>320</v>
      </c>
      <c r="L1355" s="86">
        <f t="shared" si="109"/>
        <v>0</v>
      </c>
    </row>
    <row r="1356" spans="2:12" x14ac:dyDescent="0.2">
      <c r="B1356">
        <v>10760</v>
      </c>
      <c r="C1356">
        <v>25</v>
      </c>
      <c r="D1356" s="84">
        <v>14</v>
      </c>
      <c r="E1356">
        <v>12</v>
      </c>
      <c r="F1356" s="85">
        <v>0.25</v>
      </c>
      <c r="G1356" s="86">
        <f t="shared" si="105"/>
        <v>168</v>
      </c>
      <c r="H1356" s="86">
        <f t="shared" si="106"/>
        <v>42</v>
      </c>
      <c r="I1356" s="86">
        <f t="shared" si="107"/>
        <v>126</v>
      </c>
      <c r="J1356" s="84">
        <f>VLOOKUP(C1356, Products[], 6)</f>
        <v>14</v>
      </c>
      <c r="K1356" s="86">
        <f t="shared" si="108"/>
        <v>168</v>
      </c>
      <c r="L1356" s="86">
        <f t="shared" si="109"/>
        <v>-42</v>
      </c>
    </row>
    <row r="1357" spans="2:12" x14ac:dyDescent="0.2">
      <c r="B1357">
        <v>10760</v>
      </c>
      <c r="C1357">
        <v>27</v>
      </c>
      <c r="D1357" s="84">
        <v>43.9</v>
      </c>
      <c r="E1357">
        <v>40</v>
      </c>
      <c r="F1357" s="85">
        <v>0</v>
      </c>
      <c r="G1357" s="86">
        <f t="shared" si="105"/>
        <v>1756</v>
      </c>
      <c r="H1357" s="86">
        <f t="shared" si="106"/>
        <v>0</v>
      </c>
      <c r="I1357" s="86">
        <f t="shared" si="107"/>
        <v>1756</v>
      </c>
      <c r="J1357" s="84">
        <f>VLOOKUP(C1357, Products[], 6)</f>
        <v>43.9</v>
      </c>
      <c r="K1357" s="86">
        <f t="shared" si="108"/>
        <v>1756</v>
      </c>
      <c r="L1357" s="86">
        <f t="shared" si="109"/>
        <v>0</v>
      </c>
    </row>
    <row r="1358" spans="2:12" x14ac:dyDescent="0.2">
      <c r="B1358">
        <v>10760</v>
      </c>
      <c r="C1358">
        <v>43</v>
      </c>
      <c r="D1358" s="84">
        <v>46</v>
      </c>
      <c r="E1358">
        <v>30</v>
      </c>
      <c r="F1358" s="85">
        <v>0.25</v>
      </c>
      <c r="G1358" s="86">
        <f t="shared" si="105"/>
        <v>1380</v>
      </c>
      <c r="H1358" s="86">
        <f t="shared" si="106"/>
        <v>345</v>
      </c>
      <c r="I1358" s="86">
        <f t="shared" si="107"/>
        <v>1035</v>
      </c>
      <c r="J1358" s="84">
        <f>VLOOKUP(C1358, Products[], 6)</f>
        <v>46</v>
      </c>
      <c r="K1358" s="86">
        <f t="shared" si="108"/>
        <v>1380</v>
      </c>
      <c r="L1358" s="86">
        <f t="shared" si="109"/>
        <v>-345</v>
      </c>
    </row>
    <row r="1359" spans="2:12" x14ac:dyDescent="0.2">
      <c r="B1359">
        <v>10761</v>
      </c>
      <c r="C1359">
        <v>25</v>
      </c>
      <c r="D1359" s="84">
        <v>14</v>
      </c>
      <c r="E1359">
        <v>35</v>
      </c>
      <c r="F1359" s="85">
        <v>0.25</v>
      </c>
      <c r="G1359" s="86">
        <f t="shared" si="105"/>
        <v>490</v>
      </c>
      <c r="H1359" s="86">
        <f t="shared" si="106"/>
        <v>122.5</v>
      </c>
      <c r="I1359" s="86">
        <f t="shared" si="107"/>
        <v>367.5</v>
      </c>
      <c r="J1359" s="84">
        <f>VLOOKUP(C1359, Products[], 6)</f>
        <v>14</v>
      </c>
      <c r="K1359" s="86">
        <f t="shared" si="108"/>
        <v>490</v>
      </c>
      <c r="L1359" s="86">
        <f t="shared" si="109"/>
        <v>-122.5</v>
      </c>
    </row>
    <row r="1360" spans="2:12" x14ac:dyDescent="0.2">
      <c r="B1360">
        <v>10761</v>
      </c>
      <c r="C1360">
        <v>75</v>
      </c>
      <c r="D1360" s="84">
        <v>7.75</v>
      </c>
      <c r="E1360">
        <v>18</v>
      </c>
      <c r="F1360" s="85">
        <v>0</v>
      </c>
      <c r="G1360" s="86">
        <f t="shared" si="105"/>
        <v>139.5</v>
      </c>
      <c r="H1360" s="86">
        <f t="shared" si="106"/>
        <v>0</v>
      </c>
      <c r="I1360" s="86">
        <f t="shared" si="107"/>
        <v>139.5</v>
      </c>
      <c r="J1360" s="84">
        <f>VLOOKUP(C1360, Products[], 6)</f>
        <v>7.75</v>
      </c>
      <c r="K1360" s="86">
        <f t="shared" si="108"/>
        <v>139.5</v>
      </c>
      <c r="L1360" s="86">
        <f t="shared" si="109"/>
        <v>0</v>
      </c>
    </row>
    <row r="1361" spans="2:12" x14ac:dyDescent="0.2">
      <c r="B1361">
        <v>10762</v>
      </c>
      <c r="C1361">
        <v>39</v>
      </c>
      <c r="D1361" s="84">
        <v>18</v>
      </c>
      <c r="E1361">
        <v>16</v>
      </c>
      <c r="F1361" s="85">
        <v>0</v>
      </c>
      <c r="G1361" s="86">
        <f t="shared" si="105"/>
        <v>288</v>
      </c>
      <c r="H1361" s="86">
        <f t="shared" si="106"/>
        <v>0</v>
      </c>
      <c r="I1361" s="86">
        <f t="shared" si="107"/>
        <v>288</v>
      </c>
      <c r="J1361" s="84">
        <f>VLOOKUP(C1361, Products[], 6)</f>
        <v>18</v>
      </c>
      <c r="K1361" s="86">
        <f t="shared" si="108"/>
        <v>288</v>
      </c>
      <c r="L1361" s="86">
        <f t="shared" si="109"/>
        <v>0</v>
      </c>
    </row>
    <row r="1362" spans="2:12" x14ac:dyDescent="0.2">
      <c r="B1362">
        <v>10762</v>
      </c>
      <c r="C1362">
        <v>47</v>
      </c>
      <c r="D1362" s="84">
        <v>9.5</v>
      </c>
      <c r="E1362">
        <v>30</v>
      </c>
      <c r="F1362" s="85">
        <v>0</v>
      </c>
      <c r="G1362" s="86">
        <f t="shared" si="105"/>
        <v>285</v>
      </c>
      <c r="H1362" s="86">
        <f t="shared" si="106"/>
        <v>0</v>
      </c>
      <c r="I1362" s="86">
        <f t="shared" si="107"/>
        <v>285</v>
      </c>
      <c r="J1362" s="84">
        <f>VLOOKUP(C1362, Products[], 6)</f>
        <v>9.5</v>
      </c>
      <c r="K1362" s="86">
        <f t="shared" si="108"/>
        <v>285</v>
      </c>
      <c r="L1362" s="86">
        <f t="shared" si="109"/>
        <v>0</v>
      </c>
    </row>
    <row r="1363" spans="2:12" x14ac:dyDescent="0.2">
      <c r="B1363">
        <v>10762</v>
      </c>
      <c r="C1363">
        <v>51</v>
      </c>
      <c r="D1363" s="84">
        <v>53</v>
      </c>
      <c r="E1363">
        <v>28</v>
      </c>
      <c r="F1363" s="85">
        <v>0</v>
      </c>
      <c r="G1363" s="86">
        <f t="shared" si="105"/>
        <v>1484</v>
      </c>
      <c r="H1363" s="86">
        <f t="shared" si="106"/>
        <v>0</v>
      </c>
      <c r="I1363" s="86">
        <f t="shared" si="107"/>
        <v>1484</v>
      </c>
      <c r="J1363" s="84">
        <f>VLOOKUP(C1363, Products[], 6)</f>
        <v>53</v>
      </c>
      <c r="K1363" s="86">
        <f t="shared" si="108"/>
        <v>1484</v>
      </c>
      <c r="L1363" s="86">
        <f t="shared" si="109"/>
        <v>0</v>
      </c>
    </row>
    <row r="1364" spans="2:12" x14ac:dyDescent="0.2">
      <c r="B1364">
        <v>10762</v>
      </c>
      <c r="C1364">
        <v>56</v>
      </c>
      <c r="D1364" s="84">
        <v>38</v>
      </c>
      <c r="E1364">
        <v>60</v>
      </c>
      <c r="F1364" s="85">
        <v>0</v>
      </c>
      <c r="G1364" s="86">
        <f t="shared" si="105"/>
        <v>2280</v>
      </c>
      <c r="H1364" s="86">
        <f t="shared" si="106"/>
        <v>0</v>
      </c>
      <c r="I1364" s="86">
        <f t="shared" si="107"/>
        <v>2280</v>
      </c>
      <c r="J1364" s="84">
        <f>VLOOKUP(C1364, Products[], 6)</f>
        <v>38</v>
      </c>
      <c r="K1364" s="86">
        <f t="shared" si="108"/>
        <v>2280</v>
      </c>
      <c r="L1364" s="86">
        <f t="shared" si="109"/>
        <v>0</v>
      </c>
    </row>
    <row r="1365" spans="2:12" x14ac:dyDescent="0.2">
      <c r="B1365">
        <v>10763</v>
      </c>
      <c r="C1365">
        <v>21</v>
      </c>
      <c r="D1365" s="84">
        <v>10</v>
      </c>
      <c r="E1365">
        <v>40</v>
      </c>
      <c r="F1365" s="85">
        <v>0</v>
      </c>
      <c r="G1365" s="86">
        <f t="shared" si="105"/>
        <v>400</v>
      </c>
      <c r="H1365" s="86">
        <f t="shared" si="106"/>
        <v>0</v>
      </c>
      <c r="I1365" s="86">
        <f t="shared" si="107"/>
        <v>400</v>
      </c>
      <c r="J1365" s="84">
        <f>VLOOKUP(C1365, Products[], 6)</f>
        <v>10</v>
      </c>
      <c r="K1365" s="86">
        <f t="shared" si="108"/>
        <v>400</v>
      </c>
      <c r="L1365" s="86">
        <f t="shared" si="109"/>
        <v>0</v>
      </c>
    </row>
    <row r="1366" spans="2:12" x14ac:dyDescent="0.2">
      <c r="B1366">
        <v>10763</v>
      </c>
      <c r="C1366">
        <v>22</v>
      </c>
      <c r="D1366" s="84">
        <v>21</v>
      </c>
      <c r="E1366">
        <v>6</v>
      </c>
      <c r="F1366" s="85">
        <v>0</v>
      </c>
      <c r="G1366" s="86">
        <f t="shared" si="105"/>
        <v>126</v>
      </c>
      <c r="H1366" s="86">
        <f t="shared" si="106"/>
        <v>0</v>
      </c>
      <c r="I1366" s="86">
        <f t="shared" si="107"/>
        <v>126</v>
      </c>
      <c r="J1366" s="84">
        <f>VLOOKUP(C1366, Products[], 6)</f>
        <v>21</v>
      </c>
      <c r="K1366" s="86">
        <f t="shared" si="108"/>
        <v>126</v>
      </c>
      <c r="L1366" s="86">
        <f t="shared" si="109"/>
        <v>0</v>
      </c>
    </row>
    <row r="1367" spans="2:12" x14ac:dyDescent="0.2">
      <c r="B1367">
        <v>10763</v>
      </c>
      <c r="C1367">
        <v>24</v>
      </c>
      <c r="D1367" s="84">
        <v>4.5</v>
      </c>
      <c r="E1367">
        <v>20</v>
      </c>
      <c r="F1367" s="85">
        <v>0</v>
      </c>
      <c r="G1367" s="86">
        <f t="shared" si="105"/>
        <v>90</v>
      </c>
      <c r="H1367" s="86">
        <f t="shared" si="106"/>
        <v>0</v>
      </c>
      <c r="I1367" s="86">
        <f t="shared" si="107"/>
        <v>90</v>
      </c>
      <c r="J1367" s="84">
        <f>VLOOKUP(C1367, Products[], 6)</f>
        <v>4.5</v>
      </c>
      <c r="K1367" s="86">
        <f t="shared" si="108"/>
        <v>90</v>
      </c>
      <c r="L1367" s="86">
        <f t="shared" si="109"/>
        <v>0</v>
      </c>
    </row>
    <row r="1368" spans="2:12" x14ac:dyDescent="0.2">
      <c r="B1368">
        <v>10764</v>
      </c>
      <c r="C1368">
        <v>3</v>
      </c>
      <c r="D1368" s="84">
        <v>10</v>
      </c>
      <c r="E1368">
        <v>20</v>
      </c>
      <c r="F1368" s="85">
        <v>0.1</v>
      </c>
      <c r="G1368" s="86">
        <f t="shared" si="105"/>
        <v>200</v>
      </c>
      <c r="H1368" s="86">
        <f t="shared" si="106"/>
        <v>20</v>
      </c>
      <c r="I1368" s="86">
        <f t="shared" si="107"/>
        <v>180</v>
      </c>
      <c r="J1368" s="84">
        <f>VLOOKUP(C1368, Products[], 6)</f>
        <v>10</v>
      </c>
      <c r="K1368" s="86">
        <f t="shared" si="108"/>
        <v>200</v>
      </c>
      <c r="L1368" s="86">
        <f t="shared" si="109"/>
        <v>-20</v>
      </c>
    </row>
    <row r="1369" spans="2:12" x14ac:dyDescent="0.2">
      <c r="B1369">
        <v>10764</v>
      </c>
      <c r="C1369">
        <v>39</v>
      </c>
      <c r="D1369" s="84">
        <v>18</v>
      </c>
      <c r="E1369">
        <v>130</v>
      </c>
      <c r="F1369" s="85">
        <v>0.1</v>
      </c>
      <c r="G1369" s="86">
        <f t="shared" si="105"/>
        <v>2340</v>
      </c>
      <c r="H1369" s="86">
        <f t="shared" si="106"/>
        <v>234</v>
      </c>
      <c r="I1369" s="86">
        <f t="shared" si="107"/>
        <v>2106</v>
      </c>
      <c r="J1369" s="84">
        <f>VLOOKUP(C1369, Products[], 6)</f>
        <v>18</v>
      </c>
      <c r="K1369" s="86">
        <f t="shared" si="108"/>
        <v>2340</v>
      </c>
      <c r="L1369" s="86">
        <f t="shared" si="109"/>
        <v>-234</v>
      </c>
    </row>
    <row r="1370" spans="2:12" x14ac:dyDescent="0.2">
      <c r="B1370">
        <v>10765</v>
      </c>
      <c r="C1370">
        <v>65</v>
      </c>
      <c r="D1370" s="84">
        <v>21.05</v>
      </c>
      <c r="E1370">
        <v>80</v>
      </c>
      <c r="F1370" s="85">
        <v>0.1</v>
      </c>
      <c r="G1370" s="86">
        <f t="shared" si="105"/>
        <v>1684</v>
      </c>
      <c r="H1370" s="86">
        <f t="shared" si="106"/>
        <v>168.4</v>
      </c>
      <c r="I1370" s="86">
        <f t="shared" si="107"/>
        <v>1515.6</v>
      </c>
      <c r="J1370" s="84">
        <f>VLOOKUP(C1370, Products[], 6)</f>
        <v>21.05</v>
      </c>
      <c r="K1370" s="86">
        <f t="shared" si="108"/>
        <v>1684</v>
      </c>
      <c r="L1370" s="86">
        <f t="shared" si="109"/>
        <v>-168.40000000000009</v>
      </c>
    </row>
    <row r="1371" spans="2:12" x14ac:dyDescent="0.2">
      <c r="B1371">
        <v>10766</v>
      </c>
      <c r="C1371">
        <v>2</v>
      </c>
      <c r="D1371" s="84">
        <v>19</v>
      </c>
      <c r="E1371">
        <v>40</v>
      </c>
      <c r="F1371" s="85">
        <v>0</v>
      </c>
      <c r="G1371" s="86">
        <f t="shared" si="105"/>
        <v>760</v>
      </c>
      <c r="H1371" s="86">
        <f t="shared" si="106"/>
        <v>0</v>
      </c>
      <c r="I1371" s="86">
        <f t="shared" si="107"/>
        <v>760</v>
      </c>
      <c r="J1371" s="84">
        <f>VLOOKUP(C1371, Products[], 6)</f>
        <v>19</v>
      </c>
      <c r="K1371" s="86">
        <f t="shared" si="108"/>
        <v>760</v>
      </c>
      <c r="L1371" s="86">
        <f t="shared" si="109"/>
        <v>0</v>
      </c>
    </row>
    <row r="1372" spans="2:12" x14ac:dyDescent="0.2">
      <c r="B1372">
        <v>10766</v>
      </c>
      <c r="C1372">
        <v>7</v>
      </c>
      <c r="D1372" s="84">
        <v>30</v>
      </c>
      <c r="E1372">
        <v>35</v>
      </c>
      <c r="F1372" s="85">
        <v>0</v>
      </c>
      <c r="G1372" s="86">
        <f t="shared" si="105"/>
        <v>1050</v>
      </c>
      <c r="H1372" s="86">
        <f t="shared" si="106"/>
        <v>0</v>
      </c>
      <c r="I1372" s="86">
        <f t="shared" si="107"/>
        <v>1050</v>
      </c>
      <c r="J1372" s="84">
        <f>VLOOKUP(C1372, Products[], 6)</f>
        <v>30</v>
      </c>
      <c r="K1372" s="86">
        <f t="shared" si="108"/>
        <v>1050</v>
      </c>
      <c r="L1372" s="86">
        <f t="shared" si="109"/>
        <v>0</v>
      </c>
    </row>
    <row r="1373" spans="2:12" x14ac:dyDescent="0.2">
      <c r="B1373">
        <v>10766</v>
      </c>
      <c r="C1373">
        <v>68</v>
      </c>
      <c r="D1373" s="84">
        <v>12.5</v>
      </c>
      <c r="E1373">
        <v>40</v>
      </c>
      <c r="F1373" s="85">
        <v>0</v>
      </c>
      <c r="G1373" s="86">
        <f t="shared" si="105"/>
        <v>500</v>
      </c>
      <c r="H1373" s="86">
        <f t="shared" si="106"/>
        <v>0</v>
      </c>
      <c r="I1373" s="86">
        <f t="shared" si="107"/>
        <v>500</v>
      </c>
      <c r="J1373" s="84">
        <f>VLOOKUP(C1373, Products[], 6)</f>
        <v>12.5</v>
      </c>
      <c r="K1373" s="86">
        <f t="shared" si="108"/>
        <v>500</v>
      </c>
      <c r="L1373" s="86">
        <f t="shared" si="109"/>
        <v>0</v>
      </c>
    </row>
    <row r="1374" spans="2:12" x14ac:dyDescent="0.2">
      <c r="B1374">
        <v>10767</v>
      </c>
      <c r="C1374">
        <v>42</v>
      </c>
      <c r="D1374" s="84">
        <v>14</v>
      </c>
      <c r="E1374">
        <v>2</v>
      </c>
      <c r="F1374" s="85">
        <v>0</v>
      </c>
      <c r="G1374" s="86">
        <f t="shared" si="105"/>
        <v>28</v>
      </c>
      <c r="H1374" s="86">
        <f t="shared" si="106"/>
        <v>0</v>
      </c>
      <c r="I1374" s="86">
        <f t="shared" si="107"/>
        <v>28</v>
      </c>
      <c r="J1374" s="84">
        <f>VLOOKUP(C1374, Products[], 6)</f>
        <v>14</v>
      </c>
      <c r="K1374" s="86">
        <f t="shared" si="108"/>
        <v>28</v>
      </c>
      <c r="L1374" s="86">
        <f t="shared" si="109"/>
        <v>0</v>
      </c>
    </row>
    <row r="1375" spans="2:12" x14ac:dyDescent="0.2">
      <c r="B1375">
        <v>10768</v>
      </c>
      <c r="C1375">
        <v>22</v>
      </c>
      <c r="D1375" s="84">
        <v>21</v>
      </c>
      <c r="E1375">
        <v>4</v>
      </c>
      <c r="F1375" s="85">
        <v>0</v>
      </c>
      <c r="G1375" s="86">
        <f t="shared" si="105"/>
        <v>84</v>
      </c>
      <c r="H1375" s="86">
        <f t="shared" si="106"/>
        <v>0</v>
      </c>
      <c r="I1375" s="86">
        <f t="shared" si="107"/>
        <v>84</v>
      </c>
      <c r="J1375" s="84">
        <f>VLOOKUP(C1375, Products[], 6)</f>
        <v>21</v>
      </c>
      <c r="K1375" s="86">
        <f t="shared" si="108"/>
        <v>84</v>
      </c>
      <c r="L1375" s="86">
        <f t="shared" si="109"/>
        <v>0</v>
      </c>
    </row>
    <row r="1376" spans="2:12" x14ac:dyDescent="0.2">
      <c r="B1376">
        <v>10768</v>
      </c>
      <c r="C1376">
        <v>31</v>
      </c>
      <c r="D1376" s="84">
        <v>12.5</v>
      </c>
      <c r="E1376">
        <v>50</v>
      </c>
      <c r="F1376" s="85">
        <v>0</v>
      </c>
      <c r="G1376" s="86">
        <f t="shared" si="105"/>
        <v>625</v>
      </c>
      <c r="H1376" s="86">
        <f t="shared" si="106"/>
        <v>0</v>
      </c>
      <c r="I1376" s="86">
        <f t="shared" si="107"/>
        <v>625</v>
      </c>
      <c r="J1376" s="84">
        <f>VLOOKUP(C1376, Products[], 6)</f>
        <v>12.5</v>
      </c>
      <c r="K1376" s="86">
        <f t="shared" si="108"/>
        <v>625</v>
      </c>
      <c r="L1376" s="86">
        <f t="shared" si="109"/>
        <v>0</v>
      </c>
    </row>
    <row r="1377" spans="2:12" x14ac:dyDescent="0.2">
      <c r="B1377">
        <v>10768</v>
      </c>
      <c r="C1377">
        <v>60</v>
      </c>
      <c r="D1377" s="84">
        <v>34</v>
      </c>
      <c r="E1377">
        <v>15</v>
      </c>
      <c r="F1377" s="85">
        <v>0</v>
      </c>
      <c r="G1377" s="86">
        <f t="shared" si="105"/>
        <v>510</v>
      </c>
      <c r="H1377" s="86">
        <f t="shared" si="106"/>
        <v>0</v>
      </c>
      <c r="I1377" s="86">
        <f t="shared" si="107"/>
        <v>510</v>
      </c>
      <c r="J1377" s="84">
        <f>VLOOKUP(C1377, Products[], 6)</f>
        <v>34</v>
      </c>
      <c r="K1377" s="86">
        <f t="shared" si="108"/>
        <v>510</v>
      </c>
      <c r="L1377" s="86">
        <f t="shared" si="109"/>
        <v>0</v>
      </c>
    </row>
    <row r="1378" spans="2:12" x14ac:dyDescent="0.2">
      <c r="B1378">
        <v>10768</v>
      </c>
      <c r="C1378">
        <v>71</v>
      </c>
      <c r="D1378" s="84">
        <v>21.5</v>
      </c>
      <c r="E1378">
        <v>12</v>
      </c>
      <c r="F1378" s="85">
        <v>0</v>
      </c>
      <c r="G1378" s="86">
        <f t="shared" si="105"/>
        <v>258</v>
      </c>
      <c r="H1378" s="86">
        <f t="shared" si="106"/>
        <v>0</v>
      </c>
      <c r="I1378" s="86">
        <f t="shared" si="107"/>
        <v>258</v>
      </c>
      <c r="J1378" s="84">
        <f>VLOOKUP(C1378, Products[], 6)</f>
        <v>21.5</v>
      </c>
      <c r="K1378" s="86">
        <f t="shared" si="108"/>
        <v>258</v>
      </c>
      <c r="L1378" s="86">
        <f t="shared" si="109"/>
        <v>0</v>
      </c>
    </row>
    <row r="1379" spans="2:12" x14ac:dyDescent="0.2">
      <c r="B1379">
        <v>10769</v>
      </c>
      <c r="C1379">
        <v>41</v>
      </c>
      <c r="D1379" s="84">
        <v>9.65</v>
      </c>
      <c r="E1379">
        <v>30</v>
      </c>
      <c r="F1379" s="85">
        <v>0.05</v>
      </c>
      <c r="G1379" s="86">
        <f t="shared" si="105"/>
        <v>289.5</v>
      </c>
      <c r="H1379" s="86">
        <f t="shared" si="106"/>
        <v>14.475000000000001</v>
      </c>
      <c r="I1379" s="86">
        <f t="shared" si="107"/>
        <v>275.02499999999998</v>
      </c>
      <c r="J1379" s="84">
        <f>VLOOKUP(C1379, Products[], 6)</f>
        <v>9.65</v>
      </c>
      <c r="K1379" s="86">
        <f t="shared" si="108"/>
        <v>289.5</v>
      </c>
      <c r="L1379" s="86">
        <f t="shared" si="109"/>
        <v>-14.475000000000023</v>
      </c>
    </row>
    <row r="1380" spans="2:12" x14ac:dyDescent="0.2">
      <c r="B1380">
        <v>10769</v>
      </c>
      <c r="C1380">
        <v>52</v>
      </c>
      <c r="D1380" s="84">
        <v>7</v>
      </c>
      <c r="E1380">
        <v>15</v>
      </c>
      <c r="F1380" s="85">
        <v>0.05</v>
      </c>
      <c r="G1380" s="86">
        <f t="shared" si="105"/>
        <v>105</v>
      </c>
      <c r="H1380" s="86">
        <f t="shared" si="106"/>
        <v>5.25</v>
      </c>
      <c r="I1380" s="86">
        <f t="shared" si="107"/>
        <v>99.75</v>
      </c>
      <c r="J1380" s="84">
        <f>VLOOKUP(C1380, Products[], 6)</f>
        <v>7</v>
      </c>
      <c r="K1380" s="86">
        <f t="shared" si="108"/>
        <v>105</v>
      </c>
      <c r="L1380" s="86">
        <f t="shared" si="109"/>
        <v>-5.25</v>
      </c>
    </row>
    <row r="1381" spans="2:12" x14ac:dyDescent="0.2">
      <c r="B1381">
        <v>10769</v>
      </c>
      <c r="C1381">
        <v>61</v>
      </c>
      <c r="D1381" s="84">
        <v>28.5</v>
      </c>
      <c r="E1381">
        <v>20</v>
      </c>
      <c r="F1381" s="85">
        <v>0</v>
      </c>
      <c r="G1381" s="86">
        <f t="shared" si="105"/>
        <v>570</v>
      </c>
      <c r="H1381" s="86">
        <f t="shared" si="106"/>
        <v>0</v>
      </c>
      <c r="I1381" s="86">
        <f t="shared" si="107"/>
        <v>570</v>
      </c>
      <c r="J1381" s="84">
        <f>VLOOKUP(C1381, Products[], 6)</f>
        <v>28.5</v>
      </c>
      <c r="K1381" s="86">
        <f t="shared" si="108"/>
        <v>570</v>
      </c>
      <c r="L1381" s="86">
        <f t="shared" si="109"/>
        <v>0</v>
      </c>
    </row>
    <row r="1382" spans="2:12" x14ac:dyDescent="0.2">
      <c r="B1382">
        <v>10769</v>
      </c>
      <c r="C1382">
        <v>62</v>
      </c>
      <c r="D1382" s="84">
        <v>49.3</v>
      </c>
      <c r="E1382">
        <v>15</v>
      </c>
      <c r="F1382" s="85">
        <v>0</v>
      </c>
      <c r="G1382" s="86">
        <f t="shared" si="105"/>
        <v>739.5</v>
      </c>
      <c r="H1382" s="86">
        <f t="shared" si="106"/>
        <v>0</v>
      </c>
      <c r="I1382" s="86">
        <f t="shared" si="107"/>
        <v>739.5</v>
      </c>
      <c r="J1382" s="84">
        <f>VLOOKUP(C1382, Products[], 6)</f>
        <v>49.3</v>
      </c>
      <c r="K1382" s="86">
        <f t="shared" si="108"/>
        <v>739.5</v>
      </c>
      <c r="L1382" s="86">
        <f t="shared" si="109"/>
        <v>0</v>
      </c>
    </row>
    <row r="1383" spans="2:12" x14ac:dyDescent="0.2">
      <c r="B1383">
        <v>10770</v>
      </c>
      <c r="C1383">
        <v>11</v>
      </c>
      <c r="D1383" s="84">
        <v>21</v>
      </c>
      <c r="E1383">
        <v>15</v>
      </c>
      <c r="F1383" s="85">
        <v>0.25</v>
      </c>
      <c r="G1383" s="86">
        <f t="shared" si="105"/>
        <v>315</v>
      </c>
      <c r="H1383" s="86">
        <f t="shared" si="106"/>
        <v>78.75</v>
      </c>
      <c r="I1383" s="86">
        <f t="shared" si="107"/>
        <v>236.25</v>
      </c>
      <c r="J1383" s="84">
        <f>VLOOKUP(C1383, Products[], 6)</f>
        <v>21</v>
      </c>
      <c r="K1383" s="86">
        <f t="shared" si="108"/>
        <v>315</v>
      </c>
      <c r="L1383" s="86">
        <f t="shared" si="109"/>
        <v>-78.75</v>
      </c>
    </row>
    <row r="1384" spans="2:12" x14ac:dyDescent="0.2">
      <c r="B1384">
        <v>10771</v>
      </c>
      <c r="C1384">
        <v>71</v>
      </c>
      <c r="D1384" s="84">
        <v>21.5</v>
      </c>
      <c r="E1384">
        <v>16</v>
      </c>
      <c r="F1384" s="85">
        <v>0</v>
      </c>
      <c r="G1384" s="86">
        <f t="shared" si="105"/>
        <v>344</v>
      </c>
      <c r="H1384" s="86">
        <f t="shared" si="106"/>
        <v>0</v>
      </c>
      <c r="I1384" s="86">
        <f t="shared" si="107"/>
        <v>344</v>
      </c>
      <c r="J1384" s="84">
        <f>VLOOKUP(C1384, Products[], 6)</f>
        <v>21.5</v>
      </c>
      <c r="K1384" s="86">
        <f t="shared" si="108"/>
        <v>344</v>
      </c>
      <c r="L1384" s="86">
        <f t="shared" si="109"/>
        <v>0</v>
      </c>
    </row>
    <row r="1385" spans="2:12" x14ac:dyDescent="0.2">
      <c r="B1385">
        <v>10772</v>
      </c>
      <c r="C1385">
        <v>29</v>
      </c>
      <c r="D1385" s="84">
        <v>123.79</v>
      </c>
      <c r="E1385">
        <v>18</v>
      </c>
      <c r="F1385" s="85">
        <v>0</v>
      </c>
      <c r="G1385" s="86">
        <f t="shared" si="105"/>
        <v>2228.2200000000003</v>
      </c>
      <c r="H1385" s="86">
        <f t="shared" si="106"/>
        <v>0</v>
      </c>
      <c r="I1385" s="86">
        <f t="shared" si="107"/>
        <v>2228.2200000000003</v>
      </c>
      <c r="J1385" s="84">
        <f>VLOOKUP(C1385, Products[], 6)</f>
        <v>123.79</v>
      </c>
      <c r="K1385" s="86">
        <f t="shared" si="108"/>
        <v>2228.2200000000003</v>
      </c>
      <c r="L1385" s="86">
        <f t="shared" si="109"/>
        <v>0</v>
      </c>
    </row>
    <row r="1386" spans="2:12" x14ac:dyDescent="0.2">
      <c r="B1386">
        <v>10772</v>
      </c>
      <c r="C1386">
        <v>59</v>
      </c>
      <c r="D1386" s="84">
        <v>55</v>
      </c>
      <c r="E1386">
        <v>25</v>
      </c>
      <c r="F1386" s="85">
        <v>0</v>
      </c>
      <c r="G1386" s="86">
        <f t="shared" si="105"/>
        <v>1375</v>
      </c>
      <c r="H1386" s="86">
        <f t="shared" si="106"/>
        <v>0</v>
      </c>
      <c r="I1386" s="86">
        <f t="shared" si="107"/>
        <v>1375</v>
      </c>
      <c r="J1386" s="84">
        <f>VLOOKUP(C1386, Products[], 6)</f>
        <v>55</v>
      </c>
      <c r="K1386" s="86">
        <f t="shared" si="108"/>
        <v>1375</v>
      </c>
      <c r="L1386" s="86">
        <f t="shared" si="109"/>
        <v>0</v>
      </c>
    </row>
    <row r="1387" spans="2:12" x14ac:dyDescent="0.2">
      <c r="B1387">
        <v>10773</v>
      </c>
      <c r="C1387">
        <v>17</v>
      </c>
      <c r="D1387" s="84">
        <v>39</v>
      </c>
      <c r="E1387">
        <v>33</v>
      </c>
      <c r="F1387" s="85">
        <v>0</v>
      </c>
      <c r="G1387" s="86">
        <f t="shared" si="105"/>
        <v>1287</v>
      </c>
      <c r="H1387" s="86">
        <f t="shared" si="106"/>
        <v>0</v>
      </c>
      <c r="I1387" s="86">
        <f t="shared" si="107"/>
        <v>1287</v>
      </c>
      <c r="J1387" s="84">
        <f>VLOOKUP(C1387, Products[], 6)</f>
        <v>39</v>
      </c>
      <c r="K1387" s="86">
        <f t="shared" si="108"/>
        <v>1287</v>
      </c>
      <c r="L1387" s="86">
        <f t="shared" si="109"/>
        <v>0</v>
      </c>
    </row>
    <row r="1388" spans="2:12" x14ac:dyDescent="0.2">
      <c r="B1388">
        <v>10773</v>
      </c>
      <c r="C1388">
        <v>31</v>
      </c>
      <c r="D1388" s="84">
        <v>12.5</v>
      </c>
      <c r="E1388">
        <v>70</v>
      </c>
      <c r="F1388" s="85">
        <v>0.2</v>
      </c>
      <c r="G1388" s="86">
        <f t="shared" si="105"/>
        <v>875</v>
      </c>
      <c r="H1388" s="86">
        <f t="shared" si="106"/>
        <v>175</v>
      </c>
      <c r="I1388" s="86">
        <f t="shared" si="107"/>
        <v>700</v>
      </c>
      <c r="J1388" s="84">
        <f>VLOOKUP(C1388, Products[], 6)</f>
        <v>12.5</v>
      </c>
      <c r="K1388" s="86">
        <f t="shared" si="108"/>
        <v>875</v>
      </c>
      <c r="L1388" s="86">
        <f t="shared" si="109"/>
        <v>-175</v>
      </c>
    </row>
    <row r="1389" spans="2:12" x14ac:dyDescent="0.2">
      <c r="B1389">
        <v>10773</v>
      </c>
      <c r="C1389">
        <v>75</v>
      </c>
      <c r="D1389" s="84">
        <v>7.75</v>
      </c>
      <c r="E1389">
        <v>7</v>
      </c>
      <c r="F1389" s="85">
        <v>0.2</v>
      </c>
      <c r="G1389" s="86">
        <f t="shared" si="105"/>
        <v>54.25</v>
      </c>
      <c r="H1389" s="86">
        <f t="shared" si="106"/>
        <v>10.850000000000001</v>
      </c>
      <c r="I1389" s="86">
        <f t="shared" si="107"/>
        <v>43.4</v>
      </c>
      <c r="J1389" s="84">
        <f>VLOOKUP(C1389, Products[], 6)</f>
        <v>7.75</v>
      </c>
      <c r="K1389" s="86">
        <f t="shared" si="108"/>
        <v>54.25</v>
      </c>
      <c r="L1389" s="86">
        <f t="shared" si="109"/>
        <v>-10.850000000000001</v>
      </c>
    </row>
    <row r="1390" spans="2:12" x14ac:dyDescent="0.2">
      <c r="B1390">
        <v>10774</v>
      </c>
      <c r="C1390">
        <v>31</v>
      </c>
      <c r="D1390" s="84">
        <v>12.5</v>
      </c>
      <c r="E1390">
        <v>2</v>
      </c>
      <c r="F1390" s="85">
        <v>0.25</v>
      </c>
      <c r="G1390" s="86">
        <f t="shared" si="105"/>
        <v>25</v>
      </c>
      <c r="H1390" s="86">
        <f t="shared" si="106"/>
        <v>6.25</v>
      </c>
      <c r="I1390" s="86">
        <f t="shared" si="107"/>
        <v>18.75</v>
      </c>
      <c r="J1390" s="84">
        <f>VLOOKUP(C1390, Products[], 6)</f>
        <v>12.5</v>
      </c>
      <c r="K1390" s="86">
        <f t="shared" si="108"/>
        <v>25</v>
      </c>
      <c r="L1390" s="86">
        <f t="shared" si="109"/>
        <v>-6.25</v>
      </c>
    </row>
    <row r="1391" spans="2:12" x14ac:dyDescent="0.2">
      <c r="B1391">
        <v>10774</v>
      </c>
      <c r="C1391">
        <v>66</v>
      </c>
      <c r="D1391" s="84">
        <v>17</v>
      </c>
      <c r="E1391">
        <v>50</v>
      </c>
      <c r="F1391" s="85">
        <v>0</v>
      </c>
      <c r="G1391" s="86">
        <f t="shared" si="105"/>
        <v>850</v>
      </c>
      <c r="H1391" s="86">
        <f t="shared" si="106"/>
        <v>0</v>
      </c>
      <c r="I1391" s="86">
        <f t="shared" si="107"/>
        <v>850</v>
      </c>
      <c r="J1391" s="84">
        <f>VLOOKUP(C1391, Products[], 6)</f>
        <v>17</v>
      </c>
      <c r="K1391" s="86">
        <f t="shared" si="108"/>
        <v>850</v>
      </c>
      <c r="L1391" s="86">
        <f t="shared" si="109"/>
        <v>0</v>
      </c>
    </row>
    <row r="1392" spans="2:12" x14ac:dyDescent="0.2">
      <c r="B1392">
        <v>10775</v>
      </c>
      <c r="C1392">
        <v>10</v>
      </c>
      <c r="D1392" s="84">
        <v>31</v>
      </c>
      <c r="E1392">
        <v>6</v>
      </c>
      <c r="F1392" s="85">
        <v>0</v>
      </c>
      <c r="G1392" s="86">
        <f t="shared" si="105"/>
        <v>186</v>
      </c>
      <c r="H1392" s="86">
        <f t="shared" si="106"/>
        <v>0</v>
      </c>
      <c r="I1392" s="86">
        <f t="shared" si="107"/>
        <v>186</v>
      </c>
      <c r="J1392" s="84">
        <f>VLOOKUP(C1392, Products[], 6)</f>
        <v>31</v>
      </c>
      <c r="K1392" s="86">
        <f t="shared" si="108"/>
        <v>186</v>
      </c>
      <c r="L1392" s="86">
        <f t="shared" si="109"/>
        <v>0</v>
      </c>
    </row>
    <row r="1393" spans="2:12" x14ac:dyDescent="0.2">
      <c r="B1393">
        <v>10775</v>
      </c>
      <c r="C1393">
        <v>67</v>
      </c>
      <c r="D1393" s="84">
        <v>14</v>
      </c>
      <c r="E1393">
        <v>3</v>
      </c>
      <c r="F1393" s="85">
        <v>0</v>
      </c>
      <c r="G1393" s="86">
        <f t="shared" si="105"/>
        <v>42</v>
      </c>
      <c r="H1393" s="86">
        <f t="shared" si="106"/>
        <v>0</v>
      </c>
      <c r="I1393" s="86">
        <f t="shared" si="107"/>
        <v>42</v>
      </c>
      <c r="J1393" s="84">
        <f>VLOOKUP(C1393, Products[], 6)</f>
        <v>14</v>
      </c>
      <c r="K1393" s="86">
        <f t="shared" si="108"/>
        <v>42</v>
      </c>
      <c r="L1393" s="86">
        <f t="shared" si="109"/>
        <v>0</v>
      </c>
    </row>
    <row r="1394" spans="2:12" x14ac:dyDescent="0.2">
      <c r="B1394">
        <v>10776</v>
      </c>
      <c r="C1394">
        <v>31</v>
      </c>
      <c r="D1394" s="84">
        <v>12.5</v>
      </c>
      <c r="E1394">
        <v>16</v>
      </c>
      <c r="F1394" s="85">
        <v>0.05</v>
      </c>
      <c r="G1394" s="86">
        <f t="shared" si="105"/>
        <v>200</v>
      </c>
      <c r="H1394" s="86">
        <f t="shared" si="106"/>
        <v>10</v>
      </c>
      <c r="I1394" s="86">
        <f t="shared" si="107"/>
        <v>190</v>
      </c>
      <c r="J1394" s="84">
        <f>VLOOKUP(C1394, Products[], 6)</f>
        <v>12.5</v>
      </c>
      <c r="K1394" s="86">
        <f t="shared" si="108"/>
        <v>200</v>
      </c>
      <c r="L1394" s="86">
        <f t="shared" si="109"/>
        <v>-10</v>
      </c>
    </row>
    <row r="1395" spans="2:12" x14ac:dyDescent="0.2">
      <c r="B1395">
        <v>10776</v>
      </c>
      <c r="C1395">
        <v>42</v>
      </c>
      <c r="D1395" s="84">
        <v>14</v>
      </c>
      <c r="E1395">
        <v>12</v>
      </c>
      <c r="F1395" s="85">
        <v>0.05</v>
      </c>
      <c r="G1395" s="86">
        <f t="shared" si="105"/>
        <v>168</v>
      </c>
      <c r="H1395" s="86">
        <f t="shared" si="106"/>
        <v>8.4</v>
      </c>
      <c r="I1395" s="86">
        <f t="shared" si="107"/>
        <v>159.6</v>
      </c>
      <c r="J1395" s="84">
        <f>VLOOKUP(C1395, Products[], 6)</f>
        <v>14</v>
      </c>
      <c r="K1395" s="86">
        <f t="shared" si="108"/>
        <v>168</v>
      </c>
      <c r="L1395" s="86">
        <f t="shared" si="109"/>
        <v>-8.4000000000000057</v>
      </c>
    </row>
    <row r="1396" spans="2:12" x14ac:dyDescent="0.2">
      <c r="B1396">
        <v>10776</v>
      </c>
      <c r="C1396">
        <v>45</v>
      </c>
      <c r="D1396" s="84">
        <v>9.5</v>
      </c>
      <c r="E1396">
        <v>27</v>
      </c>
      <c r="F1396" s="85">
        <v>0.05</v>
      </c>
      <c r="G1396" s="86">
        <f t="shared" si="105"/>
        <v>256.5</v>
      </c>
      <c r="H1396" s="86">
        <f t="shared" si="106"/>
        <v>12.825000000000001</v>
      </c>
      <c r="I1396" s="86">
        <f t="shared" si="107"/>
        <v>243.67500000000001</v>
      </c>
      <c r="J1396" s="84">
        <f>VLOOKUP(C1396, Products[], 6)</f>
        <v>9.5</v>
      </c>
      <c r="K1396" s="86">
        <f t="shared" si="108"/>
        <v>256.5</v>
      </c>
      <c r="L1396" s="86">
        <f t="shared" si="109"/>
        <v>-12.824999999999989</v>
      </c>
    </row>
    <row r="1397" spans="2:12" x14ac:dyDescent="0.2">
      <c r="B1397">
        <v>10776</v>
      </c>
      <c r="C1397">
        <v>51</v>
      </c>
      <c r="D1397" s="84">
        <v>53</v>
      </c>
      <c r="E1397">
        <v>120</v>
      </c>
      <c r="F1397" s="85">
        <v>0.05</v>
      </c>
      <c r="G1397" s="86">
        <f t="shared" si="105"/>
        <v>6360</v>
      </c>
      <c r="H1397" s="86">
        <f t="shared" si="106"/>
        <v>318</v>
      </c>
      <c r="I1397" s="86">
        <f t="shared" si="107"/>
        <v>6042</v>
      </c>
      <c r="J1397" s="84">
        <f>VLOOKUP(C1397, Products[], 6)</f>
        <v>53</v>
      </c>
      <c r="K1397" s="86">
        <f t="shared" si="108"/>
        <v>6360</v>
      </c>
      <c r="L1397" s="86">
        <f t="shared" si="109"/>
        <v>-318</v>
      </c>
    </row>
    <row r="1398" spans="2:12" x14ac:dyDescent="0.2">
      <c r="B1398">
        <v>10777</v>
      </c>
      <c r="C1398">
        <v>42</v>
      </c>
      <c r="D1398" s="84">
        <v>14</v>
      </c>
      <c r="E1398">
        <v>20</v>
      </c>
      <c r="F1398" s="85">
        <v>0.2</v>
      </c>
      <c r="G1398" s="86">
        <f t="shared" si="105"/>
        <v>280</v>
      </c>
      <c r="H1398" s="86">
        <f t="shared" si="106"/>
        <v>56</v>
      </c>
      <c r="I1398" s="86">
        <f t="shared" si="107"/>
        <v>224</v>
      </c>
      <c r="J1398" s="84">
        <f>VLOOKUP(C1398, Products[], 6)</f>
        <v>14</v>
      </c>
      <c r="K1398" s="86">
        <f t="shared" si="108"/>
        <v>280</v>
      </c>
      <c r="L1398" s="86">
        <f t="shared" si="109"/>
        <v>-56</v>
      </c>
    </row>
    <row r="1399" spans="2:12" x14ac:dyDescent="0.2">
      <c r="B1399">
        <v>10778</v>
      </c>
      <c r="C1399">
        <v>41</v>
      </c>
      <c r="D1399" s="84">
        <v>9.65</v>
      </c>
      <c r="E1399">
        <v>10</v>
      </c>
      <c r="F1399" s="85">
        <v>0</v>
      </c>
      <c r="G1399" s="86">
        <f t="shared" si="105"/>
        <v>96.5</v>
      </c>
      <c r="H1399" s="86">
        <f t="shared" si="106"/>
        <v>0</v>
      </c>
      <c r="I1399" s="86">
        <f t="shared" si="107"/>
        <v>96.5</v>
      </c>
      <c r="J1399" s="84">
        <f>VLOOKUP(C1399, Products[], 6)</f>
        <v>9.65</v>
      </c>
      <c r="K1399" s="86">
        <f t="shared" si="108"/>
        <v>96.5</v>
      </c>
      <c r="L1399" s="86">
        <f t="shared" si="109"/>
        <v>0</v>
      </c>
    </row>
    <row r="1400" spans="2:12" x14ac:dyDescent="0.2">
      <c r="B1400">
        <v>10779</v>
      </c>
      <c r="C1400">
        <v>16</v>
      </c>
      <c r="D1400" s="84">
        <v>17.45</v>
      </c>
      <c r="E1400">
        <v>20</v>
      </c>
      <c r="F1400" s="85">
        <v>0</v>
      </c>
      <c r="G1400" s="86">
        <f t="shared" si="105"/>
        <v>349</v>
      </c>
      <c r="H1400" s="86">
        <f t="shared" si="106"/>
        <v>0</v>
      </c>
      <c r="I1400" s="86">
        <f t="shared" si="107"/>
        <v>349</v>
      </c>
      <c r="J1400" s="84">
        <f>VLOOKUP(C1400, Products[], 6)</f>
        <v>17.45</v>
      </c>
      <c r="K1400" s="86">
        <f t="shared" si="108"/>
        <v>349</v>
      </c>
      <c r="L1400" s="86">
        <f t="shared" si="109"/>
        <v>0</v>
      </c>
    </row>
    <row r="1401" spans="2:12" x14ac:dyDescent="0.2">
      <c r="B1401">
        <v>10779</v>
      </c>
      <c r="C1401">
        <v>62</v>
      </c>
      <c r="D1401" s="84">
        <v>49.3</v>
      </c>
      <c r="E1401">
        <v>20</v>
      </c>
      <c r="F1401" s="85">
        <v>0</v>
      </c>
      <c r="G1401" s="86">
        <f t="shared" si="105"/>
        <v>986</v>
      </c>
      <c r="H1401" s="86">
        <f t="shared" si="106"/>
        <v>0</v>
      </c>
      <c r="I1401" s="86">
        <f t="shared" si="107"/>
        <v>986</v>
      </c>
      <c r="J1401" s="84">
        <f>VLOOKUP(C1401, Products[], 6)</f>
        <v>49.3</v>
      </c>
      <c r="K1401" s="86">
        <f t="shared" si="108"/>
        <v>986</v>
      </c>
      <c r="L1401" s="86">
        <f t="shared" si="109"/>
        <v>0</v>
      </c>
    </row>
    <row r="1402" spans="2:12" x14ac:dyDescent="0.2">
      <c r="B1402">
        <v>10780</v>
      </c>
      <c r="C1402">
        <v>70</v>
      </c>
      <c r="D1402" s="84">
        <v>15</v>
      </c>
      <c r="E1402">
        <v>35</v>
      </c>
      <c r="F1402" s="85">
        <v>0</v>
      </c>
      <c r="G1402" s="86">
        <f t="shared" si="105"/>
        <v>525</v>
      </c>
      <c r="H1402" s="86">
        <f t="shared" si="106"/>
        <v>0</v>
      </c>
      <c r="I1402" s="86">
        <f t="shared" si="107"/>
        <v>525</v>
      </c>
      <c r="J1402" s="84">
        <f>VLOOKUP(C1402, Products[], 6)</f>
        <v>15</v>
      </c>
      <c r="K1402" s="86">
        <f t="shared" si="108"/>
        <v>525</v>
      </c>
      <c r="L1402" s="86">
        <f t="shared" si="109"/>
        <v>0</v>
      </c>
    </row>
    <row r="1403" spans="2:12" x14ac:dyDescent="0.2">
      <c r="B1403">
        <v>10780</v>
      </c>
      <c r="C1403">
        <v>77</v>
      </c>
      <c r="D1403" s="84">
        <v>13</v>
      </c>
      <c r="E1403">
        <v>15</v>
      </c>
      <c r="F1403" s="85">
        <v>0</v>
      </c>
      <c r="G1403" s="86">
        <f t="shared" si="105"/>
        <v>195</v>
      </c>
      <c r="H1403" s="86">
        <f t="shared" si="106"/>
        <v>0</v>
      </c>
      <c r="I1403" s="86">
        <f t="shared" si="107"/>
        <v>195</v>
      </c>
      <c r="J1403" s="84">
        <f>VLOOKUP(C1403, Products[], 6)</f>
        <v>13</v>
      </c>
      <c r="K1403" s="86">
        <f t="shared" si="108"/>
        <v>195</v>
      </c>
      <c r="L1403" s="86">
        <f t="shared" si="109"/>
        <v>0</v>
      </c>
    </row>
    <row r="1404" spans="2:12" x14ac:dyDescent="0.2">
      <c r="B1404">
        <v>10781</v>
      </c>
      <c r="C1404">
        <v>54</v>
      </c>
      <c r="D1404" s="84">
        <v>7.45</v>
      </c>
      <c r="E1404">
        <v>3</v>
      </c>
      <c r="F1404" s="85">
        <v>0.2</v>
      </c>
      <c r="G1404" s="86">
        <f t="shared" si="105"/>
        <v>22.35</v>
      </c>
      <c r="H1404" s="86">
        <f t="shared" si="106"/>
        <v>4.4700000000000006</v>
      </c>
      <c r="I1404" s="86">
        <f t="shared" si="107"/>
        <v>17.880000000000003</v>
      </c>
      <c r="J1404" s="84">
        <f>VLOOKUP(C1404, Products[], 6)</f>
        <v>7.45</v>
      </c>
      <c r="K1404" s="86">
        <f t="shared" si="108"/>
        <v>22.35</v>
      </c>
      <c r="L1404" s="86">
        <f t="shared" si="109"/>
        <v>-4.4699999999999989</v>
      </c>
    </row>
    <row r="1405" spans="2:12" x14ac:dyDescent="0.2">
      <c r="B1405">
        <v>10781</v>
      </c>
      <c r="C1405">
        <v>56</v>
      </c>
      <c r="D1405" s="84">
        <v>38</v>
      </c>
      <c r="E1405">
        <v>20</v>
      </c>
      <c r="F1405" s="85">
        <v>0.2</v>
      </c>
      <c r="G1405" s="86">
        <f t="shared" si="105"/>
        <v>760</v>
      </c>
      <c r="H1405" s="86">
        <f t="shared" si="106"/>
        <v>152</v>
      </c>
      <c r="I1405" s="86">
        <f t="shared" si="107"/>
        <v>608</v>
      </c>
      <c r="J1405" s="84">
        <f>VLOOKUP(C1405, Products[], 6)</f>
        <v>38</v>
      </c>
      <c r="K1405" s="86">
        <f t="shared" si="108"/>
        <v>760</v>
      </c>
      <c r="L1405" s="86">
        <f t="shared" si="109"/>
        <v>-152</v>
      </c>
    </row>
    <row r="1406" spans="2:12" x14ac:dyDescent="0.2">
      <c r="B1406">
        <v>10781</v>
      </c>
      <c r="C1406">
        <v>74</v>
      </c>
      <c r="D1406" s="84">
        <v>10</v>
      </c>
      <c r="E1406">
        <v>35</v>
      </c>
      <c r="F1406" s="85">
        <v>0</v>
      </c>
      <c r="G1406" s="86">
        <f t="shared" si="105"/>
        <v>350</v>
      </c>
      <c r="H1406" s="86">
        <f t="shared" si="106"/>
        <v>0</v>
      </c>
      <c r="I1406" s="86">
        <f t="shared" si="107"/>
        <v>350</v>
      </c>
      <c r="J1406" s="84">
        <f>VLOOKUP(C1406, Products[], 6)</f>
        <v>10</v>
      </c>
      <c r="K1406" s="86">
        <f t="shared" si="108"/>
        <v>350</v>
      </c>
      <c r="L1406" s="86">
        <f t="shared" si="109"/>
        <v>0</v>
      </c>
    </row>
    <row r="1407" spans="2:12" x14ac:dyDescent="0.2">
      <c r="B1407">
        <v>10782</v>
      </c>
      <c r="C1407">
        <v>31</v>
      </c>
      <c r="D1407" s="84">
        <v>12.5</v>
      </c>
      <c r="E1407">
        <v>1</v>
      </c>
      <c r="F1407" s="85">
        <v>0</v>
      </c>
      <c r="G1407" s="86">
        <f t="shared" si="105"/>
        <v>12.5</v>
      </c>
      <c r="H1407" s="86">
        <f t="shared" si="106"/>
        <v>0</v>
      </c>
      <c r="I1407" s="86">
        <f t="shared" si="107"/>
        <v>12.5</v>
      </c>
      <c r="J1407" s="84">
        <f>VLOOKUP(C1407, Products[], 6)</f>
        <v>12.5</v>
      </c>
      <c r="K1407" s="86">
        <f t="shared" si="108"/>
        <v>12.5</v>
      </c>
      <c r="L1407" s="86">
        <f t="shared" si="109"/>
        <v>0</v>
      </c>
    </row>
    <row r="1408" spans="2:12" x14ac:dyDescent="0.2">
      <c r="B1408">
        <v>10783</v>
      </c>
      <c r="C1408">
        <v>31</v>
      </c>
      <c r="D1408" s="84">
        <v>12.5</v>
      </c>
      <c r="E1408">
        <v>10</v>
      </c>
      <c r="F1408" s="85">
        <v>0</v>
      </c>
      <c r="G1408" s="86">
        <f t="shared" si="105"/>
        <v>125</v>
      </c>
      <c r="H1408" s="86">
        <f t="shared" si="106"/>
        <v>0</v>
      </c>
      <c r="I1408" s="86">
        <f t="shared" si="107"/>
        <v>125</v>
      </c>
      <c r="J1408" s="84">
        <f>VLOOKUP(C1408, Products[], 6)</f>
        <v>12.5</v>
      </c>
      <c r="K1408" s="86">
        <f t="shared" si="108"/>
        <v>125</v>
      </c>
      <c r="L1408" s="86">
        <f t="shared" si="109"/>
        <v>0</v>
      </c>
    </row>
    <row r="1409" spans="2:12" x14ac:dyDescent="0.2">
      <c r="B1409">
        <v>10783</v>
      </c>
      <c r="C1409">
        <v>38</v>
      </c>
      <c r="D1409" s="84">
        <v>263.5</v>
      </c>
      <c r="E1409">
        <v>5</v>
      </c>
      <c r="F1409" s="85">
        <v>0</v>
      </c>
      <c r="G1409" s="86">
        <f t="shared" si="105"/>
        <v>1317.5</v>
      </c>
      <c r="H1409" s="86">
        <f t="shared" si="106"/>
        <v>0</v>
      </c>
      <c r="I1409" s="86">
        <f t="shared" si="107"/>
        <v>1317.5</v>
      </c>
      <c r="J1409" s="84">
        <f>VLOOKUP(C1409, Products[], 6)</f>
        <v>263.5</v>
      </c>
      <c r="K1409" s="86">
        <f t="shared" si="108"/>
        <v>1317.5</v>
      </c>
      <c r="L1409" s="86">
        <f t="shared" si="109"/>
        <v>0</v>
      </c>
    </row>
    <row r="1410" spans="2:12" x14ac:dyDescent="0.2">
      <c r="B1410">
        <v>10784</v>
      </c>
      <c r="C1410">
        <v>36</v>
      </c>
      <c r="D1410" s="84">
        <v>19</v>
      </c>
      <c r="E1410">
        <v>30</v>
      </c>
      <c r="F1410" s="85">
        <v>0</v>
      </c>
      <c r="G1410" s="86">
        <f t="shared" si="105"/>
        <v>570</v>
      </c>
      <c r="H1410" s="86">
        <f t="shared" si="106"/>
        <v>0</v>
      </c>
      <c r="I1410" s="86">
        <f t="shared" si="107"/>
        <v>570</v>
      </c>
      <c r="J1410" s="84">
        <f>VLOOKUP(C1410, Products[], 6)</f>
        <v>19</v>
      </c>
      <c r="K1410" s="86">
        <f t="shared" si="108"/>
        <v>570</v>
      </c>
      <c r="L1410" s="86">
        <f t="shared" si="109"/>
        <v>0</v>
      </c>
    </row>
    <row r="1411" spans="2:12" x14ac:dyDescent="0.2">
      <c r="B1411">
        <v>10784</v>
      </c>
      <c r="C1411">
        <v>39</v>
      </c>
      <c r="D1411" s="84">
        <v>18</v>
      </c>
      <c r="E1411">
        <v>2</v>
      </c>
      <c r="F1411" s="85">
        <v>0.15</v>
      </c>
      <c r="G1411" s="86">
        <f t="shared" si="105"/>
        <v>36</v>
      </c>
      <c r="H1411" s="86">
        <f t="shared" si="106"/>
        <v>5.3999999999999995</v>
      </c>
      <c r="I1411" s="86">
        <f t="shared" si="107"/>
        <v>30.6</v>
      </c>
      <c r="J1411" s="84">
        <f>VLOOKUP(C1411, Products[], 6)</f>
        <v>18</v>
      </c>
      <c r="K1411" s="86">
        <f t="shared" si="108"/>
        <v>36</v>
      </c>
      <c r="L1411" s="86">
        <f t="shared" si="109"/>
        <v>-5.3999999999999986</v>
      </c>
    </row>
    <row r="1412" spans="2:12" x14ac:dyDescent="0.2">
      <c r="B1412">
        <v>10784</v>
      </c>
      <c r="C1412">
        <v>72</v>
      </c>
      <c r="D1412" s="84">
        <v>34.799999999999997</v>
      </c>
      <c r="E1412">
        <v>30</v>
      </c>
      <c r="F1412" s="85">
        <v>0.15</v>
      </c>
      <c r="G1412" s="86">
        <f t="shared" si="105"/>
        <v>1044</v>
      </c>
      <c r="H1412" s="86">
        <f t="shared" si="106"/>
        <v>156.6</v>
      </c>
      <c r="I1412" s="86">
        <f t="shared" si="107"/>
        <v>887.4</v>
      </c>
      <c r="J1412" s="84">
        <f>VLOOKUP(C1412, Products[], 6)</f>
        <v>34.799999999999997</v>
      </c>
      <c r="K1412" s="86">
        <f t="shared" si="108"/>
        <v>1044</v>
      </c>
      <c r="L1412" s="86">
        <f t="shared" si="109"/>
        <v>-156.60000000000002</v>
      </c>
    </row>
    <row r="1413" spans="2:12" x14ac:dyDescent="0.2">
      <c r="B1413">
        <v>10785</v>
      </c>
      <c r="C1413">
        <v>10</v>
      </c>
      <c r="D1413" s="84">
        <v>31</v>
      </c>
      <c r="E1413">
        <v>10</v>
      </c>
      <c r="F1413" s="85">
        <v>0</v>
      </c>
      <c r="G1413" s="86">
        <f t="shared" si="105"/>
        <v>310</v>
      </c>
      <c r="H1413" s="86">
        <f t="shared" si="106"/>
        <v>0</v>
      </c>
      <c r="I1413" s="86">
        <f t="shared" si="107"/>
        <v>310</v>
      </c>
      <c r="J1413" s="84">
        <f>VLOOKUP(C1413, Products[], 6)</f>
        <v>31</v>
      </c>
      <c r="K1413" s="86">
        <f t="shared" si="108"/>
        <v>310</v>
      </c>
      <c r="L1413" s="86">
        <f t="shared" si="109"/>
        <v>0</v>
      </c>
    </row>
    <row r="1414" spans="2:12" x14ac:dyDescent="0.2">
      <c r="B1414">
        <v>10785</v>
      </c>
      <c r="C1414">
        <v>75</v>
      </c>
      <c r="D1414" s="84">
        <v>7.75</v>
      </c>
      <c r="E1414">
        <v>10</v>
      </c>
      <c r="F1414" s="85">
        <v>0</v>
      </c>
      <c r="G1414" s="86">
        <f t="shared" si="105"/>
        <v>77.5</v>
      </c>
      <c r="H1414" s="86">
        <f t="shared" si="106"/>
        <v>0</v>
      </c>
      <c r="I1414" s="86">
        <f t="shared" si="107"/>
        <v>77.5</v>
      </c>
      <c r="J1414" s="84">
        <f>VLOOKUP(C1414, Products[], 6)</f>
        <v>7.75</v>
      </c>
      <c r="K1414" s="86">
        <f t="shared" si="108"/>
        <v>77.5</v>
      </c>
      <c r="L1414" s="86">
        <f t="shared" si="109"/>
        <v>0</v>
      </c>
    </row>
    <row r="1415" spans="2:12" x14ac:dyDescent="0.2">
      <c r="B1415">
        <v>10786</v>
      </c>
      <c r="C1415">
        <v>8</v>
      </c>
      <c r="D1415" s="84">
        <v>40</v>
      </c>
      <c r="E1415">
        <v>30</v>
      </c>
      <c r="F1415" s="85">
        <v>0.2</v>
      </c>
      <c r="G1415" s="86">
        <f t="shared" ref="G1415:G1478" si="110">D1415*E1415</f>
        <v>1200</v>
      </c>
      <c r="H1415" s="86">
        <f t="shared" ref="H1415:H1478" si="111">G1415*F1415</f>
        <v>240</v>
      </c>
      <c r="I1415" s="86">
        <f t="shared" ref="I1415:I1478" si="112">G1415-H1415</f>
        <v>960</v>
      </c>
      <c r="J1415" s="84">
        <f>VLOOKUP(C1415, Products[], 6)</f>
        <v>40</v>
      </c>
      <c r="K1415" s="86">
        <f t="shared" ref="K1415:K1478" si="113">J1415*E1415</f>
        <v>1200</v>
      </c>
      <c r="L1415" s="86">
        <f t="shared" ref="L1415:L1478" si="114">I1415-K1415</f>
        <v>-240</v>
      </c>
    </row>
    <row r="1416" spans="2:12" x14ac:dyDescent="0.2">
      <c r="B1416">
        <v>10786</v>
      </c>
      <c r="C1416">
        <v>30</v>
      </c>
      <c r="D1416" s="84">
        <v>25.89</v>
      </c>
      <c r="E1416">
        <v>15</v>
      </c>
      <c r="F1416" s="85">
        <v>0.2</v>
      </c>
      <c r="G1416" s="86">
        <f t="shared" si="110"/>
        <v>388.35</v>
      </c>
      <c r="H1416" s="86">
        <f t="shared" si="111"/>
        <v>77.670000000000016</v>
      </c>
      <c r="I1416" s="86">
        <f t="shared" si="112"/>
        <v>310.68</v>
      </c>
      <c r="J1416" s="84">
        <f>VLOOKUP(C1416, Products[], 6)</f>
        <v>25.89</v>
      </c>
      <c r="K1416" s="86">
        <f t="shared" si="113"/>
        <v>388.35</v>
      </c>
      <c r="L1416" s="86">
        <f t="shared" si="114"/>
        <v>-77.670000000000016</v>
      </c>
    </row>
    <row r="1417" spans="2:12" x14ac:dyDescent="0.2">
      <c r="B1417">
        <v>10786</v>
      </c>
      <c r="C1417">
        <v>75</v>
      </c>
      <c r="D1417" s="84">
        <v>7.75</v>
      </c>
      <c r="E1417">
        <v>42</v>
      </c>
      <c r="F1417" s="85">
        <v>0.2</v>
      </c>
      <c r="G1417" s="86">
        <f t="shared" si="110"/>
        <v>325.5</v>
      </c>
      <c r="H1417" s="86">
        <f t="shared" si="111"/>
        <v>65.100000000000009</v>
      </c>
      <c r="I1417" s="86">
        <f t="shared" si="112"/>
        <v>260.39999999999998</v>
      </c>
      <c r="J1417" s="84">
        <f>VLOOKUP(C1417, Products[], 6)</f>
        <v>7.75</v>
      </c>
      <c r="K1417" s="86">
        <f t="shared" si="113"/>
        <v>325.5</v>
      </c>
      <c r="L1417" s="86">
        <f t="shared" si="114"/>
        <v>-65.100000000000023</v>
      </c>
    </row>
    <row r="1418" spans="2:12" x14ac:dyDescent="0.2">
      <c r="B1418">
        <v>10787</v>
      </c>
      <c r="C1418">
        <v>2</v>
      </c>
      <c r="D1418" s="84">
        <v>19</v>
      </c>
      <c r="E1418">
        <v>15</v>
      </c>
      <c r="F1418" s="85">
        <v>0.05</v>
      </c>
      <c r="G1418" s="86">
        <f t="shared" si="110"/>
        <v>285</v>
      </c>
      <c r="H1418" s="86">
        <f t="shared" si="111"/>
        <v>14.25</v>
      </c>
      <c r="I1418" s="86">
        <f t="shared" si="112"/>
        <v>270.75</v>
      </c>
      <c r="J1418" s="84">
        <f>VLOOKUP(C1418, Products[], 6)</f>
        <v>19</v>
      </c>
      <c r="K1418" s="86">
        <f t="shared" si="113"/>
        <v>285</v>
      </c>
      <c r="L1418" s="86">
        <f t="shared" si="114"/>
        <v>-14.25</v>
      </c>
    </row>
    <row r="1419" spans="2:12" x14ac:dyDescent="0.2">
      <c r="B1419">
        <v>10787</v>
      </c>
      <c r="C1419">
        <v>29</v>
      </c>
      <c r="D1419" s="84">
        <v>123.79</v>
      </c>
      <c r="E1419">
        <v>20</v>
      </c>
      <c r="F1419" s="85">
        <v>0.05</v>
      </c>
      <c r="G1419" s="86">
        <f t="shared" si="110"/>
        <v>2475.8000000000002</v>
      </c>
      <c r="H1419" s="86">
        <f t="shared" si="111"/>
        <v>123.79000000000002</v>
      </c>
      <c r="I1419" s="86">
        <f t="shared" si="112"/>
        <v>2352.0100000000002</v>
      </c>
      <c r="J1419" s="84">
        <f>VLOOKUP(C1419, Products[], 6)</f>
        <v>123.79</v>
      </c>
      <c r="K1419" s="86">
        <f t="shared" si="113"/>
        <v>2475.8000000000002</v>
      </c>
      <c r="L1419" s="86">
        <f t="shared" si="114"/>
        <v>-123.78999999999996</v>
      </c>
    </row>
    <row r="1420" spans="2:12" x14ac:dyDescent="0.2">
      <c r="B1420">
        <v>10788</v>
      </c>
      <c r="C1420">
        <v>19</v>
      </c>
      <c r="D1420" s="84">
        <v>9.1999999999999993</v>
      </c>
      <c r="E1420">
        <v>50</v>
      </c>
      <c r="F1420" s="85">
        <v>0.05</v>
      </c>
      <c r="G1420" s="86">
        <f t="shared" si="110"/>
        <v>459.99999999999994</v>
      </c>
      <c r="H1420" s="86">
        <f t="shared" si="111"/>
        <v>23</v>
      </c>
      <c r="I1420" s="86">
        <f t="shared" si="112"/>
        <v>436.99999999999994</v>
      </c>
      <c r="J1420" s="84">
        <f>VLOOKUP(C1420, Products[], 6)</f>
        <v>9.1999999999999993</v>
      </c>
      <c r="K1420" s="86">
        <f t="shared" si="113"/>
        <v>459.99999999999994</v>
      </c>
      <c r="L1420" s="86">
        <f t="shared" si="114"/>
        <v>-23</v>
      </c>
    </row>
    <row r="1421" spans="2:12" x14ac:dyDescent="0.2">
      <c r="B1421">
        <v>10788</v>
      </c>
      <c r="C1421">
        <v>75</v>
      </c>
      <c r="D1421" s="84">
        <v>7.75</v>
      </c>
      <c r="E1421">
        <v>40</v>
      </c>
      <c r="F1421" s="85">
        <v>0.05</v>
      </c>
      <c r="G1421" s="86">
        <f t="shared" si="110"/>
        <v>310</v>
      </c>
      <c r="H1421" s="86">
        <f t="shared" si="111"/>
        <v>15.5</v>
      </c>
      <c r="I1421" s="86">
        <f t="shared" si="112"/>
        <v>294.5</v>
      </c>
      <c r="J1421" s="84">
        <f>VLOOKUP(C1421, Products[], 6)</f>
        <v>7.75</v>
      </c>
      <c r="K1421" s="86">
        <f t="shared" si="113"/>
        <v>310</v>
      </c>
      <c r="L1421" s="86">
        <f t="shared" si="114"/>
        <v>-15.5</v>
      </c>
    </row>
    <row r="1422" spans="2:12" x14ac:dyDescent="0.2">
      <c r="B1422">
        <v>10789</v>
      </c>
      <c r="C1422">
        <v>18</v>
      </c>
      <c r="D1422" s="84">
        <v>62.5</v>
      </c>
      <c r="E1422">
        <v>30</v>
      </c>
      <c r="F1422" s="85">
        <v>0</v>
      </c>
      <c r="G1422" s="86">
        <f t="shared" si="110"/>
        <v>1875</v>
      </c>
      <c r="H1422" s="86">
        <f t="shared" si="111"/>
        <v>0</v>
      </c>
      <c r="I1422" s="86">
        <f t="shared" si="112"/>
        <v>1875</v>
      </c>
      <c r="J1422" s="84">
        <f>VLOOKUP(C1422, Products[], 6)</f>
        <v>62.5</v>
      </c>
      <c r="K1422" s="86">
        <f t="shared" si="113"/>
        <v>1875</v>
      </c>
      <c r="L1422" s="86">
        <f t="shared" si="114"/>
        <v>0</v>
      </c>
    </row>
    <row r="1423" spans="2:12" x14ac:dyDescent="0.2">
      <c r="B1423">
        <v>10789</v>
      </c>
      <c r="C1423">
        <v>35</v>
      </c>
      <c r="D1423" s="84">
        <v>18</v>
      </c>
      <c r="E1423">
        <v>15</v>
      </c>
      <c r="F1423" s="85">
        <v>0</v>
      </c>
      <c r="G1423" s="86">
        <f t="shared" si="110"/>
        <v>270</v>
      </c>
      <c r="H1423" s="86">
        <f t="shared" si="111"/>
        <v>0</v>
      </c>
      <c r="I1423" s="86">
        <f t="shared" si="112"/>
        <v>270</v>
      </c>
      <c r="J1423" s="84">
        <f>VLOOKUP(C1423, Products[], 6)</f>
        <v>18</v>
      </c>
      <c r="K1423" s="86">
        <f t="shared" si="113"/>
        <v>270</v>
      </c>
      <c r="L1423" s="86">
        <f t="shared" si="114"/>
        <v>0</v>
      </c>
    </row>
    <row r="1424" spans="2:12" x14ac:dyDescent="0.2">
      <c r="B1424">
        <v>10789</v>
      </c>
      <c r="C1424">
        <v>63</v>
      </c>
      <c r="D1424" s="84">
        <v>43.9</v>
      </c>
      <c r="E1424">
        <v>30</v>
      </c>
      <c r="F1424" s="85">
        <v>0</v>
      </c>
      <c r="G1424" s="86">
        <f t="shared" si="110"/>
        <v>1317</v>
      </c>
      <c r="H1424" s="86">
        <f t="shared" si="111"/>
        <v>0</v>
      </c>
      <c r="I1424" s="86">
        <f t="shared" si="112"/>
        <v>1317</v>
      </c>
      <c r="J1424" s="84">
        <f>VLOOKUP(C1424, Products[], 6)</f>
        <v>43.9</v>
      </c>
      <c r="K1424" s="86">
        <f t="shared" si="113"/>
        <v>1317</v>
      </c>
      <c r="L1424" s="86">
        <f t="shared" si="114"/>
        <v>0</v>
      </c>
    </row>
    <row r="1425" spans="2:12" x14ac:dyDescent="0.2">
      <c r="B1425">
        <v>10789</v>
      </c>
      <c r="C1425">
        <v>68</v>
      </c>
      <c r="D1425" s="84">
        <v>12.5</v>
      </c>
      <c r="E1425">
        <v>18</v>
      </c>
      <c r="F1425" s="85">
        <v>0</v>
      </c>
      <c r="G1425" s="86">
        <f t="shared" si="110"/>
        <v>225</v>
      </c>
      <c r="H1425" s="86">
        <f t="shared" si="111"/>
        <v>0</v>
      </c>
      <c r="I1425" s="86">
        <f t="shared" si="112"/>
        <v>225</v>
      </c>
      <c r="J1425" s="84">
        <f>VLOOKUP(C1425, Products[], 6)</f>
        <v>12.5</v>
      </c>
      <c r="K1425" s="86">
        <f t="shared" si="113"/>
        <v>225</v>
      </c>
      <c r="L1425" s="86">
        <f t="shared" si="114"/>
        <v>0</v>
      </c>
    </row>
    <row r="1426" spans="2:12" x14ac:dyDescent="0.2">
      <c r="B1426">
        <v>10790</v>
      </c>
      <c r="C1426">
        <v>7</v>
      </c>
      <c r="D1426" s="84">
        <v>30</v>
      </c>
      <c r="E1426">
        <v>3</v>
      </c>
      <c r="F1426" s="85">
        <v>0.15</v>
      </c>
      <c r="G1426" s="86">
        <f t="shared" si="110"/>
        <v>90</v>
      </c>
      <c r="H1426" s="86">
        <f t="shared" si="111"/>
        <v>13.5</v>
      </c>
      <c r="I1426" s="86">
        <f t="shared" si="112"/>
        <v>76.5</v>
      </c>
      <c r="J1426" s="84">
        <f>VLOOKUP(C1426, Products[], 6)</f>
        <v>30</v>
      </c>
      <c r="K1426" s="86">
        <f t="shared" si="113"/>
        <v>90</v>
      </c>
      <c r="L1426" s="86">
        <f t="shared" si="114"/>
        <v>-13.5</v>
      </c>
    </row>
    <row r="1427" spans="2:12" x14ac:dyDescent="0.2">
      <c r="B1427">
        <v>10790</v>
      </c>
      <c r="C1427">
        <v>56</v>
      </c>
      <c r="D1427" s="84">
        <v>38</v>
      </c>
      <c r="E1427">
        <v>20</v>
      </c>
      <c r="F1427" s="85">
        <v>0.15</v>
      </c>
      <c r="G1427" s="86">
        <f t="shared" si="110"/>
        <v>760</v>
      </c>
      <c r="H1427" s="86">
        <f t="shared" si="111"/>
        <v>114</v>
      </c>
      <c r="I1427" s="86">
        <f t="shared" si="112"/>
        <v>646</v>
      </c>
      <c r="J1427" s="84">
        <f>VLOOKUP(C1427, Products[], 6)</f>
        <v>38</v>
      </c>
      <c r="K1427" s="86">
        <f t="shared" si="113"/>
        <v>760</v>
      </c>
      <c r="L1427" s="86">
        <f t="shared" si="114"/>
        <v>-114</v>
      </c>
    </row>
    <row r="1428" spans="2:12" x14ac:dyDescent="0.2">
      <c r="B1428">
        <v>10791</v>
      </c>
      <c r="C1428">
        <v>29</v>
      </c>
      <c r="D1428" s="84">
        <v>123.79</v>
      </c>
      <c r="E1428">
        <v>14</v>
      </c>
      <c r="F1428" s="85">
        <v>0.05</v>
      </c>
      <c r="G1428" s="86">
        <f t="shared" si="110"/>
        <v>1733.0600000000002</v>
      </c>
      <c r="H1428" s="86">
        <f t="shared" si="111"/>
        <v>86.65300000000002</v>
      </c>
      <c r="I1428" s="86">
        <f t="shared" si="112"/>
        <v>1646.4070000000002</v>
      </c>
      <c r="J1428" s="84">
        <f>VLOOKUP(C1428, Products[], 6)</f>
        <v>123.79</v>
      </c>
      <c r="K1428" s="86">
        <f t="shared" si="113"/>
        <v>1733.0600000000002</v>
      </c>
      <c r="L1428" s="86">
        <f t="shared" si="114"/>
        <v>-86.65300000000002</v>
      </c>
    </row>
    <row r="1429" spans="2:12" x14ac:dyDescent="0.2">
      <c r="B1429">
        <v>10791</v>
      </c>
      <c r="C1429">
        <v>41</v>
      </c>
      <c r="D1429" s="84">
        <v>9.65</v>
      </c>
      <c r="E1429">
        <v>20</v>
      </c>
      <c r="F1429" s="85">
        <v>0.05</v>
      </c>
      <c r="G1429" s="86">
        <f t="shared" si="110"/>
        <v>193</v>
      </c>
      <c r="H1429" s="86">
        <f t="shared" si="111"/>
        <v>9.65</v>
      </c>
      <c r="I1429" s="86">
        <f t="shared" si="112"/>
        <v>183.35</v>
      </c>
      <c r="J1429" s="84">
        <f>VLOOKUP(C1429, Products[], 6)</f>
        <v>9.65</v>
      </c>
      <c r="K1429" s="86">
        <f t="shared" si="113"/>
        <v>193</v>
      </c>
      <c r="L1429" s="86">
        <f t="shared" si="114"/>
        <v>-9.6500000000000057</v>
      </c>
    </row>
    <row r="1430" spans="2:12" x14ac:dyDescent="0.2">
      <c r="B1430">
        <v>10792</v>
      </c>
      <c r="C1430">
        <v>2</v>
      </c>
      <c r="D1430" s="84">
        <v>19</v>
      </c>
      <c r="E1430">
        <v>10</v>
      </c>
      <c r="F1430" s="85">
        <v>0</v>
      </c>
      <c r="G1430" s="86">
        <f t="shared" si="110"/>
        <v>190</v>
      </c>
      <c r="H1430" s="86">
        <f t="shared" si="111"/>
        <v>0</v>
      </c>
      <c r="I1430" s="86">
        <f t="shared" si="112"/>
        <v>190</v>
      </c>
      <c r="J1430" s="84">
        <f>VLOOKUP(C1430, Products[], 6)</f>
        <v>19</v>
      </c>
      <c r="K1430" s="86">
        <f t="shared" si="113"/>
        <v>190</v>
      </c>
      <c r="L1430" s="86">
        <f t="shared" si="114"/>
        <v>0</v>
      </c>
    </row>
    <row r="1431" spans="2:12" x14ac:dyDescent="0.2">
      <c r="B1431">
        <v>10792</v>
      </c>
      <c r="C1431">
        <v>54</v>
      </c>
      <c r="D1431" s="84">
        <v>7.45</v>
      </c>
      <c r="E1431">
        <v>3</v>
      </c>
      <c r="F1431" s="85">
        <v>0</v>
      </c>
      <c r="G1431" s="86">
        <f t="shared" si="110"/>
        <v>22.35</v>
      </c>
      <c r="H1431" s="86">
        <f t="shared" si="111"/>
        <v>0</v>
      </c>
      <c r="I1431" s="86">
        <f t="shared" si="112"/>
        <v>22.35</v>
      </c>
      <c r="J1431" s="84">
        <f>VLOOKUP(C1431, Products[], 6)</f>
        <v>7.45</v>
      </c>
      <c r="K1431" s="86">
        <f t="shared" si="113"/>
        <v>22.35</v>
      </c>
      <c r="L1431" s="86">
        <f t="shared" si="114"/>
        <v>0</v>
      </c>
    </row>
    <row r="1432" spans="2:12" x14ac:dyDescent="0.2">
      <c r="B1432">
        <v>10792</v>
      </c>
      <c r="C1432">
        <v>68</v>
      </c>
      <c r="D1432" s="84">
        <v>12.5</v>
      </c>
      <c r="E1432">
        <v>15</v>
      </c>
      <c r="F1432" s="85">
        <v>0</v>
      </c>
      <c r="G1432" s="86">
        <f t="shared" si="110"/>
        <v>187.5</v>
      </c>
      <c r="H1432" s="86">
        <f t="shared" si="111"/>
        <v>0</v>
      </c>
      <c r="I1432" s="86">
        <f t="shared" si="112"/>
        <v>187.5</v>
      </c>
      <c r="J1432" s="84">
        <f>VLOOKUP(C1432, Products[], 6)</f>
        <v>12.5</v>
      </c>
      <c r="K1432" s="86">
        <f t="shared" si="113"/>
        <v>187.5</v>
      </c>
      <c r="L1432" s="86">
        <f t="shared" si="114"/>
        <v>0</v>
      </c>
    </row>
    <row r="1433" spans="2:12" x14ac:dyDescent="0.2">
      <c r="B1433">
        <v>10793</v>
      </c>
      <c r="C1433">
        <v>41</v>
      </c>
      <c r="D1433" s="84">
        <v>9.65</v>
      </c>
      <c r="E1433">
        <v>14</v>
      </c>
      <c r="F1433" s="85">
        <v>0</v>
      </c>
      <c r="G1433" s="86">
        <f t="shared" si="110"/>
        <v>135.1</v>
      </c>
      <c r="H1433" s="86">
        <f t="shared" si="111"/>
        <v>0</v>
      </c>
      <c r="I1433" s="86">
        <f t="shared" si="112"/>
        <v>135.1</v>
      </c>
      <c r="J1433" s="84">
        <f>VLOOKUP(C1433, Products[], 6)</f>
        <v>9.65</v>
      </c>
      <c r="K1433" s="86">
        <f t="shared" si="113"/>
        <v>135.1</v>
      </c>
      <c r="L1433" s="86">
        <f t="shared" si="114"/>
        <v>0</v>
      </c>
    </row>
    <row r="1434" spans="2:12" x14ac:dyDescent="0.2">
      <c r="B1434">
        <v>10793</v>
      </c>
      <c r="C1434">
        <v>52</v>
      </c>
      <c r="D1434" s="84">
        <v>7</v>
      </c>
      <c r="E1434">
        <v>8</v>
      </c>
      <c r="F1434" s="85">
        <v>0</v>
      </c>
      <c r="G1434" s="86">
        <f t="shared" si="110"/>
        <v>56</v>
      </c>
      <c r="H1434" s="86">
        <f t="shared" si="111"/>
        <v>0</v>
      </c>
      <c r="I1434" s="86">
        <f t="shared" si="112"/>
        <v>56</v>
      </c>
      <c r="J1434" s="84">
        <f>VLOOKUP(C1434, Products[], 6)</f>
        <v>7</v>
      </c>
      <c r="K1434" s="86">
        <f t="shared" si="113"/>
        <v>56</v>
      </c>
      <c r="L1434" s="86">
        <f t="shared" si="114"/>
        <v>0</v>
      </c>
    </row>
    <row r="1435" spans="2:12" x14ac:dyDescent="0.2">
      <c r="B1435">
        <v>10794</v>
      </c>
      <c r="C1435">
        <v>14</v>
      </c>
      <c r="D1435" s="84">
        <v>23.25</v>
      </c>
      <c r="E1435">
        <v>15</v>
      </c>
      <c r="F1435" s="85">
        <v>0.2</v>
      </c>
      <c r="G1435" s="86">
        <f t="shared" si="110"/>
        <v>348.75</v>
      </c>
      <c r="H1435" s="86">
        <f t="shared" si="111"/>
        <v>69.75</v>
      </c>
      <c r="I1435" s="86">
        <f t="shared" si="112"/>
        <v>279</v>
      </c>
      <c r="J1435" s="84">
        <f>VLOOKUP(C1435, Products[], 6)</f>
        <v>23.25</v>
      </c>
      <c r="K1435" s="86">
        <f t="shared" si="113"/>
        <v>348.75</v>
      </c>
      <c r="L1435" s="86">
        <f t="shared" si="114"/>
        <v>-69.75</v>
      </c>
    </row>
    <row r="1436" spans="2:12" x14ac:dyDescent="0.2">
      <c r="B1436">
        <v>10794</v>
      </c>
      <c r="C1436">
        <v>54</v>
      </c>
      <c r="D1436" s="84">
        <v>7.45</v>
      </c>
      <c r="E1436">
        <v>6</v>
      </c>
      <c r="F1436" s="85">
        <v>0.2</v>
      </c>
      <c r="G1436" s="86">
        <f t="shared" si="110"/>
        <v>44.7</v>
      </c>
      <c r="H1436" s="86">
        <f t="shared" si="111"/>
        <v>8.9400000000000013</v>
      </c>
      <c r="I1436" s="86">
        <f t="shared" si="112"/>
        <v>35.760000000000005</v>
      </c>
      <c r="J1436" s="84">
        <f>VLOOKUP(C1436, Products[], 6)</f>
        <v>7.45</v>
      </c>
      <c r="K1436" s="86">
        <f t="shared" si="113"/>
        <v>44.7</v>
      </c>
      <c r="L1436" s="86">
        <f t="shared" si="114"/>
        <v>-8.9399999999999977</v>
      </c>
    </row>
    <row r="1437" spans="2:12" x14ac:dyDescent="0.2">
      <c r="B1437">
        <v>10795</v>
      </c>
      <c r="C1437">
        <v>16</v>
      </c>
      <c r="D1437" s="84">
        <v>17.45</v>
      </c>
      <c r="E1437">
        <v>65</v>
      </c>
      <c r="F1437" s="85">
        <v>0</v>
      </c>
      <c r="G1437" s="86">
        <f t="shared" si="110"/>
        <v>1134.25</v>
      </c>
      <c r="H1437" s="86">
        <f t="shared" si="111"/>
        <v>0</v>
      </c>
      <c r="I1437" s="86">
        <f t="shared" si="112"/>
        <v>1134.25</v>
      </c>
      <c r="J1437" s="84">
        <f>VLOOKUP(C1437, Products[], 6)</f>
        <v>17.45</v>
      </c>
      <c r="K1437" s="86">
        <f t="shared" si="113"/>
        <v>1134.25</v>
      </c>
      <c r="L1437" s="86">
        <f t="shared" si="114"/>
        <v>0</v>
      </c>
    </row>
    <row r="1438" spans="2:12" x14ac:dyDescent="0.2">
      <c r="B1438">
        <v>10795</v>
      </c>
      <c r="C1438">
        <v>17</v>
      </c>
      <c r="D1438" s="84">
        <v>39</v>
      </c>
      <c r="E1438">
        <v>35</v>
      </c>
      <c r="F1438" s="85">
        <v>0.25</v>
      </c>
      <c r="G1438" s="86">
        <f t="shared" si="110"/>
        <v>1365</v>
      </c>
      <c r="H1438" s="86">
        <f t="shared" si="111"/>
        <v>341.25</v>
      </c>
      <c r="I1438" s="86">
        <f t="shared" si="112"/>
        <v>1023.75</v>
      </c>
      <c r="J1438" s="84">
        <f>VLOOKUP(C1438, Products[], 6)</f>
        <v>39</v>
      </c>
      <c r="K1438" s="86">
        <f t="shared" si="113"/>
        <v>1365</v>
      </c>
      <c r="L1438" s="86">
        <f t="shared" si="114"/>
        <v>-341.25</v>
      </c>
    </row>
    <row r="1439" spans="2:12" x14ac:dyDescent="0.2">
      <c r="B1439">
        <v>10796</v>
      </c>
      <c r="C1439">
        <v>26</v>
      </c>
      <c r="D1439" s="84">
        <v>31.23</v>
      </c>
      <c r="E1439">
        <v>21</v>
      </c>
      <c r="F1439" s="85">
        <v>0.2</v>
      </c>
      <c r="G1439" s="86">
        <f t="shared" si="110"/>
        <v>655.83</v>
      </c>
      <c r="H1439" s="86">
        <f t="shared" si="111"/>
        <v>131.16600000000003</v>
      </c>
      <c r="I1439" s="86">
        <f t="shared" si="112"/>
        <v>524.66399999999999</v>
      </c>
      <c r="J1439" s="84">
        <f>VLOOKUP(C1439, Products[], 6)</f>
        <v>31.23</v>
      </c>
      <c r="K1439" s="86">
        <f t="shared" si="113"/>
        <v>655.83</v>
      </c>
      <c r="L1439" s="86">
        <f t="shared" si="114"/>
        <v>-131.16600000000005</v>
      </c>
    </row>
    <row r="1440" spans="2:12" x14ac:dyDescent="0.2">
      <c r="B1440">
        <v>10796</v>
      </c>
      <c r="C1440">
        <v>44</v>
      </c>
      <c r="D1440" s="84">
        <v>19.45</v>
      </c>
      <c r="E1440">
        <v>10</v>
      </c>
      <c r="F1440" s="85">
        <v>0</v>
      </c>
      <c r="G1440" s="86">
        <f t="shared" si="110"/>
        <v>194.5</v>
      </c>
      <c r="H1440" s="86">
        <f t="shared" si="111"/>
        <v>0</v>
      </c>
      <c r="I1440" s="86">
        <f t="shared" si="112"/>
        <v>194.5</v>
      </c>
      <c r="J1440" s="84">
        <f>VLOOKUP(C1440, Products[], 6)</f>
        <v>19.45</v>
      </c>
      <c r="K1440" s="86">
        <f t="shared" si="113"/>
        <v>194.5</v>
      </c>
      <c r="L1440" s="86">
        <f t="shared" si="114"/>
        <v>0</v>
      </c>
    </row>
    <row r="1441" spans="2:12" x14ac:dyDescent="0.2">
      <c r="B1441">
        <v>10796</v>
      </c>
      <c r="C1441">
        <v>64</v>
      </c>
      <c r="D1441" s="84">
        <v>33.25</v>
      </c>
      <c r="E1441">
        <v>35</v>
      </c>
      <c r="F1441" s="85">
        <v>0.2</v>
      </c>
      <c r="G1441" s="86">
        <f t="shared" si="110"/>
        <v>1163.75</v>
      </c>
      <c r="H1441" s="86">
        <f t="shared" si="111"/>
        <v>232.75</v>
      </c>
      <c r="I1441" s="86">
        <f t="shared" si="112"/>
        <v>931</v>
      </c>
      <c r="J1441" s="84">
        <f>VLOOKUP(C1441, Products[], 6)</f>
        <v>33.25</v>
      </c>
      <c r="K1441" s="86">
        <f t="shared" si="113"/>
        <v>1163.75</v>
      </c>
      <c r="L1441" s="86">
        <f t="shared" si="114"/>
        <v>-232.75</v>
      </c>
    </row>
    <row r="1442" spans="2:12" x14ac:dyDescent="0.2">
      <c r="B1442">
        <v>10796</v>
      </c>
      <c r="C1442">
        <v>69</v>
      </c>
      <c r="D1442" s="84">
        <v>36</v>
      </c>
      <c r="E1442">
        <v>24</v>
      </c>
      <c r="F1442" s="85">
        <v>0.2</v>
      </c>
      <c r="G1442" s="86">
        <f t="shared" si="110"/>
        <v>864</v>
      </c>
      <c r="H1442" s="86">
        <f t="shared" si="111"/>
        <v>172.8</v>
      </c>
      <c r="I1442" s="86">
        <f t="shared" si="112"/>
        <v>691.2</v>
      </c>
      <c r="J1442" s="84">
        <f>VLOOKUP(C1442, Products[], 6)</f>
        <v>36</v>
      </c>
      <c r="K1442" s="86">
        <f t="shared" si="113"/>
        <v>864</v>
      </c>
      <c r="L1442" s="86">
        <f t="shared" si="114"/>
        <v>-172.79999999999995</v>
      </c>
    </row>
    <row r="1443" spans="2:12" x14ac:dyDescent="0.2">
      <c r="B1443">
        <v>10797</v>
      </c>
      <c r="C1443">
        <v>11</v>
      </c>
      <c r="D1443" s="84">
        <v>21</v>
      </c>
      <c r="E1443">
        <v>20</v>
      </c>
      <c r="F1443" s="85">
        <v>0</v>
      </c>
      <c r="G1443" s="86">
        <f t="shared" si="110"/>
        <v>420</v>
      </c>
      <c r="H1443" s="86">
        <f t="shared" si="111"/>
        <v>0</v>
      </c>
      <c r="I1443" s="86">
        <f t="shared" si="112"/>
        <v>420</v>
      </c>
      <c r="J1443" s="84">
        <f>VLOOKUP(C1443, Products[], 6)</f>
        <v>21</v>
      </c>
      <c r="K1443" s="86">
        <f t="shared" si="113"/>
        <v>420</v>
      </c>
      <c r="L1443" s="86">
        <f t="shared" si="114"/>
        <v>0</v>
      </c>
    </row>
    <row r="1444" spans="2:12" x14ac:dyDescent="0.2">
      <c r="B1444">
        <v>10798</v>
      </c>
      <c r="C1444">
        <v>62</v>
      </c>
      <c r="D1444" s="84">
        <v>49.3</v>
      </c>
      <c r="E1444">
        <v>2</v>
      </c>
      <c r="F1444" s="85">
        <v>0</v>
      </c>
      <c r="G1444" s="86">
        <f t="shared" si="110"/>
        <v>98.6</v>
      </c>
      <c r="H1444" s="86">
        <f t="shared" si="111"/>
        <v>0</v>
      </c>
      <c r="I1444" s="86">
        <f t="shared" si="112"/>
        <v>98.6</v>
      </c>
      <c r="J1444" s="84">
        <f>VLOOKUP(C1444, Products[], 6)</f>
        <v>49.3</v>
      </c>
      <c r="K1444" s="86">
        <f t="shared" si="113"/>
        <v>98.6</v>
      </c>
      <c r="L1444" s="86">
        <f t="shared" si="114"/>
        <v>0</v>
      </c>
    </row>
    <row r="1445" spans="2:12" x14ac:dyDescent="0.2">
      <c r="B1445">
        <v>10798</v>
      </c>
      <c r="C1445">
        <v>72</v>
      </c>
      <c r="D1445" s="84">
        <v>34.799999999999997</v>
      </c>
      <c r="E1445">
        <v>10</v>
      </c>
      <c r="F1445" s="85">
        <v>0</v>
      </c>
      <c r="G1445" s="86">
        <f t="shared" si="110"/>
        <v>348</v>
      </c>
      <c r="H1445" s="86">
        <f t="shared" si="111"/>
        <v>0</v>
      </c>
      <c r="I1445" s="86">
        <f t="shared" si="112"/>
        <v>348</v>
      </c>
      <c r="J1445" s="84">
        <f>VLOOKUP(C1445, Products[], 6)</f>
        <v>34.799999999999997</v>
      </c>
      <c r="K1445" s="86">
        <f t="shared" si="113"/>
        <v>348</v>
      </c>
      <c r="L1445" s="86">
        <f t="shared" si="114"/>
        <v>0</v>
      </c>
    </row>
    <row r="1446" spans="2:12" x14ac:dyDescent="0.2">
      <c r="B1446">
        <v>10799</v>
      </c>
      <c r="C1446">
        <v>13</v>
      </c>
      <c r="D1446" s="84">
        <v>6</v>
      </c>
      <c r="E1446">
        <v>20</v>
      </c>
      <c r="F1446" s="85">
        <v>0.15</v>
      </c>
      <c r="G1446" s="86">
        <f t="shared" si="110"/>
        <v>120</v>
      </c>
      <c r="H1446" s="86">
        <f t="shared" si="111"/>
        <v>18</v>
      </c>
      <c r="I1446" s="86">
        <f t="shared" si="112"/>
        <v>102</v>
      </c>
      <c r="J1446" s="84">
        <f>VLOOKUP(C1446, Products[], 6)</f>
        <v>6</v>
      </c>
      <c r="K1446" s="86">
        <f t="shared" si="113"/>
        <v>120</v>
      </c>
      <c r="L1446" s="86">
        <f t="shared" si="114"/>
        <v>-18</v>
      </c>
    </row>
    <row r="1447" spans="2:12" x14ac:dyDescent="0.2">
      <c r="B1447">
        <v>10799</v>
      </c>
      <c r="C1447">
        <v>24</v>
      </c>
      <c r="D1447" s="84">
        <v>4.5</v>
      </c>
      <c r="E1447">
        <v>20</v>
      </c>
      <c r="F1447" s="85">
        <v>0.15</v>
      </c>
      <c r="G1447" s="86">
        <f t="shared" si="110"/>
        <v>90</v>
      </c>
      <c r="H1447" s="86">
        <f t="shared" si="111"/>
        <v>13.5</v>
      </c>
      <c r="I1447" s="86">
        <f t="shared" si="112"/>
        <v>76.5</v>
      </c>
      <c r="J1447" s="84">
        <f>VLOOKUP(C1447, Products[], 6)</f>
        <v>4.5</v>
      </c>
      <c r="K1447" s="86">
        <f t="shared" si="113"/>
        <v>90</v>
      </c>
      <c r="L1447" s="86">
        <f t="shared" si="114"/>
        <v>-13.5</v>
      </c>
    </row>
    <row r="1448" spans="2:12" x14ac:dyDescent="0.2">
      <c r="B1448">
        <v>10799</v>
      </c>
      <c r="C1448">
        <v>59</v>
      </c>
      <c r="D1448" s="84">
        <v>55</v>
      </c>
      <c r="E1448">
        <v>25</v>
      </c>
      <c r="F1448" s="85">
        <v>0</v>
      </c>
      <c r="G1448" s="86">
        <f t="shared" si="110"/>
        <v>1375</v>
      </c>
      <c r="H1448" s="86">
        <f t="shared" si="111"/>
        <v>0</v>
      </c>
      <c r="I1448" s="86">
        <f t="shared" si="112"/>
        <v>1375</v>
      </c>
      <c r="J1448" s="84">
        <f>VLOOKUP(C1448, Products[], 6)</f>
        <v>55</v>
      </c>
      <c r="K1448" s="86">
        <f t="shared" si="113"/>
        <v>1375</v>
      </c>
      <c r="L1448" s="86">
        <f t="shared" si="114"/>
        <v>0</v>
      </c>
    </row>
    <row r="1449" spans="2:12" x14ac:dyDescent="0.2">
      <c r="B1449">
        <v>10800</v>
      </c>
      <c r="C1449">
        <v>11</v>
      </c>
      <c r="D1449" s="84">
        <v>21</v>
      </c>
      <c r="E1449">
        <v>50</v>
      </c>
      <c r="F1449" s="85">
        <v>0.1</v>
      </c>
      <c r="G1449" s="86">
        <f t="shared" si="110"/>
        <v>1050</v>
      </c>
      <c r="H1449" s="86">
        <f t="shared" si="111"/>
        <v>105</v>
      </c>
      <c r="I1449" s="86">
        <f t="shared" si="112"/>
        <v>945</v>
      </c>
      <c r="J1449" s="84">
        <f>VLOOKUP(C1449, Products[], 6)</f>
        <v>21</v>
      </c>
      <c r="K1449" s="86">
        <f t="shared" si="113"/>
        <v>1050</v>
      </c>
      <c r="L1449" s="86">
        <f t="shared" si="114"/>
        <v>-105</v>
      </c>
    </row>
    <row r="1450" spans="2:12" x14ac:dyDescent="0.2">
      <c r="B1450">
        <v>10800</v>
      </c>
      <c r="C1450">
        <v>51</v>
      </c>
      <c r="D1450" s="84">
        <v>53</v>
      </c>
      <c r="E1450">
        <v>10</v>
      </c>
      <c r="F1450" s="85">
        <v>0.1</v>
      </c>
      <c r="G1450" s="86">
        <f t="shared" si="110"/>
        <v>530</v>
      </c>
      <c r="H1450" s="86">
        <f t="shared" si="111"/>
        <v>53</v>
      </c>
      <c r="I1450" s="86">
        <f t="shared" si="112"/>
        <v>477</v>
      </c>
      <c r="J1450" s="84">
        <f>VLOOKUP(C1450, Products[], 6)</f>
        <v>53</v>
      </c>
      <c r="K1450" s="86">
        <f t="shared" si="113"/>
        <v>530</v>
      </c>
      <c r="L1450" s="86">
        <f t="shared" si="114"/>
        <v>-53</v>
      </c>
    </row>
    <row r="1451" spans="2:12" x14ac:dyDescent="0.2">
      <c r="B1451">
        <v>10800</v>
      </c>
      <c r="C1451">
        <v>54</v>
      </c>
      <c r="D1451" s="84">
        <v>7.45</v>
      </c>
      <c r="E1451">
        <v>7</v>
      </c>
      <c r="F1451" s="85">
        <v>0.1</v>
      </c>
      <c r="G1451" s="86">
        <f t="shared" si="110"/>
        <v>52.15</v>
      </c>
      <c r="H1451" s="86">
        <f t="shared" si="111"/>
        <v>5.2149999999999999</v>
      </c>
      <c r="I1451" s="86">
        <f t="shared" si="112"/>
        <v>46.935000000000002</v>
      </c>
      <c r="J1451" s="84">
        <f>VLOOKUP(C1451, Products[], 6)</f>
        <v>7.45</v>
      </c>
      <c r="K1451" s="86">
        <f t="shared" si="113"/>
        <v>52.15</v>
      </c>
      <c r="L1451" s="86">
        <f t="shared" si="114"/>
        <v>-5.2149999999999963</v>
      </c>
    </row>
    <row r="1452" spans="2:12" x14ac:dyDescent="0.2">
      <c r="B1452">
        <v>10801</v>
      </c>
      <c r="C1452">
        <v>17</v>
      </c>
      <c r="D1452" s="84">
        <v>39</v>
      </c>
      <c r="E1452">
        <v>40</v>
      </c>
      <c r="F1452" s="85">
        <v>0.25</v>
      </c>
      <c r="G1452" s="86">
        <f t="shared" si="110"/>
        <v>1560</v>
      </c>
      <c r="H1452" s="86">
        <f t="shared" si="111"/>
        <v>390</v>
      </c>
      <c r="I1452" s="86">
        <f t="shared" si="112"/>
        <v>1170</v>
      </c>
      <c r="J1452" s="84">
        <f>VLOOKUP(C1452, Products[], 6)</f>
        <v>39</v>
      </c>
      <c r="K1452" s="86">
        <f t="shared" si="113"/>
        <v>1560</v>
      </c>
      <c r="L1452" s="86">
        <f t="shared" si="114"/>
        <v>-390</v>
      </c>
    </row>
    <row r="1453" spans="2:12" x14ac:dyDescent="0.2">
      <c r="B1453">
        <v>10801</v>
      </c>
      <c r="C1453">
        <v>29</v>
      </c>
      <c r="D1453" s="84">
        <v>123.79</v>
      </c>
      <c r="E1453">
        <v>20</v>
      </c>
      <c r="F1453" s="85">
        <v>0.25</v>
      </c>
      <c r="G1453" s="86">
        <f t="shared" si="110"/>
        <v>2475.8000000000002</v>
      </c>
      <c r="H1453" s="86">
        <f t="shared" si="111"/>
        <v>618.95000000000005</v>
      </c>
      <c r="I1453" s="86">
        <f t="shared" si="112"/>
        <v>1856.8500000000001</v>
      </c>
      <c r="J1453" s="84">
        <f>VLOOKUP(C1453, Products[], 6)</f>
        <v>123.79</v>
      </c>
      <c r="K1453" s="86">
        <f t="shared" si="113"/>
        <v>2475.8000000000002</v>
      </c>
      <c r="L1453" s="86">
        <f t="shared" si="114"/>
        <v>-618.95000000000005</v>
      </c>
    </row>
    <row r="1454" spans="2:12" x14ac:dyDescent="0.2">
      <c r="B1454">
        <v>10802</v>
      </c>
      <c r="C1454">
        <v>30</v>
      </c>
      <c r="D1454" s="84">
        <v>25.89</v>
      </c>
      <c r="E1454">
        <v>25</v>
      </c>
      <c r="F1454" s="85">
        <v>0.25</v>
      </c>
      <c r="G1454" s="86">
        <f t="shared" si="110"/>
        <v>647.25</v>
      </c>
      <c r="H1454" s="86">
        <f t="shared" si="111"/>
        <v>161.8125</v>
      </c>
      <c r="I1454" s="86">
        <f t="shared" si="112"/>
        <v>485.4375</v>
      </c>
      <c r="J1454" s="84">
        <f>VLOOKUP(C1454, Products[], 6)</f>
        <v>25.89</v>
      </c>
      <c r="K1454" s="86">
        <f t="shared" si="113"/>
        <v>647.25</v>
      </c>
      <c r="L1454" s="86">
        <f t="shared" si="114"/>
        <v>-161.8125</v>
      </c>
    </row>
    <row r="1455" spans="2:12" x14ac:dyDescent="0.2">
      <c r="B1455">
        <v>10802</v>
      </c>
      <c r="C1455">
        <v>51</v>
      </c>
      <c r="D1455" s="84">
        <v>53</v>
      </c>
      <c r="E1455">
        <v>30</v>
      </c>
      <c r="F1455" s="85">
        <v>0.25</v>
      </c>
      <c r="G1455" s="86">
        <f t="shared" si="110"/>
        <v>1590</v>
      </c>
      <c r="H1455" s="86">
        <f t="shared" si="111"/>
        <v>397.5</v>
      </c>
      <c r="I1455" s="86">
        <f t="shared" si="112"/>
        <v>1192.5</v>
      </c>
      <c r="J1455" s="84">
        <f>VLOOKUP(C1455, Products[], 6)</f>
        <v>53</v>
      </c>
      <c r="K1455" s="86">
        <f t="shared" si="113"/>
        <v>1590</v>
      </c>
      <c r="L1455" s="86">
        <f t="shared" si="114"/>
        <v>-397.5</v>
      </c>
    </row>
    <row r="1456" spans="2:12" x14ac:dyDescent="0.2">
      <c r="B1456">
        <v>10802</v>
      </c>
      <c r="C1456">
        <v>55</v>
      </c>
      <c r="D1456" s="84">
        <v>24</v>
      </c>
      <c r="E1456">
        <v>60</v>
      </c>
      <c r="F1456" s="85">
        <v>0.25</v>
      </c>
      <c r="G1456" s="86">
        <f t="shared" si="110"/>
        <v>1440</v>
      </c>
      <c r="H1456" s="86">
        <f t="shared" si="111"/>
        <v>360</v>
      </c>
      <c r="I1456" s="86">
        <f t="shared" si="112"/>
        <v>1080</v>
      </c>
      <c r="J1456" s="84">
        <f>VLOOKUP(C1456, Products[], 6)</f>
        <v>24</v>
      </c>
      <c r="K1456" s="86">
        <f t="shared" si="113"/>
        <v>1440</v>
      </c>
      <c r="L1456" s="86">
        <f t="shared" si="114"/>
        <v>-360</v>
      </c>
    </row>
    <row r="1457" spans="2:12" x14ac:dyDescent="0.2">
      <c r="B1457">
        <v>10802</v>
      </c>
      <c r="C1457">
        <v>62</v>
      </c>
      <c r="D1457" s="84">
        <v>49.3</v>
      </c>
      <c r="E1457">
        <v>5</v>
      </c>
      <c r="F1457" s="85">
        <v>0.25</v>
      </c>
      <c r="G1457" s="86">
        <f t="shared" si="110"/>
        <v>246.5</v>
      </c>
      <c r="H1457" s="86">
        <f t="shared" si="111"/>
        <v>61.625</v>
      </c>
      <c r="I1457" s="86">
        <f t="shared" si="112"/>
        <v>184.875</v>
      </c>
      <c r="J1457" s="84">
        <f>VLOOKUP(C1457, Products[], 6)</f>
        <v>49.3</v>
      </c>
      <c r="K1457" s="86">
        <f t="shared" si="113"/>
        <v>246.5</v>
      </c>
      <c r="L1457" s="86">
        <f t="shared" si="114"/>
        <v>-61.625</v>
      </c>
    </row>
    <row r="1458" spans="2:12" x14ac:dyDescent="0.2">
      <c r="B1458">
        <v>10803</v>
      </c>
      <c r="C1458">
        <v>19</v>
      </c>
      <c r="D1458" s="84">
        <v>9.1999999999999993</v>
      </c>
      <c r="E1458">
        <v>24</v>
      </c>
      <c r="F1458" s="85">
        <v>0.05</v>
      </c>
      <c r="G1458" s="86">
        <f t="shared" si="110"/>
        <v>220.79999999999998</v>
      </c>
      <c r="H1458" s="86">
        <f t="shared" si="111"/>
        <v>11.04</v>
      </c>
      <c r="I1458" s="86">
        <f t="shared" si="112"/>
        <v>209.76</v>
      </c>
      <c r="J1458" s="84">
        <f>VLOOKUP(C1458, Products[], 6)</f>
        <v>9.1999999999999993</v>
      </c>
      <c r="K1458" s="86">
        <f t="shared" si="113"/>
        <v>220.79999999999998</v>
      </c>
      <c r="L1458" s="86">
        <f t="shared" si="114"/>
        <v>-11.039999999999992</v>
      </c>
    </row>
    <row r="1459" spans="2:12" x14ac:dyDescent="0.2">
      <c r="B1459">
        <v>10803</v>
      </c>
      <c r="C1459">
        <v>25</v>
      </c>
      <c r="D1459" s="84">
        <v>14</v>
      </c>
      <c r="E1459">
        <v>15</v>
      </c>
      <c r="F1459" s="85">
        <v>0.05</v>
      </c>
      <c r="G1459" s="86">
        <f t="shared" si="110"/>
        <v>210</v>
      </c>
      <c r="H1459" s="86">
        <f t="shared" si="111"/>
        <v>10.5</v>
      </c>
      <c r="I1459" s="86">
        <f t="shared" si="112"/>
        <v>199.5</v>
      </c>
      <c r="J1459" s="84">
        <f>VLOOKUP(C1459, Products[], 6)</f>
        <v>14</v>
      </c>
      <c r="K1459" s="86">
        <f t="shared" si="113"/>
        <v>210</v>
      </c>
      <c r="L1459" s="86">
        <f t="shared" si="114"/>
        <v>-10.5</v>
      </c>
    </row>
    <row r="1460" spans="2:12" x14ac:dyDescent="0.2">
      <c r="B1460">
        <v>10803</v>
      </c>
      <c r="C1460">
        <v>59</v>
      </c>
      <c r="D1460" s="84">
        <v>55</v>
      </c>
      <c r="E1460">
        <v>15</v>
      </c>
      <c r="F1460" s="85">
        <v>0.05</v>
      </c>
      <c r="G1460" s="86">
        <f t="shared" si="110"/>
        <v>825</v>
      </c>
      <c r="H1460" s="86">
        <f t="shared" si="111"/>
        <v>41.25</v>
      </c>
      <c r="I1460" s="86">
        <f t="shared" si="112"/>
        <v>783.75</v>
      </c>
      <c r="J1460" s="84">
        <f>VLOOKUP(C1460, Products[], 6)</f>
        <v>55</v>
      </c>
      <c r="K1460" s="86">
        <f t="shared" si="113"/>
        <v>825</v>
      </c>
      <c r="L1460" s="86">
        <f t="shared" si="114"/>
        <v>-41.25</v>
      </c>
    </row>
    <row r="1461" spans="2:12" x14ac:dyDescent="0.2">
      <c r="B1461">
        <v>10804</v>
      </c>
      <c r="C1461">
        <v>10</v>
      </c>
      <c r="D1461" s="84">
        <v>31</v>
      </c>
      <c r="E1461">
        <v>36</v>
      </c>
      <c r="F1461" s="85">
        <v>0</v>
      </c>
      <c r="G1461" s="86">
        <f t="shared" si="110"/>
        <v>1116</v>
      </c>
      <c r="H1461" s="86">
        <f t="shared" si="111"/>
        <v>0</v>
      </c>
      <c r="I1461" s="86">
        <f t="shared" si="112"/>
        <v>1116</v>
      </c>
      <c r="J1461" s="84">
        <f>VLOOKUP(C1461, Products[], 6)</f>
        <v>31</v>
      </c>
      <c r="K1461" s="86">
        <f t="shared" si="113"/>
        <v>1116</v>
      </c>
      <c r="L1461" s="86">
        <f t="shared" si="114"/>
        <v>0</v>
      </c>
    </row>
    <row r="1462" spans="2:12" x14ac:dyDescent="0.2">
      <c r="B1462">
        <v>10804</v>
      </c>
      <c r="C1462">
        <v>28</v>
      </c>
      <c r="D1462" s="84">
        <v>45.6</v>
      </c>
      <c r="E1462">
        <v>24</v>
      </c>
      <c r="F1462" s="85">
        <v>0</v>
      </c>
      <c r="G1462" s="86">
        <f t="shared" si="110"/>
        <v>1094.4000000000001</v>
      </c>
      <c r="H1462" s="86">
        <f t="shared" si="111"/>
        <v>0</v>
      </c>
      <c r="I1462" s="86">
        <f t="shared" si="112"/>
        <v>1094.4000000000001</v>
      </c>
      <c r="J1462" s="84">
        <f>VLOOKUP(C1462, Products[], 6)</f>
        <v>45.6</v>
      </c>
      <c r="K1462" s="86">
        <f t="shared" si="113"/>
        <v>1094.4000000000001</v>
      </c>
      <c r="L1462" s="86">
        <f t="shared" si="114"/>
        <v>0</v>
      </c>
    </row>
    <row r="1463" spans="2:12" x14ac:dyDescent="0.2">
      <c r="B1463">
        <v>10804</v>
      </c>
      <c r="C1463">
        <v>49</v>
      </c>
      <c r="D1463" s="84">
        <v>20</v>
      </c>
      <c r="E1463">
        <v>4</v>
      </c>
      <c r="F1463" s="85">
        <v>0.15</v>
      </c>
      <c r="G1463" s="86">
        <f t="shared" si="110"/>
        <v>80</v>
      </c>
      <c r="H1463" s="86">
        <f t="shared" si="111"/>
        <v>12</v>
      </c>
      <c r="I1463" s="86">
        <f t="shared" si="112"/>
        <v>68</v>
      </c>
      <c r="J1463" s="84">
        <f>VLOOKUP(C1463, Products[], 6)</f>
        <v>20</v>
      </c>
      <c r="K1463" s="86">
        <f t="shared" si="113"/>
        <v>80</v>
      </c>
      <c r="L1463" s="86">
        <f t="shared" si="114"/>
        <v>-12</v>
      </c>
    </row>
    <row r="1464" spans="2:12" x14ac:dyDescent="0.2">
      <c r="B1464">
        <v>10805</v>
      </c>
      <c r="C1464">
        <v>34</v>
      </c>
      <c r="D1464" s="84">
        <v>14</v>
      </c>
      <c r="E1464">
        <v>10</v>
      </c>
      <c r="F1464" s="85">
        <v>0</v>
      </c>
      <c r="G1464" s="86">
        <f t="shared" si="110"/>
        <v>140</v>
      </c>
      <c r="H1464" s="86">
        <f t="shared" si="111"/>
        <v>0</v>
      </c>
      <c r="I1464" s="86">
        <f t="shared" si="112"/>
        <v>140</v>
      </c>
      <c r="J1464" s="84">
        <f>VLOOKUP(C1464, Products[], 6)</f>
        <v>14</v>
      </c>
      <c r="K1464" s="86">
        <f t="shared" si="113"/>
        <v>140</v>
      </c>
      <c r="L1464" s="86">
        <f t="shared" si="114"/>
        <v>0</v>
      </c>
    </row>
    <row r="1465" spans="2:12" x14ac:dyDescent="0.2">
      <c r="B1465">
        <v>10805</v>
      </c>
      <c r="C1465">
        <v>38</v>
      </c>
      <c r="D1465" s="84">
        <v>263.5</v>
      </c>
      <c r="E1465">
        <v>10</v>
      </c>
      <c r="F1465" s="85">
        <v>0</v>
      </c>
      <c r="G1465" s="86">
        <f t="shared" si="110"/>
        <v>2635</v>
      </c>
      <c r="H1465" s="86">
        <f t="shared" si="111"/>
        <v>0</v>
      </c>
      <c r="I1465" s="86">
        <f t="shared" si="112"/>
        <v>2635</v>
      </c>
      <c r="J1465" s="84">
        <f>VLOOKUP(C1465, Products[], 6)</f>
        <v>263.5</v>
      </c>
      <c r="K1465" s="86">
        <f t="shared" si="113"/>
        <v>2635</v>
      </c>
      <c r="L1465" s="86">
        <f t="shared" si="114"/>
        <v>0</v>
      </c>
    </row>
    <row r="1466" spans="2:12" x14ac:dyDescent="0.2">
      <c r="B1466">
        <v>10806</v>
      </c>
      <c r="C1466">
        <v>2</v>
      </c>
      <c r="D1466" s="84">
        <v>19</v>
      </c>
      <c r="E1466">
        <v>20</v>
      </c>
      <c r="F1466" s="85">
        <v>0.25</v>
      </c>
      <c r="G1466" s="86">
        <f t="shared" si="110"/>
        <v>380</v>
      </c>
      <c r="H1466" s="86">
        <f t="shared" si="111"/>
        <v>95</v>
      </c>
      <c r="I1466" s="86">
        <f t="shared" si="112"/>
        <v>285</v>
      </c>
      <c r="J1466" s="84">
        <f>VLOOKUP(C1466, Products[], 6)</f>
        <v>19</v>
      </c>
      <c r="K1466" s="86">
        <f t="shared" si="113"/>
        <v>380</v>
      </c>
      <c r="L1466" s="86">
        <f t="shared" si="114"/>
        <v>-95</v>
      </c>
    </row>
    <row r="1467" spans="2:12" x14ac:dyDescent="0.2">
      <c r="B1467">
        <v>10806</v>
      </c>
      <c r="C1467">
        <v>65</v>
      </c>
      <c r="D1467" s="84">
        <v>21.05</v>
      </c>
      <c r="E1467">
        <v>2</v>
      </c>
      <c r="F1467" s="85">
        <v>0</v>
      </c>
      <c r="G1467" s="86">
        <f t="shared" si="110"/>
        <v>42.1</v>
      </c>
      <c r="H1467" s="86">
        <f t="shared" si="111"/>
        <v>0</v>
      </c>
      <c r="I1467" s="86">
        <f t="shared" si="112"/>
        <v>42.1</v>
      </c>
      <c r="J1467" s="84">
        <f>VLOOKUP(C1467, Products[], 6)</f>
        <v>21.05</v>
      </c>
      <c r="K1467" s="86">
        <f t="shared" si="113"/>
        <v>42.1</v>
      </c>
      <c r="L1467" s="86">
        <f t="shared" si="114"/>
        <v>0</v>
      </c>
    </row>
    <row r="1468" spans="2:12" x14ac:dyDescent="0.2">
      <c r="B1468">
        <v>10806</v>
      </c>
      <c r="C1468">
        <v>74</v>
      </c>
      <c r="D1468" s="84">
        <v>10</v>
      </c>
      <c r="E1468">
        <v>15</v>
      </c>
      <c r="F1468" s="85">
        <v>0.25</v>
      </c>
      <c r="G1468" s="86">
        <f t="shared" si="110"/>
        <v>150</v>
      </c>
      <c r="H1468" s="86">
        <f t="shared" si="111"/>
        <v>37.5</v>
      </c>
      <c r="I1468" s="86">
        <f t="shared" si="112"/>
        <v>112.5</v>
      </c>
      <c r="J1468" s="84">
        <f>VLOOKUP(C1468, Products[], 6)</f>
        <v>10</v>
      </c>
      <c r="K1468" s="86">
        <f t="shared" si="113"/>
        <v>150</v>
      </c>
      <c r="L1468" s="86">
        <f t="shared" si="114"/>
        <v>-37.5</v>
      </c>
    </row>
    <row r="1469" spans="2:12" x14ac:dyDescent="0.2">
      <c r="B1469">
        <v>10807</v>
      </c>
      <c r="C1469">
        <v>40</v>
      </c>
      <c r="D1469" s="84">
        <v>18.399999999999999</v>
      </c>
      <c r="E1469">
        <v>1</v>
      </c>
      <c r="F1469" s="85">
        <v>0</v>
      </c>
      <c r="G1469" s="86">
        <f t="shared" si="110"/>
        <v>18.399999999999999</v>
      </c>
      <c r="H1469" s="86">
        <f t="shared" si="111"/>
        <v>0</v>
      </c>
      <c r="I1469" s="86">
        <f t="shared" si="112"/>
        <v>18.399999999999999</v>
      </c>
      <c r="J1469" s="84">
        <f>VLOOKUP(C1469, Products[], 6)</f>
        <v>18.399999999999999</v>
      </c>
      <c r="K1469" s="86">
        <f t="shared" si="113"/>
        <v>18.399999999999999</v>
      </c>
      <c r="L1469" s="86">
        <f t="shared" si="114"/>
        <v>0</v>
      </c>
    </row>
    <row r="1470" spans="2:12" x14ac:dyDescent="0.2">
      <c r="B1470">
        <v>10808</v>
      </c>
      <c r="C1470">
        <v>56</v>
      </c>
      <c r="D1470" s="84">
        <v>38</v>
      </c>
      <c r="E1470">
        <v>20</v>
      </c>
      <c r="F1470" s="85">
        <v>0.15</v>
      </c>
      <c r="G1470" s="86">
        <f t="shared" si="110"/>
        <v>760</v>
      </c>
      <c r="H1470" s="86">
        <f t="shared" si="111"/>
        <v>114</v>
      </c>
      <c r="I1470" s="86">
        <f t="shared" si="112"/>
        <v>646</v>
      </c>
      <c r="J1470" s="84">
        <f>VLOOKUP(C1470, Products[], 6)</f>
        <v>38</v>
      </c>
      <c r="K1470" s="86">
        <f t="shared" si="113"/>
        <v>760</v>
      </c>
      <c r="L1470" s="86">
        <f t="shared" si="114"/>
        <v>-114</v>
      </c>
    </row>
    <row r="1471" spans="2:12" x14ac:dyDescent="0.2">
      <c r="B1471">
        <v>10808</v>
      </c>
      <c r="C1471">
        <v>76</v>
      </c>
      <c r="D1471" s="84">
        <v>18</v>
      </c>
      <c r="E1471">
        <v>50</v>
      </c>
      <c r="F1471" s="85">
        <v>0.15</v>
      </c>
      <c r="G1471" s="86">
        <f t="shared" si="110"/>
        <v>900</v>
      </c>
      <c r="H1471" s="86">
        <f t="shared" si="111"/>
        <v>135</v>
      </c>
      <c r="I1471" s="86">
        <f t="shared" si="112"/>
        <v>765</v>
      </c>
      <c r="J1471" s="84">
        <f>VLOOKUP(C1471, Products[], 6)</f>
        <v>18</v>
      </c>
      <c r="K1471" s="86">
        <f t="shared" si="113"/>
        <v>900</v>
      </c>
      <c r="L1471" s="86">
        <f t="shared" si="114"/>
        <v>-135</v>
      </c>
    </row>
    <row r="1472" spans="2:12" x14ac:dyDescent="0.2">
      <c r="B1472">
        <v>10809</v>
      </c>
      <c r="C1472">
        <v>52</v>
      </c>
      <c r="D1472" s="84">
        <v>7</v>
      </c>
      <c r="E1472">
        <v>20</v>
      </c>
      <c r="F1472" s="85">
        <v>0</v>
      </c>
      <c r="G1472" s="86">
        <f t="shared" si="110"/>
        <v>140</v>
      </c>
      <c r="H1472" s="86">
        <f t="shared" si="111"/>
        <v>0</v>
      </c>
      <c r="I1472" s="86">
        <f t="shared" si="112"/>
        <v>140</v>
      </c>
      <c r="J1472" s="84">
        <f>VLOOKUP(C1472, Products[], 6)</f>
        <v>7</v>
      </c>
      <c r="K1472" s="86">
        <f t="shared" si="113"/>
        <v>140</v>
      </c>
      <c r="L1472" s="86">
        <f t="shared" si="114"/>
        <v>0</v>
      </c>
    </row>
    <row r="1473" spans="2:12" x14ac:dyDescent="0.2">
      <c r="B1473">
        <v>10810</v>
      </c>
      <c r="C1473">
        <v>13</v>
      </c>
      <c r="D1473" s="84">
        <v>6</v>
      </c>
      <c r="E1473">
        <v>7</v>
      </c>
      <c r="F1473" s="85">
        <v>0</v>
      </c>
      <c r="G1473" s="86">
        <f t="shared" si="110"/>
        <v>42</v>
      </c>
      <c r="H1473" s="86">
        <f t="shared" si="111"/>
        <v>0</v>
      </c>
      <c r="I1473" s="86">
        <f t="shared" si="112"/>
        <v>42</v>
      </c>
      <c r="J1473" s="84">
        <f>VLOOKUP(C1473, Products[], 6)</f>
        <v>6</v>
      </c>
      <c r="K1473" s="86">
        <f t="shared" si="113"/>
        <v>42</v>
      </c>
      <c r="L1473" s="86">
        <f t="shared" si="114"/>
        <v>0</v>
      </c>
    </row>
    <row r="1474" spans="2:12" x14ac:dyDescent="0.2">
      <c r="B1474">
        <v>10810</v>
      </c>
      <c r="C1474">
        <v>25</v>
      </c>
      <c r="D1474" s="84">
        <v>14</v>
      </c>
      <c r="E1474">
        <v>5</v>
      </c>
      <c r="F1474" s="85">
        <v>0</v>
      </c>
      <c r="G1474" s="86">
        <f t="shared" si="110"/>
        <v>70</v>
      </c>
      <c r="H1474" s="86">
        <f t="shared" si="111"/>
        <v>0</v>
      </c>
      <c r="I1474" s="86">
        <f t="shared" si="112"/>
        <v>70</v>
      </c>
      <c r="J1474" s="84">
        <f>VLOOKUP(C1474, Products[], 6)</f>
        <v>14</v>
      </c>
      <c r="K1474" s="86">
        <f t="shared" si="113"/>
        <v>70</v>
      </c>
      <c r="L1474" s="86">
        <f t="shared" si="114"/>
        <v>0</v>
      </c>
    </row>
    <row r="1475" spans="2:12" x14ac:dyDescent="0.2">
      <c r="B1475">
        <v>10810</v>
      </c>
      <c r="C1475">
        <v>70</v>
      </c>
      <c r="D1475" s="84">
        <v>15</v>
      </c>
      <c r="E1475">
        <v>5</v>
      </c>
      <c r="F1475" s="85">
        <v>0</v>
      </c>
      <c r="G1475" s="86">
        <f t="shared" si="110"/>
        <v>75</v>
      </c>
      <c r="H1475" s="86">
        <f t="shared" si="111"/>
        <v>0</v>
      </c>
      <c r="I1475" s="86">
        <f t="shared" si="112"/>
        <v>75</v>
      </c>
      <c r="J1475" s="84">
        <f>VLOOKUP(C1475, Products[], 6)</f>
        <v>15</v>
      </c>
      <c r="K1475" s="86">
        <f t="shared" si="113"/>
        <v>75</v>
      </c>
      <c r="L1475" s="86">
        <f t="shared" si="114"/>
        <v>0</v>
      </c>
    </row>
    <row r="1476" spans="2:12" x14ac:dyDescent="0.2">
      <c r="B1476">
        <v>10811</v>
      </c>
      <c r="C1476">
        <v>19</v>
      </c>
      <c r="D1476" s="84">
        <v>9.1999999999999993</v>
      </c>
      <c r="E1476">
        <v>15</v>
      </c>
      <c r="F1476" s="85">
        <v>0</v>
      </c>
      <c r="G1476" s="86">
        <f t="shared" si="110"/>
        <v>138</v>
      </c>
      <c r="H1476" s="86">
        <f t="shared" si="111"/>
        <v>0</v>
      </c>
      <c r="I1476" s="86">
        <f t="shared" si="112"/>
        <v>138</v>
      </c>
      <c r="J1476" s="84">
        <f>VLOOKUP(C1476, Products[], 6)</f>
        <v>9.1999999999999993</v>
      </c>
      <c r="K1476" s="86">
        <f t="shared" si="113"/>
        <v>138</v>
      </c>
      <c r="L1476" s="86">
        <f t="shared" si="114"/>
        <v>0</v>
      </c>
    </row>
    <row r="1477" spans="2:12" x14ac:dyDescent="0.2">
      <c r="B1477">
        <v>10811</v>
      </c>
      <c r="C1477">
        <v>23</v>
      </c>
      <c r="D1477" s="84">
        <v>9</v>
      </c>
      <c r="E1477">
        <v>18</v>
      </c>
      <c r="F1477" s="85">
        <v>0</v>
      </c>
      <c r="G1477" s="86">
        <f t="shared" si="110"/>
        <v>162</v>
      </c>
      <c r="H1477" s="86">
        <f t="shared" si="111"/>
        <v>0</v>
      </c>
      <c r="I1477" s="86">
        <f t="shared" si="112"/>
        <v>162</v>
      </c>
      <c r="J1477" s="84">
        <f>VLOOKUP(C1477, Products[], 6)</f>
        <v>9</v>
      </c>
      <c r="K1477" s="86">
        <f t="shared" si="113"/>
        <v>162</v>
      </c>
      <c r="L1477" s="86">
        <f t="shared" si="114"/>
        <v>0</v>
      </c>
    </row>
    <row r="1478" spans="2:12" x14ac:dyDescent="0.2">
      <c r="B1478">
        <v>10811</v>
      </c>
      <c r="C1478">
        <v>40</v>
      </c>
      <c r="D1478" s="84">
        <v>18.399999999999999</v>
      </c>
      <c r="E1478">
        <v>30</v>
      </c>
      <c r="F1478" s="85">
        <v>0</v>
      </c>
      <c r="G1478" s="86">
        <f t="shared" si="110"/>
        <v>552</v>
      </c>
      <c r="H1478" s="86">
        <f t="shared" si="111"/>
        <v>0</v>
      </c>
      <c r="I1478" s="86">
        <f t="shared" si="112"/>
        <v>552</v>
      </c>
      <c r="J1478" s="84">
        <f>VLOOKUP(C1478, Products[], 6)</f>
        <v>18.399999999999999</v>
      </c>
      <c r="K1478" s="86">
        <f t="shared" si="113"/>
        <v>552</v>
      </c>
      <c r="L1478" s="86">
        <f t="shared" si="114"/>
        <v>0</v>
      </c>
    </row>
    <row r="1479" spans="2:12" x14ac:dyDescent="0.2">
      <c r="B1479">
        <v>10812</v>
      </c>
      <c r="C1479">
        <v>31</v>
      </c>
      <c r="D1479" s="84">
        <v>12.5</v>
      </c>
      <c r="E1479">
        <v>16</v>
      </c>
      <c r="F1479" s="85">
        <v>0.1</v>
      </c>
      <c r="G1479" s="86">
        <f t="shared" ref="G1479:G1542" si="115">D1479*E1479</f>
        <v>200</v>
      </c>
      <c r="H1479" s="86">
        <f t="shared" ref="H1479:H1542" si="116">G1479*F1479</f>
        <v>20</v>
      </c>
      <c r="I1479" s="86">
        <f t="shared" ref="I1479:I1542" si="117">G1479-H1479</f>
        <v>180</v>
      </c>
      <c r="J1479" s="84">
        <f>VLOOKUP(C1479, Products[], 6)</f>
        <v>12.5</v>
      </c>
      <c r="K1479" s="86">
        <f t="shared" ref="K1479:K1542" si="118">J1479*E1479</f>
        <v>200</v>
      </c>
      <c r="L1479" s="86">
        <f t="shared" ref="L1479:L1542" si="119">I1479-K1479</f>
        <v>-20</v>
      </c>
    </row>
    <row r="1480" spans="2:12" x14ac:dyDescent="0.2">
      <c r="B1480">
        <v>10812</v>
      </c>
      <c r="C1480">
        <v>72</v>
      </c>
      <c r="D1480" s="84">
        <v>34.799999999999997</v>
      </c>
      <c r="E1480">
        <v>40</v>
      </c>
      <c r="F1480" s="85">
        <v>0.1</v>
      </c>
      <c r="G1480" s="86">
        <f t="shared" si="115"/>
        <v>1392</v>
      </c>
      <c r="H1480" s="86">
        <f t="shared" si="116"/>
        <v>139.20000000000002</v>
      </c>
      <c r="I1480" s="86">
        <f t="shared" si="117"/>
        <v>1252.8</v>
      </c>
      <c r="J1480" s="84">
        <f>VLOOKUP(C1480, Products[], 6)</f>
        <v>34.799999999999997</v>
      </c>
      <c r="K1480" s="86">
        <f t="shared" si="118"/>
        <v>1392</v>
      </c>
      <c r="L1480" s="86">
        <f t="shared" si="119"/>
        <v>-139.20000000000005</v>
      </c>
    </row>
    <row r="1481" spans="2:12" x14ac:dyDescent="0.2">
      <c r="B1481">
        <v>10812</v>
      </c>
      <c r="C1481">
        <v>77</v>
      </c>
      <c r="D1481" s="84">
        <v>13</v>
      </c>
      <c r="E1481">
        <v>20</v>
      </c>
      <c r="F1481" s="85">
        <v>0</v>
      </c>
      <c r="G1481" s="86">
        <f t="shared" si="115"/>
        <v>260</v>
      </c>
      <c r="H1481" s="86">
        <f t="shared" si="116"/>
        <v>0</v>
      </c>
      <c r="I1481" s="86">
        <f t="shared" si="117"/>
        <v>260</v>
      </c>
      <c r="J1481" s="84">
        <f>VLOOKUP(C1481, Products[], 6)</f>
        <v>13</v>
      </c>
      <c r="K1481" s="86">
        <f t="shared" si="118"/>
        <v>260</v>
      </c>
      <c r="L1481" s="86">
        <f t="shared" si="119"/>
        <v>0</v>
      </c>
    </row>
    <row r="1482" spans="2:12" x14ac:dyDescent="0.2">
      <c r="B1482">
        <v>10813</v>
      </c>
      <c r="C1482">
        <v>2</v>
      </c>
      <c r="D1482" s="84">
        <v>19</v>
      </c>
      <c r="E1482">
        <v>12</v>
      </c>
      <c r="F1482" s="85">
        <v>0.2</v>
      </c>
      <c r="G1482" s="86">
        <f t="shared" si="115"/>
        <v>228</v>
      </c>
      <c r="H1482" s="86">
        <f t="shared" si="116"/>
        <v>45.6</v>
      </c>
      <c r="I1482" s="86">
        <f t="shared" si="117"/>
        <v>182.4</v>
      </c>
      <c r="J1482" s="84">
        <f>VLOOKUP(C1482, Products[], 6)</f>
        <v>19</v>
      </c>
      <c r="K1482" s="86">
        <f t="shared" si="118"/>
        <v>228</v>
      </c>
      <c r="L1482" s="86">
        <f t="shared" si="119"/>
        <v>-45.599999999999994</v>
      </c>
    </row>
    <row r="1483" spans="2:12" x14ac:dyDescent="0.2">
      <c r="B1483">
        <v>10813</v>
      </c>
      <c r="C1483">
        <v>46</v>
      </c>
      <c r="D1483" s="84">
        <v>12</v>
      </c>
      <c r="E1483">
        <v>35</v>
      </c>
      <c r="F1483" s="85">
        <v>0</v>
      </c>
      <c r="G1483" s="86">
        <f t="shared" si="115"/>
        <v>420</v>
      </c>
      <c r="H1483" s="86">
        <f t="shared" si="116"/>
        <v>0</v>
      </c>
      <c r="I1483" s="86">
        <f t="shared" si="117"/>
        <v>420</v>
      </c>
      <c r="J1483" s="84">
        <f>VLOOKUP(C1483, Products[], 6)</f>
        <v>12</v>
      </c>
      <c r="K1483" s="86">
        <f t="shared" si="118"/>
        <v>420</v>
      </c>
      <c r="L1483" s="86">
        <f t="shared" si="119"/>
        <v>0</v>
      </c>
    </row>
    <row r="1484" spans="2:12" x14ac:dyDescent="0.2">
      <c r="B1484">
        <v>10814</v>
      </c>
      <c r="C1484">
        <v>41</v>
      </c>
      <c r="D1484" s="84">
        <v>9.65</v>
      </c>
      <c r="E1484">
        <v>20</v>
      </c>
      <c r="F1484" s="85">
        <v>0</v>
      </c>
      <c r="G1484" s="86">
        <f t="shared" si="115"/>
        <v>193</v>
      </c>
      <c r="H1484" s="86">
        <f t="shared" si="116"/>
        <v>0</v>
      </c>
      <c r="I1484" s="86">
        <f t="shared" si="117"/>
        <v>193</v>
      </c>
      <c r="J1484" s="84">
        <f>VLOOKUP(C1484, Products[], 6)</f>
        <v>9.65</v>
      </c>
      <c r="K1484" s="86">
        <f t="shared" si="118"/>
        <v>193</v>
      </c>
      <c r="L1484" s="86">
        <f t="shared" si="119"/>
        <v>0</v>
      </c>
    </row>
    <row r="1485" spans="2:12" x14ac:dyDescent="0.2">
      <c r="B1485">
        <v>10814</v>
      </c>
      <c r="C1485">
        <v>43</v>
      </c>
      <c r="D1485" s="84">
        <v>46</v>
      </c>
      <c r="E1485">
        <v>20</v>
      </c>
      <c r="F1485" s="85">
        <v>0.15</v>
      </c>
      <c r="G1485" s="86">
        <f t="shared" si="115"/>
        <v>920</v>
      </c>
      <c r="H1485" s="86">
        <f t="shared" si="116"/>
        <v>138</v>
      </c>
      <c r="I1485" s="86">
        <f t="shared" si="117"/>
        <v>782</v>
      </c>
      <c r="J1485" s="84">
        <f>VLOOKUP(C1485, Products[], 6)</f>
        <v>46</v>
      </c>
      <c r="K1485" s="86">
        <f t="shared" si="118"/>
        <v>920</v>
      </c>
      <c r="L1485" s="86">
        <f t="shared" si="119"/>
        <v>-138</v>
      </c>
    </row>
    <row r="1486" spans="2:12" x14ac:dyDescent="0.2">
      <c r="B1486">
        <v>10814</v>
      </c>
      <c r="C1486">
        <v>48</v>
      </c>
      <c r="D1486" s="84">
        <v>12.75</v>
      </c>
      <c r="E1486">
        <v>8</v>
      </c>
      <c r="F1486" s="85">
        <v>0.15</v>
      </c>
      <c r="G1486" s="86">
        <f t="shared" si="115"/>
        <v>102</v>
      </c>
      <c r="H1486" s="86">
        <f t="shared" si="116"/>
        <v>15.299999999999999</v>
      </c>
      <c r="I1486" s="86">
        <f t="shared" si="117"/>
        <v>86.7</v>
      </c>
      <c r="J1486" s="84">
        <f>VLOOKUP(C1486, Products[], 6)</f>
        <v>12.75</v>
      </c>
      <c r="K1486" s="86">
        <f t="shared" si="118"/>
        <v>102</v>
      </c>
      <c r="L1486" s="86">
        <f t="shared" si="119"/>
        <v>-15.299999999999997</v>
      </c>
    </row>
    <row r="1487" spans="2:12" x14ac:dyDescent="0.2">
      <c r="B1487">
        <v>10814</v>
      </c>
      <c r="C1487">
        <v>61</v>
      </c>
      <c r="D1487" s="84">
        <v>28.5</v>
      </c>
      <c r="E1487">
        <v>30</v>
      </c>
      <c r="F1487" s="85">
        <v>0.15</v>
      </c>
      <c r="G1487" s="86">
        <f t="shared" si="115"/>
        <v>855</v>
      </c>
      <c r="H1487" s="86">
        <f t="shared" si="116"/>
        <v>128.25</v>
      </c>
      <c r="I1487" s="86">
        <f t="shared" si="117"/>
        <v>726.75</v>
      </c>
      <c r="J1487" s="84">
        <f>VLOOKUP(C1487, Products[], 6)</f>
        <v>28.5</v>
      </c>
      <c r="K1487" s="86">
        <f t="shared" si="118"/>
        <v>855</v>
      </c>
      <c r="L1487" s="86">
        <f t="shared" si="119"/>
        <v>-128.25</v>
      </c>
    </row>
    <row r="1488" spans="2:12" x14ac:dyDescent="0.2">
      <c r="B1488">
        <v>10815</v>
      </c>
      <c r="C1488">
        <v>33</v>
      </c>
      <c r="D1488" s="84">
        <v>2.5</v>
      </c>
      <c r="E1488">
        <v>16</v>
      </c>
      <c r="F1488" s="85">
        <v>0</v>
      </c>
      <c r="G1488" s="86">
        <f t="shared" si="115"/>
        <v>40</v>
      </c>
      <c r="H1488" s="86">
        <f t="shared" si="116"/>
        <v>0</v>
      </c>
      <c r="I1488" s="86">
        <f t="shared" si="117"/>
        <v>40</v>
      </c>
      <c r="J1488" s="84">
        <f>VLOOKUP(C1488, Products[], 6)</f>
        <v>2.5</v>
      </c>
      <c r="K1488" s="86">
        <f t="shared" si="118"/>
        <v>40</v>
      </c>
      <c r="L1488" s="86">
        <f t="shared" si="119"/>
        <v>0</v>
      </c>
    </row>
    <row r="1489" spans="2:12" x14ac:dyDescent="0.2">
      <c r="B1489">
        <v>10816</v>
      </c>
      <c r="C1489">
        <v>38</v>
      </c>
      <c r="D1489" s="84">
        <v>263.5</v>
      </c>
      <c r="E1489">
        <v>30</v>
      </c>
      <c r="F1489" s="85">
        <v>0.05</v>
      </c>
      <c r="G1489" s="86">
        <f t="shared" si="115"/>
        <v>7905</v>
      </c>
      <c r="H1489" s="86">
        <f t="shared" si="116"/>
        <v>395.25</v>
      </c>
      <c r="I1489" s="86">
        <f t="shared" si="117"/>
        <v>7509.75</v>
      </c>
      <c r="J1489" s="84">
        <f>VLOOKUP(C1489, Products[], 6)</f>
        <v>263.5</v>
      </c>
      <c r="K1489" s="86">
        <f t="shared" si="118"/>
        <v>7905</v>
      </c>
      <c r="L1489" s="86">
        <f t="shared" si="119"/>
        <v>-395.25</v>
      </c>
    </row>
    <row r="1490" spans="2:12" x14ac:dyDescent="0.2">
      <c r="B1490">
        <v>10816</v>
      </c>
      <c r="C1490">
        <v>62</v>
      </c>
      <c r="D1490" s="84">
        <v>49.3</v>
      </c>
      <c r="E1490">
        <v>20</v>
      </c>
      <c r="F1490" s="85">
        <v>0.05</v>
      </c>
      <c r="G1490" s="86">
        <f t="shared" si="115"/>
        <v>986</v>
      </c>
      <c r="H1490" s="86">
        <f t="shared" si="116"/>
        <v>49.300000000000004</v>
      </c>
      <c r="I1490" s="86">
        <f t="shared" si="117"/>
        <v>936.7</v>
      </c>
      <c r="J1490" s="84">
        <f>VLOOKUP(C1490, Products[], 6)</f>
        <v>49.3</v>
      </c>
      <c r="K1490" s="86">
        <f t="shared" si="118"/>
        <v>986</v>
      </c>
      <c r="L1490" s="86">
        <f t="shared" si="119"/>
        <v>-49.299999999999955</v>
      </c>
    </row>
    <row r="1491" spans="2:12" x14ac:dyDescent="0.2">
      <c r="B1491">
        <v>10817</v>
      </c>
      <c r="C1491">
        <v>26</v>
      </c>
      <c r="D1491" s="84">
        <v>31.23</v>
      </c>
      <c r="E1491">
        <v>40</v>
      </c>
      <c r="F1491" s="85">
        <v>0.15</v>
      </c>
      <c r="G1491" s="86">
        <f t="shared" si="115"/>
        <v>1249.2</v>
      </c>
      <c r="H1491" s="86">
        <f t="shared" si="116"/>
        <v>187.38</v>
      </c>
      <c r="I1491" s="86">
        <f t="shared" si="117"/>
        <v>1061.8200000000002</v>
      </c>
      <c r="J1491" s="84">
        <f>VLOOKUP(C1491, Products[], 6)</f>
        <v>31.23</v>
      </c>
      <c r="K1491" s="86">
        <f t="shared" si="118"/>
        <v>1249.2</v>
      </c>
      <c r="L1491" s="86">
        <f t="shared" si="119"/>
        <v>-187.37999999999988</v>
      </c>
    </row>
    <row r="1492" spans="2:12" x14ac:dyDescent="0.2">
      <c r="B1492">
        <v>10817</v>
      </c>
      <c r="C1492">
        <v>38</v>
      </c>
      <c r="D1492" s="84">
        <v>263.5</v>
      </c>
      <c r="E1492">
        <v>30</v>
      </c>
      <c r="F1492" s="85">
        <v>0</v>
      </c>
      <c r="G1492" s="86">
        <f t="shared" si="115"/>
        <v>7905</v>
      </c>
      <c r="H1492" s="86">
        <f t="shared" si="116"/>
        <v>0</v>
      </c>
      <c r="I1492" s="86">
        <f t="shared" si="117"/>
        <v>7905</v>
      </c>
      <c r="J1492" s="84">
        <f>VLOOKUP(C1492, Products[], 6)</f>
        <v>263.5</v>
      </c>
      <c r="K1492" s="86">
        <f t="shared" si="118"/>
        <v>7905</v>
      </c>
      <c r="L1492" s="86">
        <f t="shared" si="119"/>
        <v>0</v>
      </c>
    </row>
    <row r="1493" spans="2:12" x14ac:dyDescent="0.2">
      <c r="B1493">
        <v>10817</v>
      </c>
      <c r="C1493">
        <v>40</v>
      </c>
      <c r="D1493" s="84">
        <v>18.399999999999999</v>
      </c>
      <c r="E1493">
        <v>60</v>
      </c>
      <c r="F1493" s="85">
        <v>0.15</v>
      </c>
      <c r="G1493" s="86">
        <f t="shared" si="115"/>
        <v>1104</v>
      </c>
      <c r="H1493" s="86">
        <f t="shared" si="116"/>
        <v>165.6</v>
      </c>
      <c r="I1493" s="86">
        <f t="shared" si="117"/>
        <v>938.4</v>
      </c>
      <c r="J1493" s="84">
        <f>VLOOKUP(C1493, Products[], 6)</f>
        <v>18.399999999999999</v>
      </c>
      <c r="K1493" s="86">
        <f t="shared" si="118"/>
        <v>1104</v>
      </c>
      <c r="L1493" s="86">
        <f t="shared" si="119"/>
        <v>-165.60000000000002</v>
      </c>
    </row>
    <row r="1494" spans="2:12" x14ac:dyDescent="0.2">
      <c r="B1494">
        <v>10817</v>
      </c>
      <c r="C1494">
        <v>62</v>
      </c>
      <c r="D1494" s="84">
        <v>49.3</v>
      </c>
      <c r="E1494">
        <v>25</v>
      </c>
      <c r="F1494" s="85">
        <v>0.15</v>
      </c>
      <c r="G1494" s="86">
        <f t="shared" si="115"/>
        <v>1232.5</v>
      </c>
      <c r="H1494" s="86">
        <f t="shared" si="116"/>
        <v>184.875</v>
      </c>
      <c r="I1494" s="86">
        <f t="shared" si="117"/>
        <v>1047.625</v>
      </c>
      <c r="J1494" s="84">
        <f>VLOOKUP(C1494, Products[], 6)</f>
        <v>49.3</v>
      </c>
      <c r="K1494" s="86">
        <f t="shared" si="118"/>
        <v>1232.5</v>
      </c>
      <c r="L1494" s="86">
        <f t="shared" si="119"/>
        <v>-184.875</v>
      </c>
    </row>
    <row r="1495" spans="2:12" x14ac:dyDescent="0.2">
      <c r="B1495">
        <v>10818</v>
      </c>
      <c r="C1495">
        <v>32</v>
      </c>
      <c r="D1495" s="84">
        <v>32</v>
      </c>
      <c r="E1495">
        <v>20</v>
      </c>
      <c r="F1495" s="85">
        <v>0</v>
      </c>
      <c r="G1495" s="86">
        <f t="shared" si="115"/>
        <v>640</v>
      </c>
      <c r="H1495" s="86">
        <f t="shared" si="116"/>
        <v>0</v>
      </c>
      <c r="I1495" s="86">
        <f t="shared" si="117"/>
        <v>640</v>
      </c>
      <c r="J1495" s="84">
        <f>VLOOKUP(C1495, Products[], 6)</f>
        <v>32</v>
      </c>
      <c r="K1495" s="86">
        <f t="shared" si="118"/>
        <v>640</v>
      </c>
      <c r="L1495" s="86">
        <f t="shared" si="119"/>
        <v>0</v>
      </c>
    </row>
    <row r="1496" spans="2:12" x14ac:dyDescent="0.2">
      <c r="B1496">
        <v>10818</v>
      </c>
      <c r="C1496">
        <v>41</v>
      </c>
      <c r="D1496" s="84">
        <v>9.65</v>
      </c>
      <c r="E1496">
        <v>20</v>
      </c>
      <c r="F1496" s="85">
        <v>0</v>
      </c>
      <c r="G1496" s="86">
        <f t="shared" si="115"/>
        <v>193</v>
      </c>
      <c r="H1496" s="86">
        <f t="shared" si="116"/>
        <v>0</v>
      </c>
      <c r="I1496" s="86">
        <f t="shared" si="117"/>
        <v>193</v>
      </c>
      <c r="J1496" s="84">
        <f>VLOOKUP(C1496, Products[], 6)</f>
        <v>9.65</v>
      </c>
      <c r="K1496" s="86">
        <f t="shared" si="118"/>
        <v>193</v>
      </c>
      <c r="L1496" s="86">
        <f t="shared" si="119"/>
        <v>0</v>
      </c>
    </row>
    <row r="1497" spans="2:12" x14ac:dyDescent="0.2">
      <c r="B1497">
        <v>10819</v>
      </c>
      <c r="C1497">
        <v>43</v>
      </c>
      <c r="D1497" s="84">
        <v>46</v>
      </c>
      <c r="E1497">
        <v>7</v>
      </c>
      <c r="F1497" s="85">
        <v>0</v>
      </c>
      <c r="G1497" s="86">
        <f t="shared" si="115"/>
        <v>322</v>
      </c>
      <c r="H1497" s="86">
        <f t="shared" si="116"/>
        <v>0</v>
      </c>
      <c r="I1497" s="86">
        <f t="shared" si="117"/>
        <v>322</v>
      </c>
      <c r="J1497" s="84">
        <f>VLOOKUP(C1497, Products[], 6)</f>
        <v>46</v>
      </c>
      <c r="K1497" s="86">
        <f t="shared" si="118"/>
        <v>322</v>
      </c>
      <c r="L1497" s="86">
        <f t="shared" si="119"/>
        <v>0</v>
      </c>
    </row>
    <row r="1498" spans="2:12" x14ac:dyDescent="0.2">
      <c r="B1498">
        <v>10819</v>
      </c>
      <c r="C1498">
        <v>75</v>
      </c>
      <c r="D1498" s="84">
        <v>7.75</v>
      </c>
      <c r="E1498">
        <v>20</v>
      </c>
      <c r="F1498" s="85">
        <v>0</v>
      </c>
      <c r="G1498" s="86">
        <f t="shared" si="115"/>
        <v>155</v>
      </c>
      <c r="H1498" s="86">
        <f t="shared" si="116"/>
        <v>0</v>
      </c>
      <c r="I1498" s="86">
        <f t="shared" si="117"/>
        <v>155</v>
      </c>
      <c r="J1498" s="84">
        <f>VLOOKUP(C1498, Products[], 6)</f>
        <v>7.75</v>
      </c>
      <c r="K1498" s="86">
        <f t="shared" si="118"/>
        <v>155</v>
      </c>
      <c r="L1498" s="86">
        <f t="shared" si="119"/>
        <v>0</v>
      </c>
    </row>
    <row r="1499" spans="2:12" x14ac:dyDescent="0.2">
      <c r="B1499">
        <v>10820</v>
      </c>
      <c r="C1499">
        <v>56</v>
      </c>
      <c r="D1499" s="84">
        <v>38</v>
      </c>
      <c r="E1499">
        <v>30</v>
      </c>
      <c r="F1499" s="85">
        <v>0</v>
      </c>
      <c r="G1499" s="86">
        <f t="shared" si="115"/>
        <v>1140</v>
      </c>
      <c r="H1499" s="86">
        <f t="shared" si="116"/>
        <v>0</v>
      </c>
      <c r="I1499" s="86">
        <f t="shared" si="117"/>
        <v>1140</v>
      </c>
      <c r="J1499" s="84">
        <f>VLOOKUP(C1499, Products[], 6)</f>
        <v>38</v>
      </c>
      <c r="K1499" s="86">
        <f t="shared" si="118"/>
        <v>1140</v>
      </c>
      <c r="L1499" s="86">
        <f t="shared" si="119"/>
        <v>0</v>
      </c>
    </row>
    <row r="1500" spans="2:12" x14ac:dyDescent="0.2">
      <c r="B1500">
        <v>10821</v>
      </c>
      <c r="C1500">
        <v>35</v>
      </c>
      <c r="D1500" s="84">
        <v>18</v>
      </c>
      <c r="E1500">
        <v>20</v>
      </c>
      <c r="F1500" s="85">
        <v>0</v>
      </c>
      <c r="G1500" s="86">
        <f t="shared" si="115"/>
        <v>360</v>
      </c>
      <c r="H1500" s="86">
        <f t="shared" si="116"/>
        <v>0</v>
      </c>
      <c r="I1500" s="86">
        <f t="shared" si="117"/>
        <v>360</v>
      </c>
      <c r="J1500" s="84">
        <f>VLOOKUP(C1500, Products[], 6)</f>
        <v>18</v>
      </c>
      <c r="K1500" s="86">
        <f t="shared" si="118"/>
        <v>360</v>
      </c>
      <c r="L1500" s="86">
        <f t="shared" si="119"/>
        <v>0</v>
      </c>
    </row>
    <row r="1501" spans="2:12" x14ac:dyDescent="0.2">
      <c r="B1501">
        <v>10821</v>
      </c>
      <c r="C1501">
        <v>51</v>
      </c>
      <c r="D1501" s="84">
        <v>53</v>
      </c>
      <c r="E1501">
        <v>6</v>
      </c>
      <c r="F1501" s="85">
        <v>0</v>
      </c>
      <c r="G1501" s="86">
        <f t="shared" si="115"/>
        <v>318</v>
      </c>
      <c r="H1501" s="86">
        <f t="shared" si="116"/>
        <v>0</v>
      </c>
      <c r="I1501" s="86">
        <f t="shared" si="117"/>
        <v>318</v>
      </c>
      <c r="J1501" s="84">
        <f>VLOOKUP(C1501, Products[], 6)</f>
        <v>53</v>
      </c>
      <c r="K1501" s="86">
        <f t="shared" si="118"/>
        <v>318</v>
      </c>
      <c r="L1501" s="86">
        <f t="shared" si="119"/>
        <v>0</v>
      </c>
    </row>
    <row r="1502" spans="2:12" x14ac:dyDescent="0.2">
      <c r="B1502">
        <v>10822</v>
      </c>
      <c r="C1502">
        <v>62</v>
      </c>
      <c r="D1502" s="84">
        <v>49.3</v>
      </c>
      <c r="E1502">
        <v>3</v>
      </c>
      <c r="F1502" s="85">
        <v>0</v>
      </c>
      <c r="G1502" s="86">
        <f t="shared" si="115"/>
        <v>147.89999999999998</v>
      </c>
      <c r="H1502" s="86">
        <f t="shared" si="116"/>
        <v>0</v>
      </c>
      <c r="I1502" s="86">
        <f t="shared" si="117"/>
        <v>147.89999999999998</v>
      </c>
      <c r="J1502" s="84">
        <f>VLOOKUP(C1502, Products[], 6)</f>
        <v>49.3</v>
      </c>
      <c r="K1502" s="86">
        <f t="shared" si="118"/>
        <v>147.89999999999998</v>
      </c>
      <c r="L1502" s="86">
        <f t="shared" si="119"/>
        <v>0</v>
      </c>
    </row>
    <row r="1503" spans="2:12" x14ac:dyDescent="0.2">
      <c r="B1503">
        <v>10822</v>
      </c>
      <c r="C1503">
        <v>70</v>
      </c>
      <c r="D1503" s="84">
        <v>15</v>
      </c>
      <c r="E1503">
        <v>6</v>
      </c>
      <c r="F1503" s="85">
        <v>0</v>
      </c>
      <c r="G1503" s="86">
        <f t="shared" si="115"/>
        <v>90</v>
      </c>
      <c r="H1503" s="86">
        <f t="shared" si="116"/>
        <v>0</v>
      </c>
      <c r="I1503" s="86">
        <f t="shared" si="117"/>
        <v>90</v>
      </c>
      <c r="J1503" s="84">
        <f>VLOOKUP(C1503, Products[], 6)</f>
        <v>15</v>
      </c>
      <c r="K1503" s="86">
        <f t="shared" si="118"/>
        <v>90</v>
      </c>
      <c r="L1503" s="86">
        <f t="shared" si="119"/>
        <v>0</v>
      </c>
    </row>
    <row r="1504" spans="2:12" x14ac:dyDescent="0.2">
      <c r="B1504">
        <v>10823</v>
      </c>
      <c r="C1504">
        <v>11</v>
      </c>
      <c r="D1504" s="84">
        <v>21</v>
      </c>
      <c r="E1504">
        <v>20</v>
      </c>
      <c r="F1504" s="85">
        <v>0.1</v>
      </c>
      <c r="G1504" s="86">
        <f t="shared" si="115"/>
        <v>420</v>
      </c>
      <c r="H1504" s="86">
        <f t="shared" si="116"/>
        <v>42</v>
      </c>
      <c r="I1504" s="86">
        <f t="shared" si="117"/>
        <v>378</v>
      </c>
      <c r="J1504" s="84">
        <f>VLOOKUP(C1504, Products[], 6)</f>
        <v>21</v>
      </c>
      <c r="K1504" s="86">
        <f t="shared" si="118"/>
        <v>420</v>
      </c>
      <c r="L1504" s="86">
        <f t="shared" si="119"/>
        <v>-42</v>
      </c>
    </row>
    <row r="1505" spans="2:12" x14ac:dyDescent="0.2">
      <c r="B1505">
        <v>10823</v>
      </c>
      <c r="C1505">
        <v>57</v>
      </c>
      <c r="D1505" s="84">
        <v>19.5</v>
      </c>
      <c r="E1505">
        <v>15</v>
      </c>
      <c r="F1505" s="85">
        <v>0</v>
      </c>
      <c r="G1505" s="86">
        <f t="shared" si="115"/>
        <v>292.5</v>
      </c>
      <c r="H1505" s="86">
        <f t="shared" si="116"/>
        <v>0</v>
      </c>
      <c r="I1505" s="86">
        <f t="shared" si="117"/>
        <v>292.5</v>
      </c>
      <c r="J1505" s="84">
        <f>VLOOKUP(C1505, Products[], 6)</f>
        <v>19.5</v>
      </c>
      <c r="K1505" s="86">
        <f t="shared" si="118"/>
        <v>292.5</v>
      </c>
      <c r="L1505" s="86">
        <f t="shared" si="119"/>
        <v>0</v>
      </c>
    </row>
    <row r="1506" spans="2:12" x14ac:dyDescent="0.2">
      <c r="B1506">
        <v>10823</v>
      </c>
      <c r="C1506">
        <v>59</v>
      </c>
      <c r="D1506" s="84">
        <v>55</v>
      </c>
      <c r="E1506">
        <v>40</v>
      </c>
      <c r="F1506" s="85">
        <v>0.1</v>
      </c>
      <c r="G1506" s="86">
        <f t="shared" si="115"/>
        <v>2200</v>
      </c>
      <c r="H1506" s="86">
        <f t="shared" si="116"/>
        <v>220</v>
      </c>
      <c r="I1506" s="86">
        <f t="shared" si="117"/>
        <v>1980</v>
      </c>
      <c r="J1506" s="84">
        <f>VLOOKUP(C1506, Products[], 6)</f>
        <v>55</v>
      </c>
      <c r="K1506" s="86">
        <f t="shared" si="118"/>
        <v>2200</v>
      </c>
      <c r="L1506" s="86">
        <f t="shared" si="119"/>
        <v>-220</v>
      </c>
    </row>
    <row r="1507" spans="2:12" x14ac:dyDescent="0.2">
      <c r="B1507">
        <v>10823</v>
      </c>
      <c r="C1507">
        <v>77</v>
      </c>
      <c r="D1507" s="84">
        <v>13</v>
      </c>
      <c r="E1507">
        <v>15</v>
      </c>
      <c r="F1507" s="85">
        <v>0.1</v>
      </c>
      <c r="G1507" s="86">
        <f t="shared" si="115"/>
        <v>195</v>
      </c>
      <c r="H1507" s="86">
        <f t="shared" si="116"/>
        <v>19.5</v>
      </c>
      <c r="I1507" s="86">
        <f t="shared" si="117"/>
        <v>175.5</v>
      </c>
      <c r="J1507" s="84">
        <f>VLOOKUP(C1507, Products[], 6)</f>
        <v>13</v>
      </c>
      <c r="K1507" s="86">
        <f t="shared" si="118"/>
        <v>195</v>
      </c>
      <c r="L1507" s="86">
        <f t="shared" si="119"/>
        <v>-19.5</v>
      </c>
    </row>
    <row r="1508" spans="2:12" x14ac:dyDescent="0.2">
      <c r="B1508">
        <v>10824</v>
      </c>
      <c r="C1508">
        <v>41</v>
      </c>
      <c r="D1508" s="84">
        <v>9.65</v>
      </c>
      <c r="E1508">
        <v>12</v>
      </c>
      <c r="F1508" s="85">
        <v>0</v>
      </c>
      <c r="G1508" s="86">
        <f t="shared" si="115"/>
        <v>115.80000000000001</v>
      </c>
      <c r="H1508" s="86">
        <f t="shared" si="116"/>
        <v>0</v>
      </c>
      <c r="I1508" s="86">
        <f t="shared" si="117"/>
        <v>115.80000000000001</v>
      </c>
      <c r="J1508" s="84">
        <f>VLOOKUP(C1508, Products[], 6)</f>
        <v>9.65</v>
      </c>
      <c r="K1508" s="86">
        <f t="shared" si="118"/>
        <v>115.80000000000001</v>
      </c>
      <c r="L1508" s="86">
        <f t="shared" si="119"/>
        <v>0</v>
      </c>
    </row>
    <row r="1509" spans="2:12" x14ac:dyDescent="0.2">
      <c r="B1509">
        <v>10824</v>
      </c>
      <c r="C1509">
        <v>70</v>
      </c>
      <c r="D1509" s="84">
        <v>15</v>
      </c>
      <c r="E1509">
        <v>9</v>
      </c>
      <c r="F1509" s="85">
        <v>0</v>
      </c>
      <c r="G1509" s="86">
        <f t="shared" si="115"/>
        <v>135</v>
      </c>
      <c r="H1509" s="86">
        <f t="shared" si="116"/>
        <v>0</v>
      </c>
      <c r="I1509" s="86">
        <f t="shared" si="117"/>
        <v>135</v>
      </c>
      <c r="J1509" s="84">
        <f>VLOOKUP(C1509, Products[], 6)</f>
        <v>15</v>
      </c>
      <c r="K1509" s="86">
        <f t="shared" si="118"/>
        <v>135</v>
      </c>
      <c r="L1509" s="86">
        <f t="shared" si="119"/>
        <v>0</v>
      </c>
    </row>
    <row r="1510" spans="2:12" x14ac:dyDescent="0.2">
      <c r="B1510">
        <v>10825</v>
      </c>
      <c r="C1510">
        <v>26</v>
      </c>
      <c r="D1510" s="84">
        <v>31.23</v>
      </c>
      <c r="E1510">
        <v>12</v>
      </c>
      <c r="F1510" s="85">
        <v>0</v>
      </c>
      <c r="G1510" s="86">
        <f t="shared" si="115"/>
        <v>374.76</v>
      </c>
      <c r="H1510" s="86">
        <f t="shared" si="116"/>
        <v>0</v>
      </c>
      <c r="I1510" s="86">
        <f t="shared" si="117"/>
        <v>374.76</v>
      </c>
      <c r="J1510" s="84">
        <f>VLOOKUP(C1510, Products[], 6)</f>
        <v>31.23</v>
      </c>
      <c r="K1510" s="86">
        <f t="shared" si="118"/>
        <v>374.76</v>
      </c>
      <c r="L1510" s="86">
        <f t="shared" si="119"/>
        <v>0</v>
      </c>
    </row>
    <row r="1511" spans="2:12" x14ac:dyDescent="0.2">
      <c r="B1511">
        <v>10825</v>
      </c>
      <c r="C1511">
        <v>53</v>
      </c>
      <c r="D1511" s="84">
        <v>32.799999999999997</v>
      </c>
      <c r="E1511">
        <v>20</v>
      </c>
      <c r="F1511" s="85">
        <v>0</v>
      </c>
      <c r="G1511" s="86">
        <f t="shared" si="115"/>
        <v>656</v>
      </c>
      <c r="H1511" s="86">
        <f t="shared" si="116"/>
        <v>0</v>
      </c>
      <c r="I1511" s="86">
        <f t="shared" si="117"/>
        <v>656</v>
      </c>
      <c r="J1511" s="84">
        <f>VLOOKUP(C1511, Products[], 6)</f>
        <v>32.799999999999997</v>
      </c>
      <c r="K1511" s="86">
        <f t="shared" si="118"/>
        <v>656</v>
      </c>
      <c r="L1511" s="86">
        <f t="shared" si="119"/>
        <v>0</v>
      </c>
    </row>
    <row r="1512" spans="2:12" x14ac:dyDescent="0.2">
      <c r="B1512">
        <v>10826</v>
      </c>
      <c r="C1512">
        <v>31</v>
      </c>
      <c r="D1512" s="84">
        <v>12.5</v>
      </c>
      <c r="E1512">
        <v>35</v>
      </c>
      <c r="F1512" s="85">
        <v>0</v>
      </c>
      <c r="G1512" s="86">
        <f t="shared" si="115"/>
        <v>437.5</v>
      </c>
      <c r="H1512" s="86">
        <f t="shared" si="116"/>
        <v>0</v>
      </c>
      <c r="I1512" s="86">
        <f t="shared" si="117"/>
        <v>437.5</v>
      </c>
      <c r="J1512" s="84">
        <f>VLOOKUP(C1512, Products[], 6)</f>
        <v>12.5</v>
      </c>
      <c r="K1512" s="86">
        <f t="shared" si="118"/>
        <v>437.5</v>
      </c>
      <c r="L1512" s="86">
        <f t="shared" si="119"/>
        <v>0</v>
      </c>
    </row>
    <row r="1513" spans="2:12" x14ac:dyDescent="0.2">
      <c r="B1513">
        <v>10826</v>
      </c>
      <c r="C1513">
        <v>57</v>
      </c>
      <c r="D1513" s="84">
        <v>19.5</v>
      </c>
      <c r="E1513">
        <v>15</v>
      </c>
      <c r="F1513" s="85">
        <v>0</v>
      </c>
      <c r="G1513" s="86">
        <f t="shared" si="115"/>
        <v>292.5</v>
      </c>
      <c r="H1513" s="86">
        <f t="shared" si="116"/>
        <v>0</v>
      </c>
      <c r="I1513" s="86">
        <f t="shared" si="117"/>
        <v>292.5</v>
      </c>
      <c r="J1513" s="84">
        <f>VLOOKUP(C1513, Products[], 6)</f>
        <v>19.5</v>
      </c>
      <c r="K1513" s="86">
        <f t="shared" si="118"/>
        <v>292.5</v>
      </c>
      <c r="L1513" s="86">
        <f t="shared" si="119"/>
        <v>0</v>
      </c>
    </row>
    <row r="1514" spans="2:12" x14ac:dyDescent="0.2">
      <c r="B1514">
        <v>10827</v>
      </c>
      <c r="C1514">
        <v>10</v>
      </c>
      <c r="D1514" s="84">
        <v>31</v>
      </c>
      <c r="E1514">
        <v>15</v>
      </c>
      <c r="F1514" s="85">
        <v>0</v>
      </c>
      <c r="G1514" s="86">
        <f t="shared" si="115"/>
        <v>465</v>
      </c>
      <c r="H1514" s="86">
        <f t="shared" si="116"/>
        <v>0</v>
      </c>
      <c r="I1514" s="86">
        <f t="shared" si="117"/>
        <v>465</v>
      </c>
      <c r="J1514" s="84">
        <f>VLOOKUP(C1514, Products[], 6)</f>
        <v>31</v>
      </c>
      <c r="K1514" s="86">
        <f t="shared" si="118"/>
        <v>465</v>
      </c>
      <c r="L1514" s="86">
        <f t="shared" si="119"/>
        <v>0</v>
      </c>
    </row>
    <row r="1515" spans="2:12" x14ac:dyDescent="0.2">
      <c r="B1515">
        <v>10827</v>
      </c>
      <c r="C1515">
        <v>39</v>
      </c>
      <c r="D1515" s="84">
        <v>18</v>
      </c>
      <c r="E1515">
        <v>21</v>
      </c>
      <c r="F1515" s="85">
        <v>0</v>
      </c>
      <c r="G1515" s="86">
        <f t="shared" si="115"/>
        <v>378</v>
      </c>
      <c r="H1515" s="86">
        <f t="shared" si="116"/>
        <v>0</v>
      </c>
      <c r="I1515" s="86">
        <f t="shared" si="117"/>
        <v>378</v>
      </c>
      <c r="J1515" s="84">
        <f>VLOOKUP(C1515, Products[], 6)</f>
        <v>18</v>
      </c>
      <c r="K1515" s="86">
        <f t="shared" si="118"/>
        <v>378</v>
      </c>
      <c r="L1515" s="86">
        <f t="shared" si="119"/>
        <v>0</v>
      </c>
    </row>
    <row r="1516" spans="2:12" x14ac:dyDescent="0.2">
      <c r="B1516">
        <v>10828</v>
      </c>
      <c r="C1516">
        <v>20</v>
      </c>
      <c r="D1516" s="84">
        <v>81</v>
      </c>
      <c r="E1516">
        <v>5</v>
      </c>
      <c r="F1516" s="85">
        <v>0</v>
      </c>
      <c r="G1516" s="86">
        <f t="shared" si="115"/>
        <v>405</v>
      </c>
      <c r="H1516" s="86">
        <f t="shared" si="116"/>
        <v>0</v>
      </c>
      <c r="I1516" s="86">
        <f t="shared" si="117"/>
        <v>405</v>
      </c>
      <c r="J1516" s="84">
        <f>VLOOKUP(C1516, Products[], 6)</f>
        <v>81</v>
      </c>
      <c r="K1516" s="86">
        <f t="shared" si="118"/>
        <v>405</v>
      </c>
      <c r="L1516" s="86">
        <f t="shared" si="119"/>
        <v>0</v>
      </c>
    </row>
    <row r="1517" spans="2:12" x14ac:dyDescent="0.2">
      <c r="B1517">
        <v>10828</v>
      </c>
      <c r="C1517">
        <v>38</v>
      </c>
      <c r="D1517" s="84">
        <v>263.5</v>
      </c>
      <c r="E1517">
        <v>2</v>
      </c>
      <c r="F1517" s="85">
        <v>0</v>
      </c>
      <c r="G1517" s="86">
        <f t="shared" si="115"/>
        <v>527</v>
      </c>
      <c r="H1517" s="86">
        <f t="shared" si="116"/>
        <v>0</v>
      </c>
      <c r="I1517" s="86">
        <f t="shared" si="117"/>
        <v>527</v>
      </c>
      <c r="J1517" s="84">
        <f>VLOOKUP(C1517, Products[], 6)</f>
        <v>263.5</v>
      </c>
      <c r="K1517" s="86">
        <f t="shared" si="118"/>
        <v>527</v>
      </c>
      <c r="L1517" s="86">
        <f t="shared" si="119"/>
        <v>0</v>
      </c>
    </row>
    <row r="1518" spans="2:12" x14ac:dyDescent="0.2">
      <c r="B1518">
        <v>10829</v>
      </c>
      <c r="C1518">
        <v>2</v>
      </c>
      <c r="D1518" s="84">
        <v>19</v>
      </c>
      <c r="E1518">
        <v>10</v>
      </c>
      <c r="F1518" s="85">
        <v>0</v>
      </c>
      <c r="G1518" s="86">
        <f t="shared" si="115"/>
        <v>190</v>
      </c>
      <c r="H1518" s="86">
        <f t="shared" si="116"/>
        <v>0</v>
      </c>
      <c r="I1518" s="86">
        <f t="shared" si="117"/>
        <v>190</v>
      </c>
      <c r="J1518" s="84">
        <f>VLOOKUP(C1518, Products[], 6)</f>
        <v>19</v>
      </c>
      <c r="K1518" s="86">
        <f t="shared" si="118"/>
        <v>190</v>
      </c>
      <c r="L1518" s="86">
        <f t="shared" si="119"/>
        <v>0</v>
      </c>
    </row>
    <row r="1519" spans="2:12" x14ac:dyDescent="0.2">
      <c r="B1519">
        <v>10829</v>
      </c>
      <c r="C1519">
        <v>8</v>
      </c>
      <c r="D1519" s="84">
        <v>40</v>
      </c>
      <c r="E1519">
        <v>20</v>
      </c>
      <c r="F1519" s="85">
        <v>0</v>
      </c>
      <c r="G1519" s="86">
        <f t="shared" si="115"/>
        <v>800</v>
      </c>
      <c r="H1519" s="86">
        <f t="shared" si="116"/>
        <v>0</v>
      </c>
      <c r="I1519" s="86">
        <f t="shared" si="117"/>
        <v>800</v>
      </c>
      <c r="J1519" s="84">
        <f>VLOOKUP(C1519, Products[], 6)</f>
        <v>40</v>
      </c>
      <c r="K1519" s="86">
        <f t="shared" si="118"/>
        <v>800</v>
      </c>
      <c r="L1519" s="86">
        <f t="shared" si="119"/>
        <v>0</v>
      </c>
    </row>
    <row r="1520" spans="2:12" x14ac:dyDescent="0.2">
      <c r="B1520">
        <v>10829</v>
      </c>
      <c r="C1520">
        <v>13</v>
      </c>
      <c r="D1520" s="84">
        <v>6</v>
      </c>
      <c r="E1520">
        <v>10</v>
      </c>
      <c r="F1520" s="85">
        <v>0</v>
      </c>
      <c r="G1520" s="86">
        <f t="shared" si="115"/>
        <v>60</v>
      </c>
      <c r="H1520" s="86">
        <f t="shared" si="116"/>
        <v>0</v>
      </c>
      <c r="I1520" s="86">
        <f t="shared" si="117"/>
        <v>60</v>
      </c>
      <c r="J1520" s="84">
        <f>VLOOKUP(C1520, Products[], 6)</f>
        <v>6</v>
      </c>
      <c r="K1520" s="86">
        <f t="shared" si="118"/>
        <v>60</v>
      </c>
      <c r="L1520" s="86">
        <f t="shared" si="119"/>
        <v>0</v>
      </c>
    </row>
    <row r="1521" spans="2:12" x14ac:dyDescent="0.2">
      <c r="B1521">
        <v>10829</v>
      </c>
      <c r="C1521">
        <v>60</v>
      </c>
      <c r="D1521" s="84">
        <v>34</v>
      </c>
      <c r="E1521">
        <v>21</v>
      </c>
      <c r="F1521" s="85">
        <v>0</v>
      </c>
      <c r="G1521" s="86">
        <f t="shared" si="115"/>
        <v>714</v>
      </c>
      <c r="H1521" s="86">
        <f t="shared" si="116"/>
        <v>0</v>
      </c>
      <c r="I1521" s="86">
        <f t="shared" si="117"/>
        <v>714</v>
      </c>
      <c r="J1521" s="84">
        <f>VLOOKUP(C1521, Products[], 6)</f>
        <v>34</v>
      </c>
      <c r="K1521" s="86">
        <f t="shared" si="118"/>
        <v>714</v>
      </c>
      <c r="L1521" s="86">
        <f t="shared" si="119"/>
        <v>0</v>
      </c>
    </row>
    <row r="1522" spans="2:12" x14ac:dyDescent="0.2">
      <c r="B1522">
        <v>10830</v>
      </c>
      <c r="C1522">
        <v>6</v>
      </c>
      <c r="D1522" s="84">
        <v>25</v>
      </c>
      <c r="E1522">
        <v>6</v>
      </c>
      <c r="F1522" s="85">
        <v>0</v>
      </c>
      <c r="G1522" s="86">
        <f t="shared" si="115"/>
        <v>150</v>
      </c>
      <c r="H1522" s="86">
        <f t="shared" si="116"/>
        <v>0</v>
      </c>
      <c r="I1522" s="86">
        <f t="shared" si="117"/>
        <v>150</v>
      </c>
      <c r="J1522" s="84">
        <f>VLOOKUP(C1522, Products[], 6)</f>
        <v>25</v>
      </c>
      <c r="K1522" s="86">
        <f t="shared" si="118"/>
        <v>150</v>
      </c>
      <c r="L1522" s="86">
        <f t="shared" si="119"/>
        <v>0</v>
      </c>
    </row>
    <row r="1523" spans="2:12" x14ac:dyDescent="0.2">
      <c r="B1523">
        <v>10830</v>
      </c>
      <c r="C1523">
        <v>39</v>
      </c>
      <c r="D1523" s="84">
        <v>18</v>
      </c>
      <c r="E1523">
        <v>28</v>
      </c>
      <c r="F1523" s="85">
        <v>0</v>
      </c>
      <c r="G1523" s="86">
        <f t="shared" si="115"/>
        <v>504</v>
      </c>
      <c r="H1523" s="86">
        <f t="shared" si="116"/>
        <v>0</v>
      </c>
      <c r="I1523" s="86">
        <f t="shared" si="117"/>
        <v>504</v>
      </c>
      <c r="J1523" s="84">
        <f>VLOOKUP(C1523, Products[], 6)</f>
        <v>18</v>
      </c>
      <c r="K1523" s="86">
        <f t="shared" si="118"/>
        <v>504</v>
      </c>
      <c r="L1523" s="86">
        <f t="shared" si="119"/>
        <v>0</v>
      </c>
    </row>
    <row r="1524" spans="2:12" x14ac:dyDescent="0.2">
      <c r="B1524">
        <v>10830</v>
      </c>
      <c r="C1524">
        <v>60</v>
      </c>
      <c r="D1524" s="84">
        <v>34</v>
      </c>
      <c r="E1524">
        <v>30</v>
      </c>
      <c r="F1524" s="85">
        <v>0</v>
      </c>
      <c r="G1524" s="86">
        <f t="shared" si="115"/>
        <v>1020</v>
      </c>
      <c r="H1524" s="86">
        <f t="shared" si="116"/>
        <v>0</v>
      </c>
      <c r="I1524" s="86">
        <f t="shared" si="117"/>
        <v>1020</v>
      </c>
      <c r="J1524" s="84">
        <f>VLOOKUP(C1524, Products[], 6)</f>
        <v>34</v>
      </c>
      <c r="K1524" s="86">
        <f t="shared" si="118"/>
        <v>1020</v>
      </c>
      <c r="L1524" s="86">
        <f t="shared" si="119"/>
        <v>0</v>
      </c>
    </row>
    <row r="1525" spans="2:12" x14ac:dyDescent="0.2">
      <c r="B1525">
        <v>10830</v>
      </c>
      <c r="C1525">
        <v>68</v>
      </c>
      <c r="D1525" s="84">
        <v>12.5</v>
      </c>
      <c r="E1525">
        <v>24</v>
      </c>
      <c r="F1525" s="85">
        <v>0</v>
      </c>
      <c r="G1525" s="86">
        <f t="shared" si="115"/>
        <v>300</v>
      </c>
      <c r="H1525" s="86">
        <f t="shared" si="116"/>
        <v>0</v>
      </c>
      <c r="I1525" s="86">
        <f t="shared" si="117"/>
        <v>300</v>
      </c>
      <c r="J1525" s="84">
        <f>VLOOKUP(C1525, Products[], 6)</f>
        <v>12.5</v>
      </c>
      <c r="K1525" s="86">
        <f t="shared" si="118"/>
        <v>300</v>
      </c>
      <c r="L1525" s="86">
        <f t="shared" si="119"/>
        <v>0</v>
      </c>
    </row>
    <row r="1526" spans="2:12" x14ac:dyDescent="0.2">
      <c r="B1526">
        <v>10831</v>
      </c>
      <c r="C1526">
        <v>19</v>
      </c>
      <c r="D1526" s="84">
        <v>9.1999999999999993</v>
      </c>
      <c r="E1526">
        <v>2</v>
      </c>
      <c r="F1526" s="85">
        <v>0</v>
      </c>
      <c r="G1526" s="86">
        <f t="shared" si="115"/>
        <v>18.399999999999999</v>
      </c>
      <c r="H1526" s="86">
        <f t="shared" si="116"/>
        <v>0</v>
      </c>
      <c r="I1526" s="86">
        <f t="shared" si="117"/>
        <v>18.399999999999999</v>
      </c>
      <c r="J1526" s="84">
        <f>VLOOKUP(C1526, Products[], 6)</f>
        <v>9.1999999999999993</v>
      </c>
      <c r="K1526" s="86">
        <f t="shared" si="118"/>
        <v>18.399999999999999</v>
      </c>
      <c r="L1526" s="86">
        <f t="shared" si="119"/>
        <v>0</v>
      </c>
    </row>
    <row r="1527" spans="2:12" x14ac:dyDescent="0.2">
      <c r="B1527">
        <v>10831</v>
      </c>
      <c r="C1527">
        <v>35</v>
      </c>
      <c r="D1527" s="84">
        <v>18</v>
      </c>
      <c r="E1527">
        <v>8</v>
      </c>
      <c r="F1527" s="85">
        <v>0</v>
      </c>
      <c r="G1527" s="86">
        <f t="shared" si="115"/>
        <v>144</v>
      </c>
      <c r="H1527" s="86">
        <f t="shared" si="116"/>
        <v>0</v>
      </c>
      <c r="I1527" s="86">
        <f t="shared" si="117"/>
        <v>144</v>
      </c>
      <c r="J1527" s="84">
        <f>VLOOKUP(C1527, Products[], 6)</f>
        <v>18</v>
      </c>
      <c r="K1527" s="86">
        <f t="shared" si="118"/>
        <v>144</v>
      </c>
      <c r="L1527" s="86">
        <f t="shared" si="119"/>
        <v>0</v>
      </c>
    </row>
    <row r="1528" spans="2:12" x14ac:dyDescent="0.2">
      <c r="B1528">
        <v>10831</v>
      </c>
      <c r="C1528">
        <v>38</v>
      </c>
      <c r="D1528" s="84">
        <v>263.5</v>
      </c>
      <c r="E1528">
        <v>8</v>
      </c>
      <c r="F1528" s="85">
        <v>0</v>
      </c>
      <c r="G1528" s="86">
        <f t="shared" si="115"/>
        <v>2108</v>
      </c>
      <c r="H1528" s="86">
        <f t="shared" si="116"/>
        <v>0</v>
      </c>
      <c r="I1528" s="86">
        <f t="shared" si="117"/>
        <v>2108</v>
      </c>
      <c r="J1528" s="84">
        <f>VLOOKUP(C1528, Products[], 6)</f>
        <v>263.5</v>
      </c>
      <c r="K1528" s="86">
        <f t="shared" si="118"/>
        <v>2108</v>
      </c>
      <c r="L1528" s="86">
        <f t="shared" si="119"/>
        <v>0</v>
      </c>
    </row>
    <row r="1529" spans="2:12" x14ac:dyDescent="0.2">
      <c r="B1529">
        <v>10831</v>
      </c>
      <c r="C1529">
        <v>43</v>
      </c>
      <c r="D1529" s="84">
        <v>46</v>
      </c>
      <c r="E1529">
        <v>9</v>
      </c>
      <c r="F1529" s="85">
        <v>0</v>
      </c>
      <c r="G1529" s="86">
        <f t="shared" si="115"/>
        <v>414</v>
      </c>
      <c r="H1529" s="86">
        <f t="shared" si="116"/>
        <v>0</v>
      </c>
      <c r="I1529" s="86">
        <f t="shared" si="117"/>
        <v>414</v>
      </c>
      <c r="J1529" s="84">
        <f>VLOOKUP(C1529, Products[], 6)</f>
        <v>46</v>
      </c>
      <c r="K1529" s="86">
        <f t="shared" si="118"/>
        <v>414</v>
      </c>
      <c r="L1529" s="86">
        <f t="shared" si="119"/>
        <v>0</v>
      </c>
    </row>
    <row r="1530" spans="2:12" x14ac:dyDescent="0.2">
      <c r="B1530">
        <v>10832</v>
      </c>
      <c r="C1530">
        <v>13</v>
      </c>
      <c r="D1530" s="84">
        <v>6</v>
      </c>
      <c r="E1530">
        <v>3</v>
      </c>
      <c r="F1530" s="85">
        <v>0.2</v>
      </c>
      <c r="G1530" s="86">
        <f t="shared" si="115"/>
        <v>18</v>
      </c>
      <c r="H1530" s="86">
        <f t="shared" si="116"/>
        <v>3.6</v>
      </c>
      <c r="I1530" s="86">
        <f t="shared" si="117"/>
        <v>14.4</v>
      </c>
      <c r="J1530" s="84">
        <f>VLOOKUP(C1530, Products[], 6)</f>
        <v>6</v>
      </c>
      <c r="K1530" s="86">
        <f t="shared" si="118"/>
        <v>18</v>
      </c>
      <c r="L1530" s="86">
        <f t="shared" si="119"/>
        <v>-3.5999999999999996</v>
      </c>
    </row>
    <row r="1531" spans="2:12" x14ac:dyDescent="0.2">
      <c r="B1531">
        <v>10832</v>
      </c>
      <c r="C1531">
        <v>25</v>
      </c>
      <c r="D1531" s="84">
        <v>14</v>
      </c>
      <c r="E1531">
        <v>10</v>
      </c>
      <c r="F1531" s="85">
        <v>0.2</v>
      </c>
      <c r="G1531" s="86">
        <f t="shared" si="115"/>
        <v>140</v>
      </c>
      <c r="H1531" s="86">
        <f t="shared" si="116"/>
        <v>28</v>
      </c>
      <c r="I1531" s="86">
        <f t="shared" si="117"/>
        <v>112</v>
      </c>
      <c r="J1531" s="84">
        <f>VLOOKUP(C1531, Products[], 6)</f>
        <v>14</v>
      </c>
      <c r="K1531" s="86">
        <f t="shared" si="118"/>
        <v>140</v>
      </c>
      <c r="L1531" s="86">
        <f t="shared" si="119"/>
        <v>-28</v>
      </c>
    </row>
    <row r="1532" spans="2:12" x14ac:dyDescent="0.2">
      <c r="B1532">
        <v>10832</v>
      </c>
      <c r="C1532">
        <v>44</v>
      </c>
      <c r="D1532" s="84">
        <v>19.45</v>
      </c>
      <c r="E1532">
        <v>16</v>
      </c>
      <c r="F1532" s="85">
        <v>0.2</v>
      </c>
      <c r="G1532" s="86">
        <f t="shared" si="115"/>
        <v>311.2</v>
      </c>
      <c r="H1532" s="86">
        <f t="shared" si="116"/>
        <v>62.24</v>
      </c>
      <c r="I1532" s="86">
        <f t="shared" si="117"/>
        <v>248.95999999999998</v>
      </c>
      <c r="J1532" s="84">
        <f>VLOOKUP(C1532, Products[], 6)</f>
        <v>19.45</v>
      </c>
      <c r="K1532" s="86">
        <f t="shared" si="118"/>
        <v>311.2</v>
      </c>
      <c r="L1532" s="86">
        <f t="shared" si="119"/>
        <v>-62.240000000000009</v>
      </c>
    </row>
    <row r="1533" spans="2:12" x14ac:dyDescent="0.2">
      <c r="B1533">
        <v>10832</v>
      </c>
      <c r="C1533">
        <v>64</v>
      </c>
      <c r="D1533" s="84">
        <v>33.25</v>
      </c>
      <c r="E1533">
        <v>3</v>
      </c>
      <c r="F1533" s="85">
        <v>0</v>
      </c>
      <c r="G1533" s="86">
        <f t="shared" si="115"/>
        <v>99.75</v>
      </c>
      <c r="H1533" s="86">
        <f t="shared" si="116"/>
        <v>0</v>
      </c>
      <c r="I1533" s="86">
        <f t="shared" si="117"/>
        <v>99.75</v>
      </c>
      <c r="J1533" s="84">
        <f>VLOOKUP(C1533, Products[], 6)</f>
        <v>33.25</v>
      </c>
      <c r="K1533" s="86">
        <f t="shared" si="118"/>
        <v>99.75</v>
      </c>
      <c r="L1533" s="86">
        <f t="shared" si="119"/>
        <v>0</v>
      </c>
    </row>
    <row r="1534" spans="2:12" x14ac:dyDescent="0.2">
      <c r="B1534">
        <v>10833</v>
      </c>
      <c r="C1534">
        <v>7</v>
      </c>
      <c r="D1534" s="84">
        <v>30</v>
      </c>
      <c r="E1534">
        <v>20</v>
      </c>
      <c r="F1534" s="85">
        <v>0.1</v>
      </c>
      <c r="G1534" s="86">
        <f t="shared" si="115"/>
        <v>600</v>
      </c>
      <c r="H1534" s="86">
        <f t="shared" si="116"/>
        <v>60</v>
      </c>
      <c r="I1534" s="86">
        <f t="shared" si="117"/>
        <v>540</v>
      </c>
      <c r="J1534" s="84">
        <f>VLOOKUP(C1534, Products[], 6)</f>
        <v>30</v>
      </c>
      <c r="K1534" s="86">
        <f t="shared" si="118"/>
        <v>600</v>
      </c>
      <c r="L1534" s="86">
        <f t="shared" si="119"/>
        <v>-60</v>
      </c>
    </row>
    <row r="1535" spans="2:12" x14ac:dyDescent="0.2">
      <c r="B1535">
        <v>10833</v>
      </c>
      <c r="C1535">
        <v>31</v>
      </c>
      <c r="D1535" s="84">
        <v>12.5</v>
      </c>
      <c r="E1535">
        <v>9</v>
      </c>
      <c r="F1535" s="85">
        <v>0.1</v>
      </c>
      <c r="G1535" s="86">
        <f t="shared" si="115"/>
        <v>112.5</v>
      </c>
      <c r="H1535" s="86">
        <f t="shared" si="116"/>
        <v>11.25</v>
      </c>
      <c r="I1535" s="86">
        <f t="shared" si="117"/>
        <v>101.25</v>
      </c>
      <c r="J1535" s="84">
        <f>VLOOKUP(C1535, Products[], 6)</f>
        <v>12.5</v>
      </c>
      <c r="K1535" s="86">
        <f t="shared" si="118"/>
        <v>112.5</v>
      </c>
      <c r="L1535" s="86">
        <f t="shared" si="119"/>
        <v>-11.25</v>
      </c>
    </row>
    <row r="1536" spans="2:12" x14ac:dyDescent="0.2">
      <c r="B1536">
        <v>10833</v>
      </c>
      <c r="C1536">
        <v>53</v>
      </c>
      <c r="D1536" s="84">
        <v>32.799999999999997</v>
      </c>
      <c r="E1536">
        <v>9</v>
      </c>
      <c r="F1536" s="85">
        <v>0.1</v>
      </c>
      <c r="G1536" s="86">
        <f t="shared" si="115"/>
        <v>295.2</v>
      </c>
      <c r="H1536" s="86">
        <f t="shared" si="116"/>
        <v>29.52</v>
      </c>
      <c r="I1536" s="86">
        <f t="shared" si="117"/>
        <v>265.68</v>
      </c>
      <c r="J1536" s="84">
        <f>VLOOKUP(C1536, Products[], 6)</f>
        <v>32.799999999999997</v>
      </c>
      <c r="K1536" s="86">
        <f t="shared" si="118"/>
        <v>295.2</v>
      </c>
      <c r="L1536" s="86">
        <f t="shared" si="119"/>
        <v>-29.519999999999982</v>
      </c>
    </row>
    <row r="1537" spans="2:12" x14ac:dyDescent="0.2">
      <c r="B1537">
        <v>10834</v>
      </c>
      <c r="C1537">
        <v>29</v>
      </c>
      <c r="D1537" s="84">
        <v>123.79</v>
      </c>
      <c r="E1537">
        <v>8</v>
      </c>
      <c r="F1537" s="85">
        <v>0.05</v>
      </c>
      <c r="G1537" s="86">
        <f t="shared" si="115"/>
        <v>990.32</v>
      </c>
      <c r="H1537" s="86">
        <f t="shared" si="116"/>
        <v>49.516000000000005</v>
      </c>
      <c r="I1537" s="86">
        <f t="shared" si="117"/>
        <v>940.80400000000009</v>
      </c>
      <c r="J1537" s="84">
        <f>VLOOKUP(C1537, Products[], 6)</f>
        <v>123.79</v>
      </c>
      <c r="K1537" s="86">
        <f t="shared" si="118"/>
        <v>990.32</v>
      </c>
      <c r="L1537" s="86">
        <f t="shared" si="119"/>
        <v>-49.515999999999963</v>
      </c>
    </row>
    <row r="1538" spans="2:12" x14ac:dyDescent="0.2">
      <c r="B1538">
        <v>10834</v>
      </c>
      <c r="C1538">
        <v>30</v>
      </c>
      <c r="D1538" s="84">
        <v>25.89</v>
      </c>
      <c r="E1538">
        <v>20</v>
      </c>
      <c r="F1538" s="85">
        <v>0.05</v>
      </c>
      <c r="G1538" s="86">
        <f t="shared" si="115"/>
        <v>517.79999999999995</v>
      </c>
      <c r="H1538" s="86">
        <f t="shared" si="116"/>
        <v>25.89</v>
      </c>
      <c r="I1538" s="86">
        <f t="shared" si="117"/>
        <v>491.90999999999997</v>
      </c>
      <c r="J1538" s="84">
        <f>VLOOKUP(C1538, Products[], 6)</f>
        <v>25.89</v>
      </c>
      <c r="K1538" s="86">
        <f t="shared" si="118"/>
        <v>517.79999999999995</v>
      </c>
      <c r="L1538" s="86">
        <f t="shared" si="119"/>
        <v>-25.889999999999986</v>
      </c>
    </row>
    <row r="1539" spans="2:12" x14ac:dyDescent="0.2">
      <c r="B1539">
        <v>10835</v>
      </c>
      <c r="C1539">
        <v>59</v>
      </c>
      <c r="D1539" s="84">
        <v>55</v>
      </c>
      <c r="E1539">
        <v>15</v>
      </c>
      <c r="F1539" s="85">
        <v>0</v>
      </c>
      <c r="G1539" s="86">
        <f t="shared" si="115"/>
        <v>825</v>
      </c>
      <c r="H1539" s="86">
        <f t="shared" si="116"/>
        <v>0</v>
      </c>
      <c r="I1539" s="86">
        <f t="shared" si="117"/>
        <v>825</v>
      </c>
      <c r="J1539" s="84">
        <f>VLOOKUP(C1539, Products[], 6)</f>
        <v>55</v>
      </c>
      <c r="K1539" s="86">
        <f t="shared" si="118"/>
        <v>825</v>
      </c>
      <c r="L1539" s="86">
        <f t="shared" si="119"/>
        <v>0</v>
      </c>
    </row>
    <row r="1540" spans="2:12" x14ac:dyDescent="0.2">
      <c r="B1540">
        <v>10835</v>
      </c>
      <c r="C1540">
        <v>77</v>
      </c>
      <c r="D1540" s="84">
        <v>13</v>
      </c>
      <c r="E1540">
        <v>2</v>
      </c>
      <c r="F1540" s="85">
        <v>0.2</v>
      </c>
      <c r="G1540" s="86">
        <f t="shared" si="115"/>
        <v>26</v>
      </c>
      <c r="H1540" s="86">
        <f t="shared" si="116"/>
        <v>5.2</v>
      </c>
      <c r="I1540" s="86">
        <f t="shared" si="117"/>
        <v>20.8</v>
      </c>
      <c r="J1540" s="84">
        <f>VLOOKUP(C1540, Products[], 6)</f>
        <v>13</v>
      </c>
      <c r="K1540" s="86">
        <f t="shared" si="118"/>
        <v>26</v>
      </c>
      <c r="L1540" s="86">
        <f t="shared" si="119"/>
        <v>-5.1999999999999993</v>
      </c>
    </row>
    <row r="1541" spans="2:12" x14ac:dyDescent="0.2">
      <c r="B1541">
        <v>10836</v>
      </c>
      <c r="C1541">
        <v>22</v>
      </c>
      <c r="D1541" s="84">
        <v>21</v>
      </c>
      <c r="E1541">
        <v>52</v>
      </c>
      <c r="F1541" s="85">
        <v>0</v>
      </c>
      <c r="G1541" s="86">
        <f t="shared" si="115"/>
        <v>1092</v>
      </c>
      <c r="H1541" s="86">
        <f t="shared" si="116"/>
        <v>0</v>
      </c>
      <c r="I1541" s="86">
        <f t="shared" si="117"/>
        <v>1092</v>
      </c>
      <c r="J1541" s="84">
        <f>VLOOKUP(C1541, Products[], 6)</f>
        <v>21</v>
      </c>
      <c r="K1541" s="86">
        <f t="shared" si="118"/>
        <v>1092</v>
      </c>
      <c r="L1541" s="86">
        <f t="shared" si="119"/>
        <v>0</v>
      </c>
    </row>
    <row r="1542" spans="2:12" x14ac:dyDescent="0.2">
      <c r="B1542">
        <v>10836</v>
      </c>
      <c r="C1542">
        <v>35</v>
      </c>
      <c r="D1542" s="84">
        <v>18</v>
      </c>
      <c r="E1542">
        <v>6</v>
      </c>
      <c r="F1542" s="85">
        <v>0</v>
      </c>
      <c r="G1542" s="86">
        <f t="shared" si="115"/>
        <v>108</v>
      </c>
      <c r="H1542" s="86">
        <f t="shared" si="116"/>
        <v>0</v>
      </c>
      <c r="I1542" s="86">
        <f t="shared" si="117"/>
        <v>108</v>
      </c>
      <c r="J1542" s="84">
        <f>VLOOKUP(C1542, Products[], 6)</f>
        <v>18</v>
      </c>
      <c r="K1542" s="86">
        <f t="shared" si="118"/>
        <v>108</v>
      </c>
      <c r="L1542" s="86">
        <f t="shared" si="119"/>
        <v>0</v>
      </c>
    </row>
    <row r="1543" spans="2:12" x14ac:dyDescent="0.2">
      <c r="B1543">
        <v>10836</v>
      </c>
      <c r="C1543">
        <v>57</v>
      </c>
      <c r="D1543" s="84">
        <v>19.5</v>
      </c>
      <c r="E1543">
        <v>24</v>
      </c>
      <c r="F1543" s="85">
        <v>0</v>
      </c>
      <c r="G1543" s="86">
        <f t="shared" ref="G1543:G1606" si="120">D1543*E1543</f>
        <v>468</v>
      </c>
      <c r="H1543" s="86">
        <f t="shared" ref="H1543:H1606" si="121">G1543*F1543</f>
        <v>0</v>
      </c>
      <c r="I1543" s="86">
        <f t="shared" ref="I1543:I1606" si="122">G1543-H1543</f>
        <v>468</v>
      </c>
      <c r="J1543" s="84">
        <f>VLOOKUP(C1543, Products[], 6)</f>
        <v>19.5</v>
      </c>
      <c r="K1543" s="86">
        <f t="shared" ref="K1543:K1606" si="123">J1543*E1543</f>
        <v>468</v>
      </c>
      <c r="L1543" s="86">
        <f t="shared" ref="L1543:L1606" si="124">I1543-K1543</f>
        <v>0</v>
      </c>
    </row>
    <row r="1544" spans="2:12" x14ac:dyDescent="0.2">
      <c r="B1544">
        <v>10836</v>
      </c>
      <c r="C1544">
        <v>60</v>
      </c>
      <c r="D1544" s="84">
        <v>34</v>
      </c>
      <c r="E1544">
        <v>60</v>
      </c>
      <c r="F1544" s="85">
        <v>0</v>
      </c>
      <c r="G1544" s="86">
        <f t="shared" si="120"/>
        <v>2040</v>
      </c>
      <c r="H1544" s="86">
        <f t="shared" si="121"/>
        <v>0</v>
      </c>
      <c r="I1544" s="86">
        <f t="shared" si="122"/>
        <v>2040</v>
      </c>
      <c r="J1544" s="84">
        <f>VLOOKUP(C1544, Products[], 6)</f>
        <v>34</v>
      </c>
      <c r="K1544" s="86">
        <f t="shared" si="123"/>
        <v>2040</v>
      </c>
      <c r="L1544" s="86">
        <f t="shared" si="124"/>
        <v>0</v>
      </c>
    </row>
    <row r="1545" spans="2:12" x14ac:dyDescent="0.2">
      <c r="B1545">
        <v>10836</v>
      </c>
      <c r="C1545">
        <v>64</v>
      </c>
      <c r="D1545" s="84">
        <v>33.25</v>
      </c>
      <c r="E1545">
        <v>30</v>
      </c>
      <c r="F1545" s="85">
        <v>0</v>
      </c>
      <c r="G1545" s="86">
        <f t="shared" si="120"/>
        <v>997.5</v>
      </c>
      <c r="H1545" s="86">
        <f t="shared" si="121"/>
        <v>0</v>
      </c>
      <c r="I1545" s="86">
        <f t="shared" si="122"/>
        <v>997.5</v>
      </c>
      <c r="J1545" s="84">
        <f>VLOOKUP(C1545, Products[], 6)</f>
        <v>33.25</v>
      </c>
      <c r="K1545" s="86">
        <f t="shared" si="123"/>
        <v>997.5</v>
      </c>
      <c r="L1545" s="86">
        <f t="shared" si="124"/>
        <v>0</v>
      </c>
    </row>
    <row r="1546" spans="2:12" x14ac:dyDescent="0.2">
      <c r="B1546">
        <v>10837</v>
      </c>
      <c r="C1546">
        <v>13</v>
      </c>
      <c r="D1546" s="84">
        <v>6</v>
      </c>
      <c r="E1546">
        <v>6</v>
      </c>
      <c r="F1546" s="85">
        <v>0</v>
      </c>
      <c r="G1546" s="86">
        <f t="shared" si="120"/>
        <v>36</v>
      </c>
      <c r="H1546" s="86">
        <f t="shared" si="121"/>
        <v>0</v>
      </c>
      <c r="I1546" s="86">
        <f t="shared" si="122"/>
        <v>36</v>
      </c>
      <c r="J1546" s="84">
        <f>VLOOKUP(C1546, Products[], 6)</f>
        <v>6</v>
      </c>
      <c r="K1546" s="86">
        <f t="shared" si="123"/>
        <v>36</v>
      </c>
      <c r="L1546" s="86">
        <f t="shared" si="124"/>
        <v>0</v>
      </c>
    </row>
    <row r="1547" spans="2:12" x14ac:dyDescent="0.2">
      <c r="B1547">
        <v>10837</v>
      </c>
      <c r="C1547">
        <v>40</v>
      </c>
      <c r="D1547" s="84">
        <v>18.399999999999999</v>
      </c>
      <c r="E1547">
        <v>25</v>
      </c>
      <c r="F1547" s="85">
        <v>0</v>
      </c>
      <c r="G1547" s="86">
        <f t="shared" si="120"/>
        <v>459.99999999999994</v>
      </c>
      <c r="H1547" s="86">
        <f t="shared" si="121"/>
        <v>0</v>
      </c>
      <c r="I1547" s="86">
        <f t="shared" si="122"/>
        <v>459.99999999999994</v>
      </c>
      <c r="J1547" s="84">
        <f>VLOOKUP(C1547, Products[], 6)</f>
        <v>18.399999999999999</v>
      </c>
      <c r="K1547" s="86">
        <f t="shared" si="123"/>
        <v>459.99999999999994</v>
      </c>
      <c r="L1547" s="86">
        <f t="shared" si="124"/>
        <v>0</v>
      </c>
    </row>
    <row r="1548" spans="2:12" x14ac:dyDescent="0.2">
      <c r="B1548">
        <v>10837</v>
      </c>
      <c r="C1548">
        <v>47</v>
      </c>
      <c r="D1548" s="84">
        <v>9.5</v>
      </c>
      <c r="E1548">
        <v>40</v>
      </c>
      <c r="F1548" s="85">
        <v>0.25</v>
      </c>
      <c r="G1548" s="86">
        <f t="shared" si="120"/>
        <v>380</v>
      </c>
      <c r="H1548" s="86">
        <f t="shared" si="121"/>
        <v>95</v>
      </c>
      <c r="I1548" s="86">
        <f t="shared" si="122"/>
        <v>285</v>
      </c>
      <c r="J1548" s="84">
        <f>VLOOKUP(C1548, Products[], 6)</f>
        <v>9.5</v>
      </c>
      <c r="K1548" s="86">
        <f t="shared" si="123"/>
        <v>380</v>
      </c>
      <c r="L1548" s="86">
        <f t="shared" si="124"/>
        <v>-95</v>
      </c>
    </row>
    <row r="1549" spans="2:12" x14ac:dyDescent="0.2">
      <c r="B1549">
        <v>10837</v>
      </c>
      <c r="C1549">
        <v>76</v>
      </c>
      <c r="D1549" s="84">
        <v>18</v>
      </c>
      <c r="E1549">
        <v>21</v>
      </c>
      <c r="F1549" s="85">
        <v>0.25</v>
      </c>
      <c r="G1549" s="86">
        <f t="shared" si="120"/>
        <v>378</v>
      </c>
      <c r="H1549" s="86">
        <f t="shared" si="121"/>
        <v>94.5</v>
      </c>
      <c r="I1549" s="86">
        <f t="shared" si="122"/>
        <v>283.5</v>
      </c>
      <c r="J1549" s="84">
        <f>VLOOKUP(C1549, Products[], 6)</f>
        <v>18</v>
      </c>
      <c r="K1549" s="86">
        <f t="shared" si="123"/>
        <v>378</v>
      </c>
      <c r="L1549" s="86">
        <f t="shared" si="124"/>
        <v>-94.5</v>
      </c>
    </row>
    <row r="1550" spans="2:12" x14ac:dyDescent="0.2">
      <c r="B1550">
        <v>10838</v>
      </c>
      <c r="C1550">
        <v>1</v>
      </c>
      <c r="D1550" s="84">
        <v>18</v>
      </c>
      <c r="E1550">
        <v>4</v>
      </c>
      <c r="F1550" s="85">
        <v>0.25</v>
      </c>
      <c r="G1550" s="86">
        <f t="shared" si="120"/>
        <v>72</v>
      </c>
      <c r="H1550" s="86">
        <f t="shared" si="121"/>
        <v>18</v>
      </c>
      <c r="I1550" s="86">
        <f t="shared" si="122"/>
        <v>54</v>
      </c>
      <c r="J1550" s="84">
        <f>VLOOKUP(C1550, Products[], 6)</f>
        <v>18</v>
      </c>
      <c r="K1550" s="86">
        <f t="shared" si="123"/>
        <v>72</v>
      </c>
      <c r="L1550" s="86">
        <f t="shared" si="124"/>
        <v>-18</v>
      </c>
    </row>
    <row r="1551" spans="2:12" x14ac:dyDescent="0.2">
      <c r="B1551">
        <v>10838</v>
      </c>
      <c r="C1551">
        <v>18</v>
      </c>
      <c r="D1551" s="84">
        <v>62.5</v>
      </c>
      <c r="E1551">
        <v>25</v>
      </c>
      <c r="F1551" s="85">
        <v>0.25</v>
      </c>
      <c r="G1551" s="86">
        <f t="shared" si="120"/>
        <v>1562.5</v>
      </c>
      <c r="H1551" s="86">
        <f t="shared" si="121"/>
        <v>390.625</v>
      </c>
      <c r="I1551" s="86">
        <f t="shared" si="122"/>
        <v>1171.875</v>
      </c>
      <c r="J1551" s="84">
        <f>VLOOKUP(C1551, Products[], 6)</f>
        <v>62.5</v>
      </c>
      <c r="K1551" s="86">
        <f t="shared" si="123"/>
        <v>1562.5</v>
      </c>
      <c r="L1551" s="86">
        <f t="shared" si="124"/>
        <v>-390.625</v>
      </c>
    </row>
    <row r="1552" spans="2:12" x14ac:dyDescent="0.2">
      <c r="B1552">
        <v>10838</v>
      </c>
      <c r="C1552">
        <v>36</v>
      </c>
      <c r="D1552" s="84">
        <v>19</v>
      </c>
      <c r="E1552">
        <v>50</v>
      </c>
      <c r="F1552" s="85">
        <v>0.25</v>
      </c>
      <c r="G1552" s="86">
        <f t="shared" si="120"/>
        <v>950</v>
      </c>
      <c r="H1552" s="86">
        <f t="shared" si="121"/>
        <v>237.5</v>
      </c>
      <c r="I1552" s="86">
        <f t="shared" si="122"/>
        <v>712.5</v>
      </c>
      <c r="J1552" s="84">
        <f>VLOOKUP(C1552, Products[], 6)</f>
        <v>19</v>
      </c>
      <c r="K1552" s="86">
        <f t="shared" si="123"/>
        <v>950</v>
      </c>
      <c r="L1552" s="86">
        <f t="shared" si="124"/>
        <v>-237.5</v>
      </c>
    </row>
    <row r="1553" spans="2:12" x14ac:dyDescent="0.2">
      <c r="B1553">
        <v>10839</v>
      </c>
      <c r="C1553">
        <v>58</v>
      </c>
      <c r="D1553" s="84">
        <v>13.25</v>
      </c>
      <c r="E1553">
        <v>30</v>
      </c>
      <c r="F1553" s="85">
        <v>0.1</v>
      </c>
      <c r="G1553" s="86">
        <f t="shared" si="120"/>
        <v>397.5</v>
      </c>
      <c r="H1553" s="86">
        <f t="shared" si="121"/>
        <v>39.75</v>
      </c>
      <c r="I1553" s="86">
        <f t="shared" si="122"/>
        <v>357.75</v>
      </c>
      <c r="J1553" s="84">
        <f>VLOOKUP(C1553, Products[], 6)</f>
        <v>13.25</v>
      </c>
      <c r="K1553" s="86">
        <f t="shared" si="123"/>
        <v>397.5</v>
      </c>
      <c r="L1553" s="86">
        <f t="shared" si="124"/>
        <v>-39.75</v>
      </c>
    </row>
    <row r="1554" spans="2:12" x14ac:dyDescent="0.2">
      <c r="B1554">
        <v>10839</v>
      </c>
      <c r="C1554">
        <v>72</v>
      </c>
      <c r="D1554" s="84">
        <v>34.799999999999997</v>
      </c>
      <c r="E1554">
        <v>15</v>
      </c>
      <c r="F1554" s="85">
        <v>0.1</v>
      </c>
      <c r="G1554" s="86">
        <f t="shared" si="120"/>
        <v>522</v>
      </c>
      <c r="H1554" s="86">
        <f t="shared" si="121"/>
        <v>52.2</v>
      </c>
      <c r="I1554" s="86">
        <f t="shared" si="122"/>
        <v>469.8</v>
      </c>
      <c r="J1554" s="84">
        <f>VLOOKUP(C1554, Products[], 6)</f>
        <v>34.799999999999997</v>
      </c>
      <c r="K1554" s="86">
        <f t="shared" si="123"/>
        <v>522</v>
      </c>
      <c r="L1554" s="86">
        <f t="shared" si="124"/>
        <v>-52.199999999999989</v>
      </c>
    </row>
    <row r="1555" spans="2:12" x14ac:dyDescent="0.2">
      <c r="B1555">
        <v>10840</v>
      </c>
      <c r="C1555">
        <v>25</v>
      </c>
      <c r="D1555" s="84">
        <v>14</v>
      </c>
      <c r="E1555">
        <v>6</v>
      </c>
      <c r="F1555" s="85">
        <v>0.2</v>
      </c>
      <c r="G1555" s="86">
        <f t="shared" si="120"/>
        <v>84</v>
      </c>
      <c r="H1555" s="86">
        <f t="shared" si="121"/>
        <v>16.8</v>
      </c>
      <c r="I1555" s="86">
        <f t="shared" si="122"/>
        <v>67.2</v>
      </c>
      <c r="J1555" s="84">
        <f>VLOOKUP(C1555, Products[], 6)</f>
        <v>14</v>
      </c>
      <c r="K1555" s="86">
        <f t="shared" si="123"/>
        <v>84</v>
      </c>
      <c r="L1555" s="86">
        <f t="shared" si="124"/>
        <v>-16.799999999999997</v>
      </c>
    </row>
    <row r="1556" spans="2:12" x14ac:dyDescent="0.2">
      <c r="B1556">
        <v>10840</v>
      </c>
      <c r="C1556">
        <v>39</v>
      </c>
      <c r="D1556" s="84">
        <v>18</v>
      </c>
      <c r="E1556">
        <v>10</v>
      </c>
      <c r="F1556" s="85">
        <v>0.2</v>
      </c>
      <c r="G1556" s="86">
        <f t="shared" si="120"/>
        <v>180</v>
      </c>
      <c r="H1556" s="86">
        <f t="shared" si="121"/>
        <v>36</v>
      </c>
      <c r="I1556" s="86">
        <f t="shared" si="122"/>
        <v>144</v>
      </c>
      <c r="J1556" s="84">
        <f>VLOOKUP(C1556, Products[], 6)</f>
        <v>18</v>
      </c>
      <c r="K1556" s="86">
        <f t="shared" si="123"/>
        <v>180</v>
      </c>
      <c r="L1556" s="86">
        <f t="shared" si="124"/>
        <v>-36</v>
      </c>
    </row>
    <row r="1557" spans="2:12" x14ac:dyDescent="0.2">
      <c r="B1557">
        <v>10841</v>
      </c>
      <c r="C1557">
        <v>10</v>
      </c>
      <c r="D1557" s="84">
        <v>31</v>
      </c>
      <c r="E1557">
        <v>16</v>
      </c>
      <c r="F1557" s="85">
        <v>0</v>
      </c>
      <c r="G1557" s="86">
        <f t="shared" si="120"/>
        <v>496</v>
      </c>
      <c r="H1557" s="86">
        <f t="shared" si="121"/>
        <v>0</v>
      </c>
      <c r="I1557" s="86">
        <f t="shared" si="122"/>
        <v>496</v>
      </c>
      <c r="J1557" s="84">
        <f>VLOOKUP(C1557, Products[], 6)</f>
        <v>31</v>
      </c>
      <c r="K1557" s="86">
        <f t="shared" si="123"/>
        <v>496</v>
      </c>
      <c r="L1557" s="86">
        <f t="shared" si="124"/>
        <v>0</v>
      </c>
    </row>
    <row r="1558" spans="2:12" x14ac:dyDescent="0.2">
      <c r="B1558">
        <v>10841</v>
      </c>
      <c r="C1558">
        <v>56</v>
      </c>
      <c r="D1558" s="84">
        <v>38</v>
      </c>
      <c r="E1558">
        <v>30</v>
      </c>
      <c r="F1558" s="85">
        <v>0</v>
      </c>
      <c r="G1558" s="86">
        <f t="shared" si="120"/>
        <v>1140</v>
      </c>
      <c r="H1558" s="86">
        <f t="shared" si="121"/>
        <v>0</v>
      </c>
      <c r="I1558" s="86">
        <f t="shared" si="122"/>
        <v>1140</v>
      </c>
      <c r="J1558" s="84">
        <f>VLOOKUP(C1558, Products[], 6)</f>
        <v>38</v>
      </c>
      <c r="K1558" s="86">
        <f t="shared" si="123"/>
        <v>1140</v>
      </c>
      <c r="L1558" s="86">
        <f t="shared" si="124"/>
        <v>0</v>
      </c>
    </row>
    <row r="1559" spans="2:12" x14ac:dyDescent="0.2">
      <c r="B1559">
        <v>10841</v>
      </c>
      <c r="C1559">
        <v>59</v>
      </c>
      <c r="D1559" s="84">
        <v>55</v>
      </c>
      <c r="E1559">
        <v>50</v>
      </c>
      <c r="F1559" s="85">
        <v>0</v>
      </c>
      <c r="G1559" s="86">
        <f t="shared" si="120"/>
        <v>2750</v>
      </c>
      <c r="H1559" s="86">
        <f t="shared" si="121"/>
        <v>0</v>
      </c>
      <c r="I1559" s="86">
        <f t="shared" si="122"/>
        <v>2750</v>
      </c>
      <c r="J1559" s="84">
        <f>VLOOKUP(C1559, Products[], 6)</f>
        <v>55</v>
      </c>
      <c r="K1559" s="86">
        <f t="shared" si="123"/>
        <v>2750</v>
      </c>
      <c r="L1559" s="86">
        <f t="shared" si="124"/>
        <v>0</v>
      </c>
    </row>
    <row r="1560" spans="2:12" x14ac:dyDescent="0.2">
      <c r="B1560">
        <v>10841</v>
      </c>
      <c r="C1560">
        <v>77</v>
      </c>
      <c r="D1560" s="84">
        <v>13</v>
      </c>
      <c r="E1560">
        <v>15</v>
      </c>
      <c r="F1560" s="85">
        <v>0</v>
      </c>
      <c r="G1560" s="86">
        <f t="shared" si="120"/>
        <v>195</v>
      </c>
      <c r="H1560" s="86">
        <f t="shared" si="121"/>
        <v>0</v>
      </c>
      <c r="I1560" s="86">
        <f t="shared" si="122"/>
        <v>195</v>
      </c>
      <c r="J1560" s="84">
        <f>VLOOKUP(C1560, Products[], 6)</f>
        <v>13</v>
      </c>
      <c r="K1560" s="86">
        <f t="shared" si="123"/>
        <v>195</v>
      </c>
      <c r="L1560" s="86">
        <f t="shared" si="124"/>
        <v>0</v>
      </c>
    </row>
    <row r="1561" spans="2:12" x14ac:dyDescent="0.2">
      <c r="B1561">
        <v>10842</v>
      </c>
      <c r="C1561">
        <v>11</v>
      </c>
      <c r="D1561" s="84">
        <v>21</v>
      </c>
      <c r="E1561">
        <v>15</v>
      </c>
      <c r="F1561" s="85">
        <v>0</v>
      </c>
      <c r="G1561" s="86">
        <f t="shared" si="120"/>
        <v>315</v>
      </c>
      <c r="H1561" s="86">
        <f t="shared" si="121"/>
        <v>0</v>
      </c>
      <c r="I1561" s="86">
        <f t="shared" si="122"/>
        <v>315</v>
      </c>
      <c r="J1561" s="84">
        <f>VLOOKUP(C1561, Products[], 6)</f>
        <v>21</v>
      </c>
      <c r="K1561" s="86">
        <f t="shared" si="123"/>
        <v>315</v>
      </c>
      <c r="L1561" s="86">
        <f t="shared" si="124"/>
        <v>0</v>
      </c>
    </row>
    <row r="1562" spans="2:12" x14ac:dyDescent="0.2">
      <c r="B1562">
        <v>10842</v>
      </c>
      <c r="C1562">
        <v>43</v>
      </c>
      <c r="D1562" s="84">
        <v>46</v>
      </c>
      <c r="E1562">
        <v>5</v>
      </c>
      <c r="F1562" s="85">
        <v>0</v>
      </c>
      <c r="G1562" s="86">
        <f t="shared" si="120"/>
        <v>230</v>
      </c>
      <c r="H1562" s="86">
        <f t="shared" si="121"/>
        <v>0</v>
      </c>
      <c r="I1562" s="86">
        <f t="shared" si="122"/>
        <v>230</v>
      </c>
      <c r="J1562" s="84">
        <f>VLOOKUP(C1562, Products[], 6)</f>
        <v>46</v>
      </c>
      <c r="K1562" s="86">
        <f t="shared" si="123"/>
        <v>230</v>
      </c>
      <c r="L1562" s="86">
        <f t="shared" si="124"/>
        <v>0</v>
      </c>
    </row>
    <row r="1563" spans="2:12" x14ac:dyDescent="0.2">
      <c r="B1563">
        <v>10842</v>
      </c>
      <c r="C1563">
        <v>68</v>
      </c>
      <c r="D1563" s="84">
        <v>12.5</v>
      </c>
      <c r="E1563">
        <v>20</v>
      </c>
      <c r="F1563" s="85">
        <v>0</v>
      </c>
      <c r="G1563" s="86">
        <f t="shared" si="120"/>
        <v>250</v>
      </c>
      <c r="H1563" s="86">
        <f t="shared" si="121"/>
        <v>0</v>
      </c>
      <c r="I1563" s="86">
        <f t="shared" si="122"/>
        <v>250</v>
      </c>
      <c r="J1563" s="84">
        <f>VLOOKUP(C1563, Products[], 6)</f>
        <v>12.5</v>
      </c>
      <c r="K1563" s="86">
        <f t="shared" si="123"/>
        <v>250</v>
      </c>
      <c r="L1563" s="86">
        <f t="shared" si="124"/>
        <v>0</v>
      </c>
    </row>
    <row r="1564" spans="2:12" x14ac:dyDescent="0.2">
      <c r="B1564">
        <v>10842</v>
      </c>
      <c r="C1564">
        <v>70</v>
      </c>
      <c r="D1564" s="84">
        <v>15</v>
      </c>
      <c r="E1564">
        <v>12</v>
      </c>
      <c r="F1564" s="85">
        <v>0</v>
      </c>
      <c r="G1564" s="86">
        <f t="shared" si="120"/>
        <v>180</v>
      </c>
      <c r="H1564" s="86">
        <f t="shared" si="121"/>
        <v>0</v>
      </c>
      <c r="I1564" s="86">
        <f t="shared" si="122"/>
        <v>180</v>
      </c>
      <c r="J1564" s="84">
        <f>VLOOKUP(C1564, Products[], 6)</f>
        <v>15</v>
      </c>
      <c r="K1564" s="86">
        <f t="shared" si="123"/>
        <v>180</v>
      </c>
      <c r="L1564" s="86">
        <f t="shared" si="124"/>
        <v>0</v>
      </c>
    </row>
    <row r="1565" spans="2:12" x14ac:dyDescent="0.2">
      <c r="B1565">
        <v>10843</v>
      </c>
      <c r="C1565">
        <v>51</v>
      </c>
      <c r="D1565" s="84">
        <v>53</v>
      </c>
      <c r="E1565">
        <v>4</v>
      </c>
      <c r="F1565" s="85">
        <v>0.25</v>
      </c>
      <c r="G1565" s="86">
        <f t="shared" si="120"/>
        <v>212</v>
      </c>
      <c r="H1565" s="86">
        <f t="shared" si="121"/>
        <v>53</v>
      </c>
      <c r="I1565" s="86">
        <f t="shared" si="122"/>
        <v>159</v>
      </c>
      <c r="J1565" s="84">
        <f>VLOOKUP(C1565, Products[], 6)</f>
        <v>53</v>
      </c>
      <c r="K1565" s="86">
        <f t="shared" si="123"/>
        <v>212</v>
      </c>
      <c r="L1565" s="86">
        <f t="shared" si="124"/>
        <v>-53</v>
      </c>
    </row>
    <row r="1566" spans="2:12" x14ac:dyDescent="0.2">
      <c r="B1566">
        <v>10844</v>
      </c>
      <c r="C1566">
        <v>22</v>
      </c>
      <c r="D1566" s="84">
        <v>21</v>
      </c>
      <c r="E1566">
        <v>35</v>
      </c>
      <c r="F1566" s="85">
        <v>0</v>
      </c>
      <c r="G1566" s="86">
        <f t="shared" si="120"/>
        <v>735</v>
      </c>
      <c r="H1566" s="86">
        <f t="shared" si="121"/>
        <v>0</v>
      </c>
      <c r="I1566" s="86">
        <f t="shared" si="122"/>
        <v>735</v>
      </c>
      <c r="J1566" s="84">
        <f>VLOOKUP(C1566, Products[], 6)</f>
        <v>21</v>
      </c>
      <c r="K1566" s="86">
        <f t="shared" si="123"/>
        <v>735</v>
      </c>
      <c r="L1566" s="86">
        <f t="shared" si="124"/>
        <v>0</v>
      </c>
    </row>
    <row r="1567" spans="2:12" x14ac:dyDescent="0.2">
      <c r="B1567">
        <v>10845</v>
      </c>
      <c r="C1567">
        <v>23</v>
      </c>
      <c r="D1567" s="84">
        <v>9</v>
      </c>
      <c r="E1567">
        <v>70</v>
      </c>
      <c r="F1567" s="85">
        <v>0.1</v>
      </c>
      <c r="G1567" s="86">
        <f t="shared" si="120"/>
        <v>630</v>
      </c>
      <c r="H1567" s="86">
        <f t="shared" si="121"/>
        <v>63</v>
      </c>
      <c r="I1567" s="86">
        <f t="shared" si="122"/>
        <v>567</v>
      </c>
      <c r="J1567" s="84">
        <f>VLOOKUP(C1567, Products[], 6)</f>
        <v>9</v>
      </c>
      <c r="K1567" s="86">
        <f t="shared" si="123"/>
        <v>630</v>
      </c>
      <c r="L1567" s="86">
        <f t="shared" si="124"/>
        <v>-63</v>
      </c>
    </row>
    <row r="1568" spans="2:12" x14ac:dyDescent="0.2">
      <c r="B1568">
        <v>10845</v>
      </c>
      <c r="C1568">
        <v>35</v>
      </c>
      <c r="D1568" s="84">
        <v>18</v>
      </c>
      <c r="E1568">
        <v>25</v>
      </c>
      <c r="F1568" s="85">
        <v>0.1</v>
      </c>
      <c r="G1568" s="86">
        <f t="shared" si="120"/>
        <v>450</v>
      </c>
      <c r="H1568" s="86">
        <f t="shared" si="121"/>
        <v>45</v>
      </c>
      <c r="I1568" s="86">
        <f t="shared" si="122"/>
        <v>405</v>
      </c>
      <c r="J1568" s="84">
        <f>VLOOKUP(C1568, Products[], 6)</f>
        <v>18</v>
      </c>
      <c r="K1568" s="86">
        <f t="shared" si="123"/>
        <v>450</v>
      </c>
      <c r="L1568" s="86">
        <f t="shared" si="124"/>
        <v>-45</v>
      </c>
    </row>
    <row r="1569" spans="2:12" x14ac:dyDescent="0.2">
      <c r="B1569">
        <v>10845</v>
      </c>
      <c r="C1569">
        <v>42</v>
      </c>
      <c r="D1569" s="84">
        <v>14</v>
      </c>
      <c r="E1569">
        <v>42</v>
      </c>
      <c r="F1569" s="85">
        <v>0.1</v>
      </c>
      <c r="G1569" s="86">
        <f t="shared" si="120"/>
        <v>588</v>
      </c>
      <c r="H1569" s="86">
        <f t="shared" si="121"/>
        <v>58.800000000000004</v>
      </c>
      <c r="I1569" s="86">
        <f t="shared" si="122"/>
        <v>529.20000000000005</v>
      </c>
      <c r="J1569" s="84">
        <f>VLOOKUP(C1569, Products[], 6)</f>
        <v>14</v>
      </c>
      <c r="K1569" s="86">
        <f t="shared" si="123"/>
        <v>588</v>
      </c>
      <c r="L1569" s="86">
        <f t="shared" si="124"/>
        <v>-58.799999999999955</v>
      </c>
    </row>
    <row r="1570" spans="2:12" x14ac:dyDescent="0.2">
      <c r="B1570">
        <v>10845</v>
      </c>
      <c r="C1570">
        <v>58</v>
      </c>
      <c r="D1570" s="84">
        <v>13.25</v>
      </c>
      <c r="E1570">
        <v>60</v>
      </c>
      <c r="F1570" s="85">
        <v>0.1</v>
      </c>
      <c r="G1570" s="86">
        <f t="shared" si="120"/>
        <v>795</v>
      </c>
      <c r="H1570" s="86">
        <f t="shared" si="121"/>
        <v>79.5</v>
      </c>
      <c r="I1570" s="86">
        <f t="shared" si="122"/>
        <v>715.5</v>
      </c>
      <c r="J1570" s="84">
        <f>VLOOKUP(C1570, Products[], 6)</f>
        <v>13.25</v>
      </c>
      <c r="K1570" s="86">
        <f t="shared" si="123"/>
        <v>795</v>
      </c>
      <c r="L1570" s="86">
        <f t="shared" si="124"/>
        <v>-79.5</v>
      </c>
    </row>
    <row r="1571" spans="2:12" x14ac:dyDescent="0.2">
      <c r="B1571">
        <v>10845</v>
      </c>
      <c r="C1571">
        <v>64</v>
      </c>
      <c r="D1571" s="84">
        <v>33.25</v>
      </c>
      <c r="E1571">
        <v>48</v>
      </c>
      <c r="F1571" s="85">
        <v>0</v>
      </c>
      <c r="G1571" s="86">
        <f t="shared" si="120"/>
        <v>1596</v>
      </c>
      <c r="H1571" s="86">
        <f t="shared" si="121"/>
        <v>0</v>
      </c>
      <c r="I1571" s="86">
        <f t="shared" si="122"/>
        <v>1596</v>
      </c>
      <c r="J1571" s="84">
        <f>VLOOKUP(C1571, Products[], 6)</f>
        <v>33.25</v>
      </c>
      <c r="K1571" s="86">
        <f t="shared" si="123"/>
        <v>1596</v>
      </c>
      <c r="L1571" s="86">
        <f t="shared" si="124"/>
        <v>0</v>
      </c>
    </row>
    <row r="1572" spans="2:12" x14ac:dyDescent="0.2">
      <c r="B1572">
        <v>10846</v>
      </c>
      <c r="C1572">
        <v>4</v>
      </c>
      <c r="D1572" s="84">
        <v>22</v>
      </c>
      <c r="E1572">
        <v>21</v>
      </c>
      <c r="F1572" s="85">
        <v>0</v>
      </c>
      <c r="G1572" s="86">
        <f t="shared" si="120"/>
        <v>462</v>
      </c>
      <c r="H1572" s="86">
        <f t="shared" si="121"/>
        <v>0</v>
      </c>
      <c r="I1572" s="86">
        <f t="shared" si="122"/>
        <v>462</v>
      </c>
      <c r="J1572" s="84">
        <f>VLOOKUP(C1572, Products[], 6)</f>
        <v>22</v>
      </c>
      <c r="K1572" s="86">
        <f t="shared" si="123"/>
        <v>462</v>
      </c>
      <c r="L1572" s="86">
        <f t="shared" si="124"/>
        <v>0</v>
      </c>
    </row>
    <row r="1573" spans="2:12" x14ac:dyDescent="0.2">
      <c r="B1573">
        <v>10846</v>
      </c>
      <c r="C1573">
        <v>70</v>
      </c>
      <c r="D1573" s="84">
        <v>15</v>
      </c>
      <c r="E1573">
        <v>30</v>
      </c>
      <c r="F1573" s="85">
        <v>0</v>
      </c>
      <c r="G1573" s="86">
        <f t="shared" si="120"/>
        <v>450</v>
      </c>
      <c r="H1573" s="86">
        <f t="shared" si="121"/>
        <v>0</v>
      </c>
      <c r="I1573" s="86">
        <f t="shared" si="122"/>
        <v>450</v>
      </c>
      <c r="J1573" s="84">
        <f>VLOOKUP(C1573, Products[], 6)</f>
        <v>15</v>
      </c>
      <c r="K1573" s="86">
        <f t="shared" si="123"/>
        <v>450</v>
      </c>
      <c r="L1573" s="86">
        <f t="shared" si="124"/>
        <v>0</v>
      </c>
    </row>
    <row r="1574" spans="2:12" x14ac:dyDescent="0.2">
      <c r="B1574">
        <v>10846</v>
      </c>
      <c r="C1574">
        <v>74</v>
      </c>
      <c r="D1574" s="84">
        <v>10</v>
      </c>
      <c r="E1574">
        <v>20</v>
      </c>
      <c r="F1574" s="85">
        <v>0</v>
      </c>
      <c r="G1574" s="86">
        <f t="shared" si="120"/>
        <v>200</v>
      </c>
      <c r="H1574" s="86">
        <f t="shared" si="121"/>
        <v>0</v>
      </c>
      <c r="I1574" s="86">
        <f t="shared" si="122"/>
        <v>200</v>
      </c>
      <c r="J1574" s="84">
        <f>VLOOKUP(C1574, Products[], 6)</f>
        <v>10</v>
      </c>
      <c r="K1574" s="86">
        <f t="shared" si="123"/>
        <v>200</v>
      </c>
      <c r="L1574" s="86">
        <f t="shared" si="124"/>
        <v>0</v>
      </c>
    </row>
    <row r="1575" spans="2:12" x14ac:dyDescent="0.2">
      <c r="B1575">
        <v>10847</v>
      </c>
      <c r="C1575">
        <v>1</v>
      </c>
      <c r="D1575" s="84">
        <v>18</v>
      </c>
      <c r="E1575">
        <v>80</v>
      </c>
      <c r="F1575" s="85">
        <v>0.2</v>
      </c>
      <c r="G1575" s="86">
        <f t="shared" si="120"/>
        <v>1440</v>
      </c>
      <c r="H1575" s="86">
        <f t="shared" si="121"/>
        <v>288</v>
      </c>
      <c r="I1575" s="86">
        <f t="shared" si="122"/>
        <v>1152</v>
      </c>
      <c r="J1575" s="84">
        <f>VLOOKUP(C1575, Products[], 6)</f>
        <v>18</v>
      </c>
      <c r="K1575" s="86">
        <f t="shared" si="123"/>
        <v>1440</v>
      </c>
      <c r="L1575" s="86">
        <f t="shared" si="124"/>
        <v>-288</v>
      </c>
    </row>
    <row r="1576" spans="2:12" x14ac:dyDescent="0.2">
      <c r="B1576">
        <v>10847</v>
      </c>
      <c r="C1576">
        <v>19</v>
      </c>
      <c r="D1576" s="84">
        <v>9.1999999999999993</v>
      </c>
      <c r="E1576">
        <v>12</v>
      </c>
      <c r="F1576" s="85">
        <v>0.2</v>
      </c>
      <c r="G1576" s="86">
        <f t="shared" si="120"/>
        <v>110.39999999999999</v>
      </c>
      <c r="H1576" s="86">
        <f t="shared" si="121"/>
        <v>22.08</v>
      </c>
      <c r="I1576" s="86">
        <f t="shared" si="122"/>
        <v>88.32</v>
      </c>
      <c r="J1576" s="84">
        <f>VLOOKUP(C1576, Products[], 6)</f>
        <v>9.1999999999999993</v>
      </c>
      <c r="K1576" s="86">
        <f t="shared" si="123"/>
        <v>110.39999999999999</v>
      </c>
      <c r="L1576" s="86">
        <f t="shared" si="124"/>
        <v>-22.08</v>
      </c>
    </row>
    <row r="1577" spans="2:12" x14ac:dyDescent="0.2">
      <c r="B1577">
        <v>10847</v>
      </c>
      <c r="C1577">
        <v>37</v>
      </c>
      <c r="D1577" s="84">
        <v>26</v>
      </c>
      <c r="E1577">
        <v>60</v>
      </c>
      <c r="F1577" s="85">
        <v>0.2</v>
      </c>
      <c r="G1577" s="86">
        <f t="shared" si="120"/>
        <v>1560</v>
      </c>
      <c r="H1577" s="86">
        <f t="shared" si="121"/>
        <v>312</v>
      </c>
      <c r="I1577" s="86">
        <f t="shared" si="122"/>
        <v>1248</v>
      </c>
      <c r="J1577" s="84">
        <f>VLOOKUP(C1577, Products[], 6)</f>
        <v>26</v>
      </c>
      <c r="K1577" s="86">
        <f t="shared" si="123"/>
        <v>1560</v>
      </c>
      <c r="L1577" s="86">
        <f t="shared" si="124"/>
        <v>-312</v>
      </c>
    </row>
    <row r="1578" spans="2:12" x14ac:dyDescent="0.2">
      <c r="B1578">
        <v>10847</v>
      </c>
      <c r="C1578">
        <v>45</v>
      </c>
      <c r="D1578" s="84">
        <v>9.5</v>
      </c>
      <c r="E1578">
        <v>36</v>
      </c>
      <c r="F1578" s="85">
        <v>0.2</v>
      </c>
      <c r="G1578" s="86">
        <f t="shared" si="120"/>
        <v>342</v>
      </c>
      <c r="H1578" s="86">
        <f t="shared" si="121"/>
        <v>68.400000000000006</v>
      </c>
      <c r="I1578" s="86">
        <f t="shared" si="122"/>
        <v>273.60000000000002</v>
      </c>
      <c r="J1578" s="84">
        <f>VLOOKUP(C1578, Products[], 6)</f>
        <v>9.5</v>
      </c>
      <c r="K1578" s="86">
        <f t="shared" si="123"/>
        <v>342</v>
      </c>
      <c r="L1578" s="86">
        <f t="shared" si="124"/>
        <v>-68.399999999999977</v>
      </c>
    </row>
    <row r="1579" spans="2:12" x14ac:dyDescent="0.2">
      <c r="B1579">
        <v>10847</v>
      </c>
      <c r="C1579">
        <v>60</v>
      </c>
      <c r="D1579" s="84">
        <v>34</v>
      </c>
      <c r="E1579">
        <v>45</v>
      </c>
      <c r="F1579" s="85">
        <v>0.2</v>
      </c>
      <c r="G1579" s="86">
        <f t="shared" si="120"/>
        <v>1530</v>
      </c>
      <c r="H1579" s="86">
        <f t="shared" si="121"/>
        <v>306</v>
      </c>
      <c r="I1579" s="86">
        <f t="shared" si="122"/>
        <v>1224</v>
      </c>
      <c r="J1579" s="84">
        <f>VLOOKUP(C1579, Products[], 6)</f>
        <v>34</v>
      </c>
      <c r="K1579" s="86">
        <f t="shared" si="123"/>
        <v>1530</v>
      </c>
      <c r="L1579" s="86">
        <f t="shared" si="124"/>
        <v>-306</v>
      </c>
    </row>
    <row r="1580" spans="2:12" x14ac:dyDescent="0.2">
      <c r="B1580">
        <v>10847</v>
      </c>
      <c r="C1580">
        <v>71</v>
      </c>
      <c r="D1580" s="84">
        <v>21.5</v>
      </c>
      <c r="E1580">
        <v>55</v>
      </c>
      <c r="F1580" s="85">
        <v>0.2</v>
      </c>
      <c r="G1580" s="86">
        <f t="shared" si="120"/>
        <v>1182.5</v>
      </c>
      <c r="H1580" s="86">
        <f t="shared" si="121"/>
        <v>236.5</v>
      </c>
      <c r="I1580" s="86">
        <f t="shared" si="122"/>
        <v>946</v>
      </c>
      <c r="J1580" s="84">
        <f>VLOOKUP(C1580, Products[], 6)</f>
        <v>21.5</v>
      </c>
      <c r="K1580" s="86">
        <f t="shared" si="123"/>
        <v>1182.5</v>
      </c>
      <c r="L1580" s="86">
        <f t="shared" si="124"/>
        <v>-236.5</v>
      </c>
    </row>
    <row r="1581" spans="2:12" x14ac:dyDescent="0.2">
      <c r="B1581">
        <v>10848</v>
      </c>
      <c r="C1581">
        <v>5</v>
      </c>
      <c r="D1581" s="84">
        <v>21.35</v>
      </c>
      <c r="E1581">
        <v>30</v>
      </c>
      <c r="F1581" s="85">
        <v>0</v>
      </c>
      <c r="G1581" s="86">
        <f t="shared" si="120"/>
        <v>640.5</v>
      </c>
      <c r="H1581" s="86">
        <f t="shared" si="121"/>
        <v>0</v>
      </c>
      <c r="I1581" s="86">
        <f t="shared" si="122"/>
        <v>640.5</v>
      </c>
      <c r="J1581" s="84">
        <f>VLOOKUP(C1581, Products[], 6)</f>
        <v>21.35</v>
      </c>
      <c r="K1581" s="86">
        <f t="shared" si="123"/>
        <v>640.5</v>
      </c>
      <c r="L1581" s="86">
        <f t="shared" si="124"/>
        <v>0</v>
      </c>
    </row>
    <row r="1582" spans="2:12" x14ac:dyDescent="0.2">
      <c r="B1582">
        <v>10848</v>
      </c>
      <c r="C1582">
        <v>9</v>
      </c>
      <c r="D1582" s="84">
        <v>97</v>
      </c>
      <c r="E1582">
        <v>3</v>
      </c>
      <c r="F1582" s="85">
        <v>0</v>
      </c>
      <c r="G1582" s="86">
        <f t="shared" si="120"/>
        <v>291</v>
      </c>
      <c r="H1582" s="86">
        <f t="shared" si="121"/>
        <v>0</v>
      </c>
      <c r="I1582" s="86">
        <f t="shared" si="122"/>
        <v>291</v>
      </c>
      <c r="J1582" s="84">
        <f>VLOOKUP(C1582, Products[], 6)</f>
        <v>97</v>
      </c>
      <c r="K1582" s="86">
        <f t="shared" si="123"/>
        <v>291</v>
      </c>
      <c r="L1582" s="86">
        <f t="shared" si="124"/>
        <v>0</v>
      </c>
    </row>
    <row r="1583" spans="2:12" x14ac:dyDescent="0.2">
      <c r="B1583">
        <v>10849</v>
      </c>
      <c r="C1583">
        <v>3</v>
      </c>
      <c r="D1583" s="84">
        <v>10</v>
      </c>
      <c r="E1583">
        <v>49</v>
      </c>
      <c r="F1583" s="85">
        <v>0</v>
      </c>
      <c r="G1583" s="86">
        <f t="shared" si="120"/>
        <v>490</v>
      </c>
      <c r="H1583" s="86">
        <f t="shared" si="121"/>
        <v>0</v>
      </c>
      <c r="I1583" s="86">
        <f t="shared" si="122"/>
        <v>490</v>
      </c>
      <c r="J1583" s="84">
        <f>VLOOKUP(C1583, Products[], 6)</f>
        <v>10</v>
      </c>
      <c r="K1583" s="86">
        <f t="shared" si="123"/>
        <v>490</v>
      </c>
      <c r="L1583" s="86">
        <f t="shared" si="124"/>
        <v>0</v>
      </c>
    </row>
    <row r="1584" spans="2:12" x14ac:dyDescent="0.2">
      <c r="B1584">
        <v>10849</v>
      </c>
      <c r="C1584">
        <v>26</v>
      </c>
      <c r="D1584" s="84">
        <v>31.23</v>
      </c>
      <c r="E1584">
        <v>18</v>
      </c>
      <c r="F1584" s="85">
        <v>0.15</v>
      </c>
      <c r="G1584" s="86">
        <f t="shared" si="120"/>
        <v>562.14</v>
      </c>
      <c r="H1584" s="86">
        <f t="shared" si="121"/>
        <v>84.320999999999998</v>
      </c>
      <c r="I1584" s="86">
        <f t="shared" si="122"/>
        <v>477.81899999999996</v>
      </c>
      <c r="J1584" s="84">
        <f>VLOOKUP(C1584, Products[], 6)</f>
        <v>31.23</v>
      </c>
      <c r="K1584" s="86">
        <f t="shared" si="123"/>
        <v>562.14</v>
      </c>
      <c r="L1584" s="86">
        <f t="shared" si="124"/>
        <v>-84.321000000000026</v>
      </c>
    </row>
    <row r="1585" spans="2:12" x14ac:dyDescent="0.2">
      <c r="B1585">
        <v>10850</v>
      </c>
      <c r="C1585">
        <v>25</v>
      </c>
      <c r="D1585" s="84">
        <v>14</v>
      </c>
      <c r="E1585">
        <v>20</v>
      </c>
      <c r="F1585" s="85">
        <v>0.15</v>
      </c>
      <c r="G1585" s="86">
        <f t="shared" si="120"/>
        <v>280</v>
      </c>
      <c r="H1585" s="86">
        <f t="shared" si="121"/>
        <v>42</v>
      </c>
      <c r="I1585" s="86">
        <f t="shared" si="122"/>
        <v>238</v>
      </c>
      <c r="J1585" s="84">
        <f>VLOOKUP(C1585, Products[], 6)</f>
        <v>14</v>
      </c>
      <c r="K1585" s="86">
        <f t="shared" si="123"/>
        <v>280</v>
      </c>
      <c r="L1585" s="86">
        <f t="shared" si="124"/>
        <v>-42</v>
      </c>
    </row>
    <row r="1586" spans="2:12" x14ac:dyDescent="0.2">
      <c r="B1586">
        <v>10850</v>
      </c>
      <c r="C1586">
        <v>33</v>
      </c>
      <c r="D1586" s="84">
        <v>2.5</v>
      </c>
      <c r="E1586">
        <v>4</v>
      </c>
      <c r="F1586" s="85">
        <v>0.15</v>
      </c>
      <c r="G1586" s="86">
        <f t="shared" si="120"/>
        <v>10</v>
      </c>
      <c r="H1586" s="86">
        <f t="shared" si="121"/>
        <v>1.5</v>
      </c>
      <c r="I1586" s="86">
        <f t="shared" si="122"/>
        <v>8.5</v>
      </c>
      <c r="J1586" s="84">
        <f>VLOOKUP(C1586, Products[], 6)</f>
        <v>2.5</v>
      </c>
      <c r="K1586" s="86">
        <f t="shared" si="123"/>
        <v>10</v>
      </c>
      <c r="L1586" s="86">
        <f t="shared" si="124"/>
        <v>-1.5</v>
      </c>
    </row>
    <row r="1587" spans="2:12" x14ac:dyDescent="0.2">
      <c r="B1587">
        <v>10850</v>
      </c>
      <c r="C1587">
        <v>70</v>
      </c>
      <c r="D1587" s="84">
        <v>15</v>
      </c>
      <c r="E1587">
        <v>30</v>
      </c>
      <c r="F1587" s="85">
        <v>0.15</v>
      </c>
      <c r="G1587" s="86">
        <f t="shared" si="120"/>
        <v>450</v>
      </c>
      <c r="H1587" s="86">
        <f t="shared" si="121"/>
        <v>67.5</v>
      </c>
      <c r="I1587" s="86">
        <f t="shared" si="122"/>
        <v>382.5</v>
      </c>
      <c r="J1587" s="84">
        <f>VLOOKUP(C1587, Products[], 6)</f>
        <v>15</v>
      </c>
      <c r="K1587" s="86">
        <f t="shared" si="123"/>
        <v>450</v>
      </c>
      <c r="L1587" s="86">
        <f t="shared" si="124"/>
        <v>-67.5</v>
      </c>
    </row>
    <row r="1588" spans="2:12" x14ac:dyDescent="0.2">
      <c r="B1588">
        <v>10851</v>
      </c>
      <c r="C1588">
        <v>2</v>
      </c>
      <c r="D1588" s="84">
        <v>19</v>
      </c>
      <c r="E1588">
        <v>5</v>
      </c>
      <c r="F1588" s="85">
        <v>0.05</v>
      </c>
      <c r="G1588" s="86">
        <f t="shared" si="120"/>
        <v>95</v>
      </c>
      <c r="H1588" s="86">
        <f t="shared" si="121"/>
        <v>4.75</v>
      </c>
      <c r="I1588" s="86">
        <f t="shared" si="122"/>
        <v>90.25</v>
      </c>
      <c r="J1588" s="84">
        <f>VLOOKUP(C1588, Products[], 6)</f>
        <v>19</v>
      </c>
      <c r="K1588" s="86">
        <f t="shared" si="123"/>
        <v>95</v>
      </c>
      <c r="L1588" s="86">
        <f t="shared" si="124"/>
        <v>-4.75</v>
      </c>
    </row>
    <row r="1589" spans="2:12" x14ac:dyDescent="0.2">
      <c r="B1589">
        <v>10851</v>
      </c>
      <c r="C1589">
        <v>25</v>
      </c>
      <c r="D1589" s="84">
        <v>14</v>
      </c>
      <c r="E1589">
        <v>10</v>
      </c>
      <c r="F1589" s="85">
        <v>0.05</v>
      </c>
      <c r="G1589" s="86">
        <f t="shared" si="120"/>
        <v>140</v>
      </c>
      <c r="H1589" s="86">
        <f t="shared" si="121"/>
        <v>7</v>
      </c>
      <c r="I1589" s="86">
        <f t="shared" si="122"/>
        <v>133</v>
      </c>
      <c r="J1589" s="84">
        <f>VLOOKUP(C1589, Products[], 6)</f>
        <v>14</v>
      </c>
      <c r="K1589" s="86">
        <f t="shared" si="123"/>
        <v>140</v>
      </c>
      <c r="L1589" s="86">
        <f t="shared" si="124"/>
        <v>-7</v>
      </c>
    </row>
    <row r="1590" spans="2:12" x14ac:dyDescent="0.2">
      <c r="B1590">
        <v>10851</v>
      </c>
      <c r="C1590">
        <v>57</v>
      </c>
      <c r="D1590" s="84">
        <v>19.5</v>
      </c>
      <c r="E1590">
        <v>10</v>
      </c>
      <c r="F1590" s="85">
        <v>0.05</v>
      </c>
      <c r="G1590" s="86">
        <f t="shared" si="120"/>
        <v>195</v>
      </c>
      <c r="H1590" s="86">
        <f t="shared" si="121"/>
        <v>9.75</v>
      </c>
      <c r="I1590" s="86">
        <f t="shared" si="122"/>
        <v>185.25</v>
      </c>
      <c r="J1590" s="84">
        <f>VLOOKUP(C1590, Products[], 6)</f>
        <v>19.5</v>
      </c>
      <c r="K1590" s="86">
        <f t="shared" si="123"/>
        <v>195</v>
      </c>
      <c r="L1590" s="86">
        <f t="shared" si="124"/>
        <v>-9.75</v>
      </c>
    </row>
    <row r="1591" spans="2:12" x14ac:dyDescent="0.2">
      <c r="B1591">
        <v>10851</v>
      </c>
      <c r="C1591">
        <v>59</v>
      </c>
      <c r="D1591" s="84">
        <v>55</v>
      </c>
      <c r="E1591">
        <v>42</v>
      </c>
      <c r="F1591" s="85">
        <v>0.05</v>
      </c>
      <c r="G1591" s="86">
        <f t="shared" si="120"/>
        <v>2310</v>
      </c>
      <c r="H1591" s="86">
        <f t="shared" si="121"/>
        <v>115.5</v>
      </c>
      <c r="I1591" s="86">
        <f t="shared" si="122"/>
        <v>2194.5</v>
      </c>
      <c r="J1591" s="84">
        <f>VLOOKUP(C1591, Products[], 6)</f>
        <v>55</v>
      </c>
      <c r="K1591" s="86">
        <f t="shared" si="123"/>
        <v>2310</v>
      </c>
      <c r="L1591" s="86">
        <f t="shared" si="124"/>
        <v>-115.5</v>
      </c>
    </row>
    <row r="1592" spans="2:12" x14ac:dyDescent="0.2">
      <c r="B1592">
        <v>10852</v>
      </c>
      <c r="C1592">
        <v>2</v>
      </c>
      <c r="D1592" s="84">
        <v>19</v>
      </c>
      <c r="E1592">
        <v>15</v>
      </c>
      <c r="F1592" s="85">
        <v>0</v>
      </c>
      <c r="G1592" s="86">
        <f t="shared" si="120"/>
        <v>285</v>
      </c>
      <c r="H1592" s="86">
        <f t="shared" si="121"/>
        <v>0</v>
      </c>
      <c r="I1592" s="86">
        <f t="shared" si="122"/>
        <v>285</v>
      </c>
      <c r="J1592" s="84">
        <f>VLOOKUP(C1592, Products[], 6)</f>
        <v>19</v>
      </c>
      <c r="K1592" s="86">
        <f t="shared" si="123"/>
        <v>285</v>
      </c>
      <c r="L1592" s="86">
        <f t="shared" si="124"/>
        <v>0</v>
      </c>
    </row>
    <row r="1593" spans="2:12" x14ac:dyDescent="0.2">
      <c r="B1593">
        <v>10852</v>
      </c>
      <c r="C1593">
        <v>17</v>
      </c>
      <c r="D1593" s="84">
        <v>39</v>
      </c>
      <c r="E1593">
        <v>6</v>
      </c>
      <c r="F1593" s="85">
        <v>0</v>
      </c>
      <c r="G1593" s="86">
        <f t="shared" si="120"/>
        <v>234</v>
      </c>
      <c r="H1593" s="86">
        <f t="shared" si="121"/>
        <v>0</v>
      </c>
      <c r="I1593" s="86">
        <f t="shared" si="122"/>
        <v>234</v>
      </c>
      <c r="J1593" s="84">
        <f>VLOOKUP(C1593, Products[], 6)</f>
        <v>39</v>
      </c>
      <c r="K1593" s="86">
        <f t="shared" si="123"/>
        <v>234</v>
      </c>
      <c r="L1593" s="86">
        <f t="shared" si="124"/>
        <v>0</v>
      </c>
    </row>
    <row r="1594" spans="2:12" x14ac:dyDescent="0.2">
      <c r="B1594">
        <v>10852</v>
      </c>
      <c r="C1594">
        <v>62</v>
      </c>
      <c r="D1594" s="84">
        <v>49.3</v>
      </c>
      <c r="E1594">
        <v>50</v>
      </c>
      <c r="F1594" s="85">
        <v>0</v>
      </c>
      <c r="G1594" s="86">
        <f t="shared" si="120"/>
        <v>2465</v>
      </c>
      <c r="H1594" s="86">
        <f t="shared" si="121"/>
        <v>0</v>
      </c>
      <c r="I1594" s="86">
        <f t="shared" si="122"/>
        <v>2465</v>
      </c>
      <c r="J1594" s="84">
        <f>VLOOKUP(C1594, Products[], 6)</f>
        <v>49.3</v>
      </c>
      <c r="K1594" s="86">
        <f t="shared" si="123"/>
        <v>2465</v>
      </c>
      <c r="L1594" s="86">
        <f t="shared" si="124"/>
        <v>0</v>
      </c>
    </row>
    <row r="1595" spans="2:12" x14ac:dyDescent="0.2">
      <c r="B1595">
        <v>10853</v>
      </c>
      <c r="C1595">
        <v>18</v>
      </c>
      <c r="D1595" s="84">
        <v>62.5</v>
      </c>
      <c r="E1595">
        <v>10</v>
      </c>
      <c r="F1595" s="85">
        <v>0</v>
      </c>
      <c r="G1595" s="86">
        <f t="shared" si="120"/>
        <v>625</v>
      </c>
      <c r="H1595" s="86">
        <f t="shared" si="121"/>
        <v>0</v>
      </c>
      <c r="I1595" s="86">
        <f t="shared" si="122"/>
        <v>625</v>
      </c>
      <c r="J1595" s="84">
        <f>VLOOKUP(C1595, Products[], 6)</f>
        <v>62.5</v>
      </c>
      <c r="K1595" s="86">
        <f t="shared" si="123"/>
        <v>625</v>
      </c>
      <c r="L1595" s="86">
        <f t="shared" si="124"/>
        <v>0</v>
      </c>
    </row>
    <row r="1596" spans="2:12" x14ac:dyDescent="0.2">
      <c r="B1596">
        <v>10854</v>
      </c>
      <c r="C1596">
        <v>10</v>
      </c>
      <c r="D1596" s="84">
        <v>31</v>
      </c>
      <c r="E1596">
        <v>100</v>
      </c>
      <c r="F1596" s="85">
        <v>0.15</v>
      </c>
      <c r="G1596" s="86">
        <f t="shared" si="120"/>
        <v>3100</v>
      </c>
      <c r="H1596" s="86">
        <f t="shared" si="121"/>
        <v>465</v>
      </c>
      <c r="I1596" s="86">
        <f t="shared" si="122"/>
        <v>2635</v>
      </c>
      <c r="J1596" s="84">
        <f>VLOOKUP(C1596, Products[], 6)</f>
        <v>31</v>
      </c>
      <c r="K1596" s="86">
        <f t="shared" si="123"/>
        <v>3100</v>
      </c>
      <c r="L1596" s="86">
        <f t="shared" si="124"/>
        <v>-465</v>
      </c>
    </row>
    <row r="1597" spans="2:12" x14ac:dyDescent="0.2">
      <c r="B1597">
        <v>10854</v>
      </c>
      <c r="C1597">
        <v>13</v>
      </c>
      <c r="D1597" s="84">
        <v>6</v>
      </c>
      <c r="E1597">
        <v>65</v>
      </c>
      <c r="F1597" s="85">
        <v>0.15</v>
      </c>
      <c r="G1597" s="86">
        <f t="shared" si="120"/>
        <v>390</v>
      </c>
      <c r="H1597" s="86">
        <f t="shared" si="121"/>
        <v>58.5</v>
      </c>
      <c r="I1597" s="86">
        <f t="shared" si="122"/>
        <v>331.5</v>
      </c>
      <c r="J1597" s="84">
        <f>VLOOKUP(C1597, Products[], 6)</f>
        <v>6</v>
      </c>
      <c r="K1597" s="86">
        <f t="shared" si="123"/>
        <v>390</v>
      </c>
      <c r="L1597" s="86">
        <f t="shared" si="124"/>
        <v>-58.5</v>
      </c>
    </row>
    <row r="1598" spans="2:12" x14ac:dyDescent="0.2">
      <c r="B1598">
        <v>10855</v>
      </c>
      <c r="C1598">
        <v>16</v>
      </c>
      <c r="D1598" s="84">
        <v>17.45</v>
      </c>
      <c r="E1598">
        <v>50</v>
      </c>
      <c r="F1598" s="85">
        <v>0</v>
      </c>
      <c r="G1598" s="86">
        <f t="shared" si="120"/>
        <v>872.5</v>
      </c>
      <c r="H1598" s="86">
        <f t="shared" si="121"/>
        <v>0</v>
      </c>
      <c r="I1598" s="86">
        <f t="shared" si="122"/>
        <v>872.5</v>
      </c>
      <c r="J1598" s="84">
        <f>VLOOKUP(C1598, Products[], 6)</f>
        <v>17.45</v>
      </c>
      <c r="K1598" s="86">
        <f t="shared" si="123"/>
        <v>872.5</v>
      </c>
      <c r="L1598" s="86">
        <f t="shared" si="124"/>
        <v>0</v>
      </c>
    </row>
    <row r="1599" spans="2:12" x14ac:dyDescent="0.2">
      <c r="B1599">
        <v>10855</v>
      </c>
      <c r="C1599">
        <v>31</v>
      </c>
      <c r="D1599" s="84">
        <v>12.5</v>
      </c>
      <c r="E1599">
        <v>14</v>
      </c>
      <c r="F1599" s="85">
        <v>0</v>
      </c>
      <c r="G1599" s="86">
        <f t="shared" si="120"/>
        <v>175</v>
      </c>
      <c r="H1599" s="86">
        <f t="shared" si="121"/>
        <v>0</v>
      </c>
      <c r="I1599" s="86">
        <f t="shared" si="122"/>
        <v>175</v>
      </c>
      <c r="J1599" s="84">
        <f>VLOOKUP(C1599, Products[], 6)</f>
        <v>12.5</v>
      </c>
      <c r="K1599" s="86">
        <f t="shared" si="123"/>
        <v>175</v>
      </c>
      <c r="L1599" s="86">
        <f t="shared" si="124"/>
        <v>0</v>
      </c>
    </row>
    <row r="1600" spans="2:12" x14ac:dyDescent="0.2">
      <c r="B1600">
        <v>10855</v>
      </c>
      <c r="C1600">
        <v>56</v>
      </c>
      <c r="D1600" s="84">
        <v>38</v>
      </c>
      <c r="E1600">
        <v>24</v>
      </c>
      <c r="F1600" s="85">
        <v>0</v>
      </c>
      <c r="G1600" s="86">
        <f t="shared" si="120"/>
        <v>912</v>
      </c>
      <c r="H1600" s="86">
        <f t="shared" si="121"/>
        <v>0</v>
      </c>
      <c r="I1600" s="86">
        <f t="shared" si="122"/>
        <v>912</v>
      </c>
      <c r="J1600" s="84">
        <f>VLOOKUP(C1600, Products[], 6)</f>
        <v>38</v>
      </c>
      <c r="K1600" s="86">
        <f t="shared" si="123"/>
        <v>912</v>
      </c>
      <c r="L1600" s="86">
        <f t="shared" si="124"/>
        <v>0</v>
      </c>
    </row>
    <row r="1601" spans="2:12" x14ac:dyDescent="0.2">
      <c r="B1601">
        <v>10855</v>
      </c>
      <c r="C1601">
        <v>65</v>
      </c>
      <c r="D1601" s="84">
        <v>21.05</v>
      </c>
      <c r="E1601">
        <v>15</v>
      </c>
      <c r="F1601" s="85">
        <v>0.15</v>
      </c>
      <c r="G1601" s="86">
        <f t="shared" si="120"/>
        <v>315.75</v>
      </c>
      <c r="H1601" s="86">
        <f t="shared" si="121"/>
        <v>47.362499999999997</v>
      </c>
      <c r="I1601" s="86">
        <f t="shared" si="122"/>
        <v>268.38749999999999</v>
      </c>
      <c r="J1601" s="84">
        <f>VLOOKUP(C1601, Products[], 6)</f>
        <v>21.05</v>
      </c>
      <c r="K1601" s="86">
        <f t="shared" si="123"/>
        <v>315.75</v>
      </c>
      <c r="L1601" s="86">
        <f t="shared" si="124"/>
        <v>-47.362500000000011</v>
      </c>
    </row>
    <row r="1602" spans="2:12" x14ac:dyDescent="0.2">
      <c r="B1602">
        <v>10856</v>
      </c>
      <c r="C1602">
        <v>2</v>
      </c>
      <c r="D1602" s="84">
        <v>19</v>
      </c>
      <c r="E1602">
        <v>20</v>
      </c>
      <c r="F1602" s="85">
        <v>0</v>
      </c>
      <c r="G1602" s="86">
        <f t="shared" si="120"/>
        <v>380</v>
      </c>
      <c r="H1602" s="86">
        <f t="shared" si="121"/>
        <v>0</v>
      </c>
      <c r="I1602" s="86">
        <f t="shared" si="122"/>
        <v>380</v>
      </c>
      <c r="J1602" s="84">
        <f>VLOOKUP(C1602, Products[], 6)</f>
        <v>19</v>
      </c>
      <c r="K1602" s="86">
        <f t="shared" si="123"/>
        <v>380</v>
      </c>
      <c r="L1602" s="86">
        <f t="shared" si="124"/>
        <v>0</v>
      </c>
    </row>
    <row r="1603" spans="2:12" x14ac:dyDescent="0.2">
      <c r="B1603">
        <v>10856</v>
      </c>
      <c r="C1603">
        <v>42</v>
      </c>
      <c r="D1603" s="84">
        <v>14</v>
      </c>
      <c r="E1603">
        <v>20</v>
      </c>
      <c r="F1603" s="85">
        <v>0</v>
      </c>
      <c r="G1603" s="86">
        <f t="shared" si="120"/>
        <v>280</v>
      </c>
      <c r="H1603" s="86">
        <f t="shared" si="121"/>
        <v>0</v>
      </c>
      <c r="I1603" s="86">
        <f t="shared" si="122"/>
        <v>280</v>
      </c>
      <c r="J1603" s="84">
        <f>VLOOKUP(C1603, Products[], 6)</f>
        <v>14</v>
      </c>
      <c r="K1603" s="86">
        <f t="shared" si="123"/>
        <v>280</v>
      </c>
      <c r="L1603" s="86">
        <f t="shared" si="124"/>
        <v>0</v>
      </c>
    </row>
    <row r="1604" spans="2:12" x14ac:dyDescent="0.2">
      <c r="B1604">
        <v>10857</v>
      </c>
      <c r="C1604">
        <v>3</v>
      </c>
      <c r="D1604" s="84">
        <v>10</v>
      </c>
      <c r="E1604">
        <v>30</v>
      </c>
      <c r="F1604" s="85">
        <v>0</v>
      </c>
      <c r="G1604" s="86">
        <f t="shared" si="120"/>
        <v>300</v>
      </c>
      <c r="H1604" s="86">
        <f t="shared" si="121"/>
        <v>0</v>
      </c>
      <c r="I1604" s="86">
        <f t="shared" si="122"/>
        <v>300</v>
      </c>
      <c r="J1604" s="84">
        <f>VLOOKUP(C1604, Products[], 6)</f>
        <v>10</v>
      </c>
      <c r="K1604" s="86">
        <f t="shared" si="123"/>
        <v>300</v>
      </c>
      <c r="L1604" s="86">
        <f t="shared" si="124"/>
        <v>0</v>
      </c>
    </row>
    <row r="1605" spans="2:12" x14ac:dyDescent="0.2">
      <c r="B1605">
        <v>10857</v>
      </c>
      <c r="C1605">
        <v>26</v>
      </c>
      <c r="D1605" s="84">
        <v>31.23</v>
      </c>
      <c r="E1605">
        <v>35</v>
      </c>
      <c r="F1605" s="85">
        <v>0.25</v>
      </c>
      <c r="G1605" s="86">
        <f t="shared" si="120"/>
        <v>1093.05</v>
      </c>
      <c r="H1605" s="86">
        <f t="shared" si="121"/>
        <v>273.26249999999999</v>
      </c>
      <c r="I1605" s="86">
        <f t="shared" si="122"/>
        <v>819.78749999999991</v>
      </c>
      <c r="J1605" s="84">
        <f>VLOOKUP(C1605, Products[], 6)</f>
        <v>31.23</v>
      </c>
      <c r="K1605" s="86">
        <f t="shared" si="123"/>
        <v>1093.05</v>
      </c>
      <c r="L1605" s="86">
        <f t="shared" si="124"/>
        <v>-273.26250000000005</v>
      </c>
    </row>
    <row r="1606" spans="2:12" x14ac:dyDescent="0.2">
      <c r="B1606">
        <v>10857</v>
      </c>
      <c r="C1606">
        <v>29</v>
      </c>
      <c r="D1606" s="84">
        <v>123.79</v>
      </c>
      <c r="E1606">
        <v>10</v>
      </c>
      <c r="F1606" s="85">
        <v>0.25</v>
      </c>
      <c r="G1606" s="86">
        <f t="shared" si="120"/>
        <v>1237.9000000000001</v>
      </c>
      <c r="H1606" s="86">
        <f t="shared" si="121"/>
        <v>309.47500000000002</v>
      </c>
      <c r="I1606" s="86">
        <f t="shared" si="122"/>
        <v>928.42500000000007</v>
      </c>
      <c r="J1606" s="84">
        <f>VLOOKUP(C1606, Products[], 6)</f>
        <v>123.79</v>
      </c>
      <c r="K1606" s="86">
        <f t="shared" si="123"/>
        <v>1237.9000000000001</v>
      </c>
      <c r="L1606" s="86">
        <f t="shared" si="124"/>
        <v>-309.47500000000002</v>
      </c>
    </row>
    <row r="1607" spans="2:12" x14ac:dyDescent="0.2">
      <c r="B1607">
        <v>10858</v>
      </c>
      <c r="C1607">
        <v>7</v>
      </c>
      <c r="D1607" s="84">
        <v>30</v>
      </c>
      <c r="E1607">
        <v>5</v>
      </c>
      <c r="F1607" s="85">
        <v>0</v>
      </c>
      <c r="G1607" s="86">
        <f t="shared" ref="G1607:G1670" si="125">D1607*E1607</f>
        <v>150</v>
      </c>
      <c r="H1607" s="86">
        <f t="shared" ref="H1607:H1670" si="126">G1607*F1607</f>
        <v>0</v>
      </c>
      <c r="I1607" s="86">
        <f t="shared" ref="I1607:I1670" si="127">G1607-H1607</f>
        <v>150</v>
      </c>
      <c r="J1607" s="84">
        <f>VLOOKUP(C1607, Products[], 6)</f>
        <v>30</v>
      </c>
      <c r="K1607" s="86">
        <f t="shared" ref="K1607:K1670" si="128">J1607*E1607</f>
        <v>150</v>
      </c>
      <c r="L1607" s="86">
        <f t="shared" ref="L1607:L1670" si="129">I1607-K1607</f>
        <v>0</v>
      </c>
    </row>
    <row r="1608" spans="2:12" x14ac:dyDescent="0.2">
      <c r="B1608">
        <v>10858</v>
      </c>
      <c r="C1608">
        <v>27</v>
      </c>
      <c r="D1608" s="84">
        <v>43.9</v>
      </c>
      <c r="E1608">
        <v>10</v>
      </c>
      <c r="F1608" s="85">
        <v>0</v>
      </c>
      <c r="G1608" s="86">
        <f t="shared" si="125"/>
        <v>439</v>
      </c>
      <c r="H1608" s="86">
        <f t="shared" si="126"/>
        <v>0</v>
      </c>
      <c r="I1608" s="86">
        <f t="shared" si="127"/>
        <v>439</v>
      </c>
      <c r="J1608" s="84">
        <f>VLOOKUP(C1608, Products[], 6)</f>
        <v>43.9</v>
      </c>
      <c r="K1608" s="86">
        <f t="shared" si="128"/>
        <v>439</v>
      </c>
      <c r="L1608" s="86">
        <f t="shared" si="129"/>
        <v>0</v>
      </c>
    </row>
    <row r="1609" spans="2:12" x14ac:dyDescent="0.2">
      <c r="B1609">
        <v>10858</v>
      </c>
      <c r="C1609">
        <v>70</v>
      </c>
      <c r="D1609" s="84">
        <v>15</v>
      </c>
      <c r="E1609">
        <v>4</v>
      </c>
      <c r="F1609" s="85">
        <v>0</v>
      </c>
      <c r="G1609" s="86">
        <f t="shared" si="125"/>
        <v>60</v>
      </c>
      <c r="H1609" s="86">
        <f t="shared" si="126"/>
        <v>0</v>
      </c>
      <c r="I1609" s="86">
        <f t="shared" si="127"/>
        <v>60</v>
      </c>
      <c r="J1609" s="84">
        <f>VLOOKUP(C1609, Products[], 6)</f>
        <v>15</v>
      </c>
      <c r="K1609" s="86">
        <f t="shared" si="128"/>
        <v>60</v>
      </c>
      <c r="L1609" s="86">
        <f t="shared" si="129"/>
        <v>0</v>
      </c>
    </row>
    <row r="1610" spans="2:12" x14ac:dyDescent="0.2">
      <c r="B1610">
        <v>10859</v>
      </c>
      <c r="C1610">
        <v>24</v>
      </c>
      <c r="D1610" s="84">
        <v>4.5</v>
      </c>
      <c r="E1610">
        <v>40</v>
      </c>
      <c r="F1610" s="85">
        <v>0.25</v>
      </c>
      <c r="G1610" s="86">
        <f t="shared" si="125"/>
        <v>180</v>
      </c>
      <c r="H1610" s="86">
        <f t="shared" si="126"/>
        <v>45</v>
      </c>
      <c r="I1610" s="86">
        <f t="shared" si="127"/>
        <v>135</v>
      </c>
      <c r="J1610" s="84">
        <f>VLOOKUP(C1610, Products[], 6)</f>
        <v>4.5</v>
      </c>
      <c r="K1610" s="86">
        <f t="shared" si="128"/>
        <v>180</v>
      </c>
      <c r="L1610" s="86">
        <f t="shared" si="129"/>
        <v>-45</v>
      </c>
    </row>
    <row r="1611" spans="2:12" x14ac:dyDescent="0.2">
      <c r="B1611">
        <v>10859</v>
      </c>
      <c r="C1611">
        <v>54</v>
      </c>
      <c r="D1611" s="84">
        <v>7.45</v>
      </c>
      <c r="E1611">
        <v>35</v>
      </c>
      <c r="F1611" s="85">
        <v>0.25</v>
      </c>
      <c r="G1611" s="86">
        <f t="shared" si="125"/>
        <v>260.75</v>
      </c>
      <c r="H1611" s="86">
        <f t="shared" si="126"/>
        <v>65.1875</v>
      </c>
      <c r="I1611" s="86">
        <f t="shared" si="127"/>
        <v>195.5625</v>
      </c>
      <c r="J1611" s="84">
        <f>VLOOKUP(C1611, Products[], 6)</f>
        <v>7.45</v>
      </c>
      <c r="K1611" s="86">
        <f t="shared" si="128"/>
        <v>260.75</v>
      </c>
      <c r="L1611" s="86">
        <f t="shared" si="129"/>
        <v>-65.1875</v>
      </c>
    </row>
    <row r="1612" spans="2:12" x14ac:dyDescent="0.2">
      <c r="B1612">
        <v>10859</v>
      </c>
      <c r="C1612">
        <v>64</v>
      </c>
      <c r="D1612" s="84">
        <v>33.25</v>
      </c>
      <c r="E1612">
        <v>30</v>
      </c>
      <c r="F1612" s="85">
        <v>0.25</v>
      </c>
      <c r="G1612" s="86">
        <f t="shared" si="125"/>
        <v>997.5</v>
      </c>
      <c r="H1612" s="86">
        <f t="shared" si="126"/>
        <v>249.375</v>
      </c>
      <c r="I1612" s="86">
        <f t="shared" si="127"/>
        <v>748.125</v>
      </c>
      <c r="J1612" s="84">
        <f>VLOOKUP(C1612, Products[], 6)</f>
        <v>33.25</v>
      </c>
      <c r="K1612" s="86">
        <f t="shared" si="128"/>
        <v>997.5</v>
      </c>
      <c r="L1612" s="86">
        <f t="shared" si="129"/>
        <v>-249.375</v>
      </c>
    </row>
    <row r="1613" spans="2:12" x14ac:dyDescent="0.2">
      <c r="B1613">
        <v>10860</v>
      </c>
      <c r="C1613">
        <v>51</v>
      </c>
      <c r="D1613" s="84">
        <v>53</v>
      </c>
      <c r="E1613">
        <v>3</v>
      </c>
      <c r="F1613" s="85">
        <v>0</v>
      </c>
      <c r="G1613" s="86">
        <f t="shared" si="125"/>
        <v>159</v>
      </c>
      <c r="H1613" s="86">
        <f t="shared" si="126"/>
        <v>0</v>
      </c>
      <c r="I1613" s="86">
        <f t="shared" si="127"/>
        <v>159</v>
      </c>
      <c r="J1613" s="84">
        <f>VLOOKUP(C1613, Products[], 6)</f>
        <v>53</v>
      </c>
      <c r="K1613" s="86">
        <f t="shared" si="128"/>
        <v>159</v>
      </c>
      <c r="L1613" s="86">
        <f t="shared" si="129"/>
        <v>0</v>
      </c>
    </row>
    <row r="1614" spans="2:12" x14ac:dyDescent="0.2">
      <c r="B1614">
        <v>10860</v>
      </c>
      <c r="C1614">
        <v>76</v>
      </c>
      <c r="D1614" s="84">
        <v>18</v>
      </c>
      <c r="E1614">
        <v>20</v>
      </c>
      <c r="F1614" s="85">
        <v>0</v>
      </c>
      <c r="G1614" s="86">
        <f t="shared" si="125"/>
        <v>360</v>
      </c>
      <c r="H1614" s="86">
        <f t="shared" si="126"/>
        <v>0</v>
      </c>
      <c r="I1614" s="86">
        <f t="shared" si="127"/>
        <v>360</v>
      </c>
      <c r="J1614" s="84">
        <f>VLOOKUP(C1614, Products[], 6)</f>
        <v>18</v>
      </c>
      <c r="K1614" s="86">
        <f t="shared" si="128"/>
        <v>360</v>
      </c>
      <c r="L1614" s="86">
        <f t="shared" si="129"/>
        <v>0</v>
      </c>
    </row>
    <row r="1615" spans="2:12" x14ac:dyDescent="0.2">
      <c r="B1615">
        <v>10861</v>
      </c>
      <c r="C1615">
        <v>17</v>
      </c>
      <c r="D1615" s="84">
        <v>39</v>
      </c>
      <c r="E1615">
        <v>42</v>
      </c>
      <c r="F1615" s="85">
        <v>0</v>
      </c>
      <c r="G1615" s="86">
        <f t="shared" si="125"/>
        <v>1638</v>
      </c>
      <c r="H1615" s="86">
        <f t="shared" si="126"/>
        <v>0</v>
      </c>
      <c r="I1615" s="86">
        <f t="shared" si="127"/>
        <v>1638</v>
      </c>
      <c r="J1615" s="84">
        <f>VLOOKUP(C1615, Products[], 6)</f>
        <v>39</v>
      </c>
      <c r="K1615" s="86">
        <f t="shared" si="128"/>
        <v>1638</v>
      </c>
      <c r="L1615" s="86">
        <f t="shared" si="129"/>
        <v>0</v>
      </c>
    </row>
    <row r="1616" spans="2:12" x14ac:dyDescent="0.2">
      <c r="B1616">
        <v>10861</v>
      </c>
      <c r="C1616">
        <v>18</v>
      </c>
      <c r="D1616" s="84">
        <v>62.5</v>
      </c>
      <c r="E1616">
        <v>20</v>
      </c>
      <c r="F1616" s="85">
        <v>0</v>
      </c>
      <c r="G1616" s="86">
        <f t="shared" si="125"/>
        <v>1250</v>
      </c>
      <c r="H1616" s="86">
        <f t="shared" si="126"/>
        <v>0</v>
      </c>
      <c r="I1616" s="86">
        <f t="shared" si="127"/>
        <v>1250</v>
      </c>
      <c r="J1616" s="84">
        <f>VLOOKUP(C1616, Products[], 6)</f>
        <v>62.5</v>
      </c>
      <c r="K1616" s="86">
        <f t="shared" si="128"/>
        <v>1250</v>
      </c>
      <c r="L1616" s="86">
        <f t="shared" si="129"/>
        <v>0</v>
      </c>
    </row>
    <row r="1617" spans="2:12" x14ac:dyDescent="0.2">
      <c r="B1617">
        <v>10861</v>
      </c>
      <c r="C1617">
        <v>21</v>
      </c>
      <c r="D1617" s="84">
        <v>10</v>
      </c>
      <c r="E1617">
        <v>40</v>
      </c>
      <c r="F1617" s="85">
        <v>0</v>
      </c>
      <c r="G1617" s="86">
        <f t="shared" si="125"/>
        <v>400</v>
      </c>
      <c r="H1617" s="86">
        <f t="shared" si="126"/>
        <v>0</v>
      </c>
      <c r="I1617" s="86">
        <f t="shared" si="127"/>
        <v>400</v>
      </c>
      <c r="J1617" s="84">
        <f>VLOOKUP(C1617, Products[], 6)</f>
        <v>10</v>
      </c>
      <c r="K1617" s="86">
        <f t="shared" si="128"/>
        <v>400</v>
      </c>
      <c r="L1617" s="86">
        <f t="shared" si="129"/>
        <v>0</v>
      </c>
    </row>
    <row r="1618" spans="2:12" x14ac:dyDescent="0.2">
      <c r="B1618">
        <v>10861</v>
      </c>
      <c r="C1618">
        <v>33</v>
      </c>
      <c r="D1618" s="84">
        <v>2.5</v>
      </c>
      <c r="E1618">
        <v>35</v>
      </c>
      <c r="F1618" s="85">
        <v>0</v>
      </c>
      <c r="G1618" s="86">
        <f t="shared" si="125"/>
        <v>87.5</v>
      </c>
      <c r="H1618" s="86">
        <f t="shared" si="126"/>
        <v>0</v>
      </c>
      <c r="I1618" s="86">
        <f t="shared" si="127"/>
        <v>87.5</v>
      </c>
      <c r="J1618" s="84">
        <f>VLOOKUP(C1618, Products[], 6)</f>
        <v>2.5</v>
      </c>
      <c r="K1618" s="86">
        <f t="shared" si="128"/>
        <v>87.5</v>
      </c>
      <c r="L1618" s="86">
        <f t="shared" si="129"/>
        <v>0</v>
      </c>
    </row>
    <row r="1619" spans="2:12" x14ac:dyDescent="0.2">
      <c r="B1619">
        <v>10861</v>
      </c>
      <c r="C1619">
        <v>62</v>
      </c>
      <c r="D1619" s="84">
        <v>49.3</v>
      </c>
      <c r="E1619">
        <v>3</v>
      </c>
      <c r="F1619" s="85">
        <v>0</v>
      </c>
      <c r="G1619" s="86">
        <f t="shared" si="125"/>
        <v>147.89999999999998</v>
      </c>
      <c r="H1619" s="86">
        <f t="shared" si="126"/>
        <v>0</v>
      </c>
      <c r="I1619" s="86">
        <f t="shared" si="127"/>
        <v>147.89999999999998</v>
      </c>
      <c r="J1619" s="84">
        <f>VLOOKUP(C1619, Products[], 6)</f>
        <v>49.3</v>
      </c>
      <c r="K1619" s="86">
        <f t="shared" si="128"/>
        <v>147.89999999999998</v>
      </c>
      <c r="L1619" s="86">
        <f t="shared" si="129"/>
        <v>0</v>
      </c>
    </row>
    <row r="1620" spans="2:12" x14ac:dyDescent="0.2">
      <c r="B1620">
        <v>10862</v>
      </c>
      <c r="C1620">
        <v>11</v>
      </c>
      <c r="D1620" s="84">
        <v>21</v>
      </c>
      <c r="E1620">
        <v>25</v>
      </c>
      <c r="F1620" s="85">
        <v>0</v>
      </c>
      <c r="G1620" s="86">
        <f t="shared" si="125"/>
        <v>525</v>
      </c>
      <c r="H1620" s="86">
        <f t="shared" si="126"/>
        <v>0</v>
      </c>
      <c r="I1620" s="86">
        <f t="shared" si="127"/>
        <v>525</v>
      </c>
      <c r="J1620" s="84">
        <f>VLOOKUP(C1620, Products[], 6)</f>
        <v>21</v>
      </c>
      <c r="K1620" s="86">
        <f t="shared" si="128"/>
        <v>525</v>
      </c>
      <c r="L1620" s="86">
        <f t="shared" si="129"/>
        <v>0</v>
      </c>
    </row>
    <row r="1621" spans="2:12" x14ac:dyDescent="0.2">
      <c r="B1621">
        <v>10862</v>
      </c>
      <c r="C1621">
        <v>52</v>
      </c>
      <c r="D1621" s="84">
        <v>7</v>
      </c>
      <c r="E1621">
        <v>8</v>
      </c>
      <c r="F1621" s="85">
        <v>0</v>
      </c>
      <c r="G1621" s="86">
        <f t="shared" si="125"/>
        <v>56</v>
      </c>
      <c r="H1621" s="86">
        <f t="shared" si="126"/>
        <v>0</v>
      </c>
      <c r="I1621" s="86">
        <f t="shared" si="127"/>
        <v>56</v>
      </c>
      <c r="J1621" s="84">
        <f>VLOOKUP(C1621, Products[], 6)</f>
        <v>7</v>
      </c>
      <c r="K1621" s="86">
        <f t="shared" si="128"/>
        <v>56</v>
      </c>
      <c r="L1621" s="86">
        <f t="shared" si="129"/>
        <v>0</v>
      </c>
    </row>
    <row r="1622" spans="2:12" x14ac:dyDescent="0.2">
      <c r="B1622">
        <v>10863</v>
      </c>
      <c r="C1622">
        <v>1</v>
      </c>
      <c r="D1622" s="84">
        <v>18</v>
      </c>
      <c r="E1622">
        <v>20</v>
      </c>
      <c r="F1622" s="85">
        <v>0.15</v>
      </c>
      <c r="G1622" s="86">
        <f t="shared" si="125"/>
        <v>360</v>
      </c>
      <c r="H1622" s="86">
        <f t="shared" si="126"/>
        <v>54</v>
      </c>
      <c r="I1622" s="86">
        <f t="shared" si="127"/>
        <v>306</v>
      </c>
      <c r="J1622" s="84">
        <f>VLOOKUP(C1622, Products[], 6)</f>
        <v>18</v>
      </c>
      <c r="K1622" s="86">
        <f t="shared" si="128"/>
        <v>360</v>
      </c>
      <c r="L1622" s="86">
        <f t="shared" si="129"/>
        <v>-54</v>
      </c>
    </row>
    <row r="1623" spans="2:12" x14ac:dyDescent="0.2">
      <c r="B1623">
        <v>10863</v>
      </c>
      <c r="C1623">
        <v>58</v>
      </c>
      <c r="D1623" s="84">
        <v>13.25</v>
      </c>
      <c r="E1623">
        <v>12</v>
      </c>
      <c r="F1623" s="85">
        <v>0.15</v>
      </c>
      <c r="G1623" s="86">
        <f t="shared" si="125"/>
        <v>159</v>
      </c>
      <c r="H1623" s="86">
        <f t="shared" si="126"/>
        <v>23.849999999999998</v>
      </c>
      <c r="I1623" s="86">
        <f t="shared" si="127"/>
        <v>135.15</v>
      </c>
      <c r="J1623" s="84">
        <f>VLOOKUP(C1623, Products[], 6)</f>
        <v>13.25</v>
      </c>
      <c r="K1623" s="86">
        <f t="shared" si="128"/>
        <v>159</v>
      </c>
      <c r="L1623" s="86">
        <f t="shared" si="129"/>
        <v>-23.849999999999994</v>
      </c>
    </row>
    <row r="1624" spans="2:12" x14ac:dyDescent="0.2">
      <c r="B1624">
        <v>10864</v>
      </c>
      <c r="C1624">
        <v>35</v>
      </c>
      <c r="D1624" s="84">
        <v>18</v>
      </c>
      <c r="E1624">
        <v>4</v>
      </c>
      <c r="F1624" s="85">
        <v>0</v>
      </c>
      <c r="G1624" s="86">
        <f t="shared" si="125"/>
        <v>72</v>
      </c>
      <c r="H1624" s="86">
        <f t="shared" si="126"/>
        <v>0</v>
      </c>
      <c r="I1624" s="86">
        <f t="shared" si="127"/>
        <v>72</v>
      </c>
      <c r="J1624" s="84">
        <f>VLOOKUP(C1624, Products[], 6)</f>
        <v>18</v>
      </c>
      <c r="K1624" s="86">
        <f t="shared" si="128"/>
        <v>72</v>
      </c>
      <c r="L1624" s="86">
        <f t="shared" si="129"/>
        <v>0</v>
      </c>
    </row>
    <row r="1625" spans="2:12" x14ac:dyDescent="0.2">
      <c r="B1625">
        <v>10864</v>
      </c>
      <c r="C1625">
        <v>67</v>
      </c>
      <c r="D1625" s="84">
        <v>14</v>
      </c>
      <c r="E1625">
        <v>15</v>
      </c>
      <c r="F1625" s="85">
        <v>0</v>
      </c>
      <c r="G1625" s="86">
        <f t="shared" si="125"/>
        <v>210</v>
      </c>
      <c r="H1625" s="86">
        <f t="shared" si="126"/>
        <v>0</v>
      </c>
      <c r="I1625" s="86">
        <f t="shared" si="127"/>
        <v>210</v>
      </c>
      <c r="J1625" s="84">
        <f>VLOOKUP(C1625, Products[], 6)</f>
        <v>14</v>
      </c>
      <c r="K1625" s="86">
        <f t="shared" si="128"/>
        <v>210</v>
      </c>
      <c r="L1625" s="86">
        <f t="shared" si="129"/>
        <v>0</v>
      </c>
    </row>
    <row r="1626" spans="2:12" x14ac:dyDescent="0.2">
      <c r="B1626">
        <v>10865</v>
      </c>
      <c r="C1626">
        <v>38</v>
      </c>
      <c r="D1626" s="84">
        <v>263.5</v>
      </c>
      <c r="E1626">
        <v>60</v>
      </c>
      <c r="F1626" s="85">
        <v>0.05</v>
      </c>
      <c r="G1626" s="86">
        <f t="shared" si="125"/>
        <v>15810</v>
      </c>
      <c r="H1626" s="86">
        <f t="shared" si="126"/>
        <v>790.5</v>
      </c>
      <c r="I1626" s="86">
        <f t="shared" si="127"/>
        <v>15019.5</v>
      </c>
      <c r="J1626" s="84">
        <f>VLOOKUP(C1626, Products[], 6)</f>
        <v>263.5</v>
      </c>
      <c r="K1626" s="86">
        <f t="shared" si="128"/>
        <v>15810</v>
      </c>
      <c r="L1626" s="86">
        <f t="shared" si="129"/>
        <v>-790.5</v>
      </c>
    </row>
    <row r="1627" spans="2:12" x14ac:dyDescent="0.2">
      <c r="B1627">
        <v>10865</v>
      </c>
      <c r="C1627">
        <v>39</v>
      </c>
      <c r="D1627" s="84">
        <v>18</v>
      </c>
      <c r="E1627">
        <v>80</v>
      </c>
      <c r="F1627" s="85">
        <v>0.05</v>
      </c>
      <c r="G1627" s="86">
        <f t="shared" si="125"/>
        <v>1440</v>
      </c>
      <c r="H1627" s="86">
        <f t="shared" si="126"/>
        <v>72</v>
      </c>
      <c r="I1627" s="86">
        <f t="shared" si="127"/>
        <v>1368</v>
      </c>
      <c r="J1627" s="84">
        <f>VLOOKUP(C1627, Products[], 6)</f>
        <v>18</v>
      </c>
      <c r="K1627" s="86">
        <f t="shared" si="128"/>
        <v>1440</v>
      </c>
      <c r="L1627" s="86">
        <f t="shared" si="129"/>
        <v>-72</v>
      </c>
    </row>
    <row r="1628" spans="2:12" x14ac:dyDescent="0.2">
      <c r="B1628">
        <v>10866</v>
      </c>
      <c r="C1628">
        <v>2</v>
      </c>
      <c r="D1628" s="84">
        <v>19</v>
      </c>
      <c r="E1628">
        <v>21</v>
      </c>
      <c r="F1628" s="85">
        <v>0.25</v>
      </c>
      <c r="G1628" s="86">
        <f t="shared" si="125"/>
        <v>399</v>
      </c>
      <c r="H1628" s="86">
        <f t="shared" si="126"/>
        <v>99.75</v>
      </c>
      <c r="I1628" s="86">
        <f t="shared" si="127"/>
        <v>299.25</v>
      </c>
      <c r="J1628" s="84">
        <f>VLOOKUP(C1628, Products[], 6)</f>
        <v>19</v>
      </c>
      <c r="K1628" s="86">
        <f t="shared" si="128"/>
        <v>399</v>
      </c>
      <c r="L1628" s="86">
        <f t="shared" si="129"/>
        <v>-99.75</v>
      </c>
    </row>
    <row r="1629" spans="2:12" x14ac:dyDescent="0.2">
      <c r="B1629">
        <v>10866</v>
      </c>
      <c r="C1629">
        <v>24</v>
      </c>
      <c r="D1629" s="84">
        <v>4.5</v>
      </c>
      <c r="E1629">
        <v>6</v>
      </c>
      <c r="F1629" s="85">
        <v>0.25</v>
      </c>
      <c r="G1629" s="86">
        <f t="shared" si="125"/>
        <v>27</v>
      </c>
      <c r="H1629" s="86">
        <f t="shared" si="126"/>
        <v>6.75</v>
      </c>
      <c r="I1629" s="86">
        <f t="shared" si="127"/>
        <v>20.25</v>
      </c>
      <c r="J1629" s="84">
        <f>VLOOKUP(C1629, Products[], 6)</f>
        <v>4.5</v>
      </c>
      <c r="K1629" s="86">
        <f t="shared" si="128"/>
        <v>27</v>
      </c>
      <c r="L1629" s="86">
        <f t="shared" si="129"/>
        <v>-6.75</v>
      </c>
    </row>
    <row r="1630" spans="2:12" x14ac:dyDescent="0.2">
      <c r="B1630">
        <v>10866</v>
      </c>
      <c r="C1630">
        <v>30</v>
      </c>
      <c r="D1630" s="84">
        <v>25.89</v>
      </c>
      <c r="E1630">
        <v>40</v>
      </c>
      <c r="F1630" s="85">
        <v>0.25</v>
      </c>
      <c r="G1630" s="86">
        <f t="shared" si="125"/>
        <v>1035.5999999999999</v>
      </c>
      <c r="H1630" s="86">
        <f t="shared" si="126"/>
        <v>258.89999999999998</v>
      </c>
      <c r="I1630" s="86">
        <f t="shared" si="127"/>
        <v>776.69999999999993</v>
      </c>
      <c r="J1630" s="84">
        <f>VLOOKUP(C1630, Products[], 6)</f>
        <v>25.89</v>
      </c>
      <c r="K1630" s="86">
        <f t="shared" si="128"/>
        <v>1035.5999999999999</v>
      </c>
      <c r="L1630" s="86">
        <f t="shared" si="129"/>
        <v>-258.89999999999998</v>
      </c>
    </row>
    <row r="1631" spans="2:12" x14ac:dyDescent="0.2">
      <c r="B1631">
        <v>10867</v>
      </c>
      <c r="C1631">
        <v>53</v>
      </c>
      <c r="D1631" s="84">
        <v>32.799999999999997</v>
      </c>
      <c r="E1631">
        <v>3</v>
      </c>
      <c r="F1631" s="85">
        <v>0</v>
      </c>
      <c r="G1631" s="86">
        <f t="shared" si="125"/>
        <v>98.399999999999991</v>
      </c>
      <c r="H1631" s="86">
        <f t="shared" si="126"/>
        <v>0</v>
      </c>
      <c r="I1631" s="86">
        <f t="shared" si="127"/>
        <v>98.399999999999991</v>
      </c>
      <c r="J1631" s="84">
        <f>VLOOKUP(C1631, Products[], 6)</f>
        <v>32.799999999999997</v>
      </c>
      <c r="K1631" s="86">
        <f t="shared" si="128"/>
        <v>98.399999999999991</v>
      </c>
      <c r="L1631" s="86">
        <f t="shared" si="129"/>
        <v>0</v>
      </c>
    </row>
    <row r="1632" spans="2:12" x14ac:dyDescent="0.2">
      <c r="B1632">
        <v>10868</v>
      </c>
      <c r="C1632">
        <v>26</v>
      </c>
      <c r="D1632" s="84">
        <v>31.23</v>
      </c>
      <c r="E1632">
        <v>20</v>
      </c>
      <c r="F1632" s="85">
        <v>0</v>
      </c>
      <c r="G1632" s="86">
        <f t="shared" si="125"/>
        <v>624.6</v>
      </c>
      <c r="H1632" s="86">
        <f t="shared" si="126"/>
        <v>0</v>
      </c>
      <c r="I1632" s="86">
        <f t="shared" si="127"/>
        <v>624.6</v>
      </c>
      <c r="J1632" s="84">
        <f>VLOOKUP(C1632, Products[], 6)</f>
        <v>31.23</v>
      </c>
      <c r="K1632" s="86">
        <f t="shared" si="128"/>
        <v>624.6</v>
      </c>
      <c r="L1632" s="86">
        <f t="shared" si="129"/>
        <v>0</v>
      </c>
    </row>
    <row r="1633" spans="2:12" x14ac:dyDescent="0.2">
      <c r="B1633">
        <v>10868</v>
      </c>
      <c r="C1633">
        <v>35</v>
      </c>
      <c r="D1633" s="84">
        <v>18</v>
      </c>
      <c r="E1633">
        <v>30</v>
      </c>
      <c r="F1633" s="85">
        <v>0</v>
      </c>
      <c r="G1633" s="86">
        <f t="shared" si="125"/>
        <v>540</v>
      </c>
      <c r="H1633" s="86">
        <f t="shared" si="126"/>
        <v>0</v>
      </c>
      <c r="I1633" s="86">
        <f t="shared" si="127"/>
        <v>540</v>
      </c>
      <c r="J1633" s="84">
        <f>VLOOKUP(C1633, Products[], 6)</f>
        <v>18</v>
      </c>
      <c r="K1633" s="86">
        <f t="shared" si="128"/>
        <v>540</v>
      </c>
      <c r="L1633" s="86">
        <f t="shared" si="129"/>
        <v>0</v>
      </c>
    </row>
    <row r="1634" spans="2:12" x14ac:dyDescent="0.2">
      <c r="B1634">
        <v>10868</v>
      </c>
      <c r="C1634">
        <v>49</v>
      </c>
      <c r="D1634" s="84">
        <v>20</v>
      </c>
      <c r="E1634">
        <v>42</v>
      </c>
      <c r="F1634" s="85">
        <v>0.1</v>
      </c>
      <c r="G1634" s="86">
        <f t="shared" si="125"/>
        <v>840</v>
      </c>
      <c r="H1634" s="86">
        <f t="shared" si="126"/>
        <v>84</v>
      </c>
      <c r="I1634" s="86">
        <f t="shared" si="127"/>
        <v>756</v>
      </c>
      <c r="J1634" s="84">
        <f>VLOOKUP(C1634, Products[], 6)</f>
        <v>20</v>
      </c>
      <c r="K1634" s="86">
        <f t="shared" si="128"/>
        <v>840</v>
      </c>
      <c r="L1634" s="86">
        <f t="shared" si="129"/>
        <v>-84</v>
      </c>
    </row>
    <row r="1635" spans="2:12" x14ac:dyDescent="0.2">
      <c r="B1635">
        <v>10869</v>
      </c>
      <c r="C1635">
        <v>1</v>
      </c>
      <c r="D1635" s="84">
        <v>18</v>
      </c>
      <c r="E1635">
        <v>40</v>
      </c>
      <c r="F1635" s="85">
        <v>0</v>
      </c>
      <c r="G1635" s="86">
        <f t="shared" si="125"/>
        <v>720</v>
      </c>
      <c r="H1635" s="86">
        <f t="shared" si="126"/>
        <v>0</v>
      </c>
      <c r="I1635" s="86">
        <f t="shared" si="127"/>
        <v>720</v>
      </c>
      <c r="J1635" s="84">
        <f>VLOOKUP(C1635, Products[], 6)</f>
        <v>18</v>
      </c>
      <c r="K1635" s="86">
        <f t="shared" si="128"/>
        <v>720</v>
      </c>
      <c r="L1635" s="86">
        <f t="shared" si="129"/>
        <v>0</v>
      </c>
    </row>
    <row r="1636" spans="2:12" x14ac:dyDescent="0.2">
      <c r="B1636">
        <v>10869</v>
      </c>
      <c r="C1636">
        <v>11</v>
      </c>
      <c r="D1636" s="84">
        <v>21</v>
      </c>
      <c r="E1636">
        <v>10</v>
      </c>
      <c r="F1636" s="85">
        <v>0</v>
      </c>
      <c r="G1636" s="86">
        <f t="shared" si="125"/>
        <v>210</v>
      </c>
      <c r="H1636" s="86">
        <f t="shared" si="126"/>
        <v>0</v>
      </c>
      <c r="I1636" s="86">
        <f t="shared" si="127"/>
        <v>210</v>
      </c>
      <c r="J1636" s="84">
        <f>VLOOKUP(C1636, Products[], 6)</f>
        <v>21</v>
      </c>
      <c r="K1636" s="86">
        <f t="shared" si="128"/>
        <v>210</v>
      </c>
      <c r="L1636" s="86">
        <f t="shared" si="129"/>
        <v>0</v>
      </c>
    </row>
    <row r="1637" spans="2:12" x14ac:dyDescent="0.2">
      <c r="B1637">
        <v>10869</v>
      </c>
      <c r="C1637">
        <v>23</v>
      </c>
      <c r="D1637" s="84">
        <v>9</v>
      </c>
      <c r="E1637">
        <v>50</v>
      </c>
      <c r="F1637" s="85">
        <v>0</v>
      </c>
      <c r="G1637" s="86">
        <f t="shared" si="125"/>
        <v>450</v>
      </c>
      <c r="H1637" s="86">
        <f t="shared" si="126"/>
        <v>0</v>
      </c>
      <c r="I1637" s="86">
        <f t="shared" si="127"/>
        <v>450</v>
      </c>
      <c r="J1637" s="84">
        <f>VLOOKUP(C1637, Products[], 6)</f>
        <v>9</v>
      </c>
      <c r="K1637" s="86">
        <f t="shared" si="128"/>
        <v>450</v>
      </c>
      <c r="L1637" s="86">
        <f t="shared" si="129"/>
        <v>0</v>
      </c>
    </row>
    <row r="1638" spans="2:12" x14ac:dyDescent="0.2">
      <c r="B1638">
        <v>10869</v>
      </c>
      <c r="C1638">
        <v>68</v>
      </c>
      <c r="D1638" s="84">
        <v>12.5</v>
      </c>
      <c r="E1638">
        <v>20</v>
      </c>
      <c r="F1638" s="85">
        <v>0</v>
      </c>
      <c r="G1638" s="86">
        <f t="shared" si="125"/>
        <v>250</v>
      </c>
      <c r="H1638" s="86">
        <f t="shared" si="126"/>
        <v>0</v>
      </c>
      <c r="I1638" s="86">
        <f t="shared" si="127"/>
        <v>250</v>
      </c>
      <c r="J1638" s="84">
        <f>VLOOKUP(C1638, Products[], 6)</f>
        <v>12.5</v>
      </c>
      <c r="K1638" s="86">
        <f t="shared" si="128"/>
        <v>250</v>
      </c>
      <c r="L1638" s="86">
        <f t="shared" si="129"/>
        <v>0</v>
      </c>
    </row>
    <row r="1639" spans="2:12" x14ac:dyDescent="0.2">
      <c r="B1639">
        <v>10870</v>
      </c>
      <c r="C1639">
        <v>35</v>
      </c>
      <c r="D1639" s="84">
        <v>18</v>
      </c>
      <c r="E1639">
        <v>3</v>
      </c>
      <c r="F1639" s="85">
        <v>0</v>
      </c>
      <c r="G1639" s="86">
        <f t="shared" si="125"/>
        <v>54</v>
      </c>
      <c r="H1639" s="86">
        <f t="shared" si="126"/>
        <v>0</v>
      </c>
      <c r="I1639" s="86">
        <f t="shared" si="127"/>
        <v>54</v>
      </c>
      <c r="J1639" s="84">
        <f>VLOOKUP(C1639, Products[], 6)</f>
        <v>18</v>
      </c>
      <c r="K1639" s="86">
        <f t="shared" si="128"/>
        <v>54</v>
      </c>
      <c r="L1639" s="86">
        <f t="shared" si="129"/>
        <v>0</v>
      </c>
    </row>
    <row r="1640" spans="2:12" x14ac:dyDescent="0.2">
      <c r="B1640">
        <v>10870</v>
      </c>
      <c r="C1640">
        <v>51</v>
      </c>
      <c r="D1640" s="84">
        <v>53</v>
      </c>
      <c r="E1640">
        <v>2</v>
      </c>
      <c r="F1640" s="85">
        <v>0</v>
      </c>
      <c r="G1640" s="86">
        <f t="shared" si="125"/>
        <v>106</v>
      </c>
      <c r="H1640" s="86">
        <f t="shared" si="126"/>
        <v>0</v>
      </c>
      <c r="I1640" s="86">
        <f t="shared" si="127"/>
        <v>106</v>
      </c>
      <c r="J1640" s="84">
        <f>VLOOKUP(C1640, Products[], 6)</f>
        <v>53</v>
      </c>
      <c r="K1640" s="86">
        <f t="shared" si="128"/>
        <v>106</v>
      </c>
      <c r="L1640" s="86">
        <f t="shared" si="129"/>
        <v>0</v>
      </c>
    </row>
    <row r="1641" spans="2:12" x14ac:dyDescent="0.2">
      <c r="B1641">
        <v>10871</v>
      </c>
      <c r="C1641">
        <v>6</v>
      </c>
      <c r="D1641" s="84">
        <v>25</v>
      </c>
      <c r="E1641">
        <v>50</v>
      </c>
      <c r="F1641" s="85">
        <v>0.05</v>
      </c>
      <c r="G1641" s="86">
        <f t="shared" si="125"/>
        <v>1250</v>
      </c>
      <c r="H1641" s="86">
        <f t="shared" si="126"/>
        <v>62.5</v>
      </c>
      <c r="I1641" s="86">
        <f t="shared" si="127"/>
        <v>1187.5</v>
      </c>
      <c r="J1641" s="84">
        <f>VLOOKUP(C1641, Products[], 6)</f>
        <v>25</v>
      </c>
      <c r="K1641" s="86">
        <f t="shared" si="128"/>
        <v>1250</v>
      </c>
      <c r="L1641" s="86">
        <f t="shared" si="129"/>
        <v>-62.5</v>
      </c>
    </row>
    <row r="1642" spans="2:12" x14ac:dyDescent="0.2">
      <c r="B1642">
        <v>10871</v>
      </c>
      <c r="C1642">
        <v>16</v>
      </c>
      <c r="D1642" s="84">
        <v>17.45</v>
      </c>
      <c r="E1642">
        <v>12</v>
      </c>
      <c r="F1642" s="85">
        <v>0.05</v>
      </c>
      <c r="G1642" s="86">
        <f t="shared" si="125"/>
        <v>209.39999999999998</v>
      </c>
      <c r="H1642" s="86">
        <f t="shared" si="126"/>
        <v>10.469999999999999</v>
      </c>
      <c r="I1642" s="86">
        <f t="shared" si="127"/>
        <v>198.92999999999998</v>
      </c>
      <c r="J1642" s="84">
        <f>VLOOKUP(C1642, Products[], 6)</f>
        <v>17.45</v>
      </c>
      <c r="K1642" s="86">
        <f t="shared" si="128"/>
        <v>209.39999999999998</v>
      </c>
      <c r="L1642" s="86">
        <f t="shared" si="129"/>
        <v>-10.469999999999999</v>
      </c>
    </row>
    <row r="1643" spans="2:12" x14ac:dyDescent="0.2">
      <c r="B1643">
        <v>10871</v>
      </c>
      <c r="C1643">
        <v>17</v>
      </c>
      <c r="D1643" s="84">
        <v>39</v>
      </c>
      <c r="E1643">
        <v>16</v>
      </c>
      <c r="F1643" s="85">
        <v>0.05</v>
      </c>
      <c r="G1643" s="86">
        <f t="shared" si="125"/>
        <v>624</v>
      </c>
      <c r="H1643" s="86">
        <f t="shared" si="126"/>
        <v>31.200000000000003</v>
      </c>
      <c r="I1643" s="86">
        <f t="shared" si="127"/>
        <v>592.79999999999995</v>
      </c>
      <c r="J1643" s="84">
        <f>VLOOKUP(C1643, Products[], 6)</f>
        <v>39</v>
      </c>
      <c r="K1643" s="86">
        <f t="shared" si="128"/>
        <v>624</v>
      </c>
      <c r="L1643" s="86">
        <f t="shared" si="129"/>
        <v>-31.200000000000045</v>
      </c>
    </row>
    <row r="1644" spans="2:12" x14ac:dyDescent="0.2">
      <c r="B1644">
        <v>10872</v>
      </c>
      <c r="C1644">
        <v>55</v>
      </c>
      <c r="D1644" s="84">
        <v>24</v>
      </c>
      <c r="E1644">
        <v>10</v>
      </c>
      <c r="F1644" s="85">
        <v>0.05</v>
      </c>
      <c r="G1644" s="86">
        <f t="shared" si="125"/>
        <v>240</v>
      </c>
      <c r="H1644" s="86">
        <f t="shared" si="126"/>
        <v>12</v>
      </c>
      <c r="I1644" s="86">
        <f t="shared" si="127"/>
        <v>228</v>
      </c>
      <c r="J1644" s="84">
        <f>VLOOKUP(C1644, Products[], 6)</f>
        <v>24</v>
      </c>
      <c r="K1644" s="86">
        <f t="shared" si="128"/>
        <v>240</v>
      </c>
      <c r="L1644" s="86">
        <f t="shared" si="129"/>
        <v>-12</v>
      </c>
    </row>
    <row r="1645" spans="2:12" x14ac:dyDescent="0.2">
      <c r="B1645">
        <v>10872</v>
      </c>
      <c r="C1645">
        <v>62</v>
      </c>
      <c r="D1645" s="84">
        <v>49.3</v>
      </c>
      <c r="E1645">
        <v>20</v>
      </c>
      <c r="F1645" s="85">
        <v>0.05</v>
      </c>
      <c r="G1645" s="86">
        <f t="shared" si="125"/>
        <v>986</v>
      </c>
      <c r="H1645" s="86">
        <f t="shared" si="126"/>
        <v>49.300000000000004</v>
      </c>
      <c r="I1645" s="86">
        <f t="shared" si="127"/>
        <v>936.7</v>
      </c>
      <c r="J1645" s="84">
        <f>VLOOKUP(C1645, Products[], 6)</f>
        <v>49.3</v>
      </c>
      <c r="K1645" s="86">
        <f t="shared" si="128"/>
        <v>986</v>
      </c>
      <c r="L1645" s="86">
        <f t="shared" si="129"/>
        <v>-49.299999999999955</v>
      </c>
    </row>
    <row r="1646" spans="2:12" x14ac:dyDescent="0.2">
      <c r="B1646">
        <v>10872</v>
      </c>
      <c r="C1646">
        <v>64</v>
      </c>
      <c r="D1646" s="84">
        <v>33.25</v>
      </c>
      <c r="E1646">
        <v>15</v>
      </c>
      <c r="F1646" s="85">
        <v>0.05</v>
      </c>
      <c r="G1646" s="86">
        <f t="shared" si="125"/>
        <v>498.75</v>
      </c>
      <c r="H1646" s="86">
        <f t="shared" si="126"/>
        <v>24.9375</v>
      </c>
      <c r="I1646" s="86">
        <f t="shared" si="127"/>
        <v>473.8125</v>
      </c>
      <c r="J1646" s="84">
        <f>VLOOKUP(C1646, Products[], 6)</f>
        <v>33.25</v>
      </c>
      <c r="K1646" s="86">
        <f t="shared" si="128"/>
        <v>498.75</v>
      </c>
      <c r="L1646" s="86">
        <f t="shared" si="129"/>
        <v>-24.9375</v>
      </c>
    </row>
    <row r="1647" spans="2:12" x14ac:dyDescent="0.2">
      <c r="B1647">
        <v>10872</v>
      </c>
      <c r="C1647">
        <v>65</v>
      </c>
      <c r="D1647" s="84">
        <v>21.05</v>
      </c>
      <c r="E1647">
        <v>21</v>
      </c>
      <c r="F1647" s="85">
        <v>0.05</v>
      </c>
      <c r="G1647" s="86">
        <f t="shared" si="125"/>
        <v>442.05</v>
      </c>
      <c r="H1647" s="86">
        <f t="shared" si="126"/>
        <v>22.102500000000003</v>
      </c>
      <c r="I1647" s="86">
        <f t="shared" si="127"/>
        <v>419.94749999999999</v>
      </c>
      <c r="J1647" s="84">
        <f>VLOOKUP(C1647, Products[], 6)</f>
        <v>21.05</v>
      </c>
      <c r="K1647" s="86">
        <f t="shared" si="128"/>
        <v>442.05</v>
      </c>
      <c r="L1647" s="86">
        <f t="shared" si="129"/>
        <v>-22.10250000000002</v>
      </c>
    </row>
    <row r="1648" spans="2:12" x14ac:dyDescent="0.2">
      <c r="B1648">
        <v>10873</v>
      </c>
      <c r="C1648">
        <v>21</v>
      </c>
      <c r="D1648" s="84">
        <v>10</v>
      </c>
      <c r="E1648">
        <v>20</v>
      </c>
      <c r="F1648" s="85">
        <v>0</v>
      </c>
      <c r="G1648" s="86">
        <f t="shared" si="125"/>
        <v>200</v>
      </c>
      <c r="H1648" s="86">
        <f t="shared" si="126"/>
        <v>0</v>
      </c>
      <c r="I1648" s="86">
        <f t="shared" si="127"/>
        <v>200</v>
      </c>
      <c r="J1648" s="84">
        <f>VLOOKUP(C1648, Products[], 6)</f>
        <v>10</v>
      </c>
      <c r="K1648" s="86">
        <f t="shared" si="128"/>
        <v>200</v>
      </c>
      <c r="L1648" s="86">
        <f t="shared" si="129"/>
        <v>0</v>
      </c>
    </row>
    <row r="1649" spans="2:12" x14ac:dyDescent="0.2">
      <c r="B1649">
        <v>10873</v>
      </c>
      <c r="C1649">
        <v>28</v>
      </c>
      <c r="D1649" s="84">
        <v>45.6</v>
      </c>
      <c r="E1649">
        <v>3</v>
      </c>
      <c r="F1649" s="85">
        <v>0</v>
      </c>
      <c r="G1649" s="86">
        <f t="shared" si="125"/>
        <v>136.80000000000001</v>
      </c>
      <c r="H1649" s="86">
        <f t="shared" si="126"/>
        <v>0</v>
      </c>
      <c r="I1649" s="86">
        <f t="shared" si="127"/>
        <v>136.80000000000001</v>
      </c>
      <c r="J1649" s="84">
        <f>VLOOKUP(C1649, Products[], 6)</f>
        <v>45.6</v>
      </c>
      <c r="K1649" s="86">
        <f t="shared" si="128"/>
        <v>136.80000000000001</v>
      </c>
      <c r="L1649" s="86">
        <f t="shared" si="129"/>
        <v>0</v>
      </c>
    </row>
    <row r="1650" spans="2:12" x14ac:dyDescent="0.2">
      <c r="B1650">
        <v>10874</v>
      </c>
      <c r="C1650">
        <v>10</v>
      </c>
      <c r="D1650" s="84">
        <v>31</v>
      </c>
      <c r="E1650">
        <v>10</v>
      </c>
      <c r="F1650" s="85">
        <v>0</v>
      </c>
      <c r="G1650" s="86">
        <f t="shared" si="125"/>
        <v>310</v>
      </c>
      <c r="H1650" s="86">
        <f t="shared" si="126"/>
        <v>0</v>
      </c>
      <c r="I1650" s="86">
        <f t="shared" si="127"/>
        <v>310</v>
      </c>
      <c r="J1650" s="84">
        <f>VLOOKUP(C1650, Products[], 6)</f>
        <v>31</v>
      </c>
      <c r="K1650" s="86">
        <f t="shared" si="128"/>
        <v>310</v>
      </c>
      <c r="L1650" s="86">
        <f t="shared" si="129"/>
        <v>0</v>
      </c>
    </row>
    <row r="1651" spans="2:12" x14ac:dyDescent="0.2">
      <c r="B1651">
        <v>10875</v>
      </c>
      <c r="C1651">
        <v>19</v>
      </c>
      <c r="D1651" s="84">
        <v>9.1999999999999993</v>
      </c>
      <c r="E1651">
        <v>25</v>
      </c>
      <c r="F1651" s="85">
        <v>0</v>
      </c>
      <c r="G1651" s="86">
        <f t="shared" si="125"/>
        <v>229.99999999999997</v>
      </c>
      <c r="H1651" s="86">
        <f t="shared" si="126"/>
        <v>0</v>
      </c>
      <c r="I1651" s="86">
        <f t="shared" si="127"/>
        <v>229.99999999999997</v>
      </c>
      <c r="J1651" s="84">
        <f>VLOOKUP(C1651, Products[], 6)</f>
        <v>9.1999999999999993</v>
      </c>
      <c r="K1651" s="86">
        <f t="shared" si="128"/>
        <v>229.99999999999997</v>
      </c>
      <c r="L1651" s="86">
        <f t="shared" si="129"/>
        <v>0</v>
      </c>
    </row>
    <row r="1652" spans="2:12" x14ac:dyDescent="0.2">
      <c r="B1652">
        <v>10875</v>
      </c>
      <c r="C1652">
        <v>47</v>
      </c>
      <c r="D1652" s="84">
        <v>9.5</v>
      </c>
      <c r="E1652">
        <v>21</v>
      </c>
      <c r="F1652" s="85">
        <v>0.1</v>
      </c>
      <c r="G1652" s="86">
        <f t="shared" si="125"/>
        <v>199.5</v>
      </c>
      <c r="H1652" s="86">
        <f t="shared" si="126"/>
        <v>19.950000000000003</v>
      </c>
      <c r="I1652" s="86">
        <f t="shared" si="127"/>
        <v>179.55</v>
      </c>
      <c r="J1652" s="84">
        <f>VLOOKUP(C1652, Products[], 6)</f>
        <v>9.5</v>
      </c>
      <c r="K1652" s="86">
        <f t="shared" si="128"/>
        <v>199.5</v>
      </c>
      <c r="L1652" s="86">
        <f t="shared" si="129"/>
        <v>-19.949999999999989</v>
      </c>
    </row>
    <row r="1653" spans="2:12" x14ac:dyDescent="0.2">
      <c r="B1653">
        <v>10875</v>
      </c>
      <c r="C1653">
        <v>49</v>
      </c>
      <c r="D1653" s="84">
        <v>20</v>
      </c>
      <c r="E1653">
        <v>15</v>
      </c>
      <c r="F1653" s="85">
        <v>0</v>
      </c>
      <c r="G1653" s="86">
        <f t="shared" si="125"/>
        <v>300</v>
      </c>
      <c r="H1653" s="86">
        <f t="shared" si="126"/>
        <v>0</v>
      </c>
      <c r="I1653" s="86">
        <f t="shared" si="127"/>
        <v>300</v>
      </c>
      <c r="J1653" s="84">
        <f>VLOOKUP(C1653, Products[], 6)</f>
        <v>20</v>
      </c>
      <c r="K1653" s="86">
        <f t="shared" si="128"/>
        <v>300</v>
      </c>
      <c r="L1653" s="86">
        <f t="shared" si="129"/>
        <v>0</v>
      </c>
    </row>
    <row r="1654" spans="2:12" x14ac:dyDescent="0.2">
      <c r="B1654">
        <v>10876</v>
      </c>
      <c r="C1654">
        <v>46</v>
      </c>
      <c r="D1654" s="84">
        <v>12</v>
      </c>
      <c r="E1654">
        <v>21</v>
      </c>
      <c r="F1654" s="85">
        <v>0</v>
      </c>
      <c r="G1654" s="86">
        <f t="shared" si="125"/>
        <v>252</v>
      </c>
      <c r="H1654" s="86">
        <f t="shared" si="126"/>
        <v>0</v>
      </c>
      <c r="I1654" s="86">
        <f t="shared" si="127"/>
        <v>252</v>
      </c>
      <c r="J1654" s="84">
        <f>VLOOKUP(C1654, Products[], 6)</f>
        <v>12</v>
      </c>
      <c r="K1654" s="86">
        <f t="shared" si="128"/>
        <v>252</v>
      </c>
      <c r="L1654" s="86">
        <f t="shared" si="129"/>
        <v>0</v>
      </c>
    </row>
    <row r="1655" spans="2:12" x14ac:dyDescent="0.2">
      <c r="B1655">
        <v>10876</v>
      </c>
      <c r="C1655">
        <v>64</v>
      </c>
      <c r="D1655" s="84">
        <v>33.25</v>
      </c>
      <c r="E1655">
        <v>20</v>
      </c>
      <c r="F1655" s="85">
        <v>0</v>
      </c>
      <c r="G1655" s="86">
        <f t="shared" si="125"/>
        <v>665</v>
      </c>
      <c r="H1655" s="86">
        <f t="shared" si="126"/>
        <v>0</v>
      </c>
      <c r="I1655" s="86">
        <f t="shared" si="127"/>
        <v>665</v>
      </c>
      <c r="J1655" s="84">
        <f>VLOOKUP(C1655, Products[], 6)</f>
        <v>33.25</v>
      </c>
      <c r="K1655" s="86">
        <f t="shared" si="128"/>
        <v>665</v>
      </c>
      <c r="L1655" s="86">
        <f t="shared" si="129"/>
        <v>0</v>
      </c>
    </row>
    <row r="1656" spans="2:12" x14ac:dyDescent="0.2">
      <c r="B1656">
        <v>10877</v>
      </c>
      <c r="C1656">
        <v>16</v>
      </c>
      <c r="D1656" s="84">
        <v>17.45</v>
      </c>
      <c r="E1656">
        <v>30</v>
      </c>
      <c r="F1656" s="85">
        <v>0.25</v>
      </c>
      <c r="G1656" s="86">
        <f t="shared" si="125"/>
        <v>523.5</v>
      </c>
      <c r="H1656" s="86">
        <f t="shared" si="126"/>
        <v>130.875</v>
      </c>
      <c r="I1656" s="86">
        <f t="shared" si="127"/>
        <v>392.625</v>
      </c>
      <c r="J1656" s="84">
        <f>VLOOKUP(C1656, Products[], 6)</f>
        <v>17.45</v>
      </c>
      <c r="K1656" s="86">
        <f t="shared" si="128"/>
        <v>523.5</v>
      </c>
      <c r="L1656" s="86">
        <f t="shared" si="129"/>
        <v>-130.875</v>
      </c>
    </row>
    <row r="1657" spans="2:12" x14ac:dyDescent="0.2">
      <c r="B1657">
        <v>10877</v>
      </c>
      <c r="C1657">
        <v>18</v>
      </c>
      <c r="D1657" s="84">
        <v>62.5</v>
      </c>
      <c r="E1657">
        <v>25</v>
      </c>
      <c r="F1657" s="85">
        <v>0</v>
      </c>
      <c r="G1657" s="86">
        <f t="shared" si="125"/>
        <v>1562.5</v>
      </c>
      <c r="H1657" s="86">
        <f t="shared" si="126"/>
        <v>0</v>
      </c>
      <c r="I1657" s="86">
        <f t="shared" si="127"/>
        <v>1562.5</v>
      </c>
      <c r="J1657" s="84">
        <f>VLOOKUP(C1657, Products[], 6)</f>
        <v>62.5</v>
      </c>
      <c r="K1657" s="86">
        <f t="shared" si="128"/>
        <v>1562.5</v>
      </c>
      <c r="L1657" s="86">
        <f t="shared" si="129"/>
        <v>0</v>
      </c>
    </row>
    <row r="1658" spans="2:12" x14ac:dyDescent="0.2">
      <c r="B1658">
        <v>10878</v>
      </c>
      <c r="C1658">
        <v>20</v>
      </c>
      <c r="D1658" s="84">
        <v>81</v>
      </c>
      <c r="E1658">
        <v>20</v>
      </c>
      <c r="F1658" s="85">
        <v>0.05</v>
      </c>
      <c r="G1658" s="86">
        <f t="shared" si="125"/>
        <v>1620</v>
      </c>
      <c r="H1658" s="86">
        <f t="shared" si="126"/>
        <v>81</v>
      </c>
      <c r="I1658" s="86">
        <f t="shared" si="127"/>
        <v>1539</v>
      </c>
      <c r="J1658" s="84">
        <f>VLOOKUP(C1658, Products[], 6)</f>
        <v>81</v>
      </c>
      <c r="K1658" s="86">
        <f t="shared" si="128"/>
        <v>1620</v>
      </c>
      <c r="L1658" s="86">
        <f t="shared" si="129"/>
        <v>-81</v>
      </c>
    </row>
    <row r="1659" spans="2:12" x14ac:dyDescent="0.2">
      <c r="B1659">
        <v>10879</v>
      </c>
      <c r="C1659">
        <v>40</v>
      </c>
      <c r="D1659" s="84">
        <v>18.399999999999999</v>
      </c>
      <c r="E1659">
        <v>12</v>
      </c>
      <c r="F1659" s="85">
        <v>0</v>
      </c>
      <c r="G1659" s="86">
        <f t="shared" si="125"/>
        <v>220.79999999999998</v>
      </c>
      <c r="H1659" s="86">
        <f t="shared" si="126"/>
        <v>0</v>
      </c>
      <c r="I1659" s="86">
        <f t="shared" si="127"/>
        <v>220.79999999999998</v>
      </c>
      <c r="J1659" s="84">
        <f>VLOOKUP(C1659, Products[], 6)</f>
        <v>18.399999999999999</v>
      </c>
      <c r="K1659" s="86">
        <f t="shared" si="128"/>
        <v>220.79999999999998</v>
      </c>
      <c r="L1659" s="86">
        <f t="shared" si="129"/>
        <v>0</v>
      </c>
    </row>
    <row r="1660" spans="2:12" x14ac:dyDescent="0.2">
      <c r="B1660">
        <v>10879</v>
      </c>
      <c r="C1660">
        <v>65</v>
      </c>
      <c r="D1660" s="84">
        <v>21.05</v>
      </c>
      <c r="E1660">
        <v>10</v>
      </c>
      <c r="F1660" s="85">
        <v>0</v>
      </c>
      <c r="G1660" s="86">
        <f t="shared" si="125"/>
        <v>210.5</v>
      </c>
      <c r="H1660" s="86">
        <f t="shared" si="126"/>
        <v>0</v>
      </c>
      <c r="I1660" s="86">
        <f t="shared" si="127"/>
        <v>210.5</v>
      </c>
      <c r="J1660" s="84">
        <f>VLOOKUP(C1660, Products[], 6)</f>
        <v>21.05</v>
      </c>
      <c r="K1660" s="86">
        <f t="shared" si="128"/>
        <v>210.5</v>
      </c>
      <c r="L1660" s="86">
        <f t="shared" si="129"/>
        <v>0</v>
      </c>
    </row>
    <row r="1661" spans="2:12" x14ac:dyDescent="0.2">
      <c r="B1661">
        <v>10879</v>
      </c>
      <c r="C1661">
        <v>76</v>
      </c>
      <c r="D1661" s="84">
        <v>18</v>
      </c>
      <c r="E1661">
        <v>10</v>
      </c>
      <c r="F1661" s="85">
        <v>0</v>
      </c>
      <c r="G1661" s="86">
        <f t="shared" si="125"/>
        <v>180</v>
      </c>
      <c r="H1661" s="86">
        <f t="shared" si="126"/>
        <v>0</v>
      </c>
      <c r="I1661" s="86">
        <f t="shared" si="127"/>
        <v>180</v>
      </c>
      <c r="J1661" s="84">
        <f>VLOOKUP(C1661, Products[], 6)</f>
        <v>18</v>
      </c>
      <c r="K1661" s="86">
        <f t="shared" si="128"/>
        <v>180</v>
      </c>
      <c r="L1661" s="86">
        <f t="shared" si="129"/>
        <v>0</v>
      </c>
    </row>
    <row r="1662" spans="2:12" x14ac:dyDescent="0.2">
      <c r="B1662">
        <v>10880</v>
      </c>
      <c r="C1662">
        <v>23</v>
      </c>
      <c r="D1662" s="84">
        <v>9</v>
      </c>
      <c r="E1662">
        <v>30</v>
      </c>
      <c r="F1662" s="85">
        <v>0.2</v>
      </c>
      <c r="G1662" s="86">
        <f t="shared" si="125"/>
        <v>270</v>
      </c>
      <c r="H1662" s="86">
        <f t="shared" si="126"/>
        <v>54</v>
      </c>
      <c r="I1662" s="86">
        <f t="shared" si="127"/>
        <v>216</v>
      </c>
      <c r="J1662" s="84">
        <f>VLOOKUP(C1662, Products[], 6)</f>
        <v>9</v>
      </c>
      <c r="K1662" s="86">
        <f t="shared" si="128"/>
        <v>270</v>
      </c>
      <c r="L1662" s="86">
        <f t="shared" si="129"/>
        <v>-54</v>
      </c>
    </row>
    <row r="1663" spans="2:12" x14ac:dyDescent="0.2">
      <c r="B1663">
        <v>10880</v>
      </c>
      <c r="C1663">
        <v>61</v>
      </c>
      <c r="D1663" s="84">
        <v>28.5</v>
      </c>
      <c r="E1663">
        <v>30</v>
      </c>
      <c r="F1663" s="85">
        <v>0.2</v>
      </c>
      <c r="G1663" s="86">
        <f t="shared" si="125"/>
        <v>855</v>
      </c>
      <c r="H1663" s="86">
        <f t="shared" si="126"/>
        <v>171</v>
      </c>
      <c r="I1663" s="86">
        <f t="shared" si="127"/>
        <v>684</v>
      </c>
      <c r="J1663" s="84">
        <f>VLOOKUP(C1663, Products[], 6)</f>
        <v>28.5</v>
      </c>
      <c r="K1663" s="86">
        <f t="shared" si="128"/>
        <v>855</v>
      </c>
      <c r="L1663" s="86">
        <f t="shared" si="129"/>
        <v>-171</v>
      </c>
    </row>
    <row r="1664" spans="2:12" x14ac:dyDescent="0.2">
      <c r="B1664">
        <v>10880</v>
      </c>
      <c r="C1664">
        <v>70</v>
      </c>
      <c r="D1664" s="84">
        <v>15</v>
      </c>
      <c r="E1664">
        <v>50</v>
      </c>
      <c r="F1664" s="85">
        <v>0.2</v>
      </c>
      <c r="G1664" s="86">
        <f t="shared" si="125"/>
        <v>750</v>
      </c>
      <c r="H1664" s="86">
        <f t="shared" si="126"/>
        <v>150</v>
      </c>
      <c r="I1664" s="86">
        <f t="shared" si="127"/>
        <v>600</v>
      </c>
      <c r="J1664" s="84">
        <f>VLOOKUP(C1664, Products[], 6)</f>
        <v>15</v>
      </c>
      <c r="K1664" s="86">
        <f t="shared" si="128"/>
        <v>750</v>
      </c>
      <c r="L1664" s="86">
        <f t="shared" si="129"/>
        <v>-150</v>
      </c>
    </row>
    <row r="1665" spans="2:12" x14ac:dyDescent="0.2">
      <c r="B1665">
        <v>10881</v>
      </c>
      <c r="C1665">
        <v>73</v>
      </c>
      <c r="D1665" s="84">
        <v>15</v>
      </c>
      <c r="E1665">
        <v>10</v>
      </c>
      <c r="F1665" s="85">
        <v>0</v>
      </c>
      <c r="G1665" s="86">
        <f t="shared" si="125"/>
        <v>150</v>
      </c>
      <c r="H1665" s="86">
        <f t="shared" si="126"/>
        <v>0</v>
      </c>
      <c r="I1665" s="86">
        <f t="shared" si="127"/>
        <v>150</v>
      </c>
      <c r="J1665" s="84">
        <f>VLOOKUP(C1665, Products[], 6)</f>
        <v>15</v>
      </c>
      <c r="K1665" s="86">
        <f t="shared" si="128"/>
        <v>150</v>
      </c>
      <c r="L1665" s="86">
        <f t="shared" si="129"/>
        <v>0</v>
      </c>
    </row>
    <row r="1666" spans="2:12" x14ac:dyDescent="0.2">
      <c r="B1666">
        <v>10882</v>
      </c>
      <c r="C1666">
        <v>42</v>
      </c>
      <c r="D1666" s="84">
        <v>14</v>
      </c>
      <c r="E1666">
        <v>25</v>
      </c>
      <c r="F1666" s="85">
        <v>0</v>
      </c>
      <c r="G1666" s="86">
        <f t="shared" si="125"/>
        <v>350</v>
      </c>
      <c r="H1666" s="86">
        <f t="shared" si="126"/>
        <v>0</v>
      </c>
      <c r="I1666" s="86">
        <f t="shared" si="127"/>
        <v>350</v>
      </c>
      <c r="J1666" s="84">
        <f>VLOOKUP(C1666, Products[], 6)</f>
        <v>14</v>
      </c>
      <c r="K1666" s="86">
        <f t="shared" si="128"/>
        <v>350</v>
      </c>
      <c r="L1666" s="86">
        <f t="shared" si="129"/>
        <v>0</v>
      </c>
    </row>
    <row r="1667" spans="2:12" x14ac:dyDescent="0.2">
      <c r="B1667">
        <v>10882</v>
      </c>
      <c r="C1667">
        <v>49</v>
      </c>
      <c r="D1667" s="84">
        <v>20</v>
      </c>
      <c r="E1667">
        <v>20</v>
      </c>
      <c r="F1667" s="85">
        <v>0.15</v>
      </c>
      <c r="G1667" s="86">
        <f t="shared" si="125"/>
        <v>400</v>
      </c>
      <c r="H1667" s="86">
        <f t="shared" si="126"/>
        <v>60</v>
      </c>
      <c r="I1667" s="86">
        <f t="shared" si="127"/>
        <v>340</v>
      </c>
      <c r="J1667" s="84">
        <f>VLOOKUP(C1667, Products[], 6)</f>
        <v>20</v>
      </c>
      <c r="K1667" s="86">
        <f t="shared" si="128"/>
        <v>400</v>
      </c>
      <c r="L1667" s="86">
        <f t="shared" si="129"/>
        <v>-60</v>
      </c>
    </row>
    <row r="1668" spans="2:12" x14ac:dyDescent="0.2">
      <c r="B1668">
        <v>10882</v>
      </c>
      <c r="C1668">
        <v>54</v>
      </c>
      <c r="D1668" s="84">
        <v>7.45</v>
      </c>
      <c r="E1668">
        <v>32</v>
      </c>
      <c r="F1668" s="85">
        <v>0.15</v>
      </c>
      <c r="G1668" s="86">
        <f t="shared" si="125"/>
        <v>238.4</v>
      </c>
      <c r="H1668" s="86">
        <f t="shared" si="126"/>
        <v>35.76</v>
      </c>
      <c r="I1668" s="86">
        <f t="shared" si="127"/>
        <v>202.64000000000001</v>
      </c>
      <c r="J1668" s="84">
        <f>VLOOKUP(C1668, Products[], 6)</f>
        <v>7.45</v>
      </c>
      <c r="K1668" s="86">
        <f t="shared" si="128"/>
        <v>238.4</v>
      </c>
      <c r="L1668" s="86">
        <f t="shared" si="129"/>
        <v>-35.759999999999991</v>
      </c>
    </row>
    <row r="1669" spans="2:12" x14ac:dyDescent="0.2">
      <c r="B1669">
        <v>10883</v>
      </c>
      <c r="C1669">
        <v>24</v>
      </c>
      <c r="D1669" s="84">
        <v>4.5</v>
      </c>
      <c r="E1669">
        <v>8</v>
      </c>
      <c r="F1669" s="85">
        <v>0</v>
      </c>
      <c r="G1669" s="86">
        <f t="shared" si="125"/>
        <v>36</v>
      </c>
      <c r="H1669" s="86">
        <f t="shared" si="126"/>
        <v>0</v>
      </c>
      <c r="I1669" s="86">
        <f t="shared" si="127"/>
        <v>36</v>
      </c>
      <c r="J1669" s="84">
        <f>VLOOKUP(C1669, Products[], 6)</f>
        <v>4.5</v>
      </c>
      <c r="K1669" s="86">
        <f t="shared" si="128"/>
        <v>36</v>
      </c>
      <c r="L1669" s="86">
        <f t="shared" si="129"/>
        <v>0</v>
      </c>
    </row>
    <row r="1670" spans="2:12" x14ac:dyDescent="0.2">
      <c r="B1670">
        <v>10884</v>
      </c>
      <c r="C1670">
        <v>21</v>
      </c>
      <c r="D1670" s="84">
        <v>10</v>
      </c>
      <c r="E1670">
        <v>40</v>
      </c>
      <c r="F1670" s="85">
        <v>0.05</v>
      </c>
      <c r="G1670" s="86">
        <f t="shared" si="125"/>
        <v>400</v>
      </c>
      <c r="H1670" s="86">
        <f t="shared" si="126"/>
        <v>20</v>
      </c>
      <c r="I1670" s="86">
        <f t="shared" si="127"/>
        <v>380</v>
      </c>
      <c r="J1670" s="84">
        <f>VLOOKUP(C1670, Products[], 6)</f>
        <v>10</v>
      </c>
      <c r="K1670" s="86">
        <f t="shared" si="128"/>
        <v>400</v>
      </c>
      <c r="L1670" s="86">
        <f t="shared" si="129"/>
        <v>-20</v>
      </c>
    </row>
    <row r="1671" spans="2:12" x14ac:dyDescent="0.2">
      <c r="B1671">
        <v>10884</v>
      </c>
      <c r="C1671">
        <v>56</v>
      </c>
      <c r="D1671" s="84">
        <v>38</v>
      </c>
      <c r="E1671">
        <v>21</v>
      </c>
      <c r="F1671" s="85">
        <v>0.05</v>
      </c>
      <c r="G1671" s="86">
        <f t="shared" ref="G1671:G1734" si="130">D1671*E1671</f>
        <v>798</v>
      </c>
      <c r="H1671" s="86">
        <f t="shared" ref="H1671:H1734" si="131">G1671*F1671</f>
        <v>39.900000000000006</v>
      </c>
      <c r="I1671" s="86">
        <f t="shared" ref="I1671:I1734" si="132">G1671-H1671</f>
        <v>758.1</v>
      </c>
      <c r="J1671" s="84">
        <f>VLOOKUP(C1671, Products[], 6)</f>
        <v>38</v>
      </c>
      <c r="K1671" s="86">
        <f t="shared" ref="K1671:K1734" si="133">J1671*E1671</f>
        <v>798</v>
      </c>
      <c r="L1671" s="86">
        <f t="shared" ref="L1671:L1734" si="134">I1671-K1671</f>
        <v>-39.899999999999977</v>
      </c>
    </row>
    <row r="1672" spans="2:12" x14ac:dyDescent="0.2">
      <c r="B1672">
        <v>10884</v>
      </c>
      <c r="C1672">
        <v>65</v>
      </c>
      <c r="D1672" s="84">
        <v>21.05</v>
      </c>
      <c r="E1672">
        <v>12</v>
      </c>
      <c r="F1672" s="85">
        <v>0.05</v>
      </c>
      <c r="G1672" s="86">
        <f t="shared" si="130"/>
        <v>252.60000000000002</v>
      </c>
      <c r="H1672" s="86">
        <f t="shared" si="131"/>
        <v>12.630000000000003</v>
      </c>
      <c r="I1672" s="86">
        <f t="shared" si="132"/>
        <v>239.97000000000003</v>
      </c>
      <c r="J1672" s="84">
        <f>VLOOKUP(C1672, Products[], 6)</f>
        <v>21.05</v>
      </c>
      <c r="K1672" s="86">
        <f t="shared" si="133"/>
        <v>252.60000000000002</v>
      </c>
      <c r="L1672" s="86">
        <f t="shared" si="134"/>
        <v>-12.629999999999995</v>
      </c>
    </row>
    <row r="1673" spans="2:12" x14ac:dyDescent="0.2">
      <c r="B1673">
        <v>10885</v>
      </c>
      <c r="C1673">
        <v>2</v>
      </c>
      <c r="D1673" s="84">
        <v>19</v>
      </c>
      <c r="E1673">
        <v>20</v>
      </c>
      <c r="F1673" s="85">
        <v>0</v>
      </c>
      <c r="G1673" s="86">
        <f t="shared" si="130"/>
        <v>380</v>
      </c>
      <c r="H1673" s="86">
        <f t="shared" si="131"/>
        <v>0</v>
      </c>
      <c r="I1673" s="86">
        <f t="shared" si="132"/>
        <v>380</v>
      </c>
      <c r="J1673" s="84">
        <f>VLOOKUP(C1673, Products[], 6)</f>
        <v>19</v>
      </c>
      <c r="K1673" s="86">
        <f t="shared" si="133"/>
        <v>380</v>
      </c>
      <c r="L1673" s="86">
        <f t="shared" si="134"/>
        <v>0</v>
      </c>
    </row>
    <row r="1674" spans="2:12" x14ac:dyDescent="0.2">
      <c r="B1674">
        <v>10885</v>
      </c>
      <c r="C1674">
        <v>24</v>
      </c>
      <c r="D1674" s="84">
        <v>4.5</v>
      </c>
      <c r="E1674">
        <v>12</v>
      </c>
      <c r="F1674" s="85">
        <v>0</v>
      </c>
      <c r="G1674" s="86">
        <f t="shared" si="130"/>
        <v>54</v>
      </c>
      <c r="H1674" s="86">
        <f t="shared" si="131"/>
        <v>0</v>
      </c>
      <c r="I1674" s="86">
        <f t="shared" si="132"/>
        <v>54</v>
      </c>
      <c r="J1674" s="84">
        <f>VLOOKUP(C1674, Products[], 6)</f>
        <v>4.5</v>
      </c>
      <c r="K1674" s="86">
        <f t="shared" si="133"/>
        <v>54</v>
      </c>
      <c r="L1674" s="86">
        <f t="shared" si="134"/>
        <v>0</v>
      </c>
    </row>
    <row r="1675" spans="2:12" x14ac:dyDescent="0.2">
      <c r="B1675">
        <v>10885</v>
      </c>
      <c r="C1675">
        <v>70</v>
      </c>
      <c r="D1675" s="84">
        <v>15</v>
      </c>
      <c r="E1675">
        <v>30</v>
      </c>
      <c r="F1675" s="85">
        <v>0</v>
      </c>
      <c r="G1675" s="86">
        <f t="shared" si="130"/>
        <v>450</v>
      </c>
      <c r="H1675" s="86">
        <f t="shared" si="131"/>
        <v>0</v>
      </c>
      <c r="I1675" s="86">
        <f t="shared" si="132"/>
        <v>450</v>
      </c>
      <c r="J1675" s="84">
        <f>VLOOKUP(C1675, Products[], 6)</f>
        <v>15</v>
      </c>
      <c r="K1675" s="86">
        <f t="shared" si="133"/>
        <v>450</v>
      </c>
      <c r="L1675" s="86">
        <f t="shared" si="134"/>
        <v>0</v>
      </c>
    </row>
    <row r="1676" spans="2:12" x14ac:dyDescent="0.2">
      <c r="B1676">
        <v>10885</v>
      </c>
      <c r="C1676">
        <v>77</v>
      </c>
      <c r="D1676" s="84">
        <v>13</v>
      </c>
      <c r="E1676">
        <v>25</v>
      </c>
      <c r="F1676" s="85">
        <v>0</v>
      </c>
      <c r="G1676" s="86">
        <f t="shared" si="130"/>
        <v>325</v>
      </c>
      <c r="H1676" s="86">
        <f t="shared" si="131"/>
        <v>0</v>
      </c>
      <c r="I1676" s="86">
        <f t="shared" si="132"/>
        <v>325</v>
      </c>
      <c r="J1676" s="84">
        <f>VLOOKUP(C1676, Products[], 6)</f>
        <v>13</v>
      </c>
      <c r="K1676" s="86">
        <f t="shared" si="133"/>
        <v>325</v>
      </c>
      <c r="L1676" s="86">
        <f t="shared" si="134"/>
        <v>0</v>
      </c>
    </row>
    <row r="1677" spans="2:12" x14ac:dyDescent="0.2">
      <c r="B1677">
        <v>10886</v>
      </c>
      <c r="C1677">
        <v>10</v>
      </c>
      <c r="D1677" s="84">
        <v>31</v>
      </c>
      <c r="E1677">
        <v>70</v>
      </c>
      <c r="F1677" s="85">
        <v>0</v>
      </c>
      <c r="G1677" s="86">
        <f t="shared" si="130"/>
        <v>2170</v>
      </c>
      <c r="H1677" s="86">
        <f t="shared" si="131"/>
        <v>0</v>
      </c>
      <c r="I1677" s="86">
        <f t="shared" si="132"/>
        <v>2170</v>
      </c>
      <c r="J1677" s="84">
        <f>VLOOKUP(C1677, Products[], 6)</f>
        <v>31</v>
      </c>
      <c r="K1677" s="86">
        <f t="shared" si="133"/>
        <v>2170</v>
      </c>
      <c r="L1677" s="86">
        <f t="shared" si="134"/>
        <v>0</v>
      </c>
    </row>
    <row r="1678" spans="2:12" x14ac:dyDescent="0.2">
      <c r="B1678">
        <v>10886</v>
      </c>
      <c r="C1678">
        <v>31</v>
      </c>
      <c r="D1678" s="84">
        <v>12.5</v>
      </c>
      <c r="E1678">
        <v>35</v>
      </c>
      <c r="F1678" s="85">
        <v>0</v>
      </c>
      <c r="G1678" s="86">
        <f t="shared" si="130"/>
        <v>437.5</v>
      </c>
      <c r="H1678" s="86">
        <f t="shared" si="131"/>
        <v>0</v>
      </c>
      <c r="I1678" s="86">
        <f t="shared" si="132"/>
        <v>437.5</v>
      </c>
      <c r="J1678" s="84">
        <f>VLOOKUP(C1678, Products[], 6)</f>
        <v>12.5</v>
      </c>
      <c r="K1678" s="86">
        <f t="shared" si="133"/>
        <v>437.5</v>
      </c>
      <c r="L1678" s="86">
        <f t="shared" si="134"/>
        <v>0</v>
      </c>
    </row>
    <row r="1679" spans="2:12" x14ac:dyDescent="0.2">
      <c r="B1679">
        <v>10886</v>
      </c>
      <c r="C1679">
        <v>77</v>
      </c>
      <c r="D1679" s="84">
        <v>13</v>
      </c>
      <c r="E1679">
        <v>40</v>
      </c>
      <c r="F1679" s="85">
        <v>0</v>
      </c>
      <c r="G1679" s="86">
        <f t="shared" si="130"/>
        <v>520</v>
      </c>
      <c r="H1679" s="86">
        <f t="shared" si="131"/>
        <v>0</v>
      </c>
      <c r="I1679" s="86">
        <f t="shared" si="132"/>
        <v>520</v>
      </c>
      <c r="J1679" s="84">
        <f>VLOOKUP(C1679, Products[], 6)</f>
        <v>13</v>
      </c>
      <c r="K1679" s="86">
        <f t="shared" si="133"/>
        <v>520</v>
      </c>
      <c r="L1679" s="86">
        <f t="shared" si="134"/>
        <v>0</v>
      </c>
    </row>
    <row r="1680" spans="2:12" x14ac:dyDescent="0.2">
      <c r="B1680">
        <v>10887</v>
      </c>
      <c r="C1680">
        <v>25</v>
      </c>
      <c r="D1680" s="84">
        <v>14</v>
      </c>
      <c r="E1680">
        <v>5</v>
      </c>
      <c r="F1680" s="85">
        <v>0</v>
      </c>
      <c r="G1680" s="86">
        <f t="shared" si="130"/>
        <v>70</v>
      </c>
      <c r="H1680" s="86">
        <f t="shared" si="131"/>
        <v>0</v>
      </c>
      <c r="I1680" s="86">
        <f t="shared" si="132"/>
        <v>70</v>
      </c>
      <c r="J1680" s="84">
        <f>VLOOKUP(C1680, Products[], 6)</f>
        <v>14</v>
      </c>
      <c r="K1680" s="86">
        <f t="shared" si="133"/>
        <v>70</v>
      </c>
      <c r="L1680" s="86">
        <f t="shared" si="134"/>
        <v>0</v>
      </c>
    </row>
    <row r="1681" spans="2:12" x14ac:dyDescent="0.2">
      <c r="B1681">
        <v>10888</v>
      </c>
      <c r="C1681">
        <v>2</v>
      </c>
      <c r="D1681" s="84">
        <v>19</v>
      </c>
      <c r="E1681">
        <v>20</v>
      </c>
      <c r="F1681" s="85">
        <v>0</v>
      </c>
      <c r="G1681" s="86">
        <f t="shared" si="130"/>
        <v>380</v>
      </c>
      <c r="H1681" s="86">
        <f t="shared" si="131"/>
        <v>0</v>
      </c>
      <c r="I1681" s="86">
        <f t="shared" si="132"/>
        <v>380</v>
      </c>
      <c r="J1681" s="84">
        <f>VLOOKUP(C1681, Products[], 6)</f>
        <v>19</v>
      </c>
      <c r="K1681" s="86">
        <f t="shared" si="133"/>
        <v>380</v>
      </c>
      <c r="L1681" s="86">
        <f t="shared" si="134"/>
        <v>0</v>
      </c>
    </row>
    <row r="1682" spans="2:12" x14ac:dyDescent="0.2">
      <c r="B1682">
        <v>10888</v>
      </c>
      <c r="C1682">
        <v>68</v>
      </c>
      <c r="D1682" s="84">
        <v>12.5</v>
      </c>
      <c r="E1682">
        <v>18</v>
      </c>
      <c r="F1682" s="85">
        <v>0</v>
      </c>
      <c r="G1682" s="86">
        <f t="shared" si="130"/>
        <v>225</v>
      </c>
      <c r="H1682" s="86">
        <f t="shared" si="131"/>
        <v>0</v>
      </c>
      <c r="I1682" s="86">
        <f t="shared" si="132"/>
        <v>225</v>
      </c>
      <c r="J1682" s="84">
        <f>VLOOKUP(C1682, Products[], 6)</f>
        <v>12.5</v>
      </c>
      <c r="K1682" s="86">
        <f t="shared" si="133"/>
        <v>225</v>
      </c>
      <c r="L1682" s="86">
        <f t="shared" si="134"/>
        <v>0</v>
      </c>
    </row>
    <row r="1683" spans="2:12" x14ac:dyDescent="0.2">
      <c r="B1683">
        <v>10889</v>
      </c>
      <c r="C1683">
        <v>11</v>
      </c>
      <c r="D1683" s="84">
        <v>21</v>
      </c>
      <c r="E1683">
        <v>40</v>
      </c>
      <c r="F1683" s="85">
        <v>0</v>
      </c>
      <c r="G1683" s="86">
        <f t="shared" si="130"/>
        <v>840</v>
      </c>
      <c r="H1683" s="86">
        <f t="shared" si="131"/>
        <v>0</v>
      </c>
      <c r="I1683" s="86">
        <f t="shared" si="132"/>
        <v>840</v>
      </c>
      <c r="J1683" s="84">
        <f>VLOOKUP(C1683, Products[], 6)</f>
        <v>21</v>
      </c>
      <c r="K1683" s="86">
        <f t="shared" si="133"/>
        <v>840</v>
      </c>
      <c r="L1683" s="86">
        <f t="shared" si="134"/>
        <v>0</v>
      </c>
    </row>
    <row r="1684" spans="2:12" x14ac:dyDescent="0.2">
      <c r="B1684">
        <v>10889</v>
      </c>
      <c r="C1684">
        <v>38</v>
      </c>
      <c r="D1684" s="84">
        <v>263.5</v>
      </c>
      <c r="E1684">
        <v>40</v>
      </c>
      <c r="F1684" s="85">
        <v>0</v>
      </c>
      <c r="G1684" s="86">
        <f t="shared" si="130"/>
        <v>10540</v>
      </c>
      <c r="H1684" s="86">
        <f t="shared" si="131"/>
        <v>0</v>
      </c>
      <c r="I1684" s="86">
        <f t="shared" si="132"/>
        <v>10540</v>
      </c>
      <c r="J1684" s="84">
        <f>VLOOKUP(C1684, Products[], 6)</f>
        <v>263.5</v>
      </c>
      <c r="K1684" s="86">
        <f t="shared" si="133"/>
        <v>10540</v>
      </c>
      <c r="L1684" s="86">
        <f t="shared" si="134"/>
        <v>0</v>
      </c>
    </row>
    <row r="1685" spans="2:12" x14ac:dyDescent="0.2">
      <c r="B1685">
        <v>10890</v>
      </c>
      <c r="C1685">
        <v>17</v>
      </c>
      <c r="D1685" s="84">
        <v>39</v>
      </c>
      <c r="E1685">
        <v>15</v>
      </c>
      <c r="F1685" s="85">
        <v>0</v>
      </c>
      <c r="G1685" s="86">
        <f t="shared" si="130"/>
        <v>585</v>
      </c>
      <c r="H1685" s="86">
        <f t="shared" si="131"/>
        <v>0</v>
      </c>
      <c r="I1685" s="86">
        <f t="shared" si="132"/>
        <v>585</v>
      </c>
      <c r="J1685" s="84">
        <f>VLOOKUP(C1685, Products[], 6)</f>
        <v>39</v>
      </c>
      <c r="K1685" s="86">
        <f t="shared" si="133"/>
        <v>585</v>
      </c>
      <c r="L1685" s="86">
        <f t="shared" si="134"/>
        <v>0</v>
      </c>
    </row>
    <row r="1686" spans="2:12" x14ac:dyDescent="0.2">
      <c r="B1686">
        <v>10890</v>
      </c>
      <c r="C1686">
        <v>34</v>
      </c>
      <c r="D1686" s="84">
        <v>14</v>
      </c>
      <c r="E1686">
        <v>10</v>
      </c>
      <c r="F1686" s="85">
        <v>0</v>
      </c>
      <c r="G1686" s="86">
        <f t="shared" si="130"/>
        <v>140</v>
      </c>
      <c r="H1686" s="86">
        <f t="shared" si="131"/>
        <v>0</v>
      </c>
      <c r="I1686" s="86">
        <f t="shared" si="132"/>
        <v>140</v>
      </c>
      <c r="J1686" s="84">
        <f>VLOOKUP(C1686, Products[], 6)</f>
        <v>14</v>
      </c>
      <c r="K1686" s="86">
        <f t="shared" si="133"/>
        <v>140</v>
      </c>
      <c r="L1686" s="86">
        <f t="shared" si="134"/>
        <v>0</v>
      </c>
    </row>
    <row r="1687" spans="2:12" x14ac:dyDescent="0.2">
      <c r="B1687">
        <v>10890</v>
      </c>
      <c r="C1687">
        <v>41</v>
      </c>
      <c r="D1687" s="84">
        <v>9.65</v>
      </c>
      <c r="E1687">
        <v>14</v>
      </c>
      <c r="F1687" s="85">
        <v>0</v>
      </c>
      <c r="G1687" s="86">
        <f t="shared" si="130"/>
        <v>135.1</v>
      </c>
      <c r="H1687" s="86">
        <f t="shared" si="131"/>
        <v>0</v>
      </c>
      <c r="I1687" s="86">
        <f t="shared" si="132"/>
        <v>135.1</v>
      </c>
      <c r="J1687" s="84">
        <f>VLOOKUP(C1687, Products[], 6)</f>
        <v>9.65</v>
      </c>
      <c r="K1687" s="86">
        <f t="shared" si="133"/>
        <v>135.1</v>
      </c>
      <c r="L1687" s="86">
        <f t="shared" si="134"/>
        <v>0</v>
      </c>
    </row>
    <row r="1688" spans="2:12" x14ac:dyDescent="0.2">
      <c r="B1688">
        <v>10891</v>
      </c>
      <c r="C1688">
        <v>30</v>
      </c>
      <c r="D1688" s="84">
        <v>25.89</v>
      </c>
      <c r="E1688">
        <v>15</v>
      </c>
      <c r="F1688" s="85">
        <v>0.05</v>
      </c>
      <c r="G1688" s="86">
        <f t="shared" si="130"/>
        <v>388.35</v>
      </c>
      <c r="H1688" s="86">
        <f t="shared" si="131"/>
        <v>19.417500000000004</v>
      </c>
      <c r="I1688" s="86">
        <f t="shared" si="132"/>
        <v>368.9325</v>
      </c>
      <c r="J1688" s="84">
        <f>VLOOKUP(C1688, Products[], 6)</f>
        <v>25.89</v>
      </c>
      <c r="K1688" s="86">
        <f t="shared" si="133"/>
        <v>388.35</v>
      </c>
      <c r="L1688" s="86">
        <f t="shared" si="134"/>
        <v>-19.417500000000018</v>
      </c>
    </row>
    <row r="1689" spans="2:12" x14ac:dyDescent="0.2">
      <c r="B1689">
        <v>10892</v>
      </c>
      <c r="C1689">
        <v>59</v>
      </c>
      <c r="D1689" s="84">
        <v>55</v>
      </c>
      <c r="E1689">
        <v>40</v>
      </c>
      <c r="F1689" s="85">
        <v>0.05</v>
      </c>
      <c r="G1689" s="86">
        <f t="shared" si="130"/>
        <v>2200</v>
      </c>
      <c r="H1689" s="86">
        <f t="shared" si="131"/>
        <v>110</v>
      </c>
      <c r="I1689" s="86">
        <f t="shared" si="132"/>
        <v>2090</v>
      </c>
      <c r="J1689" s="84">
        <f>VLOOKUP(C1689, Products[], 6)</f>
        <v>55</v>
      </c>
      <c r="K1689" s="86">
        <f t="shared" si="133"/>
        <v>2200</v>
      </c>
      <c r="L1689" s="86">
        <f t="shared" si="134"/>
        <v>-110</v>
      </c>
    </row>
    <row r="1690" spans="2:12" x14ac:dyDescent="0.2">
      <c r="B1690">
        <v>10893</v>
      </c>
      <c r="C1690">
        <v>8</v>
      </c>
      <c r="D1690" s="84">
        <v>40</v>
      </c>
      <c r="E1690">
        <v>30</v>
      </c>
      <c r="F1690" s="85">
        <v>0</v>
      </c>
      <c r="G1690" s="86">
        <f t="shared" si="130"/>
        <v>1200</v>
      </c>
      <c r="H1690" s="86">
        <f t="shared" si="131"/>
        <v>0</v>
      </c>
      <c r="I1690" s="86">
        <f t="shared" si="132"/>
        <v>1200</v>
      </c>
      <c r="J1690" s="84">
        <f>VLOOKUP(C1690, Products[], 6)</f>
        <v>40</v>
      </c>
      <c r="K1690" s="86">
        <f t="shared" si="133"/>
        <v>1200</v>
      </c>
      <c r="L1690" s="86">
        <f t="shared" si="134"/>
        <v>0</v>
      </c>
    </row>
    <row r="1691" spans="2:12" x14ac:dyDescent="0.2">
      <c r="B1691">
        <v>10893</v>
      </c>
      <c r="C1691">
        <v>24</v>
      </c>
      <c r="D1691" s="84">
        <v>4.5</v>
      </c>
      <c r="E1691">
        <v>10</v>
      </c>
      <c r="F1691" s="85">
        <v>0</v>
      </c>
      <c r="G1691" s="86">
        <f t="shared" si="130"/>
        <v>45</v>
      </c>
      <c r="H1691" s="86">
        <f t="shared" si="131"/>
        <v>0</v>
      </c>
      <c r="I1691" s="86">
        <f t="shared" si="132"/>
        <v>45</v>
      </c>
      <c r="J1691" s="84">
        <f>VLOOKUP(C1691, Products[], 6)</f>
        <v>4.5</v>
      </c>
      <c r="K1691" s="86">
        <f t="shared" si="133"/>
        <v>45</v>
      </c>
      <c r="L1691" s="86">
        <f t="shared" si="134"/>
        <v>0</v>
      </c>
    </row>
    <row r="1692" spans="2:12" x14ac:dyDescent="0.2">
      <c r="B1692">
        <v>10893</v>
      </c>
      <c r="C1692">
        <v>29</v>
      </c>
      <c r="D1692" s="84">
        <v>123.79</v>
      </c>
      <c r="E1692">
        <v>24</v>
      </c>
      <c r="F1692" s="85">
        <v>0</v>
      </c>
      <c r="G1692" s="86">
        <f t="shared" si="130"/>
        <v>2970.96</v>
      </c>
      <c r="H1692" s="86">
        <f t="shared" si="131"/>
        <v>0</v>
      </c>
      <c r="I1692" s="86">
        <f t="shared" si="132"/>
        <v>2970.96</v>
      </c>
      <c r="J1692" s="84">
        <f>VLOOKUP(C1692, Products[], 6)</f>
        <v>123.79</v>
      </c>
      <c r="K1692" s="86">
        <f t="shared" si="133"/>
        <v>2970.96</v>
      </c>
      <c r="L1692" s="86">
        <f t="shared" si="134"/>
        <v>0</v>
      </c>
    </row>
    <row r="1693" spans="2:12" x14ac:dyDescent="0.2">
      <c r="B1693">
        <v>10893</v>
      </c>
      <c r="C1693">
        <v>30</v>
      </c>
      <c r="D1693" s="84">
        <v>25.89</v>
      </c>
      <c r="E1693">
        <v>35</v>
      </c>
      <c r="F1693" s="85">
        <v>0</v>
      </c>
      <c r="G1693" s="86">
        <f t="shared" si="130"/>
        <v>906.15</v>
      </c>
      <c r="H1693" s="86">
        <f t="shared" si="131"/>
        <v>0</v>
      </c>
      <c r="I1693" s="86">
        <f t="shared" si="132"/>
        <v>906.15</v>
      </c>
      <c r="J1693" s="84">
        <f>VLOOKUP(C1693, Products[], 6)</f>
        <v>25.89</v>
      </c>
      <c r="K1693" s="86">
        <f t="shared" si="133"/>
        <v>906.15</v>
      </c>
      <c r="L1693" s="86">
        <f t="shared" si="134"/>
        <v>0</v>
      </c>
    </row>
    <row r="1694" spans="2:12" x14ac:dyDescent="0.2">
      <c r="B1694">
        <v>10893</v>
      </c>
      <c r="C1694">
        <v>36</v>
      </c>
      <c r="D1694" s="84">
        <v>19</v>
      </c>
      <c r="E1694">
        <v>20</v>
      </c>
      <c r="F1694" s="85">
        <v>0</v>
      </c>
      <c r="G1694" s="86">
        <f t="shared" si="130"/>
        <v>380</v>
      </c>
      <c r="H1694" s="86">
        <f t="shared" si="131"/>
        <v>0</v>
      </c>
      <c r="I1694" s="86">
        <f t="shared" si="132"/>
        <v>380</v>
      </c>
      <c r="J1694" s="84">
        <f>VLOOKUP(C1694, Products[], 6)</f>
        <v>19</v>
      </c>
      <c r="K1694" s="86">
        <f t="shared" si="133"/>
        <v>380</v>
      </c>
      <c r="L1694" s="86">
        <f t="shared" si="134"/>
        <v>0</v>
      </c>
    </row>
    <row r="1695" spans="2:12" x14ac:dyDescent="0.2">
      <c r="B1695">
        <v>10894</v>
      </c>
      <c r="C1695">
        <v>13</v>
      </c>
      <c r="D1695" s="84">
        <v>6</v>
      </c>
      <c r="E1695">
        <v>28</v>
      </c>
      <c r="F1695" s="85">
        <v>0.05</v>
      </c>
      <c r="G1695" s="86">
        <f t="shared" si="130"/>
        <v>168</v>
      </c>
      <c r="H1695" s="86">
        <f t="shared" si="131"/>
        <v>8.4</v>
      </c>
      <c r="I1695" s="86">
        <f t="shared" si="132"/>
        <v>159.6</v>
      </c>
      <c r="J1695" s="84">
        <f>VLOOKUP(C1695, Products[], 6)</f>
        <v>6</v>
      </c>
      <c r="K1695" s="86">
        <f t="shared" si="133"/>
        <v>168</v>
      </c>
      <c r="L1695" s="86">
        <f t="shared" si="134"/>
        <v>-8.4000000000000057</v>
      </c>
    </row>
    <row r="1696" spans="2:12" x14ac:dyDescent="0.2">
      <c r="B1696">
        <v>10894</v>
      </c>
      <c r="C1696">
        <v>69</v>
      </c>
      <c r="D1696" s="84">
        <v>36</v>
      </c>
      <c r="E1696">
        <v>50</v>
      </c>
      <c r="F1696" s="85">
        <v>0.05</v>
      </c>
      <c r="G1696" s="86">
        <f t="shared" si="130"/>
        <v>1800</v>
      </c>
      <c r="H1696" s="86">
        <f t="shared" si="131"/>
        <v>90</v>
      </c>
      <c r="I1696" s="86">
        <f t="shared" si="132"/>
        <v>1710</v>
      </c>
      <c r="J1696" s="84">
        <f>VLOOKUP(C1696, Products[], 6)</f>
        <v>36</v>
      </c>
      <c r="K1696" s="86">
        <f t="shared" si="133"/>
        <v>1800</v>
      </c>
      <c r="L1696" s="86">
        <f t="shared" si="134"/>
        <v>-90</v>
      </c>
    </row>
    <row r="1697" spans="2:12" x14ac:dyDescent="0.2">
      <c r="B1697">
        <v>10894</v>
      </c>
      <c r="C1697">
        <v>75</v>
      </c>
      <c r="D1697" s="84">
        <v>7.75</v>
      </c>
      <c r="E1697">
        <v>120</v>
      </c>
      <c r="F1697" s="85">
        <v>0.05</v>
      </c>
      <c r="G1697" s="86">
        <f t="shared" si="130"/>
        <v>930</v>
      </c>
      <c r="H1697" s="86">
        <f t="shared" si="131"/>
        <v>46.5</v>
      </c>
      <c r="I1697" s="86">
        <f t="shared" si="132"/>
        <v>883.5</v>
      </c>
      <c r="J1697" s="84">
        <f>VLOOKUP(C1697, Products[], 6)</f>
        <v>7.75</v>
      </c>
      <c r="K1697" s="86">
        <f t="shared" si="133"/>
        <v>930</v>
      </c>
      <c r="L1697" s="86">
        <f t="shared" si="134"/>
        <v>-46.5</v>
      </c>
    </row>
    <row r="1698" spans="2:12" x14ac:dyDescent="0.2">
      <c r="B1698">
        <v>10895</v>
      </c>
      <c r="C1698">
        <v>24</v>
      </c>
      <c r="D1698" s="84">
        <v>4.5</v>
      </c>
      <c r="E1698">
        <v>110</v>
      </c>
      <c r="F1698" s="85">
        <v>0</v>
      </c>
      <c r="G1698" s="86">
        <f t="shared" si="130"/>
        <v>495</v>
      </c>
      <c r="H1698" s="86">
        <f t="shared" si="131"/>
        <v>0</v>
      </c>
      <c r="I1698" s="86">
        <f t="shared" si="132"/>
        <v>495</v>
      </c>
      <c r="J1698" s="84">
        <f>VLOOKUP(C1698, Products[], 6)</f>
        <v>4.5</v>
      </c>
      <c r="K1698" s="86">
        <f t="shared" si="133"/>
        <v>495</v>
      </c>
      <c r="L1698" s="86">
        <f t="shared" si="134"/>
        <v>0</v>
      </c>
    </row>
    <row r="1699" spans="2:12" x14ac:dyDescent="0.2">
      <c r="B1699">
        <v>10895</v>
      </c>
      <c r="C1699">
        <v>39</v>
      </c>
      <c r="D1699" s="84">
        <v>18</v>
      </c>
      <c r="E1699">
        <v>45</v>
      </c>
      <c r="F1699" s="85">
        <v>0</v>
      </c>
      <c r="G1699" s="86">
        <f t="shared" si="130"/>
        <v>810</v>
      </c>
      <c r="H1699" s="86">
        <f t="shared" si="131"/>
        <v>0</v>
      </c>
      <c r="I1699" s="86">
        <f t="shared" si="132"/>
        <v>810</v>
      </c>
      <c r="J1699" s="84">
        <f>VLOOKUP(C1699, Products[], 6)</f>
        <v>18</v>
      </c>
      <c r="K1699" s="86">
        <f t="shared" si="133"/>
        <v>810</v>
      </c>
      <c r="L1699" s="86">
        <f t="shared" si="134"/>
        <v>0</v>
      </c>
    </row>
    <row r="1700" spans="2:12" x14ac:dyDescent="0.2">
      <c r="B1700">
        <v>10895</v>
      </c>
      <c r="C1700">
        <v>40</v>
      </c>
      <c r="D1700" s="84">
        <v>18.399999999999999</v>
      </c>
      <c r="E1700">
        <v>91</v>
      </c>
      <c r="F1700" s="85">
        <v>0</v>
      </c>
      <c r="G1700" s="86">
        <f t="shared" si="130"/>
        <v>1674.3999999999999</v>
      </c>
      <c r="H1700" s="86">
        <f t="shared" si="131"/>
        <v>0</v>
      </c>
      <c r="I1700" s="86">
        <f t="shared" si="132"/>
        <v>1674.3999999999999</v>
      </c>
      <c r="J1700" s="84">
        <f>VLOOKUP(C1700, Products[], 6)</f>
        <v>18.399999999999999</v>
      </c>
      <c r="K1700" s="86">
        <f t="shared" si="133"/>
        <v>1674.3999999999999</v>
      </c>
      <c r="L1700" s="86">
        <f t="shared" si="134"/>
        <v>0</v>
      </c>
    </row>
    <row r="1701" spans="2:12" x14ac:dyDescent="0.2">
      <c r="B1701">
        <v>10895</v>
      </c>
      <c r="C1701">
        <v>60</v>
      </c>
      <c r="D1701" s="84">
        <v>34</v>
      </c>
      <c r="E1701">
        <v>100</v>
      </c>
      <c r="F1701" s="85">
        <v>0</v>
      </c>
      <c r="G1701" s="86">
        <f t="shared" si="130"/>
        <v>3400</v>
      </c>
      <c r="H1701" s="86">
        <f t="shared" si="131"/>
        <v>0</v>
      </c>
      <c r="I1701" s="86">
        <f t="shared" si="132"/>
        <v>3400</v>
      </c>
      <c r="J1701" s="84">
        <f>VLOOKUP(C1701, Products[], 6)</f>
        <v>34</v>
      </c>
      <c r="K1701" s="86">
        <f t="shared" si="133"/>
        <v>3400</v>
      </c>
      <c r="L1701" s="86">
        <f t="shared" si="134"/>
        <v>0</v>
      </c>
    </row>
    <row r="1702" spans="2:12" x14ac:dyDescent="0.2">
      <c r="B1702">
        <v>10896</v>
      </c>
      <c r="C1702">
        <v>45</v>
      </c>
      <c r="D1702" s="84">
        <v>9.5</v>
      </c>
      <c r="E1702">
        <v>15</v>
      </c>
      <c r="F1702" s="85">
        <v>0</v>
      </c>
      <c r="G1702" s="86">
        <f t="shared" si="130"/>
        <v>142.5</v>
      </c>
      <c r="H1702" s="86">
        <f t="shared" si="131"/>
        <v>0</v>
      </c>
      <c r="I1702" s="86">
        <f t="shared" si="132"/>
        <v>142.5</v>
      </c>
      <c r="J1702" s="84">
        <f>VLOOKUP(C1702, Products[], 6)</f>
        <v>9.5</v>
      </c>
      <c r="K1702" s="86">
        <f t="shared" si="133"/>
        <v>142.5</v>
      </c>
      <c r="L1702" s="86">
        <f t="shared" si="134"/>
        <v>0</v>
      </c>
    </row>
    <row r="1703" spans="2:12" x14ac:dyDescent="0.2">
      <c r="B1703">
        <v>10896</v>
      </c>
      <c r="C1703">
        <v>56</v>
      </c>
      <c r="D1703" s="84">
        <v>38</v>
      </c>
      <c r="E1703">
        <v>16</v>
      </c>
      <c r="F1703" s="85">
        <v>0</v>
      </c>
      <c r="G1703" s="86">
        <f t="shared" si="130"/>
        <v>608</v>
      </c>
      <c r="H1703" s="86">
        <f t="shared" si="131"/>
        <v>0</v>
      </c>
      <c r="I1703" s="86">
        <f t="shared" si="132"/>
        <v>608</v>
      </c>
      <c r="J1703" s="84">
        <f>VLOOKUP(C1703, Products[], 6)</f>
        <v>38</v>
      </c>
      <c r="K1703" s="86">
        <f t="shared" si="133"/>
        <v>608</v>
      </c>
      <c r="L1703" s="86">
        <f t="shared" si="134"/>
        <v>0</v>
      </c>
    </row>
    <row r="1704" spans="2:12" x14ac:dyDescent="0.2">
      <c r="B1704">
        <v>10897</v>
      </c>
      <c r="C1704">
        <v>29</v>
      </c>
      <c r="D1704" s="84">
        <v>123.79</v>
      </c>
      <c r="E1704">
        <v>80</v>
      </c>
      <c r="F1704" s="85">
        <v>0</v>
      </c>
      <c r="G1704" s="86">
        <f t="shared" si="130"/>
        <v>9903.2000000000007</v>
      </c>
      <c r="H1704" s="86">
        <f t="shared" si="131"/>
        <v>0</v>
      </c>
      <c r="I1704" s="86">
        <f t="shared" si="132"/>
        <v>9903.2000000000007</v>
      </c>
      <c r="J1704" s="84">
        <f>VLOOKUP(C1704, Products[], 6)</f>
        <v>123.79</v>
      </c>
      <c r="K1704" s="86">
        <f t="shared" si="133"/>
        <v>9903.2000000000007</v>
      </c>
      <c r="L1704" s="86">
        <f t="shared" si="134"/>
        <v>0</v>
      </c>
    </row>
    <row r="1705" spans="2:12" x14ac:dyDescent="0.2">
      <c r="B1705">
        <v>10897</v>
      </c>
      <c r="C1705">
        <v>30</v>
      </c>
      <c r="D1705" s="84">
        <v>25.89</v>
      </c>
      <c r="E1705">
        <v>36</v>
      </c>
      <c r="F1705" s="85">
        <v>0</v>
      </c>
      <c r="G1705" s="86">
        <f t="shared" si="130"/>
        <v>932.04</v>
      </c>
      <c r="H1705" s="86">
        <f t="shared" si="131"/>
        <v>0</v>
      </c>
      <c r="I1705" s="86">
        <f t="shared" si="132"/>
        <v>932.04</v>
      </c>
      <c r="J1705" s="84">
        <f>VLOOKUP(C1705, Products[], 6)</f>
        <v>25.89</v>
      </c>
      <c r="K1705" s="86">
        <f t="shared" si="133"/>
        <v>932.04</v>
      </c>
      <c r="L1705" s="86">
        <f t="shared" si="134"/>
        <v>0</v>
      </c>
    </row>
    <row r="1706" spans="2:12" x14ac:dyDescent="0.2">
      <c r="B1706">
        <v>10898</v>
      </c>
      <c r="C1706">
        <v>13</v>
      </c>
      <c r="D1706" s="84">
        <v>6</v>
      </c>
      <c r="E1706">
        <v>5</v>
      </c>
      <c r="F1706" s="85">
        <v>0</v>
      </c>
      <c r="G1706" s="86">
        <f t="shared" si="130"/>
        <v>30</v>
      </c>
      <c r="H1706" s="86">
        <f t="shared" si="131"/>
        <v>0</v>
      </c>
      <c r="I1706" s="86">
        <f t="shared" si="132"/>
        <v>30</v>
      </c>
      <c r="J1706" s="84">
        <f>VLOOKUP(C1706, Products[], 6)</f>
        <v>6</v>
      </c>
      <c r="K1706" s="86">
        <f t="shared" si="133"/>
        <v>30</v>
      </c>
      <c r="L1706" s="86">
        <f t="shared" si="134"/>
        <v>0</v>
      </c>
    </row>
    <row r="1707" spans="2:12" x14ac:dyDescent="0.2">
      <c r="B1707">
        <v>10899</v>
      </c>
      <c r="C1707">
        <v>39</v>
      </c>
      <c r="D1707" s="84">
        <v>18</v>
      </c>
      <c r="E1707">
        <v>8</v>
      </c>
      <c r="F1707" s="85">
        <v>0.15</v>
      </c>
      <c r="G1707" s="86">
        <f t="shared" si="130"/>
        <v>144</v>
      </c>
      <c r="H1707" s="86">
        <f t="shared" si="131"/>
        <v>21.599999999999998</v>
      </c>
      <c r="I1707" s="86">
        <f t="shared" si="132"/>
        <v>122.4</v>
      </c>
      <c r="J1707" s="84">
        <f>VLOOKUP(C1707, Products[], 6)</f>
        <v>18</v>
      </c>
      <c r="K1707" s="86">
        <f t="shared" si="133"/>
        <v>144</v>
      </c>
      <c r="L1707" s="86">
        <f t="shared" si="134"/>
        <v>-21.599999999999994</v>
      </c>
    </row>
    <row r="1708" spans="2:12" x14ac:dyDescent="0.2">
      <c r="B1708">
        <v>10900</v>
      </c>
      <c r="C1708">
        <v>70</v>
      </c>
      <c r="D1708" s="84">
        <v>15</v>
      </c>
      <c r="E1708">
        <v>3</v>
      </c>
      <c r="F1708" s="85">
        <v>0.25</v>
      </c>
      <c r="G1708" s="86">
        <f t="shared" si="130"/>
        <v>45</v>
      </c>
      <c r="H1708" s="86">
        <f t="shared" si="131"/>
        <v>11.25</v>
      </c>
      <c r="I1708" s="86">
        <f t="shared" si="132"/>
        <v>33.75</v>
      </c>
      <c r="J1708" s="84">
        <f>VLOOKUP(C1708, Products[], 6)</f>
        <v>15</v>
      </c>
      <c r="K1708" s="86">
        <f t="shared" si="133"/>
        <v>45</v>
      </c>
      <c r="L1708" s="86">
        <f t="shared" si="134"/>
        <v>-11.25</v>
      </c>
    </row>
    <row r="1709" spans="2:12" x14ac:dyDescent="0.2">
      <c r="B1709">
        <v>10901</v>
      </c>
      <c r="C1709">
        <v>41</v>
      </c>
      <c r="D1709" s="84">
        <v>9.65</v>
      </c>
      <c r="E1709">
        <v>30</v>
      </c>
      <c r="F1709" s="85">
        <v>0</v>
      </c>
      <c r="G1709" s="86">
        <f t="shared" si="130"/>
        <v>289.5</v>
      </c>
      <c r="H1709" s="86">
        <f t="shared" si="131"/>
        <v>0</v>
      </c>
      <c r="I1709" s="86">
        <f t="shared" si="132"/>
        <v>289.5</v>
      </c>
      <c r="J1709" s="84">
        <f>VLOOKUP(C1709, Products[], 6)</f>
        <v>9.65</v>
      </c>
      <c r="K1709" s="86">
        <f t="shared" si="133"/>
        <v>289.5</v>
      </c>
      <c r="L1709" s="86">
        <f t="shared" si="134"/>
        <v>0</v>
      </c>
    </row>
    <row r="1710" spans="2:12" x14ac:dyDescent="0.2">
      <c r="B1710">
        <v>10901</v>
      </c>
      <c r="C1710">
        <v>71</v>
      </c>
      <c r="D1710" s="84">
        <v>21.5</v>
      </c>
      <c r="E1710">
        <v>30</v>
      </c>
      <c r="F1710" s="85">
        <v>0</v>
      </c>
      <c r="G1710" s="86">
        <f t="shared" si="130"/>
        <v>645</v>
      </c>
      <c r="H1710" s="86">
        <f t="shared" si="131"/>
        <v>0</v>
      </c>
      <c r="I1710" s="86">
        <f t="shared" si="132"/>
        <v>645</v>
      </c>
      <c r="J1710" s="84">
        <f>VLOOKUP(C1710, Products[], 6)</f>
        <v>21.5</v>
      </c>
      <c r="K1710" s="86">
        <f t="shared" si="133"/>
        <v>645</v>
      </c>
      <c r="L1710" s="86">
        <f t="shared" si="134"/>
        <v>0</v>
      </c>
    </row>
    <row r="1711" spans="2:12" x14ac:dyDescent="0.2">
      <c r="B1711">
        <v>10902</v>
      </c>
      <c r="C1711">
        <v>55</v>
      </c>
      <c r="D1711" s="84">
        <v>24</v>
      </c>
      <c r="E1711">
        <v>30</v>
      </c>
      <c r="F1711" s="85">
        <v>0.15</v>
      </c>
      <c r="G1711" s="86">
        <f t="shared" si="130"/>
        <v>720</v>
      </c>
      <c r="H1711" s="86">
        <f t="shared" si="131"/>
        <v>108</v>
      </c>
      <c r="I1711" s="86">
        <f t="shared" si="132"/>
        <v>612</v>
      </c>
      <c r="J1711" s="84">
        <f>VLOOKUP(C1711, Products[], 6)</f>
        <v>24</v>
      </c>
      <c r="K1711" s="86">
        <f t="shared" si="133"/>
        <v>720</v>
      </c>
      <c r="L1711" s="86">
        <f t="shared" si="134"/>
        <v>-108</v>
      </c>
    </row>
    <row r="1712" spans="2:12" x14ac:dyDescent="0.2">
      <c r="B1712">
        <v>10902</v>
      </c>
      <c r="C1712">
        <v>62</v>
      </c>
      <c r="D1712" s="84">
        <v>49.3</v>
      </c>
      <c r="E1712">
        <v>6</v>
      </c>
      <c r="F1712" s="85">
        <v>0.15</v>
      </c>
      <c r="G1712" s="86">
        <f t="shared" si="130"/>
        <v>295.79999999999995</v>
      </c>
      <c r="H1712" s="86">
        <f t="shared" si="131"/>
        <v>44.36999999999999</v>
      </c>
      <c r="I1712" s="86">
        <f t="shared" si="132"/>
        <v>251.42999999999995</v>
      </c>
      <c r="J1712" s="84">
        <f>VLOOKUP(C1712, Products[], 6)</f>
        <v>49.3</v>
      </c>
      <c r="K1712" s="86">
        <f t="shared" si="133"/>
        <v>295.79999999999995</v>
      </c>
      <c r="L1712" s="86">
        <f t="shared" si="134"/>
        <v>-44.370000000000005</v>
      </c>
    </row>
    <row r="1713" spans="2:12" x14ac:dyDescent="0.2">
      <c r="B1713">
        <v>10903</v>
      </c>
      <c r="C1713">
        <v>13</v>
      </c>
      <c r="D1713" s="84">
        <v>6</v>
      </c>
      <c r="E1713">
        <v>40</v>
      </c>
      <c r="F1713" s="85">
        <v>0</v>
      </c>
      <c r="G1713" s="86">
        <f t="shared" si="130"/>
        <v>240</v>
      </c>
      <c r="H1713" s="86">
        <f t="shared" si="131"/>
        <v>0</v>
      </c>
      <c r="I1713" s="86">
        <f t="shared" si="132"/>
        <v>240</v>
      </c>
      <c r="J1713" s="84">
        <f>VLOOKUP(C1713, Products[], 6)</f>
        <v>6</v>
      </c>
      <c r="K1713" s="86">
        <f t="shared" si="133"/>
        <v>240</v>
      </c>
      <c r="L1713" s="86">
        <f t="shared" si="134"/>
        <v>0</v>
      </c>
    </row>
    <row r="1714" spans="2:12" x14ac:dyDescent="0.2">
      <c r="B1714">
        <v>10903</v>
      </c>
      <c r="C1714">
        <v>65</v>
      </c>
      <c r="D1714" s="84">
        <v>21.05</v>
      </c>
      <c r="E1714">
        <v>21</v>
      </c>
      <c r="F1714" s="85">
        <v>0</v>
      </c>
      <c r="G1714" s="86">
        <f t="shared" si="130"/>
        <v>442.05</v>
      </c>
      <c r="H1714" s="86">
        <f t="shared" si="131"/>
        <v>0</v>
      </c>
      <c r="I1714" s="86">
        <f t="shared" si="132"/>
        <v>442.05</v>
      </c>
      <c r="J1714" s="84">
        <f>VLOOKUP(C1714, Products[], 6)</f>
        <v>21.05</v>
      </c>
      <c r="K1714" s="86">
        <f t="shared" si="133"/>
        <v>442.05</v>
      </c>
      <c r="L1714" s="86">
        <f t="shared" si="134"/>
        <v>0</v>
      </c>
    </row>
    <row r="1715" spans="2:12" x14ac:dyDescent="0.2">
      <c r="B1715">
        <v>10903</v>
      </c>
      <c r="C1715">
        <v>68</v>
      </c>
      <c r="D1715" s="84">
        <v>12.5</v>
      </c>
      <c r="E1715">
        <v>20</v>
      </c>
      <c r="F1715" s="85">
        <v>0</v>
      </c>
      <c r="G1715" s="86">
        <f t="shared" si="130"/>
        <v>250</v>
      </c>
      <c r="H1715" s="86">
        <f t="shared" si="131"/>
        <v>0</v>
      </c>
      <c r="I1715" s="86">
        <f t="shared" si="132"/>
        <v>250</v>
      </c>
      <c r="J1715" s="84">
        <f>VLOOKUP(C1715, Products[], 6)</f>
        <v>12.5</v>
      </c>
      <c r="K1715" s="86">
        <f t="shared" si="133"/>
        <v>250</v>
      </c>
      <c r="L1715" s="86">
        <f t="shared" si="134"/>
        <v>0</v>
      </c>
    </row>
    <row r="1716" spans="2:12" x14ac:dyDescent="0.2">
      <c r="B1716">
        <v>10904</v>
      </c>
      <c r="C1716">
        <v>58</v>
      </c>
      <c r="D1716" s="84">
        <v>13.25</v>
      </c>
      <c r="E1716">
        <v>15</v>
      </c>
      <c r="F1716" s="85">
        <v>0</v>
      </c>
      <c r="G1716" s="86">
        <f t="shared" si="130"/>
        <v>198.75</v>
      </c>
      <c r="H1716" s="86">
        <f t="shared" si="131"/>
        <v>0</v>
      </c>
      <c r="I1716" s="86">
        <f t="shared" si="132"/>
        <v>198.75</v>
      </c>
      <c r="J1716" s="84">
        <f>VLOOKUP(C1716, Products[], 6)</f>
        <v>13.25</v>
      </c>
      <c r="K1716" s="86">
        <f t="shared" si="133"/>
        <v>198.75</v>
      </c>
      <c r="L1716" s="86">
        <f t="shared" si="134"/>
        <v>0</v>
      </c>
    </row>
    <row r="1717" spans="2:12" x14ac:dyDescent="0.2">
      <c r="B1717">
        <v>10904</v>
      </c>
      <c r="C1717">
        <v>62</v>
      </c>
      <c r="D1717" s="84">
        <v>49.3</v>
      </c>
      <c r="E1717">
        <v>35</v>
      </c>
      <c r="F1717" s="85">
        <v>0</v>
      </c>
      <c r="G1717" s="86">
        <f t="shared" si="130"/>
        <v>1725.5</v>
      </c>
      <c r="H1717" s="86">
        <f t="shared" si="131"/>
        <v>0</v>
      </c>
      <c r="I1717" s="86">
        <f t="shared" si="132"/>
        <v>1725.5</v>
      </c>
      <c r="J1717" s="84">
        <f>VLOOKUP(C1717, Products[], 6)</f>
        <v>49.3</v>
      </c>
      <c r="K1717" s="86">
        <f t="shared" si="133"/>
        <v>1725.5</v>
      </c>
      <c r="L1717" s="86">
        <f t="shared" si="134"/>
        <v>0</v>
      </c>
    </row>
    <row r="1718" spans="2:12" x14ac:dyDescent="0.2">
      <c r="B1718">
        <v>10905</v>
      </c>
      <c r="C1718">
        <v>1</v>
      </c>
      <c r="D1718" s="84">
        <v>18</v>
      </c>
      <c r="E1718">
        <v>20</v>
      </c>
      <c r="F1718" s="85">
        <v>0.05</v>
      </c>
      <c r="G1718" s="86">
        <f t="shared" si="130"/>
        <v>360</v>
      </c>
      <c r="H1718" s="86">
        <f t="shared" si="131"/>
        <v>18</v>
      </c>
      <c r="I1718" s="86">
        <f t="shared" si="132"/>
        <v>342</v>
      </c>
      <c r="J1718" s="84">
        <f>VLOOKUP(C1718, Products[], 6)</f>
        <v>18</v>
      </c>
      <c r="K1718" s="86">
        <f t="shared" si="133"/>
        <v>360</v>
      </c>
      <c r="L1718" s="86">
        <f t="shared" si="134"/>
        <v>-18</v>
      </c>
    </row>
    <row r="1719" spans="2:12" x14ac:dyDescent="0.2">
      <c r="B1719">
        <v>10906</v>
      </c>
      <c r="C1719">
        <v>61</v>
      </c>
      <c r="D1719" s="84">
        <v>28.5</v>
      </c>
      <c r="E1719">
        <v>15</v>
      </c>
      <c r="F1719" s="85">
        <v>0</v>
      </c>
      <c r="G1719" s="86">
        <f t="shared" si="130"/>
        <v>427.5</v>
      </c>
      <c r="H1719" s="86">
        <f t="shared" si="131"/>
        <v>0</v>
      </c>
      <c r="I1719" s="86">
        <f t="shared" si="132"/>
        <v>427.5</v>
      </c>
      <c r="J1719" s="84">
        <f>VLOOKUP(C1719, Products[], 6)</f>
        <v>28.5</v>
      </c>
      <c r="K1719" s="86">
        <f t="shared" si="133"/>
        <v>427.5</v>
      </c>
      <c r="L1719" s="86">
        <f t="shared" si="134"/>
        <v>0</v>
      </c>
    </row>
    <row r="1720" spans="2:12" x14ac:dyDescent="0.2">
      <c r="B1720">
        <v>10907</v>
      </c>
      <c r="C1720">
        <v>75</v>
      </c>
      <c r="D1720" s="84">
        <v>7.75</v>
      </c>
      <c r="E1720">
        <v>14</v>
      </c>
      <c r="F1720" s="85">
        <v>0</v>
      </c>
      <c r="G1720" s="86">
        <f t="shared" si="130"/>
        <v>108.5</v>
      </c>
      <c r="H1720" s="86">
        <f t="shared" si="131"/>
        <v>0</v>
      </c>
      <c r="I1720" s="86">
        <f t="shared" si="132"/>
        <v>108.5</v>
      </c>
      <c r="J1720" s="84">
        <f>VLOOKUP(C1720, Products[], 6)</f>
        <v>7.75</v>
      </c>
      <c r="K1720" s="86">
        <f t="shared" si="133"/>
        <v>108.5</v>
      </c>
      <c r="L1720" s="86">
        <f t="shared" si="134"/>
        <v>0</v>
      </c>
    </row>
    <row r="1721" spans="2:12" x14ac:dyDescent="0.2">
      <c r="B1721">
        <v>10908</v>
      </c>
      <c r="C1721">
        <v>7</v>
      </c>
      <c r="D1721" s="84">
        <v>30</v>
      </c>
      <c r="E1721">
        <v>20</v>
      </c>
      <c r="F1721" s="85">
        <v>0.05</v>
      </c>
      <c r="G1721" s="86">
        <f t="shared" si="130"/>
        <v>600</v>
      </c>
      <c r="H1721" s="86">
        <f t="shared" si="131"/>
        <v>30</v>
      </c>
      <c r="I1721" s="86">
        <f t="shared" si="132"/>
        <v>570</v>
      </c>
      <c r="J1721" s="84">
        <f>VLOOKUP(C1721, Products[], 6)</f>
        <v>30</v>
      </c>
      <c r="K1721" s="86">
        <f t="shared" si="133"/>
        <v>600</v>
      </c>
      <c r="L1721" s="86">
        <f t="shared" si="134"/>
        <v>-30</v>
      </c>
    </row>
    <row r="1722" spans="2:12" x14ac:dyDescent="0.2">
      <c r="B1722">
        <v>10908</v>
      </c>
      <c r="C1722">
        <v>52</v>
      </c>
      <c r="D1722" s="84">
        <v>7</v>
      </c>
      <c r="E1722">
        <v>14</v>
      </c>
      <c r="F1722" s="85">
        <v>0.05</v>
      </c>
      <c r="G1722" s="86">
        <f t="shared" si="130"/>
        <v>98</v>
      </c>
      <c r="H1722" s="86">
        <f t="shared" si="131"/>
        <v>4.9000000000000004</v>
      </c>
      <c r="I1722" s="86">
        <f t="shared" si="132"/>
        <v>93.1</v>
      </c>
      <c r="J1722" s="84">
        <f>VLOOKUP(C1722, Products[], 6)</f>
        <v>7</v>
      </c>
      <c r="K1722" s="86">
        <f t="shared" si="133"/>
        <v>98</v>
      </c>
      <c r="L1722" s="86">
        <f t="shared" si="134"/>
        <v>-4.9000000000000057</v>
      </c>
    </row>
    <row r="1723" spans="2:12" x14ac:dyDescent="0.2">
      <c r="B1723">
        <v>10909</v>
      </c>
      <c r="C1723">
        <v>7</v>
      </c>
      <c r="D1723" s="84">
        <v>30</v>
      </c>
      <c r="E1723">
        <v>12</v>
      </c>
      <c r="F1723" s="85">
        <v>0</v>
      </c>
      <c r="G1723" s="86">
        <f t="shared" si="130"/>
        <v>360</v>
      </c>
      <c r="H1723" s="86">
        <f t="shared" si="131"/>
        <v>0</v>
      </c>
      <c r="I1723" s="86">
        <f t="shared" si="132"/>
        <v>360</v>
      </c>
      <c r="J1723" s="84">
        <f>VLOOKUP(C1723, Products[], 6)</f>
        <v>30</v>
      </c>
      <c r="K1723" s="86">
        <f t="shared" si="133"/>
        <v>360</v>
      </c>
      <c r="L1723" s="86">
        <f t="shared" si="134"/>
        <v>0</v>
      </c>
    </row>
    <row r="1724" spans="2:12" x14ac:dyDescent="0.2">
      <c r="B1724">
        <v>10909</v>
      </c>
      <c r="C1724">
        <v>16</v>
      </c>
      <c r="D1724" s="84">
        <v>17.45</v>
      </c>
      <c r="E1724">
        <v>15</v>
      </c>
      <c r="F1724" s="85">
        <v>0</v>
      </c>
      <c r="G1724" s="86">
        <f t="shared" si="130"/>
        <v>261.75</v>
      </c>
      <c r="H1724" s="86">
        <f t="shared" si="131"/>
        <v>0</v>
      </c>
      <c r="I1724" s="86">
        <f t="shared" si="132"/>
        <v>261.75</v>
      </c>
      <c r="J1724" s="84">
        <f>VLOOKUP(C1724, Products[], 6)</f>
        <v>17.45</v>
      </c>
      <c r="K1724" s="86">
        <f t="shared" si="133"/>
        <v>261.75</v>
      </c>
      <c r="L1724" s="86">
        <f t="shared" si="134"/>
        <v>0</v>
      </c>
    </row>
    <row r="1725" spans="2:12" x14ac:dyDescent="0.2">
      <c r="B1725">
        <v>10909</v>
      </c>
      <c r="C1725">
        <v>41</v>
      </c>
      <c r="D1725" s="84">
        <v>9.65</v>
      </c>
      <c r="E1725">
        <v>5</v>
      </c>
      <c r="F1725" s="85">
        <v>0</v>
      </c>
      <c r="G1725" s="86">
        <f t="shared" si="130"/>
        <v>48.25</v>
      </c>
      <c r="H1725" s="86">
        <f t="shared" si="131"/>
        <v>0</v>
      </c>
      <c r="I1725" s="86">
        <f t="shared" si="132"/>
        <v>48.25</v>
      </c>
      <c r="J1725" s="84">
        <f>VLOOKUP(C1725, Products[], 6)</f>
        <v>9.65</v>
      </c>
      <c r="K1725" s="86">
        <f t="shared" si="133"/>
        <v>48.25</v>
      </c>
      <c r="L1725" s="86">
        <f t="shared" si="134"/>
        <v>0</v>
      </c>
    </row>
    <row r="1726" spans="2:12" x14ac:dyDescent="0.2">
      <c r="B1726">
        <v>10910</v>
      </c>
      <c r="C1726">
        <v>19</v>
      </c>
      <c r="D1726" s="84">
        <v>9.1999999999999993</v>
      </c>
      <c r="E1726">
        <v>12</v>
      </c>
      <c r="F1726" s="85">
        <v>0</v>
      </c>
      <c r="G1726" s="86">
        <f t="shared" si="130"/>
        <v>110.39999999999999</v>
      </c>
      <c r="H1726" s="86">
        <f t="shared" si="131"/>
        <v>0</v>
      </c>
      <c r="I1726" s="86">
        <f t="shared" si="132"/>
        <v>110.39999999999999</v>
      </c>
      <c r="J1726" s="84">
        <f>VLOOKUP(C1726, Products[], 6)</f>
        <v>9.1999999999999993</v>
      </c>
      <c r="K1726" s="86">
        <f t="shared" si="133"/>
        <v>110.39999999999999</v>
      </c>
      <c r="L1726" s="86">
        <f t="shared" si="134"/>
        <v>0</v>
      </c>
    </row>
    <row r="1727" spans="2:12" x14ac:dyDescent="0.2">
      <c r="B1727">
        <v>10910</v>
      </c>
      <c r="C1727">
        <v>49</v>
      </c>
      <c r="D1727" s="84">
        <v>20</v>
      </c>
      <c r="E1727">
        <v>10</v>
      </c>
      <c r="F1727" s="85">
        <v>0</v>
      </c>
      <c r="G1727" s="86">
        <f t="shared" si="130"/>
        <v>200</v>
      </c>
      <c r="H1727" s="86">
        <f t="shared" si="131"/>
        <v>0</v>
      </c>
      <c r="I1727" s="86">
        <f t="shared" si="132"/>
        <v>200</v>
      </c>
      <c r="J1727" s="84">
        <f>VLOOKUP(C1727, Products[], 6)</f>
        <v>20</v>
      </c>
      <c r="K1727" s="86">
        <f t="shared" si="133"/>
        <v>200</v>
      </c>
      <c r="L1727" s="86">
        <f t="shared" si="134"/>
        <v>0</v>
      </c>
    </row>
    <row r="1728" spans="2:12" x14ac:dyDescent="0.2">
      <c r="B1728">
        <v>10910</v>
      </c>
      <c r="C1728">
        <v>61</v>
      </c>
      <c r="D1728" s="84">
        <v>28.5</v>
      </c>
      <c r="E1728">
        <v>5</v>
      </c>
      <c r="F1728" s="85">
        <v>0</v>
      </c>
      <c r="G1728" s="86">
        <f t="shared" si="130"/>
        <v>142.5</v>
      </c>
      <c r="H1728" s="86">
        <f t="shared" si="131"/>
        <v>0</v>
      </c>
      <c r="I1728" s="86">
        <f t="shared" si="132"/>
        <v>142.5</v>
      </c>
      <c r="J1728" s="84">
        <f>VLOOKUP(C1728, Products[], 6)</f>
        <v>28.5</v>
      </c>
      <c r="K1728" s="86">
        <f t="shared" si="133"/>
        <v>142.5</v>
      </c>
      <c r="L1728" s="86">
        <f t="shared" si="134"/>
        <v>0</v>
      </c>
    </row>
    <row r="1729" spans="2:12" x14ac:dyDescent="0.2">
      <c r="B1729">
        <v>10911</v>
      </c>
      <c r="C1729">
        <v>1</v>
      </c>
      <c r="D1729" s="84">
        <v>18</v>
      </c>
      <c r="E1729">
        <v>10</v>
      </c>
      <c r="F1729" s="85">
        <v>0</v>
      </c>
      <c r="G1729" s="86">
        <f t="shared" si="130"/>
        <v>180</v>
      </c>
      <c r="H1729" s="86">
        <f t="shared" si="131"/>
        <v>0</v>
      </c>
      <c r="I1729" s="86">
        <f t="shared" si="132"/>
        <v>180</v>
      </c>
      <c r="J1729" s="84">
        <f>VLOOKUP(C1729, Products[], 6)</f>
        <v>18</v>
      </c>
      <c r="K1729" s="86">
        <f t="shared" si="133"/>
        <v>180</v>
      </c>
      <c r="L1729" s="86">
        <f t="shared" si="134"/>
        <v>0</v>
      </c>
    </row>
    <row r="1730" spans="2:12" x14ac:dyDescent="0.2">
      <c r="B1730">
        <v>10911</v>
      </c>
      <c r="C1730">
        <v>17</v>
      </c>
      <c r="D1730" s="84">
        <v>39</v>
      </c>
      <c r="E1730">
        <v>12</v>
      </c>
      <c r="F1730" s="85">
        <v>0</v>
      </c>
      <c r="G1730" s="86">
        <f t="shared" si="130"/>
        <v>468</v>
      </c>
      <c r="H1730" s="86">
        <f t="shared" si="131"/>
        <v>0</v>
      </c>
      <c r="I1730" s="86">
        <f t="shared" si="132"/>
        <v>468</v>
      </c>
      <c r="J1730" s="84">
        <f>VLOOKUP(C1730, Products[], 6)</f>
        <v>39</v>
      </c>
      <c r="K1730" s="86">
        <f t="shared" si="133"/>
        <v>468</v>
      </c>
      <c r="L1730" s="86">
        <f t="shared" si="134"/>
        <v>0</v>
      </c>
    </row>
    <row r="1731" spans="2:12" x14ac:dyDescent="0.2">
      <c r="B1731">
        <v>10911</v>
      </c>
      <c r="C1731">
        <v>67</v>
      </c>
      <c r="D1731" s="84">
        <v>14</v>
      </c>
      <c r="E1731">
        <v>15</v>
      </c>
      <c r="F1731" s="85">
        <v>0</v>
      </c>
      <c r="G1731" s="86">
        <f t="shared" si="130"/>
        <v>210</v>
      </c>
      <c r="H1731" s="86">
        <f t="shared" si="131"/>
        <v>0</v>
      </c>
      <c r="I1731" s="86">
        <f t="shared" si="132"/>
        <v>210</v>
      </c>
      <c r="J1731" s="84">
        <f>VLOOKUP(C1731, Products[], 6)</f>
        <v>14</v>
      </c>
      <c r="K1731" s="86">
        <f t="shared" si="133"/>
        <v>210</v>
      </c>
      <c r="L1731" s="86">
        <f t="shared" si="134"/>
        <v>0</v>
      </c>
    </row>
    <row r="1732" spans="2:12" x14ac:dyDescent="0.2">
      <c r="B1732">
        <v>10912</v>
      </c>
      <c r="C1732">
        <v>11</v>
      </c>
      <c r="D1732" s="84">
        <v>21</v>
      </c>
      <c r="E1732">
        <v>40</v>
      </c>
      <c r="F1732" s="85">
        <v>0.25</v>
      </c>
      <c r="G1732" s="86">
        <f t="shared" si="130"/>
        <v>840</v>
      </c>
      <c r="H1732" s="86">
        <f t="shared" si="131"/>
        <v>210</v>
      </c>
      <c r="I1732" s="86">
        <f t="shared" si="132"/>
        <v>630</v>
      </c>
      <c r="J1732" s="84">
        <f>VLOOKUP(C1732, Products[], 6)</f>
        <v>21</v>
      </c>
      <c r="K1732" s="86">
        <f t="shared" si="133"/>
        <v>840</v>
      </c>
      <c r="L1732" s="86">
        <f t="shared" si="134"/>
        <v>-210</v>
      </c>
    </row>
    <row r="1733" spans="2:12" x14ac:dyDescent="0.2">
      <c r="B1733">
        <v>10912</v>
      </c>
      <c r="C1733">
        <v>29</v>
      </c>
      <c r="D1733" s="84">
        <v>123.79</v>
      </c>
      <c r="E1733">
        <v>60</v>
      </c>
      <c r="F1733" s="85">
        <v>0.25</v>
      </c>
      <c r="G1733" s="86">
        <f t="shared" si="130"/>
        <v>7427.4000000000005</v>
      </c>
      <c r="H1733" s="86">
        <f t="shared" si="131"/>
        <v>1856.8500000000001</v>
      </c>
      <c r="I1733" s="86">
        <f t="shared" si="132"/>
        <v>5570.55</v>
      </c>
      <c r="J1733" s="84">
        <f>VLOOKUP(C1733, Products[], 6)</f>
        <v>123.79</v>
      </c>
      <c r="K1733" s="86">
        <f t="shared" si="133"/>
        <v>7427.4000000000005</v>
      </c>
      <c r="L1733" s="86">
        <f t="shared" si="134"/>
        <v>-1856.8500000000004</v>
      </c>
    </row>
    <row r="1734" spans="2:12" x14ac:dyDescent="0.2">
      <c r="B1734">
        <v>10913</v>
      </c>
      <c r="C1734">
        <v>4</v>
      </c>
      <c r="D1734" s="84">
        <v>22</v>
      </c>
      <c r="E1734">
        <v>30</v>
      </c>
      <c r="F1734" s="85">
        <v>0.25</v>
      </c>
      <c r="G1734" s="86">
        <f t="shared" si="130"/>
        <v>660</v>
      </c>
      <c r="H1734" s="86">
        <f t="shared" si="131"/>
        <v>165</v>
      </c>
      <c r="I1734" s="86">
        <f t="shared" si="132"/>
        <v>495</v>
      </c>
      <c r="J1734" s="84">
        <f>VLOOKUP(C1734, Products[], 6)</f>
        <v>22</v>
      </c>
      <c r="K1734" s="86">
        <f t="shared" si="133"/>
        <v>660</v>
      </c>
      <c r="L1734" s="86">
        <f t="shared" si="134"/>
        <v>-165</v>
      </c>
    </row>
    <row r="1735" spans="2:12" x14ac:dyDescent="0.2">
      <c r="B1735">
        <v>10913</v>
      </c>
      <c r="C1735">
        <v>33</v>
      </c>
      <c r="D1735" s="84">
        <v>2.5</v>
      </c>
      <c r="E1735">
        <v>40</v>
      </c>
      <c r="F1735" s="85">
        <v>0.25</v>
      </c>
      <c r="G1735" s="86">
        <f t="shared" ref="G1735:G1798" si="135">D1735*E1735</f>
        <v>100</v>
      </c>
      <c r="H1735" s="86">
        <f t="shared" ref="H1735:H1798" si="136">G1735*F1735</f>
        <v>25</v>
      </c>
      <c r="I1735" s="86">
        <f t="shared" ref="I1735:I1798" si="137">G1735-H1735</f>
        <v>75</v>
      </c>
      <c r="J1735" s="84">
        <f>VLOOKUP(C1735, Products[], 6)</f>
        <v>2.5</v>
      </c>
      <c r="K1735" s="86">
        <f t="shared" ref="K1735:K1798" si="138">J1735*E1735</f>
        <v>100</v>
      </c>
      <c r="L1735" s="86">
        <f t="shared" ref="L1735:L1798" si="139">I1735-K1735</f>
        <v>-25</v>
      </c>
    </row>
    <row r="1736" spans="2:12" x14ac:dyDescent="0.2">
      <c r="B1736">
        <v>10913</v>
      </c>
      <c r="C1736">
        <v>58</v>
      </c>
      <c r="D1736" s="84">
        <v>13.25</v>
      </c>
      <c r="E1736">
        <v>15</v>
      </c>
      <c r="F1736" s="85">
        <v>0</v>
      </c>
      <c r="G1736" s="86">
        <f t="shared" si="135"/>
        <v>198.75</v>
      </c>
      <c r="H1736" s="86">
        <f t="shared" si="136"/>
        <v>0</v>
      </c>
      <c r="I1736" s="86">
        <f t="shared" si="137"/>
        <v>198.75</v>
      </c>
      <c r="J1736" s="84">
        <f>VLOOKUP(C1736, Products[], 6)</f>
        <v>13.25</v>
      </c>
      <c r="K1736" s="86">
        <f t="shared" si="138"/>
        <v>198.75</v>
      </c>
      <c r="L1736" s="86">
        <f t="shared" si="139"/>
        <v>0</v>
      </c>
    </row>
    <row r="1737" spans="2:12" x14ac:dyDescent="0.2">
      <c r="B1737">
        <v>10914</v>
      </c>
      <c r="C1737">
        <v>71</v>
      </c>
      <c r="D1737" s="84">
        <v>21.5</v>
      </c>
      <c r="E1737">
        <v>25</v>
      </c>
      <c r="F1737" s="85">
        <v>0</v>
      </c>
      <c r="G1737" s="86">
        <f t="shared" si="135"/>
        <v>537.5</v>
      </c>
      <c r="H1737" s="86">
        <f t="shared" si="136"/>
        <v>0</v>
      </c>
      <c r="I1737" s="86">
        <f t="shared" si="137"/>
        <v>537.5</v>
      </c>
      <c r="J1737" s="84">
        <f>VLOOKUP(C1737, Products[], 6)</f>
        <v>21.5</v>
      </c>
      <c r="K1737" s="86">
        <f t="shared" si="138"/>
        <v>537.5</v>
      </c>
      <c r="L1737" s="86">
        <f t="shared" si="139"/>
        <v>0</v>
      </c>
    </row>
    <row r="1738" spans="2:12" x14ac:dyDescent="0.2">
      <c r="B1738">
        <v>10915</v>
      </c>
      <c r="C1738">
        <v>17</v>
      </c>
      <c r="D1738" s="84">
        <v>39</v>
      </c>
      <c r="E1738">
        <v>10</v>
      </c>
      <c r="F1738" s="85">
        <v>0</v>
      </c>
      <c r="G1738" s="86">
        <f t="shared" si="135"/>
        <v>390</v>
      </c>
      <c r="H1738" s="86">
        <f t="shared" si="136"/>
        <v>0</v>
      </c>
      <c r="I1738" s="86">
        <f t="shared" si="137"/>
        <v>390</v>
      </c>
      <c r="J1738" s="84">
        <f>VLOOKUP(C1738, Products[], 6)</f>
        <v>39</v>
      </c>
      <c r="K1738" s="86">
        <f t="shared" si="138"/>
        <v>390</v>
      </c>
      <c r="L1738" s="86">
        <f t="shared" si="139"/>
        <v>0</v>
      </c>
    </row>
    <row r="1739" spans="2:12" x14ac:dyDescent="0.2">
      <c r="B1739">
        <v>10915</v>
      </c>
      <c r="C1739">
        <v>33</v>
      </c>
      <c r="D1739" s="84">
        <v>2.5</v>
      </c>
      <c r="E1739">
        <v>30</v>
      </c>
      <c r="F1739" s="85">
        <v>0</v>
      </c>
      <c r="G1739" s="86">
        <f t="shared" si="135"/>
        <v>75</v>
      </c>
      <c r="H1739" s="86">
        <f t="shared" si="136"/>
        <v>0</v>
      </c>
      <c r="I1739" s="86">
        <f t="shared" si="137"/>
        <v>75</v>
      </c>
      <c r="J1739" s="84">
        <f>VLOOKUP(C1739, Products[], 6)</f>
        <v>2.5</v>
      </c>
      <c r="K1739" s="86">
        <f t="shared" si="138"/>
        <v>75</v>
      </c>
      <c r="L1739" s="86">
        <f t="shared" si="139"/>
        <v>0</v>
      </c>
    </row>
    <row r="1740" spans="2:12" x14ac:dyDescent="0.2">
      <c r="B1740">
        <v>10915</v>
      </c>
      <c r="C1740">
        <v>54</v>
      </c>
      <c r="D1740" s="84">
        <v>7.45</v>
      </c>
      <c r="E1740">
        <v>10</v>
      </c>
      <c r="F1740" s="85">
        <v>0</v>
      </c>
      <c r="G1740" s="86">
        <f t="shared" si="135"/>
        <v>74.5</v>
      </c>
      <c r="H1740" s="86">
        <f t="shared" si="136"/>
        <v>0</v>
      </c>
      <c r="I1740" s="86">
        <f t="shared" si="137"/>
        <v>74.5</v>
      </c>
      <c r="J1740" s="84">
        <f>VLOOKUP(C1740, Products[], 6)</f>
        <v>7.45</v>
      </c>
      <c r="K1740" s="86">
        <f t="shared" si="138"/>
        <v>74.5</v>
      </c>
      <c r="L1740" s="86">
        <f t="shared" si="139"/>
        <v>0</v>
      </c>
    </row>
    <row r="1741" spans="2:12" x14ac:dyDescent="0.2">
      <c r="B1741">
        <v>10916</v>
      </c>
      <c r="C1741">
        <v>16</v>
      </c>
      <c r="D1741" s="84">
        <v>17.45</v>
      </c>
      <c r="E1741">
        <v>6</v>
      </c>
      <c r="F1741" s="85">
        <v>0</v>
      </c>
      <c r="G1741" s="86">
        <f t="shared" si="135"/>
        <v>104.69999999999999</v>
      </c>
      <c r="H1741" s="86">
        <f t="shared" si="136"/>
        <v>0</v>
      </c>
      <c r="I1741" s="86">
        <f t="shared" si="137"/>
        <v>104.69999999999999</v>
      </c>
      <c r="J1741" s="84">
        <f>VLOOKUP(C1741, Products[], 6)</f>
        <v>17.45</v>
      </c>
      <c r="K1741" s="86">
        <f t="shared" si="138"/>
        <v>104.69999999999999</v>
      </c>
      <c r="L1741" s="86">
        <f t="shared" si="139"/>
        <v>0</v>
      </c>
    </row>
    <row r="1742" spans="2:12" x14ac:dyDescent="0.2">
      <c r="B1742">
        <v>10916</v>
      </c>
      <c r="C1742">
        <v>32</v>
      </c>
      <c r="D1742" s="84">
        <v>32</v>
      </c>
      <c r="E1742">
        <v>6</v>
      </c>
      <c r="F1742" s="85">
        <v>0</v>
      </c>
      <c r="G1742" s="86">
        <f t="shared" si="135"/>
        <v>192</v>
      </c>
      <c r="H1742" s="86">
        <f t="shared" si="136"/>
        <v>0</v>
      </c>
      <c r="I1742" s="86">
        <f t="shared" si="137"/>
        <v>192</v>
      </c>
      <c r="J1742" s="84">
        <f>VLOOKUP(C1742, Products[], 6)</f>
        <v>32</v>
      </c>
      <c r="K1742" s="86">
        <f t="shared" si="138"/>
        <v>192</v>
      </c>
      <c r="L1742" s="86">
        <f t="shared" si="139"/>
        <v>0</v>
      </c>
    </row>
    <row r="1743" spans="2:12" x14ac:dyDescent="0.2">
      <c r="B1743">
        <v>10916</v>
      </c>
      <c r="C1743">
        <v>57</v>
      </c>
      <c r="D1743" s="84">
        <v>19.5</v>
      </c>
      <c r="E1743">
        <v>20</v>
      </c>
      <c r="F1743" s="85">
        <v>0</v>
      </c>
      <c r="G1743" s="86">
        <f t="shared" si="135"/>
        <v>390</v>
      </c>
      <c r="H1743" s="86">
        <f t="shared" si="136"/>
        <v>0</v>
      </c>
      <c r="I1743" s="86">
        <f t="shared" si="137"/>
        <v>390</v>
      </c>
      <c r="J1743" s="84">
        <f>VLOOKUP(C1743, Products[], 6)</f>
        <v>19.5</v>
      </c>
      <c r="K1743" s="86">
        <f t="shared" si="138"/>
        <v>390</v>
      </c>
      <c r="L1743" s="86">
        <f t="shared" si="139"/>
        <v>0</v>
      </c>
    </row>
    <row r="1744" spans="2:12" x14ac:dyDescent="0.2">
      <c r="B1744">
        <v>10917</v>
      </c>
      <c r="C1744">
        <v>30</v>
      </c>
      <c r="D1744" s="84">
        <v>25.89</v>
      </c>
      <c r="E1744">
        <v>1</v>
      </c>
      <c r="F1744" s="85">
        <v>0</v>
      </c>
      <c r="G1744" s="86">
        <f t="shared" si="135"/>
        <v>25.89</v>
      </c>
      <c r="H1744" s="86">
        <f t="shared" si="136"/>
        <v>0</v>
      </c>
      <c r="I1744" s="86">
        <f t="shared" si="137"/>
        <v>25.89</v>
      </c>
      <c r="J1744" s="84">
        <f>VLOOKUP(C1744, Products[], 6)</f>
        <v>25.89</v>
      </c>
      <c r="K1744" s="86">
        <f t="shared" si="138"/>
        <v>25.89</v>
      </c>
      <c r="L1744" s="86">
        <f t="shared" si="139"/>
        <v>0</v>
      </c>
    </row>
    <row r="1745" spans="2:12" x14ac:dyDescent="0.2">
      <c r="B1745">
        <v>10917</v>
      </c>
      <c r="C1745">
        <v>60</v>
      </c>
      <c r="D1745" s="84">
        <v>34</v>
      </c>
      <c r="E1745">
        <v>10</v>
      </c>
      <c r="F1745" s="85">
        <v>0</v>
      </c>
      <c r="G1745" s="86">
        <f t="shared" si="135"/>
        <v>340</v>
      </c>
      <c r="H1745" s="86">
        <f t="shared" si="136"/>
        <v>0</v>
      </c>
      <c r="I1745" s="86">
        <f t="shared" si="137"/>
        <v>340</v>
      </c>
      <c r="J1745" s="84">
        <f>VLOOKUP(C1745, Products[], 6)</f>
        <v>34</v>
      </c>
      <c r="K1745" s="86">
        <f t="shared" si="138"/>
        <v>340</v>
      </c>
      <c r="L1745" s="86">
        <f t="shared" si="139"/>
        <v>0</v>
      </c>
    </row>
    <row r="1746" spans="2:12" x14ac:dyDescent="0.2">
      <c r="B1746">
        <v>10918</v>
      </c>
      <c r="C1746">
        <v>1</v>
      </c>
      <c r="D1746" s="84">
        <v>18</v>
      </c>
      <c r="E1746">
        <v>60</v>
      </c>
      <c r="F1746" s="85">
        <v>0.25</v>
      </c>
      <c r="G1746" s="86">
        <f t="shared" si="135"/>
        <v>1080</v>
      </c>
      <c r="H1746" s="86">
        <f t="shared" si="136"/>
        <v>270</v>
      </c>
      <c r="I1746" s="86">
        <f t="shared" si="137"/>
        <v>810</v>
      </c>
      <c r="J1746" s="84">
        <f>VLOOKUP(C1746, Products[], 6)</f>
        <v>18</v>
      </c>
      <c r="K1746" s="86">
        <f t="shared" si="138"/>
        <v>1080</v>
      </c>
      <c r="L1746" s="86">
        <f t="shared" si="139"/>
        <v>-270</v>
      </c>
    </row>
    <row r="1747" spans="2:12" x14ac:dyDescent="0.2">
      <c r="B1747">
        <v>10918</v>
      </c>
      <c r="C1747">
        <v>60</v>
      </c>
      <c r="D1747" s="84">
        <v>34</v>
      </c>
      <c r="E1747">
        <v>25</v>
      </c>
      <c r="F1747" s="85">
        <v>0.25</v>
      </c>
      <c r="G1747" s="86">
        <f t="shared" si="135"/>
        <v>850</v>
      </c>
      <c r="H1747" s="86">
        <f t="shared" si="136"/>
        <v>212.5</v>
      </c>
      <c r="I1747" s="86">
        <f t="shared" si="137"/>
        <v>637.5</v>
      </c>
      <c r="J1747" s="84">
        <f>VLOOKUP(C1747, Products[], 6)</f>
        <v>34</v>
      </c>
      <c r="K1747" s="86">
        <f t="shared" si="138"/>
        <v>850</v>
      </c>
      <c r="L1747" s="86">
        <f t="shared" si="139"/>
        <v>-212.5</v>
      </c>
    </row>
    <row r="1748" spans="2:12" x14ac:dyDescent="0.2">
      <c r="B1748">
        <v>10919</v>
      </c>
      <c r="C1748">
        <v>16</v>
      </c>
      <c r="D1748" s="84">
        <v>17.45</v>
      </c>
      <c r="E1748">
        <v>24</v>
      </c>
      <c r="F1748" s="85">
        <v>0</v>
      </c>
      <c r="G1748" s="86">
        <f t="shared" si="135"/>
        <v>418.79999999999995</v>
      </c>
      <c r="H1748" s="86">
        <f t="shared" si="136"/>
        <v>0</v>
      </c>
      <c r="I1748" s="86">
        <f t="shared" si="137"/>
        <v>418.79999999999995</v>
      </c>
      <c r="J1748" s="84">
        <f>VLOOKUP(C1748, Products[], 6)</f>
        <v>17.45</v>
      </c>
      <c r="K1748" s="86">
        <f t="shared" si="138"/>
        <v>418.79999999999995</v>
      </c>
      <c r="L1748" s="86">
        <f t="shared" si="139"/>
        <v>0</v>
      </c>
    </row>
    <row r="1749" spans="2:12" x14ac:dyDescent="0.2">
      <c r="B1749">
        <v>10919</v>
      </c>
      <c r="C1749">
        <v>25</v>
      </c>
      <c r="D1749" s="84">
        <v>14</v>
      </c>
      <c r="E1749">
        <v>24</v>
      </c>
      <c r="F1749" s="85">
        <v>0</v>
      </c>
      <c r="G1749" s="86">
        <f t="shared" si="135"/>
        <v>336</v>
      </c>
      <c r="H1749" s="86">
        <f t="shared" si="136"/>
        <v>0</v>
      </c>
      <c r="I1749" s="86">
        <f t="shared" si="137"/>
        <v>336</v>
      </c>
      <c r="J1749" s="84">
        <f>VLOOKUP(C1749, Products[], 6)</f>
        <v>14</v>
      </c>
      <c r="K1749" s="86">
        <f t="shared" si="138"/>
        <v>336</v>
      </c>
      <c r="L1749" s="86">
        <f t="shared" si="139"/>
        <v>0</v>
      </c>
    </row>
    <row r="1750" spans="2:12" x14ac:dyDescent="0.2">
      <c r="B1750">
        <v>10919</v>
      </c>
      <c r="C1750">
        <v>40</v>
      </c>
      <c r="D1750" s="84">
        <v>18.399999999999999</v>
      </c>
      <c r="E1750">
        <v>20</v>
      </c>
      <c r="F1750" s="85">
        <v>0</v>
      </c>
      <c r="G1750" s="86">
        <f t="shared" si="135"/>
        <v>368</v>
      </c>
      <c r="H1750" s="86">
        <f t="shared" si="136"/>
        <v>0</v>
      </c>
      <c r="I1750" s="86">
        <f t="shared" si="137"/>
        <v>368</v>
      </c>
      <c r="J1750" s="84">
        <f>VLOOKUP(C1750, Products[], 6)</f>
        <v>18.399999999999999</v>
      </c>
      <c r="K1750" s="86">
        <f t="shared" si="138"/>
        <v>368</v>
      </c>
      <c r="L1750" s="86">
        <f t="shared" si="139"/>
        <v>0</v>
      </c>
    </row>
    <row r="1751" spans="2:12" x14ac:dyDescent="0.2">
      <c r="B1751">
        <v>10920</v>
      </c>
      <c r="C1751">
        <v>50</v>
      </c>
      <c r="D1751" s="84">
        <v>16.25</v>
      </c>
      <c r="E1751">
        <v>24</v>
      </c>
      <c r="F1751" s="85">
        <v>0</v>
      </c>
      <c r="G1751" s="86">
        <f t="shared" si="135"/>
        <v>390</v>
      </c>
      <c r="H1751" s="86">
        <f t="shared" si="136"/>
        <v>0</v>
      </c>
      <c r="I1751" s="86">
        <f t="shared" si="137"/>
        <v>390</v>
      </c>
      <c r="J1751" s="84">
        <f>VLOOKUP(C1751, Products[], 6)</f>
        <v>16.25</v>
      </c>
      <c r="K1751" s="86">
        <f t="shared" si="138"/>
        <v>390</v>
      </c>
      <c r="L1751" s="86">
        <f t="shared" si="139"/>
        <v>0</v>
      </c>
    </row>
    <row r="1752" spans="2:12" x14ac:dyDescent="0.2">
      <c r="B1752">
        <v>10921</v>
      </c>
      <c r="C1752">
        <v>35</v>
      </c>
      <c r="D1752" s="84">
        <v>18</v>
      </c>
      <c r="E1752">
        <v>10</v>
      </c>
      <c r="F1752" s="85">
        <v>0</v>
      </c>
      <c r="G1752" s="86">
        <f t="shared" si="135"/>
        <v>180</v>
      </c>
      <c r="H1752" s="86">
        <f t="shared" si="136"/>
        <v>0</v>
      </c>
      <c r="I1752" s="86">
        <f t="shared" si="137"/>
        <v>180</v>
      </c>
      <c r="J1752" s="84">
        <f>VLOOKUP(C1752, Products[], 6)</f>
        <v>18</v>
      </c>
      <c r="K1752" s="86">
        <f t="shared" si="138"/>
        <v>180</v>
      </c>
      <c r="L1752" s="86">
        <f t="shared" si="139"/>
        <v>0</v>
      </c>
    </row>
    <row r="1753" spans="2:12" x14ac:dyDescent="0.2">
      <c r="B1753">
        <v>10921</v>
      </c>
      <c r="C1753">
        <v>63</v>
      </c>
      <c r="D1753" s="84">
        <v>43.9</v>
      </c>
      <c r="E1753">
        <v>40</v>
      </c>
      <c r="F1753" s="85">
        <v>0</v>
      </c>
      <c r="G1753" s="86">
        <f t="shared" si="135"/>
        <v>1756</v>
      </c>
      <c r="H1753" s="86">
        <f t="shared" si="136"/>
        <v>0</v>
      </c>
      <c r="I1753" s="86">
        <f t="shared" si="137"/>
        <v>1756</v>
      </c>
      <c r="J1753" s="84">
        <f>VLOOKUP(C1753, Products[], 6)</f>
        <v>43.9</v>
      </c>
      <c r="K1753" s="86">
        <f t="shared" si="138"/>
        <v>1756</v>
      </c>
      <c r="L1753" s="86">
        <f t="shared" si="139"/>
        <v>0</v>
      </c>
    </row>
    <row r="1754" spans="2:12" x14ac:dyDescent="0.2">
      <c r="B1754">
        <v>10922</v>
      </c>
      <c r="C1754">
        <v>17</v>
      </c>
      <c r="D1754" s="84">
        <v>39</v>
      </c>
      <c r="E1754">
        <v>15</v>
      </c>
      <c r="F1754" s="85">
        <v>0</v>
      </c>
      <c r="G1754" s="86">
        <f t="shared" si="135"/>
        <v>585</v>
      </c>
      <c r="H1754" s="86">
        <f t="shared" si="136"/>
        <v>0</v>
      </c>
      <c r="I1754" s="86">
        <f t="shared" si="137"/>
        <v>585</v>
      </c>
      <c r="J1754" s="84">
        <f>VLOOKUP(C1754, Products[], 6)</f>
        <v>39</v>
      </c>
      <c r="K1754" s="86">
        <f t="shared" si="138"/>
        <v>585</v>
      </c>
      <c r="L1754" s="86">
        <f t="shared" si="139"/>
        <v>0</v>
      </c>
    </row>
    <row r="1755" spans="2:12" x14ac:dyDescent="0.2">
      <c r="B1755">
        <v>10922</v>
      </c>
      <c r="C1755">
        <v>24</v>
      </c>
      <c r="D1755" s="84">
        <v>4.5</v>
      </c>
      <c r="E1755">
        <v>35</v>
      </c>
      <c r="F1755" s="85">
        <v>0</v>
      </c>
      <c r="G1755" s="86">
        <f t="shared" si="135"/>
        <v>157.5</v>
      </c>
      <c r="H1755" s="86">
        <f t="shared" si="136"/>
        <v>0</v>
      </c>
      <c r="I1755" s="86">
        <f t="shared" si="137"/>
        <v>157.5</v>
      </c>
      <c r="J1755" s="84">
        <f>VLOOKUP(C1755, Products[], 6)</f>
        <v>4.5</v>
      </c>
      <c r="K1755" s="86">
        <f t="shared" si="138"/>
        <v>157.5</v>
      </c>
      <c r="L1755" s="86">
        <f t="shared" si="139"/>
        <v>0</v>
      </c>
    </row>
    <row r="1756" spans="2:12" x14ac:dyDescent="0.2">
      <c r="B1756">
        <v>10923</v>
      </c>
      <c r="C1756">
        <v>42</v>
      </c>
      <c r="D1756" s="84">
        <v>14</v>
      </c>
      <c r="E1756">
        <v>10</v>
      </c>
      <c r="F1756" s="85">
        <v>0.2</v>
      </c>
      <c r="G1756" s="86">
        <f t="shared" si="135"/>
        <v>140</v>
      </c>
      <c r="H1756" s="86">
        <f t="shared" si="136"/>
        <v>28</v>
      </c>
      <c r="I1756" s="86">
        <f t="shared" si="137"/>
        <v>112</v>
      </c>
      <c r="J1756" s="84">
        <f>VLOOKUP(C1756, Products[], 6)</f>
        <v>14</v>
      </c>
      <c r="K1756" s="86">
        <f t="shared" si="138"/>
        <v>140</v>
      </c>
      <c r="L1756" s="86">
        <f t="shared" si="139"/>
        <v>-28</v>
      </c>
    </row>
    <row r="1757" spans="2:12" x14ac:dyDescent="0.2">
      <c r="B1757">
        <v>10923</v>
      </c>
      <c r="C1757">
        <v>43</v>
      </c>
      <c r="D1757" s="84">
        <v>46</v>
      </c>
      <c r="E1757">
        <v>10</v>
      </c>
      <c r="F1757" s="85">
        <v>0.2</v>
      </c>
      <c r="G1757" s="86">
        <f t="shared" si="135"/>
        <v>460</v>
      </c>
      <c r="H1757" s="86">
        <f t="shared" si="136"/>
        <v>92</v>
      </c>
      <c r="I1757" s="86">
        <f t="shared" si="137"/>
        <v>368</v>
      </c>
      <c r="J1757" s="84">
        <f>VLOOKUP(C1757, Products[], 6)</f>
        <v>46</v>
      </c>
      <c r="K1757" s="86">
        <f t="shared" si="138"/>
        <v>460</v>
      </c>
      <c r="L1757" s="86">
        <f t="shared" si="139"/>
        <v>-92</v>
      </c>
    </row>
    <row r="1758" spans="2:12" x14ac:dyDescent="0.2">
      <c r="B1758">
        <v>10923</v>
      </c>
      <c r="C1758">
        <v>67</v>
      </c>
      <c r="D1758" s="84">
        <v>14</v>
      </c>
      <c r="E1758">
        <v>24</v>
      </c>
      <c r="F1758" s="85">
        <v>0.2</v>
      </c>
      <c r="G1758" s="86">
        <f t="shared" si="135"/>
        <v>336</v>
      </c>
      <c r="H1758" s="86">
        <f t="shared" si="136"/>
        <v>67.2</v>
      </c>
      <c r="I1758" s="86">
        <f t="shared" si="137"/>
        <v>268.8</v>
      </c>
      <c r="J1758" s="84">
        <f>VLOOKUP(C1758, Products[], 6)</f>
        <v>14</v>
      </c>
      <c r="K1758" s="86">
        <f t="shared" si="138"/>
        <v>336</v>
      </c>
      <c r="L1758" s="86">
        <f t="shared" si="139"/>
        <v>-67.199999999999989</v>
      </c>
    </row>
    <row r="1759" spans="2:12" x14ac:dyDescent="0.2">
      <c r="B1759">
        <v>10924</v>
      </c>
      <c r="C1759">
        <v>10</v>
      </c>
      <c r="D1759" s="84">
        <v>31</v>
      </c>
      <c r="E1759">
        <v>20</v>
      </c>
      <c r="F1759" s="85">
        <v>0.1</v>
      </c>
      <c r="G1759" s="86">
        <f t="shared" si="135"/>
        <v>620</v>
      </c>
      <c r="H1759" s="86">
        <f t="shared" si="136"/>
        <v>62</v>
      </c>
      <c r="I1759" s="86">
        <f t="shared" si="137"/>
        <v>558</v>
      </c>
      <c r="J1759" s="84">
        <f>VLOOKUP(C1759, Products[], 6)</f>
        <v>31</v>
      </c>
      <c r="K1759" s="86">
        <f t="shared" si="138"/>
        <v>620</v>
      </c>
      <c r="L1759" s="86">
        <f t="shared" si="139"/>
        <v>-62</v>
      </c>
    </row>
    <row r="1760" spans="2:12" x14ac:dyDescent="0.2">
      <c r="B1760">
        <v>10924</v>
      </c>
      <c r="C1760">
        <v>28</v>
      </c>
      <c r="D1760" s="84">
        <v>45.6</v>
      </c>
      <c r="E1760">
        <v>30</v>
      </c>
      <c r="F1760" s="85">
        <v>0.1</v>
      </c>
      <c r="G1760" s="86">
        <f t="shared" si="135"/>
        <v>1368</v>
      </c>
      <c r="H1760" s="86">
        <f t="shared" si="136"/>
        <v>136.80000000000001</v>
      </c>
      <c r="I1760" s="86">
        <f t="shared" si="137"/>
        <v>1231.2</v>
      </c>
      <c r="J1760" s="84">
        <f>VLOOKUP(C1760, Products[], 6)</f>
        <v>45.6</v>
      </c>
      <c r="K1760" s="86">
        <f t="shared" si="138"/>
        <v>1368</v>
      </c>
      <c r="L1760" s="86">
        <f t="shared" si="139"/>
        <v>-136.79999999999995</v>
      </c>
    </row>
    <row r="1761" spans="2:12" x14ac:dyDescent="0.2">
      <c r="B1761">
        <v>10924</v>
      </c>
      <c r="C1761">
        <v>75</v>
      </c>
      <c r="D1761" s="84">
        <v>7.75</v>
      </c>
      <c r="E1761">
        <v>6</v>
      </c>
      <c r="F1761" s="85">
        <v>0</v>
      </c>
      <c r="G1761" s="86">
        <f t="shared" si="135"/>
        <v>46.5</v>
      </c>
      <c r="H1761" s="86">
        <f t="shared" si="136"/>
        <v>0</v>
      </c>
      <c r="I1761" s="86">
        <f t="shared" si="137"/>
        <v>46.5</v>
      </c>
      <c r="J1761" s="84">
        <f>VLOOKUP(C1761, Products[], 6)</f>
        <v>7.75</v>
      </c>
      <c r="K1761" s="86">
        <f t="shared" si="138"/>
        <v>46.5</v>
      </c>
      <c r="L1761" s="86">
        <f t="shared" si="139"/>
        <v>0</v>
      </c>
    </row>
    <row r="1762" spans="2:12" x14ac:dyDescent="0.2">
      <c r="B1762">
        <v>10925</v>
      </c>
      <c r="C1762">
        <v>36</v>
      </c>
      <c r="D1762" s="84">
        <v>19</v>
      </c>
      <c r="E1762">
        <v>25</v>
      </c>
      <c r="F1762" s="85">
        <v>0.15</v>
      </c>
      <c r="G1762" s="86">
        <f t="shared" si="135"/>
        <v>475</v>
      </c>
      <c r="H1762" s="86">
        <f t="shared" si="136"/>
        <v>71.25</v>
      </c>
      <c r="I1762" s="86">
        <f t="shared" si="137"/>
        <v>403.75</v>
      </c>
      <c r="J1762" s="84">
        <f>VLOOKUP(C1762, Products[], 6)</f>
        <v>19</v>
      </c>
      <c r="K1762" s="86">
        <f t="shared" si="138"/>
        <v>475</v>
      </c>
      <c r="L1762" s="86">
        <f t="shared" si="139"/>
        <v>-71.25</v>
      </c>
    </row>
    <row r="1763" spans="2:12" x14ac:dyDescent="0.2">
      <c r="B1763">
        <v>10925</v>
      </c>
      <c r="C1763">
        <v>52</v>
      </c>
      <c r="D1763" s="84">
        <v>7</v>
      </c>
      <c r="E1763">
        <v>12</v>
      </c>
      <c r="F1763" s="85">
        <v>0.15</v>
      </c>
      <c r="G1763" s="86">
        <f t="shared" si="135"/>
        <v>84</v>
      </c>
      <c r="H1763" s="86">
        <f t="shared" si="136"/>
        <v>12.6</v>
      </c>
      <c r="I1763" s="86">
        <f t="shared" si="137"/>
        <v>71.400000000000006</v>
      </c>
      <c r="J1763" s="84">
        <f>VLOOKUP(C1763, Products[], 6)</f>
        <v>7</v>
      </c>
      <c r="K1763" s="86">
        <f t="shared" si="138"/>
        <v>84</v>
      </c>
      <c r="L1763" s="86">
        <f t="shared" si="139"/>
        <v>-12.599999999999994</v>
      </c>
    </row>
    <row r="1764" spans="2:12" x14ac:dyDescent="0.2">
      <c r="B1764">
        <v>10926</v>
      </c>
      <c r="C1764">
        <v>11</v>
      </c>
      <c r="D1764" s="84">
        <v>21</v>
      </c>
      <c r="E1764">
        <v>2</v>
      </c>
      <c r="F1764" s="85">
        <v>0</v>
      </c>
      <c r="G1764" s="86">
        <f t="shared" si="135"/>
        <v>42</v>
      </c>
      <c r="H1764" s="86">
        <f t="shared" si="136"/>
        <v>0</v>
      </c>
      <c r="I1764" s="86">
        <f t="shared" si="137"/>
        <v>42</v>
      </c>
      <c r="J1764" s="84">
        <f>VLOOKUP(C1764, Products[], 6)</f>
        <v>21</v>
      </c>
      <c r="K1764" s="86">
        <f t="shared" si="138"/>
        <v>42</v>
      </c>
      <c r="L1764" s="86">
        <f t="shared" si="139"/>
        <v>0</v>
      </c>
    </row>
    <row r="1765" spans="2:12" x14ac:dyDescent="0.2">
      <c r="B1765">
        <v>10926</v>
      </c>
      <c r="C1765">
        <v>13</v>
      </c>
      <c r="D1765" s="84">
        <v>6</v>
      </c>
      <c r="E1765">
        <v>10</v>
      </c>
      <c r="F1765" s="85">
        <v>0</v>
      </c>
      <c r="G1765" s="86">
        <f t="shared" si="135"/>
        <v>60</v>
      </c>
      <c r="H1765" s="86">
        <f t="shared" si="136"/>
        <v>0</v>
      </c>
      <c r="I1765" s="86">
        <f t="shared" si="137"/>
        <v>60</v>
      </c>
      <c r="J1765" s="84">
        <f>VLOOKUP(C1765, Products[], 6)</f>
        <v>6</v>
      </c>
      <c r="K1765" s="86">
        <f t="shared" si="138"/>
        <v>60</v>
      </c>
      <c r="L1765" s="86">
        <f t="shared" si="139"/>
        <v>0</v>
      </c>
    </row>
    <row r="1766" spans="2:12" x14ac:dyDescent="0.2">
      <c r="B1766">
        <v>10926</v>
      </c>
      <c r="C1766">
        <v>19</v>
      </c>
      <c r="D1766" s="84">
        <v>9.1999999999999993</v>
      </c>
      <c r="E1766">
        <v>7</v>
      </c>
      <c r="F1766" s="85">
        <v>0</v>
      </c>
      <c r="G1766" s="86">
        <f t="shared" si="135"/>
        <v>64.399999999999991</v>
      </c>
      <c r="H1766" s="86">
        <f t="shared" si="136"/>
        <v>0</v>
      </c>
      <c r="I1766" s="86">
        <f t="shared" si="137"/>
        <v>64.399999999999991</v>
      </c>
      <c r="J1766" s="84">
        <f>VLOOKUP(C1766, Products[], 6)</f>
        <v>9.1999999999999993</v>
      </c>
      <c r="K1766" s="86">
        <f t="shared" si="138"/>
        <v>64.399999999999991</v>
      </c>
      <c r="L1766" s="86">
        <f t="shared" si="139"/>
        <v>0</v>
      </c>
    </row>
    <row r="1767" spans="2:12" x14ac:dyDescent="0.2">
      <c r="B1767">
        <v>10926</v>
      </c>
      <c r="C1767">
        <v>72</v>
      </c>
      <c r="D1767" s="84">
        <v>34.799999999999997</v>
      </c>
      <c r="E1767">
        <v>10</v>
      </c>
      <c r="F1767" s="85">
        <v>0</v>
      </c>
      <c r="G1767" s="86">
        <f t="shared" si="135"/>
        <v>348</v>
      </c>
      <c r="H1767" s="86">
        <f t="shared" si="136"/>
        <v>0</v>
      </c>
      <c r="I1767" s="86">
        <f t="shared" si="137"/>
        <v>348</v>
      </c>
      <c r="J1767" s="84">
        <f>VLOOKUP(C1767, Products[], 6)</f>
        <v>34.799999999999997</v>
      </c>
      <c r="K1767" s="86">
        <f t="shared" si="138"/>
        <v>348</v>
      </c>
      <c r="L1767" s="86">
        <f t="shared" si="139"/>
        <v>0</v>
      </c>
    </row>
    <row r="1768" spans="2:12" x14ac:dyDescent="0.2">
      <c r="B1768">
        <v>10927</v>
      </c>
      <c r="C1768">
        <v>20</v>
      </c>
      <c r="D1768" s="84">
        <v>81</v>
      </c>
      <c r="E1768">
        <v>5</v>
      </c>
      <c r="F1768" s="85">
        <v>0</v>
      </c>
      <c r="G1768" s="86">
        <f t="shared" si="135"/>
        <v>405</v>
      </c>
      <c r="H1768" s="86">
        <f t="shared" si="136"/>
        <v>0</v>
      </c>
      <c r="I1768" s="86">
        <f t="shared" si="137"/>
        <v>405</v>
      </c>
      <c r="J1768" s="84">
        <f>VLOOKUP(C1768, Products[], 6)</f>
        <v>81</v>
      </c>
      <c r="K1768" s="86">
        <f t="shared" si="138"/>
        <v>405</v>
      </c>
      <c r="L1768" s="86">
        <f t="shared" si="139"/>
        <v>0</v>
      </c>
    </row>
    <row r="1769" spans="2:12" x14ac:dyDescent="0.2">
      <c r="B1769">
        <v>10927</v>
      </c>
      <c r="C1769">
        <v>52</v>
      </c>
      <c r="D1769" s="84">
        <v>7</v>
      </c>
      <c r="E1769">
        <v>5</v>
      </c>
      <c r="F1769" s="85">
        <v>0</v>
      </c>
      <c r="G1769" s="86">
        <f t="shared" si="135"/>
        <v>35</v>
      </c>
      <c r="H1769" s="86">
        <f t="shared" si="136"/>
        <v>0</v>
      </c>
      <c r="I1769" s="86">
        <f t="shared" si="137"/>
        <v>35</v>
      </c>
      <c r="J1769" s="84">
        <f>VLOOKUP(C1769, Products[], 6)</f>
        <v>7</v>
      </c>
      <c r="K1769" s="86">
        <f t="shared" si="138"/>
        <v>35</v>
      </c>
      <c r="L1769" s="86">
        <f t="shared" si="139"/>
        <v>0</v>
      </c>
    </row>
    <row r="1770" spans="2:12" x14ac:dyDescent="0.2">
      <c r="B1770">
        <v>10927</v>
      </c>
      <c r="C1770">
        <v>76</v>
      </c>
      <c r="D1770" s="84">
        <v>18</v>
      </c>
      <c r="E1770">
        <v>20</v>
      </c>
      <c r="F1770" s="85">
        <v>0</v>
      </c>
      <c r="G1770" s="86">
        <f t="shared" si="135"/>
        <v>360</v>
      </c>
      <c r="H1770" s="86">
        <f t="shared" si="136"/>
        <v>0</v>
      </c>
      <c r="I1770" s="86">
        <f t="shared" si="137"/>
        <v>360</v>
      </c>
      <c r="J1770" s="84">
        <f>VLOOKUP(C1770, Products[], 6)</f>
        <v>18</v>
      </c>
      <c r="K1770" s="86">
        <f t="shared" si="138"/>
        <v>360</v>
      </c>
      <c r="L1770" s="86">
        <f t="shared" si="139"/>
        <v>0</v>
      </c>
    </row>
    <row r="1771" spans="2:12" x14ac:dyDescent="0.2">
      <c r="B1771">
        <v>10928</v>
      </c>
      <c r="C1771">
        <v>47</v>
      </c>
      <c r="D1771" s="84">
        <v>9.5</v>
      </c>
      <c r="E1771">
        <v>5</v>
      </c>
      <c r="F1771" s="85">
        <v>0</v>
      </c>
      <c r="G1771" s="86">
        <f t="shared" si="135"/>
        <v>47.5</v>
      </c>
      <c r="H1771" s="86">
        <f t="shared" si="136"/>
        <v>0</v>
      </c>
      <c r="I1771" s="86">
        <f t="shared" si="137"/>
        <v>47.5</v>
      </c>
      <c r="J1771" s="84">
        <f>VLOOKUP(C1771, Products[], 6)</f>
        <v>9.5</v>
      </c>
      <c r="K1771" s="86">
        <f t="shared" si="138"/>
        <v>47.5</v>
      </c>
      <c r="L1771" s="86">
        <f t="shared" si="139"/>
        <v>0</v>
      </c>
    </row>
    <row r="1772" spans="2:12" x14ac:dyDescent="0.2">
      <c r="B1772">
        <v>10928</v>
      </c>
      <c r="C1772">
        <v>76</v>
      </c>
      <c r="D1772" s="84">
        <v>18</v>
      </c>
      <c r="E1772">
        <v>5</v>
      </c>
      <c r="F1772" s="85">
        <v>0</v>
      </c>
      <c r="G1772" s="86">
        <f t="shared" si="135"/>
        <v>90</v>
      </c>
      <c r="H1772" s="86">
        <f t="shared" si="136"/>
        <v>0</v>
      </c>
      <c r="I1772" s="86">
        <f t="shared" si="137"/>
        <v>90</v>
      </c>
      <c r="J1772" s="84">
        <f>VLOOKUP(C1772, Products[], 6)</f>
        <v>18</v>
      </c>
      <c r="K1772" s="86">
        <f t="shared" si="138"/>
        <v>90</v>
      </c>
      <c r="L1772" s="86">
        <f t="shared" si="139"/>
        <v>0</v>
      </c>
    </row>
    <row r="1773" spans="2:12" x14ac:dyDescent="0.2">
      <c r="B1773">
        <v>10929</v>
      </c>
      <c r="C1773">
        <v>21</v>
      </c>
      <c r="D1773" s="84">
        <v>10</v>
      </c>
      <c r="E1773">
        <v>60</v>
      </c>
      <c r="F1773" s="85">
        <v>0</v>
      </c>
      <c r="G1773" s="86">
        <f t="shared" si="135"/>
        <v>600</v>
      </c>
      <c r="H1773" s="86">
        <f t="shared" si="136"/>
        <v>0</v>
      </c>
      <c r="I1773" s="86">
        <f t="shared" si="137"/>
        <v>600</v>
      </c>
      <c r="J1773" s="84">
        <f>VLOOKUP(C1773, Products[], 6)</f>
        <v>10</v>
      </c>
      <c r="K1773" s="86">
        <f t="shared" si="138"/>
        <v>600</v>
      </c>
      <c r="L1773" s="86">
        <f t="shared" si="139"/>
        <v>0</v>
      </c>
    </row>
    <row r="1774" spans="2:12" x14ac:dyDescent="0.2">
      <c r="B1774">
        <v>10929</v>
      </c>
      <c r="C1774">
        <v>75</v>
      </c>
      <c r="D1774" s="84">
        <v>7.75</v>
      </c>
      <c r="E1774">
        <v>49</v>
      </c>
      <c r="F1774" s="85">
        <v>0</v>
      </c>
      <c r="G1774" s="86">
        <f t="shared" si="135"/>
        <v>379.75</v>
      </c>
      <c r="H1774" s="86">
        <f t="shared" si="136"/>
        <v>0</v>
      </c>
      <c r="I1774" s="86">
        <f t="shared" si="137"/>
        <v>379.75</v>
      </c>
      <c r="J1774" s="84">
        <f>VLOOKUP(C1774, Products[], 6)</f>
        <v>7.75</v>
      </c>
      <c r="K1774" s="86">
        <f t="shared" si="138"/>
        <v>379.75</v>
      </c>
      <c r="L1774" s="86">
        <f t="shared" si="139"/>
        <v>0</v>
      </c>
    </row>
    <row r="1775" spans="2:12" x14ac:dyDescent="0.2">
      <c r="B1775">
        <v>10929</v>
      </c>
      <c r="C1775">
        <v>77</v>
      </c>
      <c r="D1775" s="84">
        <v>13</v>
      </c>
      <c r="E1775">
        <v>15</v>
      </c>
      <c r="F1775" s="85">
        <v>0</v>
      </c>
      <c r="G1775" s="86">
        <f t="shared" si="135"/>
        <v>195</v>
      </c>
      <c r="H1775" s="86">
        <f t="shared" si="136"/>
        <v>0</v>
      </c>
      <c r="I1775" s="86">
        <f t="shared" si="137"/>
        <v>195</v>
      </c>
      <c r="J1775" s="84">
        <f>VLOOKUP(C1775, Products[], 6)</f>
        <v>13</v>
      </c>
      <c r="K1775" s="86">
        <f t="shared" si="138"/>
        <v>195</v>
      </c>
      <c r="L1775" s="86">
        <f t="shared" si="139"/>
        <v>0</v>
      </c>
    </row>
    <row r="1776" spans="2:12" x14ac:dyDescent="0.2">
      <c r="B1776">
        <v>10930</v>
      </c>
      <c r="C1776">
        <v>21</v>
      </c>
      <c r="D1776" s="84">
        <v>10</v>
      </c>
      <c r="E1776">
        <v>36</v>
      </c>
      <c r="F1776" s="85">
        <v>0</v>
      </c>
      <c r="G1776" s="86">
        <f t="shared" si="135"/>
        <v>360</v>
      </c>
      <c r="H1776" s="86">
        <f t="shared" si="136"/>
        <v>0</v>
      </c>
      <c r="I1776" s="86">
        <f t="shared" si="137"/>
        <v>360</v>
      </c>
      <c r="J1776" s="84">
        <f>VLOOKUP(C1776, Products[], 6)</f>
        <v>10</v>
      </c>
      <c r="K1776" s="86">
        <f t="shared" si="138"/>
        <v>360</v>
      </c>
      <c r="L1776" s="86">
        <f t="shared" si="139"/>
        <v>0</v>
      </c>
    </row>
    <row r="1777" spans="2:12" x14ac:dyDescent="0.2">
      <c r="B1777">
        <v>10930</v>
      </c>
      <c r="C1777">
        <v>27</v>
      </c>
      <c r="D1777" s="84">
        <v>43.9</v>
      </c>
      <c r="E1777">
        <v>25</v>
      </c>
      <c r="F1777" s="85">
        <v>0</v>
      </c>
      <c r="G1777" s="86">
        <f t="shared" si="135"/>
        <v>1097.5</v>
      </c>
      <c r="H1777" s="86">
        <f t="shared" si="136"/>
        <v>0</v>
      </c>
      <c r="I1777" s="86">
        <f t="shared" si="137"/>
        <v>1097.5</v>
      </c>
      <c r="J1777" s="84">
        <f>VLOOKUP(C1777, Products[], 6)</f>
        <v>43.9</v>
      </c>
      <c r="K1777" s="86">
        <f t="shared" si="138"/>
        <v>1097.5</v>
      </c>
      <c r="L1777" s="86">
        <f t="shared" si="139"/>
        <v>0</v>
      </c>
    </row>
    <row r="1778" spans="2:12" x14ac:dyDescent="0.2">
      <c r="B1778">
        <v>10930</v>
      </c>
      <c r="C1778">
        <v>55</v>
      </c>
      <c r="D1778" s="84">
        <v>24</v>
      </c>
      <c r="E1778">
        <v>25</v>
      </c>
      <c r="F1778" s="85">
        <v>0.2</v>
      </c>
      <c r="G1778" s="86">
        <f t="shared" si="135"/>
        <v>600</v>
      </c>
      <c r="H1778" s="86">
        <f t="shared" si="136"/>
        <v>120</v>
      </c>
      <c r="I1778" s="86">
        <f t="shared" si="137"/>
        <v>480</v>
      </c>
      <c r="J1778" s="84">
        <f>VLOOKUP(C1778, Products[], 6)</f>
        <v>24</v>
      </c>
      <c r="K1778" s="86">
        <f t="shared" si="138"/>
        <v>600</v>
      </c>
      <c r="L1778" s="86">
        <f t="shared" si="139"/>
        <v>-120</v>
      </c>
    </row>
    <row r="1779" spans="2:12" x14ac:dyDescent="0.2">
      <c r="B1779">
        <v>10930</v>
      </c>
      <c r="C1779">
        <v>58</v>
      </c>
      <c r="D1779" s="84">
        <v>13.25</v>
      </c>
      <c r="E1779">
        <v>30</v>
      </c>
      <c r="F1779" s="85">
        <v>0.2</v>
      </c>
      <c r="G1779" s="86">
        <f t="shared" si="135"/>
        <v>397.5</v>
      </c>
      <c r="H1779" s="86">
        <f t="shared" si="136"/>
        <v>79.5</v>
      </c>
      <c r="I1779" s="86">
        <f t="shared" si="137"/>
        <v>318</v>
      </c>
      <c r="J1779" s="84">
        <f>VLOOKUP(C1779, Products[], 6)</f>
        <v>13.25</v>
      </c>
      <c r="K1779" s="86">
        <f t="shared" si="138"/>
        <v>397.5</v>
      </c>
      <c r="L1779" s="86">
        <f t="shared" si="139"/>
        <v>-79.5</v>
      </c>
    </row>
    <row r="1780" spans="2:12" x14ac:dyDescent="0.2">
      <c r="B1780">
        <v>10931</v>
      </c>
      <c r="C1780">
        <v>13</v>
      </c>
      <c r="D1780" s="84">
        <v>6</v>
      </c>
      <c r="E1780">
        <v>42</v>
      </c>
      <c r="F1780" s="85">
        <v>0.15</v>
      </c>
      <c r="G1780" s="86">
        <f t="shared" si="135"/>
        <v>252</v>
      </c>
      <c r="H1780" s="86">
        <f t="shared" si="136"/>
        <v>37.799999999999997</v>
      </c>
      <c r="I1780" s="86">
        <f t="shared" si="137"/>
        <v>214.2</v>
      </c>
      <c r="J1780" s="84">
        <f>VLOOKUP(C1780, Products[], 6)</f>
        <v>6</v>
      </c>
      <c r="K1780" s="86">
        <f t="shared" si="138"/>
        <v>252</v>
      </c>
      <c r="L1780" s="86">
        <f t="shared" si="139"/>
        <v>-37.800000000000011</v>
      </c>
    </row>
    <row r="1781" spans="2:12" x14ac:dyDescent="0.2">
      <c r="B1781">
        <v>10931</v>
      </c>
      <c r="C1781">
        <v>57</v>
      </c>
      <c r="D1781" s="84">
        <v>19.5</v>
      </c>
      <c r="E1781">
        <v>30</v>
      </c>
      <c r="F1781" s="85">
        <v>0</v>
      </c>
      <c r="G1781" s="86">
        <f t="shared" si="135"/>
        <v>585</v>
      </c>
      <c r="H1781" s="86">
        <f t="shared" si="136"/>
        <v>0</v>
      </c>
      <c r="I1781" s="86">
        <f t="shared" si="137"/>
        <v>585</v>
      </c>
      <c r="J1781" s="84">
        <f>VLOOKUP(C1781, Products[], 6)</f>
        <v>19.5</v>
      </c>
      <c r="K1781" s="86">
        <f t="shared" si="138"/>
        <v>585</v>
      </c>
      <c r="L1781" s="86">
        <f t="shared" si="139"/>
        <v>0</v>
      </c>
    </row>
    <row r="1782" spans="2:12" x14ac:dyDescent="0.2">
      <c r="B1782">
        <v>10932</v>
      </c>
      <c r="C1782">
        <v>16</v>
      </c>
      <c r="D1782" s="84">
        <v>17.45</v>
      </c>
      <c r="E1782">
        <v>30</v>
      </c>
      <c r="F1782" s="85">
        <v>0.1</v>
      </c>
      <c r="G1782" s="86">
        <f t="shared" si="135"/>
        <v>523.5</v>
      </c>
      <c r="H1782" s="86">
        <f t="shared" si="136"/>
        <v>52.35</v>
      </c>
      <c r="I1782" s="86">
        <f t="shared" si="137"/>
        <v>471.15</v>
      </c>
      <c r="J1782" s="84">
        <f>VLOOKUP(C1782, Products[], 6)</f>
        <v>17.45</v>
      </c>
      <c r="K1782" s="86">
        <f t="shared" si="138"/>
        <v>523.5</v>
      </c>
      <c r="L1782" s="86">
        <f t="shared" si="139"/>
        <v>-52.350000000000023</v>
      </c>
    </row>
    <row r="1783" spans="2:12" x14ac:dyDescent="0.2">
      <c r="B1783">
        <v>10932</v>
      </c>
      <c r="C1783">
        <v>62</v>
      </c>
      <c r="D1783" s="84">
        <v>49.3</v>
      </c>
      <c r="E1783">
        <v>14</v>
      </c>
      <c r="F1783" s="85">
        <v>0.1</v>
      </c>
      <c r="G1783" s="86">
        <f t="shared" si="135"/>
        <v>690.19999999999993</v>
      </c>
      <c r="H1783" s="86">
        <f t="shared" si="136"/>
        <v>69.02</v>
      </c>
      <c r="I1783" s="86">
        <f t="shared" si="137"/>
        <v>621.17999999999995</v>
      </c>
      <c r="J1783" s="84">
        <f>VLOOKUP(C1783, Products[], 6)</f>
        <v>49.3</v>
      </c>
      <c r="K1783" s="86">
        <f t="shared" si="138"/>
        <v>690.19999999999993</v>
      </c>
      <c r="L1783" s="86">
        <f t="shared" si="139"/>
        <v>-69.019999999999982</v>
      </c>
    </row>
    <row r="1784" spans="2:12" x14ac:dyDescent="0.2">
      <c r="B1784">
        <v>10932</v>
      </c>
      <c r="C1784">
        <v>72</v>
      </c>
      <c r="D1784" s="84">
        <v>34.799999999999997</v>
      </c>
      <c r="E1784">
        <v>16</v>
      </c>
      <c r="F1784" s="85">
        <v>0</v>
      </c>
      <c r="G1784" s="86">
        <f t="shared" si="135"/>
        <v>556.79999999999995</v>
      </c>
      <c r="H1784" s="86">
        <f t="shared" si="136"/>
        <v>0</v>
      </c>
      <c r="I1784" s="86">
        <f t="shared" si="137"/>
        <v>556.79999999999995</v>
      </c>
      <c r="J1784" s="84">
        <f>VLOOKUP(C1784, Products[], 6)</f>
        <v>34.799999999999997</v>
      </c>
      <c r="K1784" s="86">
        <f t="shared" si="138"/>
        <v>556.79999999999995</v>
      </c>
      <c r="L1784" s="86">
        <f t="shared" si="139"/>
        <v>0</v>
      </c>
    </row>
    <row r="1785" spans="2:12" x14ac:dyDescent="0.2">
      <c r="B1785">
        <v>10932</v>
      </c>
      <c r="C1785">
        <v>75</v>
      </c>
      <c r="D1785" s="84">
        <v>7.75</v>
      </c>
      <c r="E1785">
        <v>20</v>
      </c>
      <c r="F1785" s="85">
        <v>0.1</v>
      </c>
      <c r="G1785" s="86">
        <f t="shared" si="135"/>
        <v>155</v>
      </c>
      <c r="H1785" s="86">
        <f t="shared" si="136"/>
        <v>15.5</v>
      </c>
      <c r="I1785" s="86">
        <f t="shared" si="137"/>
        <v>139.5</v>
      </c>
      <c r="J1785" s="84">
        <f>VLOOKUP(C1785, Products[], 6)</f>
        <v>7.75</v>
      </c>
      <c r="K1785" s="86">
        <f t="shared" si="138"/>
        <v>155</v>
      </c>
      <c r="L1785" s="86">
        <f t="shared" si="139"/>
        <v>-15.5</v>
      </c>
    </row>
    <row r="1786" spans="2:12" x14ac:dyDescent="0.2">
      <c r="B1786">
        <v>10933</v>
      </c>
      <c r="C1786">
        <v>53</v>
      </c>
      <c r="D1786" s="84">
        <v>32.799999999999997</v>
      </c>
      <c r="E1786">
        <v>2</v>
      </c>
      <c r="F1786" s="85">
        <v>0</v>
      </c>
      <c r="G1786" s="86">
        <f t="shared" si="135"/>
        <v>65.599999999999994</v>
      </c>
      <c r="H1786" s="86">
        <f t="shared" si="136"/>
        <v>0</v>
      </c>
      <c r="I1786" s="86">
        <f t="shared" si="137"/>
        <v>65.599999999999994</v>
      </c>
      <c r="J1786" s="84">
        <f>VLOOKUP(C1786, Products[], 6)</f>
        <v>32.799999999999997</v>
      </c>
      <c r="K1786" s="86">
        <f t="shared" si="138"/>
        <v>65.599999999999994</v>
      </c>
      <c r="L1786" s="86">
        <f t="shared" si="139"/>
        <v>0</v>
      </c>
    </row>
    <row r="1787" spans="2:12" x14ac:dyDescent="0.2">
      <c r="B1787">
        <v>10933</v>
      </c>
      <c r="C1787">
        <v>61</v>
      </c>
      <c r="D1787" s="84">
        <v>28.5</v>
      </c>
      <c r="E1787">
        <v>30</v>
      </c>
      <c r="F1787" s="85">
        <v>0</v>
      </c>
      <c r="G1787" s="86">
        <f t="shared" si="135"/>
        <v>855</v>
      </c>
      <c r="H1787" s="86">
        <f t="shared" si="136"/>
        <v>0</v>
      </c>
      <c r="I1787" s="86">
        <f t="shared" si="137"/>
        <v>855</v>
      </c>
      <c r="J1787" s="84">
        <f>VLOOKUP(C1787, Products[], 6)</f>
        <v>28.5</v>
      </c>
      <c r="K1787" s="86">
        <f t="shared" si="138"/>
        <v>855</v>
      </c>
      <c r="L1787" s="86">
        <f t="shared" si="139"/>
        <v>0</v>
      </c>
    </row>
    <row r="1788" spans="2:12" x14ac:dyDescent="0.2">
      <c r="B1788">
        <v>10934</v>
      </c>
      <c r="C1788">
        <v>6</v>
      </c>
      <c r="D1788" s="84">
        <v>25</v>
      </c>
      <c r="E1788">
        <v>20</v>
      </c>
      <c r="F1788" s="85">
        <v>0</v>
      </c>
      <c r="G1788" s="86">
        <f t="shared" si="135"/>
        <v>500</v>
      </c>
      <c r="H1788" s="86">
        <f t="shared" si="136"/>
        <v>0</v>
      </c>
      <c r="I1788" s="86">
        <f t="shared" si="137"/>
        <v>500</v>
      </c>
      <c r="J1788" s="84">
        <f>VLOOKUP(C1788, Products[], 6)</f>
        <v>25</v>
      </c>
      <c r="K1788" s="86">
        <f t="shared" si="138"/>
        <v>500</v>
      </c>
      <c r="L1788" s="86">
        <f t="shared" si="139"/>
        <v>0</v>
      </c>
    </row>
    <row r="1789" spans="2:12" x14ac:dyDescent="0.2">
      <c r="B1789">
        <v>10935</v>
      </c>
      <c r="C1789">
        <v>1</v>
      </c>
      <c r="D1789" s="84">
        <v>18</v>
      </c>
      <c r="E1789">
        <v>21</v>
      </c>
      <c r="F1789" s="85">
        <v>0</v>
      </c>
      <c r="G1789" s="86">
        <f t="shared" si="135"/>
        <v>378</v>
      </c>
      <c r="H1789" s="86">
        <f t="shared" si="136"/>
        <v>0</v>
      </c>
      <c r="I1789" s="86">
        <f t="shared" si="137"/>
        <v>378</v>
      </c>
      <c r="J1789" s="84">
        <f>VLOOKUP(C1789, Products[], 6)</f>
        <v>18</v>
      </c>
      <c r="K1789" s="86">
        <f t="shared" si="138"/>
        <v>378</v>
      </c>
      <c r="L1789" s="86">
        <f t="shared" si="139"/>
        <v>0</v>
      </c>
    </row>
    <row r="1790" spans="2:12" x14ac:dyDescent="0.2">
      <c r="B1790">
        <v>10935</v>
      </c>
      <c r="C1790">
        <v>18</v>
      </c>
      <c r="D1790" s="84">
        <v>62.5</v>
      </c>
      <c r="E1790">
        <v>4</v>
      </c>
      <c r="F1790" s="85">
        <v>0.25</v>
      </c>
      <c r="G1790" s="86">
        <f t="shared" si="135"/>
        <v>250</v>
      </c>
      <c r="H1790" s="86">
        <f t="shared" si="136"/>
        <v>62.5</v>
      </c>
      <c r="I1790" s="86">
        <f t="shared" si="137"/>
        <v>187.5</v>
      </c>
      <c r="J1790" s="84">
        <f>VLOOKUP(C1790, Products[], 6)</f>
        <v>62.5</v>
      </c>
      <c r="K1790" s="86">
        <f t="shared" si="138"/>
        <v>250</v>
      </c>
      <c r="L1790" s="86">
        <f t="shared" si="139"/>
        <v>-62.5</v>
      </c>
    </row>
    <row r="1791" spans="2:12" x14ac:dyDescent="0.2">
      <c r="B1791">
        <v>10935</v>
      </c>
      <c r="C1791">
        <v>23</v>
      </c>
      <c r="D1791" s="84">
        <v>9</v>
      </c>
      <c r="E1791">
        <v>8</v>
      </c>
      <c r="F1791" s="85">
        <v>0.25</v>
      </c>
      <c r="G1791" s="86">
        <f t="shared" si="135"/>
        <v>72</v>
      </c>
      <c r="H1791" s="86">
        <f t="shared" si="136"/>
        <v>18</v>
      </c>
      <c r="I1791" s="86">
        <f t="shared" si="137"/>
        <v>54</v>
      </c>
      <c r="J1791" s="84">
        <f>VLOOKUP(C1791, Products[], 6)</f>
        <v>9</v>
      </c>
      <c r="K1791" s="86">
        <f t="shared" si="138"/>
        <v>72</v>
      </c>
      <c r="L1791" s="86">
        <f t="shared" si="139"/>
        <v>-18</v>
      </c>
    </row>
    <row r="1792" spans="2:12" x14ac:dyDescent="0.2">
      <c r="B1792">
        <v>10936</v>
      </c>
      <c r="C1792">
        <v>36</v>
      </c>
      <c r="D1792" s="84">
        <v>19</v>
      </c>
      <c r="E1792">
        <v>30</v>
      </c>
      <c r="F1792" s="85">
        <v>0.2</v>
      </c>
      <c r="G1792" s="86">
        <f t="shared" si="135"/>
        <v>570</v>
      </c>
      <c r="H1792" s="86">
        <f t="shared" si="136"/>
        <v>114</v>
      </c>
      <c r="I1792" s="86">
        <f t="shared" si="137"/>
        <v>456</v>
      </c>
      <c r="J1792" s="84">
        <f>VLOOKUP(C1792, Products[], 6)</f>
        <v>19</v>
      </c>
      <c r="K1792" s="86">
        <f t="shared" si="138"/>
        <v>570</v>
      </c>
      <c r="L1792" s="86">
        <f t="shared" si="139"/>
        <v>-114</v>
      </c>
    </row>
    <row r="1793" spans="2:12" x14ac:dyDescent="0.2">
      <c r="B1793">
        <v>10937</v>
      </c>
      <c r="C1793">
        <v>28</v>
      </c>
      <c r="D1793" s="84">
        <v>45.6</v>
      </c>
      <c r="E1793">
        <v>8</v>
      </c>
      <c r="F1793" s="85">
        <v>0</v>
      </c>
      <c r="G1793" s="86">
        <f t="shared" si="135"/>
        <v>364.8</v>
      </c>
      <c r="H1793" s="86">
        <f t="shared" si="136"/>
        <v>0</v>
      </c>
      <c r="I1793" s="86">
        <f t="shared" si="137"/>
        <v>364.8</v>
      </c>
      <c r="J1793" s="84">
        <f>VLOOKUP(C1793, Products[], 6)</f>
        <v>45.6</v>
      </c>
      <c r="K1793" s="86">
        <f t="shared" si="138"/>
        <v>364.8</v>
      </c>
      <c r="L1793" s="86">
        <f t="shared" si="139"/>
        <v>0</v>
      </c>
    </row>
    <row r="1794" spans="2:12" x14ac:dyDescent="0.2">
      <c r="B1794">
        <v>10937</v>
      </c>
      <c r="C1794">
        <v>34</v>
      </c>
      <c r="D1794" s="84">
        <v>14</v>
      </c>
      <c r="E1794">
        <v>20</v>
      </c>
      <c r="F1794" s="85">
        <v>0</v>
      </c>
      <c r="G1794" s="86">
        <f t="shared" si="135"/>
        <v>280</v>
      </c>
      <c r="H1794" s="86">
        <f t="shared" si="136"/>
        <v>0</v>
      </c>
      <c r="I1794" s="86">
        <f t="shared" si="137"/>
        <v>280</v>
      </c>
      <c r="J1794" s="84">
        <f>VLOOKUP(C1794, Products[], 6)</f>
        <v>14</v>
      </c>
      <c r="K1794" s="86">
        <f t="shared" si="138"/>
        <v>280</v>
      </c>
      <c r="L1794" s="86">
        <f t="shared" si="139"/>
        <v>0</v>
      </c>
    </row>
    <row r="1795" spans="2:12" x14ac:dyDescent="0.2">
      <c r="B1795">
        <v>10938</v>
      </c>
      <c r="C1795">
        <v>13</v>
      </c>
      <c r="D1795" s="84">
        <v>6</v>
      </c>
      <c r="E1795">
        <v>20</v>
      </c>
      <c r="F1795" s="85">
        <v>0.25</v>
      </c>
      <c r="G1795" s="86">
        <f t="shared" si="135"/>
        <v>120</v>
      </c>
      <c r="H1795" s="86">
        <f t="shared" si="136"/>
        <v>30</v>
      </c>
      <c r="I1795" s="86">
        <f t="shared" si="137"/>
        <v>90</v>
      </c>
      <c r="J1795" s="84">
        <f>VLOOKUP(C1795, Products[], 6)</f>
        <v>6</v>
      </c>
      <c r="K1795" s="86">
        <f t="shared" si="138"/>
        <v>120</v>
      </c>
      <c r="L1795" s="86">
        <f t="shared" si="139"/>
        <v>-30</v>
      </c>
    </row>
    <row r="1796" spans="2:12" x14ac:dyDescent="0.2">
      <c r="B1796">
        <v>10938</v>
      </c>
      <c r="C1796">
        <v>43</v>
      </c>
      <c r="D1796" s="84">
        <v>46</v>
      </c>
      <c r="E1796">
        <v>24</v>
      </c>
      <c r="F1796" s="85">
        <v>0.25</v>
      </c>
      <c r="G1796" s="86">
        <f t="shared" si="135"/>
        <v>1104</v>
      </c>
      <c r="H1796" s="86">
        <f t="shared" si="136"/>
        <v>276</v>
      </c>
      <c r="I1796" s="86">
        <f t="shared" si="137"/>
        <v>828</v>
      </c>
      <c r="J1796" s="84">
        <f>VLOOKUP(C1796, Products[], 6)</f>
        <v>46</v>
      </c>
      <c r="K1796" s="86">
        <f t="shared" si="138"/>
        <v>1104</v>
      </c>
      <c r="L1796" s="86">
        <f t="shared" si="139"/>
        <v>-276</v>
      </c>
    </row>
    <row r="1797" spans="2:12" x14ac:dyDescent="0.2">
      <c r="B1797">
        <v>10938</v>
      </c>
      <c r="C1797">
        <v>60</v>
      </c>
      <c r="D1797" s="84">
        <v>34</v>
      </c>
      <c r="E1797">
        <v>49</v>
      </c>
      <c r="F1797" s="85">
        <v>0.25</v>
      </c>
      <c r="G1797" s="86">
        <f t="shared" si="135"/>
        <v>1666</v>
      </c>
      <c r="H1797" s="86">
        <f t="shared" si="136"/>
        <v>416.5</v>
      </c>
      <c r="I1797" s="86">
        <f t="shared" si="137"/>
        <v>1249.5</v>
      </c>
      <c r="J1797" s="84">
        <f>VLOOKUP(C1797, Products[], 6)</f>
        <v>34</v>
      </c>
      <c r="K1797" s="86">
        <f t="shared" si="138"/>
        <v>1666</v>
      </c>
      <c r="L1797" s="86">
        <f t="shared" si="139"/>
        <v>-416.5</v>
      </c>
    </row>
    <row r="1798" spans="2:12" x14ac:dyDescent="0.2">
      <c r="B1798">
        <v>10938</v>
      </c>
      <c r="C1798">
        <v>71</v>
      </c>
      <c r="D1798" s="84">
        <v>21.5</v>
      </c>
      <c r="E1798">
        <v>35</v>
      </c>
      <c r="F1798" s="85">
        <v>0.25</v>
      </c>
      <c r="G1798" s="86">
        <f t="shared" si="135"/>
        <v>752.5</v>
      </c>
      <c r="H1798" s="86">
        <f t="shared" si="136"/>
        <v>188.125</v>
      </c>
      <c r="I1798" s="86">
        <f t="shared" si="137"/>
        <v>564.375</v>
      </c>
      <c r="J1798" s="84">
        <f>VLOOKUP(C1798, Products[], 6)</f>
        <v>21.5</v>
      </c>
      <c r="K1798" s="86">
        <f t="shared" si="138"/>
        <v>752.5</v>
      </c>
      <c r="L1798" s="86">
        <f t="shared" si="139"/>
        <v>-188.125</v>
      </c>
    </row>
    <row r="1799" spans="2:12" x14ac:dyDescent="0.2">
      <c r="B1799">
        <v>10939</v>
      </c>
      <c r="C1799">
        <v>2</v>
      </c>
      <c r="D1799" s="84">
        <v>19</v>
      </c>
      <c r="E1799">
        <v>10</v>
      </c>
      <c r="F1799" s="85">
        <v>0.15</v>
      </c>
      <c r="G1799" s="86">
        <f t="shared" ref="G1799:G1862" si="140">D1799*E1799</f>
        <v>190</v>
      </c>
      <c r="H1799" s="86">
        <f t="shared" ref="H1799:H1862" si="141">G1799*F1799</f>
        <v>28.5</v>
      </c>
      <c r="I1799" s="86">
        <f t="shared" ref="I1799:I1862" si="142">G1799-H1799</f>
        <v>161.5</v>
      </c>
      <c r="J1799" s="84">
        <f>VLOOKUP(C1799, Products[], 6)</f>
        <v>19</v>
      </c>
      <c r="K1799" s="86">
        <f t="shared" ref="K1799:K1862" si="143">J1799*E1799</f>
        <v>190</v>
      </c>
      <c r="L1799" s="86">
        <f t="shared" ref="L1799:L1862" si="144">I1799-K1799</f>
        <v>-28.5</v>
      </c>
    </row>
    <row r="1800" spans="2:12" x14ac:dyDescent="0.2">
      <c r="B1800">
        <v>10939</v>
      </c>
      <c r="C1800">
        <v>67</v>
      </c>
      <c r="D1800" s="84">
        <v>14</v>
      </c>
      <c r="E1800">
        <v>40</v>
      </c>
      <c r="F1800" s="85">
        <v>0.15</v>
      </c>
      <c r="G1800" s="86">
        <f t="shared" si="140"/>
        <v>560</v>
      </c>
      <c r="H1800" s="86">
        <f t="shared" si="141"/>
        <v>84</v>
      </c>
      <c r="I1800" s="86">
        <f t="shared" si="142"/>
        <v>476</v>
      </c>
      <c r="J1800" s="84">
        <f>VLOOKUP(C1800, Products[], 6)</f>
        <v>14</v>
      </c>
      <c r="K1800" s="86">
        <f t="shared" si="143"/>
        <v>560</v>
      </c>
      <c r="L1800" s="86">
        <f t="shared" si="144"/>
        <v>-84</v>
      </c>
    </row>
    <row r="1801" spans="2:12" x14ac:dyDescent="0.2">
      <c r="B1801">
        <v>10940</v>
      </c>
      <c r="C1801">
        <v>7</v>
      </c>
      <c r="D1801" s="84">
        <v>30</v>
      </c>
      <c r="E1801">
        <v>8</v>
      </c>
      <c r="F1801" s="85">
        <v>0</v>
      </c>
      <c r="G1801" s="86">
        <f t="shared" si="140"/>
        <v>240</v>
      </c>
      <c r="H1801" s="86">
        <f t="shared" si="141"/>
        <v>0</v>
      </c>
      <c r="I1801" s="86">
        <f t="shared" si="142"/>
        <v>240</v>
      </c>
      <c r="J1801" s="84">
        <f>VLOOKUP(C1801, Products[], 6)</f>
        <v>30</v>
      </c>
      <c r="K1801" s="86">
        <f t="shared" si="143"/>
        <v>240</v>
      </c>
      <c r="L1801" s="86">
        <f t="shared" si="144"/>
        <v>0</v>
      </c>
    </row>
    <row r="1802" spans="2:12" x14ac:dyDescent="0.2">
      <c r="B1802">
        <v>10940</v>
      </c>
      <c r="C1802">
        <v>13</v>
      </c>
      <c r="D1802" s="84">
        <v>6</v>
      </c>
      <c r="E1802">
        <v>20</v>
      </c>
      <c r="F1802" s="85">
        <v>0</v>
      </c>
      <c r="G1802" s="86">
        <f t="shared" si="140"/>
        <v>120</v>
      </c>
      <c r="H1802" s="86">
        <f t="shared" si="141"/>
        <v>0</v>
      </c>
      <c r="I1802" s="86">
        <f t="shared" si="142"/>
        <v>120</v>
      </c>
      <c r="J1802" s="84">
        <f>VLOOKUP(C1802, Products[], 6)</f>
        <v>6</v>
      </c>
      <c r="K1802" s="86">
        <f t="shared" si="143"/>
        <v>120</v>
      </c>
      <c r="L1802" s="86">
        <f t="shared" si="144"/>
        <v>0</v>
      </c>
    </row>
    <row r="1803" spans="2:12" x14ac:dyDescent="0.2">
      <c r="B1803">
        <v>10941</v>
      </c>
      <c r="C1803">
        <v>31</v>
      </c>
      <c r="D1803" s="84">
        <v>12.5</v>
      </c>
      <c r="E1803">
        <v>44</v>
      </c>
      <c r="F1803" s="85">
        <v>0.25</v>
      </c>
      <c r="G1803" s="86">
        <f t="shared" si="140"/>
        <v>550</v>
      </c>
      <c r="H1803" s="86">
        <f t="shared" si="141"/>
        <v>137.5</v>
      </c>
      <c r="I1803" s="86">
        <f t="shared" si="142"/>
        <v>412.5</v>
      </c>
      <c r="J1803" s="84">
        <f>VLOOKUP(C1803, Products[], 6)</f>
        <v>12.5</v>
      </c>
      <c r="K1803" s="86">
        <f t="shared" si="143"/>
        <v>550</v>
      </c>
      <c r="L1803" s="86">
        <f t="shared" si="144"/>
        <v>-137.5</v>
      </c>
    </row>
    <row r="1804" spans="2:12" x14ac:dyDescent="0.2">
      <c r="B1804">
        <v>10941</v>
      </c>
      <c r="C1804">
        <v>62</v>
      </c>
      <c r="D1804" s="84">
        <v>49.3</v>
      </c>
      <c r="E1804">
        <v>30</v>
      </c>
      <c r="F1804" s="85">
        <v>0.25</v>
      </c>
      <c r="G1804" s="86">
        <f t="shared" si="140"/>
        <v>1479</v>
      </c>
      <c r="H1804" s="86">
        <f t="shared" si="141"/>
        <v>369.75</v>
      </c>
      <c r="I1804" s="86">
        <f t="shared" si="142"/>
        <v>1109.25</v>
      </c>
      <c r="J1804" s="84">
        <f>VLOOKUP(C1804, Products[], 6)</f>
        <v>49.3</v>
      </c>
      <c r="K1804" s="86">
        <f t="shared" si="143"/>
        <v>1479</v>
      </c>
      <c r="L1804" s="86">
        <f t="shared" si="144"/>
        <v>-369.75</v>
      </c>
    </row>
    <row r="1805" spans="2:12" x14ac:dyDescent="0.2">
      <c r="B1805">
        <v>10941</v>
      </c>
      <c r="C1805">
        <v>68</v>
      </c>
      <c r="D1805" s="84">
        <v>12.5</v>
      </c>
      <c r="E1805">
        <v>80</v>
      </c>
      <c r="F1805" s="85">
        <v>0.25</v>
      </c>
      <c r="G1805" s="86">
        <f t="shared" si="140"/>
        <v>1000</v>
      </c>
      <c r="H1805" s="86">
        <f t="shared" si="141"/>
        <v>250</v>
      </c>
      <c r="I1805" s="86">
        <f t="shared" si="142"/>
        <v>750</v>
      </c>
      <c r="J1805" s="84">
        <f>VLOOKUP(C1805, Products[], 6)</f>
        <v>12.5</v>
      </c>
      <c r="K1805" s="86">
        <f t="shared" si="143"/>
        <v>1000</v>
      </c>
      <c r="L1805" s="86">
        <f t="shared" si="144"/>
        <v>-250</v>
      </c>
    </row>
    <row r="1806" spans="2:12" x14ac:dyDescent="0.2">
      <c r="B1806">
        <v>10941</v>
      </c>
      <c r="C1806">
        <v>72</v>
      </c>
      <c r="D1806" s="84">
        <v>34.799999999999997</v>
      </c>
      <c r="E1806">
        <v>50</v>
      </c>
      <c r="F1806" s="85">
        <v>0</v>
      </c>
      <c r="G1806" s="86">
        <f t="shared" si="140"/>
        <v>1739.9999999999998</v>
      </c>
      <c r="H1806" s="86">
        <f t="shared" si="141"/>
        <v>0</v>
      </c>
      <c r="I1806" s="86">
        <f t="shared" si="142"/>
        <v>1739.9999999999998</v>
      </c>
      <c r="J1806" s="84">
        <f>VLOOKUP(C1806, Products[], 6)</f>
        <v>34.799999999999997</v>
      </c>
      <c r="K1806" s="86">
        <f t="shared" si="143"/>
        <v>1739.9999999999998</v>
      </c>
      <c r="L1806" s="86">
        <f t="shared" si="144"/>
        <v>0</v>
      </c>
    </row>
    <row r="1807" spans="2:12" x14ac:dyDescent="0.2">
      <c r="B1807">
        <v>10942</v>
      </c>
      <c r="C1807">
        <v>49</v>
      </c>
      <c r="D1807" s="84">
        <v>20</v>
      </c>
      <c r="E1807">
        <v>28</v>
      </c>
      <c r="F1807" s="85">
        <v>0</v>
      </c>
      <c r="G1807" s="86">
        <f t="shared" si="140"/>
        <v>560</v>
      </c>
      <c r="H1807" s="86">
        <f t="shared" si="141"/>
        <v>0</v>
      </c>
      <c r="I1807" s="86">
        <f t="shared" si="142"/>
        <v>560</v>
      </c>
      <c r="J1807" s="84">
        <f>VLOOKUP(C1807, Products[], 6)</f>
        <v>20</v>
      </c>
      <c r="K1807" s="86">
        <f t="shared" si="143"/>
        <v>560</v>
      </c>
      <c r="L1807" s="86">
        <f t="shared" si="144"/>
        <v>0</v>
      </c>
    </row>
    <row r="1808" spans="2:12" x14ac:dyDescent="0.2">
      <c r="B1808">
        <v>10943</v>
      </c>
      <c r="C1808">
        <v>13</v>
      </c>
      <c r="D1808" s="84">
        <v>6</v>
      </c>
      <c r="E1808">
        <v>15</v>
      </c>
      <c r="F1808" s="85">
        <v>0</v>
      </c>
      <c r="G1808" s="86">
        <f t="shared" si="140"/>
        <v>90</v>
      </c>
      <c r="H1808" s="86">
        <f t="shared" si="141"/>
        <v>0</v>
      </c>
      <c r="I1808" s="86">
        <f t="shared" si="142"/>
        <v>90</v>
      </c>
      <c r="J1808" s="84">
        <f>VLOOKUP(C1808, Products[], 6)</f>
        <v>6</v>
      </c>
      <c r="K1808" s="86">
        <f t="shared" si="143"/>
        <v>90</v>
      </c>
      <c r="L1808" s="86">
        <f t="shared" si="144"/>
        <v>0</v>
      </c>
    </row>
    <row r="1809" spans="2:12" x14ac:dyDescent="0.2">
      <c r="B1809">
        <v>10943</v>
      </c>
      <c r="C1809">
        <v>22</v>
      </c>
      <c r="D1809" s="84">
        <v>21</v>
      </c>
      <c r="E1809">
        <v>21</v>
      </c>
      <c r="F1809" s="85">
        <v>0</v>
      </c>
      <c r="G1809" s="86">
        <f t="shared" si="140"/>
        <v>441</v>
      </c>
      <c r="H1809" s="86">
        <f t="shared" si="141"/>
        <v>0</v>
      </c>
      <c r="I1809" s="86">
        <f t="shared" si="142"/>
        <v>441</v>
      </c>
      <c r="J1809" s="84">
        <f>VLOOKUP(C1809, Products[], 6)</f>
        <v>21</v>
      </c>
      <c r="K1809" s="86">
        <f t="shared" si="143"/>
        <v>441</v>
      </c>
      <c r="L1809" s="86">
        <f t="shared" si="144"/>
        <v>0</v>
      </c>
    </row>
    <row r="1810" spans="2:12" x14ac:dyDescent="0.2">
      <c r="B1810">
        <v>10943</v>
      </c>
      <c r="C1810">
        <v>46</v>
      </c>
      <c r="D1810" s="84">
        <v>12</v>
      </c>
      <c r="E1810">
        <v>15</v>
      </c>
      <c r="F1810" s="85">
        <v>0</v>
      </c>
      <c r="G1810" s="86">
        <f t="shared" si="140"/>
        <v>180</v>
      </c>
      <c r="H1810" s="86">
        <f t="shared" si="141"/>
        <v>0</v>
      </c>
      <c r="I1810" s="86">
        <f t="shared" si="142"/>
        <v>180</v>
      </c>
      <c r="J1810" s="84">
        <f>VLOOKUP(C1810, Products[], 6)</f>
        <v>12</v>
      </c>
      <c r="K1810" s="86">
        <f t="shared" si="143"/>
        <v>180</v>
      </c>
      <c r="L1810" s="86">
        <f t="shared" si="144"/>
        <v>0</v>
      </c>
    </row>
    <row r="1811" spans="2:12" x14ac:dyDescent="0.2">
      <c r="B1811">
        <v>10944</v>
      </c>
      <c r="C1811">
        <v>11</v>
      </c>
      <c r="D1811" s="84">
        <v>21</v>
      </c>
      <c r="E1811">
        <v>5</v>
      </c>
      <c r="F1811" s="85">
        <v>0.25</v>
      </c>
      <c r="G1811" s="86">
        <f t="shared" si="140"/>
        <v>105</v>
      </c>
      <c r="H1811" s="86">
        <f t="shared" si="141"/>
        <v>26.25</v>
      </c>
      <c r="I1811" s="86">
        <f t="shared" si="142"/>
        <v>78.75</v>
      </c>
      <c r="J1811" s="84">
        <f>VLOOKUP(C1811, Products[], 6)</f>
        <v>21</v>
      </c>
      <c r="K1811" s="86">
        <f t="shared" si="143"/>
        <v>105</v>
      </c>
      <c r="L1811" s="86">
        <f t="shared" si="144"/>
        <v>-26.25</v>
      </c>
    </row>
    <row r="1812" spans="2:12" x14ac:dyDescent="0.2">
      <c r="B1812">
        <v>10944</v>
      </c>
      <c r="C1812">
        <v>44</v>
      </c>
      <c r="D1812" s="84">
        <v>19.45</v>
      </c>
      <c r="E1812">
        <v>18</v>
      </c>
      <c r="F1812" s="85">
        <v>0.25</v>
      </c>
      <c r="G1812" s="86">
        <f t="shared" si="140"/>
        <v>350.09999999999997</v>
      </c>
      <c r="H1812" s="86">
        <f t="shared" si="141"/>
        <v>87.524999999999991</v>
      </c>
      <c r="I1812" s="86">
        <f t="shared" si="142"/>
        <v>262.57499999999999</v>
      </c>
      <c r="J1812" s="84">
        <f>VLOOKUP(C1812, Products[], 6)</f>
        <v>19.45</v>
      </c>
      <c r="K1812" s="86">
        <f t="shared" si="143"/>
        <v>350.09999999999997</v>
      </c>
      <c r="L1812" s="86">
        <f t="shared" si="144"/>
        <v>-87.524999999999977</v>
      </c>
    </row>
    <row r="1813" spans="2:12" x14ac:dyDescent="0.2">
      <c r="B1813">
        <v>10944</v>
      </c>
      <c r="C1813">
        <v>56</v>
      </c>
      <c r="D1813" s="84">
        <v>38</v>
      </c>
      <c r="E1813">
        <v>18</v>
      </c>
      <c r="F1813" s="85">
        <v>0</v>
      </c>
      <c r="G1813" s="86">
        <f t="shared" si="140"/>
        <v>684</v>
      </c>
      <c r="H1813" s="86">
        <f t="shared" si="141"/>
        <v>0</v>
      </c>
      <c r="I1813" s="86">
        <f t="shared" si="142"/>
        <v>684</v>
      </c>
      <c r="J1813" s="84">
        <f>VLOOKUP(C1813, Products[], 6)</f>
        <v>38</v>
      </c>
      <c r="K1813" s="86">
        <f t="shared" si="143"/>
        <v>684</v>
      </c>
      <c r="L1813" s="86">
        <f t="shared" si="144"/>
        <v>0</v>
      </c>
    </row>
    <row r="1814" spans="2:12" x14ac:dyDescent="0.2">
      <c r="B1814">
        <v>10945</v>
      </c>
      <c r="C1814">
        <v>13</v>
      </c>
      <c r="D1814" s="84">
        <v>6</v>
      </c>
      <c r="E1814">
        <v>20</v>
      </c>
      <c r="F1814" s="85">
        <v>0</v>
      </c>
      <c r="G1814" s="86">
        <f t="shared" si="140"/>
        <v>120</v>
      </c>
      <c r="H1814" s="86">
        <f t="shared" si="141"/>
        <v>0</v>
      </c>
      <c r="I1814" s="86">
        <f t="shared" si="142"/>
        <v>120</v>
      </c>
      <c r="J1814" s="84">
        <f>VLOOKUP(C1814, Products[], 6)</f>
        <v>6</v>
      </c>
      <c r="K1814" s="86">
        <f t="shared" si="143"/>
        <v>120</v>
      </c>
      <c r="L1814" s="86">
        <f t="shared" si="144"/>
        <v>0</v>
      </c>
    </row>
    <row r="1815" spans="2:12" x14ac:dyDescent="0.2">
      <c r="B1815">
        <v>10945</v>
      </c>
      <c r="C1815">
        <v>31</v>
      </c>
      <c r="D1815" s="84">
        <v>12.5</v>
      </c>
      <c r="E1815">
        <v>10</v>
      </c>
      <c r="F1815" s="85">
        <v>0</v>
      </c>
      <c r="G1815" s="86">
        <f t="shared" si="140"/>
        <v>125</v>
      </c>
      <c r="H1815" s="86">
        <f t="shared" si="141"/>
        <v>0</v>
      </c>
      <c r="I1815" s="86">
        <f t="shared" si="142"/>
        <v>125</v>
      </c>
      <c r="J1815" s="84">
        <f>VLOOKUP(C1815, Products[], 6)</f>
        <v>12.5</v>
      </c>
      <c r="K1815" s="86">
        <f t="shared" si="143"/>
        <v>125</v>
      </c>
      <c r="L1815" s="86">
        <f t="shared" si="144"/>
        <v>0</v>
      </c>
    </row>
    <row r="1816" spans="2:12" x14ac:dyDescent="0.2">
      <c r="B1816">
        <v>10946</v>
      </c>
      <c r="C1816">
        <v>10</v>
      </c>
      <c r="D1816" s="84">
        <v>31</v>
      </c>
      <c r="E1816">
        <v>25</v>
      </c>
      <c r="F1816" s="85">
        <v>0</v>
      </c>
      <c r="G1816" s="86">
        <f t="shared" si="140"/>
        <v>775</v>
      </c>
      <c r="H1816" s="86">
        <f t="shared" si="141"/>
        <v>0</v>
      </c>
      <c r="I1816" s="86">
        <f t="shared" si="142"/>
        <v>775</v>
      </c>
      <c r="J1816" s="84">
        <f>VLOOKUP(C1816, Products[], 6)</f>
        <v>31</v>
      </c>
      <c r="K1816" s="86">
        <f t="shared" si="143"/>
        <v>775</v>
      </c>
      <c r="L1816" s="86">
        <f t="shared" si="144"/>
        <v>0</v>
      </c>
    </row>
    <row r="1817" spans="2:12" x14ac:dyDescent="0.2">
      <c r="B1817">
        <v>10946</v>
      </c>
      <c r="C1817">
        <v>24</v>
      </c>
      <c r="D1817" s="84">
        <v>4.5</v>
      </c>
      <c r="E1817">
        <v>25</v>
      </c>
      <c r="F1817" s="85">
        <v>0</v>
      </c>
      <c r="G1817" s="86">
        <f t="shared" si="140"/>
        <v>112.5</v>
      </c>
      <c r="H1817" s="86">
        <f t="shared" si="141"/>
        <v>0</v>
      </c>
      <c r="I1817" s="86">
        <f t="shared" si="142"/>
        <v>112.5</v>
      </c>
      <c r="J1817" s="84">
        <f>VLOOKUP(C1817, Products[], 6)</f>
        <v>4.5</v>
      </c>
      <c r="K1817" s="86">
        <f t="shared" si="143"/>
        <v>112.5</v>
      </c>
      <c r="L1817" s="86">
        <f t="shared" si="144"/>
        <v>0</v>
      </c>
    </row>
    <row r="1818" spans="2:12" x14ac:dyDescent="0.2">
      <c r="B1818">
        <v>10946</v>
      </c>
      <c r="C1818">
        <v>77</v>
      </c>
      <c r="D1818" s="84">
        <v>13</v>
      </c>
      <c r="E1818">
        <v>40</v>
      </c>
      <c r="F1818" s="85">
        <v>0</v>
      </c>
      <c r="G1818" s="86">
        <f t="shared" si="140"/>
        <v>520</v>
      </c>
      <c r="H1818" s="86">
        <f t="shared" si="141"/>
        <v>0</v>
      </c>
      <c r="I1818" s="86">
        <f t="shared" si="142"/>
        <v>520</v>
      </c>
      <c r="J1818" s="84">
        <f>VLOOKUP(C1818, Products[], 6)</f>
        <v>13</v>
      </c>
      <c r="K1818" s="86">
        <f t="shared" si="143"/>
        <v>520</v>
      </c>
      <c r="L1818" s="86">
        <f t="shared" si="144"/>
        <v>0</v>
      </c>
    </row>
    <row r="1819" spans="2:12" x14ac:dyDescent="0.2">
      <c r="B1819">
        <v>10947</v>
      </c>
      <c r="C1819">
        <v>59</v>
      </c>
      <c r="D1819" s="84">
        <v>55</v>
      </c>
      <c r="E1819">
        <v>4</v>
      </c>
      <c r="F1819" s="85">
        <v>0</v>
      </c>
      <c r="G1819" s="86">
        <f t="shared" si="140"/>
        <v>220</v>
      </c>
      <c r="H1819" s="86">
        <f t="shared" si="141"/>
        <v>0</v>
      </c>
      <c r="I1819" s="86">
        <f t="shared" si="142"/>
        <v>220</v>
      </c>
      <c r="J1819" s="84">
        <f>VLOOKUP(C1819, Products[], 6)</f>
        <v>55</v>
      </c>
      <c r="K1819" s="86">
        <f t="shared" si="143"/>
        <v>220</v>
      </c>
      <c r="L1819" s="86">
        <f t="shared" si="144"/>
        <v>0</v>
      </c>
    </row>
    <row r="1820" spans="2:12" x14ac:dyDescent="0.2">
      <c r="B1820">
        <v>10948</v>
      </c>
      <c r="C1820">
        <v>50</v>
      </c>
      <c r="D1820" s="84">
        <v>16.25</v>
      </c>
      <c r="E1820">
        <v>9</v>
      </c>
      <c r="F1820" s="85">
        <v>0</v>
      </c>
      <c r="G1820" s="86">
        <f t="shared" si="140"/>
        <v>146.25</v>
      </c>
      <c r="H1820" s="86">
        <f t="shared" si="141"/>
        <v>0</v>
      </c>
      <c r="I1820" s="86">
        <f t="shared" si="142"/>
        <v>146.25</v>
      </c>
      <c r="J1820" s="84">
        <f>VLOOKUP(C1820, Products[], 6)</f>
        <v>16.25</v>
      </c>
      <c r="K1820" s="86">
        <f t="shared" si="143"/>
        <v>146.25</v>
      </c>
      <c r="L1820" s="86">
        <f t="shared" si="144"/>
        <v>0</v>
      </c>
    </row>
    <row r="1821" spans="2:12" x14ac:dyDescent="0.2">
      <c r="B1821">
        <v>10948</v>
      </c>
      <c r="C1821">
        <v>51</v>
      </c>
      <c r="D1821" s="84">
        <v>53</v>
      </c>
      <c r="E1821">
        <v>40</v>
      </c>
      <c r="F1821" s="85">
        <v>0</v>
      </c>
      <c r="G1821" s="86">
        <f t="shared" si="140"/>
        <v>2120</v>
      </c>
      <c r="H1821" s="86">
        <f t="shared" si="141"/>
        <v>0</v>
      </c>
      <c r="I1821" s="86">
        <f t="shared" si="142"/>
        <v>2120</v>
      </c>
      <c r="J1821" s="84">
        <f>VLOOKUP(C1821, Products[], 6)</f>
        <v>53</v>
      </c>
      <c r="K1821" s="86">
        <f t="shared" si="143"/>
        <v>2120</v>
      </c>
      <c r="L1821" s="86">
        <f t="shared" si="144"/>
        <v>0</v>
      </c>
    </row>
    <row r="1822" spans="2:12" x14ac:dyDescent="0.2">
      <c r="B1822">
        <v>10948</v>
      </c>
      <c r="C1822">
        <v>55</v>
      </c>
      <c r="D1822" s="84">
        <v>24</v>
      </c>
      <c r="E1822">
        <v>4</v>
      </c>
      <c r="F1822" s="85">
        <v>0</v>
      </c>
      <c r="G1822" s="86">
        <f t="shared" si="140"/>
        <v>96</v>
      </c>
      <c r="H1822" s="86">
        <f t="shared" si="141"/>
        <v>0</v>
      </c>
      <c r="I1822" s="86">
        <f t="shared" si="142"/>
        <v>96</v>
      </c>
      <c r="J1822" s="84">
        <f>VLOOKUP(C1822, Products[], 6)</f>
        <v>24</v>
      </c>
      <c r="K1822" s="86">
        <f t="shared" si="143"/>
        <v>96</v>
      </c>
      <c r="L1822" s="86">
        <f t="shared" si="144"/>
        <v>0</v>
      </c>
    </row>
    <row r="1823" spans="2:12" x14ac:dyDescent="0.2">
      <c r="B1823">
        <v>10949</v>
      </c>
      <c r="C1823">
        <v>6</v>
      </c>
      <c r="D1823" s="84">
        <v>25</v>
      </c>
      <c r="E1823">
        <v>12</v>
      </c>
      <c r="F1823" s="85">
        <v>0</v>
      </c>
      <c r="G1823" s="86">
        <f t="shared" si="140"/>
        <v>300</v>
      </c>
      <c r="H1823" s="86">
        <f t="shared" si="141"/>
        <v>0</v>
      </c>
      <c r="I1823" s="86">
        <f t="shared" si="142"/>
        <v>300</v>
      </c>
      <c r="J1823" s="84">
        <f>VLOOKUP(C1823, Products[], 6)</f>
        <v>25</v>
      </c>
      <c r="K1823" s="86">
        <f t="shared" si="143"/>
        <v>300</v>
      </c>
      <c r="L1823" s="86">
        <f t="shared" si="144"/>
        <v>0</v>
      </c>
    </row>
    <row r="1824" spans="2:12" x14ac:dyDescent="0.2">
      <c r="B1824">
        <v>10949</v>
      </c>
      <c r="C1824">
        <v>10</v>
      </c>
      <c r="D1824" s="84">
        <v>31</v>
      </c>
      <c r="E1824">
        <v>30</v>
      </c>
      <c r="F1824" s="85">
        <v>0</v>
      </c>
      <c r="G1824" s="86">
        <f t="shared" si="140"/>
        <v>930</v>
      </c>
      <c r="H1824" s="86">
        <f t="shared" si="141"/>
        <v>0</v>
      </c>
      <c r="I1824" s="86">
        <f t="shared" si="142"/>
        <v>930</v>
      </c>
      <c r="J1824" s="84">
        <f>VLOOKUP(C1824, Products[], 6)</f>
        <v>31</v>
      </c>
      <c r="K1824" s="86">
        <f t="shared" si="143"/>
        <v>930</v>
      </c>
      <c r="L1824" s="86">
        <f t="shared" si="144"/>
        <v>0</v>
      </c>
    </row>
    <row r="1825" spans="2:12" x14ac:dyDescent="0.2">
      <c r="B1825">
        <v>10949</v>
      </c>
      <c r="C1825">
        <v>17</v>
      </c>
      <c r="D1825" s="84">
        <v>39</v>
      </c>
      <c r="E1825">
        <v>6</v>
      </c>
      <c r="F1825" s="85">
        <v>0</v>
      </c>
      <c r="G1825" s="86">
        <f t="shared" si="140"/>
        <v>234</v>
      </c>
      <c r="H1825" s="86">
        <f t="shared" si="141"/>
        <v>0</v>
      </c>
      <c r="I1825" s="86">
        <f t="shared" si="142"/>
        <v>234</v>
      </c>
      <c r="J1825" s="84">
        <f>VLOOKUP(C1825, Products[], 6)</f>
        <v>39</v>
      </c>
      <c r="K1825" s="86">
        <f t="shared" si="143"/>
        <v>234</v>
      </c>
      <c r="L1825" s="86">
        <f t="shared" si="144"/>
        <v>0</v>
      </c>
    </row>
    <row r="1826" spans="2:12" x14ac:dyDescent="0.2">
      <c r="B1826">
        <v>10949</v>
      </c>
      <c r="C1826">
        <v>62</v>
      </c>
      <c r="D1826" s="84">
        <v>49.3</v>
      </c>
      <c r="E1826">
        <v>60</v>
      </c>
      <c r="F1826" s="85">
        <v>0</v>
      </c>
      <c r="G1826" s="86">
        <f t="shared" si="140"/>
        <v>2958</v>
      </c>
      <c r="H1826" s="86">
        <f t="shared" si="141"/>
        <v>0</v>
      </c>
      <c r="I1826" s="86">
        <f t="shared" si="142"/>
        <v>2958</v>
      </c>
      <c r="J1826" s="84">
        <f>VLOOKUP(C1826, Products[], 6)</f>
        <v>49.3</v>
      </c>
      <c r="K1826" s="86">
        <f t="shared" si="143"/>
        <v>2958</v>
      </c>
      <c r="L1826" s="86">
        <f t="shared" si="144"/>
        <v>0</v>
      </c>
    </row>
    <row r="1827" spans="2:12" x14ac:dyDescent="0.2">
      <c r="B1827">
        <v>10950</v>
      </c>
      <c r="C1827">
        <v>4</v>
      </c>
      <c r="D1827" s="84">
        <v>22</v>
      </c>
      <c r="E1827">
        <v>5</v>
      </c>
      <c r="F1827" s="85">
        <v>0</v>
      </c>
      <c r="G1827" s="86">
        <f t="shared" si="140"/>
        <v>110</v>
      </c>
      <c r="H1827" s="86">
        <f t="shared" si="141"/>
        <v>0</v>
      </c>
      <c r="I1827" s="86">
        <f t="shared" si="142"/>
        <v>110</v>
      </c>
      <c r="J1827" s="84">
        <f>VLOOKUP(C1827, Products[], 6)</f>
        <v>22</v>
      </c>
      <c r="K1827" s="86">
        <f t="shared" si="143"/>
        <v>110</v>
      </c>
      <c r="L1827" s="86">
        <f t="shared" si="144"/>
        <v>0</v>
      </c>
    </row>
    <row r="1828" spans="2:12" x14ac:dyDescent="0.2">
      <c r="B1828">
        <v>10951</v>
      </c>
      <c r="C1828">
        <v>33</v>
      </c>
      <c r="D1828" s="84">
        <v>2.5</v>
      </c>
      <c r="E1828">
        <v>15</v>
      </c>
      <c r="F1828" s="85">
        <v>0.05</v>
      </c>
      <c r="G1828" s="86">
        <f t="shared" si="140"/>
        <v>37.5</v>
      </c>
      <c r="H1828" s="86">
        <f t="shared" si="141"/>
        <v>1.875</v>
      </c>
      <c r="I1828" s="86">
        <f t="shared" si="142"/>
        <v>35.625</v>
      </c>
      <c r="J1828" s="84">
        <f>VLOOKUP(C1828, Products[], 6)</f>
        <v>2.5</v>
      </c>
      <c r="K1828" s="86">
        <f t="shared" si="143"/>
        <v>37.5</v>
      </c>
      <c r="L1828" s="86">
        <f t="shared" si="144"/>
        <v>-1.875</v>
      </c>
    </row>
    <row r="1829" spans="2:12" x14ac:dyDescent="0.2">
      <c r="B1829">
        <v>10951</v>
      </c>
      <c r="C1829">
        <v>41</v>
      </c>
      <c r="D1829" s="84">
        <v>9.65</v>
      </c>
      <c r="E1829">
        <v>6</v>
      </c>
      <c r="F1829" s="85">
        <v>0.05</v>
      </c>
      <c r="G1829" s="86">
        <f t="shared" si="140"/>
        <v>57.900000000000006</v>
      </c>
      <c r="H1829" s="86">
        <f t="shared" si="141"/>
        <v>2.8950000000000005</v>
      </c>
      <c r="I1829" s="86">
        <f t="shared" si="142"/>
        <v>55.005000000000003</v>
      </c>
      <c r="J1829" s="84">
        <f>VLOOKUP(C1829, Products[], 6)</f>
        <v>9.65</v>
      </c>
      <c r="K1829" s="86">
        <f t="shared" si="143"/>
        <v>57.900000000000006</v>
      </c>
      <c r="L1829" s="86">
        <f t="shared" si="144"/>
        <v>-2.8950000000000031</v>
      </c>
    </row>
    <row r="1830" spans="2:12" x14ac:dyDescent="0.2">
      <c r="B1830">
        <v>10951</v>
      </c>
      <c r="C1830">
        <v>75</v>
      </c>
      <c r="D1830" s="84">
        <v>7.75</v>
      </c>
      <c r="E1830">
        <v>50</v>
      </c>
      <c r="F1830" s="85">
        <v>0.05</v>
      </c>
      <c r="G1830" s="86">
        <f t="shared" si="140"/>
        <v>387.5</v>
      </c>
      <c r="H1830" s="86">
        <f t="shared" si="141"/>
        <v>19.375</v>
      </c>
      <c r="I1830" s="86">
        <f t="shared" si="142"/>
        <v>368.125</v>
      </c>
      <c r="J1830" s="84">
        <f>VLOOKUP(C1830, Products[], 6)</f>
        <v>7.75</v>
      </c>
      <c r="K1830" s="86">
        <f t="shared" si="143"/>
        <v>387.5</v>
      </c>
      <c r="L1830" s="86">
        <f t="shared" si="144"/>
        <v>-19.375</v>
      </c>
    </row>
    <row r="1831" spans="2:12" x14ac:dyDescent="0.2">
      <c r="B1831">
        <v>10952</v>
      </c>
      <c r="C1831">
        <v>6</v>
      </c>
      <c r="D1831" s="84">
        <v>25</v>
      </c>
      <c r="E1831">
        <v>16</v>
      </c>
      <c r="F1831" s="85">
        <v>0.05</v>
      </c>
      <c r="G1831" s="86">
        <f t="shared" si="140"/>
        <v>400</v>
      </c>
      <c r="H1831" s="86">
        <f t="shared" si="141"/>
        <v>20</v>
      </c>
      <c r="I1831" s="86">
        <f t="shared" si="142"/>
        <v>380</v>
      </c>
      <c r="J1831" s="84">
        <f>VLOOKUP(C1831, Products[], 6)</f>
        <v>25</v>
      </c>
      <c r="K1831" s="86">
        <f t="shared" si="143"/>
        <v>400</v>
      </c>
      <c r="L1831" s="86">
        <f t="shared" si="144"/>
        <v>-20</v>
      </c>
    </row>
    <row r="1832" spans="2:12" x14ac:dyDescent="0.2">
      <c r="B1832">
        <v>10952</v>
      </c>
      <c r="C1832">
        <v>28</v>
      </c>
      <c r="D1832" s="84">
        <v>45.6</v>
      </c>
      <c r="E1832">
        <v>2</v>
      </c>
      <c r="F1832" s="85">
        <v>0</v>
      </c>
      <c r="G1832" s="86">
        <f t="shared" si="140"/>
        <v>91.2</v>
      </c>
      <c r="H1832" s="86">
        <f t="shared" si="141"/>
        <v>0</v>
      </c>
      <c r="I1832" s="86">
        <f t="shared" si="142"/>
        <v>91.2</v>
      </c>
      <c r="J1832" s="84">
        <f>VLOOKUP(C1832, Products[], 6)</f>
        <v>45.6</v>
      </c>
      <c r="K1832" s="86">
        <f t="shared" si="143"/>
        <v>91.2</v>
      </c>
      <c r="L1832" s="86">
        <f t="shared" si="144"/>
        <v>0</v>
      </c>
    </row>
    <row r="1833" spans="2:12" x14ac:dyDescent="0.2">
      <c r="B1833">
        <v>10953</v>
      </c>
      <c r="C1833">
        <v>20</v>
      </c>
      <c r="D1833" s="84">
        <v>81</v>
      </c>
      <c r="E1833">
        <v>50</v>
      </c>
      <c r="F1833" s="85">
        <v>0.05</v>
      </c>
      <c r="G1833" s="86">
        <f t="shared" si="140"/>
        <v>4050</v>
      </c>
      <c r="H1833" s="86">
        <f t="shared" si="141"/>
        <v>202.5</v>
      </c>
      <c r="I1833" s="86">
        <f t="shared" si="142"/>
        <v>3847.5</v>
      </c>
      <c r="J1833" s="84">
        <f>VLOOKUP(C1833, Products[], 6)</f>
        <v>81</v>
      </c>
      <c r="K1833" s="86">
        <f t="shared" si="143"/>
        <v>4050</v>
      </c>
      <c r="L1833" s="86">
        <f t="shared" si="144"/>
        <v>-202.5</v>
      </c>
    </row>
    <row r="1834" spans="2:12" x14ac:dyDescent="0.2">
      <c r="B1834">
        <v>10953</v>
      </c>
      <c r="C1834">
        <v>31</v>
      </c>
      <c r="D1834" s="84">
        <v>12.5</v>
      </c>
      <c r="E1834">
        <v>50</v>
      </c>
      <c r="F1834" s="85">
        <v>0.05</v>
      </c>
      <c r="G1834" s="86">
        <f t="shared" si="140"/>
        <v>625</v>
      </c>
      <c r="H1834" s="86">
        <f t="shared" si="141"/>
        <v>31.25</v>
      </c>
      <c r="I1834" s="86">
        <f t="shared" si="142"/>
        <v>593.75</v>
      </c>
      <c r="J1834" s="84">
        <f>VLOOKUP(C1834, Products[], 6)</f>
        <v>12.5</v>
      </c>
      <c r="K1834" s="86">
        <f t="shared" si="143"/>
        <v>625</v>
      </c>
      <c r="L1834" s="86">
        <f t="shared" si="144"/>
        <v>-31.25</v>
      </c>
    </row>
    <row r="1835" spans="2:12" x14ac:dyDescent="0.2">
      <c r="B1835">
        <v>10954</v>
      </c>
      <c r="C1835">
        <v>16</v>
      </c>
      <c r="D1835" s="84">
        <v>17.45</v>
      </c>
      <c r="E1835">
        <v>28</v>
      </c>
      <c r="F1835" s="85">
        <v>0.15</v>
      </c>
      <c r="G1835" s="86">
        <f t="shared" si="140"/>
        <v>488.59999999999997</v>
      </c>
      <c r="H1835" s="86">
        <f t="shared" si="141"/>
        <v>73.289999999999992</v>
      </c>
      <c r="I1835" s="86">
        <f t="shared" si="142"/>
        <v>415.30999999999995</v>
      </c>
      <c r="J1835" s="84">
        <f>VLOOKUP(C1835, Products[], 6)</f>
        <v>17.45</v>
      </c>
      <c r="K1835" s="86">
        <f t="shared" si="143"/>
        <v>488.59999999999997</v>
      </c>
      <c r="L1835" s="86">
        <f t="shared" si="144"/>
        <v>-73.29000000000002</v>
      </c>
    </row>
    <row r="1836" spans="2:12" x14ac:dyDescent="0.2">
      <c r="B1836">
        <v>10954</v>
      </c>
      <c r="C1836">
        <v>31</v>
      </c>
      <c r="D1836" s="84">
        <v>12.5</v>
      </c>
      <c r="E1836">
        <v>25</v>
      </c>
      <c r="F1836" s="85">
        <v>0.15</v>
      </c>
      <c r="G1836" s="86">
        <f t="shared" si="140"/>
        <v>312.5</v>
      </c>
      <c r="H1836" s="86">
        <f t="shared" si="141"/>
        <v>46.875</v>
      </c>
      <c r="I1836" s="86">
        <f t="shared" si="142"/>
        <v>265.625</v>
      </c>
      <c r="J1836" s="84">
        <f>VLOOKUP(C1836, Products[], 6)</f>
        <v>12.5</v>
      </c>
      <c r="K1836" s="86">
        <f t="shared" si="143"/>
        <v>312.5</v>
      </c>
      <c r="L1836" s="86">
        <f t="shared" si="144"/>
        <v>-46.875</v>
      </c>
    </row>
    <row r="1837" spans="2:12" x14ac:dyDescent="0.2">
      <c r="B1837">
        <v>10954</v>
      </c>
      <c r="C1837">
        <v>45</v>
      </c>
      <c r="D1837" s="84">
        <v>9.5</v>
      </c>
      <c r="E1837">
        <v>30</v>
      </c>
      <c r="F1837" s="85">
        <v>0</v>
      </c>
      <c r="G1837" s="86">
        <f t="shared" si="140"/>
        <v>285</v>
      </c>
      <c r="H1837" s="86">
        <f t="shared" si="141"/>
        <v>0</v>
      </c>
      <c r="I1837" s="86">
        <f t="shared" si="142"/>
        <v>285</v>
      </c>
      <c r="J1837" s="84">
        <f>VLOOKUP(C1837, Products[], 6)</f>
        <v>9.5</v>
      </c>
      <c r="K1837" s="86">
        <f t="shared" si="143"/>
        <v>285</v>
      </c>
      <c r="L1837" s="86">
        <f t="shared" si="144"/>
        <v>0</v>
      </c>
    </row>
    <row r="1838" spans="2:12" x14ac:dyDescent="0.2">
      <c r="B1838">
        <v>10954</v>
      </c>
      <c r="C1838">
        <v>60</v>
      </c>
      <c r="D1838" s="84">
        <v>34</v>
      </c>
      <c r="E1838">
        <v>24</v>
      </c>
      <c r="F1838" s="85">
        <v>0.15</v>
      </c>
      <c r="G1838" s="86">
        <f t="shared" si="140"/>
        <v>816</v>
      </c>
      <c r="H1838" s="86">
        <f t="shared" si="141"/>
        <v>122.39999999999999</v>
      </c>
      <c r="I1838" s="86">
        <f t="shared" si="142"/>
        <v>693.6</v>
      </c>
      <c r="J1838" s="84">
        <f>VLOOKUP(C1838, Products[], 6)</f>
        <v>34</v>
      </c>
      <c r="K1838" s="86">
        <f t="shared" si="143"/>
        <v>816</v>
      </c>
      <c r="L1838" s="86">
        <f t="shared" si="144"/>
        <v>-122.39999999999998</v>
      </c>
    </row>
    <row r="1839" spans="2:12" x14ac:dyDescent="0.2">
      <c r="B1839">
        <v>10955</v>
      </c>
      <c r="C1839">
        <v>75</v>
      </c>
      <c r="D1839" s="84">
        <v>7.75</v>
      </c>
      <c r="E1839">
        <v>12</v>
      </c>
      <c r="F1839" s="85">
        <v>0.2</v>
      </c>
      <c r="G1839" s="86">
        <f t="shared" si="140"/>
        <v>93</v>
      </c>
      <c r="H1839" s="86">
        <f t="shared" si="141"/>
        <v>18.600000000000001</v>
      </c>
      <c r="I1839" s="86">
        <f t="shared" si="142"/>
        <v>74.400000000000006</v>
      </c>
      <c r="J1839" s="84">
        <f>VLOOKUP(C1839, Products[], 6)</f>
        <v>7.75</v>
      </c>
      <c r="K1839" s="86">
        <f t="shared" si="143"/>
        <v>93</v>
      </c>
      <c r="L1839" s="86">
        <f t="shared" si="144"/>
        <v>-18.599999999999994</v>
      </c>
    </row>
    <row r="1840" spans="2:12" x14ac:dyDescent="0.2">
      <c r="B1840">
        <v>10956</v>
      </c>
      <c r="C1840">
        <v>21</v>
      </c>
      <c r="D1840" s="84">
        <v>10</v>
      </c>
      <c r="E1840">
        <v>12</v>
      </c>
      <c r="F1840" s="85">
        <v>0</v>
      </c>
      <c r="G1840" s="86">
        <f t="shared" si="140"/>
        <v>120</v>
      </c>
      <c r="H1840" s="86">
        <f t="shared" si="141"/>
        <v>0</v>
      </c>
      <c r="I1840" s="86">
        <f t="shared" si="142"/>
        <v>120</v>
      </c>
      <c r="J1840" s="84">
        <f>VLOOKUP(C1840, Products[], 6)</f>
        <v>10</v>
      </c>
      <c r="K1840" s="86">
        <f t="shared" si="143"/>
        <v>120</v>
      </c>
      <c r="L1840" s="86">
        <f t="shared" si="144"/>
        <v>0</v>
      </c>
    </row>
    <row r="1841" spans="2:12" x14ac:dyDescent="0.2">
      <c r="B1841">
        <v>10956</v>
      </c>
      <c r="C1841">
        <v>47</v>
      </c>
      <c r="D1841" s="84">
        <v>9.5</v>
      </c>
      <c r="E1841">
        <v>14</v>
      </c>
      <c r="F1841" s="85">
        <v>0</v>
      </c>
      <c r="G1841" s="86">
        <f t="shared" si="140"/>
        <v>133</v>
      </c>
      <c r="H1841" s="86">
        <f t="shared" si="141"/>
        <v>0</v>
      </c>
      <c r="I1841" s="86">
        <f t="shared" si="142"/>
        <v>133</v>
      </c>
      <c r="J1841" s="84">
        <f>VLOOKUP(C1841, Products[], 6)</f>
        <v>9.5</v>
      </c>
      <c r="K1841" s="86">
        <f t="shared" si="143"/>
        <v>133</v>
      </c>
      <c r="L1841" s="86">
        <f t="shared" si="144"/>
        <v>0</v>
      </c>
    </row>
    <row r="1842" spans="2:12" x14ac:dyDescent="0.2">
      <c r="B1842">
        <v>10956</v>
      </c>
      <c r="C1842">
        <v>51</v>
      </c>
      <c r="D1842" s="84">
        <v>53</v>
      </c>
      <c r="E1842">
        <v>8</v>
      </c>
      <c r="F1842" s="85">
        <v>0</v>
      </c>
      <c r="G1842" s="86">
        <f t="shared" si="140"/>
        <v>424</v>
      </c>
      <c r="H1842" s="86">
        <f t="shared" si="141"/>
        <v>0</v>
      </c>
      <c r="I1842" s="86">
        <f t="shared" si="142"/>
        <v>424</v>
      </c>
      <c r="J1842" s="84">
        <f>VLOOKUP(C1842, Products[], 6)</f>
        <v>53</v>
      </c>
      <c r="K1842" s="86">
        <f t="shared" si="143"/>
        <v>424</v>
      </c>
      <c r="L1842" s="86">
        <f t="shared" si="144"/>
        <v>0</v>
      </c>
    </row>
    <row r="1843" spans="2:12" x14ac:dyDescent="0.2">
      <c r="B1843">
        <v>10957</v>
      </c>
      <c r="C1843">
        <v>30</v>
      </c>
      <c r="D1843" s="84">
        <v>25.89</v>
      </c>
      <c r="E1843">
        <v>30</v>
      </c>
      <c r="F1843" s="85">
        <v>0</v>
      </c>
      <c r="G1843" s="86">
        <f t="shared" si="140"/>
        <v>776.7</v>
      </c>
      <c r="H1843" s="86">
        <f t="shared" si="141"/>
        <v>0</v>
      </c>
      <c r="I1843" s="86">
        <f t="shared" si="142"/>
        <v>776.7</v>
      </c>
      <c r="J1843" s="84">
        <f>VLOOKUP(C1843, Products[], 6)</f>
        <v>25.89</v>
      </c>
      <c r="K1843" s="86">
        <f t="shared" si="143"/>
        <v>776.7</v>
      </c>
      <c r="L1843" s="86">
        <f t="shared" si="144"/>
        <v>0</v>
      </c>
    </row>
    <row r="1844" spans="2:12" x14ac:dyDescent="0.2">
      <c r="B1844">
        <v>10957</v>
      </c>
      <c r="C1844">
        <v>35</v>
      </c>
      <c r="D1844" s="84">
        <v>18</v>
      </c>
      <c r="E1844">
        <v>40</v>
      </c>
      <c r="F1844" s="85">
        <v>0</v>
      </c>
      <c r="G1844" s="86">
        <f t="shared" si="140"/>
        <v>720</v>
      </c>
      <c r="H1844" s="86">
        <f t="shared" si="141"/>
        <v>0</v>
      </c>
      <c r="I1844" s="86">
        <f t="shared" si="142"/>
        <v>720</v>
      </c>
      <c r="J1844" s="84">
        <f>VLOOKUP(C1844, Products[], 6)</f>
        <v>18</v>
      </c>
      <c r="K1844" s="86">
        <f t="shared" si="143"/>
        <v>720</v>
      </c>
      <c r="L1844" s="86">
        <f t="shared" si="144"/>
        <v>0</v>
      </c>
    </row>
    <row r="1845" spans="2:12" x14ac:dyDescent="0.2">
      <c r="B1845">
        <v>10957</v>
      </c>
      <c r="C1845">
        <v>64</v>
      </c>
      <c r="D1845" s="84">
        <v>33.25</v>
      </c>
      <c r="E1845">
        <v>8</v>
      </c>
      <c r="F1845" s="85">
        <v>0</v>
      </c>
      <c r="G1845" s="86">
        <f t="shared" si="140"/>
        <v>266</v>
      </c>
      <c r="H1845" s="86">
        <f t="shared" si="141"/>
        <v>0</v>
      </c>
      <c r="I1845" s="86">
        <f t="shared" si="142"/>
        <v>266</v>
      </c>
      <c r="J1845" s="84">
        <f>VLOOKUP(C1845, Products[], 6)</f>
        <v>33.25</v>
      </c>
      <c r="K1845" s="86">
        <f t="shared" si="143"/>
        <v>266</v>
      </c>
      <c r="L1845" s="86">
        <f t="shared" si="144"/>
        <v>0</v>
      </c>
    </row>
    <row r="1846" spans="2:12" x14ac:dyDescent="0.2">
      <c r="B1846">
        <v>10958</v>
      </c>
      <c r="C1846">
        <v>5</v>
      </c>
      <c r="D1846" s="84">
        <v>21.35</v>
      </c>
      <c r="E1846">
        <v>20</v>
      </c>
      <c r="F1846" s="85">
        <v>0</v>
      </c>
      <c r="G1846" s="86">
        <f t="shared" si="140"/>
        <v>427</v>
      </c>
      <c r="H1846" s="86">
        <f t="shared" si="141"/>
        <v>0</v>
      </c>
      <c r="I1846" s="86">
        <f t="shared" si="142"/>
        <v>427</v>
      </c>
      <c r="J1846" s="84">
        <f>VLOOKUP(C1846, Products[], 6)</f>
        <v>21.35</v>
      </c>
      <c r="K1846" s="86">
        <f t="shared" si="143"/>
        <v>427</v>
      </c>
      <c r="L1846" s="86">
        <f t="shared" si="144"/>
        <v>0</v>
      </c>
    </row>
    <row r="1847" spans="2:12" x14ac:dyDescent="0.2">
      <c r="B1847">
        <v>10958</v>
      </c>
      <c r="C1847">
        <v>7</v>
      </c>
      <c r="D1847" s="84">
        <v>30</v>
      </c>
      <c r="E1847">
        <v>6</v>
      </c>
      <c r="F1847" s="85">
        <v>0</v>
      </c>
      <c r="G1847" s="86">
        <f t="shared" si="140"/>
        <v>180</v>
      </c>
      <c r="H1847" s="86">
        <f t="shared" si="141"/>
        <v>0</v>
      </c>
      <c r="I1847" s="86">
        <f t="shared" si="142"/>
        <v>180</v>
      </c>
      <c r="J1847" s="84">
        <f>VLOOKUP(C1847, Products[], 6)</f>
        <v>30</v>
      </c>
      <c r="K1847" s="86">
        <f t="shared" si="143"/>
        <v>180</v>
      </c>
      <c r="L1847" s="86">
        <f t="shared" si="144"/>
        <v>0</v>
      </c>
    </row>
    <row r="1848" spans="2:12" x14ac:dyDescent="0.2">
      <c r="B1848">
        <v>10958</v>
      </c>
      <c r="C1848">
        <v>72</v>
      </c>
      <c r="D1848" s="84">
        <v>34.799999999999997</v>
      </c>
      <c r="E1848">
        <v>5</v>
      </c>
      <c r="F1848" s="85">
        <v>0</v>
      </c>
      <c r="G1848" s="86">
        <f t="shared" si="140"/>
        <v>174</v>
      </c>
      <c r="H1848" s="86">
        <f t="shared" si="141"/>
        <v>0</v>
      </c>
      <c r="I1848" s="86">
        <f t="shared" si="142"/>
        <v>174</v>
      </c>
      <c r="J1848" s="84">
        <f>VLOOKUP(C1848, Products[], 6)</f>
        <v>34.799999999999997</v>
      </c>
      <c r="K1848" s="86">
        <f t="shared" si="143"/>
        <v>174</v>
      </c>
      <c r="L1848" s="86">
        <f t="shared" si="144"/>
        <v>0</v>
      </c>
    </row>
    <row r="1849" spans="2:12" x14ac:dyDescent="0.2">
      <c r="B1849">
        <v>10959</v>
      </c>
      <c r="C1849">
        <v>75</v>
      </c>
      <c r="D1849" s="84">
        <v>7.75</v>
      </c>
      <c r="E1849">
        <v>20</v>
      </c>
      <c r="F1849" s="85">
        <v>0.15</v>
      </c>
      <c r="G1849" s="86">
        <f t="shared" si="140"/>
        <v>155</v>
      </c>
      <c r="H1849" s="86">
        <f t="shared" si="141"/>
        <v>23.25</v>
      </c>
      <c r="I1849" s="86">
        <f t="shared" si="142"/>
        <v>131.75</v>
      </c>
      <c r="J1849" s="84">
        <f>VLOOKUP(C1849, Products[], 6)</f>
        <v>7.75</v>
      </c>
      <c r="K1849" s="86">
        <f t="shared" si="143"/>
        <v>155</v>
      </c>
      <c r="L1849" s="86">
        <f t="shared" si="144"/>
        <v>-23.25</v>
      </c>
    </row>
    <row r="1850" spans="2:12" x14ac:dyDescent="0.2">
      <c r="B1850">
        <v>10960</v>
      </c>
      <c r="C1850">
        <v>24</v>
      </c>
      <c r="D1850" s="84">
        <v>4.5</v>
      </c>
      <c r="E1850">
        <v>10</v>
      </c>
      <c r="F1850" s="85">
        <v>0.25</v>
      </c>
      <c r="G1850" s="86">
        <f t="shared" si="140"/>
        <v>45</v>
      </c>
      <c r="H1850" s="86">
        <f t="shared" si="141"/>
        <v>11.25</v>
      </c>
      <c r="I1850" s="86">
        <f t="shared" si="142"/>
        <v>33.75</v>
      </c>
      <c r="J1850" s="84">
        <f>VLOOKUP(C1850, Products[], 6)</f>
        <v>4.5</v>
      </c>
      <c r="K1850" s="86">
        <f t="shared" si="143"/>
        <v>45</v>
      </c>
      <c r="L1850" s="86">
        <f t="shared" si="144"/>
        <v>-11.25</v>
      </c>
    </row>
    <row r="1851" spans="2:12" x14ac:dyDescent="0.2">
      <c r="B1851">
        <v>10960</v>
      </c>
      <c r="C1851">
        <v>41</v>
      </c>
      <c r="D1851" s="84">
        <v>9.65</v>
      </c>
      <c r="E1851">
        <v>24</v>
      </c>
      <c r="F1851" s="85">
        <v>0</v>
      </c>
      <c r="G1851" s="86">
        <f t="shared" si="140"/>
        <v>231.60000000000002</v>
      </c>
      <c r="H1851" s="86">
        <f t="shared" si="141"/>
        <v>0</v>
      </c>
      <c r="I1851" s="86">
        <f t="shared" si="142"/>
        <v>231.60000000000002</v>
      </c>
      <c r="J1851" s="84">
        <f>VLOOKUP(C1851, Products[], 6)</f>
        <v>9.65</v>
      </c>
      <c r="K1851" s="86">
        <f t="shared" si="143"/>
        <v>231.60000000000002</v>
      </c>
      <c r="L1851" s="86">
        <f t="shared" si="144"/>
        <v>0</v>
      </c>
    </row>
    <row r="1852" spans="2:12" x14ac:dyDescent="0.2">
      <c r="B1852">
        <v>10961</v>
      </c>
      <c r="C1852">
        <v>52</v>
      </c>
      <c r="D1852" s="84">
        <v>7</v>
      </c>
      <c r="E1852">
        <v>6</v>
      </c>
      <c r="F1852" s="85">
        <v>0.05</v>
      </c>
      <c r="G1852" s="86">
        <f t="shared" si="140"/>
        <v>42</v>
      </c>
      <c r="H1852" s="86">
        <f t="shared" si="141"/>
        <v>2.1</v>
      </c>
      <c r="I1852" s="86">
        <f t="shared" si="142"/>
        <v>39.9</v>
      </c>
      <c r="J1852" s="84">
        <f>VLOOKUP(C1852, Products[], 6)</f>
        <v>7</v>
      </c>
      <c r="K1852" s="86">
        <f t="shared" si="143"/>
        <v>42</v>
      </c>
      <c r="L1852" s="86">
        <f t="shared" si="144"/>
        <v>-2.1000000000000014</v>
      </c>
    </row>
    <row r="1853" spans="2:12" x14ac:dyDescent="0.2">
      <c r="B1853">
        <v>10961</v>
      </c>
      <c r="C1853">
        <v>76</v>
      </c>
      <c r="D1853" s="84">
        <v>18</v>
      </c>
      <c r="E1853">
        <v>60</v>
      </c>
      <c r="F1853" s="85">
        <v>0</v>
      </c>
      <c r="G1853" s="86">
        <f t="shared" si="140"/>
        <v>1080</v>
      </c>
      <c r="H1853" s="86">
        <f t="shared" si="141"/>
        <v>0</v>
      </c>
      <c r="I1853" s="86">
        <f t="shared" si="142"/>
        <v>1080</v>
      </c>
      <c r="J1853" s="84">
        <f>VLOOKUP(C1853, Products[], 6)</f>
        <v>18</v>
      </c>
      <c r="K1853" s="86">
        <f t="shared" si="143"/>
        <v>1080</v>
      </c>
      <c r="L1853" s="86">
        <f t="shared" si="144"/>
        <v>0</v>
      </c>
    </row>
    <row r="1854" spans="2:12" x14ac:dyDescent="0.2">
      <c r="B1854">
        <v>10962</v>
      </c>
      <c r="C1854">
        <v>7</v>
      </c>
      <c r="D1854" s="84">
        <v>30</v>
      </c>
      <c r="E1854">
        <v>45</v>
      </c>
      <c r="F1854" s="85">
        <v>0</v>
      </c>
      <c r="G1854" s="86">
        <f t="shared" si="140"/>
        <v>1350</v>
      </c>
      <c r="H1854" s="86">
        <f t="shared" si="141"/>
        <v>0</v>
      </c>
      <c r="I1854" s="86">
        <f t="shared" si="142"/>
        <v>1350</v>
      </c>
      <c r="J1854" s="84">
        <f>VLOOKUP(C1854, Products[], 6)</f>
        <v>30</v>
      </c>
      <c r="K1854" s="86">
        <f t="shared" si="143"/>
        <v>1350</v>
      </c>
      <c r="L1854" s="86">
        <f t="shared" si="144"/>
        <v>0</v>
      </c>
    </row>
    <row r="1855" spans="2:12" x14ac:dyDescent="0.2">
      <c r="B1855">
        <v>10962</v>
      </c>
      <c r="C1855">
        <v>13</v>
      </c>
      <c r="D1855" s="84">
        <v>6</v>
      </c>
      <c r="E1855">
        <v>77</v>
      </c>
      <c r="F1855" s="85">
        <v>0</v>
      </c>
      <c r="G1855" s="86">
        <f t="shared" si="140"/>
        <v>462</v>
      </c>
      <c r="H1855" s="86">
        <f t="shared" si="141"/>
        <v>0</v>
      </c>
      <c r="I1855" s="86">
        <f t="shared" si="142"/>
        <v>462</v>
      </c>
      <c r="J1855" s="84">
        <f>VLOOKUP(C1855, Products[], 6)</f>
        <v>6</v>
      </c>
      <c r="K1855" s="86">
        <f t="shared" si="143"/>
        <v>462</v>
      </c>
      <c r="L1855" s="86">
        <f t="shared" si="144"/>
        <v>0</v>
      </c>
    </row>
    <row r="1856" spans="2:12" x14ac:dyDescent="0.2">
      <c r="B1856">
        <v>10962</v>
      </c>
      <c r="C1856">
        <v>53</v>
      </c>
      <c r="D1856" s="84">
        <v>32.799999999999997</v>
      </c>
      <c r="E1856">
        <v>20</v>
      </c>
      <c r="F1856" s="85">
        <v>0</v>
      </c>
      <c r="G1856" s="86">
        <f t="shared" si="140"/>
        <v>656</v>
      </c>
      <c r="H1856" s="86">
        <f t="shared" si="141"/>
        <v>0</v>
      </c>
      <c r="I1856" s="86">
        <f t="shared" si="142"/>
        <v>656</v>
      </c>
      <c r="J1856" s="84">
        <f>VLOOKUP(C1856, Products[], 6)</f>
        <v>32.799999999999997</v>
      </c>
      <c r="K1856" s="86">
        <f t="shared" si="143"/>
        <v>656</v>
      </c>
      <c r="L1856" s="86">
        <f t="shared" si="144"/>
        <v>0</v>
      </c>
    </row>
    <row r="1857" spans="2:12" x14ac:dyDescent="0.2">
      <c r="B1857">
        <v>10962</v>
      </c>
      <c r="C1857">
        <v>69</v>
      </c>
      <c r="D1857" s="84">
        <v>36</v>
      </c>
      <c r="E1857">
        <v>9</v>
      </c>
      <c r="F1857" s="85">
        <v>0</v>
      </c>
      <c r="G1857" s="86">
        <f t="shared" si="140"/>
        <v>324</v>
      </c>
      <c r="H1857" s="86">
        <f t="shared" si="141"/>
        <v>0</v>
      </c>
      <c r="I1857" s="86">
        <f t="shared" si="142"/>
        <v>324</v>
      </c>
      <c r="J1857" s="84">
        <f>VLOOKUP(C1857, Products[], 6)</f>
        <v>36</v>
      </c>
      <c r="K1857" s="86">
        <f t="shared" si="143"/>
        <v>324</v>
      </c>
      <c r="L1857" s="86">
        <f t="shared" si="144"/>
        <v>0</v>
      </c>
    </row>
    <row r="1858" spans="2:12" x14ac:dyDescent="0.2">
      <c r="B1858">
        <v>10962</v>
      </c>
      <c r="C1858">
        <v>76</v>
      </c>
      <c r="D1858" s="84">
        <v>18</v>
      </c>
      <c r="E1858">
        <v>44</v>
      </c>
      <c r="F1858" s="85">
        <v>0</v>
      </c>
      <c r="G1858" s="86">
        <f t="shared" si="140"/>
        <v>792</v>
      </c>
      <c r="H1858" s="86">
        <f t="shared" si="141"/>
        <v>0</v>
      </c>
      <c r="I1858" s="86">
        <f t="shared" si="142"/>
        <v>792</v>
      </c>
      <c r="J1858" s="84">
        <f>VLOOKUP(C1858, Products[], 6)</f>
        <v>18</v>
      </c>
      <c r="K1858" s="86">
        <f t="shared" si="143"/>
        <v>792</v>
      </c>
      <c r="L1858" s="86">
        <f t="shared" si="144"/>
        <v>0</v>
      </c>
    </row>
    <row r="1859" spans="2:12" x14ac:dyDescent="0.2">
      <c r="B1859">
        <v>10963</v>
      </c>
      <c r="C1859">
        <v>60</v>
      </c>
      <c r="D1859" s="84">
        <v>34</v>
      </c>
      <c r="E1859">
        <v>2</v>
      </c>
      <c r="F1859" s="85">
        <v>0.15</v>
      </c>
      <c r="G1859" s="86">
        <f t="shared" si="140"/>
        <v>68</v>
      </c>
      <c r="H1859" s="86">
        <f t="shared" si="141"/>
        <v>10.199999999999999</v>
      </c>
      <c r="I1859" s="86">
        <f t="shared" si="142"/>
        <v>57.8</v>
      </c>
      <c r="J1859" s="84">
        <f>VLOOKUP(C1859, Products[], 6)</f>
        <v>34</v>
      </c>
      <c r="K1859" s="86">
        <f t="shared" si="143"/>
        <v>68</v>
      </c>
      <c r="L1859" s="86">
        <f t="shared" si="144"/>
        <v>-10.200000000000003</v>
      </c>
    </row>
    <row r="1860" spans="2:12" x14ac:dyDescent="0.2">
      <c r="B1860">
        <v>10964</v>
      </c>
      <c r="C1860">
        <v>18</v>
      </c>
      <c r="D1860" s="84">
        <v>62.5</v>
      </c>
      <c r="E1860">
        <v>6</v>
      </c>
      <c r="F1860" s="85">
        <v>0</v>
      </c>
      <c r="G1860" s="86">
        <f t="shared" si="140"/>
        <v>375</v>
      </c>
      <c r="H1860" s="86">
        <f t="shared" si="141"/>
        <v>0</v>
      </c>
      <c r="I1860" s="86">
        <f t="shared" si="142"/>
        <v>375</v>
      </c>
      <c r="J1860" s="84">
        <f>VLOOKUP(C1860, Products[], 6)</f>
        <v>62.5</v>
      </c>
      <c r="K1860" s="86">
        <f t="shared" si="143"/>
        <v>375</v>
      </c>
      <c r="L1860" s="86">
        <f t="shared" si="144"/>
        <v>0</v>
      </c>
    </row>
    <row r="1861" spans="2:12" x14ac:dyDescent="0.2">
      <c r="B1861">
        <v>10964</v>
      </c>
      <c r="C1861">
        <v>38</v>
      </c>
      <c r="D1861" s="84">
        <v>263.5</v>
      </c>
      <c r="E1861">
        <v>5</v>
      </c>
      <c r="F1861" s="85">
        <v>0</v>
      </c>
      <c r="G1861" s="86">
        <f t="shared" si="140"/>
        <v>1317.5</v>
      </c>
      <c r="H1861" s="86">
        <f t="shared" si="141"/>
        <v>0</v>
      </c>
      <c r="I1861" s="86">
        <f t="shared" si="142"/>
        <v>1317.5</v>
      </c>
      <c r="J1861" s="84">
        <f>VLOOKUP(C1861, Products[], 6)</f>
        <v>263.5</v>
      </c>
      <c r="K1861" s="86">
        <f t="shared" si="143"/>
        <v>1317.5</v>
      </c>
      <c r="L1861" s="86">
        <f t="shared" si="144"/>
        <v>0</v>
      </c>
    </row>
    <row r="1862" spans="2:12" x14ac:dyDescent="0.2">
      <c r="B1862">
        <v>10964</v>
      </c>
      <c r="C1862">
        <v>69</v>
      </c>
      <c r="D1862" s="84">
        <v>36</v>
      </c>
      <c r="E1862">
        <v>10</v>
      </c>
      <c r="F1862" s="85">
        <v>0</v>
      </c>
      <c r="G1862" s="86">
        <f t="shared" si="140"/>
        <v>360</v>
      </c>
      <c r="H1862" s="86">
        <f t="shared" si="141"/>
        <v>0</v>
      </c>
      <c r="I1862" s="86">
        <f t="shared" si="142"/>
        <v>360</v>
      </c>
      <c r="J1862" s="84">
        <f>VLOOKUP(C1862, Products[], 6)</f>
        <v>36</v>
      </c>
      <c r="K1862" s="86">
        <f t="shared" si="143"/>
        <v>360</v>
      </c>
      <c r="L1862" s="86">
        <f t="shared" si="144"/>
        <v>0</v>
      </c>
    </row>
    <row r="1863" spans="2:12" x14ac:dyDescent="0.2">
      <c r="B1863">
        <v>10965</v>
      </c>
      <c r="C1863">
        <v>51</v>
      </c>
      <c r="D1863" s="84">
        <v>53</v>
      </c>
      <c r="E1863">
        <v>16</v>
      </c>
      <c r="F1863" s="85">
        <v>0</v>
      </c>
      <c r="G1863" s="86">
        <f t="shared" ref="G1863:G1926" si="145">D1863*E1863</f>
        <v>848</v>
      </c>
      <c r="H1863" s="86">
        <f t="shared" ref="H1863:H1926" si="146">G1863*F1863</f>
        <v>0</v>
      </c>
      <c r="I1863" s="86">
        <f t="shared" ref="I1863:I1926" si="147">G1863-H1863</f>
        <v>848</v>
      </c>
      <c r="J1863" s="84">
        <f>VLOOKUP(C1863, Products[], 6)</f>
        <v>53</v>
      </c>
      <c r="K1863" s="86">
        <f t="shared" ref="K1863:K1926" si="148">J1863*E1863</f>
        <v>848</v>
      </c>
      <c r="L1863" s="86">
        <f t="shared" ref="L1863:L1926" si="149">I1863-K1863</f>
        <v>0</v>
      </c>
    </row>
    <row r="1864" spans="2:12" x14ac:dyDescent="0.2">
      <c r="B1864">
        <v>10966</v>
      </c>
      <c r="C1864">
        <v>37</v>
      </c>
      <c r="D1864" s="84">
        <v>26</v>
      </c>
      <c r="E1864">
        <v>8</v>
      </c>
      <c r="F1864" s="85">
        <v>0</v>
      </c>
      <c r="G1864" s="86">
        <f t="shared" si="145"/>
        <v>208</v>
      </c>
      <c r="H1864" s="86">
        <f t="shared" si="146"/>
        <v>0</v>
      </c>
      <c r="I1864" s="86">
        <f t="shared" si="147"/>
        <v>208</v>
      </c>
      <c r="J1864" s="84">
        <f>VLOOKUP(C1864, Products[], 6)</f>
        <v>26</v>
      </c>
      <c r="K1864" s="86">
        <f t="shared" si="148"/>
        <v>208</v>
      </c>
      <c r="L1864" s="86">
        <f t="shared" si="149"/>
        <v>0</v>
      </c>
    </row>
    <row r="1865" spans="2:12" x14ac:dyDescent="0.2">
      <c r="B1865">
        <v>10966</v>
      </c>
      <c r="C1865">
        <v>56</v>
      </c>
      <c r="D1865" s="84">
        <v>38</v>
      </c>
      <c r="E1865">
        <v>12</v>
      </c>
      <c r="F1865" s="85">
        <v>0.15</v>
      </c>
      <c r="G1865" s="86">
        <f t="shared" si="145"/>
        <v>456</v>
      </c>
      <c r="H1865" s="86">
        <f t="shared" si="146"/>
        <v>68.399999999999991</v>
      </c>
      <c r="I1865" s="86">
        <f t="shared" si="147"/>
        <v>387.6</v>
      </c>
      <c r="J1865" s="84">
        <f>VLOOKUP(C1865, Products[], 6)</f>
        <v>38</v>
      </c>
      <c r="K1865" s="86">
        <f t="shared" si="148"/>
        <v>456</v>
      </c>
      <c r="L1865" s="86">
        <f t="shared" si="149"/>
        <v>-68.399999999999977</v>
      </c>
    </row>
    <row r="1866" spans="2:12" x14ac:dyDescent="0.2">
      <c r="B1866">
        <v>10966</v>
      </c>
      <c r="C1866">
        <v>62</v>
      </c>
      <c r="D1866" s="84">
        <v>49.3</v>
      </c>
      <c r="E1866">
        <v>12</v>
      </c>
      <c r="F1866" s="85">
        <v>0.15</v>
      </c>
      <c r="G1866" s="86">
        <f t="shared" si="145"/>
        <v>591.59999999999991</v>
      </c>
      <c r="H1866" s="86">
        <f t="shared" si="146"/>
        <v>88.739999999999981</v>
      </c>
      <c r="I1866" s="86">
        <f t="shared" si="147"/>
        <v>502.8599999999999</v>
      </c>
      <c r="J1866" s="84">
        <f>VLOOKUP(C1866, Products[], 6)</f>
        <v>49.3</v>
      </c>
      <c r="K1866" s="86">
        <f t="shared" si="148"/>
        <v>591.59999999999991</v>
      </c>
      <c r="L1866" s="86">
        <f t="shared" si="149"/>
        <v>-88.740000000000009</v>
      </c>
    </row>
    <row r="1867" spans="2:12" x14ac:dyDescent="0.2">
      <c r="B1867">
        <v>10967</v>
      </c>
      <c r="C1867">
        <v>19</v>
      </c>
      <c r="D1867" s="84">
        <v>9.1999999999999993</v>
      </c>
      <c r="E1867">
        <v>12</v>
      </c>
      <c r="F1867" s="85">
        <v>0</v>
      </c>
      <c r="G1867" s="86">
        <f t="shared" si="145"/>
        <v>110.39999999999999</v>
      </c>
      <c r="H1867" s="86">
        <f t="shared" si="146"/>
        <v>0</v>
      </c>
      <c r="I1867" s="86">
        <f t="shared" si="147"/>
        <v>110.39999999999999</v>
      </c>
      <c r="J1867" s="84">
        <f>VLOOKUP(C1867, Products[], 6)</f>
        <v>9.1999999999999993</v>
      </c>
      <c r="K1867" s="86">
        <f t="shared" si="148"/>
        <v>110.39999999999999</v>
      </c>
      <c r="L1867" s="86">
        <f t="shared" si="149"/>
        <v>0</v>
      </c>
    </row>
    <row r="1868" spans="2:12" x14ac:dyDescent="0.2">
      <c r="B1868">
        <v>10967</v>
      </c>
      <c r="C1868">
        <v>49</v>
      </c>
      <c r="D1868" s="84">
        <v>20</v>
      </c>
      <c r="E1868">
        <v>40</v>
      </c>
      <c r="F1868" s="85">
        <v>0</v>
      </c>
      <c r="G1868" s="86">
        <f t="shared" si="145"/>
        <v>800</v>
      </c>
      <c r="H1868" s="86">
        <f t="shared" si="146"/>
        <v>0</v>
      </c>
      <c r="I1868" s="86">
        <f t="shared" si="147"/>
        <v>800</v>
      </c>
      <c r="J1868" s="84">
        <f>VLOOKUP(C1868, Products[], 6)</f>
        <v>20</v>
      </c>
      <c r="K1868" s="86">
        <f t="shared" si="148"/>
        <v>800</v>
      </c>
      <c r="L1868" s="86">
        <f t="shared" si="149"/>
        <v>0</v>
      </c>
    </row>
    <row r="1869" spans="2:12" x14ac:dyDescent="0.2">
      <c r="B1869">
        <v>10968</v>
      </c>
      <c r="C1869">
        <v>12</v>
      </c>
      <c r="D1869" s="84">
        <v>38</v>
      </c>
      <c r="E1869">
        <v>30</v>
      </c>
      <c r="F1869" s="85">
        <v>0</v>
      </c>
      <c r="G1869" s="86">
        <f t="shared" si="145"/>
        <v>1140</v>
      </c>
      <c r="H1869" s="86">
        <f t="shared" si="146"/>
        <v>0</v>
      </c>
      <c r="I1869" s="86">
        <f t="shared" si="147"/>
        <v>1140</v>
      </c>
      <c r="J1869" s="84">
        <f>VLOOKUP(C1869, Products[], 6)</f>
        <v>38</v>
      </c>
      <c r="K1869" s="86">
        <f t="shared" si="148"/>
        <v>1140</v>
      </c>
      <c r="L1869" s="86">
        <f t="shared" si="149"/>
        <v>0</v>
      </c>
    </row>
    <row r="1870" spans="2:12" x14ac:dyDescent="0.2">
      <c r="B1870">
        <v>10968</v>
      </c>
      <c r="C1870">
        <v>24</v>
      </c>
      <c r="D1870" s="84">
        <v>4.5</v>
      </c>
      <c r="E1870">
        <v>30</v>
      </c>
      <c r="F1870" s="85">
        <v>0</v>
      </c>
      <c r="G1870" s="86">
        <f t="shared" si="145"/>
        <v>135</v>
      </c>
      <c r="H1870" s="86">
        <f t="shared" si="146"/>
        <v>0</v>
      </c>
      <c r="I1870" s="86">
        <f t="shared" si="147"/>
        <v>135</v>
      </c>
      <c r="J1870" s="84">
        <f>VLOOKUP(C1870, Products[], 6)</f>
        <v>4.5</v>
      </c>
      <c r="K1870" s="86">
        <f t="shared" si="148"/>
        <v>135</v>
      </c>
      <c r="L1870" s="86">
        <f t="shared" si="149"/>
        <v>0</v>
      </c>
    </row>
    <row r="1871" spans="2:12" x14ac:dyDescent="0.2">
      <c r="B1871">
        <v>10968</v>
      </c>
      <c r="C1871">
        <v>64</v>
      </c>
      <c r="D1871" s="84">
        <v>33.25</v>
      </c>
      <c r="E1871">
        <v>4</v>
      </c>
      <c r="F1871" s="85">
        <v>0</v>
      </c>
      <c r="G1871" s="86">
        <f t="shared" si="145"/>
        <v>133</v>
      </c>
      <c r="H1871" s="86">
        <f t="shared" si="146"/>
        <v>0</v>
      </c>
      <c r="I1871" s="86">
        <f t="shared" si="147"/>
        <v>133</v>
      </c>
      <c r="J1871" s="84">
        <f>VLOOKUP(C1871, Products[], 6)</f>
        <v>33.25</v>
      </c>
      <c r="K1871" s="86">
        <f t="shared" si="148"/>
        <v>133</v>
      </c>
      <c r="L1871" s="86">
        <f t="shared" si="149"/>
        <v>0</v>
      </c>
    </row>
    <row r="1872" spans="2:12" x14ac:dyDescent="0.2">
      <c r="B1872">
        <v>10969</v>
      </c>
      <c r="C1872">
        <v>46</v>
      </c>
      <c r="D1872" s="84">
        <v>12</v>
      </c>
      <c r="E1872">
        <v>9</v>
      </c>
      <c r="F1872" s="85">
        <v>0</v>
      </c>
      <c r="G1872" s="86">
        <f t="shared" si="145"/>
        <v>108</v>
      </c>
      <c r="H1872" s="86">
        <f t="shared" si="146"/>
        <v>0</v>
      </c>
      <c r="I1872" s="86">
        <f t="shared" si="147"/>
        <v>108</v>
      </c>
      <c r="J1872" s="84">
        <f>VLOOKUP(C1872, Products[], 6)</f>
        <v>12</v>
      </c>
      <c r="K1872" s="86">
        <f t="shared" si="148"/>
        <v>108</v>
      </c>
      <c r="L1872" s="86">
        <f t="shared" si="149"/>
        <v>0</v>
      </c>
    </row>
    <row r="1873" spans="2:12" x14ac:dyDescent="0.2">
      <c r="B1873">
        <v>10970</v>
      </c>
      <c r="C1873">
        <v>52</v>
      </c>
      <c r="D1873" s="84">
        <v>7</v>
      </c>
      <c r="E1873">
        <v>40</v>
      </c>
      <c r="F1873" s="85">
        <v>0.2</v>
      </c>
      <c r="G1873" s="86">
        <f t="shared" si="145"/>
        <v>280</v>
      </c>
      <c r="H1873" s="86">
        <f t="shared" si="146"/>
        <v>56</v>
      </c>
      <c r="I1873" s="86">
        <f t="shared" si="147"/>
        <v>224</v>
      </c>
      <c r="J1873" s="84">
        <f>VLOOKUP(C1873, Products[], 6)</f>
        <v>7</v>
      </c>
      <c r="K1873" s="86">
        <f t="shared" si="148"/>
        <v>280</v>
      </c>
      <c r="L1873" s="86">
        <f t="shared" si="149"/>
        <v>-56</v>
      </c>
    </row>
    <row r="1874" spans="2:12" x14ac:dyDescent="0.2">
      <c r="B1874">
        <v>10971</v>
      </c>
      <c r="C1874">
        <v>29</v>
      </c>
      <c r="D1874" s="84">
        <v>123.79</v>
      </c>
      <c r="E1874">
        <v>14</v>
      </c>
      <c r="F1874" s="85">
        <v>0</v>
      </c>
      <c r="G1874" s="86">
        <f t="shared" si="145"/>
        <v>1733.0600000000002</v>
      </c>
      <c r="H1874" s="86">
        <f t="shared" si="146"/>
        <v>0</v>
      </c>
      <c r="I1874" s="86">
        <f t="shared" si="147"/>
        <v>1733.0600000000002</v>
      </c>
      <c r="J1874" s="84">
        <f>VLOOKUP(C1874, Products[], 6)</f>
        <v>123.79</v>
      </c>
      <c r="K1874" s="86">
        <f t="shared" si="148"/>
        <v>1733.0600000000002</v>
      </c>
      <c r="L1874" s="86">
        <f t="shared" si="149"/>
        <v>0</v>
      </c>
    </row>
    <row r="1875" spans="2:12" x14ac:dyDescent="0.2">
      <c r="B1875">
        <v>10972</v>
      </c>
      <c r="C1875">
        <v>17</v>
      </c>
      <c r="D1875" s="84">
        <v>39</v>
      </c>
      <c r="E1875">
        <v>6</v>
      </c>
      <c r="F1875" s="85">
        <v>0</v>
      </c>
      <c r="G1875" s="86">
        <f t="shared" si="145"/>
        <v>234</v>
      </c>
      <c r="H1875" s="86">
        <f t="shared" si="146"/>
        <v>0</v>
      </c>
      <c r="I1875" s="86">
        <f t="shared" si="147"/>
        <v>234</v>
      </c>
      <c r="J1875" s="84">
        <f>VLOOKUP(C1875, Products[], 6)</f>
        <v>39</v>
      </c>
      <c r="K1875" s="86">
        <f t="shared" si="148"/>
        <v>234</v>
      </c>
      <c r="L1875" s="86">
        <f t="shared" si="149"/>
        <v>0</v>
      </c>
    </row>
    <row r="1876" spans="2:12" x14ac:dyDescent="0.2">
      <c r="B1876">
        <v>10972</v>
      </c>
      <c r="C1876">
        <v>33</v>
      </c>
      <c r="D1876" s="84">
        <v>2.5</v>
      </c>
      <c r="E1876">
        <v>7</v>
      </c>
      <c r="F1876" s="85">
        <v>0</v>
      </c>
      <c r="G1876" s="86">
        <f t="shared" si="145"/>
        <v>17.5</v>
      </c>
      <c r="H1876" s="86">
        <f t="shared" si="146"/>
        <v>0</v>
      </c>
      <c r="I1876" s="86">
        <f t="shared" si="147"/>
        <v>17.5</v>
      </c>
      <c r="J1876" s="84">
        <f>VLOOKUP(C1876, Products[], 6)</f>
        <v>2.5</v>
      </c>
      <c r="K1876" s="86">
        <f t="shared" si="148"/>
        <v>17.5</v>
      </c>
      <c r="L1876" s="86">
        <f t="shared" si="149"/>
        <v>0</v>
      </c>
    </row>
    <row r="1877" spans="2:12" x14ac:dyDescent="0.2">
      <c r="B1877">
        <v>10973</v>
      </c>
      <c r="C1877">
        <v>26</v>
      </c>
      <c r="D1877" s="84">
        <v>31.23</v>
      </c>
      <c r="E1877">
        <v>5</v>
      </c>
      <c r="F1877" s="85">
        <v>0</v>
      </c>
      <c r="G1877" s="86">
        <f t="shared" si="145"/>
        <v>156.15</v>
      </c>
      <c r="H1877" s="86">
        <f t="shared" si="146"/>
        <v>0</v>
      </c>
      <c r="I1877" s="86">
        <f t="shared" si="147"/>
        <v>156.15</v>
      </c>
      <c r="J1877" s="84">
        <f>VLOOKUP(C1877, Products[], 6)</f>
        <v>31.23</v>
      </c>
      <c r="K1877" s="86">
        <f t="shared" si="148"/>
        <v>156.15</v>
      </c>
      <c r="L1877" s="86">
        <f t="shared" si="149"/>
        <v>0</v>
      </c>
    </row>
    <row r="1878" spans="2:12" x14ac:dyDescent="0.2">
      <c r="B1878">
        <v>10973</v>
      </c>
      <c r="C1878">
        <v>41</v>
      </c>
      <c r="D1878" s="84">
        <v>9.65</v>
      </c>
      <c r="E1878">
        <v>6</v>
      </c>
      <c r="F1878" s="85">
        <v>0</v>
      </c>
      <c r="G1878" s="86">
        <f t="shared" si="145"/>
        <v>57.900000000000006</v>
      </c>
      <c r="H1878" s="86">
        <f t="shared" si="146"/>
        <v>0</v>
      </c>
      <c r="I1878" s="86">
        <f t="shared" si="147"/>
        <v>57.900000000000006</v>
      </c>
      <c r="J1878" s="84">
        <f>VLOOKUP(C1878, Products[], 6)</f>
        <v>9.65</v>
      </c>
      <c r="K1878" s="86">
        <f t="shared" si="148"/>
        <v>57.900000000000006</v>
      </c>
      <c r="L1878" s="86">
        <f t="shared" si="149"/>
        <v>0</v>
      </c>
    </row>
    <row r="1879" spans="2:12" x14ac:dyDescent="0.2">
      <c r="B1879">
        <v>10973</v>
      </c>
      <c r="C1879">
        <v>75</v>
      </c>
      <c r="D1879" s="84">
        <v>7.75</v>
      </c>
      <c r="E1879">
        <v>10</v>
      </c>
      <c r="F1879" s="85">
        <v>0</v>
      </c>
      <c r="G1879" s="86">
        <f t="shared" si="145"/>
        <v>77.5</v>
      </c>
      <c r="H1879" s="86">
        <f t="shared" si="146"/>
        <v>0</v>
      </c>
      <c r="I1879" s="86">
        <f t="shared" si="147"/>
        <v>77.5</v>
      </c>
      <c r="J1879" s="84">
        <f>VLOOKUP(C1879, Products[], 6)</f>
        <v>7.75</v>
      </c>
      <c r="K1879" s="86">
        <f t="shared" si="148"/>
        <v>77.5</v>
      </c>
      <c r="L1879" s="86">
        <f t="shared" si="149"/>
        <v>0</v>
      </c>
    </row>
    <row r="1880" spans="2:12" x14ac:dyDescent="0.2">
      <c r="B1880">
        <v>10974</v>
      </c>
      <c r="C1880">
        <v>63</v>
      </c>
      <c r="D1880" s="84">
        <v>43.9</v>
      </c>
      <c r="E1880">
        <v>10</v>
      </c>
      <c r="F1880" s="85">
        <v>0</v>
      </c>
      <c r="G1880" s="86">
        <f t="shared" si="145"/>
        <v>439</v>
      </c>
      <c r="H1880" s="86">
        <f t="shared" si="146"/>
        <v>0</v>
      </c>
      <c r="I1880" s="86">
        <f t="shared" si="147"/>
        <v>439</v>
      </c>
      <c r="J1880" s="84">
        <f>VLOOKUP(C1880, Products[], 6)</f>
        <v>43.9</v>
      </c>
      <c r="K1880" s="86">
        <f t="shared" si="148"/>
        <v>439</v>
      </c>
      <c r="L1880" s="86">
        <f t="shared" si="149"/>
        <v>0</v>
      </c>
    </row>
    <row r="1881" spans="2:12" x14ac:dyDescent="0.2">
      <c r="B1881">
        <v>10975</v>
      </c>
      <c r="C1881">
        <v>8</v>
      </c>
      <c r="D1881" s="84">
        <v>40</v>
      </c>
      <c r="E1881">
        <v>16</v>
      </c>
      <c r="F1881" s="85">
        <v>0</v>
      </c>
      <c r="G1881" s="86">
        <f t="shared" si="145"/>
        <v>640</v>
      </c>
      <c r="H1881" s="86">
        <f t="shared" si="146"/>
        <v>0</v>
      </c>
      <c r="I1881" s="86">
        <f t="shared" si="147"/>
        <v>640</v>
      </c>
      <c r="J1881" s="84">
        <f>VLOOKUP(C1881, Products[], 6)</f>
        <v>40</v>
      </c>
      <c r="K1881" s="86">
        <f t="shared" si="148"/>
        <v>640</v>
      </c>
      <c r="L1881" s="86">
        <f t="shared" si="149"/>
        <v>0</v>
      </c>
    </row>
    <row r="1882" spans="2:12" x14ac:dyDescent="0.2">
      <c r="B1882">
        <v>10975</v>
      </c>
      <c r="C1882">
        <v>75</v>
      </c>
      <c r="D1882" s="84">
        <v>7.75</v>
      </c>
      <c r="E1882">
        <v>10</v>
      </c>
      <c r="F1882" s="85">
        <v>0</v>
      </c>
      <c r="G1882" s="86">
        <f t="shared" si="145"/>
        <v>77.5</v>
      </c>
      <c r="H1882" s="86">
        <f t="shared" si="146"/>
        <v>0</v>
      </c>
      <c r="I1882" s="86">
        <f t="shared" si="147"/>
        <v>77.5</v>
      </c>
      <c r="J1882" s="84">
        <f>VLOOKUP(C1882, Products[], 6)</f>
        <v>7.75</v>
      </c>
      <c r="K1882" s="86">
        <f t="shared" si="148"/>
        <v>77.5</v>
      </c>
      <c r="L1882" s="86">
        <f t="shared" si="149"/>
        <v>0</v>
      </c>
    </row>
    <row r="1883" spans="2:12" x14ac:dyDescent="0.2">
      <c r="B1883">
        <v>10976</v>
      </c>
      <c r="C1883">
        <v>28</v>
      </c>
      <c r="D1883" s="84">
        <v>45.6</v>
      </c>
      <c r="E1883">
        <v>20</v>
      </c>
      <c r="F1883" s="85">
        <v>0</v>
      </c>
      <c r="G1883" s="86">
        <f t="shared" si="145"/>
        <v>912</v>
      </c>
      <c r="H1883" s="86">
        <f t="shared" si="146"/>
        <v>0</v>
      </c>
      <c r="I1883" s="86">
        <f t="shared" si="147"/>
        <v>912</v>
      </c>
      <c r="J1883" s="84">
        <f>VLOOKUP(C1883, Products[], 6)</f>
        <v>45.6</v>
      </c>
      <c r="K1883" s="86">
        <f t="shared" si="148"/>
        <v>912</v>
      </c>
      <c r="L1883" s="86">
        <f t="shared" si="149"/>
        <v>0</v>
      </c>
    </row>
    <row r="1884" spans="2:12" x14ac:dyDescent="0.2">
      <c r="B1884">
        <v>10977</v>
      </c>
      <c r="C1884">
        <v>39</v>
      </c>
      <c r="D1884" s="84">
        <v>18</v>
      </c>
      <c r="E1884">
        <v>30</v>
      </c>
      <c r="F1884" s="85">
        <v>0</v>
      </c>
      <c r="G1884" s="86">
        <f t="shared" si="145"/>
        <v>540</v>
      </c>
      <c r="H1884" s="86">
        <f t="shared" si="146"/>
        <v>0</v>
      </c>
      <c r="I1884" s="86">
        <f t="shared" si="147"/>
        <v>540</v>
      </c>
      <c r="J1884" s="84">
        <f>VLOOKUP(C1884, Products[], 6)</f>
        <v>18</v>
      </c>
      <c r="K1884" s="86">
        <f t="shared" si="148"/>
        <v>540</v>
      </c>
      <c r="L1884" s="86">
        <f t="shared" si="149"/>
        <v>0</v>
      </c>
    </row>
    <row r="1885" spans="2:12" x14ac:dyDescent="0.2">
      <c r="B1885">
        <v>10977</v>
      </c>
      <c r="C1885">
        <v>47</v>
      </c>
      <c r="D1885" s="84">
        <v>9.5</v>
      </c>
      <c r="E1885">
        <v>30</v>
      </c>
      <c r="F1885" s="85">
        <v>0</v>
      </c>
      <c r="G1885" s="86">
        <f t="shared" si="145"/>
        <v>285</v>
      </c>
      <c r="H1885" s="86">
        <f t="shared" si="146"/>
        <v>0</v>
      </c>
      <c r="I1885" s="86">
        <f t="shared" si="147"/>
        <v>285</v>
      </c>
      <c r="J1885" s="84">
        <f>VLOOKUP(C1885, Products[], 6)</f>
        <v>9.5</v>
      </c>
      <c r="K1885" s="86">
        <f t="shared" si="148"/>
        <v>285</v>
      </c>
      <c r="L1885" s="86">
        <f t="shared" si="149"/>
        <v>0</v>
      </c>
    </row>
    <row r="1886" spans="2:12" x14ac:dyDescent="0.2">
      <c r="B1886">
        <v>10977</v>
      </c>
      <c r="C1886">
        <v>51</v>
      </c>
      <c r="D1886" s="84">
        <v>53</v>
      </c>
      <c r="E1886">
        <v>10</v>
      </c>
      <c r="F1886" s="85">
        <v>0</v>
      </c>
      <c r="G1886" s="86">
        <f t="shared" si="145"/>
        <v>530</v>
      </c>
      <c r="H1886" s="86">
        <f t="shared" si="146"/>
        <v>0</v>
      </c>
      <c r="I1886" s="86">
        <f t="shared" si="147"/>
        <v>530</v>
      </c>
      <c r="J1886" s="84">
        <f>VLOOKUP(C1886, Products[], 6)</f>
        <v>53</v>
      </c>
      <c r="K1886" s="86">
        <f t="shared" si="148"/>
        <v>530</v>
      </c>
      <c r="L1886" s="86">
        <f t="shared" si="149"/>
        <v>0</v>
      </c>
    </row>
    <row r="1887" spans="2:12" x14ac:dyDescent="0.2">
      <c r="B1887">
        <v>10977</v>
      </c>
      <c r="C1887">
        <v>63</v>
      </c>
      <c r="D1887" s="84">
        <v>43.9</v>
      </c>
      <c r="E1887">
        <v>20</v>
      </c>
      <c r="F1887" s="85">
        <v>0</v>
      </c>
      <c r="G1887" s="86">
        <f t="shared" si="145"/>
        <v>878</v>
      </c>
      <c r="H1887" s="86">
        <f t="shared" si="146"/>
        <v>0</v>
      </c>
      <c r="I1887" s="86">
        <f t="shared" si="147"/>
        <v>878</v>
      </c>
      <c r="J1887" s="84">
        <f>VLOOKUP(C1887, Products[], 6)</f>
        <v>43.9</v>
      </c>
      <c r="K1887" s="86">
        <f t="shared" si="148"/>
        <v>878</v>
      </c>
      <c r="L1887" s="86">
        <f t="shared" si="149"/>
        <v>0</v>
      </c>
    </row>
    <row r="1888" spans="2:12" x14ac:dyDescent="0.2">
      <c r="B1888">
        <v>10978</v>
      </c>
      <c r="C1888">
        <v>8</v>
      </c>
      <c r="D1888" s="84">
        <v>40</v>
      </c>
      <c r="E1888">
        <v>20</v>
      </c>
      <c r="F1888" s="85">
        <v>0.15</v>
      </c>
      <c r="G1888" s="86">
        <f t="shared" si="145"/>
        <v>800</v>
      </c>
      <c r="H1888" s="86">
        <f t="shared" si="146"/>
        <v>120</v>
      </c>
      <c r="I1888" s="86">
        <f t="shared" si="147"/>
        <v>680</v>
      </c>
      <c r="J1888" s="84">
        <f>VLOOKUP(C1888, Products[], 6)</f>
        <v>40</v>
      </c>
      <c r="K1888" s="86">
        <f t="shared" si="148"/>
        <v>800</v>
      </c>
      <c r="L1888" s="86">
        <f t="shared" si="149"/>
        <v>-120</v>
      </c>
    </row>
    <row r="1889" spans="2:12" x14ac:dyDescent="0.2">
      <c r="B1889">
        <v>10978</v>
      </c>
      <c r="C1889">
        <v>21</v>
      </c>
      <c r="D1889" s="84">
        <v>10</v>
      </c>
      <c r="E1889">
        <v>40</v>
      </c>
      <c r="F1889" s="85">
        <v>0.15</v>
      </c>
      <c r="G1889" s="86">
        <f t="shared" si="145"/>
        <v>400</v>
      </c>
      <c r="H1889" s="86">
        <f t="shared" si="146"/>
        <v>60</v>
      </c>
      <c r="I1889" s="86">
        <f t="shared" si="147"/>
        <v>340</v>
      </c>
      <c r="J1889" s="84">
        <f>VLOOKUP(C1889, Products[], 6)</f>
        <v>10</v>
      </c>
      <c r="K1889" s="86">
        <f t="shared" si="148"/>
        <v>400</v>
      </c>
      <c r="L1889" s="86">
        <f t="shared" si="149"/>
        <v>-60</v>
      </c>
    </row>
    <row r="1890" spans="2:12" x14ac:dyDescent="0.2">
      <c r="B1890">
        <v>10978</v>
      </c>
      <c r="C1890">
        <v>40</v>
      </c>
      <c r="D1890" s="84">
        <v>18.399999999999999</v>
      </c>
      <c r="E1890">
        <v>10</v>
      </c>
      <c r="F1890" s="85">
        <v>0</v>
      </c>
      <c r="G1890" s="86">
        <f t="shared" si="145"/>
        <v>184</v>
      </c>
      <c r="H1890" s="86">
        <f t="shared" si="146"/>
        <v>0</v>
      </c>
      <c r="I1890" s="86">
        <f t="shared" si="147"/>
        <v>184</v>
      </c>
      <c r="J1890" s="84">
        <f>VLOOKUP(C1890, Products[], 6)</f>
        <v>18.399999999999999</v>
      </c>
      <c r="K1890" s="86">
        <f t="shared" si="148"/>
        <v>184</v>
      </c>
      <c r="L1890" s="86">
        <f t="shared" si="149"/>
        <v>0</v>
      </c>
    </row>
    <row r="1891" spans="2:12" x14ac:dyDescent="0.2">
      <c r="B1891">
        <v>10978</v>
      </c>
      <c r="C1891">
        <v>44</v>
      </c>
      <c r="D1891" s="84">
        <v>19.45</v>
      </c>
      <c r="E1891">
        <v>6</v>
      </c>
      <c r="F1891" s="85">
        <v>0.15</v>
      </c>
      <c r="G1891" s="86">
        <f t="shared" si="145"/>
        <v>116.69999999999999</v>
      </c>
      <c r="H1891" s="86">
        <f t="shared" si="146"/>
        <v>17.504999999999999</v>
      </c>
      <c r="I1891" s="86">
        <f t="shared" si="147"/>
        <v>99.194999999999993</v>
      </c>
      <c r="J1891" s="84">
        <f>VLOOKUP(C1891, Products[], 6)</f>
        <v>19.45</v>
      </c>
      <c r="K1891" s="86">
        <f t="shared" si="148"/>
        <v>116.69999999999999</v>
      </c>
      <c r="L1891" s="86">
        <f t="shared" si="149"/>
        <v>-17.504999999999995</v>
      </c>
    </row>
    <row r="1892" spans="2:12" x14ac:dyDescent="0.2">
      <c r="B1892">
        <v>10979</v>
      </c>
      <c r="C1892">
        <v>7</v>
      </c>
      <c r="D1892" s="84">
        <v>30</v>
      </c>
      <c r="E1892">
        <v>18</v>
      </c>
      <c r="F1892" s="85">
        <v>0</v>
      </c>
      <c r="G1892" s="86">
        <f t="shared" si="145"/>
        <v>540</v>
      </c>
      <c r="H1892" s="86">
        <f t="shared" si="146"/>
        <v>0</v>
      </c>
      <c r="I1892" s="86">
        <f t="shared" si="147"/>
        <v>540</v>
      </c>
      <c r="J1892" s="84">
        <f>VLOOKUP(C1892, Products[], 6)</f>
        <v>30</v>
      </c>
      <c r="K1892" s="86">
        <f t="shared" si="148"/>
        <v>540</v>
      </c>
      <c r="L1892" s="86">
        <f t="shared" si="149"/>
        <v>0</v>
      </c>
    </row>
    <row r="1893" spans="2:12" x14ac:dyDescent="0.2">
      <c r="B1893">
        <v>10979</v>
      </c>
      <c r="C1893">
        <v>12</v>
      </c>
      <c r="D1893" s="84">
        <v>38</v>
      </c>
      <c r="E1893">
        <v>20</v>
      </c>
      <c r="F1893" s="85">
        <v>0</v>
      </c>
      <c r="G1893" s="86">
        <f t="shared" si="145"/>
        <v>760</v>
      </c>
      <c r="H1893" s="86">
        <f t="shared" si="146"/>
        <v>0</v>
      </c>
      <c r="I1893" s="86">
        <f t="shared" si="147"/>
        <v>760</v>
      </c>
      <c r="J1893" s="84">
        <f>VLOOKUP(C1893, Products[], 6)</f>
        <v>38</v>
      </c>
      <c r="K1893" s="86">
        <f t="shared" si="148"/>
        <v>760</v>
      </c>
      <c r="L1893" s="86">
        <f t="shared" si="149"/>
        <v>0</v>
      </c>
    </row>
    <row r="1894" spans="2:12" x14ac:dyDescent="0.2">
      <c r="B1894">
        <v>10979</v>
      </c>
      <c r="C1894">
        <v>24</v>
      </c>
      <c r="D1894" s="84">
        <v>4.5</v>
      </c>
      <c r="E1894">
        <v>80</v>
      </c>
      <c r="F1894" s="85">
        <v>0</v>
      </c>
      <c r="G1894" s="86">
        <f t="shared" si="145"/>
        <v>360</v>
      </c>
      <c r="H1894" s="86">
        <f t="shared" si="146"/>
        <v>0</v>
      </c>
      <c r="I1894" s="86">
        <f t="shared" si="147"/>
        <v>360</v>
      </c>
      <c r="J1894" s="84">
        <f>VLOOKUP(C1894, Products[], 6)</f>
        <v>4.5</v>
      </c>
      <c r="K1894" s="86">
        <f t="shared" si="148"/>
        <v>360</v>
      </c>
      <c r="L1894" s="86">
        <f t="shared" si="149"/>
        <v>0</v>
      </c>
    </row>
    <row r="1895" spans="2:12" x14ac:dyDescent="0.2">
      <c r="B1895">
        <v>10979</v>
      </c>
      <c r="C1895">
        <v>27</v>
      </c>
      <c r="D1895" s="84">
        <v>43.9</v>
      </c>
      <c r="E1895">
        <v>30</v>
      </c>
      <c r="F1895" s="85">
        <v>0</v>
      </c>
      <c r="G1895" s="86">
        <f t="shared" si="145"/>
        <v>1317</v>
      </c>
      <c r="H1895" s="86">
        <f t="shared" si="146"/>
        <v>0</v>
      </c>
      <c r="I1895" s="86">
        <f t="shared" si="147"/>
        <v>1317</v>
      </c>
      <c r="J1895" s="84">
        <f>VLOOKUP(C1895, Products[], 6)</f>
        <v>43.9</v>
      </c>
      <c r="K1895" s="86">
        <f t="shared" si="148"/>
        <v>1317</v>
      </c>
      <c r="L1895" s="86">
        <f t="shared" si="149"/>
        <v>0</v>
      </c>
    </row>
    <row r="1896" spans="2:12" x14ac:dyDescent="0.2">
      <c r="B1896">
        <v>10979</v>
      </c>
      <c r="C1896">
        <v>31</v>
      </c>
      <c r="D1896" s="84">
        <v>12.5</v>
      </c>
      <c r="E1896">
        <v>24</v>
      </c>
      <c r="F1896" s="85">
        <v>0</v>
      </c>
      <c r="G1896" s="86">
        <f t="shared" si="145"/>
        <v>300</v>
      </c>
      <c r="H1896" s="86">
        <f t="shared" si="146"/>
        <v>0</v>
      </c>
      <c r="I1896" s="86">
        <f t="shared" si="147"/>
        <v>300</v>
      </c>
      <c r="J1896" s="84">
        <f>VLOOKUP(C1896, Products[], 6)</f>
        <v>12.5</v>
      </c>
      <c r="K1896" s="86">
        <f t="shared" si="148"/>
        <v>300</v>
      </c>
      <c r="L1896" s="86">
        <f t="shared" si="149"/>
        <v>0</v>
      </c>
    </row>
    <row r="1897" spans="2:12" x14ac:dyDescent="0.2">
      <c r="B1897">
        <v>10979</v>
      </c>
      <c r="C1897">
        <v>63</v>
      </c>
      <c r="D1897" s="84">
        <v>43.9</v>
      </c>
      <c r="E1897">
        <v>35</v>
      </c>
      <c r="F1897" s="85">
        <v>0</v>
      </c>
      <c r="G1897" s="86">
        <f t="shared" si="145"/>
        <v>1536.5</v>
      </c>
      <c r="H1897" s="86">
        <f t="shared" si="146"/>
        <v>0</v>
      </c>
      <c r="I1897" s="86">
        <f t="shared" si="147"/>
        <v>1536.5</v>
      </c>
      <c r="J1897" s="84">
        <f>VLOOKUP(C1897, Products[], 6)</f>
        <v>43.9</v>
      </c>
      <c r="K1897" s="86">
        <f t="shared" si="148"/>
        <v>1536.5</v>
      </c>
      <c r="L1897" s="86">
        <f t="shared" si="149"/>
        <v>0</v>
      </c>
    </row>
    <row r="1898" spans="2:12" x14ac:dyDescent="0.2">
      <c r="B1898">
        <v>10980</v>
      </c>
      <c r="C1898">
        <v>75</v>
      </c>
      <c r="D1898" s="84">
        <v>7.75</v>
      </c>
      <c r="E1898">
        <v>40</v>
      </c>
      <c r="F1898" s="85">
        <v>0.2</v>
      </c>
      <c r="G1898" s="86">
        <f t="shared" si="145"/>
        <v>310</v>
      </c>
      <c r="H1898" s="86">
        <f t="shared" si="146"/>
        <v>62</v>
      </c>
      <c r="I1898" s="86">
        <f t="shared" si="147"/>
        <v>248</v>
      </c>
      <c r="J1898" s="84">
        <f>VLOOKUP(C1898, Products[], 6)</f>
        <v>7.75</v>
      </c>
      <c r="K1898" s="86">
        <f t="shared" si="148"/>
        <v>310</v>
      </c>
      <c r="L1898" s="86">
        <f t="shared" si="149"/>
        <v>-62</v>
      </c>
    </row>
    <row r="1899" spans="2:12" x14ac:dyDescent="0.2">
      <c r="B1899">
        <v>10981</v>
      </c>
      <c r="C1899">
        <v>38</v>
      </c>
      <c r="D1899" s="84">
        <v>263.5</v>
      </c>
      <c r="E1899">
        <v>60</v>
      </c>
      <c r="F1899" s="85">
        <v>0</v>
      </c>
      <c r="G1899" s="86">
        <f t="shared" si="145"/>
        <v>15810</v>
      </c>
      <c r="H1899" s="86">
        <f t="shared" si="146"/>
        <v>0</v>
      </c>
      <c r="I1899" s="86">
        <f t="shared" si="147"/>
        <v>15810</v>
      </c>
      <c r="J1899" s="84">
        <f>VLOOKUP(C1899, Products[], 6)</f>
        <v>263.5</v>
      </c>
      <c r="K1899" s="86">
        <f t="shared" si="148"/>
        <v>15810</v>
      </c>
      <c r="L1899" s="86">
        <f t="shared" si="149"/>
        <v>0</v>
      </c>
    </row>
    <row r="1900" spans="2:12" x14ac:dyDescent="0.2">
      <c r="B1900">
        <v>10982</v>
      </c>
      <c r="C1900">
        <v>7</v>
      </c>
      <c r="D1900" s="84">
        <v>30</v>
      </c>
      <c r="E1900">
        <v>20</v>
      </c>
      <c r="F1900" s="85">
        <v>0</v>
      </c>
      <c r="G1900" s="86">
        <f t="shared" si="145"/>
        <v>600</v>
      </c>
      <c r="H1900" s="86">
        <f t="shared" si="146"/>
        <v>0</v>
      </c>
      <c r="I1900" s="86">
        <f t="shared" si="147"/>
        <v>600</v>
      </c>
      <c r="J1900" s="84">
        <f>VLOOKUP(C1900, Products[], 6)</f>
        <v>30</v>
      </c>
      <c r="K1900" s="86">
        <f t="shared" si="148"/>
        <v>600</v>
      </c>
      <c r="L1900" s="86">
        <f t="shared" si="149"/>
        <v>0</v>
      </c>
    </row>
    <row r="1901" spans="2:12" x14ac:dyDescent="0.2">
      <c r="B1901">
        <v>10982</v>
      </c>
      <c r="C1901">
        <v>43</v>
      </c>
      <c r="D1901" s="84">
        <v>46</v>
      </c>
      <c r="E1901">
        <v>9</v>
      </c>
      <c r="F1901" s="85">
        <v>0</v>
      </c>
      <c r="G1901" s="86">
        <f t="shared" si="145"/>
        <v>414</v>
      </c>
      <c r="H1901" s="86">
        <f t="shared" si="146"/>
        <v>0</v>
      </c>
      <c r="I1901" s="86">
        <f t="shared" si="147"/>
        <v>414</v>
      </c>
      <c r="J1901" s="84">
        <f>VLOOKUP(C1901, Products[], 6)</f>
        <v>46</v>
      </c>
      <c r="K1901" s="86">
        <f t="shared" si="148"/>
        <v>414</v>
      </c>
      <c r="L1901" s="86">
        <f t="shared" si="149"/>
        <v>0</v>
      </c>
    </row>
    <row r="1902" spans="2:12" x14ac:dyDescent="0.2">
      <c r="B1902">
        <v>10983</v>
      </c>
      <c r="C1902">
        <v>13</v>
      </c>
      <c r="D1902" s="84">
        <v>6</v>
      </c>
      <c r="E1902">
        <v>84</v>
      </c>
      <c r="F1902" s="85">
        <v>0.15</v>
      </c>
      <c r="G1902" s="86">
        <f t="shared" si="145"/>
        <v>504</v>
      </c>
      <c r="H1902" s="86">
        <f t="shared" si="146"/>
        <v>75.599999999999994</v>
      </c>
      <c r="I1902" s="86">
        <f t="shared" si="147"/>
        <v>428.4</v>
      </c>
      <c r="J1902" s="84">
        <f>VLOOKUP(C1902, Products[], 6)</f>
        <v>6</v>
      </c>
      <c r="K1902" s="86">
        <f t="shared" si="148"/>
        <v>504</v>
      </c>
      <c r="L1902" s="86">
        <f t="shared" si="149"/>
        <v>-75.600000000000023</v>
      </c>
    </row>
    <row r="1903" spans="2:12" x14ac:dyDescent="0.2">
      <c r="B1903">
        <v>10983</v>
      </c>
      <c r="C1903">
        <v>57</v>
      </c>
      <c r="D1903" s="84">
        <v>19.5</v>
      </c>
      <c r="E1903">
        <v>15</v>
      </c>
      <c r="F1903" s="85">
        <v>0</v>
      </c>
      <c r="G1903" s="86">
        <f t="shared" si="145"/>
        <v>292.5</v>
      </c>
      <c r="H1903" s="86">
        <f t="shared" si="146"/>
        <v>0</v>
      </c>
      <c r="I1903" s="86">
        <f t="shared" si="147"/>
        <v>292.5</v>
      </c>
      <c r="J1903" s="84">
        <f>VLOOKUP(C1903, Products[], 6)</f>
        <v>19.5</v>
      </c>
      <c r="K1903" s="86">
        <f t="shared" si="148"/>
        <v>292.5</v>
      </c>
      <c r="L1903" s="86">
        <f t="shared" si="149"/>
        <v>0</v>
      </c>
    </row>
    <row r="1904" spans="2:12" x14ac:dyDescent="0.2">
      <c r="B1904">
        <v>10984</v>
      </c>
      <c r="C1904">
        <v>16</v>
      </c>
      <c r="D1904" s="84">
        <v>17.45</v>
      </c>
      <c r="E1904">
        <v>55</v>
      </c>
      <c r="F1904" s="85">
        <v>0</v>
      </c>
      <c r="G1904" s="86">
        <f t="shared" si="145"/>
        <v>959.75</v>
      </c>
      <c r="H1904" s="86">
        <f t="shared" si="146"/>
        <v>0</v>
      </c>
      <c r="I1904" s="86">
        <f t="shared" si="147"/>
        <v>959.75</v>
      </c>
      <c r="J1904" s="84">
        <f>VLOOKUP(C1904, Products[], 6)</f>
        <v>17.45</v>
      </c>
      <c r="K1904" s="86">
        <f t="shared" si="148"/>
        <v>959.75</v>
      </c>
      <c r="L1904" s="86">
        <f t="shared" si="149"/>
        <v>0</v>
      </c>
    </row>
    <row r="1905" spans="2:12" x14ac:dyDescent="0.2">
      <c r="B1905">
        <v>10984</v>
      </c>
      <c r="C1905">
        <v>24</v>
      </c>
      <c r="D1905" s="84">
        <v>4.5</v>
      </c>
      <c r="E1905">
        <v>20</v>
      </c>
      <c r="F1905" s="85">
        <v>0</v>
      </c>
      <c r="G1905" s="86">
        <f t="shared" si="145"/>
        <v>90</v>
      </c>
      <c r="H1905" s="86">
        <f t="shared" si="146"/>
        <v>0</v>
      </c>
      <c r="I1905" s="86">
        <f t="shared" si="147"/>
        <v>90</v>
      </c>
      <c r="J1905" s="84">
        <f>VLOOKUP(C1905, Products[], 6)</f>
        <v>4.5</v>
      </c>
      <c r="K1905" s="86">
        <f t="shared" si="148"/>
        <v>90</v>
      </c>
      <c r="L1905" s="86">
        <f t="shared" si="149"/>
        <v>0</v>
      </c>
    </row>
    <row r="1906" spans="2:12" x14ac:dyDescent="0.2">
      <c r="B1906">
        <v>10984</v>
      </c>
      <c r="C1906">
        <v>36</v>
      </c>
      <c r="D1906" s="84">
        <v>19</v>
      </c>
      <c r="E1906">
        <v>40</v>
      </c>
      <c r="F1906" s="85">
        <v>0</v>
      </c>
      <c r="G1906" s="86">
        <f t="shared" si="145"/>
        <v>760</v>
      </c>
      <c r="H1906" s="86">
        <f t="shared" si="146"/>
        <v>0</v>
      </c>
      <c r="I1906" s="86">
        <f t="shared" si="147"/>
        <v>760</v>
      </c>
      <c r="J1906" s="84">
        <f>VLOOKUP(C1906, Products[], 6)</f>
        <v>19</v>
      </c>
      <c r="K1906" s="86">
        <f t="shared" si="148"/>
        <v>760</v>
      </c>
      <c r="L1906" s="86">
        <f t="shared" si="149"/>
        <v>0</v>
      </c>
    </row>
    <row r="1907" spans="2:12" x14ac:dyDescent="0.2">
      <c r="B1907">
        <v>10985</v>
      </c>
      <c r="C1907">
        <v>16</v>
      </c>
      <c r="D1907" s="84">
        <v>17.45</v>
      </c>
      <c r="E1907">
        <v>36</v>
      </c>
      <c r="F1907" s="85">
        <v>0.1</v>
      </c>
      <c r="G1907" s="86">
        <f t="shared" si="145"/>
        <v>628.19999999999993</v>
      </c>
      <c r="H1907" s="86">
        <f t="shared" si="146"/>
        <v>62.819999999999993</v>
      </c>
      <c r="I1907" s="86">
        <f t="shared" si="147"/>
        <v>565.37999999999988</v>
      </c>
      <c r="J1907" s="84">
        <f>VLOOKUP(C1907, Products[], 6)</f>
        <v>17.45</v>
      </c>
      <c r="K1907" s="86">
        <f t="shared" si="148"/>
        <v>628.19999999999993</v>
      </c>
      <c r="L1907" s="86">
        <f t="shared" si="149"/>
        <v>-62.82000000000005</v>
      </c>
    </row>
    <row r="1908" spans="2:12" x14ac:dyDescent="0.2">
      <c r="B1908">
        <v>10985</v>
      </c>
      <c r="C1908">
        <v>18</v>
      </c>
      <c r="D1908" s="84">
        <v>62.5</v>
      </c>
      <c r="E1908">
        <v>8</v>
      </c>
      <c r="F1908" s="85">
        <v>0.1</v>
      </c>
      <c r="G1908" s="86">
        <f t="shared" si="145"/>
        <v>500</v>
      </c>
      <c r="H1908" s="86">
        <f t="shared" si="146"/>
        <v>50</v>
      </c>
      <c r="I1908" s="86">
        <f t="shared" si="147"/>
        <v>450</v>
      </c>
      <c r="J1908" s="84">
        <f>VLOOKUP(C1908, Products[], 6)</f>
        <v>62.5</v>
      </c>
      <c r="K1908" s="86">
        <f t="shared" si="148"/>
        <v>500</v>
      </c>
      <c r="L1908" s="86">
        <f t="shared" si="149"/>
        <v>-50</v>
      </c>
    </row>
    <row r="1909" spans="2:12" x14ac:dyDescent="0.2">
      <c r="B1909">
        <v>10985</v>
      </c>
      <c r="C1909">
        <v>32</v>
      </c>
      <c r="D1909" s="84">
        <v>32</v>
      </c>
      <c r="E1909">
        <v>35</v>
      </c>
      <c r="F1909" s="85">
        <v>0.1</v>
      </c>
      <c r="G1909" s="86">
        <f t="shared" si="145"/>
        <v>1120</v>
      </c>
      <c r="H1909" s="86">
        <f t="shared" si="146"/>
        <v>112</v>
      </c>
      <c r="I1909" s="86">
        <f t="shared" si="147"/>
        <v>1008</v>
      </c>
      <c r="J1909" s="84">
        <f>VLOOKUP(C1909, Products[], 6)</f>
        <v>32</v>
      </c>
      <c r="K1909" s="86">
        <f t="shared" si="148"/>
        <v>1120</v>
      </c>
      <c r="L1909" s="86">
        <f t="shared" si="149"/>
        <v>-112</v>
      </c>
    </row>
    <row r="1910" spans="2:12" x14ac:dyDescent="0.2">
      <c r="B1910">
        <v>10986</v>
      </c>
      <c r="C1910">
        <v>11</v>
      </c>
      <c r="D1910" s="84">
        <v>21</v>
      </c>
      <c r="E1910">
        <v>30</v>
      </c>
      <c r="F1910" s="85">
        <v>0</v>
      </c>
      <c r="G1910" s="86">
        <f t="shared" si="145"/>
        <v>630</v>
      </c>
      <c r="H1910" s="86">
        <f t="shared" si="146"/>
        <v>0</v>
      </c>
      <c r="I1910" s="86">
        <f t="shared" si="147"/>
        <v>630</v>
      </c>
      <c r="J1910" s="84">
        <f>VLOOKUP(C1910, Products[], 6)</f>
        <v>21</v>
      </c>
      <c r="K1910" s="86">
        <f t="shared" si="148"/>
        <v>630</v>
      </c>
      <c r="L1910" s="86">
        <f t="shared" si="149"/>
        <v>0</v>
      </c>
    </row>
    <row r="1911" spans="2:12" x14ac:dyDescent="0.2">
      <c r="B1911">
        <v>10986</v>
      </c>
      <c r="C1911">
        <v>20</v>
      </c>
      <c r="D1911" s="84">
        <v>81</v>
      </c>
      <c r="E1911">
        <v>15</v>
      </c>
      <c r="F1911" s="85">
        <v>0</v>
      </c>
      <c r="G1911" s="86">
        <f t="shared" si="145"/>
        <v>1215</v>
      </c>
      <c r="H1911" s="86">
        <f t="shared" si="146"/>
        <v>0</v>
      </c>
      <c r="I1911" s="86">
        <f t="shared" si="147"/>
        <v>1215</v>
      </c>
      <c r="J1911" s="84">
        <f>VLOOKUP(C1911, Products[], 6)</f>
        <v>81</v>
      </c>
      <c r="K1911" s="86">
        <f t="shared" si="148"/>
        <v>1215</v>
      </c>
      <c r="L1911" s="86">
        <f t="shared" si="149"/>
        <v>0</v>
      </c>
    </row>
    <row r="1912" spans="2:12" x14ac:dyDescent="0.2">
      <c r="B1912">
        <v>10986</v>
      </c>
      <c r="C1912">
        <v>76</v>
      </c>
      <c r="D1912" s="84">
        <v>18</v>
      </c>
      <c r="E1912">
        <v>10</v>
      </c>
      <c r="F1912" s="85">
        <v>0</v>
      </c>
      <c r="G1912" s="86">
        <f t="shared" si="145"/>
        <v>180</v>
      </c>
      <c r="H1912" s="86">
        <f t="shared" si="146"/>
        <v>0</v>
      </c>
      <c r="I1912" s="86">
        <f t="shared" si="147"/>
        <v>180</v>
      </c>
      <c r="J1912" s="84">
        <f>VLOOKUP(C1912, Products[], 6)</f>
        <v>18</v>
      </c>
      <c r="K1912" s="86">
        <f t="shared" si="148"/>
        <v>180</v>
      </c>
      <c r="L1912" s="86">
        <f t="shared" si="149"/>
        <v>0</v>
      </c>
    </row>
    <row r="1913" spans="2:12" x14ac:dyDescent="0.2">
      <c r="B1913">
        <v>10986</v>
      </c>
      <c r="C1913">
        <v>77</v>
      </c>
      <c r="D1913" s="84">
        <v>13</v>
      </c>
      <c r="E1913">
        <v>15</v>
      </c>
      <c r="F1913" s="85">
        <v>0</v>
      </c>
      <c r="G1913" s="86">
        <f t="shared" si="145"/>
        <v>195</v>
      </c>
      <c r="H1913" s="86">
        <f t="shared" si="146"/>
        <v>0</v>
      </c>
      <c r="I1913" s="86">
        <f t="shared" si="147"/>
        <v>195</v>
      </c>
      <c r="J1913" s="84">
        <f>VLOOKUP(C1913, Products[], 6)</f>
        <v>13</v>
      </c>
      <c r="K1913" s="86">
        <f t="shared" si="148"/>
        <v>195</v>
      </c>
      <c r="L1913" s="86">
        <f t="shared" si="149"/>
        <v>0</v>
      </c>
    </row>
    <row r="1914" spans="2:12" x14ac:dyDescent="0.2">
      <c r="B1914">
        <v>10987</v>
      </c>
      <c r="C1914">
        <v>7</v>
      </c>
      <c r="D1914" s="84">
        <v>30</v>
      </c>
      <c r="E1914">
        <v>60</v>
      </c>
      <c r="F1914" s="85">
        <v>0</v>
      </c>
      <c r="G1914" s="86">
        <f t="shared" si="145"/>
        <v>1800</v>
      </c>
      <c r="H1914" s="86">
        <f t="shared" si="146"/>
        <v>0</v>
      </c>
      <c r="I1914" s="86">
        <f t="shared" si="147"/>
        <v>1800</v>
      </c>
      <c r="J1914" s="84">
        <f>VLOOKUP(C1914, Products[], 6)</f>
        <v>30</v>
      </c>
      <c r="K1914" s="86">
        <f t="shared" si="148"/>
        <v>1800</v>
      </c>
      <c r="L1914" s="86">
        <f t="shared" si="149"/>
        <v>0</v>
      </c>
    </row>
    <row r="1915" spans="2:12" x14ac:dyDescent="0.2">
      <c r="B1915">
        <v>10987</v>
      </c>
      <c r="C1915">
        <v>43</v>
      </c>
      <c r="D1915" s="84">
        <v>46</v>
      </c>
      <c r="E1915">
        <v>6</v>
      </c>
      <c r="F1915" s="85">
        <v>0</v>
      </c>
      <c r="G1915" s="86">
        <f t="shared" si="145"/>
        <v>276</v>
      </c>
      <c r="H1915" s="86">
        <f t="shared" si="146"/>
        <v>0</v>
      </c>
      <c r="I1915" s="86">
        <f t="shared" si="147"/>
        <v>276</v>
      </c>
      <c r="J1915" s="84">
        <f>VLOOKUP(C1915, Products[], 6)</f>
        <v>46</v>
      </c>
      <c r="K1915" s="86">
        <f t="shared" si="148"/>
        <v>276</v>
      </c>
      <c r="L1915" s="86">
        <f t="shared" si="149"/>
        <v>0</v>
      </c>
    </row>
    <row r="1916" spans="2:12" x14ac:dyDescent="0.2">
      <c r="B1916">
        <v>10987</v>
      </c>
      <c r="C1916">
        <v>72</v>
      </c>
      <c r="D1916" s="84">
        <v>34.799999999999997</v>
      </c>
      <c r="E1916">
        <v>20</v>
      </c>
      <c r="F1916" s="85">
        <v>0</v>
      </c>
      <c r="G1916" s="86">
        <f t="shared" si="145"/>
        <v>696</v>
      </c>
      <c r="H1916" s="86">
        <f t="shared" si="146"/>
        <v>0</v>
      </c>
      <c r="I1916" s="86">
        <f t="shared" si="147"/>
        <v>696</v>
      </c>
      <c r="J1916" s="84">
        <f>VLOOKUP(C1916, Products[], 6)</f>
        <v>34.799999999999997</v>
      </c>
      <c r="K1916" s="86">
        <f t="shared" si="148"/>
        <v>696</v>
      </c>
      <c r="L1916" s="86">
        <f t="shared" si="149"/>
        <v>0</v>
      </c>
    </row>
    <row r="1917" spans="2:12" x14ac:dyDescent="0.2">
      <c r="B1917">
        <v>10988</v>
      </c>
      <c r="C1917">
        <v>7</v>
      </c>
      <c r="D1917" s="84">
        <v>30</v>
      </c>
      <c r="E1917">
        <v>60</v>
      </c>
      <c r="F1917" s="85">
        <v>0</v>
      </c>
      <c r="G1917" s="86">
        <f t="shared" si="145"/>
        <v>1800</v>
      </c>
      <c r="H1917" s="86">
        <f t="shared" si="146"/>
        <v>0</v>
      </c>
      <c r="I1917" s="86">
        <f t="shared" si="147"/>
        <v>1800</v>
      </c>
      <c r="J1917" s="84">
        <f>VLOOKUP(C1917, Products[], 6)</f>
        <v>30</v>
      </c>
      <c r="K1917" s="86">
        <f t="shared" si="148"/>
        <v>1800</v>
      </c>
      <c r="L1917" s="86">
        <f t="shared" si="149"/>
        <v>0</v>
      </c>
    </row>
    <row r="1918" spans="2:12" x14ac:dyDescent="0.2">
      <c r="B1918">
        <v>10988</v>
      </c>
      <c r="C1918">
        <v>62</v>
      </c>
      <c r="D1918" s="84">
        <v>49.3</v>
      </c>
      <c r="E1918">
        <v>40</v>
      </c>
      <c r="F1918" s="85">
        <v>0.1</v>
      </c>
      <c r="G1918" s="86">
        <f t="shared" si="145"/>
        <v>1972</v>
      </c>
      <c r="H1918" s="86">
        <f t="shared" si="146"/>
        <v>197.20000000000002</v>
      </c>
      <c r="I1918" s="86">
        <f t="shared" si="147"/>
        <v>1774.8</v>
      </c>
      <c r="J1918" s="84">
        <f>VLOOKUP(C1918, Products[], 6)</f>
        <v>49.3</v>
      </c>
      <c r="K1918" s="86">
        <f t="shared" si="148"/>
        <v>1972</v>
      </c>
      <c r="L1918" s="86">
        <f t="shared" si="149"/>
        <v>-197.20000000000005</v>
      </c>
    </row>
    <row r="1919" spans="2:12" x14ac:dyDescent="0.2">
      <c r="B1919">
        <v>10989</v>
      </c>
      <c r="C1919">
        <v>6</v>
      </c>
      <c r="D1919" s="84">
        <v>25</v>
      </c>
      <c r="E1919">
        <v>40</v>
      </c>
      <c r="F1919" s="85">
        <v>0</v>
      </c>
      <c r="G1919" s="86">
        <f t="shared" si="145"/>
        <v>1000</v>
      </c>
      <c r="H1919" s="86">
        <f t="shared" si="146"/>
        <v>0</v>
      </c>
      <c r="I1919" s="86">
        <f t="shared" si="147"/>
        <v>1000</v>
      </c>
      <c r="J1919" s="84">
        <f>VLOOKUP(C1919, Products[], 6)</f>
        <v>25</v>
      </c>
      <c r="K1919" s="86">
        <f t="shared" si="148"/>
        <v>1000</v>
      </c>
      <c r="L1919" s="86">
        <f t="shared" si="149"/>
        <v>0</v>
      </c>
    </row>
    <row r="1920" spans="2:12" x14ac:dyDescent="0.2">
      <c r="B1920">
        <v>10989</v>
      </c>
      <c r="C1920">
        <v>11</v>
      </c>
      <c r="D1920" s="84">
        <v>21</v>
      </c>
      <c r="E1920">
        <v>15</v>
      </c>
      <c r="F1920" s="85">
        <v>0</v>
      </c>
      <c r="G1920" s="86">
        <f t="shared" si="145"/>
        <v>315</v>
      </c>
      <c r="H1920" s="86">
        <f t="shared" si="146"/>
        <v>0</v>
      </c>
      <c r="I1920" s="86">
        <f t="shared" si="147"/>
        <v>315</v>
      </c>
      <c r="J1920" s="84">
        <f>VLOOKUP(C1920, Products[], 6)</f>
        <v>21</v>
      </c>
      <c r="K1920" s="86">
        <f t="shared" si="148"/>
        <v>315</v>
      </c>
      <c r="L1920" s="86">
        <f t="shared" si="149"/>
        <v>0</v>
      </c>
    </row>
    <row r="1921" spans="2:12" x14ac:dyDescent="0.2">
      <c r="B1921">
        <v>10989</v>
      </c>
      <c r="C1921">
        <v>41</v>
      </c>
      <c r="D1921" s="84">
        <v>9.65</v>
      </c>
      <c r="E1921">
        <v>4</v>
      </c>
      <c r="F1921" s="85">
        <v>0</v>
      </c>
      <c r="G1921" s="86">
        <f t="shared" si="145"/>
        <v>38.6</v>
      </c>
      <c r="H1921" s="86">
        <f t="shared" si="146"/>
        <v>0</v>
      </c>
      <c r="I1921" s="86">
        <f t="shared" si="147"/>
        <v>38.6</v>
      </c>
      <c r="J1921" s="84">
        <f>VLOOKUP(C1921, Products[], 6)</f>
        <v>9.65</v>
      </c>
      <c r="K1921" s="86">
        <f t="shared" si="148"/>
        <v>38.6</v>
      </c>
      <c r="L1921" s="86">
        <f t="shared" si="149"/>
        <v>0</v>
      </c>
    </row>
    <row r="1922" spans="2:12" x14ac:dyDescent="0.2">
      <c r="B1922">
        <v>10990</v>
      </c>
      <c r="C1922">
        <v>21</v>
      </c>
      <c r="D1922" s="84">
        <v>10</v>
      </c>
      <c r="E1922">
        <v>65</v>
      </c>
      <c r="F1922" s="85">
        <v>0</v>
      </c>
      <c r="G1922" s="86">
        <f t="shared" si="145"/>
        <v>650</v>
      </c>
      <c r="H1922" s="86">
        <f t="shared" si="146"/>
        <v>0</v>
      </c>
      <c r="I1922" s="86">
        <f t="shared" si="147"/>
        <v>650</v>
      </c>
      <c r="J1922" s="84">
        <f>VLOOKUP(C1922, Products[], 6)</f>
        <v>10</v>
      </c>
      <c r="K1922" s="86">
        <f t="shared" si="148"/>
        <v>650</v>
      </c>
      <c r="L1922" s="86">
        <f t="shared" si="149"/>
        <v>0</v>
      </c>
    </row>
    <row r="1923" spans="2:12" x14ac:dyDescent="0.2">
      <c r="B1923">
        <v>10990</v>
      </c>
      <c r="C1923">
        <v>34</v>
      </c>
      <c r="D1923" s="84">
        <v>14</v>
      </c>
      <c r="E1923">
        <v>60</v>
      </c>
      <c r="F1923" s="85">
        <v>0.15</v>
      </c>
      <c r="G1923" s="86">
        <f t="shared" si="145"/>
        <v>840</v>
      </c>
      <c r="H1923" s="86">
        <f t="shared" si="146"/>
        <v>126</v>
      </c>
      <c r="I1923" s="86">
        <f t="shared" si="147"/>
        <v>714</v>
      </c>
      <c r="J1923" s="84">
        <f>VLOOKUP(C1923, Products[], 6)</f>
        <v>14</v>
      </c>
      <c r="K1923" s="86">
        <f t="shared" si="148"/>
        <v>840</v>
      </c>
      <c r="L1923" s="86">
        <f t="shared" si="149"/>
        <v>-126</v>
      </c>
    </row>
    <row r="1924" spans="2:12" x14ac:dyDescent="0.2">
      <c r="B1924">
        <v>10990</v>
      </c>
      <c r="C1924">
        <v>55</v>
      </c>
      <c r="D1924" s="84">
        <v>24</v>
      </c>
      <c r="E1924">
        <v>65</v>
      </c>
      <c r="F1924" s="85">
        <v>0.15</v>
      </c>
      <c r="G1924" s="86">
        <f t="shared" si="145"/>
        <v>1560</v>
      </c>
      <c r="H1924" s="86">
        <f t="shared" si="146"/>
        <v>234</v>
      </c>
      <c r="I1924" s="86">
        <f t="shared" si="147"/>
        <v>1326</v>
      </c>
      <c r="J1924" s="84">
        <f>VLOOKUP(C1924, Products[], 6)</f>
        <v>24</v>
      </c>
      <c r="K1924" s="86">
        <f t="shared" si="148"/>
        <v>1560</v>
      </c>
      <c r="L1924" s="86">
        <f t="shared" si="149"/>
        <v>-234</v>
      </c>
    </row>
    <row r="1925" spans="2:12" x14ac:dyDescent="0.2">
      <c r="B1925">
        <v>10990</v>
      </c>
      <c r="C1925">
        <v>61</v>
      </c>
      <c r="D1925" s="84">
        <v>28.5</v>
      </c>
      <c r="E1925">
        <v>66</v>
      </c>
      <c r="F1925" s="85">
        <v>0.15</v>
      </c>
      <c r="G1925" s="86">
        <f t="shared" si="145"/>
        <v>1881</v>
      </c>
      <c r="H1925" s="86">
        <f t="shared" si="146"/>
        <v>282.14999999999998</v>
      </c>
      <c r="I1925" s="86">
        <f t="shared" si="147"/>
        <v>1598.85</v>
      </c>
      <c r="J1925" s="84">
        <f>VLOOKUP(C1925, Products[], 6)</f>
        <v>28.5</v>
      </c>
      <c r="K1925" s="86">
        <f t="shared" si="148"/>
        <v>1881</v>
      </c>
      <c r="L1925" s="86">
        <f t="shared" si="149"/>
        <v>-282.15000000000009</v>
      </c>
    </row>
    <row r="1926" spans="2:12" x14ac:dyDescent="0.2">
      <c r="B1926">
        <v>10991</v>
      </c>
      <c r="C1926">
        <v>2</v>
      </c>
      <c r="D1926" s="84">
        <v>19</v>
      </c>
      <c r="E1926">
        <v>50</v>
      </c>
      <c r="F1926" s="85">
        <v>0.2</v>
      </c>
      <c r="G1926" s="86">
        <f t="shared" si="145"/>
        <v>950</v>
      </c>
      <c r="H1926" s="86">
        <f t="shared" si="146"/>
        <v>190</v>
      </c>
      <c r="I1926" s="86">
        <f t="shared" si="147"/>
        <v>760</v>
      </c>
      <c r="J1926" s="84">
        <f>VLOOKUP(C1926, Products[], 6)</f>
        <v>19</v>
      </c>
      <c r="K1926" s="86">
        <f t="shared" si="148"/>
        <v>950</v>
      </c>
      <c r="L1926" s="86">
        <f t="shared" si="149"/>
        <v>-190</v>
      </c>
    </row>
    <row r="1927" spans="2:12" x14ac:dyDescent="0.2">
      <c r="B1927">
        <v>10991</v>
      </c>
      <c r="C1927">
        <v>70</v>
      </c>
      <c r="D1927" s="84">
        <v>15</v>
      </c>
      <c r="E1927">
        <v>20</v>
      </c>
      <c r="F1927" s="85">
        <v>0.2</v>
      </c>
      <c r="G1927" s="86">
        <f t="shared" ref="G1927:G1990" si="150">D1927*E1927</f>
        <v>300</v>
      </c>
      <c r="H1927" s="86">
        <f t="shared" ref="H1927:H1990" si="151">G1927*F1927</f>
        <v>60</v>
      </c>
      <c r="I1927" s="86">
        <f t="shared" ref="I1927:I1990" si="152">G1927-H1927</f>
        <v>240</v>
      </c>
      <c r="J1927" s="84">
        <f>VLOOKUP(C1927, Products[], 6)</f>
        <v>15</v>
      </c>
      <c r="K1927" s="86">
        <f t="shared" ref="K1927:K1990" si="153">J1927*E1927</f>
        <v>300</v>
      </c>
      <c r="L1927" s="86">
        <f t="shared" ref="L1927:L1990" si="154">I1927-K1927</f>
        <v>-60</v>
      </c>
    </row>
    <row r="1928" spans="2:12" x14ac:dyDescent="0.2">
      <c r="B1928">
        <v>10991</v>
      </c>
      <c r="C1928">
        <v>76</v>
      </c>
      <c r="D1928" s="84">
        <v>18</v>
      </c>
      <c r="E1928">
        <v>90</v>
      </c>
      <c r="F1928" s="85">
        <v>0.2</v>
      </c>
      <c r="G1928" s="86">
        <f t="shared" si="150"/>
        <v>1620</v>
      </c>
      <c r="H1928" s="86">
        <f t="shared" si="151"/>
        <v>324</v>
      </c>
      <c r="I1928" s="86">
        <f t="shared" si="152"/>
        <v>1296</v>
      </c>
      <c r="J1928" s="84">
        <f>VLOOKUP(C1928, Products[], 6)</f>
        <v>18</v>
      </c>
      <c r="K1928" s="86">
        <f t="shared" si="153"/>
        <v>1620</v>
      </c>
      <c r="L1928" s="86">
        <f t="shared" si="154"/>
        <v>-324</v>
      </c>
    </row>
    <row r="1929" spans="2:12" x14ac:dyDescent="0.2">
      <c r="B1929">
        <v>10992</v>
      </c>
      <c r="C1929">
        <v>72</v>
      </c>
      <c r="D1929" s="84">
        <v>34.799999999999997</v>
      </c>
      <c r="E1929">
        <v>2</v>
      </c>
      <c r="F1929" s="85">
        <v>0</v>
      </c>
      <c r="G1929" s="86">
        <f t="shared" si="150"/>
        <v>69.599999999999994</v>
      </c>
      <c r="H1929" s="86">
        <f t="shared" si="151"/>
        <v>0</v>
      </c>
      <c r="I1929" s="86">
        <f t="shared" si="152"/>
        <v>69.599999999999994</v>
      </c>
      <c r="J1929" s="84">
        <f>VLOOKUP(C1929, Products[], 6)</f>
        <v>34.799999999999997</v>
      </c>
      <c r="K1929" s="86">
        <f t="shared" si="153"/>
        <v>69.599999999999994</v>
      </c>
      <c r="L1929" s="86">
        <f t="shared" si="154"/>
        <v>0</v>
      </c>
    </row>
    <row r="1930" spans="2:12" x14ac:dyDescent="0.2">
      <c r="B1930">
        <v>10993</v>
      </c>
      <c r="C1930">
        <v>29</v>
      </c>
      <c r="D1930" s="84">
        <v>123.79</v>
      </c>
      <c r="E1930">
        <v>50</v>
      </c>
      <c r="F1930" s="85">
        <v>0.25</v>
      </c>
      <c r="G1930" s="86">
        <f t="shared" si="150"/>
        <v>6189.5</v>
      </c>
      <c r="H1930" s="86">
        <f t="shared" si="151"/>
        <v>1547.375</v>
      </c>
      <c r="I1930" s="86">
        <f t="shared" si="152"/>
        <v>4642.125</v>
      </c>
      <c r="J1930" s="84">
        <f>VLOOKUP(C1930, Products[], 6)</f>
        <v>123.79</v>
      </c>
      <c r="K1930" s="86">
        <f t="shared" si="153"/>
        <v>6189.5</v>
      </c>
      <c r="L1930" s="86">
        <f t="shared" si="154"/>
        <v>-1547.375</v>
      </c>
    </row>
    <row r="1931" spans="2:12" x14ac:dyDescent="0.2">
      <c r="B1931">
        <v>10993</v>
      </c>
      <c r="C1931">
        <v>41</v>
      </c>
      <c r="D1931" s="84">
        <v>9.65</v>
      </c>
      <c r="E1931">
        <v>35</v>
      </c>
      <c r="F1931" s="85">
        <v>0.25</v>
      </c>
      <c r="G1931" s="86">
        <f t="shared" si="150"/>
        <v>337.75</v>
      </c>
      <c r="H1931" s="86">
        <f t="shared" si="151"/>
        <v>84.4375</v>
      </c>
      <c r="I1931" s="86">
        <f t="shared" si="152"/>
        <v>253.3125</v>
      </c>
      <c r="J1931" s="84">
        <f>VLOOKUP(C1931, Products[], 6)</f>
        <v>9.65</v>
      </c>
      <c r="K1931" s="86">
        <f t="shared" si="153"/>
        <v>337.75</v>
      </c>
      <c r="L1931" s="86">
        <f t="shared" si="154"/>
        <v>-84.4375</v>
      </c>
    </row>
    <row r="1932" spans="2:12" x14ac:dyDescent="0.2">
      <c r="B1932">
        <v>10994</v>
      </c>
      <c r="C1932">
        <v>59</v>
      </c>
      <c r="D1932" s="84">
        <v>55</v>
      </c>
      <c r="E1932">
        <v>18</v>
      </c>
      <c r="F1932" s="85">
        <v>0.05</v>
      </c>
      <c r="G1932" s="86">
        <f t="shared" si="150"/>
        <v>990</v>
      </c>
      <c r="H1932" s="86">
        <f t="shared" si="151"/>
        <v>49.5</v>
      </c>
      <c r="I1932" s="86">
        <f t="shared" si="152"/>
        <v>940.5</v>
      </c>
      <c r="J1932" s="84">
        <f>VLOOKUP(C1932, Products[], 6)</f>
        <v>55</v>
      </c>
      <c r="K1932" s="86">
        <f t="shared" si="153"/>
        <v>990</v>
      </c>
      <c r="L1932" s="86">
        <f t="shared" si="154"/>
        <v>-49.5</v>
      </c>
    </row>
    <row r="1933" spans="2:12" x14ac:dyDescent="0.2">
      <c r="B1933">
        <v>10995</v>
      </c>
      <c r="C1933">
        <v>51</v>
      </c>
      <c r="D1933" s="84">
        <v>53</v>
      </c>
      <c r="E1933">
        <v>20</v>
      </c>
      <c r="F1933" s="85">
        <v>0</v>
      </c>
      <c r="G1933" s="86">
        <f t="shared" si="150"/>
        <v>1060</v>
      </c>
      <c r="H1933" s="86">
        <f t="shared" si="151"/>
        <v>0</v>
      </c>
      <c r="I1933" s="86">
        <f t="shared" si="152"/>
        <v>1060</v>
      </c>
      <c r="J1933" s="84">
        <f>VLOOKUP(C1933, Products[], 6)</f>
        <v>53</v>
      </c>
      <c r="K1933" s="86">
        <f t="shared" si="153"/>
        <v>1060</v>
      </c>
      <c r="L1933" s="86">
        <f t="shared" si="154"/>
        <v>0</v>
      </c>
    </row>
    <row r="1934" spans="2:12" x14ac:dyDescent="0.2">
      <c r="B1934">
        <v>10995</v>
      </c>
      <c r="C1934">
        <v>60</v>
      </c>
      <c r="D1934" s="84">
        <v>34</v>
      </c>
      <c r="E1934">
        <v>4</v>
      </c>
      <c r="F1934" s="85">
        <v>0</v>
      </c>
      <c r="G1934" s="86">
        <f t="shared" si="150"/>
        <v>136</v>
      </c>
      <c r="H1934" s="86">
        <f t="shared" si="151"/>
        <v>0</v>
      </c>
      <c r="I1934" s="86">
        <f t="shared" si="152"/>
        <v>136</v>
      </c>
      <c r="J1934" s="84">
        <f>VLOOKUP(C1934, Products[], 6)</f>
        <v>34</v>
      </c>
      <c r="K1934" s="86">
        <f t="shared" si="153"/>
        <v>136</v>
      </c>
      <c r="L1934" s="86">
        <f t="shared" si="154"/>
        <v>0</v>
      </c>
    </row>
    <row r="1935" spans="2:12" x14ac:dyDescent="0.2">
      <c r="B1935">
        <v>10996</v>
      </c>
      <c r="C1935">
        <v>42</v>
      </c>
      <c r="D1935" s="84">
        <v>14</v>
      </c>
      <c r="E1935">
        <v>40</v>
      </c>
      <c r="F1935" s="85">
        <v>0</v>
      </c>
      <c r="G1935" s="86">
        <f t="shared" si="150"/>
        <v>560</v>
      </c>
      <c r="H1935" s="86">
        <f t="shared" si="151"/>
        <v>0</v>
      </c>
      <c r="I1935" s="86">
        <f t="shared" si="152"/>
        <v>560</v>
      </c>
      <c r="J1935" s="84">
        <f>VLOOKUP(C1935, Products[], 6)</f>
        <v>14</v>
      </c>
      <c r="K1935" s="86">
        <f t="shared" si="153"/>
        <v>560</v>
      </c>
      <c r="L1935" s="86">
        <f t="shared" si="154"/>
        <v>0</v>
      </c>
    </row>
    <row r="1936" spans="2:12" x14ac:dyDescent="0.2">
      <c r="B1936">
        <v>10997</v>
      </c>
      <c r="C1936">
        <v>32</v>
      </c>
      <c r="D1936" s="84">
        <v>32</v>
      </c>
      <c r="E1936">
        <v>50</v>
      </c>
      <c r="F1936" s="85">
        <v>0</v>
      </c>
      <c r="G1936" s="86">
        <f t="shared" si="150"/>
        <v>1600</v>
      </c>
      <c r="H1936" s="86">
        <f t="shared" si="151"/>
        <v>0</v>
      </c>
      <c r="I1936" s="86">
        <f t="shared" si="152"/>
        <v>1600</v>
      </c>
      <c r="J1936" s="84">
        <f>VLOOKUP(C1936, Products[], 6)</f>
        <v>32</v>
      </c>
      <c r="K1936" s="86">
        <f t="shared" si="153"/>
        <v>1600</v>
      </c>
      <c r="L1936" s="86">
        <f t="shared" si="154"/>
        <v>0</v>
      </c>
    </row>
    <row r="1937" spans="2:12" x14ac:dyDescent="0.2">
      <c r="B1937">
        <v>10997</v>
      </c>
      <c r="C1937">
        <v>46</v>
      </c>
      <c r="D1937" s="84">
        <v>12</v>
      </c>
      <c r="E1937">
        <v>20</v>
      </c>
      <c r="F1937" s="85">
        <v>0.25</v>
      </c>
      <c r="G1937" s="86">
        <f t="shared" si="150"/>
        <v>240</v>
      </c>
      <c r="H1937" s="86">
        <f t="shared" si="151"/>
        <v>60</v>
      </c>
      <c r="I1937" s="86">
        <f t="shared" si="152"/>
        <v>180</v>
      </c>
      <c r="J1937" s="84">
        <f>VLOOKUP(C1937, Products[], 6)</f>
        <v>12</v>
      </c>
      <c r="K1937" s="86">
        <f t="shared" si="153"/>
        <v>240</v>
      </c>
      <c r="L1937" s="86">
        <f t="shared" si="154"/>
        <v>-60</v>
      </c>
    </row>
    <row r="1938" spans="2:12" x14ac:dyDescent="0.2">
      <c r="B1938">
        <v>10997</v>
      </c>
      <c r="C1938">
        <v>52</v>
      </c>
      <c r="D1938" s="84">
        <v>7</v>
      </c>
      <c r="E1938">
        <v>20</v>
      </c>
      <c r="F1938" s="85">
        <v>0.25</v>
      </c>
      <c r="G1938" s="86">
        <f t="shared" si="150"/>
        <v>140</v>
      </c>
      <c r="H1938" s="86">
        <f t="shared" si="151"/>
        <v>35</v>
      </c>
      <c r="I1938" s="86">
        <f t="shared" si="152"/>
        <v>105</v>
      </c>
      <c r="J1938" s="84">
        <f>VLOOKUP(C1938, Products[], 6)</f>
        <v>7</v>
      </c>
      <c r="K1938" s="86">
        <f t="shared" si="153"/>
        <v>140</v>
      </c>
      <c r="L1938" s="86">
        <f t="shared" si="154"/>
        <v>-35</v>
      </c>
    </row>
    <row r="1939" spans="2:12" x14ac:dyDescent="0.2">
      <c r="B1939">
        <v>10998</v>
      </c>
      <c r="C1939">
        <v>24</v>
      </c>
      <c r="D1939" s="84">
        <v>4.5</v>
      </c>
      <c r="E1939">
        <v>12</v>
      </c>
      <c r="F1939" s="85">
        <v>0</v>
      </c>
      <c r="G1939" s="86">
        <f t="shared" si="150"/>
        <v>54</v>
      </c>
      <c r="H1939" s="86">
        <f t="shared" si="151"/>
        <v>0</v>
      </c>
      <c r="I1939" s="86">
        <f t="shared" si="152"/>
        <v>54</v>
      </c>
      <c r="J1939" s="84">
        <f>VLOOKUP(C1939, Products[], 6)</f>
        <v>4.5</v>
      </c>
      <c r="K1939" s="86">
        <f t="shared" si="153"/>
        <v>54</v>
      </c>
      <c r="L1939" s="86">
        <f t="shared" si="154"/>
        <v>0</v>
      </c>
    </row>
    <row r="1940" spans="2:12" x14ac:dyDescent="0.2">
      <c r="B1940">
        <v>10998</v>
      </c>
      <c r="C1940">
        <v>61</v>
      </c>
      <c r="D1940" s="84">
        <v>28.5</v>
      </c>
      <c r="E1940">
        <v>7</v>
      </c>
      <c r="F1940" s="85">
        <v>0</v>
      </c>
      <c r="G1940" s="86">
        <f t="shared" si="150"/>
        <v>199.5</v>
      </c>
      <c r="H1940" s="86">
        <f t="shared" si="151"/>
        <v>0</v>
      </c>
      <c r="I1940" s="86">
        <f t="shared" si="152"/>
        <v>199.5</v>
      </c>
      <c r="J1940" s="84">
        <f>VLOOKUP(C1940, Products[], 6)</f>
        <v>28.5</v>
      </c>
      <c r="K1940" s="86">
        <f t="shared" si="153"/>
        <v>199.5</v>
      </c>
      <c r="L1940" s="86">
        <f t="shared" si="154"/>
        <v>0</v>
      </c>
    </row>
    <row r="1941" spans="2:12" x14ac:dyDescent="0.2">
      <c r="B1941">
        <v>10998</v>
      </c>
      <c r="C1941">
        <v>74</v>
      </c>
      <c r="D1941" s="84">
        <v>10</v>
      </c>
      <c r="E1941">
        <v>20</v>
      </c>
      <c r="F1941" s="85">
        <v>0</v>
      </c>
      <c r="G1941" s="86">
        <f t="shared" si="150"/>
        <v>200</v>
      </c>
      <c r="H1941" s="86">
        <f t="shared" si="151"/>
        <v>0</v>
      </c>
      <c r="I1941" s="86">
        <f t="shared" si="152"/>
        <v>200</v>
      </c>
      <c r="J1941" s="84">
        <f>VLOOKUP(C1941, Products[], 6)</f>
        <v>10</v>
      </c>
      <c r="K1941" s="86">
        <f t="shared" si="153"/>
        <v>200</v>
      </c>
      <c r="L1941" s="86">
        <f t="shared" si="154"/>
        <v>0</v>
      </c>
    </row>
    <row r="1942" spans="2:12" x14ac:dyDescent="0.2">
      <c r="B1942">
        <v>10998</v>
      </c>
      <c r="C1942">
        <v>75</v>
      </c>
      <c r="D1942" s="84">
        <v>7.75</v>
      </c>
      <c r="E1942">
        <v>30</v>
      </c>
      <c r="F1942" s="85">
        <v>0</v>
      </c>
      <c r="G1942" s="86">
        <f t="shared" si="150"/>
        <v>232.5</v>
      </c>
      <c r="H1942" s="86">
        <f t="shared" si="151"/>
        <v>0</v>
      </c>
      <c r="I1942" s="86">
        <f t="shared" si="152"/>
        <v>232.5</v>
      </c>
      <c r="J1942" s="84">
        <f>VLOOKUP(C1942, Products[], 6)</f>
        <v>7.75</v>
      </c>
      <c r="K1942" s="86">
        <f t="shared" si="153"/>
        <v>232.5</v>
      </c>
      <c r="L1942" s="86">
        <f t="shared" si="154"/>
        <v>0</v>
      </c>
    </row>
    <row r="1943" spans="2:12" x14ac:dyDescent="0.2">
      <c r="B1943">
        <v>10999</v>
      </c>
      <c r="C1943">
        <v>41</v>
      </c>
      <c r="D1943" s="84">
        <v>9.65</v>
      </c>
      <c r="E1943">
        <v>20</v>
      </c>
      <c r="F1943" s="85">
        <v>0.05</v>
      </c>
      <c r="G1943" s="86">
        <f t="shared" si="150"/>
        <v>193</v>
      </c>
      <c r="H1943" s="86">
        <f t="shared" si="151"/>
        <v>9.65</v>
      </c>
      <c r="I1943" s="86">
        <f t="shared" si="152"/>
        <v>183.35</v>
      </c>
      <c r="J1943" s="84">
        <f>VLOOKUP(C1943, Products[], 6)</f>
        <v>9.65</v>
      </c>
      <c r="K1943" s="86">
        <f t="shared" si="153"/>
        <v>193</v>
      </c>
      <c r="L1943" s="86">
        <f t="shared" si="154"/>
        <v>-9.6500000000000057</v>
      </c>
    </row>
    <row r="1944" spans="2:12" x14ac:dyDescent="0.2">
      <c r="B1944">
        <v>10999</v>
      </c>
      <c r="C1944">
        <v>51</v>
      </c>
      <c r="D1944" s="84">
        <v>53</v>
      </c>
      <c r="E1944">
        <v>15</v>
      </c>
      <c r="F1944" s="85">
        <v>0.05</v>
      </c>
      <c r="G1944" s="86">
        <f t="shared" si="150"/>
        <v>795</v>
      </c>
      <c r="H1944" s="86">
        <f t="shared" si="151"/>
        <v>39.75</v>
      </c>
      <c r="I1944" s="86">
        <f t="shared" si="152"/>
        <v>755.25</v>
      </c>
      <c r="J1944" s="84">
        <f>VLOOKUP(C1944, Products[], 6)</f>
        <v>53</v>
      </c>
      <c r="K1944" s="86">
        <f t="shared" si="153"/>
        <v>795</v>
      </c>
      <c r="L1944" s="86">
        <f t="shared" si="154"/>
        <v>-39.75</v>
      </c>
    </row>
    <row r="1945" spans="2:12" x14ac:dyDescent="0.2">
      <c r="B1945">
        <v>10999</v>
      </c>
      <c r="C1945">
        <v>77</v>
      </c>
      <c r="D1945" s="84">
        <v>13</v>
      </c>
      <c r="E1945">
        <v>21</v>
      </c>
      <c r="F1945" s="85">
        <v>0.05</v>
      </c>
      <c r="G1945" s="86">
        <f t="shared" si="150"/>
        <v>273</v>
      </c>
      <c r="H1945" s="86">
        <f t="shared" si="151"/>
        <v>13.65</v>
      </c>
      <c r="I1945" s="86">
        <f t="shared" si="152"/>
        <v>259.35000000000002</v>
      </c>
      <c r="J1945" s="84">
        <f>VLOOKUP(C1945, Products[], 6)</f>
        <v>13</v>
      </c>
      <c r="K1945" s="86">
        <f t="shared" si="153"/>
        <v>273</v>
      </c>
      <c r="L1945" s="86">
        <f t="shared" si="154"/>
        <v>-13.649999999999977</v>
      </c>
    </row>
    <row r="1946" spans="2:12" x14ac:dyDescent="0.2">
      <c r="B1946">
        <v>11000</v>
      </c>
      <c r="C1946">
        <v>4</v>
      </c>
      <c r="D1946" s="84">
        <v>22</v>
      </c>
      <c r="E1946">
        <v>25</v>
      </c>
      <c r="F1946" s="85">
        <v>0.25</v>
      </c>
      <c r="G1946" s="86">
        <f t="shared" si="150"/>
        <v>550</v>
      </c>
      <c r="H1946" s="86">
        <f t="shared" si="151"/>
        <v>137.5</v>
      </c>
      <c r="I1946" s="86">
        <f t="shared" si="152"/>
        <v>412.5</v>
      </c>
      <c r="J1946" s="84">
        <f>VLOOKUP(C1946, Products[], 6)</f>
        <v>22</v>
      </c>
      <c r="K1946" s="86">
        <f t="shared" si="153"/>
        <v>550</v>
      </c>
      <c r="L1946" s="86">
        <f t="shared" si="154"/>
        <v>-137.5</v>
      </c>
    </row>
    <row r="1947" spans="2:12" x14ac:dyDescent="0.2">
      <c r="B1947">
        <v>11000</v>
      </c>
      <c r="C1947">
        <v>24</v>
      </c>
      <c r="D1947" s="84">
        <v>4.5</v>
      </c>
      <c r="E1947">
        <v>30</v>
      </c>
      <c r="F1947" s="85">
        <v>0.25</v>
      </c>
      <c r="G1947" s="86">
        <f t="shared" si="150"/>
        <v>135</v>
      </c>
      <c r="H1947" s="86">
        <f t="shared" si="151"/>
        <v>33.75</v>
      </c>
      <c r="I1947" s="86">
        <f t="shared" si="152"/>
        <v>101.25</v>
      </c>
      <c r="J1947" s="84">
        <f>VLOOKUP(C1947, Products[], 6)</f>
        <v>4.5</v>
      </c>
      <c r="K1947" s="86">
        <f t="shared" si="153"/>
        <v>135</v>
      </c>
      <c r="L1947" s="86">
        <f t="shared" si="154"/>
        <v>-33.75</v>
      </c>
    </row>
    <row r="1948" spans="2:12" x14ac:dyDescent="0.2">
      <c r="B1948">
        <v>11000</v>
      </c>
      <c r="C1948">
        <v>77</v>
      </c>
      <c r="D1948" s="84">
        <v>13</v>
      </c>
      <c r="E1948">
        <v>30</v>
      </c>
      <c r="F1948" s="85">
        <v>0</v>
      </c>
      <c r="G1948" s="86">
        <f t="shared" si="150"/>
        <v>390</v>
      </c>
      <c r="H1948" s="86">
        <f t="shared" si="151"/>
        <v>0</v>
      </c>
      <c r="I1948" s="86">
        <f t="shared" si="152"/>
        <v>390</v>
      </c>
      <c r="J1948" s="84">
        <f>VLOOKUP(C1948, Products[], 6)</f>
        <v>13</v>
      </c>
      <c r="K1948" s="86">
        <f t="shared" si="153"/>
        <v>390</v>
      </c>
      <c r="L1948" s="86">
        <f t="shared" si="154"/>
        <v>0</v>
      </c>
    </row>
    <row r="1949" spans="2:12" x14ac:dyDescent="0.2">
      <c r="B1949">
        <v>11001</v>
      </c>
      <c r="C1949">
        <v>7</v>
      </c>
      <c r="D1949" s="84">
        <v>30</v>
      </c>
      <c r="E1949">
        <v>60</v>
      </c>
      <c r="F1949" s="85">
        <v>0</v>
      </c>
      <c r="G1949" s="86">
        <f t="shared" si="150"/>
        <v>1800</v>
      </c>
      <c r="H1949" s="86">
        <f t="shared" si="151"/>
        <v>0</v>
      </c>
      <c r="I1949" s="86">
        <f t="shared" si="152"/>
        <v>1800</v>
      </c>
      <c r="J1949" s="84">
        <f>VLOOKUP(C1949, Products[], 6)</f>
        <v>30</v>
      </c>
      <c r="K1949" s="86">
        <f t="shared" si="153"/>
        <v>1800</v>
      </c>
      <c r="L1949" s="86">
        <f t="shared" si="154"/>
        <v>0</v>
      </c>
    </row>
    <row r="1950" spans="2:12" x14ac:dyDescent="0.2">
      <c r="B1950">
        <v>11001</v>
      </c>
      <c r="C1950">
        <v>22</v>
      </c>
      <c r="D1950" s="84">
        <v>21</v>
      </c>
      <c r="E1950">
        <v>25</v>
      </c>
      <c r="F1950" s="85">
        <v>0</v>
      </c>
      <c r="G1950" s="86">
        <f t="shared" si="150"/>
        <v>525</v>
      </c>
      <c r="H1950" s="86">
        <f t="shared" si="151"/>
        <v>0</v>
      </c>
      <c r="I1950" s="86">
        <f t="shared" si="152"/>
        <v>525</v>
      </c>
      <c r="J1950" s="84">
        <f>VLOOKUP(C1950, Products[], 6)</f>
        <v>21</v>
      </c>
      <c r="K1950" s="86">
        <f t="shared" si="153"/>
        <v>525</v>
      </c>
      <c r="L1950" s="86">
        <f t="shared" si="154"/>
        <v>0</v>
      </c>
    </row>
    <row r="1951" spans="2:12" x14ac:dyDescent="0.2">
      <c r="B1951">
        <v>11001</v>
      </c>
      <c r="C1951">
        <v>46</v>
      </c>
      <c r="D1951" s="84">
        <v>12</v>
      </c>
      <c r="E1951">
        <v>25</v>
      </c>
      <c r="F1951" s="85">
        <v>0</v>
      </c>
      <c r="G1951" s="86">
        <f t="shared" si="150"/>
        <v>300</v>
      </c>
      <c r="H1951" s="86">
        <f t="shared" si="151"/>
        <v>0</v>
      </c>
      <c r="I1951" s="86">
        <f t="shared" si="152"/>
        <v>300</v>
      </c>
      <c r="J1951" s="84">
        <f>VLOOKUP(C1951, Products[], 6)</f>
        <v>12</v>
      </c>
      <c r="K1951" s="86">
        <f t="shared" si="153"/>
        <v>300</v>
      </c>
      <c r="L1951" s="86">
        <f t="shared" si="154"/>
        <v>0</v>
      </c>
    </row>
    <row r="1952" spans="2:12" x14ac:dyDescent="0.2">
      <c r="B1952">
        <v>11001</v>
      </c>
      <c r="C1952">
        <v>55</v>
      </c>
      <c r="D1952" s="84">
        <v>24</v>
      </c>
      <c r="E1952">
        <v>6</v>
      </c>
      <c r="F1952" s="85">
        <v>0</v>
      </c>
      <c r="G1952" s="86">
        <f t="shared" si="150"/>
        <v>144</v>
      </c>
      <c r="H1952" s="86">
        <f t="shared" si="151"/>
        <v>0</v>
      </c>
      <c r="I1952" s="86">
        <f t="shared" si="152"/>
        <v>144</v>
      </c>
      <c r="J1952" s="84">
        <f>VLOOKUP(C1952, Products[], 6)</f>
        <v>24</v>
      </c>
      <c r="K1952" s="86">
        <f t="shared" si="153"/>
        <v>144</v>
      </c>
      <c r="L1952" s="86">
        <f t="shared" si="154"/>
        <v>0</v>
      </c>
    </row>
    <row r="1953" spans="2:12" x14ac:dyDescent="0.2">
      <c r="B1953">
        <v>11002</v>
      </c>
      <c r="C1953">
        <v>13</v>
      </c>
      <c r="D1953" s="84">
        <v>6</v>
      </c>
      <c r="E1953">
        <v>56</v>
      </c>
      <c r="F1953" s="85">
        <v>0</v>
      </c>
      <c r="G1953" s="86">
        <f t="shared" si="150"/>
        <v>336</v>
      </c>
      <c r="H1953" s="86">
        <f t="shared" si="151"/>
        <v>0</v>
      </c>
      <c r="I1953" s="86">
        <f t="shared" si="152"/>
        <v>336</v>
      </c>
      <c r="J1953" s="84">
        <f>VLOOKUP(C1953, Products[], 6)</f>
        <v>6</v>
      </c>
      <c r="K1953" s="86">
        <f t="shared" si="153"/>
        <v>336</v>
      </c>
      <c r="L1953" s="86">
        <f t="shared" si="154"/>
        <v>0</v>
      </c>
    </row>
    <row r="1954" spans="2:12" x14ac:dyDescent="0.2">
      <c r="B1954">
        <v>11002</v>
      </c>
      <c r="C1954">
        <v>35</v>
      </c>
      <c r="D1954" s="84">
        <v>18</v>
      </c>
      <c r="E1954">
        <v>15</v>
      </c>
      <c r="F1954" s="85">
        <v>0.15</v>
      </c>
      <c r="G1954" s="86">
        <f t="shared" si="150"/>
        <v>270</v>
      </c>
      <c r="H1954" s="86">
        <f t="shared" si="151"/>
        <v>40.5</v>
      </c>
      <c r="I1954" s="86">
        <f t="shared" si="152"/>
        <v>229.5</v>
      </c>
      <c r="J1954" s="84">
        <f>VLOOKUP(C1954, Products[], 6)</f>
        <v>18</v>
      </c>
      <c r="K1954" s="86">
        <f t="shared" si="153"/>
        <v>270</v>
      </c>
      <c r="L1954" s="86">
        <f t="shared" si="154"/>
        <v>-40.5</v>
      </c>
    </row>
    <row r="1955" spans="2:12" x14ac:dyDescent="0.2">
      <c r="B1955">
        <v>11002</v>
      </c>
      <c r="C1955">
        <v>42</v>
      </c>
      <c r="D1955" s="84">
        <v>14</v>
      </c>
      <c r="E1955">
        <v>24</v>
      </c>
      <c r="F1955" s="85">
        <v>0.15</v>
      </c>
      <c r="G1955" s="86">
        <f t="shared" si="150"/>
        <v>336</v>
      </c>
      <c r="H1955" s="86">
        <f t="shared" si="151"/>
        <v>50.4</v>
      </c>
      <c r="I1955" s="86">
        <f t="shared" si="152"/>
        <v>285.60000000000002</v>
      </c>
      <c r="J1955" s="84">
        <f>VLOOKUP(C1955, Products[], 6)</f>
        <v>14</v>
      </c>
      <c r="K1955" s="86">
        <f t="shared" si="153"/>
        <v>336</v>
      </c>
      <c r="L1955" s="86">
        <f t="shared" si="154"/>
        <v>-50.399999999999977</v>
      </c>
    </row>
    <row r="1956" spans="2:12" x14ac:dyDescent="0.2">
      <c r="B1956">
        <v>11002</v>
      </c>
      <c r="C1956">
        <v>55</v>
      </c>
      <c r="D1956" s="84">
        <v>24</v>
      </c>
      <c r="E1956">
        <v>40</v>
      </c>
      <c r="F1956" s="85">
        <v>0</v>
      </c>
      <c r="G1956" s="86">
        <f t="shared" si="150"/>
        <v>960</v>
      </c>
      <c r="H1956" s="86">
        <f t="shared" si="151"/>
        <v>0</v>
      </c>
      <c r="I1956" s="86">
        <f t="shared" si="152"/>
        <v>960</v>
      </c>
      <c r="J1956" s="84">
        <f>VLOOKUP(C1956, Products[], 6)</f>
        <v>24</v>
      </c>
      <c r="K1956" s="86">
        <f t="shared" si="153"/>
        <v>960</v>
      </c>
      <c r="L1956" s="86">
        <f t="shared" si="154"/>
        <v>0</v>
      </c>
    </row>
    <row r="1957" spans="2:12" x14ac:dyDescent="0.2">
      <c r="B1957">
        <v>11003</v>
      </c>
      <c r="C1957">
        <v>1</v>
      </c>
      <c r="D1957" s="84">
        <v>18</v>
      </c>
      <c r="E1957">
        <v>4</v>
      </c>
      <c r="F1957" s="85">
        <v>0</v>
      </c>
      <c r="G1957" s="86">
        <f t="shared" si="150"/>
        <v>72</v>
      </c>
      <c r="H1957" s="86">
        <f t="shared" si="151"/>
        <v>0</v>
      </c>
      <c r="I1957" s="86">
        <f t="shared" si="152"/>
        <v>72</v>
      </c>
      <c r="J1957" s="84">
        <f>VLOOKUP(C1957, Products[], 6)</f>
        <v>18</v>
      </c>
      <c r="K1957" s="86">
        <f t="shared" si="153"/>
        <v>72</v>
      </c>
      <c r="L1957" s="86">
        <f t="shared" si="154"/>
        <v>0</v>
      </c>
    </row>
    <row r="1958" spans="2:12" x14ac:dyDescent="0.2">
      <c r="B1958">
        <v>11003</v>
      </c>
      <c r="C1958">
        <v>40</v>
      </c>
      <c r="D1958" s="84">
        <v>18.399999999999999</v>
      </c>
      <c r="E1958">
        <v>10</v>
      </c>
      <c r="F1958" s="85">
        <v>0</v>
      </c>
      <c r="G1958" s="86">
        <f t="shared" si="150"/>
        <v>184</v>
      </c>
      <c r="H1958" s="86">
        <f t="shared" si="151"/>
        <v>0</v>
      </c>
      <c r="I1958" s="86">
        <f t="shared" si="152"/>
        <v>184</v>
      </c>
      <c r="J1958" s="84">
        <f>VLOOKUP(C1958, Products[], 6)</f>
        <v>18.399999999999999</v>
      </c>
      <c r="K1958" s="86">
        <f t="shared" si="153"/>
        <v>184</v>
      </c>
      <c r="L1958" s="86">
        <f t="shared" si="154"/>
        <v>0</v>
      </c>
    </row>
    <row r="1959" spans="2:12" x14ac:dyDescent="0.2">
      <c r="B1959">
        <v>11003</v>
      </c>
      <c r="C1959">
        <v>52</v>
      </c>
      <c r="D1959" s="84">
        <v>7</v>
      </c>
      <c r="E1959">
        <v>10</v>
      </c>
      <c r="F1959" s="85">
        <v>0</v>
      </c>
      <c r="G1959" s="86">
        <f t="shared" si="150"/>
        <v>70</v>
      </c>
      <c r="H1959" s="86">
        <f t="shared" si="151"/>
        <v>0</v>
      </c>
      <c r="I1959" s="86">
        <f t="shared" si="152"/>
        <v>70</v>
      </c>
      <c r="J1959" s="84">
        <f>VLOOKUP(C1959, Products[], 6)</f>
        <v>7</v>
      </c>
      <c r="K1959" s="86">
        <f t="shared" si="153"/>
        <v>70</v>
      </c>
      <c r="L1959" s="86">
        <f t="shared" si="154"/>
        <v>0</v>
      </c>
    </row>
    <row r="1960" spans="2:12" x14ac:dyDescent="0.2">
      <c r="B1960">
        <v>11004</v>
      </c>
      <c r="C1960">
        <v>26</v>
      </c>
      <c r="D1960" s="84">
        <v>31.23</v>
      </c>
      <c r="E1960">
        <v>6</v>
      </c>
      <c r="F1960" s="85">
        <v>0</v>
      </c>
      <c r="G1960" s="86">
        <f t="shared" si="150"/>
        <v>187.38</v>
      </c>
      <c r="H1960" s="86">
        <f t="shared" si="151"/>
        <v>0</v>
      </c>
      <c r="I1960" s="86">
        <f t="shared" si="152"/>
        <v>187.38</v>
      </c>
      <c r="J1960" s="84">
        <f>VLOOKUP(C1960, Products[], 6)</f>
        <v>31.23</v>
      </c>
      <c r="K1960" s="86">
        <f t="shared" si="153"/>
        <v>187.38</v>
      </c>
      <c r="L1960" s="86">
        <f t="shared" si="154"/>
        <v>0</v>
      </c>
    </row>
    <row r="1961" spans="2:12" x14ac:dyDescent="0.2">
      <c r="B1961">
        <v>11004</v>
      </c>
      <c r="C1961">
        <v>76</v>
      </c>
      <c r="D1961" s="84">
        <v>18</v>
      </c>
      <c r="E1961">
        <v>6</v>
      </c>
      <c r="F1961" s="85">
        <v>0</v>
      </c>
      <c r="G1961" s="86">
        <f t="shared" si="150"/>
        <v>108</v>
      </c>
      <c r="H1961" s="86">
        <f t="shared" si="151"/>
        <v>0</v>
      </c>
      <c r="I1961" s="86">
        <f t="shared" si="152"/>
        <v>108</v>
      </c>
      <c r="J1961" s="84">
        <f>VLOOKUP(C1961, Products[], 6)</f>
        <v>18</v>
      </c>
      <c r="K1961" s="86">
        <f t="shared" si="153"/>
        <v>108</v>
      </c>
      <c r="L1961" s="86">
        <f t="shared" si="154"/>
        <v>0</v>
      </c>
    </row>
    <row r="1962" spans="2:12" x14ac:dyDescent="0.2">
      <c r="B1962">
        <v>11005</v>
      </c>
      <c r="C1962">
        <v>1</v>
      </c>
      <c r="D1962" s="84">
        <v>18</v>
      </c>
      <c r="E1962">
        <v>2</v>
      </c>
      <c r="F1962" s="85">
        <v>0</v>
      </c>
      <c r="G1962" s="86">
        <f t="shared" si="150"/>
        <v>36</v>
      </c>
      <c r="H1962" s="86">
        <f t="shared" si="151"/>
        <v>0</v>
      </c>
      <c r="I1962" s="86">
        <f t="shared" si="152"/>
        <v>36</v>
      </c>
      <c r="J1962" s="84">
        <f>VLOOKUP(C1962, Products[], 6)</f>
        <v>18</v>
      </c>
      <c r="K1962" s="86">
        <f t="shared" si="153"/>
        <v>36</v>
      </c>
      <c r="L1962" s="86">
        <f t="shared" si="154"/>
        <v>0</v>
      </c>
    </row>
    <row r="1963" spans="2:12" x14ac:dyDescent="0.2">
      <c r="B1963">
        <v>11005</v>
      </c>
      <c r="C1963">
        <v>59</v>
      </c>
      <c r="D1963" s="84">
        <v>55</v>
      </c>
      <c r="E1963">
        <v>10</v>
      </c>
      <c r="F1963" s="85">
        <v>0</v>
      </c>
      <c r="G1963" s="86">
        <f t="shared" si="150"/>
        <v>550</v>
      </c>
      <c r="H1963" s="86">
        <f t="shared" si="151"/>
        <v>0</v>
      </c>
      <c r="I1963" s="86">
        <f t="shared" si="152"/>
        <v>550</v>
      </c>
      <c r="J1963" s="84">
        <f>VLOOKUP(C1963, Products[], 6)</f>
        <v>55</v>
      </c>
      <c r="K1963" s="86">
        <f t="shared" si="153"/>
        <v>550</v>
      </c>
      <c r="L1963" s="86">
        <f t="shared" si="154"/>
        <v>0</v>
      </c>
    </row>
    <row r="1964" spans="2:12" x14ac:dyDescent="0.2">
      <c r="B1964">
        <v>11006</v>
      </c>
      <c r="C1964">
        <v>1</v>
      </c>
      <c r="D1964" s="84">
        <v>18</v>
      </c>
      <c r="E1964">
        <v>8</v>
      </c>
      <c r="F1964" s="85">
        <v>0</v>
      </c>
      <c r="G1964" s="86">
        <f t="shared" si="150"/>
        <v>144</v>
      </c>
      <c r="H1964" s="86">
        <f t="shared" si="151"/>
        <v>0</v>
      </c>
      <c r="I1964" s="86">
        <f t="shared" si="152"/>
        <v>144</v>
      </c>
      <c r="J1964" s="84">
        <f>VLOOKUP(C1964, Products[], 6)</f>
        <v>18</v>
      </c>
      <c r="K1964" s="86">
        <f t="shared" si="153"/>
        <v>144</v>
      </c>
      <c r="L1964" s="86">
        <f t="shared" si="154"/>
        <v>0</v>
      </c>
    </row>
    <row r="1965" spans="2:12" x14ac:dyDescent="0.2">
      <c r="B1965">
        <v>11006</v>
      </c>
      <c r="C1965">
        <v>29</v>
      </c>
      <c r="D1965" s="84">
        <v>123.79</v>
      </c>
      <c r="E1965">
        <v>2</v>
      </c>
      <c r="F1965" s="85">
        <v>0.25</v>
      </c>
      <c r="G1965" s="86">
        <f t="shared" si="150"/>
        <v>247.58</v>
      </c>
      <c r="H1965" s="86">
        <f t="shared" si="151"/>
        <v>61.895000000000003</v>
      </c>
      <c r="I1965" s="86">
        <f t="shared" si="152"/>
        <v>185.685</v>
      </c>
      <c r="J1965" s="84">
        <f>VLOOKUP(C1965, Products[], 6)</f>
        <v>123.79</v>
      </c>
      <c r="K1965" s="86">
        <f t="shared" si="153"/>
        <v>247.58</v>
      </c>
      <c r="L1965" s="86">
        <f t="shared" si="154"/>
        <v>-61.89500000000001</v>
      </c>
    </row>
    <row r="1966" spans="2:12" x14ac:dyDescent="0.2">
      <c r="B1966">
        <v>11007</v>
      </c>
      <c r="C1966">
        <v>8</v>
      </c>
      <c r="D1966" s="84">
        <v>40</v>
      </c>
      <c r="E1966">
        <v>30</v>
      </c>
      <c r="F1966" s="85">
        <v>0</v>
      </c>
      <c r="G1966" s="86">
        <f t="shared" si="150"/>
        <v>1200</v>
      </c>
      <c r="H1966" s="86">
        <f t="shared" si="151"/>
        <v>0</v>
      </c>
      <c r="I1966" s="86">
        <f t="shared" si="152"/>
        <v>1200</v>
      </c>
      <c r="J1966" s="84">
        <f>VLOOKUP(C1966, Products[], 6)</f>
        <v>40</v>
      </c>
      <c r="K1966" s="86">
        <f t="shared" si="153"/>
        <v>1200</v>
      </c>
      <c r="L1966" s="86">
        <f t="shared" si="154"/>
        <v>0</v>
      </c>
    </row>
    <row r="1967" spans="2:12" x14ac:dyDescent="0.2">
      <c r="B1967">
        <v>11007</v>
      </c>
      <c r="C1967">
        <v>29</v>
      </c>
      <c r="D1967" s="84">
        <v>123.79</v>
      </c>
      <c r="E1967">
        <v>10</v>
      </c>
      <c r="F1967" s="85">
        <v>0</v>
      </c>
      <c r="G1967" s="86">
        <f t="shared" si="150"/>
        <v>1237.9000000000001</v>
      </c>
      <c r="H1967" s="86">
        <f t="shared" si="151"/>
        <v>0</v>
      </c>
      <c r="I1967" s="86">
        <f t="shared" si="152"/>
        <v>1237.9000000000001</v>
      </c>
      <c r="J1967" s="84">
        <f>VLOOKUP(C1967, Products[], 6)</f>
        <v>123.79</v>
      </c>
      <c r="K1967" s="86">
        <f t="shared" si="153"/>
        <v>1237.9000000000001</v>
      </c>
      <c r="L1967" s="86">
        <f t="shared" si="154"/>
        <v>0</v>
      </c>
    </row>
    <row r="1968" spans="2:12" x14ac:dyDescent="0.2">
      <c r="B1968">
        <v>11007</v>
      </c>
      <c r="C1968">
        <v>42</v>
      </c>
      <c r="D1968" s="84">
        <v>14</v>
      </c>
      <c r="E1968">
        <v>14</v>
      </c>
      <c r="F1968" s="85">
        <v>0</v>
      </c>
      <c r="G1968" s="86">
        <f t="shared" si="150"/>
        <v>196</v>
      </c>
      <c r="H1968" s="86">
        <f t="shared" si="151"/>
        <v>0</v>
      </c>
      <c r="I1968" s="86">
        <f t="shared" si="152"/>
        <v>196</v>
      </c>
      <c r="J1968" s="84">
        <f>VLOOKUP(C1968, Products[], 6)</f>
        <v>14</v>
      </c>
      <c r="K1968" s="86">
        <f t="shared" si="153"/>
        <v>196</v>
      </c>
      <c r="L1968" s="86">
        <f t="shared" si="154"/>
        <v>0</v>
      </c>
    </row>
    <row r="1969" spans="2:12" x14ac:dyDescent="0.2">
      <c r="B1969">
        <v>11008</v>
      </c>
      <c r="C1969">
        <v>28</v>
      </c>
      <c r="D1969" s="84">
        <v>45.6</v>
      </c>
      <c r="E1969">
        <v>70</v>
      </c>
      <c r="F1969" s="85">
        <v>0.05</v>
      </c>
      <c r="G1969" s="86">
        <f t="shared" si="150"/>
        <v>3192</v>
      </c>
      <c r="H1969" s="86">
        <f t="shared" si="151"/>
        <v>159.60000000000002</v>
      </c>
      <c r="I1969" s="86">
        <f t="shared" si="152"/>
        <v>3032.4</v>
      </c>
      <c r="J1969" s="84">
        <f>VLOOKUP(C1969, Products[], 6)</f>
        <v>45.6</v>
      </c>
      <c r="K1969" s="86">
        <f t="shared" si="153"/>
        <v>3192</v>
      </c>
      <c r="L1969" s="86">
        <f t="shared" si="154"/>
        <v>-159.59999999999991</v>
      </c>
    </row>
    <row r="1970" spans="2:12" x14ac:dyDescent="0.2">
      <c r="B1970">
        <v>11008</v>
      </c>
      <c r="C1970">
        <v>34</v>
      </c>
      <c r="D1970" s="84">
        <v>14</v>
      </c>
      <c r="E1970">
        <v>90</v>
      </c>
      <c r="F1970" s="85">
        <v>0.05</v>
      </c>
      <c r="G1970" s="86">
        <f t="shared" si="150"/>
        <v>1260</v>
      </c>
      <c r="H1970" s="86">
        <f t="shared" si="151"/>
        <v>63</v>
      </c>
      <c r="I1970" s="86">
        <f t="shared" si="152"/>
        <v>1197</v>
      </c>
      <c r="J1970" s="84">
        <f>VLOOKUP(C1970, Products[], 6)</f>
        <v>14</v>
      </c>
      <c r="K1970" s="86">
        <f t="shared" si="153"/>
        <v>1260</v>
      </c>
      <c r="L1970" s="86">
        <f t="shared" si="154"/>
        <v>-63</v>
      </c>
    </row>
    <row r="1971" spans="2:12" x14ac:dyDescent="0.2">
      <c r="B1971">
        <v>11008</v>
      </c>
      <c r="C1971">
        <v>71</v>
      </c>
      <c r="D1971" s="84">
        <v>21.5</v>
      </c>
      <c r="E1971">
        <v>21</v>
      </c>
      <c r="F1971" s="85">
        <v>0</v>
      </c>
      <c r="G1971" s="86">
        <f t="shared" si="150"/>
        <v>451.5</v>
      </c>
      <c r="H1971" s="86">
        <f t="shared" si="151"/>
        <v>0</v>
      </c>
      <c r="I1971" s="86">
        <f t="shared" si="152"/>
        <v>451.5</v>
      </c>
      <c r="J1971" s="84">
        <f>VLOOKUP(C1971, Products[], 6)</f>
        <v>21.5</v>
      </c>
      <c r="K1971" s="86">
        <f t="shared" si="153"/>
        <v>451.5</v>
      </c>
      <c r="L1971" s="86">
        <f t="shared" si="154"/>
        <v>0</v>
      </c>
    </row>
    <row r="1972" spans="2:12" x14ac:dyDescent="0.2">
      <c r="B1972">
        <v>11009</v>
      </c>
      <c r="C1972">
        <v>24</v>
      </c>
      <c r="D1972" s="84">
        <v>4.5</v>
      </c>
      <c r="E1972">
        <v>12</v>
      </c>
      <c r="F1972" s="85">
        <v>0</v>
      </c>
      <c r="G1972" s="86">
        <f t="shared" si="150"/>
        <v>54</v>
      </c>
      <c r="H1972" s="86">
        <f t="shared" si="151"/>
        <v>0</v>
      </c>
      <c r="I1972" s="86">
        <f t="shared" si="152"/>
        <v>54</v>
      </c>
      <c r="J1972" s="84">
        <f>VLOOKUP(C1972, Products[], 6)</f>
        <v>4.5</v>
      </c>
      <c r="K1972" s="86">
        <f t="shared" si="153"/>
        <v>54</v>
      </c>
      <c r="L1972" s="86">
        <f t="shared" si="154"/>
        <v>0</v>
      </c>
    </row>
    <row r="1973" spans="2:12" x14ac:dyDescent="0.2">
      <c r="B1973">
        <v>11009</v>
      </c>
      <c r="C1973">
        <v>36</v>
      </c>
      <c r="D1973" s="84">
        <v>19</v>
      </c>
      <c r="E1973">
        <v>18</v>
      </c>
      <c r="F1973" s="85">
        <v>0.25</v>
      </c>
      <c r="G1973" s="86">
        <f t="shared" si="150"/>
        <v>342</v>
      </c>
      <c r="H1973" s="86">
        <f t="shared" si="151"/>
        <v>85.5</v>
      </c>
      <c r="I1973" s="86">
        <f t="shared" si="152"/>
        <v>256.5</v>
      </c>
      <c r="J1973" s="84">
        <f>VLOOKUP(C1973, Products[], 6)</f>
        <v>19</v>
      </c>
      <c r="K1973" s="86">
        <f t="shared" si="153"/>
        <v>342</v>
      </c>
      <c r="L1973" s="86">
        <f t="shared" si="154"/>
        <v>-85.5</v>
      </c>
    </row>
    <row r="1974" spans="2:12" x14ac:dyDescent="0.2">
      <c r="B1974">
        <v>11009</v>
      </c>
      <c r="C1974">
        <v>60</v>
      </c>
      <c r="D1974" s="84">
        <v>34</v>
      </c>
      <c r="E1974">
        <v>9</v>
      </c>
      <c r="F1974" s="85">
        <v>0</v>
      </c>
      <c r="G1974" s="86">
        <f t="shared" si="150"/>
        <v>306</v>
      </c>
      <c r="H1974" s="86">
        <f t="shared" si="151"/>
        <v>0</v>
      </c>
      <c r="I1974" s="86">
        <f t="shared" si="152"/>
        <v>306</v>
      </c>
      <c r="J1974" s="84">
        <f>VLOOKUP(C1974, Products[], 6)</f>
        <v>34</v>
      </c>
      <c r="K1974" s="86">
        <f t="shared" si="153"/>
        <v>306</v>
      </c>
      <c r="L1974" s="86">
        <f t="shared" si="154"/>
        <v>0</v>
      </c>
    </row>
    <row r="1975" spans="2:12" x14ac:dyDescent="0.2">
      <c r="B1975">
        <v>11010</v>
      </c>
      <c r="C1975">
        <v>7</v>
      </c>
      <c r="D1975" s="84">
        <v>30</v>
      </c>
      <c r="E1975">
        <v>20</v>
      </c>
      <c r="F1975" s="85">
        <v>0</v>
      </c>
      <c r="G1975" s="86">
        <f t="shared" si="150"/>
        <v>600</v>
      </c>
      <c r="H1975" s="86">
        <f t="shared" si="151"/>
        <v>0</v>
      </c>
      <c r="I1975" s="86">
        <f t="shared" si="152"/>
        <v>600</v>
      </c>
      <c r="J1975" s="84">
        <f>VLOOKUP(C1975, Products[], 6)</f>
        <v>30</v>
      </c>
      <c r="K1975" s="86">
        <f t="shared" si="153"/>
        <v>600</v>
      </c>
      <c r="L1975" s="86">
        <f t="shared" si="154"/>
        <v>0</v>
      </c>
    </row>
    <row r="1976" spans="2:12" x14ac:dyDescent="0.2">
      <c r="B1976">
        <v>11010</v>
      </c>
      <c r="C1976">
        <v>24</v>
      </c>
      <c r="D1976" s="84">
        <v>4.5</v>
      </c>
      <c r="E1976">
        <v>10</v>
      </c>
      <c r="F1976" s="85">
        <v>0</v>
      </c>
      <c r="G1976" s="86">
        <f t="shared" si="150"/>
        <v>45</v>
      </c>
      <c r="H1976" s="86">
        <f t="shared" si="151"/>
        <v>0</v>
      </c>
      <c r="I1976" s="86">
        <f t="shared" si="152"/>
        <v>45</v>
      </c>
      <c r="J1976" s="84">
        <f>VLOOKUP(C1976, Products[], 6)</f>
        <v>4.5</v>
      </c>
      <c r="K1976" s="86">
        <f t="shared" si="153"/>
        <v>45</v>
      </c>
      <c r="L1976" s="86">
        <f t="shared" si="154"/>
        <v>0</v>
      </c>
    </row>
    <row r="1977" spans="2:12" x14ac:dyDescent="0.2">
      <c r="B1977">
        <v>11011</v>
      </c>
      <c r="C1977">
        <v>58</v>
      </c>
      <c r="D1977" s="84">
        <v>13.25</v>
      </c>
      <c r="E1977">
        <v>40</v>
      </c>
      <c r="F1977" s="85">
        <v>0.05</v>
      </c>
      <c r="G1977" s="86">
        <f t="shared" si="150"/>
        <v>530</v>
      </c>
      <c r="H1977" s="86">
        <f t="shared" si="151"/>
        <v>26.5</v>
      </c>
      <c r="I1977" s="86">
        <f t="shared" si="152"/>
        <v>503.5</v>
      </c>
      <c r="J1977" s="84">
        <f>VLOOKUP(C1977, Products[], 6)</f>
        <v>13.25</v>
      </c>
      <c r="K1977" s="86">
        <f t="shared" si="153"/>
        <v>530</v>
      </c>
      <c r="L1977" s="86">
        <f t="shared" si="154"/>
        <v>-26.5</v>
      </c>
    </row>
    <row r="1978" spans="2:12" x14ac:dyDescent="0.2">
      <c r="B1978">
        <v>11011</v>
      </c>
      <c r="C1978">
        <v>71</v>
      </c>
      <c r="D1978" s="84">
        <v>21.5</v>
      </c>
      <c r="E1978">
        <v>20</v>
      </c>
      <c r="F1978" s="85">
        <v>0</v>
      </c>
      <c r="G1978" s="86">
        <f t="shared" si="150"/>
        <v>430</v>
      </c>
      <c r="H1978" s="86">
        <f t="shared" si="151"/>
        <v>0</v>
      </c>
      <c r="I1978" s="86">
        <f t="shared" si="152"/>
        <v>430</v>
      </c>
      <c r="J1978" s="84">
        <f>VLOOKUP(C1978, Products[], 6)</f>
        <v>21.5</v>
      </c>
      <c r="K1978" s="86">
        <f t="shared" si="153"/>
        <v>430</v>
      </c>
      <c r="L1978" s="86">
        <f t="shared" si="154"/>
        <v>0</v>
      </c>
    </row>
    <row r="1979" spans="2:12" x14ac:dyDescent="0.2">
      <c r="B1979">
        <v>11012</v>
      </c>
      <c r="C1979">
        <v>19</v>
      </c>
      <c r="D1979" s="84">
        <v>9.1999999999999993</v>
      </c>
      <c r="E1979">
        <v>50</v>
      </c>
      <c r="F1979" s="85">
        <v>0.05</v>
      </c>
      <c r="G1979" s="86">
        <f t="shared" si="150"/>
        <v>459.99999999999994</v>
      </c>
      <c r="H1979" s="86">
        <f t="shared" si="151"/>
        <v>23</v>
      </c>
      <c r="I1979" s="86">
        <f t="shared" si="152"/>
        <v>436.99999999999994</v>
      </c>
      <c r="J1979" s="84">
        <f>VLOOKUP(C1979, Products[], 6)</f>
        <v>9.1999999999999993</v>
      </c>
      <c r="K1979" s="86">
        <f t="shared" si="153"/>
        <v>459.99999999999994</v>
      </c>
      <c r="L1979" s="86">
        <f t="shared" si="154"/>
        <v>-23</v>
      </c>
    </row>
    <row r="1980" spans="2:12" x14ac:dyDescent="0.2">
      <c r="B1980">
        <v>11012</v>
      </c>
      <c r="C1980">
        <v>60</v>
      </c>
      <c r="D1980" s="84">
        <v>34</v>
      </c>
      <c r="E1980">
        <v>36</v>
      </c>
      <c r="F1980" s="85">
        <v>0.05</v>
      </c>
      <c r="G1980" s="86">
        <f t="shared" si="150"/>
        <v>1224</v>
      </c>
      <c r="H1980" s="86">
        <f t="shared" si="151"/>
        <v>61.2</v>
      </c>
      <c r="I1980" s="86">
        <f t="shared" si="152"/>
        <v>1162.8</v>
      </c>
      <c r="J1980" s="84">
        <f>VLOOKUP(C1980, Products[], 6)</f>
        <v>34</v>
      </c>
      <c r="K1980" s="86">
        <f t="shared" si="153"/>
        <v>1224</v>
      </c>
      <c r="L1980" s="86">
        <f t="shared" si="154"/>
        <v>-61.200000000000045</v>
      </c>
    </row>
    <row r="1981" spans="2:12" x14ac:dyDescent="0.2">
      <c r="B1981">
        <v>11012</v>
      </c>
      <c r="C1981">
        <v>71</v>
      </c>
      <c r="D1981" s="84">
        <v>21.5</v>
      </c>
      <c r="E1981">
        <v>60</v>
      </c>
      <c r="F1981" s="85">
        <v>0.05</v>
      </c>
      <c r="G1981" s="86">
        <f t="shared" si="150"/>
        <v>1290</v>
      </c>
      <c r="H1981" s="86">
        <f t="shared" si="151"/>
        <v>64.5</v>
      </c>
      <c r="I1981" s="86">
        <f t="shared" si="152"/>
        <v>1225.5</v>
      </c>
      <c r="J1981" s="84">
        <f>VLOOKUP(C1981, Products[], 6)</f>
        <v>21.5</v>
      </c>
      <c r="K1981" s="86">
        <f t="shared" si="153"/>
        <v>1290</v>
      </c>
      <c r="L1981" s="86">
        <f t="shared" si="154"/>
        <v>-64.5</v>
      </c>
    </row>
    <row r="1982" spans="2:12" x14ac:dyDescent="0.2">
      <c r="B1982">
        <v>11013</v>
      </c>
      <c r="C1982">
        <v>23</v>
      </c>
      <c r="D1982" s="84">
        <v>9</v>
      </c>
      <c r="E1982">
        <v>10</v>
      </c>
      <c r="F1982" s="85">
        <v>0</v>
      </c>
      <c r="G1982" s="86">
        <f t="shared" si="150"/>
        <v>90</v>
      </c>
      <c r="H1982" s="86">
        <f t="shared" si="151"/>
        <v>0</v>
      </c>
      <c r="I1982" s="86">
        <f t="shared" si="152"/>
        <v>90</v>
      </c>
      <c r="J1982" s="84">
        <f>VLOOKUP(C1982, Products[], 6)</f>
        <v>9</v>
      </c>
      <c r="K1982" s="86">
        <f t="shared" si="153"/>
        <v>90</v>
      </c>
      <c r="L1982" s="86">
        <f t="shared" si="154"/>
        <v>0</v>
      </c>
    </row>
    <row r="1983" spans="2:12" x14ac:dyDescent="0.2">
      <c r="B1983">
        <v>11013</v>
      </c>
      <c r="C1983">
        <v>42</v>
      </c>
      <c r="D1983" s="84">
        <v>14</v>
      </c>
      <c r="E1983">
        <v>4</v>
      </c>
      <c r="F1983" s="85">
        <v>0</v>
      </c>
      <c r="G1983" s="86">
        <f t="shared" si="150"/>
        <v>56</v>
      </c>
      <c r="H1983" s="86">
        <f t="shared" si="151"/>
        <v>0</v>
      </c>
      <c r="I1983" s="86">
        <f t="shared" si="152"/>
        <v>56</v>
      </c>
      <c r="J1983" s="84">
        <f>VLOOKUP(C1983, Products[], 6)</f>
        <v>14</v>
      </c>
      <c r="K1983" s="86">
        <f t="shared" si="153"/>
        <v>56</v>
      </c>
      <c r="L1983" s="86">
        <f t="shared" si="154"/>
        <v>0</v>
      </c>
    </row>
    <row r="1984" spans="2:12" x14ac:dyDescent="0.2">
      <c r="B1984">
        <v>11013</v>
      </c>
      <c r="C1984">
        <v>45</v>
      </c>
      <c r="D1984" s="84">
        <v>9.5</v>
      </c>
      <c r="E1984">
        <v>20</v>
      </c>
      <c r="F1984" s="85">
        <v>0</v>
      </c>
      <c r="G1984" s="86">
        <f t="shared" si="150"/>
        <v>190</v>
      </c>
      <c r="H1984" s="86">
        <f t="shared" si="151"/>
        <v>0</v>
      </c>
      <c r="I1984" s="86">
        <f t="shared" si="152"/>
        <v>190</v>
      </c>
      <c r="J1984" s="84">
        <f>VLOOKUP(C1984, Products[], 6)</f>
        <v>9.5</v>
      </c>
      <c r="K1984" s="86">
        <f t="shared" si="153"/>
        <v>190</v>
      </c>
      <c r="L1984" s="86">
        <f t="shared" si="154"/>
        <v>0</v>
      </c>
    </row>
    <row r="1985" spans="2:12" x14ac:dyDescent="0.2">
      <c r="B1985">
        <v>11013</v>
      </c>
      <c r="C1985">
        <v>68</v>
      </c>
      <c r="D1985" s="84">
        <v>12.5</v>
      </c>
      <c r="E1985">
        <v>2</v>
      </c>
      <c r="F1985" s="85">
        <v>0</v>
      </c>
      <c r="G1985" s="86">
        <f t="shared" si="150"/>
        <v>25</v>
      </c>
      <c r="H1985" s="86">
        <f t="shared" si="151"/>
        <v>0</v>
      </c>
      <c r="I1985" s="86">
        <f t="shared" si="152"/>
        <v>25</v>
      </c>
      <c r="J1985" s="84">
        <f>VLOOKUP(C1985, Products[], 6)</f>
        <v>12.5</v>
      </c>
      <c r="K1985" s="86">
        <f t="shared" si="153"/>
        <v>25</v>
      </c>
      <c r="L1985" s="86">
        <f t="shared" si="154"/>
        <v>0</v>
      </c>
    </row>
    <row r="1986" spans="2:12" x14ac:dyDescent="0.2">
      <c r="B1986">
        <v>11014</v>
      </c>
      <c r="C1986">
        <v>41</v>
      </c>
      <c r="D1986" s="84">
        <v>9.65</v>
      </c>
      <c r="E1986">
        <v>28</v>
      </c>
      <c r="F1986" s="85">
        <v>0.1</v>
      </c>
      <c r="G1986" s="86">
        <f t="shared" si="150"/>
        <v>270.2</v>
      </c>
      <c r="H1986" s="86">
        <f t="shared" si="151"/>
        <v>27.02</v>
      </c>
      <c r="I1986" s="86">
        <f t="shared" si="152"/>
        <v>243.17999999999998</v>
      </c>
      <c r="J1986" s="84">
        <f>VLOOKUP(C1986, Products[], 6)</f>
        <v>9.65</v>
      </c>
      <c r="K1986" s="86">
        <f t="shared" si="153"/>
        <v>270.2</v>
      </c>
      <c r="L1986" s="86">
        <f t="shared" si="154"/>
        <v>-27.02000000000001</v>
      </c>
    </row>
    <row r="1987" spans="2:12" x14ac:dyDescent="0.2">
      <c r="B1987">
        <v>11015</v>
      </c>
      <c r="C1987">
        <v>30</v>
      </c>
      <c r="D1987" s="84">
        <v>25.89</v>
      </c>
      <c r="E1987">
        <v>15</v>
      </c>
      <c r="F1987" s="85">
        <v>0</v>
      </c>
      <c r="G1987" s="86">
        <f t="shared" si="150"/>
        <v>388.35</v>
      </c>
      <c r="H1987" s="86">
        <f t="shared" si="151"/>
        <v>0</v>
      </c>
      <c r="I1987" s="86">
        <f t="shared" si="152"/>
        <v>388.35</v>
      </c>
      <c r="J1987" s="84">
        <f>VLOOKUP(C1987, Products[], 6)</f>
        <v>25.89</v>
      </c>
      <c r="K1987" s="86">
        <f t="shared" si="153"/>
        <v>388.35</v>
      </c>
      <c r="L1987" s="86">
        <f t="shared" si="154"/>
        <v>0</v>
      </c>
    </row>
    <row r="1988" spans="2:12" x14ac:dyDescent="0.2">
      <c r="B1988">
        <v>11015</v>
      </c>
      <c r="C1988">
        <v>77</v>
      </c>
      <c r="D1988" s="84">
        <v>13</v>
      </c>
      <c r="E1988">
        <v>18</v>
      </c>
      <c r="F1988" s="85">
        <v>0</v>
      </c>
      <c r="G1988" s="86">
        <f t="shared" si="150"/>
        <v>234</v>
      </c>
      <c r="H1988" s="86">
        <f t="shared" si="151"/>
        <v>0</v>
      </c>
      <c r="I1988" s="86">
        <f t="shared" si="152"/>
        <v>234</v>
      </c>
      <c r="J1988" s="84">
        <f>VLOOKUP(C1988, Products[], 6)</f>
        <v>13</v>
      </c>
      <c r="K1988" s="86">
        <f t="shared" si="153"/>
        <v>234</v>
      </c>
      <c r="L1988" s="86">
        <f t="shared" si="154"/>
        <v>0</v>
      </c>
    </row>
    <row r="1989" spans="2:12" x14ac:dyDescent="0.2">
      <c r="B1989">
        <v>11016</v>
      </c>
      <c r="C1989">
        <v>31</v>
      </c>
      <c r="D1989" s="84">
        <v>12.5</v>
      </c>
      <c r="E1989">
        <v>15</v>
      </c>
      <c r="F1989" s="85">
        <v>0</v>
      </c>
      <c r="G1989" s="86">
        <f t="shared" si="150"/>
        <v>187.5</v>
      </c>
      <c r="H1989" s="86">
        <f t="shared" si="151"/>
        <v>0</v>
      </c>
      <c r="I1989" s="86">
        <f t="shared" si="152"/>
        <v>187.5</v>
      </c>
      <c r="J1989" s="84">
        <f>VLOOKUP(C1989, Products[], 6)</f>
        <v>12.5</v>
      </c>
      <c r="K1989" s="86">
        <f t="shared" si="153"/>
        <v>187.5</v>
      </c>
      <c r="L1989" s="86">
        <f t="shared" si="154"/>
        <v>0</v>
      </c>
    </row>
    <row r="1990" spans="2:12" x14ac:dyDescent="0.2">
      <c r="B1990">
        <v>11016</v>
      </c>
      <c r="C1990">
        <v>36</v>
      </c>
      <c r="D1990" s="84">
        <v>19</v>
      </c>
      <c r="E1990">
        <v>16</v>
      </c>
      <c r="F1990" s="85">
        <v>0</v>
      </c>
      <c r="G1990" s="86">
        <f t="shared" si="150"/>
        <v>304</v>
      </c>
      <c r="H1990" s="86">
        <f t="shared" si="151"/>
        <v>0</v>
      </c>
      <c r="I1990" s="86">
        <f t="shared" si="152"/>
        <v>304</v>
      </c>
      <c r="J1990" s="84">
        <f>VLOOKUP(C1990, Products[], 6)</f>
        <v>19</v>
      </c>
      <c r="K1990" s="86">
        <f t="shared" si="153"/>
        <v>304</v>
      </c>
      <c r="L1990" s="86">
        <f t="shared" si="154"/>
        <v>0</v>
      </c>
    </row>
    <row r="1991" spans="2:12" x14ac:dyDescent="0.2">
      <c r="B1991">
        <v>11017</v>
      </c>
      <c r="C1991">
        <v>3</v>
      </c>
      <c r="D1991" s="84">
        <v>10</v>
      </c>
      <c r="E1991">
        <v>25</v>
      </c>
      <c r="F1991" s="85">
        <v>0</v>
      </c>
      <c r="G1991" s="86">
        <f t="shared" ref="G1991:G2054" si="155">D1991*E1991</f>
        <v>250</v>
      </c>
      <c r="H1991" s="86">
        <f t="shared" ref="H1991:H2054" si="156">G1991*F1991</f>
        <v>0</v>
      </c>
      <c r="I1991" s="86">
        <f t="shared" ref="I1991:I2054" si="157">G1991-H1991</f>
        <v>250</v>
      </c>
      <c r="J1991" s="84">
        <f>VLOOKUP(C1991, Products[], 6)</f>
        <v>10</v>
      </c>
      <c r="K1991" s="86">
        <f t="shared" ref="K1991:K2054" si="158">J1991*E1991</f>
        <v>250</v>
      </c>
      <c r="L1991" s="86">
        <f t="shared" ref="L1991:L2054" si="159">I1991-K1991</f>
        <v>0</v>
      </c>
    </row>
    <row r="1992" spans="2:12" x14ac:dyDescent="0.2">
      <c r="B1992">
        <v>11017</v>
      </c>
      <c r="C1992">
        <v>59</v>
      </c>
      <c r="D1992" s="84">
        <v>55</v>
      </c>
      <c r="E1992">
        <v>110</v>
      </c>
      <c r="F1992" s="85">
        <v>0</v>
      </c>
      <c r="G1992" s="86">
        <f t="shared" si="155"/>
        <v>6050</v>
      </c>
      <c r="H1992" s="86">
        <f t="shared" si="156"/>
        <v>0</v>
      </c>
      <c r="I1992" s="86">
        <f t="shared" si="157"/>
        <v>6050</v>
      </c>
      <c r="J1992" s="84">
        <f>VLOOKUP(C1992, Products[], 6)</f>
        <v>55</v>
      </c>
      <c r="K1992" s="86">
        <f t="shared" si="158"/>
        <v>6050</v>
      </c>
      <c r="L1992" s="86">
        <f t="shared" si="159"/>
        <v>0</v>
      </c>
    </row>
    <row r="1993" spans="2:12" x14ac:dyDescent="0.2">
      <c r="B1993">
        <v>11017</v>
      </c>
      <c r="C1993">
        <v>70</v>
      </c>
      <c r="D1993" s="84">
        <v>15</v>
      </c>
      <c r="E1993">
        <v>30</v>
      </c>
      <c r="F1993" s="85">
        <v>0</v>
      </c>
      <c r="G1993" s="86">
        <f t="shared" si="155"/>
        <v>450</v>
      </c>
      <c r="H1993" s="86">
        <f t="shared" si="156"/>
        <v>0</v>
      </c>
      <c r="I1993" s="86">
        <f t="shared" si="157"/>
        <v>450</v>
      </c>
      <c r="J1993" s="84">
        <f>VLOOKUP(C1993, Products[], 6)</f>
        <v>15</v>
      </c>
      <c r="K1993" s="86">
        <f t="shared" si="158"/>
        <v>450</v>
      </c>
      <c r="L1993" s="86">
        <f t="shared" si="159"/>
        <v>0</v>
      </c>
    </row>
    <row r="1994" spans="2:12" x14ac:dyDescent="0.2">
      <c r="B1994">
        <v>11018</v>
      </c>
      <c r="C1994">
        <v>12</v>
      </c>
      <c r="D1994" s="84">
        <v>38</v>
      </c>
      <c r="E1994">
        <v>20</v>
      </c>
      <c r="F1994" s="85">
        <v>0</v>
      </c>
      <c r="G1994" s="86">
        <f t="shared" si="155"/>
        <v>760</v>
      </c>
      <c r="H1994" s="86">
        <f t="shared" si="156"/>
        <v>0</v>
      </c>
      <c r="I1994" s="86">
        <f t="shared" si="157"/>
        <v>760</v>
      </c>
      <c r="J1994" s="84">
        <f>VLOOKUP(C1994, Products[], 6)</f>
        <v>38</v>
      </c>
      <c r="K1994" s="86">
        <f t="shared" si="158"/>
        <v>760</v>
      </c>
      <c r="L1994" s="86">
        <f t="shared" si="159"/>
        <v>0</v>
      </c>
    </row>
    <row r="1995" spans="2:12" x14ac:dyDescent="0.2">
      <c r="B1995">
        <v>11018</v>
      </c>
      <c r="C1995">
        <v>18</v>
      </c>
      <c r="D1995" s="84">
        <v>62.5</v>
      </c>
      <c r="E1995">
        <v>10</v>
      </c>
      <c r="F1995" s="85">
        <v>0</v>
      </c>
      <c r="G1995" s="86">
        <f t="shared" si="155"/>
        <v>625</v>
      </c>
      <c r="H1995" s="86">
        <f t="shared" si="156"/>
        <v>0</v>
      </c>
      <c r="I1995" s="86">
        <f t="shared" si="157"/>
        <v>625</v>
      </c>
      <c r="J1995" s="84">
        <f>VLOOKUP(C1995, Products[], 6)</f>
        <v>62.5</v>
      </c>
      <c r="K1995" s="86">
        <f t="shared" si="158"/>
        <v>625</v>
      </c>
      <c r="L1995" s="86">
        <f t="shared" si="159"/>
        <v>0</v>
      </c>
    </row>
    <row r="1996" spans="2:12" x14ac:dyDescent="0.2">
      <c r="B1996">
        <v>11018</v>
      </c>
      <c r="C1996">
        <v>56</v>
      </c>
      <c r="D1996" s="84">
        <v>38</v>
      </c>
      <c r="E1996">
        <v>5</v>
      </c>
      <c r="F1996" s="85">
        <v>0</v>
      </c>
      <c r="G1996" s="86">
        <f t="shared" si="155"/>
        <v>190</v>
      </c>
      <c r="H1996" s="86">
        <f t="shared" si="156"/>
        <v>0</v>
      </c>
      <c r="I1996" s="86">
        <f t="shared" si="157"/>
        <v>190</v>
      </c>
      <c r="J1996" s="84">
        <f>VLOOKUP(C1996, Products[], 6)</f>
        <v>38</v>
      </c>
      <c r="K1996" s="86">
        <f t="shared" si="158"/>
        <v>190</v>
      </c>
      <c r="L1996" s="86">
        <f t="shared" si="159"/>
        <v>0</v>
      </c>
    </row>
    <row r="1997" spans="2:12" x14ac:dyDescent="0.2">
      <c r="B1997">
        <v>11019</v>
      </c>
      <c r="C1997">
        <v>46</v>
      </c>
      <c r="D1997" s="84">
        <v>12</v>
      </c>
      <c r="E1997">
        <v>3</v>
      </c>
      <c r="F1997" s="85">
        <v>0</v>
      </c>
      <c r="G1997" s="86">
        <f t="shared" si="155"/>
        <v>36</v>
      </c>
      <c r="H1997" s="86">
        <f t="shared" si="156"/>
        <v>0</v>
      </c>
      <c r="I1997" s="86">
        <f t="shared" si="157"/>
        <v>36</v>
      </c>
      <c r="J1997" s="84">
        <f>VLOOKUP(C1997, Products[], 6)</f>
        <v>12</v>
      </c>
      <c r="K1997" s="86">
        <f t="shared" si="158"/>
        <v>36</v>
      </c>
      <c r="L1997" s="86">
        <f t="shared" si="159"/>
        <v>0</v>
      </c>
    </row>
    <row r="1998" spans="2:12" x14ac:dyDescent="0.2">
      <c r="B1998">
        <v>11019</v>
      </c>
      <c r="C1998">
        <v>49</v>
      </c>
      <c r="D1998" s="84">
        <v>20</v>
      </c>
      <c r="E1998">
        <v>2</v>
      </c>
      <c r="F1998" s="85">
        <v>0</v>
      </c>
      <c r="G1998" s="86">
        <f t="shared" si="155"/>
        <v>40</v>
      </c>
      <c r="H1998" s="86">
        <f t="shared" si="156"/>
        <v>0</v>
      </c>
      <c r="I1998" s="86">
        <f t="shared" si="157"/>
        <v>40</v>
      </c>
      <c r="J1998" s="84">
        <f>VLOOKUP(C1998, Products[], 6)</f>
        <v>20</v>
      </c>
      <c r="K1998" s="86">
        <f t="shared" si="158"/>
        <v>40</v>
      </c>
      <c r="L1998" s="86">
        <f t="shared" si="159"/>
        <v>0</v>
      </c>
    </row>
    <row r="1999" spans="2:12" x14ac:dyDescent="0.2">
      <c r="B1999">
        <v>11020</v>
      </c>
      <c r="C1999">
        <v>10</v>
      </c>
      <c r="D1999" s="84">
        <v>31</v>
      </c>
      <c r="E1999">
        <v>24</v>
      </c>
      <c r="F1999" s="85">
        <v>0.15</v>
      </c>
      <c r="G1999" s="86">
        <f t="shared" si="155"/>
        <v>744</v>
      </c>
      <c r="H1999" s="86">
        <f t="shared" si="156"/>
        <v>111.6</v>
      </c>
      <c r="I1999" s="86">
        <f t="shared" si="157"/>
        <v>632.4</v>
      </c>
      <c r="J1999" s="84">
        <f>VLOOKUP(C1999, Products[], 6)</f>
        <v>31</v>
      </c>
      <c r="K1999" s="86">
        <f t="shared" si="158"/>
        <v>744</v>
      </c>
      <c r="L1999" s="86">
        <f t="shared" si="159"/>
        <v>-111.60000000000002</v>
      </c>
    </row>
    <row r="2000" spans="2:12" x14ac:dyDescent="0.2">
      <c r="B2000">
        <v>11021</v>
      </c>
      <c r="C2000">
        <v>2</v>
      </c>
      <c r="D2000" s="84">
        <v>19</v>
      </c>
      <c r="E2000">
        <v>11</v>
      </c>
      <c r="F2000" s="85">
        <v>0.25</v>
      </c>
      <c r="G2000" s="86">
        <f t="shared" si="155"/>
        <v>209</v>
      </c>
      <c r="H2000" s="86">
        <f t="shared" si="156"/>
        <v>52.25</v>
      </c>
      <c r="I2000" s="86">
        <f t="shared" si="157"/>
        <v>156.75</v>
      </c>
      <c r="J2000" s="84">
        <f>VLOOKUP(C2000, Products[], 6)</f>
        <v>19</v>
      </c>
      <c r="K2000" s="86">
        <f t="shared" si="158"/>
        <v>209</v>
      </c>
      <c r="L2000" s="86">
        <f t="shared" si="159"/>
        <v>-52.25</v>
      </c>
    </row>
    <row r="2001" spans="2:12" x14ac:dyDescent="0.2">
      <c r="B2001">
        <v>11021</v>
      </c>
      <c r="C2001">
        <v>20</v>
      </c>
      <c r="D2001" s="84">
        <v>81</v>
      </c>
      <c r="E2001">
        <v>15</v>
      </c>
      <c r="F2001" s="85">
        <v>0</v>
      </c>
      <c r="G2001" s="86">
        <f t="shared" si="155"/>
        <v>1215</v>
      </c>
      <c r="H2001" s="86">
        <f t="shared" si="156"/>
        <v>0</v>
      </c>
      <c r="I2001" s="86">
        <f t="shared" si="157"/>
        <v>1215</v>
      </c>
      <c r="J2001" s="84">
        <f>VLOOKUP(C2001, Products[], 6)</f>
        <v>81</v>
      </c>
      <c r="K2001" s="86">
        <f t="shared" si="158"/>
        <v>1215</v>
      </c>
      <c r="L2001" s="86">
        <f t="shared" si="159"/>
        <v>0</v>
      </c>
    </row>
    <row r="2002" spans="2:12" x14ac:dyDescent="0.2">
      <c r="B2002">
        <v>11021</v>
      </c>
      <c r="C2002">
        <v>26</v>
      </c>
      <c r="D2002" s="84">
        <v>31.23</v>
      </c>
      <c r="E2002">
        <v>63</v>
      </c>
      <c r="F2002" s="85">
        <v>0</v>
      </c>
      <c r="G2002" s="86">
        <f t="shared" si="155"/>
        <v>1967.49</v>
      </c>
      <c r="H2002" s="86">
        <f t="shared" si="156"/>
        <v>0</v>
      </c>
      <c r="I2002" s="86">
        <f t="shared" si="157"/>
        <v>1967.49</v>
      </c>
      <c r="J2002" s="84">
        <f>VLOOKUP(C2002, Products[], 6)</f>
        <v>31.23</v>
      </c>
      <c r="K2002" s="86">
        <f t="shared" si="158"/>
        <v>1967.49</v>
      </c>
      <c r="L2002" s="86">
        <f t="shared" si="159"/>
        <v>0</v>
      </c>
    </row>
    <row r="2003" spans="2:12" x14ac:dyDescent="0.2">
      <c r="B2003">
        <v>11021</v>
      </c>
      <c r="C2003">
        <v>51</v>
      </c>
      <c r="D2003" s="84">
        <v>53</v>
      </c>
      <c r="E2003">
        <v>44</v>
      </c>
      <c r="F2003" s="85">
        <v>0.25</v>
      </c>
      <c r="G2003" s="86">
        <f t="shared" si="155"/>
        <v>2332</v>
      </c>
      <c r="H2003" s="86">
        <f t="shared" si="156"/>
        <v>583</v>
      </c>
      <c r="I2003" s="86">
        <f t="shared" si="157"/>
        <v>1749</v>
      </c>
      <c r="J2003" s="84">
        <f>VLOOKUP(C2003, Products[], 6)</f>
        <v>53</v>
      </c>
      <c r="K2003" s="86">
        <f t="shared" si="158"/>
        <v>2332</v>
      </c>
      <c r="L2003" s="86">
        <f t="shared" si="159"/>
        <v>-583</v>
      </c>
    </row>
    <row r="2004" spans="2:12" x14ac:dyDescent="0.2">
      <c r="B2004">
        <v>11021</v>
      </c>
      <c r="C2004">
        <v>72</v>
      </c>
      <c r="D2004" s="84">
        <v>34.799999999999997</v>
      </c>
      <c r="E2004">
        <v>35</v>
      </c>
      <c r="F2004" s="85">
        <v>0</v>
      </c>
      <c r="G2004" s="86">
        <f t="shared" si="155"/>
        <v>1218</v>
      </c>
      <c r="H2004" s="86">
        <f t="shared" si="156"/>
        <v>0</v>
      </c>
      <c r="I2004" s="86">
        <f t="shared" si="157"/>
        <v>1218</v>
      </c>
      <c r="J2004" s="84">
        <f>VLOOKUP(C2004, Products[], 6)</f>
        <v>34.799999999999997</v>
      </c>
      <c r="K2004" s="86">
        <f t="shared" si="158"/>
        <v>1218</v>
      </c>
      <c r="L2004" s="86">
        <f t="shared" si="159"/>
        <v>0</v>
      </c>
    </row>
    <row r="2005" spans="2:12" x14ac:dyDescent="0.2">
      <c r="B2005">
        <v>11022</v>
      </c>
      <c r="C2005">
        <v>19</v>
      </c>
      <c r="D2005" s="84">
        <v>9.1999999999999993</v>
      </c>
      <c r="E2005">
        <v>35</v>
      </c>
      <c r="F2005" s="85">
        <v>0</v>
      </c>
      <c r="G2005" s="86">
        <f t="shared" si="155"/>
        <v>322</v>
      </c>
      <c r="H2005" s="86">
        <f t="shared" si="156"/>
        <v>0</v>
      </c>
      <c r="I2005" s="86">
        <f t="shared" si="157"/>
        <v>322</v>
      </c>
      <c r="J2005" s="84">
        <f>VLOOKUP(C2005, Products[], 6)</f>
        <v>9.1999999999999993</v>
      </c>
      <c r="K2005" s="86">
        <f t="shared" si="158"/>
        <v>322</v>
      </c>
      <c r="L2005" s="86">
        <f t="shared" si="159"/>
        <v>0</v>
      </c>
    </row>
    <row r="2006" spans="2:12" x14ac:dyDescent="0.2">
      <c r="B2006">
        <v>11022</v>
      </c>
      <c r="C2006">
        <v>69</v>
      </c>
      <c r="D2006" s="84">
        <v>36</v>
      </c>
      <c r="E2006">
        <v>30</v>
      </c>
      <c r="F2006" s="85">
        <v>0</v>
      </c>
      <c r="G2006" s="86">
        <f t="shared" si="155"/>
        <v>1080</v>
      </c>
      <c r="H2006" s="86">
        <f t="shared" si="156"/>
        <v>0</v>
      </c>
      <c r="I2006" s="86">
        <f t="shared" si="157"/>
        <v>1080</v>
      </c>
      <c r="J2006" s="84">
        <f>VLOOKUP(C2006, Products[], 6)</f>
        <v>36</v>
      </c>
      <c r="K2006" s="86">
        <f t="shared" si="158"/>
        <v>1080</v>
      </c>
      <c r="L2006" s="86">
        <f t="shared" si="159"/>
        <v>0</v>
      </c>
    </row>
    <row r="2007" spans="2:12" x14ac:dyDescent="0.2">
      <c r="B2007">
        <v>11023</v>
      </c>
      <c r="C2007">
        <v>7</v>
      </c>
      <c r="D2007" s="84">
        <v>30</v>
      </c>
      <c r="E2007">
        <v>4</v>
      </c>
      <c r="F2007" s="85">
        <v>0</v>
      </c>
      <c r="G2007" s="86">
        <f t="shared" si="155"/>
        <v>120</v>
      </c>
      <c r="H2007" s="86">
        <f t="shared" si="156"/>
        <v>0</v>
      </c>
      <c r="I2007" s="86">
        <f t="shared" si="157"/>
        <v>120</v>
      </c>
      <c r="J2007" s="84">
        <f>VLOOKUP(C2007, Products[], 6)</f>
        <v>30</v>
      </c>
      <c r="K2007" s="86">
        <f t="shared" si="158"/>
        <v>120</v>
      </c>
      <c r="L2007" s="86">
        <f t="shared" si="159"/>
        <v>0</v>
      </c>
    </row>
    <row r="2008" spans="2:12" x14ac:dyDescent="0.2">
      <c r="B2008">
        <v>11023</v>
      </c>
      <c r="C2008">
        <v>43</v>
      </c>
      <c r="D2008" s="84">
        <v>46</v>
      </c>
      <c r="E2008">
        <v>30</v>
      </c>
      <c r="F2008" s="85">
        <v>0</v>
      </c>
      <c r="G2008" s="86">
        <f t="shared" si="155"/>
        <v>1380</v>
      </c>
      <c r="H2008" s="86">
        <f t="shared" si="156"/>
        <v>0</v>
      </c>
      <c r="I2008" s="86">
        <f t="shared" si="157"/>
        <v>1380</v>
      </c>
      <c r="J2008" s="84">
        <f>VLOOKUP(C2008, Products[], 6)</f>
        <v>46</v>
      </c>
      <c r="K2008" s="86">
        <f t="shared" si="158"/>
        <v>1380</v>
      </c>
      <c r="L2008" s="86">
        <f t="shared" si="159"/>
        <v>0</v>
      </c>
    </row>
    <row r="2009" spans="2:12" x14ac:dyDescent="0.2">
      <c r="B2009">
        <v>11024</v>
      </c>
      <c r="C2009">
        <v>26</v>
      </c>
      <c r="D2009" s="84">
        <v>31.23</v>
      </c>
      <c r="E2009">
        <v>12</v>
      </c>
      <c r="F2009" s="85">
        <v>0</v>
      </c>
      <c r="G2009" s="86">
        <f t="shared" si="155"/>
        <v>374.76</v>
      </c>
      <c r="H2009" s="86">
        <f t="shared" si="156"/>
        <v>0</v>
      </c>
      <c r="I2009" s="86">
        <f t="shared" si="157"/>
        <v>374.76</v>
      </c>
      <c r="J2009" s="84">
        <f>VLOOKUP(C2009, Products[], 6)</f>
        <v>31.23</v>
      </c>
      <c r="K2009" s="86">
        <f t="shared" si="158"/>
        <v>374.76</v>
      </c>
      <c r="L2009" s="86">
        <f t="shared" si="159"/>
        <v>0</v>
      </c>
    </row>
    <row r="2010" spans="2:12" x14ac:dyDescent="0.2">
      <c r="B2010">
        <v>11024</v>
      </c>
      <c r="C2010">
        <v>33</v>
      </c>
      <c r="D2010" s="84">
        <v>2.5</v>
      </c>
      <c r="E2010">
        <v>30</v>
      </c>
      <c r="F2010" s="85">
        <v>0</v>
      </c>
      <c r="G2010" s="86">
        <f t="shared" si="155"/>
        <v>75</v>
      </c>
      <c r="H2010" s="86">
        <f t="shared" si="156"/>
        <v>0</v>
      </c>
      <c r="I2010" s="86">
        <f t="shared" si="157"/>
        <v>75</v>
      </c>
      <c r="J2010" s="84">
        <f>VLOOKUP(C2010, Products[], 6)</f>
        <v>2.5</v>
      </c>
      <c r="K2010" s="86">
        <f t="shared" si="158"/>
        <v>75</v>
      </c>
      <c r="L2010" s="86">
        <f t="shared" si="159"/>
        <v>0</v>
      </c>
    </row>
    <row r="2011" spans="2:12" x14ac:dyDescent="0.2">
      <c r="B2011">
        <v>11024</v>
      </c>
      <c r="C2011">
        <v>65</v>
      </c>
      <c r="D2011" s="84">
        <v>21.05</v>
      </c>
      <c r="E2011">
        <v>21</v>
      </c>
      <c r="F2011" s="85">
        <v>0</v>
      </c>
      <c r="G2011" s="86">
        <f t="shared" si="155"/>
        <v>442.05</v>
      </c>
      <c r="H2011" s="86">
        <f t="shared" si="156"/>
        <v>0</v>
      </c>
      <c r="I2011" s="86">
        <f t="shared" si="157"/>
        <v>442.05</v>
      </c>
      <c r="J2011" s="84">
        <f>VLOOKUP(C2011, Products[], 6)</f>
        <v>21.05</v>
      </c>
      <c r="K2011" s="86">
        <f t="shared" si="158"/>
        <v>442.05</v>
      </c>
      <c r="L2011" s="86">
        <f t="shared" si="159"/>
        <v>0</v>
      </c>
    </row>
    <row r="2012" spans="2:12" x14ac:dyDescent="0.2">
      <c r="B2012">
        <v>11024</v>
      </c>
      <c r="C2012">
        <v>71</v>
      </c>
      <c r="D2012" s="84">
        <v>21.5</v>
      </c>
      <c r="E2012">
        <v>50</v>
      </c>
      <c r="F2012" s="85">
        <v>0</v>
      </c>
      <c r="G2012" s="86">
        <f t="shared" si="155"/>
        <v>1075</v>
      </c>
      <c r="H2012" s="86">
        <f t="shared" si="156"/>
        <v>0</v>
      </c>
      <c r="I2012" s="86">
        <f t="shared" si="157"/>
        <v>1075</v>
      </c>
      <c r="J2012" s="84">
        <f>VLOOKUP(C2012, Products[], 6)</f>
        <v>21.5</v>
      </c>
      <c r="K2012" s="86">
        <f t="shared" si="158"/>
        <v>1075</v>
      </c>
      <c r="L2012" s="86">
        <f t="shared" si="159"/>
        <v>0</v>
      </c>
    </row>
    <row r="2013" spans="2:12" x14ac:dyDescent="0.2">
      <c r="B2013">
        <v>11025</v>
      </c>
      <c r="C2013">
        <v>1</v>
      </c>
      <c r="D2013" s="84">
        <v>18</v>
      </c>
      <c r="E2013">
        <v>10</v>
      </c>
      <c r="F2013" s="85">
        <v>0.1</v>
      </c>
      <c r="G2013" s="86">
        <f t="shared" si="155"/>
        <v>180</v>
      </c>
      <c r="H2013" s="86">
        <f t="shared" si="156"/>
        <v>18</v>
      </c>
      <c r="I2013" s="86">
        <f t="shared" si="157"/>
        <v>162</v>
      </c>
      <c r="J2013" s="84">
        <f>VLOOKUP(C2013, Products[], 6)</f>
        <v>18</v>
      </c>
      <c r="K2013" s="86">
        <f t="shared" si="158"/>
        <v>180</v>
      </c>
      <c r="L2013" s="86">
        <f t="shared" si="159"/>
        <v>-18</v>
      </c>
    </row>
    <row r="2014" spans="2:12" x14ac:dyDescent="0.2">
      <c r="B2014">
        <v>11025</v>
      </c>
      <c r="C2014">
        <v>13</v>
      </c>
      <c r="D2014" s="84">
        <v>6</v>
      </c>
      <c r="E2014">
        <v>20</v>
      </c>
      <c r="F2014" s="85">
        <v>0.1</v>
      </c>
      <c r="G2014" s="86">
        <f t="shared" si="155"/>
        <v>120</v>
      </c>
      <c r="H2014" s="86">
        <f t="shared" si="156"/>
        <v>12</v>
      </c>
      <c r="I2014" s="86">
        <f t="shared" si="157"/>
        <v>108</v>
      </c>
      <c r="J2014" s="84">
        <f>VLOOKUP(C2014, Products[], 6)</f>
        <v>6</v>
      </c>
      <c r="K2014" s="86">
        <f t="shared" si="158"/>
        <v>120</v>
      </c>
      <c r="L2014" s="86">
        <f t="shared" si="159"/>
        <v>-12</v>
      </c>
    </row>
    <row r="2015" spans="2:12" x14ac:dyDescent="0.2">
      <c r="B2015">
        <v>11026</v>
      </c>
      <c r="C2015">
        <v>18</v>
      </c>
      <c r="D2015" s="84">
        <v>62.5</v>
      </c>
      <c r="E2015">
        <v>8</v>
      </c>
      <c r="F2015" s="85">
        <v>0</v>
      </c>
      <c r="G2015" s="86">
        <f t="shared" si="155"/>
        <v>500</v>
      </c>
      <c r="H2015" s="86">
        <f t="shared" si="156"/>
        <v>0</v>
      </c>
      <c r="I2015" s="86">
        <f t="shared" si="157"/>
        <v>500</v>
      </c>
      <c r="J2015" s="84">
        <f>VLOOKUP(C2015, Products[], 6)</f>
        <v>62.5</v>
      </c>
      <c r="K2015" s="86">
        <f t="shared" si="158"/>
        <v>500</v>
      </c>
      <c r="L2015" s="86">
        <f t="shared" si="159"/>
        <v>0</v>
      </c>
    </row>
    <row r="2016" spans="2:12" x14ac:dyDescent="0.2">
      <c r="B2016">
        <v>11026</v>
      </c>
      <c r="C2016">
        <v>51</v>
      </c>
      <c r="D2016" s="84">
        <v>53</v>
      </c>
      <c r="E2016">
        <v>10</v>
      </c>
      <c r="F2016" s="85">
        <v>0</v>
      </c>
      <c r="G2016" s="86">
        <f t="shared" si="155"/>
        <v>530</v>
      </c>
      <c r="H2016" s="86">
        <f t="shared" si="156"/>
        <v>0</v>
      </c>
      <c r="I2016" s="86">
        <f t="shared" si="157"/>
        <v>530</v>
      </c>
      <c r="J2016" s="84">
        <f>VLOOKUP(C2016, Products[], 6)</f>
        <v>53</v>
      </c>
      <c r="K2016" s="86">
        <f t="shared" si="158"/>
        <v>530</v>
      </c>
      <c r="L2016" s="86">
        <f t="shared" si="159"/>
        <v>0</v>
      </c>
    </row>
    <row r="2017" spans="2:12" x14ac:dyDescent="0.2">
      <c r="B2017">
        <v>11027</v>
      </c>
      <c r="C2017">
        <v>24</v>
      </c>
      <c r="D2017" s="84">
        <v>4.5</v>
      </c>
      <c r="E2017">
        <v>30</v>
      </c>
      <c r="F2017" s="85">
        <v>0.25</v>
      </c>
      <c r="G2017" s="86">
        <f t="shared" si="155"/>
        <v>135</v>
      </c>
      <c r="H2017" s="86">
        <f t="shared" si="156"/>
        <v>33.75</v>
      </c>
      <c r="I2017" s="86">
        <f t="shared" si="157"/>
        <v>101.25</v>
      </c>
      <c r="J2017" s="84">
        <f>VLOOKUP(C2017, Products[], 6)</f>
        <v>4.5</v>
      </c>
      <c r="K2017" s="86">
        <f t="shared" si="158"/>
        <v>135</v>
      </c>
      <c r="L2017" s="86">
        <f t="shared" si="159"/>
        <v>-33.75</v>
      </c>
    </row>
    <row r="2018" spans="2:12" x14ac:dyDescent="0.2">
      <c r="B2018">
        <v>11027</v>
      </c>
      <c r="C2018">
        <v>62</v>
      </c>
      <c r="D2018" s="84">
        <v>49.3</v>
      </c>
      <c r="E2018">
        <v>21</v>
      </c>
      <c r="F2018" s="85">
        <v>0.25</v>
      </c>
      <c r="G2018" s="86">
        <f t="shared" si="155"/>
        <v>1035.3</v>
      </c>
      <c r="H2018" s="86">
        <f t="shared" si="156"/>
        <v>258.82499999999999</v>
      </c>
      <c r="I2018" s="86">
        <f t="shared" si="157"/>
        <v>776.47499999999991</v>
      </c>
      <c r="J2018" s="84">
        <f>VLOOKUP(C2018, Products[], 6)</f>
        <v>49.3</v>
      </c>
      <c r="K2018" s="86">
        <f t="shared" si="158"/>
        <v>1035.3</v>
      </c>
      <c r="L2018" s="86">
        <f t="shared" si="159"/>
        <v>-258.82500000000005</v>
      </c>
    </row>
    <row r="2019" spans="2:12" x14ac:dyDescent="0.2">
      <c r="B2019">
        <v>11028</v>
      </c>
      <c r="C2019">
        <v>55</v>
      </c>
      <c r="D2019" s="84">
        <v>24</v>
      </c>
      <c r="E2019">
        <v>35</v>
      </c>
      <c r="F2019" s="85">
        <v>0</v>
      </c>
      <c r="G2019" s="86">
        <f t="shared" si="155"/>
        <v>840</v>
      </c>
      <c r="H2019" s="86">
        <f t="shared" si="156"/>
        <v>0</v>
      </c>
      <c r="I2019" s="86">
        <f t="shared" si="157"/>
        <v>840</v>
      </c>
      <c r="J2019" s="84">
        <f>VLOOKUP(C2019, Products[], 6)</f>
        <v>24</v>
      </c>
      <c r="K2019" s="86">
        <f t="shared" si="158"/>
        <v>840</v>
      </c>
      <c r="L2019" s="86">
        <f t="shared" si="159"/>
        <v>0</v>
      </c>
    </row>
    <row r="2020" spans="2:12" x14ac:dyDescent="0.2">
      <c r="B2020">
        <v>11028</v>
      </c>
      <c r="C2020">
        <v>59</v>
      </c>
      <c r="D2020" s="84">
        <v>55</v>
      </c>
      <c r="E2020">
        <v>24</v>
      </c>
      <c r="F2020" s="85">
        <v>0</v>
      </c>
      <c r="G2020" s="86">
        <f t="shared" si="155"/>
        <v>1320</v>
      </c>
      <c r="H2020" s="86">
        <f t="shared" si="156"/>
        <v>0</v>
      </c>
      <c r="I2020" s="86">
        <f t="shared" si="157"/>
        <v>1320</v>
      </c>
      <c r="J2020" s="84">
        <f>VLOOKUP(C2020, Products[], 6)</f>
        <v>55</v>
      </c>
      <c r="K2020" s="86">
        <f t="shared" si="158"/>
        <v>1320</v>
      </c>
      <c r="L2020" s="86">
        <f t="shared" si="159"/>
        <v>0</v>
      </c>
    </row>
    <row r="2021" spans="2:12" x14ac:dyDescent="0.2">
      <c r="B2021">
        <v>11029</v>
      </c>
      <c r="C2021">
        <v>56</v>
      </c>
      <c r="D2021" s="84">
        <v>38</v>
      </c>
      <c r="E2021">
        <v>20</v>
      </c>
      <c r="F2021" s="85">
        <v>0</v>
      </c>
      <c r="G2021" s="86">
        <f t="shared" si="155"/>
        <v>760</v>
      </c>
      <c r="H2021" s="86">
        <f t="shared" si="156"/>
        <v>0</v>
      </c>
      <c r="I2021" s="86">
        <f t="shared" si="157"/>
        <v>760</v>
      </c>
      <c r="J2021" s="84">
        <f>VLOOKUP(C2021, Products[], 6)</f>
        <v>38</v>
      </c>
      <c r="K2021" s="86">
        <f t="shared" si="158"/>
        <v>760</v>
      </c>
      <c r="L2021" s="86">
        <f t="shared" si="159"/>
        <v>0</v>
      </c>
    </row>
    <row r="2022" spans="2:12" x14ac:dyDescent="0.2">
      <c r="B2022">
        <v>11029</v>
      </c>
      <c r="C2022">
        <v>63</v>
      </c>
      <c r="D2022" s="84">
        <v>43.9</v>
      </c>
      <c r="E2022">
        <v>12</v>
      </c>
      <c r="F2022" s="85">
        <v>0</v>
      </c>
      <c r="G2022" s="86">
        <f t="shared" si="155"/>
        <v>526.79999999999995</v>
      </c>
      <c r="H2022" s="86">
        <f t="shared" si="156"/>
        <v>0</v>
      </c>
      <c r="I2022" s="86">
        <f t="shared" si="157"/>
        <v>526.79999999999995</v>
      </c>
      <c r="J2022" s="84">
        <f>VLOOKUP(C2022, Products[], 6)</f>
        <v>43.9</v>
      </c>
      <c r="K2022" s="86">
        <f t="shared" si="158"/>
        <v>526.79999999999995</v>
      </c>
      <c r="L2022" s="86">
        <f t="shared" si="159"/>
        <v>0</v>
      </c>
    </row>
    <row r="2023" spans="2:12" x14ac:dyDescent="0.2">
      <c r="B2023">
        <v>11030</v>
      </c>
      <c r="C2023">
        <v>2</v>
      </c>
      <c r="D2023" s="84">
        <v>19</v>
      </c>
      <c r="E2023">
        <v>100</v>
      </c>
      <c r="F2023" s="85">
        <v>0.25</v>
      </c>
      <c r="G2023" s="86">
        <f t="shared" si="155"/>
        <v>1900</v>
      </c>
      <c r="H2023" s="86">
        <f t="shared" si="156"/>
        <v>475</v>
      </c>
      <c r="I2023" s="86">
        <f t="shared" si="157"/>
        <v>1425</v>
      </c>
      <c r="J2023" s="84">
        <f>VLOOKUP(C2023, Products[], 6)</f>
        <v>19</v>
      </c>
      <c r="K2023" s="86">
        <f t="shared" si="158"/>
        <v>1900</v>
      </c>
      <c r="L2023" s="86">
        <f t="shared" si="159"/>
        <v>-475</v>
      </c>
    </row>
    <row r="2024" spans="2:12" x14ac:dyDescent="0.2">
      <c r="B2024">
        <v>11030</v>
      </c>
      <c r="C2024">
        <v>5</v>
      </c>
      <c r="D2024" s="84">
        <v>21.35</v>
      </c>
      <c r="E2024">
        <v>70</v>
      </c>
      <c r="F2024" s="85">
        <v>0</v>
      </c>
      <c r="G2024" s="86">
        <f t="shared" si="155"/>
        <v>1494.5</v>
      </c>
      <c r="H2024" s="86">
        <f t="shared" si="156"/>
        <v>0</v>
      </c>
      <c r="I2024" s="86">
        <f t="shared" si="157"/>
        <v>1494.5</v>
      </c>
      <c r="J2024" s="84">
        <f>VLOOKUP(C2024, Products[], 6)</f>
        <v>21.35</v>
      </c>
      <c r="K2024" s="86">
        <f t="shared" si="158"/>
        <v>1494.5</v>
      </c>
      <c r="L2024" s="86">
        <f t="shared" si="159"/>
        <v>0</v>
      </c>
    </row>
    <row r="2025" spans="2:12" x14ac:dyDescent="0.2">
      <c r="B2025">
        <v>11030</v>
      </c>
      <c r="C2025">
        <v>29</v>
      </c>
      <c r="D2025" s="84">
        <v>123.79</v>
      </c>
      <c r="E2025">
        <v>60</v>
      </c>
      <c r="F2025" s="85">
        <v>0.25</v>
      </c>
      <c r="G2025" s="86">
        <f t="shared" si="155"/>
        <v>7427.4000000000005</v>
      </c>
      <c r="H2025" s="86">
        <f t="shared" si="156"/>
        <v>1856.8500000000001</v>
      </c>
      <c r="I2025" s="86">
        <f t="shared" si="157"/>
        <v>5570.55</v>
      </c>
      <c r="J2025" s="84">
        <f>VLOOKUP(C2025, Products[], 6)</f>
        <v>123.79</v>
      </c>
      <c r="K2025" s="86">
        <f t="shared" si="158"/>
        <v>7427.4000000000005</v>
      </c>
      <c r="L2025" s="86">
        <f t="shared" si="159"/>
        <v>-1856.8500000000004</v>
      </c>
    </row>
    <row r="2026" spans="2:12" x14ac:dyDescent="0.2">
      <c r="B2026">
        <v>11030</v>
      </c>
      <c r="C2026">
        <v>59</v>
      </c>
      <c r="D2026" s="84">
        <v>55</v>
      </c>
      <c r="E2026">
        <v>100</v>
      </c>
      <c r="F2026" s="85">
        <v>0.25</v>
      </c>
      <c r="G2026" s="86">
        <f t="shared" si="155"/>
        <v>5500</v>
      </c>
      <c r="H2026" s="86">
        <f t="shared" si="156"/>
        <v>1375</v>
      </c>
      <c r="I2026" s="86">
        <f t="shared" si="157"/>
        <v>4125</v>
      </c>
      <c r="J2026" s="84">
        <f>VLOOKUP(C2026, Products[], 6)</f>
        <v>55</v>
      </c>
      <c r="K2026" s="86">
        <f t="shared" si="158"/>
        <v>5500</v>
      </c>
      <c r="L2026" s="86">
        <f t="shared" si="159"/>
        <v>-1375</v>
      </c>
    </row>
    <row r="2027" spans="2:12" x14ac:dyDescent="0.2">
      <c r="B2027">
        <v>11031</v>
      </c>
      <c r="C2027">
        <v>1</v>
      </c>
      <c r="D2027" s="84">
        <v>18</v>
      </c>
      <c r="E2027">
        <v>45</v>
      </c>
      <c r="F2027" s="85">
        <v>0</v>
      </c>
      <c r="G2027" s="86">
        <f t="shared" si="155"/>
        <v>810</v>
      </c>
      <c r="H2027" s="86">
        <f t="shared" si="156"/>
        <v>0</v>
      </c>
      <c r="I2027" s="86">
        <f t="shared" si="157"/>
        <v>810</v>
      </c>
      <c r="J2027" s="84">
        <f>VLOOKUP(C2027, Products[], 6)</f>
        <v>18</v>
      </c>
      <c r="K2027" s="86">
        <f t="shared" si="158"/>
        <v>810</v>
      </c>
      <c r="L2027" s="86">
        <f t="shared" si="159"/>
        <v>0</v>
      </c>
    </row>
    <row r="2028" spans="2:12" x14ac:dyDescent="0.2">
      <c r="B2028">
        <v>11031</v>
      </c>
      <c r="C2028">
        <v>13</v>
      </c>
      <c r="D2028" s="84">
        <v>6</v>
      </c>
      <c r="E2028">
        <v>80</v>
      </c>
      <c r="F2028" s="85">
        <v>0</v>
      </c>
      <c r="G2028" s="86">
        <f t="shared" si="155"/>
        <v>480</v>
      </c>
      <c r="H2028" s="86">
        <f t="shared" si="156"/>
        <v>0</v>
      </c>
      <c r="I2028" s="86">
        <f t="shared" si="157"/>
        <v>480</v>
      </c>
      <c r="J2028" s="84">
        <f>VLOOKUP(C2028, Products[], 6)</f>
        <v>6</v>
      </c>
      <c r="K2028" s="86">
        <f t="shared" si="158"/>
        <v>480</v>
      </c>
      <c r="L2028" s="86">
        <f t="shared" si="159"/>
        <v>0</v>
      </c>
    </row>
    <row r="2029" spans="2:12" x14ac:dyDescent="0.2">
      <c r="B2029">
        <v>11031</v>
      </c>
      <c r="C2029">
        <v>24</v>
      </c>
      <c r="D2029" s="84">
        <v>4.5</v>
      </c>
      <c r="E2029">
        <v>21</v>
      </c>
      <c r="F2029" s="85">
        <v>0</v>
      </c>
      <c r="G2029" s="86">
        <f t="shared" si="155"/>
        <v>94.5</v>
      </c>
      <c r="H2029" s="86">
        <f t="shared" si="156"/>
        <v>0</v>
      </c>
      <c r="I2029" s="86">
        <f t="shared" si="157"/>
        <v>94.5</v>
      </c>
      <c r="J2029" s="84">
        <f>VLOOKUP(C2029, Products[], 6)</f>
        <v>4.5</v>
      </c>
      <c r="K2029" s="86">
        <f t="shared" si="158"/>
        <v>94.5</v>
      </c>
      <c r="L2029" s="86">
        <f t="shared" si="159"/>
        <v>0</v>
      </c>
    </row>
    <row r="2030" spans="2:12" x14ac:dyDescent="0.2">
      <c r="B2030">
        <v>11031</v>
      </c>
      <c r="C2030">
        <v>64</v>
      </c>
      <c r="D2030" s="84">
        <v>33.25</v>
      </c>
      <c r="E2030">
        <v>20</v>
      </c>
      <c r="F2030" s="85">
        <v>0</v>
      </c>
      <c r="G2030" s="86">
        <f t="shared" si="155"/>
        <v>665</v>
      </c>
      <c r="H2030" s="86">
        <f t="shared" si="156"/>
        <v>0</v>
      </c>
      <c r="I2030" s="86">
        <f t="shared" si="157"/>
        <v>665</v>
      </c>
      <c r="J2030" s="84">
        <f>VLOOKUP(C2030, Products[], 6)</f>
        <v>33.25</v>
      </c>
      <c r="K2030" s="86">
        <f t="shared" si="158"/>
        <v>665</v>
      </c>
      <c r="L2030" s="86">
        <f t="shared" si="159"/>
        <v>0</v>
      </c>
    </row>
    <row r="2031" spans="2:12" x14ac:dyDescent="0.2">
      <c r="B2031">
        <v>11031</v>
      </c>
      <c r="C2031">
        <v>71</v>
      </c>
      <c r="D2031" s="84">
        <v>21.5</v>
      </c>
      <c r="E2031">
        <v>16</v>
      </c>
      <c r="F2031" s="85">
        <v>0</v>
      </c>
      <c r="G2031" s="86">
        <f t="shared" si="155"/>
        <v>344</v>
      </c>
      <c r="H2031" s="86">
        <f t="shared" si="156"/>
        <v>0</v>
      </c>
      <c r="I2031" s="86">
        <f t="shared" si="157"/>
        <v>344</v>
      </c>
      <c r="J2031" s="84">
        <f>VLOOKUP(C2031, Products[], 6)</f>
        <v>21.5</v>
      </c>
      <c r="K2031" s="86">
        <f t="shared" si="158"/>
        <v>344</v>
      </c>
      <c r="L2031" s="86">
        <f t="shared" si="159"/>
        <v>0</v>
      </c>
    </row>
    <row r="2032" spans="2:12" x14ac:dyDescent="0.2">
      <c r="B2032">
        <v>11032</v>
      </c>
      <c r="C2032">
        <v>36</v>
      </c>
      <c r="D2032" s="84">
        <v>19</v>
      </c>
      <c r="E2032">
        <v>35</v>
      </c>
      <c r="F2032" s="85">
        <v>0</v>
      </c>
      <c r="G2032" s="86">
        <f t="shared" si="155"/>
        <v>665</v>
      </c>
      <c r="H2032" s="86">
        <f t="shared" si="156"/>
        <v>0</v>
      </c>
      <c r="I2032" s="86">
        <f t="shared" si="157"/>
        <v>665</v>
      </c>
      <c r="J2032" s="84">
        <f>VLOOKUP(C2032, Products[], 6)</f>
        <v>19</v>
      </c>
      <c r="K2032" s="86">
        <f t="shared" si="158"/>
        <v>665</v>
      </c>
      <c r="L2032" s="86">
        <f t="shared" si="159"/>
        <v>0</v>
      </c>
    </row>
    <row r="2033" spans="2:12" x14ac:dyDescent="0.2">
      <c r="B2033">
        <v>11032</v>
      </c>
      <c r="C2033">
        <v>38</v>
      </c>
      <c r="D2033" s="84">
        <v>263.5</v>
      </c>
      <c r="E2033">
        <v>25</v>
      </c>
      <c r="F2033" s="85">
        <v>0</v>
      </c>
      <c r="G2033" s="86">
        <f t="shared" si="155"/>
        <v>6587.5</v>
      </c>
      <c r="H2033" s="86">
        <f t="shared" si="156"/>
        <v>0</v>
      </c>
      <c r="I2033" s="86">
        <f t="shared" si="157"/>
        <v>6587.5</v>
      </c>
      <c r="J2033" s="84">
        <f>VLOOKUP(C2033, Products[], 6)</f>
        <v>263.5</v>
      </c>
      <c r="K2033" s="86">
        <f t="shared" si="158"/>
        <v>6587.5</v>
      </c>
      <c r="L2033" s="86">
        <f t="shared" si="159"/>
        <v>0</v>
      </c>
    </row>
    <row r="2034" spans="2:12" x14ac:dyDescent="0.2">
      <c r="B2034">
        <v>11032</v>
      </c>
      <c r="C2034">
        <v>59</v>
      </c>
      <c r="D2034" s="84">
        <v>55</v>
      </c>
      <c r="E2034">
        <v>30</v>
      </c>
      <c r="F2034" s="85">
        <v>0</v>
      </c>
      <c r="G2034" s="86">
        <f t="shared" si="155"/>
        <v>1650</v>
      </c>
      <c r="H2034" s="86">
        <f t="shared" si="156"/>
        <v>0</v>
      </c>
      <c r="I2034" s="86">
        <f t="shared" si="157"/>
        <v>1650</v>
      </c>
      <c r="J2034" s="84">
        <f>VLOOKUP(C2034, Products[], 6)</f>
        <v>55</v>
      </c>
      <c r="K2034" s="86">
        <f t="shared" si="158"/>
        <v>1650</v>
      </c>
      <c r="L2034" s="86">
        <f t="shared" si="159"/>
        <v>0</v>
      </c>
    </row>
    <row r="2035" spans="2:12" x14ac:dyDescent="0.2">
      <c r="B2035">
        <v>11033</v>
      </c>
      <c r="C2035">
        <v>53</v>
      </c>
      <c r="D2035" s="84">
        <v>32.799999999999997</v>
      </c>
      <c r="E2035">
        <v>70</v>
      </c>
      <c r="F2035" s="85">
        <v>0.1</v>
      </c>
      <c r="G2035" s="86">
        <f t="shared" si="155"/>
        <v>2296</v>
      </c>
      <c r="H2035" s="86">
        <f t="shared" si="156"/>
        <v>229.60000000000002</v>
      </c>
      <c r="I2035" s="86">
        <f t="shared" si="157"/>
        <v>2066.4</v>
      </c>
      <c r="J2035" s="84">
        <f>VLOOKUP(C2035, Products[], 6)</f>
        <v>32.799999999999997</v>
      </c>
      <c r="K2035" s="86">
        <f t="shared" si="158"/>
        <v>2296</v>
      </c>
      <c r="L2035" s="86">
        <f t="shared" si="159"/>
        <v>-229.59999999999991</v>
      </c>
    </row>
    <row r="2036" spans="2:12" x14ac:dyDescent="0.2">
      <c r="B2036">
        <v>11033</v>
      </c>
      <c r="C2036">
        <v>69</v>
      </c>
      <c r="D2036" s="84">
        <v>36</v>
      </c>
      <c r="E2036">
        <v>36</v>
      </c>
      <c r="F2036" s="85">
        <v>0.1</v>
      </c>
      <c r="G2036" s="86">
        <f t="shared" si="155"/>
        <v>1296</v>
      </c>
      <c r="H2036" s="86">
        <f t="shared" si="156"/>
        <v>129.6</v>
      </c>
      <c r="I2036" s="86">
        <f t="shared" si="157"/>
        <v>1166.4000000000001</v>
      </c>
      <c r="J2036" s="84">
        <f>VLOOKUP(C2036, Products[], 6)</f>
        <v>36</v>
      </c>
      <c r="K2036" s="86">
        <f t="shared" si="158"/>
        <v>1296</v>
      </c>
      <c r="L2036" s="86">
        <f t="shared" si="159"/>
        <v>-129.59999999999991</v>
      </c>
    </row>
    <row r="2037" spans="2:12" x14ac:dyDescent="0.2">
      <c r="B2037">
        <v>11034</v>
      </c>
      <c r="C2037">
        <v>21</v>
      </c>
      <c r="D2037" s="84">
        <v>10</v>
      </c>
      <c r="E2037">
        <v>15</v>
      </c>
      <c r="F2037" s="85">
        <v>0.1</v>
      </c>
      <c r="G2037" s="86">
        <f t="shared" si="155"/>
        <v>150</v>
      </c>
      <c r="H2037" s="86">
        <f t="shared" si="156"/>
        <v>15</v>
      </c>
      <c r="I2037" s="86">
        <f t="shared" si="157"/>
        <v>135</v>
      </c>
      <c r="J2037" s="84">
        <f>VLOOKUP(C2037, Products[], 6)</f>
        <v>10</v>
      </c>
      <c r="K2037" s="86">
        <f t="shared" si="158"/>
        <v>150</v>
      </c>
      <c r="L2037" s="86">
        <f t="shared" si="159"/>
        <v>-15</v>
      </c>
    </row>
    <row r="2038" spans="2:12" x14ac:dyDescent="0.2">
      <c r="B2038">
        <v>11034</v>
      </c>
      <c r="C2038">
        <v>44</v>
      </c>
      <c r="D2038" s="84">
        <v>19.45</v>
      </c>
      <c r="E2038">
        <v>12</v>
      </c>
      <c r="F2038" s="85">
        <v>0</v>
      </c>
      <c r="G2038" s="86">
        <f t="shared" si="155"/>
        <v>233.39999999999998</v>
      </c>
      <c r="H2038" s="86">
        <f t="shared" si="156"/>
        <v>0</v>
      </c>
      <c r="I2038" s="86">
        <f t="shared" si="157"/>
        <v>233.39999999999998</v>
      </c>
      <c r="J2038" s="84">
        <f>VLOOKUP(C2038, Products[], 6)</f>
        <v>19.45</v>
      </c>
      <c r="K2038" s="86">
        <f t="shared" si="158"/>
        <v>233.39999999999998</v>
      </c>
      <c r="L2038" s="86">
        <f t="shared" si="159"/>
        <v>0</v>
      </c>
    </row>
    <row r="2039" spans="2:12" x14ac:dyDescent="0.2">
      <c r="B2039">
        <v>11034</v>
      </c>
      <c r="C2039">
        <v>61</v>
      </c>
      <c r="D2039" s="84">
        <v>28.5</v>
      </c>
      <c r="E2039">
        <v>6</v>
      </c>
      <c r="F2039" s="85">
        <v>0</v>
      </c>
      <c r="G2039" s="86">
        <f t="shared" si="155"/>
        <v>171</v>
      </c>
      <c r="H2039" s="86">
        <f t="shared" si="156"/>
        <v>0</v>
      </c>
      <c r="I2039" s="86">
        <f t="shared" si="157"/>
        <v>171</v>
      </c>
      <c r="J2039" s="84">
        <f>VLOOKUP(C2039, Products[], 6)</f>
        <v>28.5</v>
      </c>
      <c r="K2039" s="86">
        <f t="shared" si="158"/>
        <v>171</v>
      </c>
      <c r="L2039" s="86">
        <f t="shared" si="159"/>
        <v>0</v>
      </c>
    </row>
    <row r="2040" spans="2:12" x14ac:dyDescent="0.2">
      <c r="B2040">
        <v>11035</v>
      </c>
      <c r="C2040">
        <v>1</v>
      </c>
      <c r="D2040" s="84">
        <v>18</v>
      </c>
      <c r="E2040">
        <v>10</v>
      </c>
      <c r="F2040" s="85">
        <v>0</v>
      </c>
      <c r="G2040" s="86">
        <f t="shared" si="155"/>
        <v>180</v>
      </c>
      <c r="H2040" s="86">
        <f t="shared" si="156"/>
        <v>0</v>
      </c>
      <c r="I2040" s="86">
        <f t="shared" si="157"/>
        <v>180</v>
      </c>
      <c r="J2040" s="84">
        <f>VLOOKUP(C2040, Products[], 6)</f>
        <v>18</v>
      </c>
      <c r="K2040" s="86">
        <f t="shared" si="158"/>
        <v>180</v>
      </c>
      <c r="L2040" s="86">
        <f t="shared" si="159"/>
        <v>0</v>
      </c>
    </row>
    <row r="2041" spans="2:12" x14ac:dyDescent="0.2">
      <c r="B2041">
        <v>11035</v>
      </c>
      <c r="C2041">
        <v>35</v>
      </c>
      <c r="D2041" s="84">
        <v>18</v>
      </c>
      <c r="E2041">
        <v>60</v>
      </c>
      <c r="F2041" s="85">
        <v>0</v>
      </c>
      <c r="G2041" s="86">
        <f t="shared" si="155"/>
        <v>1080</v>
      </c>
      <c r="H2041" s="86">
        <f t="shared" si="156"/>
        <v>0</v>
      </c>
      <c r="I2041" s="86">
        <f t="shared" si="157"/>
        <v>1080</v>
      </c>
      <c r="J2041" s="84">
        <f>VLOOKUP(C2041, Products[], 6)</f>
        <v>18</v>
      </c>
      <c r="K2041" s="86">
        <f t="shared" si="158"/>
        <v>1080</v>
      </c>
      <c r="L2041" s="86">
        <f t="shared" si="159"/>
        <v>0</v>
      </c>
    </row>
    <row r="2042" spans="2:12" x14ac:dyDescent="0.2">
      <c r="B2042">
        <v>11035</v>
      </c>
      <c r="C2042">
        <v>42</v>
      </c>
      <c r="D2042" s="84">
        <v>14</v>
      </c>
      <c r="E2042">
        <v>30</v>
      </c>
      <c r="F2042" s="85">
        <v>0</v>
      </c>
      <c r="G2042" s="86">
        <f t="shared" si="155"/>
        <v>420</v>
      </c>
      <c r="H2042" s="86">
        <f t="shared" si="156"/>
        <v>0</v>
      </c>
      <c r="I2042" s="86">
        <f t="shared" si="157"/>
        <v>420</v>
      </c>
      <c r="J2042" s="84">
        <f>VLOOKUP(C2042, Products[], 6)</f>
        <v>14</v>
      </c>
      <c r="K2042" s="86">
        <f t="shared" si="158"/>
        <v>420</v>
      </c>
      <c r="L2042" s="86">
        <f t="shared" si="159"/>
        <v>0</v>
      </c>
    </row>
    <row r="2043" spans="2:12" x14ac:dyDescent="0.2">
      <c r="B2043">
        <v>11035</v>
      </c>
      <c r="C2043">
        <v>54</v>
      </c>
      <c r="D2043" s="84">
        <v>7.45</v>
      </c>
      <c r="E2043">
        <v>10</v>
      </c>
      <c r="F2043" s="85">
        <v>0</v>
      </c>
      <c r="G2043" s="86">
        <f t="shared" si="155"/>
        <v>74.5</v>
      </c>
      <c r="H2043" s="86">
        <f t="shared" si="156"/>
        <v>0</v>
      </c>
      <c r="I2043" s="86">
        <f t="shared" si="157"/>
        <v>74.5</v>
      </c>
      <c r="J2043" s="84">
        <f>VLOOKUP(C2043, Products[], 6)</f>
        <v>7.45</v>
      </c>
      <c r="K2043" s="86">
        <f t="shared" si="158"/>
        <v>74.5</v>
      </c>
      <c r="L2043" s="86">
        <f t="shared" si="159"/>
        <v>0</v>
      </c>
    </row>
    <row r="2044" spans="2:12" x14ac:dyDescent="0.2">
      <c r="B2044">
        <v>11036</v>
      </c>
      <c r="C2044">
        <v>13</v>
      </c>
      <c r="D2044" s="84">
        <v>6</v>
      </c>
      <c r="E2044">
        <v>7</v>
      </c>
      <c r="F2044" s="85">
        <v>0</v>
      </c>
      <c r="G2044" s="86">
        <f t="shared" si="155"/>
        <v>42</v>
      </c>
      <c r="H2044" s="86">
        <f t="shared" si="156"/>
        <v>0</v>
      </c>
      <c r="I2044" s="86">
        <f t="shared" si="157"/>
        <v>42</v>
      </c>
      <c r="J2044" s="84">
        <f>VLOOKUP(C2044, Products[], 6)</f>
        <v>6</v>
      </c>
      <c r="K2044" s="86">
        <f t="shared" si="158"/>
        <v>42</v>
      </c>
      <c r="L2044" s="86">
        <f t="shared" si="159"/>
        <v>0</v>
      </c>
    </row>
    <row r="2045" spans="2:12" x14ac:dyDescent="0.2">
      <c r="B2045">
        <v>11036</v>
      </c>
      <c r="C2045">
        <v>59</v>
      </c>
      <c r="D2045" s="84">
        <v>55</v>
      </c>
      <c r="E2045">
        <v>30</v>
      </c>
      <c r="F2045" s="85">
        <v>0</v>
      </c>
      <c r="G2045" s="86">
        <f t="shared" si="155"/>
        <v>1650</v>
      </c>
      <c r="H2045" s="86">
        <f t="shared" si="156"/>
        <v>0</v>
      </c>
      <c r="I2045" s="86">
        <f t="shared" si="157"/>
        <v>1650</v>
      </c>
      <c r="J2045" s="84">
        <f>VLOOKUP(C2045, Products[], 6)</f>
        <v>55</v>
      </c>
      <c r="K2045" s="86">
        <f t="shared" si="158"/>
        <v>1650</v>
      </c>
      <c r="L2045" s="86">
        <f t="shared" si="159"/>
        <v>0</v>
      </c>
    </row>
    <row r="2046" spans="2:12" x14ac:dyDescent="0.2">
      <c r="B2046">
        <v>11037</v>
      </c>
      <c r="C2046">
        <v>70</v>
      </c>
      <c r="D2046" s="84">
        <v>15</v>
      </c>
      <c r="E2046">
        <v>4</v>
      </c>
      <c r="F2046" s="85">
        <v>0</v>
      </c>
      <c r="G2046" s="86">
        <f t="shared" si="155"/>
        <v>60</v>
      </c>
      <c r="H2046" s="86">
        <f t="shared" si="156"/>
        <v>0</v>
      </c>
      <c r="I2046" s="86">
        <f t="shared" si="157"/>
        <v>60</v>
      </c>
      <c r="J2046" s="84">
        <f>VLOOKUP(C2046, Products[], 6)</f>
        <v>15</v>
      </c>
      <c r="K2046" s="86">
        <f t="shared" si="158"/>
        <v>60</v>
      </c>
      <c r="L2046" s="86">
        <f t="shared" si="159"/>
        <v>0</v>
      </c>
    </row>
    <row r="2047" spans="2:12" x14ac:dyDescent="0.2">
      <c r="B2047">
        <v>11038</v>
      </c>
      <c r="C2047">
        <v>40</v>
      </c>
      <c r="D2047" s="84">
        <v>18.399999999999999</v>
      </c>
      <c r="E2047">
        <v>5</v>
      </c>
      <c r="F2047" s="85">
        <v>0.2</v>
      </c>
      <c r="G2047" s="86">
        <f t="shared" si="155"/>
        <v>92</v>
      </c>
      <c r="H2047" s="86">
        <f t="shared" si="156"/>
        <v>18.400000000000002</v>
      </c>
      <c r="I2047" s="86">
        <f t="shared" si="157"/>
        <v>73.599999999999994</v>
      </c>
      <c r="J2047" s="84">
        <f>VLOOKUP(C2047, Products[], 6)</f>
        <v>18.399999999999999</v>
      </c>
      <c r="K2047" s="86">
        <f t="shared" si="158"/>
        <v>92</v>
      </c>
      <c r="L2047" s="86">
        <f t="shared" si="159"/>
        <v>-18.400000000000006</v>
      </c>
    </row>
    <row r="2048" spans="2:12" x14ac:dyDescent="0.2">
      <c r="B2048">
        <v>11038</v>
      </c>
      <c r="C2048">
        <v>52</v>
      </c>
      <c r="D2048" s="84">
        <v>7</v>
      </c>
      <c r="E2048">
        <v>2</v>
      </c>
      <c r="F2048" s="85">
        <v>0</v>
      </c>
      <c r="G2048" s="86">
        <f t="shared" si="155"/>
        <v>14</v>
      </c>
      <c r="H2048" s="86">
        <f t="shared" si="156"/>
        <v>0</v>
      </c>
      <c r="I2048" s="86">
        <f t="shared" si="157"/>
        <v>14</v>
      </c>
      <c r="J2048" s="84">
        <f>VLOOKUP(C2048, Products[], 6)</f>
        <v>7</v>
      </c>
      <c r="K2048" s="86">
        <f t="shared" si="158"/>
        <v>14</v>
      </c>
      <c r="L2048" s="86">
        <f t="shared" si="159"/>
        <v>0</v>
      </c>
    </row>
    <row r="2049" spans="2:12" x14ac:dyDescent="0.2">
      <c r="B2049">
        <v>11038</v>
      </c>
      <c r="C2049">
        <v>71</v>
      </c>
      <c r="D2049" s="84">
        <v>21.5</v>
      </c>
      <c r="E2049">
        <v>30</v>
      </c>
      <c r="F2049" s="85">
        <v>0</v>
      </c>
      <c r="G2049" s="86">
        <f t="shared" si="155"/>
        <v>645</v>
      </c>
      <c r="H2049" s="86">
        <f t="shared" si="156"/>
        <v>0</v>
      </c>
      <c r="I2049" s="86">
        <f t="shared" si="157"/>
        <v>645</v>
      </c>
      <c r="J2049" s="84">
        <f>VLOOKUP(C2049, Products[], 6)</f>
        <v>21.5</v>
      </c>
      <c r="K2049" s="86">
        <f t="shared" si="158"/>
        <v>645</v>
      </c>
      <c r="L2049" s="86">
        <f t="shared" si="159"/>
        <v>0</v>
      </c>
    </row>
    <row r="2050" spans="2:12" x14ac:dyDescent="0.2">
      <c r="B2050">
        <v>11039</v>
      </c>
      <c r="C2050">
        <v>28</v>
      </c>
      <c r="D2050" s="84">
        <v>45.6</v>
      </c>
      <c r="E2050">
        <v>20</v>
      </c>
      <c r="F2050" s="85">
        <v>0</v>
      </c>
      <c r="G2050" s="86">
        <f t="shared" si="155"/>
        <v>912</v>
      </c>
      <c r="H2050" s="86">
        <f t="shared" si="156"/>
        <v>0</v>
      </c>
      <c r="I2050" s="86">
        <f t="shared" si="157"/>
        <v>912</v>
      </c>
      <c r="J2050" s="84">
        <f>VLOOKUP(C2050, Products[], 6)</f>
        <v>45.6</v>
      </c>
      <c r="K2050" s="86">
        <f t="shared" si="158"/>
        <v>912</v>
      </c>
      <c r="L2050" s="86">
        <f t="shared" si="159"/>
        <v>0</v>
      </c>
    </row>
    <row r="2051" spans="2:12" x14ac:dyDescent="0.2">
      <c r="B2051">
        <v>11039</v>
      </c>
      <c r="C2051">
        <v>35</v>
      </c>
      <c r="D2051" s="84">
        <v>18</v>
      </c>
      <c r="E2051">
        <v>24</v>
      </c>
      <c r="F2051" s="85">
        <v>0</v>
      </c>
      <c r="G2051" s="86">
        <f t="shared" si="155"/>
        <v>432</v>
      </c>
      <c r="H2051" s="86">
        <f t="shared" si="156"/>
        <v>0</v>
      </c>
      <c r="I2051" s="86">
        <f t="shared" si="157"/>
        <v>432</v>
      </c>
      <c r="J2051" s="84">
        <f>VLOOKUP(C2051, Products[], 6)</f>
        <v>18</v>
      </c>
      <c r="K2051" s="86">
        <f t="shared" si="158"/>
        <v>432</v>
      </c>
      <c r="L2051" s="86">
        <f t="shared" si="159"/>
        <v>0</v>
      </c>
    </row>
    <row r="2052" spans="2:12" x14ac:dyDescent="0.2">
      <c r="B2052">
        <v>11039</v>
      </c>
      <c r="C2052">
        <v>49</v>
      </c>
      <c r="D2052" s="84">
        <v>20</v>
      </c>
      <c r="E2052">
        <v>60</v>
      </c>
      <c r="F2052" s="85">
        <v>0</v>
      </c>
      <c r="G2052" s="86">
        <f t="shared" si="155"/>
        <v>1200</v>
      </c>
      <c r="H2052" s="86">
        <f t="shared" si="156"/>
        <v>0</v>
      </c>
      <c r="I2052" s="86">
        <f t="shared" si="157"/>
        <v>1200</v>
      </c>
      <c r="J2052" s="84">
        <f>VLOOKUP(C2052, Products[], 6)</f>
        <v>20</v>
      </c>
      <c r="K2052" s="86">
        <f t="shared" si="158"/>
        <v>1200</v>
      </c>
      <c r="L2052" s="86">
        <f t="shared" si="159"/>
        <v>0</v>
      </c>
    </row>
    <row r="2053" spans="2:12" x14ac:dyDescent="0.2">
      <c r="B2053">
        <v>11039</v>
      </c>
      <c r="C2053">
        <v>57</v>
      </c>
      <c r="D2053" s="84">
        <v>19.5</v>
      </c>
      <c r="E2053">
        <v>28</v>
      </c>
      <c r="F2053" s="85">
        <v>0</v>
      </c>
      <c r="G2053" s="86">
        <f t="shared" si="155"/>
        <v>546</v>
      </c>
      <c r="H2053" s="86">
        <f t="shared" si="156"/>
        <v>0</v>
      </c>
      <c r="I2053" s="86">
        <f t="shared" si="157"/>
        <v>546</v>
      </c>
      <c r="J2053" s="84">
        <f>VLOOKUP(C2053, Products[], 6)</f>
        <v>19.5</v>
      </c>
      <c r="K2053" s="86">
        <f t="shared" si="158"/>
        <v>546</v>
      </c>
      <c r="L2053" s="86">
        <f t="shared" si="159"/>
        <v>0</v>
      </c>
    </row>
    <row r="2054" spans="2:12" x14ac:dyDescent="0.2">
      <c r="B2054">
        <v>11040</v>
      </c>
      <c r="C2054">
        <v>21</v>
      </c>
      <c r="D2054" s="84">
        <v>10</v>
      </c>
      <c r="E2054">
        <v>20</v>
      </c>
      <c r="F2054" s="85">
        <v>0</v>
      </c>
      <c r="G2054" s="86">
        <f t="shared" si="155"/>
        <v>200</v>
      </c>
      <c r="H2054" s="86">
        <f t="shared" si="156"/>
        <v>0</v>
      </c>
      <c r="I2054" s="86">
        <f t="shared" si="157"/>
        <v>200</v>
      </c>
      <c r="J2054" s="84">
        <f>VLOOKUP(C2054, Products[], 6)</f>
        <v>10</v>
      </c>
      <c r="K2054" s="86">
        <f t="shared" si="158"/>
        <v>200</v>
      </c>
      <c r="L2054" s="86">
        <f t="shared" si="159"/>
        <v>0</v>
      </c>
    </row>
    <row r="2055" spans="2:12" x14ac:dyDescent="0.2">
      <c r="B2055">
        <v>11041</v>
      </c>
      <c r="C2055">
        <v>2</v>
      </c>
      <c r="D2055" s="84">
        <v>19</v>
      </c>
      <c r="E2055">
        <v>30</v>
      </c>
      <c r="F2055" s="85">
        <v>0.2</v>
      </c>
      <c r="G2055" s="86">
        <f t="shared" ref="G2055:G2118" si="160">D2055*E2055</f>
        <v>570</v>
      </c>
      <c r="H2055" s="86">
        <f t="shared" ref="H2055:H2118" si="161">G2055*F2055</f>
        <v>114</v>
      </c>
      <c r="I2055" s="86">
        <f t="shared" ref="I2055:I2118" si="162">G2055-H2055</f>
        <v>456</v>
      </c>
      <c r="J2055" s="84">
        <f>VLOOKUP(C2055, Products[], 6)</f>
        <v>19</v>
      </c>
      <c r="K2055" s="86">
        <f t="shared" ref="K2055:K2118" si="163">J2055*E2055</f>
        <v>570</v>
      </c>
      <c r="L2055" s="86">
        <f t="shared" ref="L2055:L2118" si="164">I2055-K2055</f>
        <v>-114</v>
      </c>
    </row>
    <row r="2056" spans="2:12" x14ac:dyDescent="0.2">
      <c r="B2056">
        <v>11041</v>
      </c>
      <c r="C2056">
        <v>63</v>
      </c>
      <c r="D2056" s="84">
        <v>43.9</v>
      </c>
      <c r="E2056">
        <v>30</v>
      </c>
      <c r="F2056" s="85">
        <v>0</v>
      </c>
      <c r="G2056" s="86">
        <f t="shared" si="160"/>
        <v>1317</v>
      </c>
      <c r="H2056" s="86">
        <f t="shared" si="161"/>
        <v>0</v>
      </c>
      <c r="I2056" s="86">
        <f t="shared" si="162"/>
        <v>1317</v>
      </c>
      <c r="J2056" s="84">
        <f>VLOOKUP(C2056, Products[], 6)</f>
        <v>43.9</v>
      </c>
      <c r="K2056" s="86">
        <f t="shared" si="163"/>
        <v>1317</v>
      </c>
      <c r="L2056" s="86">
        <f t="shared" si="164"/>
        <v>0</v>
      </c>
    </row>
    <row r="2057" spans="2:12" x14ac:dyDescent="0.2">
      <c r="B2057">
        <v>11042</v>
      </c>
      <c r="C2057">
        <v>44</v>
      </c>
      <c r="D2057" s="84">
        <v>19.45</v>
      </c>
      <c r="E2057">
        <v>15</v>
      </c>
      <c r="F2057" s="85">
        <v>0</v>
      </c>
      <c r="G2057" s="86">
        <f t="shared" si="160"/>
        <v>291.75</v>
      </c>
      <c r="H2057" s="86">
        <f t="shared" si="161"/>
        <v>0</v>
      </c>
      <c r="I2057" s="86">
        <f t="shared" si="162"/>
        <v>291.75</v>
      </c>
      <c r="J2057" s="84">
        <f>VLOOKUP(C2057, Products[], 6)</f>
        <v>19.45</v>
      </c>
      <c r="K2057" s="86">
        <f t="shared" si="163"/>
        <v>291.75</v>
      </c>
      <c r="L2057" s="86">
        <f t="shared" si="164"/>
        <v>0</v>
      </c>
    </row>
    <row r="2058" spans="2:12" x14ac:dyDescent="0.2">
      <c r="B2058">
        <v>11042</v>
      </c>
      <c r="C2058">
        <v>61</v>
      </c>
      <c r="D2058" s="84">
        <v>28.5</v>
      </c>
      <c r="E2058">
        <v>4</v>
      </c>
      <c r="F2058" s="85">
        <v>0</v>
      </c>
      <c r="G2058" s="86">
        <f t="shared" si="160"/>
        <v>114</v>
      </c>
      <c r="H2058" s="86">
        <f t="shared" si="161"/>
        <v>0</v>
      </c>
      <c r="I2058" s="86">
        <f t="shared" si="162"/>
        <v>114</v>
      </c>
      <c r="J2058" s="84">
        <f>VLOOKUP(C2058, Products[], 6)</f>
        <v>28.5</v>
      </c>
      <c r="K2058" s="86">
        <f t="shared" si="163"/>
        <v>114</v>
      </c>
      <c r="L2058" s="86">
        <f t="shared" si="164"/>
        <v>0</v>
      </c>
    </row>
    <row r="2059" spans="2:12" x14ac:dyDescent="0.2">
      <c r="B2059">
        <v>11043</v>
      </c>
      <c r="C2059">
        <v>11</v>
      </c>
      <c r="D2059" s="84">
        <v>21</v>
      </c>
      <c r="E2059">
        <v>10</v>
      </c>
      <c r="F2059" s="85">
        <v>0</v>
      </c>
      <c r="G2059" s="86">
        <f t="shared" si="160"/>
        <v>210</v>
      </c>
      <c r="H2059" s="86">
        <f t="shared" si="161"/>
        <v>0</v>
      </c>
      <c r="I2059" s="86">
        <f t="shared" si="162"/>
        <v>210</v>
      </c>
      <c r="J2059" s="84">
        <f>VLOOKUP(C2059, Products[], 6)</f>
        <v>21</v>
      </c>
      <c r="K2059" s="86">
        <f t="shared" si="163"/>
        <v>210</v>
      </c>
      <c r="L2059" s="86">
        <f t="shared" si="164"/>
        <v>0</v>
      </c>
    </row>
    <row r="2060" spans="2:12" x14ac:dyDescent="0.2">
      <c r="B2060">
        <v>11044</v>
      </c>
      <c r="C2060">
        <v>62</v>
      </c>
      <c r="D2060" s="84">
        <v>49.3</v>
      </c>
      <c r="E2060">
        <v>12</v>
      </c>
      <c r="F2060" s="85">
        <v>0</v>
      </c>
      <c r="G2060" s="86">
        <f t="shared" si="160"/>
        <v>591.59999999999991</v>
      </c>
      <c r="H2060" s="86">
        <f t="shared" si="161"/>
        <v>0</v>
      </c>
      <c r="I2060" s="86">
        <f t="shared" si="162"/>
        <v>591.59999999999991</v>
      </c>
      <c r="J2060" s="84">
        <f>VLOOKUP(C2060, Products[], 6)</f>
        <v>49.3</v>
      </c>
      <c r="K2060" s="86">
        <f t="shared" si="163"/>
        <v>591.59999999999991</v>
      </c>
      <c r="L2060" s="86">
        <f t="shared" si="164"/>
        <v>0</v>
      </c>
    </row>
    <row r="2061" spans="2:12" x14ac:dyDescent="0.2">
      <c r="B2061">
        <v>11045</v>
      </c>
      <c r="C2061">
        <v>33</v>
      </c>
      <c r="D2061" s="84">
        <v>2.5</v>
      </c>
      <c r="E2061">
        <v>15</v>
      </c>
      <c r="F2061" s="85">
        <v>0</v>
      </c>
      <c r="G2061" s="86">
        <f t="shared" si="160"/>
        <v>37.5</v>
      </c>
      <c r="H2061" s="86">
        <f t="shared" si="161"/>
        <v>0</v>
      </c>
      <c r="I2061" s="86">
        <f t="shared" si="162"/>
        <v>37.5</v>
      </c>
      <c r="J2061" s="84">
        <f>VLOOKUP(C2061, Products[], 6)</f>
        <v>2.5</v>
      </c>
      <c r="K2061" s="86">
        <f t="shared" si="163"/>
        <v>37.5</v>
      </c>
      <c r="L2061" s="86">
        <f t="shared" si="164"/>
        <v>0</v>
      </c>
    </row>
    <row r="2062" spans="2:12" x14ac:dyDescent="0.2">
      <c r="B2062">
        <v>11045</v>
      </c>
      <c r="C2062">
        <v>51</v>
      </c>
      <c r="D2062" s="84">
        <v>53</v>
      </c>
      <c r="E2062">
        <v>24</v>
      </c>
      <c r="F2062" s="85">
        <v>0</v>
      </c>
      <c r="G2062" s="86">
        <f t="shared" si="160"/>
        <v>1272</v>
      </c>
      <c r="H2062" s="86">
        <f t="shared" si="161"/>
        <v>0</v>
      </c>
      <c r="I2062" s="86">
        <f t="shared" si="162"/>
        <v>1272</v>
      </c>
      <c r="J2062" s="84">
        <f>VLOOKUP(C2062, Products[], 6)</f>
        <v>53</v>
      </c>
      <c r="K2062" s="86">
        <f t="shared" si="163"/>
        <v>1272</v>
      </c>
      <c r="L2062" s="86">
        <f t="shared" si="164"/>
        <v>0</v>
      </c>
    </row>
    <row r="2063" spans="2:12" x14ac:dyDescent="0.2">
      <c r="B2063">
        <v>11046</v>
      </c>
      <c r="C2063">
        <v>12</v>
      </c>
      <c r="D2063" s="84">
        <v>38</v>
      </c>
      <c r="E2063">
        <v>20</v>
      </c>
      <c r="F2063" s="85">
        <v>0.05</v>
      </c>
      <c r="G2063" s="86">
        <f t="shared" si="160"/>
        <v>760</v>
      </c>
      <c r="H2063" s="86">
        <f t="shared" si="161"/>
        <v>38</v>
      </c>
      <c r="I2063" s="86">
        <f t="shared" si="162"/>
        <v>722</v>
      </c>
      <c r="J2063" s="84">
        <f>VLOOKUP(C2063, Products[], 6)</f>
        <v>38</v>
      </c>
      <c r="K2063" s="86">
        <f t="shared" si="163"/>
        <v>760</v>
      </c>
      <c r="L2063" s="86">
        <f t="shared" si="164"/>
        <v>-38</v>
      </c>
    </row>
    <row r="2064" spans="2:12" x14ac:dyDescent="0.2">
      <c r="B2064">
        <v>11046</v>
      </c>
      <c r="C2064">
        <v>32</v>
      </c>
      <c r="D2064" s="84">
        <v>32</v>
      </c>
      <c r="E2064">
        <v>15</v>
      </c>
      <c r="F2064" s="85">
        <v>0.05</v>
      </c>
      <c r="G2064" s="86">
        <f t="shared" si="160"/>
        <v>480</v>
      </c>
      <c r="H2064" s="86">
        <f t="shared" si="161"/>
        <v>24</v>
      </c>
      <c r="I2064" s="86">
        <f t="shared" si="162"/>
        <v>456</v>
      </c>
      <c r="J2064" s="84">
        <f>VLOOKUP(C2064, Products[], 6)</f>
        <v>32</v>
      </c>
      <c r="K2064" s="86">
        <f t="shared" si="163"/>
        <v>480</v>
      </c>
      <c r="L2064" s="86">
        <f t="shared" si="164"/>
        <v>-24</v>
      </c>
    </row>
    <row r="2065" spans="2:12" x14ac:dyDescent="0.2">
      <c r="B2065">
        <v>11046</v>
      </c>
      <c r="C2065">
        <v>35</v>
      </c>
      <c r="D2065" s="84">
        <v>18</v>
      </c>
      <c r="E2065">
        <v>18</v>
      </c>
      <c r="F2065" s="85">
        <v>0.05</v>
      </c>
      <c r="G2065" s="86">
        <f t="shared" si="160"/>
        <v>324</v>
      </c>
      <c r="H2065" s="86">
        <f t="shared" si="161"/>
        <v>16.2</v>
      </c>
      <c r="I2065" s="86">
        <f t="shared" si="162"/>
        <v>307.8</v>
      </c>
      <c r="J2065" s="84">
        <f>VLOOKUP(C2065, Products[], 6)</f>
        <v>18</v>
      </c>
      <c r="K2065" s="86">
        <f t="shared" si="163"/>
        <v>324</v>
      </c>
      <c r="L2065" s="86">
        <f t="shared" si="164"/>
        <v>-16.199999999999989</v>
      </c>
    </row>
    <row r="2066" spans="2:12" x14ac:dyDescent="0.2">
      <c r="B2066">
        <v>11047</v>
      </c>
      <c r="C2066">
        <v>1</v>
      </c>
      <c r="D2066" s="84">
        <v>18</v>
      </c>
      <c r="E2066">
        <v>25</v>
      </c>
      <c r="F2066" s="85">
        <v>0.25</v>
      </c>
      <c r="G2066" s="86">
        <f t="shared" si="160"/>
        <v>450</v>
      </c>
      <c r="H2066" s="86">
        <f t="shared" si="161"/>
        <v>112.5</v>
      </c>
      <c r="I2066" s="86">
        <f t="shared" si="162"/>
        <v>337.5</v>
      </c>
      <c r="J2066" s="84">
        <f>VLOOKUP(C2066, Products[], 6)</f>
        <v>18</v>
      </c>
      <c r="K2066" s="86">
        <f t="shared" si="163"/>
        <v>450</v>
      </c>
      <c r="L2066" s="86">
        <f t="shared" si="164"/>
        <v>-112.5</v>
      </c>
    </row>
    <row r="2067" spans="2:12" x14ac:dyDescent="0.2">
      <c r="B2067">
        <v>11047</v>
      </c>
      <c r="C2067">
        <v>5</v>
      </c>
      <c r="D2067" s="84">
        <v>21.35</v>
      </c>
      <c r="E2067">
        <v>30</v>
      </c>
      <c r="F2067" s="85">
        <v>0.25</v>
      </c>
      <c r="G2067" s="86">
        <f t="shared" si="160"/>
        <v>640.5</v>
      </c>
      <c r="H2067" s="86">
        <f t="shared" si="161"/>
        <v>160.125</v>
      </c>
      <c r="I2067" s="86">
        <f t="shared" si="162"/>
        <v>480.375</v>
      </c>
      <c r="J2067" s="84">
        <f>VLOOKUP(C2067, Products[], 6)</f>
        <v>21.35</v>
      </c>
      <c r="K2067" s="86">
        <f t="shared" si="163"/>
        <v>640.5</v>
      </c>
      <c r="L2067" s="86">
        <f t="shared" si="164"/>
        <v>-160.125</v>
      </c>
    </row>
    <row r="2068" spans="2:12" x14ac:dyDescent="0.2">
      <c r="B2068">
        <v>11048</v>
      </c>
      <c r="C2068">
        <v>68</v>
      </c>
      <c r="D2068" s="84">
        <v>12.5</v>
      </c>
      <c r="E2068">
        <v>42</v>
      </c>
      <c r="F2068" s="85">
        <v>0</v>
      </c>
      <c r="G2068" s="86">
        <f t="shared" si="160"/>
        <v>525</v>
      </c>
      <c r="H2068" s="86">
        <f t="shared" si="161"/>
        <v>0</v>
      </c>
      <c r="I2068" s="86">
        <f t="shared" si="162"/>
        <v>525</v>
      </c>
      <c r="J2068" s="84">
        <f>VLOOKUP(C2068, Products[], 6)</f>
        <v>12.5</v>
      </c>
      <c r="K2068" s="86">
        <f t="shared" si="163"/>
        <v>525</v>
      </c>
      <c r="L2068" s="86">
        <f t="shared" si="164"/>
        <v>0</v>
      </c>
    </row>
    <row r="2069" spans="2:12" x14ac:dyDescent="0.2">
      <c r="B2069">
        <v>11049</v>
      </c>
      <c r="C2069">
        <v>2</v>
      </c>
      <c r="D2069" s="84">
        <v>19</v>
      </c>
      <c r="E2069">
        <v>10</v>
      </c>
      <c r="F2069" s="85">
        <v>0.2</v>
      </c>
      <c r="G2069" s="86">
        <f t="shared" si="160"/>
        <v>190</v>
      </c>
      <c r="H2069" s="86">
        <f t="shared" si="161"/>
        <v>38</v>
      </c>
      <c r="I2069" s="86">
        <f t="shared" si="162"/>
        <v>152</v>
      </c>
      <c r="J2069" s="84">
        <f>VLOOKUP(C2069, Products[], 6)</f>
        <v>19</v>
      </c>
      <c r="K2069" s="86">
        <f t="shared" si="163"/>
        <v>190</v>
      </c>
      <c r="L2069" s="86">
        <f t="shared" si="164"/>
        <v>-38</v>
      </c>
    </row>
    <row r="2070" spans="2:12" x14ac:dyDescent="0.2">
      <c r="B2070">
        <v>11049</v>
      </c>
      <c r="C2070">
        <v>12</v>
      </c>
      <c r="D2070" s="84">
        <v>38</v>
      </c>
      <c r="E2070">
        <v>4</v>
      </c>
      <c r="F2070" s="85">
        <v>0.2</v>
      </c>
      <c r="G2070" s="86">
        <f t="shared" si="160"/>
        <v>152</v>
      </c>
      <c r="H2070" s="86">
        <f t="shared" si="161"/>
        <v>30.400000000000002</v>
      </c>
      <c r="I2070" s="86">
        <f t="shared" si="162"/>
        <v>121.6</v>
      </c>
      <c r="J2070" s="84">
        <f>VLOOKUP(C2070, Products[], 6)</f>
        <v>38</v>
      </c>
      <c r="K2070" s="86">
        <f t="shared" si="163"/>
        <v>152</v>
      </c>
      <c r="L2070" s="86">
        <f t="shared" si="164"/>
        <v>-30.400000000000006</v>
      </c>
    </row>
    <row r="2071" spans="2:12" x14ac:dyDescent="0.2">
      <c r="B2071">
        <v>11050</v>
      </c>
      <c r="C2071">
        <v>76</v>
      </c>
      <c r="D2071" s="84">
        <v>18</v>
      </c>
      <c r="E2071">
        <v>50</v>
      </c>
      <c r="F2071" s="85">
        <v>0.1</v>
      </c>
      <c r="G2071" s="86">
        <f t="shared" si="160"/>
        <v>900</v>
      </c>
      <c r="H2071" s="86">
        <f t="shared" si="161"/>
        <v>90</v>
      </c>
      <c r="I2071" s="86">
        <f t="shared" si="162"/>
        <v>810</v>
      </c>
      <c r="J2071" s="84">
        <f>VLOOKUP(C2071, Products[], 6)</f>
        <v>18</v>
      </c>
      <c r="K2071" s="86">
        <f t="shared" si="163"/>
        <v>900</v>
      </c>
      <c r="L2071" s="86">
        <f t="shared" si="164"/>
        <v>-90</v>
      </c>
    </row>
    <row r="2072" spans="2:12" x14ac:dyDescent="0.2">
      <c r="B2072">
        <v>11051</v>
      </c>
      <c r="C2072">
        <v>24</v>
      </c>
      <c r="D2072" s="84">
        <v>4.5</v>
      </c>
      <c r="E2072">
        <v>10</v>
      </c>
      <c r="F2072" s="85">
        <v>0.2</v>
      </c>
      <c r="G2072" s="86">
        <f t="shared" si="160"/>
        <v>45</v>
      </c>
      <c r="H2072" s="86">
        <f t="shared" si="161"/>
        <v>9</v>
      </c>
      <c r="I2072" s="86">
        <f t="shared" si="162"/>
        <v>36</v>
      </c>
      <c r="J2072" s="84">
        <f>VLOOKUP(C2072, Products[], 6)</f>
        <v>4.5</v>
      </c>
      <c r="K2072" s="86">
        <f t="shared" si="163"/>
        <v>45</v>
      </c>
      <c r="L2072" s="86">
        <f t="shared" si="164"/>
        <v>-9</v>
      </c>
    </row>
    <row r="2073" spans="2:12" x14ac:dyDescent="0.2">
      <c r="B2073">
        <v>11052</v>
      </c>
      <c r="C2073">
        <v>43</v>
      </c>
      <c r="D2073" s="84">
        <v>46</v>
      </c>
      <c r="E2073">
        <v>30</v>
      </c>
      <c r="F2073" s="85">
        <v>0.2</v>
      </c>
      <c r="G2073" s="86">
        <f t="shared" si="160"/>
        <v>1380</v>
      </c>
      <c r="H2073" s="86">
        <f t="shared" si="161"/>
        <v>276</v>
      </c>
      <c r="I2073" s="86">
        <f t="shared" si="162"/>
        <v>1104</v>
      </c>
      <c r="J2073" s="84">
        <f>VLOOKUP(C2073, Products[], 6)</f>
        <v>46</v>
      </c>
      <c r="K2073" s="86">
        <f t="shared" si="163"/>
        <v>1380</v>
      </c>
      <c r="L2073" s="86">
        <f t="shared" si="164"/>
        <v>-276</v>
      </c>
    </row>
    <row r="2074" spans="2:12" x14ac:dyDescent="0.2">
      <c r="B2074">
        <v>11052</v>
      </c>
      <c r="C2074">
        <v>61</v>
      </c>
      <c r="D2074" s="84">
        <v>28.5</v>
      </c>
      <c r="E2074">
        <v>10</v>
      </c>
      <c r="F2074" s="85">
        <v>0.2</v>
      </c>
      <c r="G2074" s="86">
        <f t="shared" si="160"/>
        <v>285</v>
      </c>
      <c r="H2074" s="86">
        <f t="shared" si="161"/>
        <v>57</v>
      </c>
      <c r="I2074" s="86">
        <f t="shared" si="162"/>
        <v>228</v>
      </c>
      <c r="J2074" s="84">
        <f>VLOOKUP(C2074, Products[], 6)</f>
        <v>28.5</v>
      </c>
      <c r="K2074" s="86">
        <f t="shared" si="163"/>
        <v>285</v>
      </c>
      <c r="L2074" s="86">
        <f t="shared" si="164"/>
        <v>-57</v>
      </c>
    </row>
    <row r="2075" spans="2:12" x14ac:dyDescent="0.2">
      <c r="B2075">
        <v>11053</v>
      </c>
      <c r="C2075">
        <v>18</v>
      </c>
      <c r="D2075" s="84">
        <v>62.5</v>
      </c>
      <c r="E2075">
        <v>35</v>
      </c>
      <c r="F2075" s="85">
        <v>0.2</v>
      </c>
      <c r="G2075" s="86">
        <f t="shared" si="160"/>
        <v>2187.5</v>
      </c>
      <c r="H2075" s="86">
        <f t="shared" si="161"/>
        <v>437.5</v>
      </c>
      <c r="I2075" s="86">
        <f t="shared" si="162"/>
        <v>1750</v>
      </c>
      <c r="J2075" s="84">
        <f>VLOOKUP(C2075, Products[], 6)</f>
        <v>62.5</v>
      </c>
      <c r="K2075" s="86">
        <f t="shared" si="163"/>
        <v>2187.5</v>
      </c>
      <c r="L2075" s="86">
        <f t="shared" si="164"/>
        <v>-437.5</v>
      </c>
    </row>
    <row r="2076" spans="2:12" x14ac:dyDescent="0.2">
      <c r="B2076">
        <v>11053</v>
      </c>
      <c r="C2076">
        <v>32</v>
      </c>
      <c r="D2076" s="84">
        <v>32</v>
      </c>
      <c r="E2076">
        <v>20</v>
      </c>
      <c r="F2076" s="85">
        <v>0</v>
      </c>
      <c r="G2076" s="86">
        <f t="shared" si="160"/>
        <v>640</v>
      </c>
      <c r="H2076" s="86">
        <f t="shared" si="161"/>
        <v>0</v>
      </c>
      <c r="I2076" s="86">
        <f t="shared" si="162"/>
        <v>640</v>
      </c>
      <c r="J2076" s="84">
        <f>VLOOKUP(C2076, Products[], 6)</f>
        <v>32</v>
      </c>
      <c r="K2076" s="86">
        <f t="shared" si="163"/>
        <v>640</v>
      </c>
      <c r="L2076" s="86">
        <f t="shared" si="164"/>
        <v>0</v>
      </c>
    </row>
    <row r="2077" spans="2:12" x14ac:dyDescent="0.2">
      <c r="B2077">
        <v>11053</v>
      </c>
      <c r="C2077">
        <v>64</v>
      </c>
      <c r="D2077" s="84">
        <v>33.25</v>
      </c>
      <c r="E2077">
        <v>25</v>
      </c>
      <c r="F2077" s="85">
        <v>0.2</v>
      </c>
      <c r="G2077" s="86">
        <f t="shared" si="160"/>
        <v>831.25</v>
      </c>
      <c r="H2077" s="86">
        <f t="shared" si="161"/>
        <v>166.25</v>
      </c>
      <c r="I2077" s="86">
        <f t="shared" si="162"/>
        <v>665</v>
      </c>
      <c r="J2077" s="84">
        <f>VLOOKUP(C2077, Products[], 6)</f>
        <v>33.25</v>
      </c>
      <c r="K2077" s="86">
        <f t="shared" si="163"/>
        <v>831.25</v>
      </c>
      <c r="L2077" s="86">
        <f t="shared" si="164"/>
        <v>-166.25</v>
      </c>
    </row>
    <row r="2078" spans="2:12" x14ac:dyDescent="0.2">
      <c r="B2078">
        <v>11054</v>
      </c>
      <c r="C2078">
        <v>33</v>
      </c>
      <c r="D2078" s="84">
        <v>2.5</v>
      </c>
      <c r="E2078">
        <v>10</v>
      </c>
      <c r="F2078" s="85">
        <v>0</v>
      </c>
      <c r="G2078" s="86">
        <f t="shared" si="160"/>
        <v>25</v>
      </c>
      <c r="H2078" s="86">
        <f t="shared" si="161"/>
        <v>0</v>
      </c>
      <c r="I2078" s="86">
        <f t="shared" si="162"/>
        <v>25</v>
      </c>
      <c r="J2078" s="84">
        <f>VLOOKUP(C2078, Products[], 6)</f>
        <v>2.5</v>
      </c>
      <c r="K2078" s="86">
        <f t="shared" si="163"/>
        <v>25</v>
      </c>
      <c r="L2078" s="86">
        <f t="shared" si="164"/>
        <v>0</v>
      </c>
    </row>
    <row r="2079" spans="2:12" x14ac:dyDescent="0.2">
      <c r="B2079">
        <v>11054</v>
      </c>
      <c r="C2079">
        <v>67</v>
      </c>
      <c r="D2079" s="84">
        <v>14</v>
      </c>
      <c r="E2079">
        <v>20</v>
      </c>
      <c r="F2079" s="85">
        <v>0</v>
      </c>
      <c r="G2079" s="86">
        <f t="shared" si="160"/>
        <v>280</v>
      </c>
      <c r="H2079" s="86">
        <f t="shared" si="161"/>
        <v>0</v>
      </c>
      <c r="I2079" s="86">
        <f t="shared" si="162"/>
        <v>280</v>
      </c>
      <c r="J2079" s="84">
        <f>VLOOKUP(C2079, Products[], 6)</f>
        <v>14</v>
      </c>
      <c r="K2079" s="86">
        <f t="shared" si="163"/>
        <v>280</v>
      </c>
      <c r="L2079" s="86">
        <f t="shared" si="164"/>
        <v>0</v>
      </c>
    </row>
    <row r="2080" spans="2:12" x14ac:dyDescent="0.2">
      <c r="B2080">
        <v>11055</v>
      </c>
      <c r="C2080">
        <v>24</v>
      </c>
      <c r="D2080" s="84">
        <v>4.5</v>
      </c>
      <c r="E2080">
        <v>15</v>
      </c>
      <c r="F2080" s="85">
        <v>0</v>
      </c>
      <c r="G2080" s="86">
        <f t="shared" si="160"/>
        <v>67.5</v>
      </c>
      <c r="H2080" s="86">
        <f t="shared" si="161"/>
        <v>0</v>
      </c>
      <c r="I2080" s="86">
        <f t="shared" si="162"/>
        <v>67.5</v>
      </c>
      <c r="J2080" s="84">
        <f>VLOOKUP(C2080, Products[], 6)</f>
        <v>4.5</v>
      </c>
      <c r="K2080" s="86">
        <f t="shared" si="163"/>
        <v>67.5</v>
      </c>
      <c r="L2080" s="86">
        <f t="shared" si="164"/>
        <v>0</v>
      </c>
    </row>
    <row r="2081" spans="2:12" x14ac:dyDescent="0.2">
      <c r="B2081">
        <v>11055</v>
      </c>
      <c r="C2081">
        <v>25</v>
      </c>
      <c r="D2081" s="84">
        <v>14</v>
      </c>
      <c r="E2081">
        <v>15</v>
      </c>
      <c r="F2081" s="85">
        <v>0</v>
      </c>
      <c r="G2081" s="86">
        <f t="shared" si="160"/>
        <v>210</v>
      </c>
      <c r="H2081" s="86">
        <f t="shared" si="161"/>
        <v>0</v>
      </c>
      <c r="I2081" s="86">
        <f t="shared" si="162"/>
        <v>210</v>
      </c>
      <c r="J2081" s="84">
        <f>VLOOKUP(C2081, Products[], 6)</f>
        <v>14</v>
      </c>
      <c r="K2081" s="86">
        <f t="shared" si="163"/>
        <v>210</v>
      </c>
      <c r="L2081" s="86">
        <f t="shared" si="164"/>
        <v>0</v>
      </c>
    </row>
    <row r="2082" spans="2:12" x14ac:dyDescent="0.2">
      <c r="B2082">
        <v>11055</v>
      </c>
      <c r="C2082">
        <v>51</v>
      </c>
      <c r="D2082" s="84">
        <v>53</v>
      </c>
      <c r="E2082">
        <v>20</v>
      </c>
      <c r="F2082" s="85">
        <v>0</v>
      </c>
      <c r="G2082" s="86">
        <f t="shared" si="160"/>
        <v>1060</v>
      </c>
      <c r="H2082" s="86">
        <f t="shared" si="161"/>
        <v>0</v>
      </c>
      <c r="I2082" s="86">
        <f t="shared" si="162"/>
        <v>1060</v>
      </c>
      <c r="J2082" s="84">
        <f>VLOOKUP(C2082, Products[], 6)</f>
        <v>53</v>
      </c>
      <c r="K2082" s="86">
        <f t="shared" si="163"/>
        <v>1060</v>
      </c>
      <c r="L2082" s="86">
        <f t="shared" si="164"/>
        <v>0</v>
      </c>
    </row>
    <row r="2083" spans="2:12" x14ac:dyDescent="0.2">
      <c r="B2083">
        <v>11055</v>
      </c>
      <c r="C2083">
        <v>57</v>
      </c>
      <c r="D2083" s="84">
        <v>19.5</v>
      </c>
      <c r="E2083">
        <v>20</v>
      </c>
      <c r="F2083" s="85">
        <v>0</v>
      </c>
      <c r="G2083" s="86">
        <f t="shared" si="160"/>
        <v>390</v>
      </c>
      <c r="H2083" s="86">
        <f t="shared" si="161"/>
        <v>0</v>
      </c>
      <c r="I2083" s="86">
        <f t="shared" si="162"/>
        <v>390</v>
      </c>
      <c r="J2083" s="84">
        <f>VLOOKUP(C2083, Products[], 6)</f>
        <v>19.5</v>
      </c>
      <c r="K2083" s="86">
        <f t="shared" si="163"/>
        <v>390</v>
      </c>
      <c r="L2083" s="86">
        <f t="shared" si="164"/>
        <v>0</v>
      </c>
    </row>
    <row r="2084" spans="2:12" x14ac:dyDescent="0.2">
      <c r="B2084">
        <v>11056</v>
      </c>
      <c r="C2084">
        <v>7</v>
      </c>
      <c r="D2084" s="84">
        <v>30</v>
      </c>
      <c r="E2084">
        <v>40</v>
      </c>
      <c r="F2084" s="85">
        <v>0</v>
      </c>
      <c r="G2084" s="86">
        <f t="shared" si="160"/>
        <v>1200</v>
      </c>
      <c r="H2084" s="86">
        <f t="shared" si="161"/>
        <v>0</v>
      </c>
      <c r="I2084" s="86">
        <f t="shared" si="162"/>
        <v>1200</v>
      </c>
      <c r="J2084" s="84">
        <f>VLOOKUP(C2084, Products[], 6)</f>
        <v>30</v>
      </c>
      <c r="K2084" s="86">
        <f t="shared" si="163"/>
        <v>1200</v>
      </c>
      <c r="L2084" s="86">
        <f t="shared" si="164"/>
        <v>0</v>
      </c>
    </row>
    <row r="2085" spans="2:12" x14ac:dyDescent="0.2">
      <c r="B2085">
        <v>11056</v>
      </c>
      <c r="C2085">
        <v>55</v>
      </c>
      <c r="D2085" s="84">
        <v>24</v>
      </c>
      <c r="E2085">
        <v>35</v>
      </c>
      <c r="F2085" s="85">
        <v>0</v>
      </c>
      <c r="G2085" s="86">
        <f t="shared" si="160"/>
        <v>840</v>
      </c>
      <c r="H2085" s="86">
        <f t="shared" si="161"/>
        <v>0</v>
      </c>
      <c r="I2085" s="86">
        <f t="shared" si="162"/>
        <v>840</v>
      </c>
      <c r="J2085" s="84">
        <f>VLOOKUP(C2085, Products[], 6)</f>
        <v>24</v>
      </c>
      <c r="K2085" s="86">
        <f t="shared" si="163"/>
        <v>840</v>
      </c>
      <c r="L2085" s="86">
        <f t="shared" si="164"/>
        <v>0</v>
      </c>
    </row>
    <row r="2086" spans="2:12" x14ac:dyDescent="0.2">
      <c r="B2086">
        <v>11056</v>
      </c>
      <c r="C2086">
        <v>60</v>
      </c>
      <c r="D2086" s="84">
        <v>34</v>
      </c>
      <c r="E2086">
        <v>50</v>
      </c>
      <c r="F2086" s="85">
        <v>0</v>
      </c>
      <c r="G2086" s="86">
        <f t="shared" si="160"/>
        <v>1700</v>
      </c>
      <c r="H2086" s="86">
        <f t="shared" si="161"/>
        <v>0</v>
      </c>
      <c r="I2086" s="86">
        <f t="shared" si="162"/>
        <v>1700</v>
      </c>
      <c r="J2086" s="84">
        <f>VLOOKUP(C2086, Products[], 6)</f>
        <v>34</v>
      </c>
      <c r="K2086" s="86">
        <f t="shared" si="163"/>
        <v>1700</v>
      </c>
      <c r="L2086" s="86">
        <f t="shared" si="164"/>
        <v>0</v>
      </c>
    </row>
    <row r="2087" spans="2:12" x14ac:dyDescent="0.2">
      <c r="B2087">
        <v>11057</v>
      </c>
      <c r="C2087">
        <v>70</v>
      </c>
      <c r="D2087" s="84">
        <v>15</v>
      </c>
      <c r="E2087">
        <v>3</v>
      </c>
      <c r="F2087" s="85">
        <v>0</v>
      </c>
      <c r="G2087" s="86">
        <f t="shared" si="160"/>
        <v>45</v>
      </c>
      <c r="H2087" s="86">
        <f t="shared" si="161"/>
        <v>0</v>
      </c>
      <c r="I2087" s="86">
        <f t="shared" si="162"/>
        <v>45</v>
      </c>
      <c r="J2087" s="84">
        <f>VLOOKUP(C2087, Products[], 6)</f>
        <v>15</v>
      </c>
      <c r="K2087" s="86">
        <f t="shared" si="163"/>
        <v>45</v>
      </c>
      <c r="L2087" s="86">
        <f t="shared" si="164"/>
        <v>0</v>
      </c>
    </row>
    <row r="2088" spans="2:12" x14ac:dyDescent="0.2">
      <c r="B2088">
        <v>11058</v>
      </c>
      <c r="C2088">
        <v>21</v>
      </c>
      <c r="D2088" s="84">
        <v>10</v>
      </c>
      <c r="E2088">
        <v>3</v>
      </c>
      <c r="F2088" s="85">
        <v>0</v>
      </c>
      <c r="G2088" s="86">
        <f t="shared" si="160"/>
        <v>30</v>
      </c>
      <c r="H2088" s="86">
        <f t="shared" si="161"/>
        <v>0</v>
      </c>
      <c r="I2088" s="86">
        <f t="shared" si="162"/>
        <v>30</v>
      </c>
      <c r="J2088" s="84">
        <f>VLOOKUP(C2088, Products[], 6)</f>
        <v>10</v>
      </c>
      <c r="K2088" s="86">
        <f t="shared" si="163"/>
        <v>30</v>
      </c>
      <c r="L2088" s="86">
        <f t="shared" si="164"/>
        <v>0</v>
      </c>
    </row>
    <row r="2089" spans="2:12" x14ac:dyDescent="0.2">
      <c r="B2089">
        <v>11058</v>
      </c>
      <c r="C2089">
        <v>60</v>
      </c>
      <c r="D2089" s="84">
        <v>34</v>
      </c>
      <c r="E2089">
        <v>21</v>
      </c>
      <c r="F2089" s="85">
        <v>0</v>
      </c>
      <c r="G2089" s="86">
        <f t="shared" si="160"/>
        <v>714</v>
      </c>
      <c r="H2089" s="86">
        <f t="shared" si="161"/>
        <v>0</v>
      </c>
      <c r="I2089" s="86">
        <f t="shared" si="162"/>
        <v>714</v>
      </c>
      <c r="J2089" s="84">
        <f>VLOOKUP(C2089, Products[], 6)</f>
        <v>34</v>
      </c>
      <c r="K2089" s="86">
        <f t="shared" si="163"/>
        <v>714</v>
      </c>
      <c r="L2089" s="86">
        <f t="shared" si="164"/>
        <v>0</v>
      </c>
    </row>
    <row r="2090" spans="2:12" x14ac:dyDescent="0.2">
      <c r="B2090">
        <v>11058</v>
      </c>
      <c r="C2090">
        <v>61</v>
      </c>
      <c r="D2090" s="84">
        <v>28.5</v>
      </c>
      <c r="E2090">
        <v>4</v>
      </c>
      <c r="F2090" s="85">
        <v>0</v>
      </c>
      <c r="G2090" s="86">
        <f t="shared" si="160"/>
        <v>114</v>
      </c>
      <c r="H2090" s="86">
        <f t="shared" si="161"/>
        <v>0</v>
      </c>
      <c r="I2090" s="86">
        <f t="shared" si="162"/>
        <v>114</v>
      </c>
      <c r="J2090" s="84">
        <f>VLOOKUP(C2090, Products[], 6)</f>
        <v>28.5</v>
      </c>
      <c r="K2090" s="86">
        <f t="shared" si="163"/>
        <v>114</v>
      </c>
      <c r="L2090" s="86">
        <f t="shared" si="164"/>
        <v>0</v>
      </c>
    </row>
    <row r="2091" spans="2:12" x14ac:dyDescent="0.2">
      <c r="B2091">
        <v>11059</v>
      </c>
      <c r="C2091">
        <v>13</v>
      </c>
      <c r="D2091" s="84">
        <v>6</v>
      </c>
      <c r="E2091">
        <v>30</v>
      </c>
      <c r="F2091" s="85">
        <v>0</v>
      </c>
      <c r="G2091" s="86">
        <f t="shared" si="160"/>
        <v>180</v>
      </c>
      <c r="H2091" s="86">
        <f t="shared" si="161"/>
        <v>0</v>
      </c>
      <c r="I2091" s="86">
        <f t="shared" si="162"/>
        <v>180</v>
      </c>
      <c r="J2091" s="84">
        <f>VLOOKUP(C2091, Products[], 6)</f>
        <v>6</v>
      </c>
      <c r="K2091" s="86">
        <f t="shared" si="163"/>
        <v>180</v>
      </c>
      <c r="L2091" s="86">
        <f t="shared" si="164"/>
        <v>0</v>
      </c>
    </row>
    <row r="2092" spans="2:12" x14ac:dyDescent="0.2">
      <c r="B2092">
        <v>11059</v>
      </c>
      <c r="C2092">
        <v>17</v>
      </c>
      <c r="D2092" s="84">
        <v>39</v>
      </c>
      <c r="E2092">
        <v>12</v>
      </c>
      <c r="F2092" s="85">
        <v>0</v>
      </c>
      <c r="G2092" s="86">
        <f t="shared" si="160"/>
        <v>468</v>
      </c>
      <c r="H2092" s="86">
        <f t="shared" si="161"/>
        <v>0</v>
      </c>
      <c r="I2092" s="86">
        <f t="shared" si="162"/>
        <v>468</v>
      </c>
      <c r="J2092" s="84">
        <f>VLOOKUP(C2092, Products[], 6)</f>
        <v>39</v>
      </c>
      <c r="K2092" s="86">
        <f t="shared" si="163"/>
        <v>468</v>
      </c>
      <c r="L2092" s="86">
        <f t="shared" si="164"/>
        <v>0</v>
      </c>
    </row>
    <row r="2093" spans="2:12" x14ac:dyDescent="0.2">
      <c r="B2093">
        <v>11059</v>
      </c>
      <c r="C2093">
        <v>60</v>
      </c>
      <c r="D2093" s="84">
        <v>34</v>
      </c>
      <c r="E2093">
        <v>35</v>
      </c>
      <c r="F2093" s="85">
        <v>0</v>
      </c>
      <c r="G2093" s="86">
        <f t="shared" si="160"/>
        <v>1190</v>
      </c>
      <c r="H2093" s="86">
        <f t="shared" si="161"/>
        <v>0</v>
      </c>
      <c r="I2093" s="86">
        <f t="shared" si="162"/>
        <v>1190</v>
      </c>
      <c r="J2093" s="84">
        <f>VLOOKUP(C2093, Products[], 6)</f>
        <v>34</v>
      </c>
      <c r="K2093" s="86">
        <f t="shared" si="163"/>
        <v>1190</v>
      </c>
      <c r="L2093" s="86">
        <f t="shared" si="164"/>
        <v>0</v>
      </c>
    </row>
    <row r="2094" spans="2:12" x14ac:dyDescent="0.2">
      <c r="B2094">
        <v>11060</v>
      </c>
      <c r="C2094">
        <v>60</v>
      </c>
      <c r="D2094" s="84">
        <v>34</v>
      </c>
      <c r="E2094">
        <v>4</v>
      </c>
      <c r="F2094" s="85">
        <v>0</v>
      </c>
      <c r="G2094" s="86">
        <f t="shared" si="160"/>
        <v>136</v>
      </c>
      <c r="H2094" s="86">
        <f t="shared" si="161"/>
        <v>0</v>
      </c>
      <c r="I2094" s="86">
        <f t="shared" si="162"/>
        <v>136</v>
      </c>
      <c r="J2094" s="84">
        <f>VLOOKUP(C2094, Products[], 6)</f>
        <v>34</v>
      </c>
      <c r="K2094" s="86">
        <f t="shared" si="163"/>
        <v>136</v>
      </c>
      <c r="L2094" s="86">
        <f t="shared" si="164"/>
        <v>0</v>
      </c>
    </row>
    <row r="2095" spans="2:12" x14ac:dyDescent="0.2">
      <c r="B2095">
        <v>11060</v>
      </c>
      <c r="C2095">
        <v>77</v>
      </c>
      <c r="D2095" s="84">
        <v>13</v>
      </c>
      <c r="E2095">
        <v>10</v>
      </c>
      <c r="F2095" s="85">
        <v>0</v>
      </c>
      <c r="G2095" s="86">
        <f t="shared" si="160"/>
        <v>130</v>
      </c>
      <c r="H2095" s="86">
        <f t="shared" si="161"/>
        <v>0</v>
      </c>
      <c r="I2095" s="86">
        <f t="shared" si="162"/>
        <v>130</v>
      </c>
      <c r="J2095" s="84">
        <f>VLOOKUP(C2095, Products[], 6)</f>
        <v>13</v>
      </c>
      <c r="K2095" s="86">
        <f t="shared" si="163"/>
        <v>130</v>
      </c>
      <c r="L2095" s="86">
        <f t="shared" si="164"/>
        <v>0</v>
      </c>
    </row>
    <row r="2096" spans="2:12" x14ac:dyDescent="0.2">
      <c r="B2096">
        <v>11061</v>
      </c>
      <c r="C2096">
        <v>60</v>
      </c>
      <c r="D2096" s="84">
        <v>34</v>
      </c>
      <c r="E2096">
        <v>15</v>
      </c>
      <c r="F2096" s="85">
        <v>0</v>
      </c>
      <c r="G2096" s="86">
        <f t="shared" si="160"/>
        <v>510</v>
      </c>
      <c r="H2096" s="86">
        <f t="shared" si="161"/>
        <v>0</v>
      </c>
      <c r="I2096" s="86">
        <f t="shared" si="162"/>
        <v>510</v>
      </c>
      <c r="J2096" s="84">
        <f>VLOOKUP(C2096, Products[], 6)</f>
        <v>34</v>
      </c>
      <c r="K2096" s="86">
        <f t="shared" si="163"/>
        <v>510</v>
      </c>
      <c r="L2096" s="86">
        <f t="shared" si="164"/>
        <v>0</v>
      </c>
    </row>
    <row r="2097" spans="2:12" x14ac:dyDescent="0.2">
      <c r="B2097">
        <v>11062</v>
      </c>
      <c r="C2097">
        <v>53</v>
      </c>
      <c r="D2097" s="84">
        <v>32.799999999999997</v>
      </c>
      <c r="E2097">
        <v>10</v>
      </c>
      <c r="F2097" s="85">
        <v>0.2</v>
      </c>
      <c r="G2097" s="86">
        <f t="shared" si="160"/>
        <v>328</v>
      </c>
      <c r="H2097" s="86">
        <f t="shared" si="161"/>
        <v>65.600000000000009</v>
      </c>
      <c r="I2097" s="86">
        <f t="shared" si="162"/>
        <v>262.39999999999998</v>
      </c>
      <c r="J2097" s="84">
        <f>VLOOKUP(C2097, Products[], 6)</f>
        <v>32.799999999999997</v>
      </c>
      <c r="K2097" s="86">
        <f t="shared" si="163"/>
        <v>328</v>
      </c>
      <c r="L2097" s="86">
        <f t="shared" si="164"/>
        <v>-65.600000000000023</v>
      </c>
    </row>
    <row r="2098" spans="2:12" x14ac:dyDescent="0.2">
      <c r="B2098">
        <v>11062</v>
      </c>
      <c r="C2098">
        <v>70</v>
      </c>
      <c r="D2098" s="84">
        <v>15</v>
      </c>
      <c r="E2098">
        <v>12</v>
      </c>
      <c r="F2098" s="85">
        <v>0.2</v>
      </c>
      <c r="G2098" s="86">
        <f t="shared" si="160"/>
        <v>180</v>
      </c>
      <c r="H2098" s="86">
        <f t="shared" si="161"/>
        <v>36</v>
      </c>
      <c r="I2098" s="86">
        <f t="shared" si="162"/>
        <v>144</v>
      </c>
      <c r="J2098" s="84">
        <f>VLOOKUP(C2098, Products[], 6)</f>
        <v>15</v>
      </c>
      <c r="K2098" s="86">
        <f t="shared" si="163"/>
        <v>180</v>
      </c>
      <c r="L2098" s="86">
        <f t="shared" si="164"/>
        <v>-36</v>
      </c>
    </row>
    <row r="2099" spans="2:12" x14ac:dyDescent="0.2">
      <c r="B2099">
        <v>11063</v>
      </c>
      <c r="C2099">
        <v>34</v>
      </c>
      <c r="D2099" s="84">
        <v>14</v>
      </c>
      <c r="E2099">
        <v>30</v>
      </c>
      <c r="F2099" s="85">
        <v>0</v>
      </c>
      <c r="G2099" s="86">
        <f t="shared" si="160"/>
        <v>420</v>
      </c>
      <c r="H2099" s="86">
        <f t="shared" si="161"/>
        <v>0</v>
      </c>
      <c r="I2099" s="86">
        <f t="shared" si="162"/>
        <v>420</v>
      </c>
      <c r="J2099" s="84">
        <f>VLOOKUP(C2099, Products[], 6)</f>
        <v>14</v>
      </c>
      <c r="K2099" s="86">
        <f t="shared" si="163"/>
        <v>420</v>
      </c>
      <c r="L2099" s="86">
        <f t="shared" si="164"/>
        <v>0</v>
      </c>
    </row>
    <row r="2100" spans="2:12" x14ac:dyDescent="0.2">
      <c r="B2100">
        <v>11063</v>
      </c>
      <c r="C2100">
        <v>40</v>
      </c>
      <c r="D2100" s="84">
        <v>18.399999999999999</v>
      </c>
      <c r="E2100">
        <v>40</v>
      </c>
      <c r="F2100" s="85">
        <v>0.1</v>
      </c>
      <c r="G2100" s="86">
        <f t="shared" si="160"/>
        <v>736</v>
      </c>
      <c r="H2100" s="86">
        <f t="shared" si="161"/>
        <v>73.600000000000009</v>
      </c>
      <c r="I2100" s="86">
        <f t="shared" si="162"/>
        <v>662.4</v>
      </c>
      <c r="J2100" s="84">
        <f>VLOOKUP(C2100, Products[], 6)</f>
        <v>18.399999999999999</v>
      </c>
      <c r="K2100" s="86">
        <f t="shared" si="163"/>
        <v>736</v>
      </c>
      <c r="L2100" s="86">
        <f t="shared" si="164"/>
        <v>-73.600000000000023</v>
      </c>
    </row>
    <row r="2101" spans="2:12" x14ac:dyDescent="0.2">
      <c r="B2101">
        <v>11063</v>
      </c>
      <c r="C2101">
        <v>41</v>
      </c>
      <c r="D2101" s="84">
        <v>9.65</v>
      </c>
      <c r="E2101">
        <v>30</v>
      </c>
      <c r="F2101" s="85">
        <v>0.1</v>
      </c>
      <c r="G2101" s="86">
        <f t="shared" si="160"/>
        <v>289.5</v>
      </c>
      <c r="H2101" s="86">
        <f t="shared" si="161"/>
        <v>28.950000000000003</v>
      </c>
      <c r="I2101" s="86">
        <f t="shared" si="162"/>
        <v>260.55</v>
      </c>
      <c r="J2101" s="84">
        <f>VLOOKUP(C2101, Products[], 6)</f>
        <v>9.65</v>
      </c>
      <c r="K2101" s="86">
        <f t="shared" si="163"/>
        <v>289.5</v>
      </c>
      <c r="L2101" s="86">
        <f t="shared" si="164"/>
        <v>-28.949999999999989</v>
      </c>
    </row>
    <row r="2102" spans="2:12" x14ac:dyDescent="0.2">
      <c r="B2102">
        <v>11064</v>
      </c>
      <c r="C2102">
        <v>17</v>
      </c>
      <c r="D2102" s="84">
        <v>39</v>
      </c>
      <c r="E2102">
        <v>77</v>
      </c>
      <c r="F2102" s="85">
        <v>0.1</v>
      </c>
      <c r="G2102" s="86">
        <f t="shared" si="160"/>
        <v>3003</v>
      </c>
      <c r="H2102" s="86">
        <f t="shared" si="161"/>
        <v>300.3</v>
      </c>
      <c r="I2102" s="86">
        <f t="shared" si="162"/>
        <v>2702.7</v>
      </c>
      <c r="J2102" s="84">
        <f>VLOOKUP(C2102, Products[], 6)</f>
        <v>39</v>
      </c>
      <c r="K2102" s="86">
        <f t="shared" si="163"/>
        <v>3003</v>
      </c>
      <c r="L2102" s="86">
        <f t="shared" si="164"/>
        <v>-300.30000000000018</v>
      </c>
    </row>
    <row r="2103" spans="2:12" x14ac:dyDescent="0.2">
      <c r="B2103">
        <v>11064</v>
      </c>
      <c r="C2103">
        <v>41</v>
      </c>
      <c r="D2103" s="84">
        <v>9.65</v>
      </c>
      <c r="E2103">
        <v>12</v>
      </c>
      <c r="F2103" s="85">
        <v>0</v>
      </c>
      <c r="G2103" s="86">
        <f t="shared" si="160"/>
        <v>115.80000000000001</v>
      </c>
      <c r="H2103" s="86">
        <f t="shared" si="161"/>
        <v>0</v>
      </c>
      <c r="I2103" s="86">
        <f t="shared" si="162"/>
        <v>115.80000000000001</v>
      </c>
      <c r="J2103" s="84">
        <f>VLOOKUP(C2103, Products[], 6)</f>
        <v>9.65</v>
      </c>
      <c r="K2103" s="86">
        <f t="shared" si="163"/>
        <v>115.80000000000001</v>
      </c>
      <c r="L2103" s="86">
        <f t="shared" si="164"/>
        <v>0</v>
      </c>
    </row>
    <row r="2104" spans="2:12" x14ac:dyDescent="0.2">
      <c r="B2104">
        <v>11064</v>
      </c>
      <c r="C2104">
        <v>53</v>
      </c>
      <c r="D2104" s="84">
        <v>32.799999999999997</v>
      </c>
      <c r="E2104">
        <v>25</v>
      </c>
      <c r="F2104" s="85">
        <v>0.1</v>
      </c>
      <c r="G2104" s="86">
        <f t="shared" si="160"/>
        <v>819.99999999999989</v>
      </c>
      <c r="H2104" s="86">
        <f t="shared" si="161"/>
        <v>82</v>
      </c>
      <c r="I2104" s="86">
        <f t="shared" si="162"/>
        <v>737.99999999999989</v>
      </c>
      <c r="J2104" s="84">
        <f>VLOOKUP(C2104, Products[], 6)</f>
        <v>32.799999999999997</v>
      </c>
      <c r="K2104" s="86">
        <f t="shared" si="163"/>
        <v>819.99999999999989</v>
      </c>
      <c r="L2104" s="86">
        <f t="shared" si="164"/>
        <v>-82</v>
      </c>
    </row>
    <row r="2105" spans="2:12" x14ac:dyDescent="0.2">
      <c r="B2105">
        <v>11064</v>
      </c>
      <c r="C2105">
        <v>55</v>
      </c>
      <c r="D2105" s="84">
        <v>24</v>
      </c>
      <c r="E2105">
        <v>4</v>
      </c>
      <c r="F2105" s="85">
        <v>0.1</v>
      </c>
      <c r="G2105" s="86">
        <f t="shared" si="160"/>
        <v>96</v>
      </c>
      <c r="H2105" s="86">
        <f t="shared" si="161"/>
        <v>9.6000000000000014</v>
      </c>
      <c r="I2105" s="86">
        <f t="shared" si="162"/>
        <v>86.4</v>
      </c>
      <c r="J2105" s="84">
        <f>VLOOKUP(C2105, Products[], 6)</f>
        <v>24</v>
      </c>
      <c r="K2105" s="86">
        <f t="shared" si="163"/>
        <v>96</v>
      </c>
      <c r="L2105" s="86">
        <f t="shared" si="164"/>
        <v>-9.5999999999999943</v>
      </c>
    </row>
    <row r="2106" spans="2:12" x14ac:dyDescent="0.2">
      <c r="B2106">
        <v>11064</v>
      </c>
      <c r="C2106">
        <v>68</v>
      </c>
      <c r="D2106" s="84">
        <v>12.5</v>
      </c>
      <c r="E2106">
        <v>55</v>
      </c>
      <c r="F2106" s="85">
        <v>0</v>
      </c>
      <c r="G2106" s="86">
        <f t="shared" si="160"/>
        <v>687.5</v>
      </c>
      <c r="H2106" s="86">
        <f t="shared" si="161"/>
        <v>0</v>
      </c>
      <c r="I2106" s="86">
        <f t="shared" si="162"/>
        <v>687.5</v>
      </c>
      <c r="J2106" s="84">
        <f>VLOOKUP(C2106, Products[], 6)</f>
        <v>12.5</v>
      </c>
      <c r="K2106" s="86">
        <f t="shared" si="163"/>
        <v>687.5</v>
      </c>
      <c r="L2106" s="86">
        <f t="shared" si="164"/>
        <v>0</v>
      </c>
    </row>
    <row r="2107" spans="2:12" x14ac:dyDescent="0.2">
      <c r="B2107">
        <v>11065</v>
      </c>
      <c r="C2107">
        <v>30</v>
      </c>
      <c r="D2107" s="84">
        <v>25.89</v>
      </c>
      <c r="E2107">
        <v>4</v>
      </c>
      <c r="F2107" s="85">
        <v>0.25</v>
      </c>
      <c r="G2107" s="86">
        <f t="shared" si="160"/>
        <v>103.56</v>
      </c>
      <c r="H2107" s="86">
        <f t="shared" si="161"/>
        <v>25.89</v>
      </c>
      <c r="I2107" s="86">
        <f t="shared" si="162"/>
        <v>77.67</v>
      </c>
      <c r="J2107" s="84">
        <f>VLOOKUP(C2107, Products[], 6)</f>
        <v>25.89</v>
      </c>
      <c r="K2107" s="86">
        <f t="shared" si="163"/>
        <v>103.56</v>
      </c>
      <c r="L2107" s="86">
        <f t="shared" si="164"/>
        <v>-25.89</v>
      </c>
    </row>
    <row r="2108" spans="2:12" x14ac:dyDescent="0.2">
      <c r="B2108">
        <v>11065</v>
      </c>
      <c r="C2108">
        <v>54</v>
      </c>
      <c r="D2108" s="84">
        <v>7.45</v>
      </c>
      <c r="E2108">
        <v>20</v>
      </c>
      <c r="F2108" s="85">
        <v>0.25</v>
      </c>
      <c r="G2108" s="86">
        <f t="shared" si="160"/>
        <v>149</v>
      </c>
      <c r="H2108" s="86">
        <f t="shared" si="161"/>
        <v>37.25</v>
      </c>
      <c r="I2108" s="86">
        <f t="shared" si="162"/>
        <v>111.75</v>
      </c>
      <c r="J2108" s="84">
        <f>VLOOKUP(C2108, Products[], 6)</f>
        <v>7.45</v>
      </c>
      <c r="K2108" s="86">
        <f t="shared" si="163"/>
        <v>149</v>
      </c>
      <c r="L2108" s="86">
        <f t="shared" si="164"/>
        <v>-37.25</v>
      </c>
    </row>
    <row r="2109" spans="2:12" x14ac:dyDescent="0.2">
      <c r="B2109">
        <v>11066</v>
      </c>
      <c r="C2109">
        <v>16</v>
      </c>
      <c r="D2109" s="84">
        <v>17.45</v>
      </c>
      <c r="E2109">
        <v>3</v>
      </c>
      <c r="F2109" s="85">
        <v>0</v>
      </c>
      <c r="G2109" s="86">
        <f t="shared" si="160"/>
        <v>52.349999999999994</v>
      </c>
      <c r="H2109" s="86">
        <f t="shared" si="161"/>
        <v>0</v>
      </c>
      <c r="I2109" s="86">
        <f t="shared" si="162"/>
        <v>52.349999999999994</v>
      </c>
      <c r="J2109" s="84">
        <f>VLOOKUP(C2109, Products[], 6)</f>
        <v>17.45</v>
      </c>
      <c r="K2109" s="86">
        <f t="shared" si="163"/>
        <v>52.349999999999994</v>
      </c>
      <c r="L2109" s="86">
        <f t="shared" si="164"/>
        <v>0</v>
      </c>
    </row>
    <row r="2110" spans="2:12" x14ac:dyDescent="0.2">
      <c r="B2110">
        <v>11066</v>
      </c>
      <c r="C2110">
        <v>19</v>
      </c>
      <c r="D2110" s="84">
        <v>9.1999999999999993</v>
      </c>
      <c r="E2110">
        <v>42</v>
      </c>
      <c r="F2110" s="85">
        <v>0</v>
      </c>
      <c r="G2110" s="86">
        <f t="shared" si="160"/>
        <v>386.4</v>
      </c>
      <c r="H2110" s="86">
        <f t="shared" si="161"/>
        <v>0</v>
      </c>
      <c r="I2110" s="86">
        <f t="shared" si="162"/>
        <v>386.4</v>
      </c>
      <c r="J2110" s="84">
        <f>VLOOKUP(C2110, Products[], 6)</f>
        <v>9.1999999999999993</v>
      </c>
      <c r="K2110" s="86">
        <f t="shared" si="163"/>
        <v>386.4</v>
      </c>
      <c r="L2110" s="86">
        <f t="shared" si="164"/>
        <v>0</v>
      </c>
    </row>
    <row r="2111" spans="2:12" x14ac:dyDescent="0.2">
      <c r="B2111">
        <v>11066</v>
      </c>
      <c r="C2111">
        <v>34</v>
      </c>
      <c r="D2111" s="84">
        <v>14</v>
      </c>
      <c r="E2111">
        <v>35</v>
      </c>
      <c r="F2111" s="85">
        <v>0</v>
      </c>
      <c r="G2111" s="86">
        <f t="shared" si="160"/>
        <v>490</v>
      </c>
      <c r="H2111" s="86">
        <f t="shared" si="161"/>
        <v>0</v>
      </c>
      <c r="I2111" s="86">
        <f t="shared" si="162"/>
        <v>490</v>
      </c>
      <c r="J2111" s="84">
        <f>VLOOKUP(C2111, Products[], 6)</f>
        <v>14</v>
      </c>
      <c r="K2111" s="86">
        <f t="shared" si="163"/>
        <v>490</v>
      </c>
      <c r="L2111" s="86">
        <f t="shared" si="164"/>
        <v>0</v>
      </c>
    </row>
    <row r="2112" spans="2:12" x14ac:dyDescent="0.2">
      <c r="B2112">
        <v>11067</v>
      </c>
      <c r="C2112">
        <v>41</v>
      </c>
      <c r="D2112" s="84">
        <v>9.65</v>
      </c>
      <c r="E2112">
        <v>9</v>
      </c>
      <c r="F2112" s="85">
        <v>0</v>
      </c>
      <c r="G2112" s="86">
        <f t="shared" si="160"/>
        <v>86.850000000000009</v>
      </c>
      <c r="H2112" s="86">
        <f t="shared" si="161"/>
        <v>0</v>
      </c>
      <c r="I2112" s="86">
        <f t="shared" si="162"/>
        <v>86.850000000000009</v>
      </c>
      <c r="J2112" s="84">
        <f>VLOOKUP(C2112, Products[], 6)</f>
        <v>9.65</v>
      </c>
      <c r="K2112" s="86">
        <f t="shared" si="163"/>
        <v>86.850000000000009</v>
      </c>
      <c r="L2112" s="86">
        <f t="shared" si="164"/>
        <v>0</v>
      </c>
    </row>
    <row r="2113" spans="2:12" x14ac:dyDescent="0.2">
      <c r="B2113">
        <v>11068</v>
      </c>
      <c r="C2113">
        <v>28</v>
      </c>
      <c r="D2113" s="84">
        <v>45.6</v>
      </c>
      <c r="E2113">
        <v>8</v>
      </c>
      <c r="F2113" s="85">
        <v>0.15</v>
      </c>
      <c r="G2113" s="86">
        <f t="shared" si="160"/>
        <v>364.8</v>
      </c>
      <c r="H2113" s="86">
        <f t="shared" si="161"/>
        <v>54.72</v>
      </c>
      <c r="I2113" s="86">
        <f t="shared" si="162"/>
        <v>310.08000000000004</v>
      </c>
      <c r="J2113" s="84">
        <f>VLOOKUP(C2113, Products[], 6)</f>
        <v>45.6</v>
      </c>
      <c r="K2113" s="86">
        <f t="shared" si="163"/>
        <v>364.8</v>
      </c>
      <c r="L2113" s="86">
        <f t="shared" si="164"/>
        <v>-54.71999999999997</v>
      </c>
    </row>
    <row r="2114" spans="2:12" x14ac:dyDescent="0.2">
      <c r="B2114">
        <v>11068</v>
      </c>
      <c r="C2114">
        <v>43</v>
      </c>
      <c r="D2114" s="84">
        <v>46</v>
      </c>
      <c r="E2114">
        <v>36</v>
      </c>
      <c r="F2114" s="85">
        <v>0.15</v>
      </c>
      <c r="G2114" s="86">
        <f t="shared" si="160"/>
        <v>1656</v>
      </c>
      <c r="H2114" s="86">
        <f t="shared" si="161"/>
        <v>248.39999999999998</v>
      </c>
      <c r="I2114" s="86">
        <f t="shared" si="162"/>
        <v>1407.6</v>
      </c>
      <c r="J2114" s="84">
        <f>VLOOKUP(C2114, Products[], 6)</f>
        <v>46</v>
      </c>
      <c r="K2114" s="86">
        <f t="shared" si="163"/>
        <v>1656</v>
      </c>
      <c r="L2114" s="86">
        <f t="shared" si="164"/>
        <v>-248.40000000000009</v>
      </c>
    </row>
    <row r="2115" spans="2:12" x14ac:dyDescent="0.2">
      <c r="B2115">
        <v>11068</v>
      </c>
      <c r="C2115">
        <v>77</v>
      </c>
      <c r="D2115" s="84">
        <v>13</v>
      </c>
      <c r="E2115">
        <v>28</v>
      </c>
      <c r="F2115" s="85">
        <v>0.15</v>
      </c>
      <c r="G2115" s="86">
        <f t="shared" si="160"/>
        <v>364</v>
      </c>
      <c r="H2115" s="86">
        <f t="shared" si="161"/>
        <v>54.6</v>
      </c>
      <c r="I2115" s="86">
        <f t="shared" si="162"/>
        <v>309.39999999999998</v>
      </c>
      <c r="J2115" s="84">
        <f>VLOOKUP(C2115, Products[], 6)</f>
        <v>13</v>
      </c>
      <c r="K2115" s="86">
        <f t="shared" si="163"/>
        <v>364</v>
      </c>
      <c r="L2115" s="86">
        <f t="shared" si="164"/>
        <v>-54.600000000000023</v>
      </c>
    </row>
    <row r="2116" spans="2:12" x14ac:dyDescent="0.2">
      <c r="B2116">
        <v>11069</v>
      </c>
      <c r="C2116">
        <v>39</v>
      </c>
      <c r="D2116" s="84">
        <v>18</v>
      </c>
      <c r="E2116">
        <v>20</v>
      </c>
      <c r="F2116" s="85">
        <v>0</v>
      </c>
      <c r="G2116" s="86">
        <f t="shared" si="160"/>
        <v>360</v>
      </c>
      <c r="H2116" s="86">
        <f t="shared" si="161"/>
        <v>0</v>
      </c>
      <c r="I2116" s="86">
        <f t="shared" si="162"/>
        <v>360</v>
      </c>
      <c r="J2116" s="84">
        <f>VLOOKUP(C2116, Products[], 6)</f>
        <v>18</v>
      </c>
      <c r="K2116" s="86">
        <f t="shared" si="163"/>
        <v>360</v>
      </c>
      <c r="L2116" s="86">
        <f t="shared" si="164"/>
        <v>0</v>
      </c>
    </row>
    <row r="2117" spans="2:12" x14ac:dyDescent="0.2">
      <c r="B2117">
        <v>11070</v>
      </c>
      <c r="C2117">
        <v>1</v>
      </c>
      <c r="D2117" s="84">
        <v>18</v>
      </c>
      <c r="E2117">
        <v>40</v>
      </c>
      <c r="F2117" s="85">
        <v>0.15</v>
      </c>
      <c r="G2117" s="86">
        <f t="shared" si="160"/>
        <v>720</v>
      </c>
      <c r="H2117" s="86">
        <f t="shared" si="161"/>
        <v>108</v>
      </c>
      <c r="I2117" s="86">
        <f t="shared" si="162"/>
        <v>612</v>
      </c>
      <c r="J2117" s="84">
        <f>VLOOKUP(C2117, Products[], 6)</f>
        <v>18</v>
      </c>
      <c r="K2117" s="86">
        <f t="shared" si="163"/>
        <v>720</v>
      </c>
      <c r="L2117" s="86">
        <f t="shared" si="164"/>
        <v>-108</v>
      </c>
    </row>
    <row r="2118" spans="2:12" x14ac:dyDescent="0.2">
      <c r="B2118">
        <v>11070</v>
      </c>
      <c r="C2118">
        <v>2</v>
      </c>
      <c r="D2118" s="84">
        <v>19</v>
      </c>
      <c r="E2118">
        <v>20</v>
      </c>
      <c r="F2118" s="85">
        <v>0.15</v>
      </c>
      <c r="G2118" s="86">
        <f t="shared" si="160"/>
        <v>380</v>
      </c>
      <c r="H2118" s="86">
        <f t="shared" si="161"/>
        <v>57</v>
      </c>
      <c r="I2118" s="86">
        <f t="shared" si="162"/>
        <v>323</v>
      </c>
      <c r="J2118" s="84">
        <f>VLOOKUP(C2118, Products[], 6)</f>
        <v>19</v>
      </c>
      <c r="K2118" s="86">
        <f t="shared" si="163"/>
        <v>380</v>
      </c>
      <c r="L2118" s="86">
        <f t="shared" si="164"/>
        <v>-57</v>
      </c>
    </row>
    <row r="2119" spans="2:12" x14ac:dyDescent="0.2">
      <c r="B2119">
        <v>11070</v>
      </c>
      <c r="C2119">
        <v>16</v>
      </c>
      <c r="D2119" s="84">
        <v>17.45</v>
      </c>
      <c r="E2119">
        <v>30</v>
      </c>
      <c r="F2119" s="85">
        <v>0.15</v>
      </c>
      <c r="G2119" s="86">
        <f t="shared" ref="G2119:G2160" si="165">D2119*E2119</f>
        <v>523.5</v>
      </c>
      <c r="H2119" s="86">
        <f t="shared" ref="H2119:H2160" si="166">G2119*F2119</f>
        <v>78.524999999999991</v>
      </c>
      <c r="I2119" s="86">
        <f t="shared" ref="I2119:I2160" si="167">G2119-H2119</f>
        <v>444.97500000000002</v>
      </c>
      <c r="J2119" s="84">
        <f>VLOOKUP(C2119, Products[], 6)</f>
        <v>17.45</v>
      </c>
      <c r="K2119" s="86">
        <f t="shared" ref="K2119:K2160" si="168">J2119*E2119</f>
        <v>523.5</v>
      </c>
      <c r="L2119" s="86">
        <f t="shared" ref="L2119:L2160" si="169">I2119-K2119</f>
        <v>-78.524999999999977</v>
      </c>
    </row>
    <row r="2120" spans="2:12" x14ac:dyDescent="0.2">
      <c r="B2120">
        <v>11070</v>
      </c>
      <c r="C2120">
        <v>31</v>
      </c>
      <c r="D2120" s="84">
        <v>12.5</v>
      </c>
      <c r="E2120">
        <v>20</v>
      </c>
      <c r="F2120" s="85">
        <v>0</v>
      </c>
      <c r="G2120" s="86">
        <f t="shared" si="165"/>
        <v>250</v>
      </c>
      <c r="H2120" s="86">
        <f t="shared" si="166"/>
        <v>0</v>
      </c>
      <c r="I2120" s="86">
        <f t="shared" si="167"/>
        <v>250</v>
      </c>
      <c r="J2120" s="84">
        <f>VLOOKUP(C2120, Products[], 6)</f>
        <v>12.5</v>
      </c>
      <c r="K2120" s="86">
        <f t="shared" si="168"/>
        <v>250</v>
      </c>
      <c r="L2120" s="86">
        <f t="shared" si="169"/>
        <v>0</v>
      </c>
    </row>
    <row r="2121" spans="2:12" x14ac:dyDescent="0.2">
      <c r="B2121">
        <v>11071</v>
      </c>
      <c r="C2121">
        <v>7</v>
      </c>
      <c r="D2121" s="84">
        <v>30</v>
      </c>
      <c r="E2121">
        <v>15</v>
      </c>
      <c r="F2121" s="85">
        <v>0.05</v>
      </c>
      <c r="G2121" s="86">
        <f t="shared" si="165"/>
        <v>450</v>
      </c>
      <c r="H2121" s="86">
        <f t="shared" si="166"/>
        <v>22.5</v>
      </c>
      <c r="I2121" s="86">
        <f t="shared" si="167"/>
        <v>427.5</v>
      </c>
      <c r="J2121" s="84">
        <f>VLOOKUP(C2121, Products[], 6)</f>
        <v>30</v>
      </c>
      <c r="K2121" s="86">
        <f t="shared" si="168"/>
        <v>450</v>
      </c>
      <c r="L2121" s="86">
        <f t="shared" si="169"/>
        <v>-22.5</v>
      </c>
    </row>
    <row r="2122" spans="2:12" x14ac:dyDescent="0.2">
      <c r="B2122">
        <v>11071</v>
      </c>
      <c r="C2122">
        <v>13</v>
      </c>
      <c r="D2122" s="84">
        <v>6</v>
      </c>
      <c r="E2122">
        <v>10</v>
      </c>
      <c r="F2122" s="85">
        <v>0.05</v>
      </c>
      <c r="G2122" s="86">
        <f t="shared" si="165"/>
        <v>60</v>
      </c>
      <c r="H2122" s="86">
        <f t="shared" si="166"/>
        <v>3</v>
      </c>
      <c r="I2122" s="86">
        <f t="shared" si="167"/>
        <v>57</v>
      </c>
      <c r="J2122" s="84">
        <f>VLOOKUP(C2122, Products[], 6)</f>
        <v>6</v>
      </c>
      <c r="K2122" s="86">
        <f t="shared" si="168"/>
        <v>60</v>
      </c>
      <c r="L2122" s="86">
        <f t="shared" si="169"/>
        <v>-3</v>
      </c>
    </row>
    <row r="2123" spans="2:12" x14ac:dyDescent="0.2">
      <c r="B2123">
        <v>11072</v>
      </c>
      <c r="C2123">
        <v>2</v>
      </c>
      <c r="D2123" s="84">
        <v>19</v>
      </c>
      <c r="E2123">
        <v>8</v>
      </c>
      <c r="F2123" s="85">
        <v>0</v>
      </c>
      <c r="G2123" s="86">
        <f t="shared" si="165"/>
        <v>152</v>
      </c>
      <c r="H2123" s="86">
        <f t="shared" si="166"/>
        <v>0</v>
      </c>
      <c r="I2123" s="86">
        <f t="shared" si="167"/>
        <v>152</v>
      </c>
      <c r="J2123" s="84">
        <f>VLOOKUP(C2123, Products[], 6)</f>
        <v>19</v>
      </c>
      <c r="K2123" s="86">
        <f t="shared" si="168"/>
        <v>152</v>
      </c>
      <c r="L2123" s="86">
        <f t="shared" si="169"/>
        <v>0</v>
      </c>
    </row>
    <row r="2124" spans="2:12" x14ac:dyDescent="0.2">
      <c r="B2124">
        <v>11072</v>
      </c>
      <c r="C2124">
        <v>41</v>
      </c>
      <c r="D2124" s="84">
        <v>9.65</v>
      </c>
      <c r="E2124">
        <v>40</v>
      </c>
      <c r="F2124" s="85">
        <v>0</v>
      </c>
      <c r="G2124" s="86">
        <f t="shared" si="165"/>
        <v>386</v>
      </c>
      <c r="H2124" s="86">
        <f t="shared" si="166"/>
        <v>0</v>
      </c>
      <c r="I2124" s="86">
        <f t="shared" si="167"/>
        <v>386</v>
      </c>
      <c r="J2124" s="84">
        <f>VLOOKUP(C2124, Products[], 6)</f>
        <v>9.65</v>
      </c>
      <c r="K2124" s="86">
        <f t="shared" si="168"/>
        <v>386</v>
      </c>
      <c r="L2124" s="86">
        <f t="shared" si="169"/>
        <v>0</v>
      </c>
    </row>
    <row r="2125" spans="2:12" x14ac:dyDescent="0.2">
      <c r="B2125">
        <v>11072</v>
      </c>
      <c r="C2125">
        <v>50</v>
      </c>
      <c r="D2125" s="84">
        <v>16.25</v>
      </c>
      <c r="E2125">
        <v>22</v>
      </c>
      <c r="F2125" s="85">
        <v>0</v>
      </c>
      <c r="G2125" s="86">
        <f t="shared" si="165"/>
        <v>357.5</v>
      </c>
      <c r="H2125" s="86">
        <f t="shared" si="166"/>
        <v>0</v>
      </c>
      <c r="I2125" s="86">
        <f t="shared" si="167"/>
        <v>357.5</v>
      </c>
      <c r="J2125" s="84">
        <f>VLOOKUP(C2125, Products[], 6)</f>
        <v>16.25</v>
      </c>
      <c r="K2125" s="86">
        <f t="shared" si="168"/>
        <v>357.5</v>
      </c>
      <c r="L2125" s="86">
        <f t="shared" si="169"/>
        <v>0</v>
      </c>
    </row>
    <row r="2126" spans="2:12" x14ac:dyDescent="0.2">
      <c r="B2126">
        <v>11072</v>
      </c>
      <c r="C2126">
        <v>64</v>
      </c>
      <c r="D2126" s="84">
        <v>33.25</v>
      </c>
      <c r="E2126">
        <v>130</v>
      </c>
      <c r="F2126" s="85">
        <v>0</v>
      </c>
      <c r="G2126" s="86">
        <f t="shared" si="165"/>
        <v>4322.5</v>
      </c>
      <c r="H2126" s="86">
        <f t="shared" si="166"/>
        <v>0</v>
      </c>
      <c r="I2126" s="86">
        <f t="shared" si="167"/>
        <v>4322.5</v>
      </c>
      <c r="J2126" s="84">
        <f>VLOOKUP(C2126, Products[], 6)</f>
        <v>33.25</v>
      </c>
      <c r="K2126" s="86">
        <f t="shared" si="168"/>
        <v>4322.5</v>
      </c>
      <c r="L2126" s="86">
        <f t="shared" si="169"/>
        <v>0</v>
      </c>
    </row>
    <row r="2127" spans="2:12" x14ac:dyDescent="0.2">
      <c r="B2127">
        <v>11073</v>
      </c>
      <c r="C2127">
        <v>11</v>
      </c>
      <c r="D2127" s="84">
        <v>21</v>
      </c>
      <c r="E2127">
        <v>10</v>
      </c>
      <c r="F2127" s="85">
        <v>0</v>
      </c>
      <c r="G2127" s="86">
        <f t="shared" si="165"/>
        <v>210</v>
      </c>
      <c r="H2127" s="86">
        <f t="shared" si="166"/>
        <v>0</v>
      </c>
      <c r="I2127" s="86">
        <f t="shared" si="167"/>
        <v>210</v>
      </c>
      <c r="J2127" s="84">
        <f>VLOOKUP(C2127, Products[], 6)</f>
        <v>21</v>
      </c>
      <c r="K2127" s="86">
        <f t="shared" si="168"/>
        <v>210</v>
      </c>
      <c r="L2127" s="86">
        <f t="shared" si="169"/>
        <v>0</v>
      </c>
    </row>
    <row r="2128" spans="2:12" x14ac:dyDescent="0.2">
      <c r="B2128">
        <v>11073</v>
      </c>
      <c r="C2128">
        <v>24</v>
      </c>
      <c r="D2128" s="84">
        <v>4.5</v>
      </c>
      <c r="E2128">
        <v>20</v>
      </c>
      <c r="F2128" s="85">
        <v>0</v>
      </c>
      <c r="G2128" s="86">
        <f t="shared" si="165"/>
        <v>90</v>
      </c>
      <c r="H2128" s="86">
        <f t="shared" si="166"/>
        <v>0</v>
      </c>
      <c r="I2128" s="86">
        <f t="shared" si="167"/>
        <v>90</v>
      </c>
      <c r="J2128" s="84">
        <f>VLOOKUP(C2128, Products[], 6)</f>
        <v>4.5</v>
      </c>
      <c r="K2128" s="86">
        <f t="shared" si="168"/>
        <v>90</v>
      </c>
      <c r="L2128" s="86">
        <f t="shared" si="169"/>
        <v>0</v>
      </c>
    </row>
    <row r="2129" spans="2:12" x14ac:dyDescent="0.2">
      <c r="B2129">
        <v>11074</v>
      </c>
      <c r="C2129">
        <v>16</v>
      </c>
      <c r="D2129" s="84">
        <v>17.45</v>
      </c>
      <c r="E2129">
        <v>14</v>
      </c>
      <c r="F2129" s="85">
        <v>0.05</v>
      </c>
      <c r="G2129" s="86">
        <f t="shared" si="165"/>
        <v>244.29999999999998</v>
      </c>
      <c r="H2129" s="86">
        <f t="shared" si="166"/>
        <v>12.215</v>
      </c>
      <c r="I2129" s="86">
        <f t="shared" si="167"/>
        <v>232.08499999999998</v>
      </c>
      <c r="J2129" s="84">
        <f>VLOOKUP(C2129, Products[], 6)</f>
        <v>17.45</v>
      </c>
      <c r="K2129" s="86">
        <f t="shared" si="168"/>
        <v>244.29999999999998</v>
      </c>
      <c r="L2129" s="86">
        <f t="shared" si="169"/>
        <v>-12.215000000000003</v>
      </c>
    </row>
    <row r="2130" spans="2:12" x14ac:dyDescent="0.2">
      <c r="B2130">
        <v>11075</v>
      </c>
      <c r="C2130">
        <v>2</v>
      </c>
      <c r="D2130" s="84">
        <v>19</v>
      </c>
      <c r="E2130">
        <v>10</v>
      </c>
      <c r="F2130" s="85">
        <v>0.15</v>
      </c>
      <c r="G2130" s="86">
        <f t="shared" si="165"/>
        <v>190</v>
      </c>
      <c r="H2130" s="86">
        <f t="shared" si="166"/>
        <v>28.5</v>
      </c>
      <c r="I2130" s="86">
        <f t="shared" si="167"/>
        <v>161.5</v>
      </c>
      <c r="J2130" s="84">
        <f>VLOOKUP(C2130, Products[], 6)</f>
        <v>19</v>
      </c>
      <c r="K2130" s="86">
        <f t="shared" si="168"/>
        <v>190</v>
      </c>
      <c r="L2130" s="86">
        <f t="shared" si="169"/>
        <v>-28.5</v>
      </c>
    </row>
    <row r="2131" spans="2:12" x14ac:dyDescent="0.2">
      <c r="B2131">
        <v>11075</v>
      </c>
      <c r="C2131">
        <v>46</v>
      </c>
      <c r="D2131" s="84">
        <v>12</v>
      </c>
      <c r="E2131">
        <v>30</v>
      </c>
      <c r="F2131" s="85">
        <v>0.15</v>
      </c>
      <c r="G2131" s="86">
        <f t="shared" si="165"/>
        <v>360</v>
      </c>
      <c r="H2131" s="86">
        <f t="shared" si="166"/>
        <v>54</v>
      </c>
      <c r="I2131" s="86">
        <f t="shared" si="167"/>
        <v>306</v>
      </c>
      <c r="J2131" s="84">
        <f>VLOOKUP(C2131, Products[], 6)</f>
        <v>12</v>
      </c>
      <c r="K2131" s="86">
        <f t="shared" si="168"/>
        <v>360</v>
      </c>
      <c r="L2131" s="86">
        <f t="shared" si="169"/>
        <v>-54</v>
      </c>
    </row>
    <row r="2132" spans="2:12" x14ac:dyDescent="0.2">
      <c r="B2132">
        <v>11075</v>
      </c>
      <c r="C2132">
        <v>76</v>
      </c>
      <c r="D2132" s="84">
        <v>18</v>
      </c>
      <c r="E2132">
        <v>2</v>
      </c>
      <c r="F2132" s="85">
        <v>0.15</v>
      </c>
      <c r="G2132" s="86">
        <f t="shared" si="165"/>
        <v>36</v>
      </c>
      <c r="H2132" s="86">
        <f t="shared" si="166"/>
        <v>5.3999999999999995</v>
      </c>
      <c r="I2132" s="86">
        <f t="shared" si="167"/>
        <v>30.6</v>
      </c>
      <c r="J2132" s="84">
        <f>VLOOKUP(C2132, Products[], 6)</f>
        <v>18</v>
      </c>
      <c r="K2132" s="86">
        <f t="shared" si="168"/>
        <v>36</v>
      </c>
      <c r="L2132" s="86">
        <f t="shared" si="169"/>
        <v>-5.3999999999999986</v>
      </c>
    </row>
    <row r="2133" spans="2:12" x14ac:dyDescent="0.2">
      <c r="B2133">
        <v>11076</v>
      </c>
      <c r="C2133">
        <v>6</v>
      </c>
      <c r="D2133" s="84">
        <v>25</v>
      </c>
      <c r="E2133">
        <v>20</v>
      </c>
      <c r="F2133" s="85">
        <v>0.25</v>
      </c>
      <c r="G2133" s="86">
        <f t="shared" si="165"/>
        <v>500</v>
      </c>
      <c r="H2133" s="86">
        <f t="shared" si="166"/>
        <v>125</v>
      </c>
      <c r="I2133" s="86">
        <f t="shared" si="167"/>
        <v>375</v>
      </c>
      <c r="J2133" s="84">
        <f>VLOOKUP(C2133, Products[], 6)</f>
        <v>25</v>
      </c>
      <c r="K2133" s="86">
        <f t="shared" si="168"/>
        <v>500</v>
      </c>
      <c r="L2133" s="86">
        <f t="shared" si="169"/>
        <v>-125</v>
      </c>
    </row>
    <row r="2134" spans="2:12" x14ac:dyDescent="0.2">
      <c r="B2134">
        <v>11076</v>
      </c>
      <c r="C2134">
        <v>14</v>
      </c>
      <c r="D2134" s="84">
        <v>23.25</v>
      </c>
      <c r="E2134">
        <v>20</v>
      </c>
      <c r="F2134" s="85">
        <v>0.25</v>
      </c>
      <c r="G2134" s="86">
        <f t="shared" si="165"/>
        <v>465</v>
      </c>
      <c r="H2134" s="86">
        <f t="shared" si="166"/>
        <v>116.25</v>
      </c>
      <c r="I2134" s="86">
        <f t="shared" si="167"/>
        <v>348.75</v>
      </c>
      <c r="J2134" s="84">
        <f>VLOOKUP(C2134, Products[], 6)</f>
        <v>23.25</v>
      </c>
      <c r="K2134" s="86">
        <f t="shared" si="168"/>
        <v>465</v>
      </c>
      <c r="L2134" s="86">
        <f t="shared" si="169"/>
        <v>-116.25</v>
      </c>
    </row>
    <row r="2135" spans="2:12" x14ac:dyDescent="0.2">
      <c r="B2135">
        <v>11076</v>
      </c>
      <c r="C2135">
        <v>19</v>
      </c>
      <c r="D2135" s="84">
        <v>9.1999999999999993</v>
      </c>
      <c r="E2135">
        <v>10</v>
      </c>
      <c r="F2135" s="85">
        <v>0.25</v>
      </c>
      <c r="G2135" s="86">
        <f t="shared" si="165"/>
        <v>92</v>
      </c>
      <c r="H2135" s="86">
        <f t="shared" si="166"/>
        <v>23</v>
      </c>
      <c r="I2135" s="86">
        <f t="shared" si="167"/>
        <v>69</v>
      </c>
      <c r="J2135" s="84">
        <f>VLOOKUP(C2135, Products[], 6)</f>
        <v>9.1999999999999993</v>
      </c>
      <c r="K2135" s="86">
        <f t="shared" si="168"/>
        <v>92</v>
      </c>
      <c r="L2135" s="86">
        <f t="shared" si="169"/>
        <v>-23</v>
      </c>
    </row>
    <row r="2136" spans="2:12" x14ac:dyDescent="0.2">
      <c r="B2136">
        <v>11077</v>
      </c>
      <c r="C2136">
        <v>2</v>
      </c>
      <c r="D2136" s="84">
        <v>19</v>
      </c>
      <c r="E2136">
        <v>24</v>
      </c>
      <c r="F2136" s="85">
        <v>0.2</v>
      </c>
      <c r="G2136" s="86">
        <f t="shared" si="165"/>
        <v>456</v>
      </c>
      <c r="H2136" s="86">
        <f t="shared" si="166"/>
        <v>91.2</v>
      </c>
      <c r="I2136" s="86">
        <f t="shared" si="167"/>
        <v>364.8</v>
      </c>
      <c r="J2136" s="84">
        <f>VLOOKUP(C2136, Products[], 6)</f>
        <v>19</v>
      </c>
      <c r="K2136" s="86">
        <f t="shared" si="168"/>
        <v>456</v>
      </c>
      <c r="L2136" s="86">
        <f t="shared" si="169"/>
        <v>-91.199999999999989</v>
      </c>
    </row>
    <row r="2137" spans="2:12" x14ac:dyDescent="0.2">
      <c r="B2137">
        <v>11077</v>
      </c>
      <c r="C2137">
        <v>3</v>
      </c>
      <c r="D2137" s="84">
        <v>10</v>
      </c>
      <c r="E2137">
        <v>4</v>
      </c>
      <c r="F2137" s="85">
        <v>0</v>
      </c>
      <c r="G2137" s="86">
        <f t="shared" si="165"/>
        <v>40</v>
      </c>
      <c r="H2137" s="86">
        <f t="shared" si="166"/>
        <v>0</v>
      </c>
      <c r="I2137" s="86">
        <f t="shared" si="167"/>
        <v>40</v>
      </c>
      <c r="J2137" s="84">
        <f>VLOOKUP(C2137, Products[], 6)</f>
        <v>10</v>
      </c>
      <c r="K2137" s="86">
        <f t="shared" si="168"/>
        <v>40</v>
      </c>
      <c r="L2137" s="86">
        <f t="shared" si="169"/>
        <v>0</v>
      </c>
    </row>
    <row r="2138" spans="2:12" x14ac:dyDescent="0.2">
      <c r="B2138">
        <v>11077</v>
      </c>
      <c r="C2138">
        <v>4</v>
      </c>
      <c r="D2138" s="84">
        <v>22</v>
      </c>
      <c r="E2138">
        <v>1</v>
      </c>
      <c r="F2138" s="85">
        <v>0</v>
      </c>
      <c r="G2138" s="86">
        <f t="shared" si="165"/>
        <v>22</v>
      </c>
      <c r="H2138" s="86">
        <f t="shared" si="166"/>
        <v>0</v>
      </c>
      <c r="I2138" s="86">
        <f t="shared" si="167"/>
        <v>22</v>
      </c>
      <c r="J2138" s="84">
        <f>VLOOKUP(C2138, Products[], 6)</f>
        <v>22</v>
      </c>
      <c r="K2138" s="86">
        <f t="shared" si="168"/>
        <v>22</v>
      </c>
      <c r="L2138" s="86">
        <f t="shared" si="169"/>
        <v>0</v>
      </c>
    </row>
    <row r="2139" spans="2:12" x14ac:dyDescent="0.2">
      <c r="B2139">
        <v>11077</v>
      </c>
      <c r="C2139">
        <v>6</v>
      </c>
      <c r="D2139" s="84">
        <v>25</v>
      </c>
      <c r="E2139">
        <v>1</v>
      </c>
      <c r="F2139" s="85">
        <v>0.02</v>
      </c>
      <c r="G2139" s="86">
        <f t="shared" si="165"/>
        <v>25</v>
      </c>
      <c r="H2139" s="86">
        <f t="shared" si="166"/>
        <v>0.5</v>
      </c>
      <c r="I2139" s="86">
        <f t="shared" si="167"/>
        <v>24.5</v>
      </c>
      <c r="J2139" s="84">
        <f>VLOOKUP(C2139, Products[], 6)</f>
        <v>25</v>
      </c>
      <c r="K2139" s="86">
        <f t="shared" si="168"/>
        <v>25</v>
      </c>
      <c r="L2139" s="86">
        <f t="shared" si="169"/>
        <v>-0.5</v>
      </c>
    </row>
    <row r="2140" spans="2:12" x14ac:dyDescent="0.2">
      <c r="B2140">
        <v>11077</v>
      </c>
      <c r="C2140">
        <v>7</v>
      </c>
      <c r="D2140" s="84">
        <v>30</v>
      </c>
      <c r="E2140">
        <v>1</v>
      </c>
      <c r="F2140" s="85">
        <v>0.05</v>
      </c>
      <c r="G2140" s="86">
        <f t="shared" si="165"/>
        <v>30</v>
      </c>
      <c r="H2140" s="86">
        <f t="shared" si="166"/>
        <v>1.5</v>
      </c>
      <c r="I2140" s="86">
        <f t="shared" si="167"/>
        <v>28.5</v>
      </c>
      <c r="J2140" s="84">
        <f>VLOOKUP(C2140, Products[], 6)</f>
        <v>30</v>
      </c>
      <c r="K2140" s="86">
        <f t="shared" si="168"/>
        <v>30</v>
      </c>
      <c r="L2140" s="86">
        <f t="shared" si="169"/>
        <v>-1.5</v>
      </c>
    </row>
    <row r="2141" spans="2:12" x14ac:dyDescent="0.2">
      <c r="B2141">
        <v>11077</v>
      </c>
      <c r="C2141">
        <v>8</v>
      </c>
      <c r="D2141" s="84">
        <v>40</v>
      </c>
      <c r="E2141">
        <v>2</v>
      </c>
      <c r="F2141" s="85">
        <v>0.1</v>
      </c>
      <c r="G2141" s="86">
        <f t="shared" si="165"/>
        <v>80</v>
      </c>
      <c r="H2141" s="86">
        <f t="shared" si="166"/>
        <v>8</v>
      </c>
      <c r="I2141" s="86">
        <f t="shared" si="167"/>
        <v>72</v>
      </c>
      <c r="J2141" s="84">
        <f>VLOOKUP(C2141, Products[], 6)</f>
        <v>40</v>
      </c>
      <c r="K2141" s="86">
        <f t="shared" si="168"/>
        <v>80</v>
      </c>
      <c r="L2141" s="86">
        <f t="shared" si="169"/>
        <v>-8</v>
      </c>
    </row>
    <row r="2142" spans="2:12" x14ac:dyDescent="0.2">
      <c r="B2142">
        <v>11077</v>
      </c>
      <c r="C2142">
        <v>10</v>
      </c>
      <c r="D2142" s="84">
        <v>31</v>
      </c>
      <c r="E2142">
        <v>1</v>
      </c>
      <c r="F2142" s="85">
        <v>0</v>
      </c>
      <c r="G2142" s="86">
        <f t="shared" si="165"/>
        <v>31</v>
      </c>
      <c r="H2142" s="86">
        <f t="shared" si="166"/>
        <v>0</v>
      </c>
      <c r="I2142" s="86">
        <f t="shared" si="167"/>
        <v>31</v>
      </c>
      <c r="J2142" s="84">
        <f>VLOOKUP(C2142, Products[], 6)</f>
        <v>31</v>
      </c>
      <c r="K2142" s="86">
        <f t="shared" si="168"/>
        <v>31</v>
      </c>
      <c r="L2142" s="86">
        <f t="shared" si="169"/>
        <v>0</v>
      </c>
    </row>
    <row r="2143" spans="2:12" x14ac:dyDescent="0.2">
      <c r="B2143">
        <v>11077</v>
      </c>
      <c r="C2143">
        <v>12</v>
      </c>
      <c r="D2143" s="84">
        <v>38</v>
      </c>
      <c r="E2143">
        <v>2</v>
      </c>
      <c r="F2143" s="85">
        <v>0.05</v>
      </c>
      <c r="G2143" s="86">
        <f t="shared" si="165"/>
        <v>76</v>
      </c>
      <c r="H2143" s="86">
        <f t="shared" si="166"/>
        <v>3.8000000000000003</v>
      </c>
      <c r="I2143" s="86">
        <f t="shared" si="167"/>
        <v>72.2</v>
      </c>
      <c r="J2143" s="84">
        <f>VLOOKUP(C2143, Products[], 6)</f>
        <v>38</v>
      </c>
      <c r="K2143" s="86">
        <f t="shared" si="168"/>
        <v>76</v>
      </c>
      <c r="L2143" s="86">
        <f t="shared" si="169"/>
        <v>-3.7999999999999972</v>
      </c>
    </row>
    <row r="2144" spans="2:12" x14ac:dyDescent="0.2">
      <c r="B2144">
        <v>11077</v>
      </c>
      <c r="C2144">
        <v>13</v>
      </c>
      <c r="D2144" s="84">
        <v>6</v>
      </c>
      <c r="E2144">
        <v>4</v>
      </c>
      <c r="F2144" s="85">
        <v>0</v>
      </c>
      <c r="G2144" s="86">
        <f t="shared" si="165"/>
        <v>24</v>
      </c>
      <c r="H2144" s="86">
        <f t="shared" si="166"/>
        <v>0</v>
      </c>
      <c r="I2144" s="86">
        <f t="shared" si="167"/>
        <v>24</v>
      </c>
      <c r="J2144" s="84">
        <f>VLOOKUP(C2144, Products[], 6)</f>
        <v>6</v>
      </c>
      <c r="K2144" s="86">
        <f t="shared" si="168"/>
        <v>24</v>
      </c>
      <c r="L2144" s="86">
        <f t="shared" si="169"/>
        <v>0</v>
      </c>
    </row>
    <row r="2145" spans="2:12" x14ac:dyDescent="0.2">
      <c r="B2145">
        <v>11077</v>
      </c>
      <c r="C2145">
        <v>14</v>
      </c>
      <c r="D2145" s="84">
        <v>23.25</v>
      </c>
      <c r="E2145">
        <v>1</v>
      </c>
      <c r="F2145" s="85">
        <v>0.03</v>
      </c>
      <c r="G2145" s="86">
        <f t="shared" si="165"/>
        <v>23.25</v>
      </c>
      <c r="H2145" s="86">
        <f t="shared" si="166"/>
        <v>0.69750000000000001</v>
      </c>
      <c r="I2145" s="86">
        <f t="shared" si="167"/>
        <v>22.552499999999998</v>
      </c>
      <c r="J2145" s="84">
        <f>VLOOKUP(C2145, Products[], 6)</f>
        <v>23.25</v>
      </c>
      <c r="K2145" s="86">
        <f t="shared" si="168"/>
        <v>23.25</v>
      </c>
      <c r="L2145" s="86">
        <f t="shared" si="169"/>
        <v>-0.69750000000000156</v>
      </c>
    </row>
    <row r="2146" spans="2:12" x14ac:dyDescent="0.2">
      <c r="B2146">
        <v>11077</v>
      </c>
      <c r="C2146">
        <v>16</v>
      </c>
      <c r="D2146" s="84">
        <v>17.45</v>
      </c>
      <c r="E2146">
        <v>2</v>
      </c>
      <c r="F2146" s="85">
        <v>0.03</v>
      </c>
      <c r="G2146" s="86">
        <f t="shared" si="165"/>
        <v>34.9</v>
      </c>
      <c r="H2146" s="86">
        <f t="shared" si="166"/>
        <v>1.0469999999999999</v>
      </c>
      <c r="I2146" s="86">
        <f t="shared" si="167"/>
        <v>33.853000000000002</v>
      </c>
      <c r="J2146" s="84">
        <f>VLOOKUP(C2146, Products[], 6)</f>
        <v>17.45</v>
      </c>
      <c r="K2146" s="86">
        <f t="shared" si="168"/>
        <v>34.9</v>
      </c>
      <c r="L2146" s="86">
        <f t="shared" si="169"/>
        <v>-1.046999999999997</v>
      </c>
    </row>
    <row r="2147" spans="2:12" x14ac:dyDescent="0.2">
      <c r="B2147">
        <v>11077</v>
      </c>
      <c r="C2147">
        <v>20</v>
      </c>
      <c r="D2147" s="84">
        <v>81</v>
      </c>
      <c r="E2147">
        <v>1</v>
      </c>
      <c r="F2147" s="85">
        <v>0.04</v>
      </c>
      <c r="G2147" s="86">
        <f t="shared" si="165"/>
        <v>81</v>
      </c>
      <c r="H2147" s="86">
        <f t="shared" si="166"/>
        <v>3.24</v>
      </c>
      <c r="I2147" s="86">
        <f t="shared" si="167"/>
        <v>77.760000000000005</v>
      </c>
      <c r="J2147" s="84">
        <f>VLOOKUP(C2147, Products[], 6)</f>
        <v>81</v>
      </c>
      <c r="K2147" s="86">
        <f t="shared" si="168"/>
        <v>81</v>
      </c>
      <c r="L2147" s="86">
        <f t="shared" si="169"/>
        <v>-3.2399999999999949</v>
      </c>
    </row>
    <row r="2148" spans="2:12" x14ac:dyDescent="0.2">
      <c r="B2148">
        <v>11077</v>
      </c>
      <c r="C2148">
        <v>23</v>
      </c>
      <c r="D2148" s="84">
        <v>9</v>
      </c>
      <c r="E2148">
        <v>2</v>
      </c>
      <c r="F2148" s="85">
        <v>0</v>
      </c>
      <c r="G2148" s="86">
        <f t="shared" si="165"/>
        <v>18</v>
      </c>
      <c r="H2148" s="86">
        <f t="shared" si="166"/>
        <v>0</v>
      </c>
      <c r="I2148" s="86">
        <f t="shared" si="167"/>
        <v>18</v>
      </c>
      <c r="J2148" s="84">
        <f>VLOOKUP(C2148, Products[], 6)</f>
        <v>9</v>
      </c>
      <c r="K2148" s="86">
        <f t="shared" si="168"/>
        <v>18</v>
      </c>
      <c r="L2148" s="86">
        <f t="shared" si="169"/>
        <v>0</v>
      </c>
    </row>
    <row r="2149" spans="2:12" x14ac:dyDescent="0.2">
      <c r="B2149">
        <v>11077</v>
      </c>
      <c r="C2149">
        <v>32</v>
      </c>
      <c r="D2149" s="84">
        <v>32</v>
      </c>
      <c r="E2149">
        <v>1</v>
      </c>
      <c r="F2149" s="85">
        <v>0</v>
      </c>
      <c r="G2149" s="86">
        <f t="shared" si="165"/>
        <v>32</v>
      </c>
      <c r="H2149" s="86">
        <f t="shared" si="166"/>
        <v>0</v>
      </c>
      <c r="I2149" s="86">
        <f t="shared" si="167"/>
        <v>32</v>
      </c>
      <c r="J2149" s="84">
        <f>VLOOKUP(C2149, Products[], 6)</f>
        <v>32</v>
      </c>
      <c r="K2149" s="86">
        <f t="shared" si="168"/>
        <v>32</v>
      </c>
      <c r="L2149" s="86">
        <f t="shared" si="169"/>
        <v>0</v>
      </c>
    </row>
    <row r="2150" spans="2:12" x14ac:dyDescent="0.2">
      <c r="B2150">
        <v>11077</v>
      </c>
      <c r="C2150">
        <v>39</v>
      </c>
      <c r="D2150" s="84">
        <v>18</v>
      </c>
      <c r="E2150">
        <v>2</v>
      </c>
      <c r="F2150" s="85">
        <v>0.05</v>
      </c>
      <c r="G2150" s="86">
        <f t="shared" si="165"/>
        <v>36</v>
      </c>
      <c r="H2150" s="86">
        <f t="shared" si="166"/>
        <v>1.8</v>
      </c>
      <c r="I2150" s="86">
        <f t="shared" si="167"/>
        <v>34.200000000000003</v>
      </c>
      <c r="J2150" s="84">
        <f>VLOOKUP(C2150, Products[], 6)</f>
        <v>18</v>
      </c>
      <c r="K2150" s="86">
        <f t="shared" si="168"/>
        <v>36</v>
      </c>
      <c r="L2150" s="86">
        <f t="shared" si="169"/>
        <v>-1.7999999999999972</v>
      </c>
    </row>
    <row r="2151" spans="2:12" x14ac:dyDescent="0.2">
      <c r="B2151">
        <v>11077</v>
      </c>
      <c r="C2151">
        <v>41</v>
      </c>
      <c r="D2151" s="84">
        <v>9.65</v>
      </c>
      <c r="E2151">
        <v>3</v>
      </c>
      <c r="F2151" s="85">
        <v>0</v>
      </c>
      <c r="G2151" s="86">
        <f t="shared" si="165"/>
        <v>28.950000000000003</v>
      </c>
      <c r="H2151" s="86">
        <f t="shared" si="166"/>
        <v>0</v>
      </c>
      <c r="I2151" s="86">
        <f t="shared" si="167"/>
        <v>28.950000000000003</v>
      </c>
      <c r="J2151" s="84">
        <f>VLOOKUP(C2151, Products[], 6)</f>
        <v>9.65</v>
      </c>
      <c r="K2151" s="86">
        <f t="shared" si="168"/>
        <v>28.950000000000003</v>
      </c>
      <c r="L2151" s="86">
        <f t="shared" si="169"/>
        <v>0</v>
      </c>
    </row>
    <row r="2152" spans="2:12" x14ac:dyDescent="0.2">
      <c r="B2152">
        <v>11077</v>
      </c>
      <c r="C2152">
        <v>46</v>
      </c>
      <c r="D2152" s="84">
        <v>12</v>
      </c>
      <c r="E2152">
        <v>3</v>
      </c>
      <c r="F2152" s="85">
        <v>0.02</v>
      </c>
      <c r="G2152" s="86">
        <f t="shared" si="165"/>
        <v>36</v>
      </c>
      <c r="H2152" s="86">
        <f t="shared" si="166"/>
        <v>0.72</v>
      </c>
      <c r="I2152" s="86">
        <f t="shared" si="167"/>
        <v>35.28</v>
      </c>
      <c r="J2152" s="84">
        <f>VLOOKUP(C2152, Products[], 6)</f>
        <v>12</v>
      </c>
      <c r="K2152" s="86">
        <f t="shared" si="168"/>
        <v>36</v>
      </c>
      <c r="L2152" s="86">
        <f t="shared" si="169"/>
        <v>-0.71999999999999886</v>
      </c>
    </row>
    <row r="2153" spans="2:12" x14ac:dyDescent="0.2">
      <c r="B2153">
        <v>11077</v>
      </c>
      <c r="C2153">
        <v>52</v>
      </c>
      <c r="D2153" s="84">
        <v>7</v>
      </c>
      <c r="E2153">
        <v>2</v>
      </c>
      <c r="F2153" s="85">
        <v>0</v>
      </c>
      <c r="G2153" s="86">
        <f t="shared" si="165"/>
        <v>14</v>
      </c>
      <c r="H2153" s="86">
        <f t="shared" si="166"/>
        <v>0</v>
      </c>
      <c r="I2153" s="86">
        <f t="shared" si="167"/>
        <v>14</v>
      </c>
      <c r="J2153" s="84">
        <f>VLOOKUP(C2153, Products[], 6)</f>
        <v>7</v>
      </c>
      <c r="K2153" s="86">
        <f t="shared" si="168"/>
        <v>14</v>
      </c>
      <c r="L2153" s="86">
        <f t="shared" si="169"/>
        <v>0</v>
      </c>
    </row>
    <row r="2154" spans="2:12" x14ac:dyDescent="0.2">
      <c r="B2154">
        <v>11077</v>
      </c>
      <c r="C2154">
        <v>55</v>
      </c>
      <c r="D2154" s="84">
        <v>24</v>
      </c>
      <c r="E2154">
        <v>2</v>
      </c>
      <c r="F2154" s="85">
        <v>0</v>
      </c>
      <c r="G2154" s="86">
        <f t="shared" si="165"/>
        <v>48</v>
      </c>
      <c r="H2154" s="86">
        <f t="shared" si="166"/>
        <v>0</v>
      </c>
      <c r="I2154" s="86">
        <f t="shared" si="167"/>
        <v>48</v>
      </c>
      <c r="J2154" s="84">
        <f>VLOOKUP(C2154, Products[], 6)</f>
        <v>24</v>
      </c>
      <c r="K2154" s="86">
        <f t="shared" si="168"/>
        <v>48</v>
      </c>
      <c r="L2154" s="86">
        <f t="shared" si="169"/>
        <v>0</v>
      </c>
    </row>
    <row r="2155" spans="2:12" x14ac:dyDescent="0.2">
      <c r="B2155">
        <v>11077</v>
      </c>
      <c r="C2155">
        <v>60</v>
      </c>
      <c r="D2155" s="84">
        <v>34</v>
      </c>
      <c r="E2155">
        <v>2</v>
      </c>
      <c r="F2155" s="85">
        <v>0.06</v>
      </c>
      <c r="G2155" s="86">
        <f t="shared" si="165"/>
        <v>68</v>
      </c>
      <c r="H2155" s="86">
        <f t="shared" si="166"/>
        <v>4.08</v>
      </c>
      <c r="I2155" s="86">
        <f t="shared" si="167"/>
        <v>63.92</v>
      </c>
      <c r="J2155" s="84">
        <f>VLOOKUP(C2155, Products[], 6)</f>
        <v>34</v>
      </c>
      <c r="K2155" s="86">
        <f t="shared" si="168"/>
        <v>68</v>
      </c>
      <c r="L2155" s="86">
        <f t="shared" si="169"/>
        <v>-4.0799999999999983</v>
      </c>
    </row>
    <row r="2156" spans="2:12" x14ac:dyDescent="0.2">
      <c r="B2156">
        <v>11077</v>
      </c>
      <c r="C2156">
        <v>64</v>
      </c>
      <c r="D2156" s="84">
        <v>33.25</v>
      </c>
      <c r="E2156">
        <v>2</v>
      </c>
      <c r="F2156" s="85">
        <v>0.03</v>
      </c>
      <c r="G2156" s="86">
        <f t="shared" si="165"/>
        <v>66.5</v>
      </c>
      <c r="H2156" s="86">
        <f t="shared" si="166"/>
        <v>1.9949999999999999</v>
      </c>
      <c r="I2156" s="86">
        <f t="shared" si="167"/>
        <v>64.504999999999995</v>
      </c>
      <c r="J2156" s="84">
        <f>VLOOKUP(C2156, Products[], 6)</f>
        <v>33.25</v>
      </c>
      <c r="K2156" s="86">
        <f t="shared" si="168"/>
        <v>66.5</v>
      </c>
      <c r="L2156" s="86">
        <f t="shared" si="169"/>
        <v>-1.9950000000000045</v>
      </c>
    </row>
    <row r="2157" spans="2:12" x14ac:dyDescent="0.2">
      <c r="B2157">
        <v>11077</v>
      </c>
      <c r="C2157">
        <v>66</v>
      </c>
      <c r="D2157" s="84">
        <v>17</v>
      </c>
      <c r="E2157">
        <v>1</v>
      </c>
      <c r="F2157" s="85">
        <v>0</v>
      </c>
      <c r="G2157" s="86">
        <f t="shared" si="165"/>
        <v>17</v>
      </c>
      <c r="H2157" s="86">
        <f t="shared" si="166"/>
        <v>0</v>
      </c>
      <c r="I2157" s="86">
        <f t="shared" si="167"/>
        <v>17</v>
      </c>
      <c r="J2157" s="84">
        <f>VLOOKUP(C2157, Products[], 6)</f>
        <v>17</v>
      </c>
      <c r="K2157" s="86">
        <f t="shared" si="168"/>
        <v>17</v>
      </c>
      <c r="L2157" s="86">
        <f t="shared" si="169"/>
        <v>0</v>
      </c>
    </row>
    <row r="2158" spans="2:12" x14ac:dyDescent="0.2">
      <c r="B2158">
        <v>11077</v>
      </c>
      <c r="C2158">
        <v>73</v>
      </c>
      <c r="D2158" s="84">
        <v>15</v>
      </c>
      <c r="E2158">
        <v>2</v>
      </c>
      <c r="F2158" s="85">
        <v>0.01</v>
      </c>
      <c r="G2158" s="86">
        <f t="shared" si="165"/>
        <v>30</v>
      </c>
      <c r="H2158" s="86">
        <f t="shared" si="166"/>
        <v>0.3</v>
      </c>
      <c r="I2158" s="86">
        <f t="shared" si="167"/>
        <v>29.7</v>
      </c>
      <c r="J2158" s="84">
        <f>VLOOKUP(C2158, Products[], 6)</f>
        <v>15</v>
      </c>
      <c r="K2158" s="86">
        <f t="shared" si="168"/>
        <v>30</v>
      </c>
      <c r="L2158" s="86">
        <f t="shared" si="169"/>
        <v>-0.30000000000000071</v>
      </c>
    </row>
    <row r="2159" spans="2:12" x14ac:dyDescent="0.2">
      <c r="B2159">
        <v>11077</v>
      </c>
      <c r="C2159">
        <v>75</v>
      </c>
      <c r="D2159" s="84">
        <v>7.75</v>
      </c>
      <c r="E2159">
        <v>4</v>
      </c>
      <c r="F2159" s="85">
        <v>0</v>
      </c>
      <c r="G2159" s="86">
        <f t="shared" si="165"/>
        <v>31</v>
      </c>
      <c r="H2159" s="86">
        <f t="shared" si="166"/>
        <v>0</v>
      </c>
      <c r="I2159" s="86">
        <f t="shared" si="167"/>
        <v>31</v>
      </c>
      <c r="J2159" s="84">
        <f>VLOOKUP(C2159, Products[], 6)</f>
        <v>7.75</v>
      </c>
      <c r="K2159" s="86">
        <f t="shared" si="168"/>
        <v>31</v>
      </c>
      <c r="L2159" s="86">
        <f t="shared" si="169"/>
        <v>0</v>
      </c>
    </row>
    <row r="2160" spans="2:12" x14ac:dyDescent="0.2">
      <c r="B2160">
        <v>11077</v>
      </c>
      <c r="C2160">
        <v>77</v>
      </c>
      <c r="D2160" s="84">
        <v>13</v>
      </c>
      <c r="E2160">
        <v>2</v>
      </c>
      <c r="F2160" s="85">
        <v>0</v>
      </c>
      <c r="G2160" s="86">
        <f t="shared" si="165"/>
        <v>26</v>
      </c>
      <c r="H2160" s="86">
        <f t="shared" si="166"/>
        <v>0</v>
      </c>
      <c r="I2160" s="86">
        <f t="shared" si="167"/>
        <v>26</v>
      </c>
      <c r="J2160" s="84">
        <f>VLOOKUP(C2160, Products[], 6)</f>
        <v>13</v>
      </c>
      <c r="K2160" s="86">
        <f t="shared" si="168"/>
        <v>26</v>
      </c>
      <c r="L2160" s="86">
        <f t="shared" si="169"/>
        <v>0</v>
      </c>
    </row>
  </sheetData>
  <phoneticPr fontId="6" type="noConversion"/>
  <conditionalFormatting sqref="L6:L2160">
    <cfRule type="cellIs" dxfId="67" priority="1" operator="lessThan">
      <formula>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0029A-98DB-0D42-9C52-63E66A2E9275}">
  <dimension ref="A1:V40"/>
  <sheetViews>
    <sheetView tabSelected="1" zoomScale="90" workbookViewId="0">
      <selection activeCell="C1" sqref="C1:D17"/>
    </sheetView>
  </sheetViews>
  <sheetFormatPr baseColWidth="10" defaultRowHeight="16" x14ac:dyDescent="0.2"/>
  <cols>
    <col min="1" max="1" width="17.1640625" bestFit="1" customWidth="1"/>
    <col min="2" max="2" width="15.83203125" bestFit="1" customWidth="1"/>
    <col min="3" max="3" width="18" bestFit="1" customWidth="1"/>
    <col min="4" max="4" width="17.1640625" bestFit="1" customWidth="1"/>
    <col min="6" max="6" width="18" bestFit="1" customWidth="1"/>
    <col min="7" max="7" width="17.1640625" bestFit="1" customWidth="1"/>
    <col min="9" max="9" width="18" bestFit="1" customWidth="1"/>
    <col min="10" max="10" width="17.1640625" bestFit="1" customWidth="1"/>
    <col min="12" max="12" width="18" bestFit="1" customWidth="1"/>
    <col min="13" max="13" width="17.1640625" bestFit="1" customWidth="1"/>
    <col min="15" max="15" width="18" bestFit="1" customWidth="1"/>
    <col min="16" max="16" width="20.83203125" bestFit="1" customWidth="1"/>
    <col min="17" max="17" width="18.1640625" bestFit="1" customWidth="1"/>
    <col min="18" max="18" width="18" bestFit="1" customWidth="1"/>
    <col min="19" max="19" width="22.33203125" style="36" bestFit="1" customWidth="1"/>
    <col min="20" max="20" width="21.33203125" bestFit="1" customWidth="1"/>
    <col min="21" max="21" width="24.6640625" bestFit="1" customWidth="1"/>
    <col min="22" max="22" width="18.1640625" style="91" bestFit="1" customWidth="1"/>
    <col min="23" max="23" width="19.1640625" bestFit="1" customWidth="1"/>
    <col min="24" max="24" width="7.33203125" bestFit="1" customWidth="1"/>
    <col min="25" max="25" width="6.83203125" bestFit="1" customWidth="1"/>
    <col min="26" max="26" width="6.6640625" bestFit="1" customWidth="1"/>
    <col min="27" max="28" width="7" bestFit="1" customWidth="1"/>
    <col min="29" max="30" width="7.33203125" bestFit="1" customWidth="1"/>
    <col min="31" max="32" width="7.5" bestFit="1" customWidth="1"/>
    <col min="33" max="33" width="7.83203125" bestFit="1" customWidth="1"/>
    <col min="34" max="34" width="6.5" bestFit="1" customWidth="1"/>
    <col min="35" max="35" width="7" bestFit="1" customWidth="1"/>
    <col min="36" max="36" width="6.5" bestFit="1" customWidth="1"/>
    <col min="37" max="37" width="6.33203125" bestFit="1" customWidth="1"/>
    <col min="38" max="40" width="7" bestFit="1" customWidth="1"/>
    <col min="41" max="41" width="6.83203125" bestFit="1" customWidth="1"/>
    <col min="42" max="42" width="6.1640625" bestFit="1" customWidth="1"/>
    <col min="43" max="43" width="7" bestFit="1" customWidth="1"/>
    <col min="44" max="44" width="7.5" bestFit="1" customWidth="1"/>
    <col min="45" max="45" width="7.1640625" bestFit="1" customWidth="1"/>
    <col min="46" max="46" width="6.83203125" bestFit="1" customWidth="1"/>
    <col min="47" max="47" width="7.1640625" bestFit="1" customWidth="1"/>
    <col min="48" max="48" width="7.33203125" bestFit="1" customWidth="1"/>
    <col min="49" max="49" width="6.33203125" bestFit="1" customWidth="1"/>
    <col min="50" max="51" width="7.6640625" bestFit="1" customWidth="1"/>
    <col min="52" max="52" width="5.6640625" bestFit="1" customWidth="1"/>
    <col min="53" max="53" width="7" bestFit="1" customWidth="1"/>
    <col min="54" max="54" width="7.1640625" bestFit="1" customWidth="1"/>
    <col min="55" max="55" width="6.5" bestFit="1" customWidth="1"/>
    <col min="56" max="56" width="7" bestFit="1" customWidth="1"/>
    <col min="57" max="57" width="6.5" bestFit="1" customWidth="1"/>
    <col min="58" max="58" width="7" bestFit="1" customWidth="1"/>
    <col min="59" max="59" width="6.1640625" bestFit="1" customWidth="1"/>
    <col min="60" max="60" width="5.83203125" bestFit="1" customWidth="1"/>
    <col min="61" max="61" width="6.6640625" bestFit="1" customWidth="1"/>
    <col min="62" max="62" width="7" bestFit="1" customWidth="1"/>
    <col min="63" max="63" width="7.5" bestFit="1" customWidth="1"/>
    <col min="64" max="64" width="6.6640625" bestFit="1" customWidth="1"/>
    <col min="65" max="65" width="7" bestFit="1" customWidth="1"/>
    <col min="66" max="66" width="7.6640625" bestFit="1" customWidth="1"/>
    <col min="67" max="67" width="6.83203125" bestFit="1" customWidth="1"/>
    <col min="68" max="68" width="7.33203125" bestFit="1" customWidth="1"/>
    <col min="69" max="69" width="7.83203125" bestFit="1" customWidth="1"/>
    <col min="70" max="70" width="5.83203125" bestFit="1" customWidth="1"/>
    <col min="71" max="71" width="6.33203125" bestFit="1" customWidth="1"/>
    <col min="72" max="72" width="6.83203125" bestFit="1" customWidth="1"/>
    <col min="73" max="73" width="5.83203125" bestFit="1" customWidth="1"/>
    <col min="74" max="75" width="7" bestFit="1" customWidth="1"/>
    <col min="76" max="76" width="6.6640625" bestFit="1" customWidth="1"/>
    <col min="77" max="77" width="7.5" bestFit="1" customWidth="1"/>
    <col min="78" max="78" width="6.5" bestFit="1" customWidth="1"/>
    <col min="79" max="79" width="7.33203125" bestFit="1" customWidth="1"/>
    <col min="80" max="80" width="6.5" bestFit="1" customWidth="1"/>
    <col min="81" max="81" width="6.33203125" bestFit="1" customWidth="1"/>
    <col min="82" max="82" width="7.1640625" bestFit="1" customWidth="1"/>
    <col min="83" max="83" width="6.83203125" bestFit="1" customWidth="1"/>
    <col min="84" max="84" width="6.6640625" bestFit="1" customWidth="1"/>
    <col min="85" max="85" width="6.33203125" bestFit="1" customWidth="1"/>
    <col min="86" max="86" width="6.6640625" bestFit="1" customWidth="1"/>
    <col min="87" max="87" width="7" bestFit="1" customWidth="1"/>
    <col min="88" max="88" width="6" bestFit="1" customWidth="1"/>
    <col min="89" max="89" width="7" bestFit="1" customWidth="1"/>
    <col min="90" max="90" width="6" bestFit="1" customWidth="1"/>
    <col min="91" max="91" width="6.83203125" bestFit="1" customWidth="1"/>
    <col min="92" max="92" width="7" bestFit="1" customWidth="1"/>
    <col min="93" max="93" width="6.6640625" bestFit="1" customWidth="1"/>
    <col min="94" max="94" width="7" bestFit="1" customWidth="1"/>
    <col min="95" max="95" width="6.1640625" bestFit="1" customWidth="1"/>
    <col min="96" max="96" width="6.5" bestFit="1" customWidth="1"/>
    <col min="97" max="98" width="6" bestFit="1" customWidth="1"/>
    <col min="99" max="99" width="7.83203125" bestFit="1" customWidth="1"/>
    <col min="100" max="100" width="7.33203125" bestFit="1" customWidth="1"/>
    <col min="101" max="101" width="6.33203125" bestFit="1" customWidth="1"/>
    <col min="102" max="102" width="6.83203125" bestFit="1" customWidth="1"/>
    <col min="103" max="103" width="7" bestFit="1" customWidth="1"/>
    <col min="104" max="104" width="7.33203125" bestFit="1" customWidth="1"/>
    <col min="105" max="105" width="11.6640625" bestFit="1" customWidth="1"/>
  </cols>
  <sheetData>
    <row r="1" spans="1:22" x14ac:dyDescent="0.2">
      <c r="A1" t="s">
        <v>1506</v>
      </c>
      <c r="C1" s="87" t="s">
        <v>1504</v>
      </c>
      <c r="D1" t="s">
        <v>1506</v>
      </c>
      <c r="F1" s="87" t="s">
        <v>1504</v>
      </c>
      <c r="G1" t="s">
        <v>1506</v>
      </c>
      <c r="I1" s="87" t="s">
        <v>1504</v>
      </c>
      <c r="J1" t="s">
        <v>1506</v>
      </c>
      <c r="L1" s="87" t="s">
        <v>1504</v>
      </c>
      <c r="M1" t="s">
        <v>1506</v>
      </c>
      <c r="O1" s="87" t="s">
        <v>1504</v>
      </c>
      <c r="P1" t="s">
        <v>1507</v>
      </c>
      <c r="R1" s="87" t="s">
        <v>1504</v>
      </c>
      <c r="S1" t="s">
        <v>1526</v>
      </c>
      <c r="T1" t="s">
        <v>1527</v>
      </c>
      <c r="U1" t="s">
        <v>1528</v>
      </c>
      <c r="V1"/>
    </row>
    <row r="2" spans="1:22" x14ac:dyDescent="0.2">
      <c r="A2" s="89">
        <v>47</v>
      </c>
      <c r="C2" s="88" t="s">
        <v>318</v>
      </c>
      <c r="D2" s="89">
        <v>8</v>
      </c>
      <c r="F2" s="88" t="s">
        <v>36</v>
      </c>
      <c r="G2" s="89">
        <v>6</v>
      </c>
      <c r="I2" s="88">
        <v>1</v>
      </c>
      <c r="J2" s="89">
        <v>16</v>
      </c>
      <c r="L2" s="88">
        <v>1</v>
      </c>
      <c r="M2" s="89">
        <v>10</v>
      </c>
      <c r="O2" s="88">
        <v>1</v>
      </c>
      <c r="P2" s="89">
        <v>1</v>
      </c>
      <c r="R2" s="88" t="s">
        <v>1510</v>
      </c>
      <c r="T2" s="36"/>
      <c r="U2" s="36"/>
      <c r="V2"/>
    </row>
    <row r="3" spans="1:22" x14ac:dyDescent="0.2">
      <c r="C3" s="88" t="s">
        <v>25</v>
      </c>
      <c r="D3" s="89">
        <v>7</v>
      </c>
      <c r="F3" s="88" t="s">
        <v>299</v>
      </c>
      <c r="G3" s="89">
        <v>5</v>
      </c>
      <c r="I3" s="88">
        <v>2</v>
      </c>
      <c r="J3" s="89">
        <v>16</v>
      </c>
      <c r="L3" s="88">
        <v>2</v>
      </c>
      <c r="M3" s="89">
        <v>8</v>
      </c>
      <c r="O3" s="88">
        <v>2</v>
      </c>
      <c r="P3" s="89">
        <v>1</v>
      </c>
      <c r="R3" s="90" t="s">
        <v>1517</v>
      </c>
      <c r="S3" s="36">
        <v>31.111111111111111</v>
      </c>
      <c r="T3" s="36">
        <v>5.333333333333333</v>
      </c>
      <c r="U3" s="36">
        <v>25.777777777777779</v>
      </c>
      <c r="V3"/>
    </row>
    <row r="4" spans="1:22" x14ac:dyDescent="0.2">
      <c r="C4" s="88" t="s">
        <v>36</v>
      </c>
      <c r="D4" s="89">
        <v>6</v>
      </c>
      <c r="F4" s="88" t="s">
        <v>156</v>
      </c>
      <c r="G4" s="89">
        <v>4</v>
      </c>
      <c r="I4" s="88">
        <v>3</v>
      </c>
      <c r="J4" s="89">
        <v>15</v>
      </c>
      <c r="L4" s="88">
        <v>3</v>
      </c>
      <c r="M4" s="89">
        <v>7</v>
      </c>
      <c r="O4" s="88">
        <v>3</v>
      </c>
      <c r="P4" s="89">
        <v>1</v>
      </c>
      <c r="R4" s="90" t="s">
        <v>1518</v>
      </c>
      <c r="S4" s="36">
        <v>28</v>
      </c>
      <c r="T4" s="36">
        <v>9.1818181818181817</v>
      </c>
      <c r="U4" s="36">
        <v>18.818181818181817</v>
      </c>
      <c r="V4"/>
    </row>
    <row r="5" spans="1:22" x14ac:dyDescent="0.2">
      <c r="C5" s="88" t="s">
        <v>299</v>
      </c>
      <c r="D5" s="89">
        <v>5</v>
      </c>
      <c r="F5" s="88" t="s">
        <v>378</v>
      </c>
      <c r="G5" s="89">
        <v>4</v>
      </c>
      <c r="I5" s="88" t="s">
        <v>1505</v>
      </c>
      <c r="J5" s="89">
        <v>47</v>
      </c>
      <c r="L5" s="88">
        <v>4</v>
      </c>
      <c r="M5" s="89">
        <v>5</v>
      </c>
      <c r="O5" s="88">
        <v>4</v>
      </c>
      <c r="P5" s="89">
        <v>1</v>
      </c>
      <c r="R5" s="90" t="s">
        <v>1519</v>
      </c>
      <c r="S5" s="36">
        <v>28.933333333333334</v>
      </c>
      <c r="T5" s="36">
        <v>7.9333333333333336</v>
      </c>
      <c r="U5" s="36">
        <v>21</v>
      </c>
      <c r="V5"/>
    </row>
    <row r="6" spans="1:22" x14ac:dyDescent="0.2">
      <c r="C6" s="88" t="s">
        <v>51</v>
      </c>
      <c r="D6" s="89">
        <v>4</v>
      </c>
      <c r="F6" s="88" t="s">
        <v>51</v>
      </c>
      <c r="G6" s="89">
        <v>4</v>
      </c>
      <c r="L6" s="88">
        <v>5</v>
      </c>
      <c r="M6" s="89">
        <v>3</v>
      </c>
      <c r="O6" s="88">
        <v>5</v>
      </c>
      <c r="P6" s="89">
        <v>1</v>
      </c>
      <c r="R6" s="90" t="s">
        <v>1520</v>
      </c>
      <c r="S6" s="36">
        <v>28</v>
      </c>
      <c r="T6" s="36">
        <v>0</v>
      </c>
      <c r="U6" s="36">
        <v>0</v>
      </c>
      <c r="V6"/>
    </row>
    <row r="7" spans="1:22" x14ac:dyDescent="0.2">
      <c r="C7" s="88" t="s">
        <v>156</v>
      </c>
      <c r="D7" s="89">
        <v>4</v>
      </c>
      <c r="F7" s="88" t="s">
        <v>175</v>
      </c>
      <c r="G7" s="89">
        <v>3</v>
      </c>
      <c r="L7" s="88">
        <v>6</v>
      </c>
      <c r="M7" s="89">
        <v>5</v>
      </c>
      <c r="O7" s="88">
        <v>6</v>
      </c>
      <c r="P7" s="89">
        <v>1</v>
      </c>
      <c r="R7" s="90" t="s">
        <v>1521</v>
      </c>
      <c r="S7" s="36">
        <v>28</v>
      </c>
      <c r="T7" s="36">
        <v>0</v>
      </c>
      <c r="U7" s="36">
        <v>0</v>
      </c>
      <c r="V7"/>
    </row>
    <row r="8" spans="1:22" x14ac:dyDescent="0.2">
      <c r="C8" s="88" t="s">
        <v>378</v>
      </c>
      <c r="D8" s="89">
        <v>4</v>
      </c>
      <c r="F8" s="88" t="s">
        <v>342</v>
      </c>
      <c r="G8" s="89">
        <v>2</v>
      </c>
      <c r="L8" s="88">
        <v>7</v>
      </c>
      <c r="M8" s="89">
        <v>4</v>
      </c>
      <c r="O8" s="88">
        <v>7</v>
      </c>
      <c r="P8" s="89">
        <v>1</v>
      </c>
      <c r="R8" s="88" t="s">
        <v>1505</v>
      </c>
      <c r="S8" s="36">
        <v>28.893617021276597</v>
      </c>
      <c r="T8" s="36">
        <v>0</v>
      </c>
      <c r="U8" s="36">
        <v>0</v>
      </c>
      <c r="V8"/>
    </row>
    <row r="9" spans="1:22" x14ac:dyDescent="0.2">
      <c r="C9" s="88" t="s">
        <v>175</v>
      </c>
      <c r="D9" s="89">
        <v>3</v>
      </c>
      <c r="F9" s="88" t="s">
        <v>170</v>
      </c>
      <c r="G9" s="89">
        <v>2</v>
      </c>
      <c r="L9" s="88">
        <v>8</v>
      </c>
      <c r="M9" s="89">
        <v>2</v>
      </c>
      <c r="O9" s="88">
        <v>8</v>
      </c>
      <c r="P9" s="89">
        <v>1</v>
      </c>
      <c r="S9"/>
      <c r="V9"/>
    </row>
    <row r="10" spans="1:22" x14ac:dyDescent="0.2">
      <c r="C10" s="88" t="s">
        <v>342</v>
      </c>
      <c r="D10" s="89">
        <v>2</v>
      </c>
      <c r="F10" s="88" t="s">
        <v>358</v>
      </c>
      <c r="G10" s="89">
        <v>1</v>
      </c>
      <c r="L10" s="88">
        <v>9</v>
      </c>
      <c r="M10" s="89">
        <v>3</v>
      </c>
      <c r="O10" s="88">
        <v>9</v>
      </c>
      <c r="P10" s="89">
        <v>1</v>
      </c>
      <c r="S10"/>
      <c r="V10"/>
    </row>
    <row r="11" spans="1:22" x14ac:dyDescent="0.2">
      <c r="C11" s="88" t="s">
        <v>170</v>
      </c>
      <c r="D11" s="89">
        <v>2</v>
      </c>
      <c r="F11" s="88" t="s">
        <v>77</v>
      </c>
      <c r="G11" s="89">
        <v>1</v>
      </c>
      <c r="L11" s="88" t="s">
        <v>1505</v>
      </c>
      <c r="M11" s="89">
        <v>47</v>
      </c>
      <c r="O11" s="88" t="s">
        <v>1505</v>
      </c>
      <c r="P11" s="89">
        <v>1</v>
      </c>
      <c r="S11"/>
      <c r="V11"/>
    </row>
    <row r="12" spans="1:22" x14ac:dyDescent="0.2">
      <c r="C12" s="88" t="s">
        <v>1505</v>
      </c>
      <c r="D12" s="89">
        <v>45</v>
      </c>
      <c r="F12" s="88" t="s">
        <v>1505</v>
      </c>
      <c r="G12" s="89">
        <v>32</v>
      </c>
      <c r="S12"/>
      <c r="V12"/>
    </row>
    <row r="13" spans="1:22" x14ac:dyDescent="0.2">
      <c r="S13"/>
      <c r="V13"/>
    </row>
    <row r="14" spans="1:22" x14ac:dyDescent="0.2">
      <c r="S14"/>
      <c r="V14"/>
    </row>
    <row r="15" spans="1:22" x14ac:dyDescent="0.2">
      <c r="S15"/>
      <c r="V15"/>
    </row>
    <row r="16" spans="1:22" x14ac:dyDescent="0.2">
      <c r="S16"/>
      <c r="V16"/>
    </row>
    <row r="17" spans="19:22" x14ac:dyDescent="0.2">
      <c r="S17"/>
      <c r="V17"/>
    </row>
    <row r="18" spans="19:22" x14ac:dyDescent="0.2">
      <c r="S18"/>
      <c r="V18"/>
    </row>
    <row r="19" spans="19:22" x14ac:dyDescent="0.2">
      <c r="S19"/>
      <c r="V19"/>
    </row>
    <row r="20" spans="19:22" x14ac:dyDescent="0.2">
      <c r="S20"/>
      <c r="V20"/>
    </row>
    <row r="21" spans="19:22" x14ac:dyDescent="0.2">
      <c r="S21"/>
      <c r="V21"/>
    </row>
    <row r="22" spans="19:22" x14ac:dyDescent="0.2">
      <c r="S22"/>
      <c r="V22"/>
    </row>
    <row r="23" spans="19:22" x14ac:dyDescent="0.2">
      <c r="S23"/>
      <c r="V23"/>
    </row>
    <row r="24" spans="19:22" x14ac:dyDescent="0.2">
      <c r="S24"/>
      <c r="V24"/>
    </row>
    <row r="25" spans="19:22" x14ac:dyDescent="0.2">
      <c r="S25"/>
      <c r="V25"/>
    </row>
    <row r="26" spans="19:22" x14ac:dyDescent="0.2">
      <c r="S26"/>
      <c r="V26"/>
    </row>
    <row r="27" spans="19:22" x14ac:dyDescent="0.2">
      <c r="S27"/>
      <c r="V27"/>
    </row>
    <row r="28" spans="19:22" x14ac:dyDescent="0.2">
      <c r="S28"/>
      <c r="V28"/>
    </row>
    <row r="29" spans="19:22" x14ac:dyDescent="0.2">
      <c r="V29"/>
    </row>
    <row r="30" spans="19:22" x14ac:dyDescent="0.2">
      <c r="V30"/>
    </row>
    <row r="31" spans="19:22" x14ac:dyDescent="0.2">
      <c r="V31"/>
    </row>
    <row r="32" spans="19:22" x14ac:dyDescent="0.2">
      <c r="V32"/>
    </row>
    <row r="33" spans="22:22" x14ac:dyDescent="0.2">
      <c r="V33"/>
    </row>
    <row r="34" spans="22:22" x14ac:dyDescent="0.2">
      <c r="V34"/>
    </row>
    <row r="35" spans="22:22" x14ac:dyDescent="0.2">
      <c r="V35"/>
    </row>
    <row r="36" spans="22:22" x14ac:dyDescent="0.2">
      <c r="V36"/>
    </row>
    <row r="37" spans="22:22" x14ac:dyDescent="0.2">
      <c r="V37"/>
    </row>
    <row r="38" spans="22:22" x14ac:dyDescent="0.2">
      <c r="V38"/>
    </row>
    <row r="39" spans="22:22" x14ac:dyDescent="0.2">
      <c r="V39"/>
    </row>
    <row r="40" spans="22:22" x14ac:dyDescent="0.2">
      <c r="V40"/>
    </row>
  </sheetData>
  <pageMargins left="0.7" right="0.7" top="0.75" bottom="0.75" header="0.3" footer="0.3"/>
  <drawing r:id="rId8"/>
  <extLst>
    <ext xmlns:x14="http://schemas.microsoft.com/office/spreadsheetml/2009/9/main" uri="{A8765BA9-456A-4dab-B4F3-ACF838C121DE}">
      <x14:slicerList>
        <x14:slicer r:id="rId9"/>
      </x14:slicerList>
    </ext>
    <ext xmlns:x15="http://schemas.microsoft.com/office/spreadsheetml/2010/11/main" uri="{7E03D99C-DC04-49d9-9315-930204A7B6E9}">
      <x15:timelineRefs>
        <x15:timelineRef r:id="rId10"/>
      </x15:timelineRef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A3337-47EE-DF47-8068-EDDF95E87B10}">
  <dimension ref="A1:D28"/>
  <sheetViews>
    <sheetView zoomScale="161" workbookViewId="0">
      <selection activeCell="F28" sqref="F28"/>
    </sheetView>
  </sheetViews>
  <sheetFormatPr baseColWidth="10" defaultRowHeight="16" x14ac:dyDescent="0.2"/>
  <cols>
    <col min="1" max="1" width="16.83203125" bestFit="1" customWidth="1"/>
    <col min="2" max="3" width="16.5" style="84" bestFit="1" customWidth="1"/>
    <col min="4" max="4" width="14.83203125" style="84" bestFit="1" customWidth="1"/>
    <col min="5" max="8" width="3.1640625" bestFit="1" customWidth="1"/>
    <col min="9" max="9" width="6.1640625" bestFit="1" customWidth="1"/>
    <col min="10" max="11" width="5.1640625" bestFit="1" customWidth="1"/>
    <col min="12" max="13" width="3.1640625" bestFit="1" customWidth="1"/>
    <col min="14" max="14" width="6.1640625" bestFit="1" customWidth="1"/>
    <col min="15" max="17" width="3.1640625" bestFit="1" customWidth="1"/>
    <col min="18" max="18" width="5.1640625" bestFit="1" customWidth="1"/>
    <col min="19" max="21" width="3.1640625" bestFit="1" customWidth="1"/>
    <col min="22" max="22" width="6.1640625" bestFit="1" customWidth="1"/>
    <col min="23" max="24" width="3.1640625" bestFit="1" customWidth="1"/>
    <col min="25" max="27" width="5.1640625" bestFit="1" customWidth="1"/>
    <col min="28" max="28" width="4.1640625" bestFit="1" customWidth="1"/>
    <col min="29" max="30" width="6.1640625" bestFit="1" customWidth="1"/>
    <col min="31" max="32" width="4.1640625" bestFit="1" customWidth="1"/>
    <col min="33" max="33" width="7.1640625" bestFit="1" customWidth="1"/>
    <col min="34" max="40" width="4.1640625" bestFit="1" customWidth="1"/>
    <col min="41" max="43" width="6.1640625" bestFit="1" customWidth="1"/>
    <col min="44" max="44" width="4.1640625" bestFit="1" customWidth="1"/>
    <col min="45" max="45" width="6.1640625" bestFit="1" customWidth="1"/>
    <col min="46" max="46" width="4.1640625" bestFit="1" customWidth="1"/>
    <col min="47" max="47" width="6.1640625" bestFit="1" customWidth="1"/>
    <col min="48" max="52" width="4.1640625" bestFit="1" customWidth="1"/>
    <col min="53" max="53" width="7.1640625" bestFit="1" customWidth="1"/>
    <col min="54" max="54" width="6.1640625" bestFit="1" customWidth="1"/>
    <col min="55" max="55" width="4.1640625" bestFit="1" customWidth="1"/>
    <col min="56" max="56" width="6.1640625" bestFit="1" customWidth="1"/>
    <col min="57" max="59" width="4.1640625" bestFit="1" customWidth="1"/>
    <col min="60" max="60" width="6.1640625" bestFit="1" customWidth="1"/>
    <col min="61" max="62" width="4.1640625" bestFit="1" customWidth="1"/>
    <col min="63" max="63" width="7.1640625" bestFit="1" customWidth="1"/>
    <col min="64" max="65" width="4.1640625" bestFit="1" customWidth="1"/>
    <col min="66" max="67" width="6.1640625" bestFit="1" customWidth="1"/>
    <col min="68" max="69" width="4.1640625" bestFit="1" customWidth="1"/>
    <col min="70" max="70" width="7.1640625" bestFit="1" customWidth="1"/>
    <col min="71" max="71" width="4.1640625" bestFit="1" customWidth="1"/>
    <col min="72" max="72" width="6.1640625" bestFit="1" customWidth="1"/>
    <col min="73" max="73" width="4.1640625" bestFit="1" customWidth="1"/>
    <col min="74" max="74" width="6.1640625" bestFit="1" customWidth="1"/>
    <col min="75" max="75" width="4.1640625" bestFit="1" customWidth="1"/>
    <col min="76" max="76" width="6.1640625" bestFit="1" customWidth="1"/>
    <col min="77" max="78" width="4.1640625" bestFit="1" customWidth="1"/>
    <col min="79" max="80" width="6.1640625" bestFit="1" customWidth="1"/>
    <col min="81" max="81" width="4.1640625" bestFit="1" customWidth="1"/>
    <col min="82" max="82" width="7.1640625" bestFit="1" customWidth="1"/>
    <col min="83" max="83" width="6.1640625" bestFit="1" customWidth="1"/>
    <col min="84" max="86" width="4.1640625" bestFit="1" customWidth="1"/>
    <col min="87" max="89" width="6.1640625" bestFit="1" customWidth="1"/>
    <col min="90" max="92" width="4.1640625" bestFit="1" customWidth="1"/>
    <col min="93" max="93" width="6.1640625" bestFit="1" customWidth="1"/>
    <col min="94" max="94" width="4.1640625" bestFit="1" customWidth="1"/>
    <col min="95" max="95" width="6.1640625" bestFit="1" customWidth="1"/>
    <col min="96" max="96" width="7.1640625" bestFit="1" customWidth="1"/>
    <col min="97" max="97" width="6.1640625" bestFit="1" customWidth="1"/>
    <col min="98" max="98" width="4.1640625" bestFit="1" customWidth="1"/>
    <col min="99" max="99" width="7.1640625" bestFit="1" customWidth="1"/>
    <col min="100" max="104" width="4.1640625" bestFit="1" customWidth="1"/>
    <col min="105" max="105" width="7.1640625" bestFit="1" customWidth="1"/>
    <col min="106" max="108" width="4.1640625" bestFit="1" customWidth="1"/>
    <col min="109" max="109" width="7.1640625" bestFit="1" customWidth="1"/>
    <col min="110" max="110" width="4.1640625" bestFit="1" customWidth="1"/>
    <col min="111" max="111" width="6.1640625" bestFit="1" customWidth="1"/>
    <col min="112" max="112" width="4.1640625" bestFit="1" customWidth="1"/>
    <col min="113" max="113" width="6.1640625" bestFit="1" customWidth="1"/>
    <col min="114" max="116" width="4.1640625" bestFit="1" customWidth="1"/>
    <col min="117" max="117" width="6.1640625" bestFit="1" customWidth="1"/>
    <col min="118" max="120" width="4.1640625" bestFit="1" customWidth="1"/>
    <col min="121" max="121" width="7.1640625" bestFit="1" customWidth="1"/>
    <col min="122" max="122" width="6.1640625" bestFit="1" customWidth="1"/>
    <col min="123" max="123" width="4.1640625" bestFit="1" customWidth="1"/>
    <col min="124" max="124" width="6.1640625" bestFit="1" customWidth="1"/>
    <col min="125" max="125" width="7.1640625" bestFit="1" customWidth="1"/>
    <col min="126" max="126" width="4.1640625" bestFit="1" customWidth="1"/>
    <col min="127" max="127" width="6.1640625" bestFit="1" customWidth="1"/>
    <col min="128" max="128" width="7.1640625" bestFit="1" customWidth="1"/>
    <col min="129" max="129" width="4.1640625" bestFit="1" customWidth="1"/>
    <col min="130" max="131" width="7.1640625" bestFit="1" customWidth="1"/>
    <col min="132" max="132" width="4.1640625" bestFit="1" customWidth="1"/>
    <col min="133" max="133" width="6.1640625" bestFit="1" customWidth="1"/>
    <col min="134" max="134" width="4.1640625" bestFit="1" customWidth="1"/>
    <col min="135" max="137" width="7.1640625" bestFit="1" customWidth="1"/>
    <col min="138" max="138" width="6.1640625" bestFit="1" customWidth="1"/>
    <col min="139" max="140" width="4.1640625" bestFit="1" customWidth="1"/>
    <col min="141" max="142" width="7.1640625" bestFit="1" customWidth="1"/>
    <col min="143" max="143" width="4.1640625" bestFit="1" customWidth="1"/>
    <col min="144" max="144" width="6.1640625" bestFit="1" customWidth="1"/>
    <col min="145" max="146" width="4.1640625" bestFit="1" customWidth="1"/>
    <col min="147" max="147" width="6.1640625" bestFit="1" customWidth="1"/>
    <col min="148" max="148" width="4.1640625" bestFit="1" customWidth="1"/>
    <col min="149" max="149" width="6.1640625" bestFit="1" customWidth="1"/>
    <col min="150" max="153" width="4.1640625" bestFit="1" customWidth="1"/>
    <col min="154" max="154" width="7.1640625" bestFit="1" customWidth="1"/>
    <col min="155" max="155" width="4.1640625" bestFit="1" customWidth="1"/>
    <col min="156" max="156" width="7.1640625" bestFit="1" customWidth="1"/>
    <col min="157" max="158" width="6.1640625" bestFit="1" customWidth="1"/>
    <col min="159" max="159" width="4.1640625" bestFit="1" customWidth="1"/>
    <col min="160" max="161" width="6.1640625" bestFit="1" customWidth="1"/>
    <col min="162" max="163" width="4.1640625" bestFit="1" customWidth="1"/>
    <col min="164" max="164" width="6.1640625" bestFit="1" customWidth="1"/>
    <col min="165" max="168" width="4.1640625" bestFit="1" customWidth="1"/>
    <col min="169" max="169" width="7.1640625" bestFit="1" customWidth="1"/>
    <col min="170" max="170" width="4.1640625" bestFit="1" customWidth="1"/>
    <col min="171" max="171" width="6.1640625" bestFit="1" customWidth="1"/>
    <col min="172" max="172" width="4.1640625" bestFit="1" customWidth="1"/>
    <col min="173" max="173" width="6.1640625" bestFit="1" customWidth="1"/>
    <col min="174" max="175" width="4.1640625" bestFit="1" customWidth="1"/>
    <col min="176" max="177" width="6.1640625" bestFit="1" customWidth="1"/>
    <col min="178" max="178" width="7.1640625" bestFit="1" customWidth="1"/>
    <col min="179" max="180" width="6.1640625" bestFit="1" customWidth="1"/>
    <col min="181" max="181" width="4.1640625" bestFit="1" customWidth="1"/>
    <col min="182" max="182" width="7.1640625" bestFit="1" customWidth="1"/>
    <col min="183" max="183" width="6.1640625" bestFit="1" customWidth="1"/>
    <col min="184" max="184" width="4.1640625" bestFit="1" customWidth="1"/>
    <col min="185" max="185" width="6.1640625" bestFit="1" customWidth="1"/>
    <col min="186" max="186" width="4.1640625" bestFit="1" customWidth="1"/>
    <col min="187" max="187" width="6.1640625" bestFit="1" customWidth="1"/>
    <col min="188" max="188" width="7.1640625" bestFit="1" customWidth="1"/>
    <col min="189" max="191" width="4.1640625" bestFit="1" customWidth="1"/>
    <col min="192" max="192" width="6.1640625" bestFit="1" customWidth="1"/>
    <col min="193" max="193" width="4.1640625" bestFit="1" customWidth="1"/>
    <col min="194" max="195" width="7.1640625" bestFit="1" customWidth="1"/>
    <col min="196" max="197" width="4.1640625" bestFit="1" customWidth="1"/>
    <col min="198" max="198" width="6.1640625" bestFit="1" customWidth="1"/>
    <col min="199" max="199" width="7.1640625" bestFit="1" customWidth="1"/>
    <col min="200" max="203" width="4.1640625" bestFit="1" customWidth="1"/>
    <col min="204" max="205" width="6.1640625" bestFit="1" customWidth="1"/>
    <col min="206" max="206" width="4.1640625" bestFit="1" customWidth="1"/>
    <col min="207" max="207" width="7.1640625" bestFit="1" customWidth="1"/>
    <col min="208" max="209" width="4.1640625" bestFit="1" customWidth="1"/>
    <col min="210" max="211" width="6.1640625" bestFit="1" customWidth="1"/>
    <col min="212" max="214" width="4.1640625" bestFit="1" customWidth="1"/>
    <col min="215" max="216" width="7.1640625" bestFit="1" customWidth="1"/>
    <col min="217" max="217" width="4.1640625" bestFit="1" customWidth="1"/>
    <col min="218" max="219" width="6.1640625" bestFit="1" customWidth="1"/>
    <col min="220" max="221" width="4.1640625" bestFit="1" customWidth="1"/>
    <col min="222" max="222" width="6.1640625" bestFit="1" customWidth="1"/>
    <col min="223" max="223" width="4.1640625" bestFit="1" customWidth="1"/>
    <col min="224" max="224" width="6.1640625" bestFit="1" customWidth="1"/>
    <col min="225" max="226" width="4.1640625" bestFit="1" customWidth="1"/>
    <col min="227" max="227" width="7.1640625" bestFit="1" customWidth="1"/>
    <col min="228" max="231" width="4.1640625" bestFit="1" customWidth="1"/>
    <col min="232" max="233" width="6.1640625" bestFit="1" customWidth="1"/>
    <col min="234" max="234" width="4.1640625" bestFit="1" customWidth="1"/>
    <col min="235" max="235" width="7.1640625" bestFit="1" customWidth="1"/>
    <col min="236" max="237" width="6.1640625" bestFit="1" customWidth="1"/>
    <col min="238" max="240" width="4.1640625" bestFit="1" customWidth="1"/>
    <col min="241" max="242" width="6.1640625" bestFit="1" customWidth="1"/>
    <col min="243" max="243" width="7.1640625" bestFit="1" customWidth="1"/>
    <col min="244" max="246" width="4.1640625" bestFit="1" customWidth="1"/>
    <col min="247" max="247" width="7.1640625" bestFit="1" customWidth="1"/>
    <col min="248" max="248" width="4.1640625" bestFit="1" customWidth="1"/>
    <col min="249" max="249" width="6.1640625" bestFit="1" customWidth="1"/>
    <col min="250" max="250" width="4.1640625" bestFit="1" customWidth="1"/>
    <col min="251" max="251" width="7.1640625" bestFit="1" customWidth="1"/>
    <col min="252" max="252" width="6.1640625" bestFit="1" customWidth="1"/>
    <col min="253" max="253" width="4.1640625" bestFit="1" customWidth="1"/>
    <col min="254" max="254" width="6.1640625" bestFit="1" customWidth="1"/>
    <col min="255" max="257" width="4.1640625" bestFit="1" customWidth="1"/>
    <col min="258" max="258" width="6.1640625" bestFit="1" customWidth="1"/>
    <col min="259" max="261" width="4.1640625" bestFit="1" customWidth="1"/>
    <col min="262" max="262" width="6.1640625" bestFit="1" customWidth="1"/>
    <col min="263" max="263" width="4.1640625" bestFit="1" customWidth="1"/>
    <col min="264" max="264" width="6.1640625" bestFit="1" customWidth="1"/>
    <col min="265" max="265" width="4.1640625" bestFit="1" customWidth="1"/>
    <col min="266" max="267" width="6.1640625" bestFit="1" customWidth="1"/>
    <col min="268" max="269" width="4.1640625" bestFit="1" customWidth="1"/>
    <col min="270" max="271" width="6.1640625" bestFit="1" customWidth="1"/>
    <col min="272" max="272" width="4.1640625" bestFit="1" customWidth="1"/>
    <col min="273" max="273" width="7.1640625" bestFit="1" customWidth="1"/>
    <col min="274" max="274" width="6.1640625" bestFit="1" customWidth="1"/>
    <col min="275" max="275" width="4.1640625" bestFit="1" customWidth="1"/>
    <col min="276" max="277" width="6.1640625" bestFit="1" customWidth="1"/>
    <col min="278" max="278" width="7.1640625" bestFit="1" customWidth="1"/>
    <col min="279" max="279" width="4.1640625" bestFit="1" customWidth="1"/>
    <col min="280" max="280" width="6.1640625" bestFit="1" customWidth="1"/>
    <col min="281" max="281" width="7.1640625" bestFit="1" customWidth="1"/>
    <col min="282" max="282" width="6.1640625" bestFit="1" customWidth="1"/>
    <col min="283" max="284" width="4.1640625" bestFit="1" customWidth="1"/>
    <col min="285" max="285" width="6.1640625" bestFit="1" customWidth="1"/>
    <col min="286" max="286" width="4.1640625" bestFit="1" customWidth="1"/>
    <col min="287" max="287" width="7.1640625" bestFit="1" customWidth="1"/>
    <col min="288" max="288" width="6.1640625" bestFit="1" customWidth="1"/>
    <col min="289" max="290" width="4.1640625" bestFit="1" customWidth="1"/>
    <col min="291" max="291" width="7.1640625" bestFit="1" customWidth="1"/>
    <col min="292" max="297" width="4.1640625" bestFit="1" customWidth="1"/>
    <col min="298" max="298" width="6.1640625" bestFit="1" customWidth="1"/>
    <col min="299" max="302" width="4.1640625" bestFit="1" customWidth="1"/>
    <col min="303" max="303" width="6.1640625" bestFit="1" customWidth="1"/>
    <col min="304" max="305" width="7.1640625" bestFit="1" customWidth="1"/>
    <col min="306" max="306" width="6.1640625" bestFit="1" customWidth="1"/>
    <col min="307" max="307" width="7.1640625" bestFit="1" customWidth="1"/>
    <col min="308" max="309" width="4.1640625" bestFit="1" customWidth="1"/>
    <col min="310" max="310" width="7.1640625" bestFit="1" customWidth="1"/>
    <col min="311" max="311" width="6.1640625" bestFit="1" customWidth="1"/>
    <col min="312" max="314" width="4.1640625" bestFit="1" customWidth="1"/>
    <col min="315" max="315" width="6.1640625" bestFit="1" customWidth="1"/>
    <col min="316" max="316" width="4.1640625" bestFit="1" customWidth="1"/>
    <col min="317" max="318" width="6.1640625" bestFit="1" customWidth="1"/>
    <col min="319" max="319" width="7.1640625" bestFit="1" customWidth="1"/>
    <col min="320" max="320" width="6.1640625" bestFit="1" customWidth="1"/>
    <col min="321" max="321" width="4.1640625" bestFit="1" customWidth="1"/>
    <col min="322" max="322" width="7.1640625" bestFit="1" customWidth="1"/>
    <col min="323" max="323" width="6.1640625" bestFit="1" customWidth="1"/>
    <col min="324" max="327" width="4.1640625" bestFit="1" customWidth="1"/>
    <col min="328" max="328" width="6.1640625" bestFit="1" customWidth="1"/>
    <col min="329" max="329" width="7.1640625" bestFit="1" customWidth="1"/>
    <col min="330" max="331" width="4.1640625" bestFit="1" customWidth="1"/>
    <col min="332" max="332" width="6.1640625" bestFit="1" customWidth="1"/>
    <col min="333" max="333" width="4.1640625" bestFit="1" customWidth="1"/>
    <col min="334" max="335" width="6.1640625" bestFit="1" customWidth="1"/>
    <col min="336" max="338" width="4.1640625" bestFit="1" customWidth="1"/>
    <col min="339" max="340" width="7.1640625" bestFit="1" customWidth="1"/>
    <col min="341" max="341" width="5.1640625" bestFit="1" customWidth="1"/>
    <col min="342" max="342" width="7.1640625" bestFit="1" customWidth="1"/>
    <col min="343" max="343" width="5.1640625" bestFit="1" customWidth="1"/>
    <col min="344" max="346" width="8.1640625" bestFit="1" customWidth="1"/>
    <col min="347" max="350" width="5.1640625" bestFit="1" customWidth="1"/>
    <col min="351" max="352" width="7.1640625" bestFit="1" customWidth="1"/>
    <col min="353" max="355" width="5.1640625" bestFit="1" customWidth="1"/>
    <col min="356" max="356" width="7.1640625" bestFit="1" customWidth="1"/>
    <col min="357" max="359" width="5.1640625" bestFit="1" customWidth="1"/>
    <col min="360" max="360" width="7.1640625" bestFit="1" customWidth="1"/>
    <col min="361" max="363" width="8.1640625" bestFit="1" customWidth="1"/>
    <col min="364" max="364" width="7.1640625" bestFit="1" customWidth="1"/>
    <col min="365" max="365" width="5.1640625" bestFit="1" customWidth="1"/>
    <col min="366" max="366" width="8.1640625" bestFit="1" customWidth="1"/>
    <col min="367" max="367" width="5.1640625" bestFit="1" customWidth="1"/>
    <col min="368" max="368" width="7.1640625" bestFit="1" customWidth="1"/>
    <col min="369" max="369" width="5.1640625" bestFit="1" customWidth="1"/>
    <col min="370" max="371" width="7.1640625" bestFit="1" customWidth="1"/>
    <col min="372" max="372" width="8.1640625" bestFit="1" customWidth="1"/>
    <col min="373" max="373" width="7.1640625" bestFit="1" customWidth="1"/>
    <col min="374" max="374" width="8.1640625" bestFit="1" customWidth="1"/>
    <col min="375" max="376" width="7.1640625" bestFit="1" customWidth="1"/>
    <col min="377" max="378" width="5.1640625" bestFit="1" customWidth="1"/>
    <col min="379" max="380" width="7.1640625" bestFit="1" customWidth="1"/>
    <col min="381" max="381" width="5.1640625" bestFit="1" customWidth="1"/>
    <col min="382" max="383" width="7.1640625" bestFit="1" customWidth="1"/>
    <col min="384" max="384" width="5.1640625" bestFit="1" customWidth="1"/>
    <col min="385" max="387" width="7.1640625" bestFit="1" customWidth="1"/>
    <col min="388" max="388" width="8.1640625" bestFit="1" customWidth="1"/>
    <col min="389" max="390" width="5.1640625" bestFit="1" customWidth="1"/>
    <col min="391" max="391" width="7.1640625" bestFit="1" customWidth="1"/>
    <col min="392" max="393" width="5.1640625" bestFit="1" customWidth="1"/>
    <col min="394" max="395" width="7.1640625" bestFit="1" customWidth="1"/>
    <col min="396" max="396" width="8.1640625" bestFit="1" customWidth="1"/>
    <col min="397" max="398" width="5.1640625" bestFit="1" customWidth="1"/>
    <col min="399" max="399" width="8.1640625" bestFit="1" customWidth="1"/>
    <col min="400" max="400" width="5.1640625" bestFit="1" customWidth="1"/>
    <col min="401" max="401" width="7.1640625" bestFit="1" customWidth="1"/>
    <col min="402" max="402" width="5.1640625" bestFit="1" customWidth="1"/>
    <col min="403" max="404" width="7.1640625" bestFit="1" customWidth="1"/>
    <col min="405" max="405" width="5.1640625" bestFit="1" customWidth="1"/>
    <col min="406" max="406" width="8.1640625" bestFit="1" customWidth="1"/>
    <col min="407" max="408" width="5.1640625" bestFit="1" customWidth="1"/>
    <col min="409" max="412" width="7.1640625" bestFit="1" customWidth="1"/>
    <col min="413" max="413" width="8.1640625" bestFit="1" customWidth="1"/>
    <col min="414" max="414" width="5.1640625" bestFit="1" customWidth="1"/>
    <col min="415" max="415" width="7.1640625" bestFit="1" customWidth="1"/>
    <col min="416" max="416" width="8.1640625" bestFit="1" customWidth="1"/>
    <col min="417" max="417" width="7.1640625" bestFit="1" customWidth="1"/>
    <col min="418" max="418" width="5.1640625" bestFit="1" customWidth="1"/>
    <col min="419" max="419" width="7.1640625" bestFit="1" customWidth="1"/>
    <col min="420" max="420" width="5.1640625" bestFit="1" customWidth="1"/>
    <col min="421" max="421" width="8.1640625" bestFit="1" customWidth="1"/>
    <col min="422" max="425" width="5.1640625" bestFit="1" customWidth="1"/>
    <col min="426" max="426" width="8.1640625" bestFit="1" customWidth="1"/>
    <col min="427" max="427" width="5.1640625" bestFit="1" customWidth="1"/>
    <col min="428" max="428" width="8.1640625" bestFit="1" customWidth="1"/>
    <col min="429" max="431" width="7.1640625" bestFit="1" customWidth="1"/>
    <col min="432" max="432" width="5.1640625" bestFit="1" customWidth="1"/>
    <col min="433" max="433" width="7.1640625" bestFit="1" customWidth="1"/>
    <col min="434" max="434" width="5.1640625" bestFit="1" customWidth="1"/>
    <col min="435" max="435" width="7.1640625" bestFit="1" customWidth="1"/>
    <col min="436" max="436" width="5.1640625" bestFit="1" customWidth="1"/>
    <col min="437" max="437" width="7.1640625" bestFit="1" customWidth="1"/>
    <col min="438" max="438" width="5.1640625" bestFit="1" customWidth="1"/>
    <col min="439" max="440" width="7.1640625" bestFit="1" customWidth="1"/>
    <col min="441" max="441" width="8.1640625" bestFit="1" customWidth="1"/>
    <col min="442" max="442" width="5.1640625" bestFit="1" customWidth="1"/>
    <col min="443" max="444" width="7.1640625" bestFit="1" customWidth="1"/>
    <col min="445" max="445" width="5.1640625" bestFit="1" customWidth="1"/>
    <col min="446" max="448" width="8.1640625" bestFit="1" customWidth="1"/>
    <col min="449" max="449" width="5.1640625" bestFit="1" customWidth="1"/>
    <col min="450" max="450" width="7.1640625" bestFit="1" customWidth="1"/>
    <col min="451" max="451" width="5.1640625" bestFit="1" customWidth="1"/>
    <col min="452" max="452" width="7.1640625" bestFit="1" customWidth="1"/>
    <col min="453" max="453" width="5.1640625" bestFit="1" customWidth="1"/>
    <col min="454" max="454" width="8.1640625" bestFit="1" customWidth="1"/>
    <col min="455" max="458" width="5.1640625" bestFit="1" customWidth="1"/>
    <col min="459" max="460" width="7.1640625" bestFit="1" customWidth="1"/>
    <col min="461" max="462" width="5.1640625" bestFit="1" customWidth="1"/>
    <col min="463" max="464" width="8.1640625" bestFit="1" customWidth="1"/>
    <col min="465" max="465" width="7.1640625" bestFit="1" customWidth="1"/>
    <col min="466" max="469" width="5.1640625" bestFit="1" customWidth="1"/>
    <col min="470" max="470" width="7.1640625" bestFit="1" customWidth="1"/>
    <col min="471" max="473" width="5.1640625" bestFit="1" customWidth="1"/>
    <col min="474" max="475" width="8.1640625" bestFit="1" customWidth="1"/>
    <col min="476" max="479" width="5.1640625" bestFit="1" customWidth="1"/>
    <col min="480" max="480" width="7.1640625" bestFit="1" customWidth="1"/>
    <col min="481" max="481" width="8.1640625" bestFit="1" customWidth="1"/>
    <col min="482" max="483" width="7.1640625" bestFit="1" customWidth="1"/>
    <col min="484" max="487" width="5.1640625" bestFit="1" customWidth="1"/>
    <col min="488" max="488" width="8.1640625" bestFit="1" customWidth="1"/>
    <col min="489" max="490" width="5.1640625" bestFit="1" customWidth="1"/>
    <col min="491" max="492" width="8.1640625" bestFit="1" customWidth="1"/>
    <col min="493" max="496" width="7.1640625" bestFit="1" customWidth="1"/>
    <col min="497" max="501" width="5.1640625" bestFit="1" customWidth="1"/>
    <col min="502" max="502" width="7.1640625" bestFit="1" customWidth="1"/>
    <col min="503" max="504" width="8.1640625" bestFit="1" customWidth="1"/>
    <col min="505" max="505" width="7.1640625" bestFit="1" customWidth="1"/>
    <col min="506" max="509" width="5.1640625" bestFit="1" customWidth="1"/>
    <col min="510" max="510" width="7.1640625" bestFit="1" customWidth="1"/>
    <col min="511" max="511" width="5.1640625" bestFit="1" customWidth="1"/>
    <col min="512" max="513" width="8.1640625" bestFit="1" customWidth="1"/>
    <col min="514" max="514" width="5.1640625" bestFit="1" customWidth="1"/>
    <col min="515" max="515" width="8.1640625" bestFit="1" customWidth="1"/>
    <col min="516" max="516" width="7.1640625" bestFit="1" customWidth="1"/>
    <col min="517" max="517" width="8.1640625" bestFit="1" customWidth="1"/>
    <col min="518" max="520" width="5.1640625" bestFit="1" customWidth="1"/>
    <col min="521" max="521" width="7.1640625" bestFit="1" customWidth="1"/>
    <col min="522" max="522" width="5.1640625" bestFit="1" customWidth="1"/>
    <col min="523" max="523" width="8.1640625" bestFit="1" customWidth="1"/>
    <col min="524" max="525" width="5.1640625" bestFit="1" customWidth="1"/>
    <col min="526" max="526" width="7.1640625" bestFit="1" customWidth="1"/>
    <col min="527" max="527" width="5.1640625" bestFit="1" customWidth="1"/>
    <col min="528" max="530" width="7.1640625" bestFit="1" customWidth="1"/>
    <col min="531" max="531" width="5.1640625" bestFit="1" customWidth="1"/>
    <col min="532" max="532" width="7.1640625" bestFit="1" customWidth="1"/>
    <col min="533" max="534" width="5.1640625" bestFit="1" customWidth="1"/>
    <col min="535" max="536" width="7.1640625" bestFit="1" customWidth="1"/>
    <col min="537" max="539" width="5.1640625" bestFit="1" customWidth="1"/>
    <col min="540" max="540" width="7.1640625" bestFit="1" customWidth="1"/>
    <col min="541" max="542" width="5.1640625" bestFit="1" customWidth="1"/>
    <col min="543" max="543" width="7.1640625" bestFit="1" customWidth="1"/>
    <col min="544" max="545" width="5.1640625" bestFit="1" customWidth="1"/>
    <col min="546" max="548" width="7.1640625" bestFit="1" customWidth="1"/>
    <col min="549" max="549" width="5.1640625" bestFit="1" customWidth="1"/>
    <col min="550" max="550" width="7.1640625" bestFit="1" customWidth="1"/>
    <col min="551" max="551" width="5.1640625" bestFit="1" customWidth="1"/>
    <col min="552" max="554" width="7.1640625" bestFit="1" customWidth="1"/>
    <col min="555" max="557" width="5.1640625" bestFit="1" customWidth="1"/>
    <col min="558" max="558" width="7.1640625" bestFit="1" customWidth="1"/>
    <col min="559" max="559" width="5.1640625" bestFit="1" customWidth="1"/>
    <col min="560" max="560" width="7.1640625" bestFit="1" customWidth="1"/>
    <col min="561" max="561" width="8.1640625" bestFit="1" customWidth="1"/>
    <col min="562" max="564" width="5.1640625" bestFit="1" customWidth="1"/>
    <col min="565" max="565" width="7.1640625" bestFit="1" customWidth="1"/>
    <col min="566" max="566" width="8.1640625" bestFit="1" customWidth="1"/>
    <col min="567" max="567" width="7.1640625" bestFit="1" customWidth="1"/>
    <col min="568" max="568" width="8.1640625" bestFit="1" customWidth="1"/>
    <col min="569" max="570" width="5.1640625" bestFit="1" customWidth="1"/>
    <col min="571" max="571" width="7.1640625" bestFit="1" customWidth="1"/>
    <col min="572" max="572" width="5.1640625" bestFit="1" customWidth="1"/>
    <col min="573" max="573" width="8.1640625" bestFit="1" customWidth="1"/>
    <col min="574" max="575" width="7.1640625" bestFit="1" customWidth="1"/>
    <col min="576" max="576" width="8.1640625" bestFit="1" customWidth="1"/>
    <col min="577" max="577" width="5.1640625" bestFit="1" customWidth="1"/>
    <col min="578" max="578" width="7.1640625" bestFit="1" customWidth="1"/>
    <col min="579" max="579" width="8.1640625" bestFit="1" customWidth="1"/>
    <col min="580" max="581" width="5.1640625" bestFit="1" customWidth="1"/>
    <col min="582" max="582" width="7.1640625" bestFit="1" customWidth="1"/>
    <col min="583" max="583" width="8.1640625" bestFit="1" customWidth="1"/>
    <col min="584" max="584" width="5.1640625" bestFit="1" customWidth="1"/>
    <col min="585" max="591" width="7.1640625" bestFit="1" customWidth="1"/>
    <col min="592" max="592" width="5.1640625" bestFit="1" customWidth="1"/>
    <col min="593" max="593" width="7.1640625" bestFit="1" customWidth="1"/>
    <col min="594" max="594" width="5.1640625" bestFit="1" customWidth="1"/>
    <col min="595" max="595" width="8.1640625" bestFit="1" customWidth="1"/>
    <col min="596" max="596" width="5.1640625" bestFit="1" customWidth="1"/>
    <col min="597" max="597" width="8.1640625" bestFit="1" customWidth="1"/>
    <col min="598" max="599" width="5.1640625" bestFit="1" customWidth="1"/>
    <col min="600" max="600" width="8.1640625" bestFit="1" customWidth="1"/>
    <col min="601" max="601" width="7.1640625" bestFit="1" customWidth="1"/>
    <col min="602" max="603" width="5.1640625" bestFit="1" customWidth="1"/>
    <col min="604" max="604" width="7.1640625" bestFit="1" customWidth="1"/>
    <col min="605" max="605" width="5.1640625" bestFit="1" customWidth="1"/>
    <col min="606" max="606" width="8.1640625" bestFit="1" customWidth="1"/>
    <col min="607" max="607" width="7.1640625" bestFit="1" customWidth="1"/>
    <col min="608" max="608" width="5.1640625" bestFit="1" customWidth="1"/>
    <col min="609" max="612" width="7.1640625" bestFit="1" customWidth="1"/>
    <col min="613" max="613" width="8.1640625" bestFit="1" customWidth="1"/>
    <col min="614" max="614" width="7.1640625" bestFit="1" customWidth="1"/>
    <col min="615" max="615" width="8.1640625" bestFit="1" customWidth="1"/>
    <col min="616" max="616" width="7.1640625" bestFit="1" customWidth="1"/>
    <col min="617" max="618" width="5.1640625" bestFit="1" customWidth="1"/>
    <col min="619" max="620" width="7.1640625" bestFit="1" customWidth="1"/>
    <col min="621" max="623" width="5.1640625" bestFit="1" customWidth="1"/>
    <col min="624" max="624" width="8.1640625" bestFit="1" customWidth="1"/>
    <col min="625" max="627" width="5.1640625" bestFit="1" customWidth="1"/>
    <col min="628" max="628" width="7.1640625" bestFit="1" customWidth="1"/>
    <col min="629" max="629" width="8.1640625" bestFit="1" customWidth="1"/>
    <col min="630" max="630" width="5.1640625" bestFit="1" customWidth="1"/>
    <col min="631" max="632" width="7.1640625" bestFit="1" customWidth="1"/>
    <col min="633" max="634" width="5.1640625" bestFit="1" customWidth="1"/>
    <col min="635" max="636" width="8.1640625" bestFit="1" customWidth="1"/>
    <col min="637" max="644" width="5.1640625" bestFit="1" customWidth="1"/>
    <col min="645" max="645" width="7.1640625" bestFit="1" customWidth="1"/>
    <col min="646" max="646" width="8.1640625" bestFit="1" customWidth="1"/>
    <col min="647" max="647" width="5.1640625" bestFit="1" customWidth="1"/>
    <col min="648" max="648" width="7.1640625" bestFit="1" customWidth="1"/>
    <col min="649" max="649" width="5.1640625" bestFit="1" customWidth="1"/>
    <col min="650" max="650" width="8.1640625" bestFit="1" customWidth="1"/>
    <col min="651" max="651" width="5.1640625" bestFit="1" customWidth="1"/>
    <col min="652" max="652" width="7.1640625" bestFit="1" customWidth="1"/>
    <col min="653" max="653" width="5.1640625" bestFit="1" customWidth="1"/>
    <col min="654" max="655" width="7.1640625" bestFit="1" customWidth="1"/>
    <col min="656" max="656" width="8.1640625" bestFit="1" customWidth="1"/>
    <col min="657" max="657" width="7.1640625" bestFit="1" customWidth="1"/>
    <col min="658" max="658" width="5.1640625" bestFit="1" customWidth="1"/>
    <col min="659" max="659" width="7.1640625" bestFit="1" customWidth="1"/>
    <col min="660" max="660" width="5.1640625" bestFit="1" customWidth="1"/>
    <col min="661" max="662" width="7.1640625" bestFit="1" customWidth="1"/>
    <col min="663" max="663" width="8.1640625" bestFit="1" customWidth="1"/>
    <col min="664" max="667" width="5.1640625" bestFit="1" customWidth="1"/>
    <col min="668" max="669" width="7.1640625" bestFit="1" customWidth="1"/>
    <col min="670" max="672" width="5.1640625" bestFit="1" customWidth="1"/>
    <col min="673" max="675" width="8.1640625" bestFit="1" customWidth="1"/>
    <col min="676" max="676" width="7.1640625" bestFit="1" customWidth="1"/>
    <col min="677" max="677" width="8.1640625" bestFit="1" customWidth="1"/>
    <col min="678" max="678" width="5.1640625" bestFit="1" customWidth="1"/>
    <col min="679" max="679" width="7.1640625" bestFit="1" customWidth="1"/>
    <col min="680" max="682" width="5.1640625" bestFit="1" customWidth="1"/>
    <col min="683" max="683" width="8.1640625" bestFit="1" customWidth="1"/>
    <col min="684" max="684" width="5.1640625" bestFit="1" customWidth="1"/>
    <col min="685" max="685" width="7.1640625" bestFit="1" customWidth="1"/>
    <col min="686" max="686" width="8.1640625" bestFit="1" customWidth="1"/>
    <col min="687" max="687" width="5.1640625" bestFit="1" customWidth="1"/>
    <col min="688" max="688" width="7.1640625" bestFit="1" customWidth="1"/>
    <col min="689" max="689" width="5.1640625" bestFit="1" customWidth="1"/>
    <col min="690" max="690" width="7.1640625" bestFit="1" customWidth="1"/>
    <col min="691" max="691" width="8.1640625" bestFit="1" customWidth="1"/>
    <col min="692" max="692" width="5.1640625" bestFit="1" customWidth="1"/>
    <col min="693" max="694" width="7.1640625" bestFit="1" customWidth="1"/>
    <col min="695" max="695" width="5.1640625" bestFit="1" customWidth="1"/>
    <col min="696" max="696" width="7.1640625" bestFit="1" customWidth="1"/>
    <col min="697" max="697" width="5.1640625" bestFit="1" customWidth="1"/>
    <col min="698" max="698" width="7.1640625" bestFit="1" customWidth="1"/>
    <col min="699" max="699" width="5.1640625" bestFit="1" customWidth="1"/>
    <col min="700" max="702" width="7.1640625" bestFit="1" customWidth="1"/>
    <col min="703" max="703" width="5.1640625" bestFit="1" customWidth="1"/>
    <col min="704" max="704" width="7.1640625" bestFit="1" customWidth="1"/>
    <col min="705" max="705" width="8.1640625" bestFit="1" customWidth="1"/>
    <col min="706" max="707" width="5.1640625" bestFit="1" customWidth="1"/>
    <col min="708" max="709" width="7.1640625" bestFit="1" customWidth="1"/>
    <col min="710" max="710" width="8.1640625" bestFit="1" customWidth="1"/>
    <col min="711" max="711" width="5.1640625" bestFit="1" customWidth="1"/>
    <col min="712" max="712" width="7.1640625" bestFit="1" customWidth="1"/>
    <col min="713" max="713" width="5.1640625" bestFit="1" customWidth="1"/>
    <col min="714" max="714" width="8.1640625" bestFit="1" customWidth="1"/>
    <col min="715" max="716" width="7.1640625" bestFit="1" customWidth="1"/>
    <col min="717" max="717" width="5.1640625" bestFit="1" customWidth="1"/>
    <col min="718" max="718" width="7.1640625" bestFit="1" customWidth="1"/>
    <col min="719" max="720" width="5.1640625" bestFit="1" customWidth="1"/>
    <col min="721" max="721" width="8.1640625" bestFit="1" customWidth="1"/>
    <col min="722" max="722" width="5.1640625" bestFit="1" customWidth="1"/>
    <col min="723" max="723" width="7.1640625" bestFit="1" customWidth="1"/>
    <col min="724" max="726" width="8.1640625" bestFit="1" customWidth="1"/>
    <col min="727" max="728" width="7.1640625" bestFit="1" customWidth="1"/>
    <col min="729" max="730" width="5.1640625" bestFit="1" customWidth="1"/>
    <col min="731" max="732" width="7.1640625" bestFit="1" customWidth="1"/>
    <col min="733" max="734" width="8.1640625" bestFit="1" customWidth="1"/>
    <col min="735" max="735" width="5.1640625" bestFit="1" customWidth="1"/>
    <col min="736" max="736" width="8.1640625" bestFit="1" customWidth="1"/>
    <col min="737" max="738" width="7.1640625" bestFit="1" customWidth="1"/>
    <col min="739" max="739" width="5.1640625" bestFit="1" customWidth="1"/>
    <col min="740" max="741" width="8.1640625" bestFit="1" customWidth="1"/>
    <col min="742" max="742" width="7.1640625" bestFit="1" customWidth="1"/>
    <col min="743" max="743" width="8.1640625" bestFit="1" customWidth="1"/>
    <col min="744" max="744" width="5.1640625" bestFit="1" customWidth="1"/>
    <col min="745" max="745" width="7.1640625" bestFit="1" customWidth="1"/>
    <col min="746" max="749" width="8.1640625" bestFit="1" customWidth="1"/>
    <col min="750" max="750" width="9.1640625" bestFit="1" customWidth="1"/>
    <col min="751" max="751" width="6.1640625" bestFit="1" customWidth="1"/>
    <col min="752" max="753" width="8.1640625" bestFit="1" customWidth="1"/>
    <col min="754" max="755" width="6.1640625" bestFit="1" customWidth="1"/>
    <col min="756" max="757" width="8.1640625" bestFit="1" customWidth="1"/>
    <col min="758" max="758" width="6.1640625" bestFit="1" customWidth="1"/>
    <col min="759" max="759" width="8.1640625" bestFit="1" customWidth="1"/>
    <col min="760" max="760" width="6.1640625" bestFit="1" customWidth="1"/>
    <col min="761" max="761" width="11.6640625" bestFit="1" customWidth="1"/>
  </cols>
  <sheetData>
    <row r="1" spans="1:4" x14ac:dyDescent="0.2">
      <c r="A1" s="87" t="s">
        <v>1504</v>
      </c>
      <c r="B1" t="s">
        <v>1530</v>
      </c>
      <c r="C1" t="s">
        <v>1529</v>
      </c>
      <c r="D1" t="s">
        <v>1531</v>
      </c>
    </row>
    <row r="2" spans="1:4" x14ac:dyDescent="0.2">
      <c r="A2" s="88" t="s">
        <v>1508</v>
      </c>
      <c r="B2" s="89">
        <v>208083.96999999997</v>
      </c>
      <c r="C2" s="89">
        <v>283044.84999999998</v>
      </c>
      <c r="D2" s="89">
        <v>-74960.88</v>
      </c>
    </row>
    <row r="3" spans="1:4" x14ac:dyDescent="0.2">
      <c r="A3" s="90" t="s">
        <v>1511</v>
      </c>
      <c r="B3" s="89">
        <v>27861.894999999997</v>
      </c>
      <c r="C3" s="89">
        <v>37779.85</v>
      </c>
      <c r="D3" s="89">
        <v>-9917.9549999999981</v>
      </c>
    </row>
    <row r="4" spans="1:4" x14ac:dyDescent="0.2">
      <c r="A4" s="90" t="s">
        <v>1512</v>
      </c>
      <c r="B4" s="89">
        <v>25485.275000000001</v>
      </c>
      <c r="C4" s="89">
        <v>33285.490000000005</v>
      </c>
      <c r="D4" s="89">
        <v>-7800.2150000000001</v>
      </c>
    </row>
    <row r="5" spans="1:4" x14ac:dyDescent="0.2">
      <c r="A5" s="90" t="s">
        <v>1513</v>
      </c>
      <c r="B5" s="89">
        <v>26381.399999999998</v>
      </c>
      <c r="C5" s="89">
        <v>34565.600000000006</v>
      </c>
      <c r="D5" s="89">
        <v>-8184.2</v>
      </c>
    </row>
    <row r="6" spans="1:4" x14ac:dyDescent="0.2">
      <c r="A6" s="90" t="s">
        <v>1514</v>
      </c>
      <c r="B6" s="89">
        <v>37515.724999999999</v>
      </c>
      <c r="C6" s="89">
        <v>51528.689999999995</v>
      </c>
      <c r="D6" s="89">
        <v>-14012.965000000002</v>
      </c>
    </row>
    <row r="7" spans="1:4" x14ac:dyDescent="0.2">
      <c r="A7" s="90" t="s">
        <v>1515</v>
      </c>
      <c r="B7" s="89">
        <v>45600.044999999991</v>
      </c>
      <c r="C7" s="89">
        <v>62163.990000000005</v>
      </c>
      <c r="D7" s="89">
        <v>-16563.945</v>
      </c>
    </row>
    <row r="8" spans="1:4" x14ac:dyDescent="0.2">
      <c r="A8" s="90" t="s">
        <v>1516</v>
      </c>
      <c r="B8" s="89">
        <v>45239.63</v>
      </c>
      <c r="C8" s="89">
        <v>63721.229999999996</v>
      </c>
      <c r="D8" s="89">
        <v>-18481.600000000002</v>
      </c>
    </row>
    <row r="9" spans="1:4" x14ac:dyDescent="0.2">
      <c r="A9" s="88" t="s">
        <v>1509</v>
      </c>
      <c r="B9" s="89">
        <v>617085.20350000006</v>
      </c>
      <c r="C9" s="89">
        <v>696551.12</v>
      </c>
      <c r="D9" s="89">
        <v>-79465.916500000007</v>
      </c>
    </row>
    <row r="10" spans="1:4" x14ac:dyDescent="0.2">
      <c r="A10" s="90" t="s">
        <v>1517</v>
      </c>
      <c r="B10" s="89">
        <v>61258.070000000007</v>
      </c>
      <c r="C10" s="89">
        <v>83400.469999999987</v>
      </c>
      <c r="D10" s="89">
        <v>-22142.399999999998</v>
      </c>
    </row>
    <row r="11" spans="1:4" x14ac:dyDescent="0.2">
      <c r="A11" s="90" t="s">
        <v>1518</v>
      </c>
      <c r="B11" s="89">
        <v>38483.634999999995</v>
      </c>
      <c r="C11" s="89">
        <v>51561.060000000005</v>
      </c>
      <c r="D11" s="89">
        <v>-13077.424999999997</v>
      </c>
    </row>
    <row r="12" spans="1:4" x14ac:dyDescent="0.2">
      <c r="A12" s="90" t="s">
        <v>1519</v>
      </c>
      <c r="B12" s="89">
        <v>38547.219999999987</v>
      </c>
      <c r="C12" s="89">
        <v>49992.59</v>
      </c>
      <c r="D12" s="89">
        <v>-11445.369999999999</v>
      </c>
    </row>
    <row r="13" spans="1:4" x14ac:dyDescent="0.2">
      <c r="A13" s="90" t="s">
        <v>1520</v>
      </c>
      <c r="B13" s="89">
        <v>53032.952500000007</v>
      </c>
      <c r="C13" s="89">
        <v>56787.540000000008</v>
      </c>
      <c r="D13" s="89">
        <v>-3754.5875000000001</v>
      </c>
    </row>
    <row r="14" spans="1:4" x14ac:dyDescent="0.2">
      <c r="A14" s="90" t="s">
        <v>1521</v>
      </c>
      <c r="B14" s="89">
        <v>53781.290000000008</v>
      </c>
      <c r="C14" s="89">
        <v>56823.700000000004</v>
      </c>
      <c r="D14" s="89">
        <v>-3042.4100000000003</v>
      </c>
    </row>
    <row r="15" spans="1:4" x14ac:dyDescent="0.2">
      <c r="A15" s="90" t="s">
        <v>1522</v>
      </c>
      <c r="B15" s="89">
        <v>36362.802500000005</v>
      </c>
      <c r="C15" s="89">
        <v>39088</v>
      </c>
      <c r="D15" s="89">
        <v>-2725.1975000000002</v>
      </c>
    </row>
    <row r="16" spans="1:4" x14ac:dyDescent="0.2">
      <c r="A16" s="90" t="s">
        <v>1511</v>
      </c>
      <c r="B16" s="89">
        <v>51020.857499999998</v>
      </c>
      <c r="C16" s="89">
        <v>55464.929999999993</v>
      </c>
      <c r="D16" s="89">
        <v>-4444.0725000000002</v>
      </c>
    </row>
    <row r="17" spans="1:4" x14ac:dyDescent="0.2">
      <c r="A17" s="90" t="s">
        <v>1512</v>
      </c>
      <c r="B17" s="89">
        <v>47287.67</v>
      </c>
      <c r="C17" s="89">
        <v>49981.689999999995</v>
      </c>
      <c r="D17" s="89">
        <v>-2694.02</v>
      </c>
    </row>
    <row r="18" spans="1:4" x14ac:dyDescent="0.2">
      <c r="A18" s="90" t="s">
        <v>1513</v>
      </c>
      <c r="B18" s="89">
        <v>55629.242499999993</v>
      </c>
      <c r="C18" s="89">
        <v>59733.02</v>
      </c>
      <c r="D18" s="89">
        <v>-4103.7775000000001</v>
      </c>
    </row>
    <row r="19" spans="1:4" x14ac:dyDescent="0.2">
      <c r="A19" s="90" t="s">
        <v>1514</v>
      </c>
      <c r="B19" s="89">
        <v>66749.22600000001</v>
      </c>
      <c r="C19" s="89">
        <v>70328.5</v>
      </c>
      <c r="D19" s="89">
        <v>-3579.2739999999994</v>
      </c>
    </row>
    <row r="20" spans="1:4" x14ac:dyDescent="0.2">
      <c r="A20" s="90" t="s">
        <v>1515</v>
      </c>
      <c r="B20" s="89">
        <v>43533.808999999994</v>
      </c>
      <c r="C20" s="89">
        <v>45913.359999999993</v>
      </c>
      <c r="D20" s="89">
        <v>-2379.5509999999999</v>
      </c>
    </row>
    <row r="21" spans="1:4" x14ac:dyDescent="0.2">
      <c r="A21" s="90" t="s">
        <v>1516</v>
      </c>
      <c r="B21" s="89">
        <v>71398.428499999995</v>
      </c>
      <c r="C21" s="89">
        <v>77476.259999999995</v>
      </c>
      <c r="D21" s="89">
        <v>-6077.8315000000002</v>
      </c>
    </row>
    <row r="22" spans="1:4" x14ac:dyDescent="0.2">
      <c r="A22" s="88" t="s">
        <v>1510</v>
      </c>
      <c r="B22" s="89">
        <v>440623.86600000004</v>
      </c>
      <c r="C22" s="89">
        <v>469771.33999999997</v>
      </c>
      <c r="D22" s="89">
        <v>-29147.474000000006</v>
      </c>
    </row>
    <row r="23" spans="1:4" x14ac:dyDescent="0.2">
      <c r="A23" s="90" t="s">
        <v>1517</v>
      </c>
      <c r="B23" s="89">
        <v>94222.110499999995</v>
      </c>
      <c r="C23" s="89">
        <v>100854.72</v>
      </c>
      <c r="D23" s="89">
        <v>-6632.6095000000005</v>
      </c>
    </row>
    <row r="24" spans="1:4" x14ac:dyDescent="0.2">
      <c r="A24" s="90" t="s">
        <v>1518</v>
      </c>
      <c r="B24" s="89">
        <v>99415.287499999991</v>
      </c>
      <c r="C24" s="89">
        <v>104561.95</v>
      </c>
      <c r="D24" s="89">
        <v>-5146.6625000000004</v>
      </c>
    </row>
    <row r="25" spans="1:4" x14ac:dyDescent="0.2">
      <c r="A25" s="90" t="s">
        <v>1519</v>
      </c>
      <c r="B25" s="89">
        <v>104854.15500000001</v>
      </c>
      <c r="C25" s="89">
        <v>109825.45</v>
      </c>
      <c r="D25" s="89">
        <v>-4971.2950000000001</v>
      </c>
    </row>
    <row r="26" spans="1:4" x14ac:dyDescent="0.2">
      <c r="A26" s="90" t="s">
        <v>1520</v>
      </c>
      <c r="B26" s="89">
        <v>123798.68250000001</v>
      </c>
      <c r="C26" s="89">
        <v>134630.56</v>
      </c>
      <c r="D26" s="89">
        <v>-10831.877500000001</v>
      </c>
    </row>
    <row r="27" spans="1:4" x14ac:dyDescent="0.2">
      <c r="A27" s="90" t="s">
        <v>1521</v>
      </c>
      <c r="B27" s="89">
        <v>18333.630499999999</v>
      </c>
      <c r="C27" s="89">
        <v>19898.66</v>
      </c>
      <c r="D27" s="89">
        <v>-1565.0295000000003</v>
      </c>
    </row>
    <row r="28" spans="1:4" x14ac:dyDescent="0.2">
      <c r="A28" s="88" t="s">
        <v>1505</v>
      </c>
      <c r="B28" s="89">
        <v>1265793.0395</v>
      </c>
      <c r="C28" s="89">
        <v>1449367.3099999998</v>
      </c>
      <c r="D28" s="89">
        <v>-183574.27050000001</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9D570B-555D-BC40-9A2C-53391027EA60}">
  <dimension ref="A1:E831"/>
  <sheetViews>
    <sheetView workbookViewId="0">
      <selection activeCell="E1" sqref="E1:E1048576"/>
    </sheetView>
  </sheetViews>
  <sheetFormatPr baseColWidth="10" defaultRowHeight="16" x14ac:dyDescent="0.2"/>
  <cols>
    <col min="2" max="3" width="11.33203125" customWidth="1"/>
    <col min="5" max="5" width="10.83203125" style="1"/>
  </cols>
  <sheetData>
    <row r="1" spans="1:5" x14ac:dyDescent="0.2">
      <c r="A1" t="s">
        <v>0</v>
      </c>
      <c r="B1" t="s">
        <v>1500</v>
      </c>
      <c r="C1" t="s">
        <v>1502</v>
      </c>
      <c r="D1" t="s">
        <v>1503</v>
      </c>
      <c r="E1" s="1" t="s">
        <v>3</v>
      </c>
    </row>
    <row r="2" spans="1:5" x14ac:dyDescent="0.2">
      <c r="A2">
        <v>10248</v>
      </c>
      <c r="B2">
        <v>440</v>
      </c>
      <c r="C2">
        <v>566</v>
      </c>
      <c r="D2">
        <v>-126</v>
      </c>
      <c r="E2" s="1">
        <v>35250</v>
      </c>
    </row>
    <row r="3" spans="1:5" x14ac:dyDescent="0.2">
      <c r="A3">
        <v>10249</v>
      </c>
      <c r="B3">
        <v>1863.4</v>
      </c>
      <c r="C3">
        <v>2329.25</v>
      </c>
      <c r="D3">
        <v>-465.85</v>
      </c>
      <c r="E3" s="1">
        <v>35251</v>
      </c>
    </row>
    <row r="4" spans="1:5" x14ac:dyDescent="0.2">
      <c r="A4">
        <v>10250</v>
      </c>
      <c r="B4">
        <v>1552.6000000000001</v>
      </c>
      <c r="C4">
        <v>2267.25</v>
      </c>
      <c r="D4">
        <v>-714.64999999999986</v>
      </c>
      <c r="E4" s="1">
        <v>35254</v>
      </c>
    </row>
    <row r="5" spans="1:5" x14ac:dyDescent="0.2">
      <c r="A5">
        <v>10251</v>
      </c>
      <c r="B5">
        <v>654.05999999999995</v>
      </c>
      <c r="C5">
        <v>839.5</v>
      </c>
      <c r="D5">
        <v>-185.44</v>
      </c>
      <c r="E5" s="1">
        <v>35254</v>
      </c>
    </row>
    <row r="6" spans="1:5" x14ac:dyDescent="0.2">
      <c r="A6">
        <v>10252</v>
      </c>
      <c r="B6">
        <v>3597.9</v>
      </c>
      <c r="C6">
        <v>4662.5</v>
      </c>
      <c r="D6">
        <v>-1064.5999999999999</v>
      </c>
      <c r="E6" s="1">
        <v>35255</v>
      </c>
    </row>
    <row r="7" spans="1:5" x14ac:dyDescent="0.2">
      <c r="A7">
        <v>10253</v>
      </c>
      <c r="B7">
        <v>1444.8000000000002</v>
      </c>
      <c r="C7">
        <v>1806</v>
      </c>
      <c r="D7">
        <v>-361.19999999999993</v>
      </c>
      <c r="E7" s="1">
        <v>35256</v>
      </c>
    </row>
    <row r="8" spans="1:5" x14ac:dyDescent="0.2">
      <c r="A8">
        <v>10254</v>
      </c>
      <c r="B8">
        <v>556.61999999999989</v>
      </c>
      <c r="C8">
        <v>781.5</v>
      </c>
      <c r="D8">
        <v>-224.88000000000002</v>
      </c>
      <c r="E8" s="1">
        <v>35257</v>
      </c>
    </row>
    <row r="9" spans="1:5" x14ac:dyDescent="0.2">
      <c r="A9">
        <v>10255</v>
      </c>
      <c r="B9">
        <v>2490.5</v>
      </c>
      <c r="C9">
        <v>3115.75</v>
      </c>
      <c r="D9">
        <v>-625.25</v>
      </c>
      <c r="E9" s="1">
        <v>35258</v>
      </c>
    </row>
    <row r="10" spans="1:5" x14ac:dyDescent="0.2">
      <c r="A10">
        <v>10256</v>
      </c>
      <c r="B10">
        <v>517.79999999999995</v>
      </c>
      <c r="C10">
        <v>648</v>
      </c>
      <c r="D10">
        <v>-130.19999999999993</v>
      </c>
      <c r="E10" s="1">
        <v>35261</v>
      </c>
    </row>
    <row r="11" spans="1:5" x14ac:dyDescent="0.2">
      <c r="A11">
        <v>10257</v>
      </c>
      <c r="B11">
        <v>1119.9000000000001</v>
      </c>
      <c r="C11">
        <v>1400.5</v>
      </c>
      <c r="D11">
        <v>-280.60000000000002</v>
      </c>
      <c r="E11" s="1">
        <v>35262</v>
      </c>
    </row>
    <row r="12" spans="1:5" x14ac:dyDescent="0.2">
      <c r="A12">
        <v>10258</v>
      </c>
      <c r="B12">
        <v>1614.88</v>
      </c>
      <c r="C12">
        <v>2529.75</v>
      </c>
      <c r="D12">
        <v>-914.87</v>
      </c>
      <c r="E12" s="1">
        <v>35263</v>
      </c>
    </row>
    <row r="13" spans="1:5" x14ac:dyDescent="0.2">
      <c r="A13">
        <v>10259</v>
      </c>
      <c r="B13">
        <v>100.8</v>
      </c>
      <c r="C13">
        <v>126</v>
      </c>
      <c r="D13">
        <v>-25.2</v>
      </c>
      <c r="E13" s="1">
        <v>35264</v>
      </c>
    </row>
    <row r="14" spans="1:5" x14ac:dyDescent="0.2">
      <c r="A14">
        <v>10260</v>
      </c>
      <c r="B14">
        <v>1504.65</v>
      </c>
      <c r="C14">
        <v>2183.9</v>
      </c>
      <c r="D14">
        <v>-679.25</v>
      </c>
      <c r="E14" s="1">
        <v>35265</v>
      </c>
    </row>
    <row r="15" spans="1:5" x14ac:dyDescent="0.2">
      <c r="A15">
        <v>10261</v>
      </c>
      <c r="B15">
        <v>448</v>
      </c>
      <c r="C15">
        <v>560</v>
      </c>
      <c r="D15">
        <v>-112</v>
      </c>
      <c r="E15" s="1">
        <v>35265</v>
      </c>
    </row>
    <row r="16" spans="1:5" x14ac:dyDescent="0.2">
      <c r="A16">
        <v>10262</v>
      </c>
      <c r="B16">
        <v>584</v>
      </c>
      <c r="C16">
        <v>782.2</v>
      </c>
      <c r="D16">
        <v>-198.20000000000005</v>
      </c>
      <c r="E16" s="1">
        <v>35268</v>
      </c>
    </row>
    <row r="17" spans="1:5" x14ac:dyDescent="0.2">
      <c r="A17">
        <v>10263</v>
      </c>
      <c r="B17">
        <v>1873.8</v>
      </c>
      <c r="C17">
        <v>3086.4</v>
      </c>
      <c r="D17">
        <v>-1212.6000000000001</v>
      </c>
      <c r="E17" s="1">
        <v>35269</v>
      </c>
    </row>
    <row r="18" spans="1:5" x14ac:dyDescent="0.2">
      <c r="A18">
        <v>10264</v>
      </c>
      <c r="B18">
        <v>695.625</v>
      </c>
      <c r="C18">
        <v>906.25</v>
      </c>
      <c r="D18">
        <v>-210.625</v>
      </c>
      <c r="E18" s="1">
        <v>35270</v>
      </c>
    </row>
    <row r="19" spans="1:5" x14ac:dyDescent="0.2">
      <c r="A19">
        <v>10265</v>
      </c>
      <c r="B19">
        <v>1176</v>
      </c>
      <c r="C19">
        <v>1470</v>
      </c>
      <c r="D19">
        <v>-294</v>
      </c>
      <c r="E19" s="1">
        <v>35271</v>
      </c>
    </row>
    <row r="20" spans="1:5" x14ac:dyDescent="0.2">
      <c r="A20">
        <v>10266</v>
      </c>
      <c r="B20">
        <v>346.55999999999995</v>
      </c>
      <c r="C20">
        <v>456</v>
      </c>
      <c r="D20">
        <v>-109.44000000000005</v>
      </c>
      <c r="E20" s="1">
        <v>35272</v>
      </c>
    </row>
    <row r="21" spans="1:5" x14ac:dyDescent="0.2">
      <c r="A21">
        <v>10267</v>
      </c>
      <c r="B21">
        <v>3536.6</v>
      </c>
      <c r="C21">
        <v>5040</v>
      </c>
      <c r="D21">
        <v>-1503.4</v>
      </c>
      <c r="E21" s="1">
        <v>35275</v>
      </c>
    </row>
    <row r="22" spans="1:5" x14ac:dyDescent="0.2">
      <c r="A22">
        <v>10268</v>
      </c>
      <c r="B22">
        <v>1101.2</v>
      </c>
      <c r="C22">
        <v>1377.1000000000001</v>
      </c>
      <c r="D22">
        <v>-275.90000000000009</v>
      </c>
      <c r="E22" s="1">
        <v>35276</v>
      </c>
    </row>
    <row r="23" spans="1:5" x14ac:dyDescent="0.2">
      <c r="A23">
        <v>10269</v>
      </c>
      <c r="B23">
        <v>642.20000000000005</v>
      </c>
      <c r="C23">
        <v>846</v>
      </c>
      <c r="D23">
        <v>-203.79999999999995</v>
      </c>
      <c r="E23" s="1">
        <v>35277</v>
      </c>
    </row>
    <row r="24" spans="1:5" x14ac:dyDescent="0.2">
      <c r="A24">
        <v>10270</v>
      </c>
      <c r="B24">
        <v>1376</v>
      </c>
      <c r="C24">
        <v>1720</v>
      </c>
      <c r="D24">
        <v>-344.00000000000011</v>
      </c>
      <c r="E24" s="1">
        <v>35278</v>
      </c>
    </row>
    <row r="25" spans="1:5" x14ac:dyDescent="0.2">
      <c r="A25">
        <v>10271</v>
      </c>
      <c r="B25">
        <v>48</v>
      </c>
      <c r="C25">
        <v>60</v>
      </c>
      <c r="D25">
        <v>-12</v>
      </c>
      <c r="E25" s="1">
        <v>35278</v>
      </c>
    </row>
    <row r="26" spans="1:5" x14ac:dyDescent="0.2">
      <c r="A26">
        <v>10272</v>
      </c>
      <c r="B26">
        <v>1456</v>
      </c>
      <c r="C26">
        <v>1821.1999999999998</v>
      </c>
      <c r="D26">
        <v>-365.19999999999993</v>
      </c>
      <c r="E26" s="1">
        <v>35279</v>
      </c>
    </row>
    <row r="27" spans="1:5" x14ac:dyDescent="0.2">
      <c r="A27">
        <v>10273</v>
      </c>
      <c r="B27">
        <v>2037.2800000000002</v>
      </c>
      <c r="C27">
        <v>2679.5</v>
      </c>
      <c r="D27">
        <v>-642.22</v>
      </c>
      <c r="E27" s="1">
        <v>35282</v>
      </c>
    </row>
    <row r="28" spans="1:5" x14ac:dyDescent="0.2">
      <c r="A28">
        <v>10274</v>
      </c>
      <c r="B28">
        <v>538.6</v>
      </c>
      <c r="C28">
        <v>673.59999999999991</v>
      </c>
      <c r="D28">
        <v>-134.99999999999997</v>
      </c>
      <c r="E28" s="1">
        <v>35283</v>
      </c>
    </row>
    <row r="29" spans="1:5" x14ac:dyDescent="0.2">
      <c r="A29">
        <v>10275</v>
      </c>
      <c r="B29">
        <v>291.84000000000003</v>
      </c>
      <c r="C29">
        <v>384</v>
      </c>
      <c r="D29">
        <v>-92.159999999999982</v>
      </c>
      <c r="E29" s="1">
        <v>35284</v>
      </c>
    </row>
    <row r="30" spans="1:5" x14ac:dyDescent="0.2">
      <c r="A30">
        <v>10276</v>
      </c>
      <c r="B30">
        <v>420</v>
      </c>
      <c r="C30">
        <v>525</v>
      </c>
      <c r="D30">
        <v>-105</v>
      </c>
      <c r="E30" s="1">
        <v>35285</v>
      </c>
    </row>
    <row r="31" spans="1:5" x14ac:dyDescent="0.2">
      <c r="A31">
        <v>10277</v>
      </c>
      <c r="B31">
        <v>1200.8</v>
      </c>
      <c r="C31">
        <v>1503.6</v>
      </c>
      <c r="D31">
        <v>-302.79999999999995</v>
      </c>
      <c r="E31" s="1">
        <v>35286</v>
      </c>
    </row>
    <row r="32" spans="1:5" x14ac:dyDescent="0.2">
      <c r="A32">
        <v>10278</v>
      </c>
      <c r="B32">
        <v>1488.8</v>
      </c>
      <c r="C32">
        <v>1862.4</v>
      </c>
      <c r="D32">
        <v>-373.59999999999997</v>
      </c>
      <c r="E32" s="1">
        <v>35289</v>
      </c>
    </row>
    <row r="33" spans="1:5" x14ac:dyDescent="0.2">
      <c r="A33">
        <v>10279</v>
      </c>
      <c r="B33">
        <v>351</v>
      </c>
      <c r="C33">
        <v>585</v>
      </c>
      <c r="D33">
        <v>-234</v>
      </c>
      <c r="E33" s="1">
        <v>35290</v>
      </c>
    </row>
    <row r="34" spans="1:5" x14ac:dyDescent="0.2">
      <c r="A34">
        <v>10280</v>
      </c>
      <c r="B34">
        <v>613.20000000000005</v>
      </c>
      <c r="C34">
        <v>766.5</v>
      </c>
      <c r="D34">
        <v>-153.30000000000001</v>
      </c>
      <c r="E34" s="1">
        <v>35291</v>
      </c>
    </row>
    <row r="35" spans="1:5" x14ac:dyDescent="0.2">
      <c r="A35">
        <v>10281</v>
      </c>
      <c r="B35">
        <v>86.5</v>
      </c>
      <c r="C35">
        <v>108.2</v>
      </c>
      <c r="D35">
        <v>-21.699999999999996</v>
      </c>
      <c r="E35" s="1">
        <v>35291</v>
      </c>
    </row>
    <row r="36" spans="1:5" x14ac:dyDescent="0.2">
      <c r="A36">
        <v>10282</v>
      </c>
      <c r="B36">
        <v>155.39999999999998</v>
      </c>
      <c r="C36">
        <v>194.34</v>
      </c>
      <c r="D36">
        <v>-38.940000000000012</v>
      </c>
      <c r="E36" s="1">
        <v>35292</v>
      </c>
    </row>
    <row r="37" spans="1:5" x14ac:dyDescent="0.2">
      <c r="A37">
        <v>10283</v>
      </c>
      <c r="B37">
        <v>1414.8000000000002</v>
      </c>
      <c r="C37">
        <v>1770</v>
      </c>
      <c r="D37">
        <v>-355.2</v>
      </c>
      <c r="E37" s="1">
        <v>35293</v>
      </c>
    </row>
    <row r="38" spans="1:5" x14ac:dyDescent="0.2">
      <c r="A38">
        <v>10284</v>
      </c>
      <c r="B38">
        <v>1170.375</v>
      </c>
      <c r="C38">
        <v>1816.95</v>
      </c>
      <c r="D38">
        <v>-646.57500000000005</v>
      </c>
      <c r="E38" s="1">
        <v>35296</v>
      </c>
    </row>
    <row r="39" spans="1:5" x14ac:dyDescent="0.2">
      <c r="A39">
        <v>10285</v>
      </c>
      <c r="B39">
        <v>1743.36</v>
      </c>
      <c r="C39">
        <v>2726.8</v>
      </c>
      <c r="D39">
        <v>-983.44</v>
      </c>
      <c r="E39" s="1">
        <v>35297</v>
      </c>
    </row>
    <row r="40" spans="1:5" x14ac:dyDescent="0.2">
      <c r="A40">
        <v>10286</v>
      </c>
      <c r="B40">
        <v>3016</v>
      </c>
      <c r="C40">
        <v>3772</v>
      </c>
      <c r="D40">
        <v>-756</v>
      </c>
      <c r="E40" s="1">
        <v>35298</v>
      </c>
    </row>
    <row r="41" spans="1:5" x14ac:dyDescent="0.2">
      <c r="A41">
        <v>10287</v>
      </c>
      <c r="B41">
        <v>819</v>
      </c>
      <c r="C41">
        <v>1158</v>
      </c>
      <c r="D41">
        <v>-339</v>
      </c>
      <c r="E41" s="1">
        <v>35299</v>
      </c>
    </row>
    <row r="42" spans="1:5" x14ac:dyDescent="0.2">
      <c r="A42">
        <v>10288</v>
      </c>
      <c r="B42">
        <v>80.099999999999994</v>
      </c>
      <c r="C42">
        <v>112</v>
      </c>
      <c r="D42">
        <v>-31.9</v>
      </c>
      <c r="E42" s="1">
        <v>35300</v>
      </c>
    </row>
    <row r="43" spans="1:5" x14ac:dyDescent="0.2">
      <c r="A43">
        <v>10289</v>
      </c>
      <c r="B43">
        <v>479.4</v>
      </c>
      <c r="C43">
        <v>599.25</v>
      </c>
      <c r="D43">
        <v>-119.85</v>
      </c>
      <c r="E43" s="1">
        <v>35303</v>
      </c>
    </row>
    <row r="44" spans="1:5" x14ac:dyDescent="0.2">
      <c r="A44">
        <v>10290</v>
      </c>
      <c r="B44">
        <v>2169</v>
      </c>
      <c r="C44">
        <v>2713.8500000000004</v>
      </c>
      <c r="D44">
        <v>-544.85000000000014</v>
      </c>
      <c r="E44" s="1">
        <v>35304</v>
      </c>
    </row>
    <row r="45" spans="1:5" x14ac:dyDescent="0.2">
      <c r="A45">
        <v>10291</v>
      </c>
      <c r="B45">
        <v>497.52000000000004</v>
      </c>
      <c r="C45">
        <v>692.8</v>
      </c>
      <c r="D45">
        <v>-195.27999999999994</v>
      </c>
      <c r="E45" s="1">
        <v>35304</v>
      </c>
    </row>
    <row r="46" spans="1:5" x14ac:dyDescent="0.2">
      <c r="A46">
        <v>10292</v>
      </c>
      <c r="B46">
        <v>1296</v>
      </c>
      <c r="C46">
        <v>1620</v>
      </c>
      <c r="D46">
        <v>-324</v>
      </c>
      <c r="E46" s="1">
        <v>35305</v>
      </c>
    </row>
    <row r="47" spans="1:5" x14ac:dyDescent="0.2">
      <c r="A47">
        <v>10293</v>
      </c>
      <c r="B47">
        <v>848.7</v>
      </c>
      <c r="C47">
        <v>1061</v>
      </c>
      <c r="D47">
        <v>-212.3</v>
      </c>
      <c r="E47" s="1">
        <v>35306</v>
      </c>
    </row>
    <row r="48" spans="1:5" x14ac:dyDescent="0.2">
      <c r="A48">
        <v>10294</v>
      </c>
      <c r="B48">
        <v>1887.6000000000001</v>
      </c>
      <c r="C48">
        <v>2359.5</v>
      </c>
      <c r="D48">
        <v>-471.90000000000009</v>
      </c>
      <c r="E48" s="1">
        <v>35307</v>
      </c>
    </row>
    <row r="49" spans="1:5" x14ac:dyDescent="0.2">
      <c r="A49">
        <v>10295</v>
      </c>
      <c r="B49">
        <v>121.6</v>
      </c>
      <c r="C49">
        <v>152</v>
      </c>
      <c r="D49">
        <v>-30.400000000000006</v>
      </c>
      <c r="E49" s="1">
        <v>35310</v>
      </c>
    </row>
    <row r="50" spans="1:5" x14ac:dyDescent="0.2">
      <c r="A50">
        <v>10296</v>
      </c>
      <c r="B50">
        <v>1050.5999999999999</v>
      </c>
      <c r="C50">
        <v>1315.5</v>
      </c>
      <c r="D50">
        <v>-264.89999999999998</v>
      </c>
      <c r="E50" s="1">
        <v>35311</v>
      </c>
    </row>
    <row r="51" spans="1:5" x14ac:dyDescent="0.2">
      <c r="A51">
        <v>10297</v>
      </c>
      <c r="B51">
        <v>1420</v>
      </c>
      <c r="C51">
        <v>1776</v>
      </c>
      <c r="D51">
        <v>-356</v>
      </c>
      <c r="E51" s="1">
        <v>35312</v>
      </c>
    </row>
    <row r="52" spans="1:5" x14ac:dyDescent="0.2">
      <c r="A52">
        <v>10298</v>
      </c>
      <c r="B52">
        <v>2645</v>
      </c>
      <c r="C52">
        <v>3909.5</v>
      </c>
      <c r="D52">
        <v>-1264.5</v>
      </c>
      <c r="E52" s="1">
        <v>35313</v>
      </c>
    </row>
    <row r="53" spans="1:5" x14ac:dyDescent="0.2">
      <c r="A53">
        <v>10299</v>
      </c>
      <c r="B53">
        <v>349.5</v>
      </c>
      <c r="C53">
        <v>438</v>
      </c>
      <c r="D53">
        <v>-88.5</v>
      </c>
      <c r="E53" s="1">
        <v>35314</v>
      </c>
    </row>
    <row r="54" spans="1:5" x14ac:dyDescent="0.2">
      <c r="A54">
        <v>10300</v>
      </c>
      <c r="B54">
        <v>608</v>
      </c>
      <c r="C54">
        <v>760</v>
      </c>
      <c r="D54">
        <v>-152</v>
      </c>
      <c r="E54" s="1">
        <v>35317</v>
      </c>
    </row>
    <row r="55" spans="1:5" x14ac:dyDescent="0.2">
      <c r="A55">
        <v>10301</v>
      </c>
      <c r="B55">
        <v>755</v>
      </c>
      <c r="C55">
        <v>944</v>
      </c>
      <c r="D55">
        <v>-189</v>
      </c>
      <c r="E55" s="1">
        <v>35317</v>
      </c>
    </row>
    <row r="56" spans="1:5" x14ac:dyDescent="0.2">
      <c r="A56">
        <v>10302</v>
      </c>
      <c r="B56">
        <v>2708.7999999999997</v>
      </c>
      <c r="C56">
        <v>3388.8</v>
      </c>
      <c r="D56">
        <v>-680</v>
      </c>
      <c r="E56" s="1">
        <v>35318</v>
      </c>
    </row>
    <row r="57" spans="1:5" x14ac:dyDescent="0.2">
      <c r="A57">
        <v>10303</v>
      </c>
      <c r="B57">
        <v>1117.8000000000002</v>
      </c>
      <c r="C57">
        <v>1555</v>
      </c>
      <c r="D57">
        <v>-437.19999999999993</v>
      </c>
      <c r="E57" s="1">
        <v>35319</v>
      </c>
    </row>
    <row r="58" spans="1:5" x14ac:dyDescent="0.2">
      <c r="A58">
        <v>10304</v>
      </c>
      <c r="B58">
        <v>954.4</v>
      </c>
      <c r="C58">
        <v>1193</v>
      </c>
      <c r="D58">
        <v>-238.6</v>
      </c>
      <c r="E58" s="1">
        <v>35320</v>
      </c>
    </row>
    <row r="59" spans="1:5" x14ac:dyDescent="0.2">
      <c r="A59">
        <v>10305</v>
      </c>
      <c r="B59">
        <v>3741.3</v>
      </c>
      <c r="C59">
        <v>5197.25</v>
      </c>
      <c r="D59">
        <v>-1455.95</v>
      </c>
      <c r="E59" s="1">
        <v>35321</v>
      </c>
    </row>
    <row r="60" spans="1:5" x14ac:dyDescent="0.2">
      <c r="A60">
        <v>10306</v>
      </c>
      <c r="B60">
        <v>498.5</v>
      </c>
      <c r="C60">
        <v>624.15</v>
      </c>
      <c r="D60">
        <v>-125.64999999999998</v>
      </c>
      <c r="E60" s="1">
        <v>35324</v>
      </c>
    </row>
    <row r="61" spans="1:5" x14ac:dyDescent="0.2">
      <c r="A61">
        <v>10307</v>
      </c>
      <c r="B61">
        <v>424</v>
      </c>
      <c r="C61">
        <v>530.5</v>
      </c>
      <c r="D61">
        <v>-106.5</v>
      </c>
      <c r="E61" s="1">
        <v>35325</v>
      </c>
    </row>
    <row r="62" spans="1:5" x14ac:dyDescent="0.2">
      <c r="A62">
        <v>10308</v>
      </c>
      <c r="B62">
        <v>88.8</v>
      </c>
      <c r="C62">
        <v>111</v>
      </c>
      <c r="D62">
        <v>-22.2</v>
      </c>
      <c r="E62" s="1">
        <v>35326</v>
      </c>
    </row>
    <row r="63" spans="1:5" x14ac:dyDescent="0.2">
      <c r="A63">
        <v>10309</v>
      </c>
      <c r="B63">
        <v>1762</v>
      </c>
      <c r="C63">
        <v>2202.5</v>
      </c>
      <c r="D63">
        <v>-440.5</v>
      </c>
      <c r="E63" s="1">
        <v>35327</v>
      </c>
    </row>
    <row r="64" spans="1:5" x14ac:dyDescent="0.2">
      <c r="A64">
        <v>10310</v>
      </c>
      <c r="B64">
        <v>336</v>
      </c>
      <c r="C64">
        <v>421</v>
      </c>
      <c r="D64">
        <v>-85</v>
      </c>
      <c r="E64" s="1">
        <v>35328</v>
      </c>
    </row>
    <row r="65" spans="1:5" x14ac:dyDescent="0.2">
      <c r="A65">
        <v>10311</v>
      </c>
      <c r="B65">
        <v>268.79999999999995</v>
      </c>
      <c r="C65">
        <v>336</v>
      </c>
      <c r="D65">
        <v>-67.200000000000017</v>
      </c>
      <c r="E65" s="1">
        <v>35328</v>
      </c>
    </row>
    <row r="66" spans="1:5" x14ac:dyDescent="0.2">
      <c r="A66">
        <v>10312</v>
      </c>
      <c r="B66">
        <v>1614.8</v>
      </c>
      <c r="C66">
        <v>2019.9</v>
      </c>
      <c r="D66">
        <v>-405.10000000000008</v>
      </c>
      <c r="E66" s="1">
        <v>35331</v>
      </c>
    </row>
    <row r="67" spans="1:5" x14ac:dyDescent="0.2">
      <c r="A67">
        <v>10313</v>
      </c>
      <c r="B67">
        <v>182.39999999999998</v>
      </c>
      <c r="C67">
        <v>228</v>
      </c>
      <c r="D67">
        <v>-45.600000000000023</v>
      </c>
      <c r="E67" s="1">
        <v>35332</v>
      </c>
    </row>
    <row r="68" spans="1:5" x14ac:dyDescent="0.2">
      <c r="A68">
        <v>10314</v>
      </c>
      <c r="B68">
        <v>2094.3000000000002</v>
      </c>
      <c r="C68">
        <v>2910</v>
      </c>
      <c r="D68">
        <v>-815.7</v>
      </c>
      <c r="E68" s="1">
        <v>35333</v>
      </c>
    </row>
    <row r="69" spans="1:5" x14ac:dyDescent="0.2">
      <c r="A69">
        <v>10315</v>
      </c>
      <c r="B69">
        <v>516.79999999999995</v>
      </c>
      <c r="C69">
        <v>646</v>
      </c>
      <c r="D69">
        <v>-129.20000000000002</v>
      </c>
      <c r="E69" s="1">
        <v>35334</v>
      </c>
    </row>
    <row r="70" spans="1:5" x14ac:dyDescent="0.2">
      <c r="A70">
        <v>10316</v>
      </c>
      <c r="B70">
        <v>2835</v>
      </c>
      <c r="C70">
        <v>3547.5</v>
      </c>
      <c r="D70">
        <v>-712.5</v>
      </c>
      <c r="E70" s="1">
        <v>35335</v>
      </c>
    </row>
    <row r="71" spans="1:5" x14ac:dyDescent="0.2">
      <c r="A71">
        <v>10317</v>
      </c>
      <c r="B71">
        <v>288</v>
      </c>
      <c r="C71">
        <v>360</v>
      </c>
      <c r="D71">
        <v>-72</v>
      </c>
      <c r="E71" s="1">
        <v>35338</v>
      </c>
    </row>
    <row r="72" spans="1:5" x14ac:dyDescent="0.2">
      <c r="A72">
        <v>10318</v>
      </c>
      <c r="B72">
        <v>240.4</v>
      </c>
      <c r="C72">
        <v>301</v>
      </c>
      <c r="D72">
        <v>-60.599999999999994</v>
      </c>
      <c r="E72" s="1">
        <v>35339</v>
      </c>
    </row>
    <row r="73" spans="1:5" x14ac:dyDescent="0.2">
      <c r="A73">
        <v>10319</v>
      </c>
      <c r="B73">
        <v>1191.1999999999998</v>
      </c>
      <c r="C73">
        <v>1490.4</v>
      </c>
      <c r="D73">
        <v>-299.20000000000005</v>
      </c>
      <c r="E73" s="1">
        <v>35340</v>
      </c>
    </row>
    <row r="74" spans="1:5" x14ac:dyDescent="0.2">
      <c r="A74">
        <v>10320</v>
      </c>
      <c r="B74">
        <v>516</v>
      </c>
      <c r="C74">
        <v>645</v>
      </c>
      <c r="D74">
        <v>-129</v>
      </c>
      <c r="E74" s="1">
        <v>35341</v>
      </c>
    </row>
    <row r="75" spans="1:5" x14ac:dyDescent="0.2">
      <c r="A75">
        <v>10321</v>
      </c>
      <c r="B75">
        <v>144</v>
      </c>
      <c r="C75">
        <v>180</v>
      </c>
      <c r="D75">
        <v>-36</v>
      </c>
      <c r="E75" s="1">
        <v>35341</v>
      </c>
    </row>
    <row r="76" spans="1:5" x14ac:dyDescent="0.2">
      <c r="A76">
        <v>10322</v>
      </c>
      <c r="B76">
        <v>112</v>
      </c>
      <c r="C76">
        <v>140</v>
      </c>
      <c r="D76">
        <v>-28</v>
      </c>
      <c r="E76" s="1">
        <v>35342</v>
      </c>
    </row>
    <row r="77" spans="1:5" x14ac:dyDescent="0.2">
      <c r="A77">
        <v>10323</v>
      </c>
      <c r="B77">
        <v>164.4</v>
      </c>
      <c r="C77">
        <v>205.5</v>
      </c>
      <c r="D77">
        <v>-41.1</v>
      </c>
      <c r="E77" s="1">
        <v>35345</v>
      </c>
    </row>
    <row r="78" spans="1:5" x14ac:dyDescent="0.2">
      <c r="A78">
        <v>10324</v>
      </c>
      <c r="B78">
        <v>5275.7150000000001</v>
      </c>
      <c r="C78">
        <v>7698.45</v>
      </c>
      <c r="D78">
        <v>-2422.7349999999997</v>
      </c>
      <c r="E78" s="1">
        <v>35346</v>
      </c>
    </row>
    <row r="79" spans="1:5" x14ac:dyDescent="0.2">
      <c r="A79">
        <v>10325</v>
      </c>
      <c r="B79">
        <v>1497</v>
      </c>
      <c r="C79">
        <v>1873.25</v>
      </c>
      <c r="D79">
        <v>-376.25</v>
      </c>
      <c r="E79" s="1">
        <v>35347</v>
      </c>
    </row>
    <row r="80" spans="1:5" x14ac:dyDescent="0.2">
      <c r="A80">
        <v>10326</v>
      </c>
      <c r="B80">
        <v>982</v>
      </c>
      <c r="C80">
        <v>1227.5</v>
      </c>
      <c r="D80">
        <v>-245.49999999999997</v>
      </c>
      <c r="E80" s="1">
        <v>35348</v>
      </c>
    </row>
    <row r="81" spans="1:5" x14ac:dyDescent="0.2">
      <c r="A81">
        <v>10327</v>
      </c>
      <c r="B81">
        <v>1810</v>
      </c>
      <c r="C81">
        <v>2828.65</v>
      </c>
      <c r="D81">
        <v>-1018.65</v>
      </c>
      <c r="E81" s="1">
        <v>35349</v>
      </c>
    </row>
    <row r="82" spans="1:5" x14ac:dyDescent="0.2">
      <c r="A82">
        <v>10328</v>
      </c>
      <c r="B82">
        <v>1168</v>
      </c>
      <c r="C82">
        <v>1462</v>
      </c>
      <c r="D82">
        <v>-294</v>
      </c>
      <c r="E82" s="1">
        <v>35352</v>
      </c>
    </row>
    <row r="83" spans="1:5" x14ac:dyDescent="0.2">
      <c r="A83">
        <v>10329</v>
      </c>
      <c r="B83">
        <v>4578.43</v>
      </c>
      <c r="C83">
        <v>6025.12</v>
      </c>
      <c r="D83">
        <v>-1446.6900000000003</v>
      </c>
      <c r="E83" s="1">
        <v>35353</v>
      </c>
    </row>
    <row r="84" spans="1:5" x14ac:dyDescent="0.2">
      <c r="A84">
        <v>10330</v>
      </c>
      <c r="B84">
        <v>1649</v>
      </c>
      <c r="C84">
        <v>2431.5</v>
      </c>
      <c r="D84">
        <v>-782.49999999999989</v>
      </c>
      <c r="E84" s="1">
        <v>35354</v>
      </c>
    </row>
    <row r="85" spans="1:5" x14ac:dyDescent="0.2">
      <c r="A85">
        <v>10331</v>
      </c>
      <c r="B85">
        <v>88.5</v>
      </c>
      <c r="C85">
        <v>111.75</v>
      </c>
      <c r="D85">
        <v>-23.25</v>
      </c>
      <c r="E85" s="1">
        <v>35354</v>
      </c>
    </row>
    <row r="86" spans="1:5" x14ac:dyDescent="0.2">
      <c r="A86">
        <v>10332</v>
      </c>
      <c r="B86">
        <v>1786.8799999999999</v>
      </c>
      <c r="C86">
        <v>2792</v>
      </c>
      <c r="D86">
        <v>-1005.12</v>
      </c>
      <c r="E86" s="1">
        <v>35355</v>
      </c>
    </row>
    <row r="87" spans="1:5" x14ac:dyDescent="0.2">
      <c r="A87">
        <v>10333</v>
      </c>
      <c r="B87">
        <v>877.2</v>
      </c>
      <c r="C87">
        <v>1192.5</v>
      </c>
      <c r="D87">
        <v>-315.29999999999995</v>
      </c>
      <c r="E87" s="1">
        <v>35356</v>
      </c>
    </row>
    <row r="88" spans="1:5" x14ac:dyDescent="0.2">
      <c r="A88">
        <v>10334</v>
      </c>
      <c r="B88">
        <v>144.80000000000001</v>
      </c>
      <c r="C88">
        <v>181</v>
      </c>
      <c r="D88">
        <v>-36.200000000000003</v>
      </c>
      <c r="E88" s="1">
        <v>35359</v>
      </c>
    </row>
    <row r="89" spans="1:5" x14ac:dyDescent="0.2">
      <c r="A89">
        <v>10335</v>
      </c>
      <c r="B89">
        <v>2036.1599999999999</v>
      </c>
      <c r="C89">
        <v>3181.5</v>
      </c>
      <c r="D89">
        <v>-1145.3400000000001</v>
      </c>
      <c r="E89" s="1">
        <v>35360</v>
      </c>
    </row>
    <row r="90" spans="1:5" x14ac:dyDescent="0.2">
      <c r="A90">
        <v>10336</v>
      </c>
      <c r="B90">
        <v>285.12</v>
      </c>
      <c r="C90">
        <v>396</v>
      </c>
      <c r="D90">
        <v>-110.88</v>
      </c>
      <c r="E90" s="1">
        <v>35361</v>
      </c>
    </row>
    <row r="91" spans="1:5" x14ac:dyDescent="0.2">
      <c r="A91">
        <v>10337</v>
      </c>
      <c r="B91">
        <v>2467</v>
      </c>
      <c r="C91">
        <v>3087.52</v>
      </c>
      <c r="D91">
        <v>-620.52</v>
      </c>
      <c r="E91" s="1">
        <v>35362</v>
      </c>
    </row>
    <row r="92" spans="1:5" x14ac:dyDescent="0.2">
      <c r="A92">
        <v>10338</v>
      </c>
      <c r="B92">
        <v>934.5</v>
      </c>
      <c r="C92">
        <v>1168.3499999999999</v>
      </c>
      <c r="D92">
        <v>-233.85000000000002</v>
      </c>
      <c r="E92" s="1">
        <v>35363</v>
      </c>
    </row>
    <row r="93" spans="1:5" x14ac:dyDescent="0.2">
      <c r="A93">
        <v>10339</v>
      </c>
      <c r="B93">
        <v>3354</v>
      </c>
      <c r="C93">
        <v>4330.3999999999996</v>
      </c>
      <c r="D93">
        <v>-976.39999999999964</v>
      </c>
      <c r="E93" s="1">
        <v>35366</v>
      </c>
    </row>
    <row r="94" spans="1:5" x14ac:dyDescent="0.2">
      <c r="A94">
        <v>10340</v>
      </c>
      <c r="B94">
        <v>2436.1800000000003</v>
      </c>
      <c r="C94">
        <v>3205.8</v>
      </c>
      <c r="D94">
        <v>-769.61999999999989</v>
      </c>
      <c r="E94" s="1">
        <v>35367</v>
      </c>
    </row>
    <row r="95" spans="1:5" x14ac:dyDescent="0.2">
      <c r="A95">
        <v>10341</v>
      </c>
      <c r="B95">
        <v>352.6</v>
      </c>
      <c r="C95">
        <v>515</v>
      </c>
      <c r="D95">
        <v>-162.39999999999998</v>
      </c>
      <c r="E95" s="1">
        <v>35367</v>
      </c>
    </row>
    <row r="96" spans="1:5" x14ac:dyDescent="0.2">
      <c r="A96">
        <v>10342</v>
      </c>
      <c r="B96">
        <v>1840.6399999999999</v>
      </c>
      <c r="C96">
        <v>2876</v>
      </c>
      <c r="D96">
        <v>-1035.3600000000001</v>
      </c>
      <c r="E96" s="1">
        <v>35368</v>
      </c>
    </row>
    <row r="97" spans="1:5" x14ac:dyDescent="0.2">
      <c r="A97">
        <v>10343</v>
      </c>
      <c r="B97">
        <v>1584</v>
      </c>
      <c r="C97">
        <v>1982.5</v>
      </c>
      <c r="D97">
        <v>-398.5</v>
      </c>
      <c r="E97" s="1">
        <v>35369</v>
      </c>
    </row>
    <row r="98" spans="1:5" x14ac:dyDescent="0.2">
      <c r="A98">
        <v>10344</v>
      </c>
      <c r="B98">
        <v>2296</v>
      </c>
      <c r="C98">
        <v>3570</v>
      </c>
      <c r="D98">
        <v>-1274</v>
      </c>
      <c r="E98" s="1">
        <v>35370</v>
      </c>
    </row>
    <row r="99" spans="1:5" x14ac:dyDescent="0.2">
      <c r="A99">
        <v>10345</v>
      </c>
      <c r="B99">
        <v>2924.8</v>
      </c>
      <c r="C99">
        <v>3662</v>
      </c>
      <c r="D99">
        <v>-737.2</v>
      </c>
      <c r="E99" s="1">
        <v>35373</v>
      </c>
    </row>
    <row r="100" spans="1:5" x14ac:dyDescent="0.2">
      <c r="A100">
        <v>10346</v>
      </c>
      <c r="B100">
        <v>1618.88</v>
      </c>
      <c r="C100">
        <v>2164</v>
      </c>
      <c r="D100">
        <v>-545.12</v>
      </c>
      <c r="E100" s="1">
        <v>35374</v>
      </c>
    </row>
    <row r="101" spans="1:5" x14ac:dyDescent="0.2">
      <c r="A101">
        <v>10347</v>
      </c>
      <c r="B101">
        <v>814.42</v>
      </c>
      <c r="C101">
        <v>1160.0999999999999</v>
      </c>
      <c r="D101">
        <v>-345.68</v>
      </c>
      <c r="E101" s="1">
        <v>35375</v>
      </c>
    </row>
    <row r="102" spans="1:5" x14ac:dyDescent="0.2">
      <c r="A102">
        <v>10348</v>
      </c>
      <c r="B102">
        <v>363.6</v>
      </c>
      <c r="C102">
        <v>495</v>
      </c>
      <c r="D102">
        <v>-131.4</v>
      </c>
      <c r="E102" s="1">
        <v>35376</v>
      </c>
    </row>
    <row r="103" spans="1:5" x14ac:dyDescent="0.2">
      <c r="A103">
        <v>10349</v>
      </c>
      <c r="B103">
        <v>141.60000000000002</v>
      </c>
      <c r="C103">
        <v>178.8</v>
      </c>
      <c r="D103">
        <v>-37.199999999999989</v>
      </c>
      <c r="E103" s="1">
        <v>35377</v>
      </c>
    </row>
    <row r="104" spans="1:5" x14ac:dyDescent="0.2">
      <c r="A104">
        <v>10350</v>
      </c>
      <c r="B104">
        <v>642.05999999999995</v>
      </c>
      <c r="C104">
        <v>891.75</v>
      </c>
      <c r="D104">
        <v>-249.69000000000005</v>
      </c>
      <c r="E104" s="1">
        <v>35380</v>
      </c>
    </row>
    <row r="105" spans="1:5" x14ac:dyDescent="0.2">
      <c r="A105">
        <v>10351</v>
      </c>
      <c r="B105">
        <v>5398.7250000000004</v>
      </c>
      <c r="C105">
        <v>7103.5999999999995</v>
      </c>
      <c r="D105">
        <v>-1704.875</v>
      </c>
      <c r="E105" s="1">
        <v>35380</v>
      </c>
    </row>
    <row r="106" spans="1:5" x14ac:dyDescent="0.2">
      <c r="A106">
        <v>10352</v>
      </c>
      <c r="B106">
        <v>136.30000000000001</v>
      </c>
      <c r="C106">
        <v>194</v>
      </c>
      <c r="D106">
        <v>-57.7</v>
      </c>
      <c r="E106" s="1">
        <v>35381</v>
      </c>
    </row>
    <row r="107" spans="1:5" x14ac:dyDescent="0.2">
      <c r="A107">
        <v>10353</v>
      </c>
      <c r="B107">
        <v>8593.2800000000007</v>
      </c>
      <c r="C107">
        <v>13427</v>
      </c>
      <c r="D107">
        <v>-4833.72</v>
      </c>
      <c r="E107" s="1">
        <v>35382</v>
      </c>
    </row>
    <row r="108" spans="1:5" x14ac:dyDescent="0.2">
      <c r="A108">
        <v>10354</v>
      </c>
      <c r="B108">
        <v>568.79999999999995</v>
      </c>
      <c r="C108">
        <v>711.16000000000008</v>
      </c>
      <c r="D108">
        <v>-142.36000000000001</v>
      </c>
      <c r="E108" s="1">
        <v>35383</v>
      </c>
    </row>
    <row r="109" spans="1:5" x14ac:dyDescent="0.2">
      <c r="A109">
        <v>10355</v>
      </c>
      <c r="B109">
        <v>480</v>
      </c>
      <c r="C109">
        <v>600</v>
      </c>
      <c r="D109">
        <v>-120</v>
      </c>
      <c r="E109" s="1">
        <v>35384</v>
      </c>
    </row>
    <row r="110" spans="1:5" x14ac:dyDescent="0.2">
      <c r="A110">
        <v>10356</v>
      </c>
      <c r="B110">
        <v>1106.4000000000001</v>
      </c>
      <c r="C110">
        <v>1383</v>
      </c>
      <c r="D110">
        <v>-276.60000000000002</v>
      </c>
      <c r="E110" s="1">
        <v>35387</v>
      </c>
    </row>
    <row r="111" spans="1:5" x14ac:dyDescent="0.2">
      <c r="A111">
        <v>10357</v>
      </c>
      <c r="B111">
        <v>1167.68</v>
      </c>
      <c r="C111">
        <v>1701.68</v>
      </c>
      <c r="D111">
        <v>-534</v>
      </c>
      <c r="E111" s="1">
        <v>35388</v>
      </c>
    </row>
    <row r="112" spans="1:5" x14ac:dyDescent="0.2">
      <c r="A112">
        <v>10358</v>
      </c>
      <c r="B112">
        <v>429.40000000000003</v>
      </c>
      <c r="C112">
        <v>565</v>
      </c>
      <c r="D112">
        <v>-135.59999999999997</v>
      </c>
      <c r="E112" s="1">
        <v>35389</v>
      </c>
    </row>
    <row r="113" spans="1:5" x14ac:dyDescent="0.2">
      <c r="A113">
        <v>10359</v>
      </c>
      <c r="B113">
        <v>3471.68</v>
      </c>
      <c r="C113">
        <v>4572.2</v>
      </c>
      <c r="D113">
        <v>-1100.52</v>
      </c>
      <c r="E113" s="1">
        <v>35390</v>
      </c>
    </row>
    <row r="114" spans="1:5" x14ac:dyDescent="0.2">
      <c r="A114">
        <v>10360</v>
      </c>
      <c r="B114">
        <v>7390.2</v>
      </c>
      <c r="C114">
        <v>9244.2500000000018</v>
      </c>
      <c r="D114">
        <v>-1854.0500000000006</v>
      </c>
      <c r="E114" s="1">
        <v>35391</v>
      </c>
    </row>
    <row r="115" spans="1:5" x14ac:dyDescent="0.2">
      <c r="A115">
        <v>10361</v>
      </c>
      <c r="B115">
        <v>2046.2400000000002</v>
      </c>
      <c r="C115">
        <v>2842</v>
      </c>
      <c r="D115">
        <v>-795.75999999999988</v>
      </c>
      <c r="E115" s="1">
        <v>35391</v>
      </c>
    </row>
    <row r="116" spans="1:5" x14ac:dyDescent="0.2">
      <c r="A116">
        <v>10362</v>
      </c>
      <c r="B116">
        <v>1549.6</v>
      </c>
      <c r="C116">
        <v>1938.8</v>
      </c>
      <c r="D116">
        <v>-389.2</v>
      </c>
      <c r="E116" s="1">
        <v>35394</v>
      </c>
    </row>
    <row r="117" spans="1:5" x14ac:dyDescent="0.2">
      <c r="A117">
        <v>10363</v>
      </c>
      <c r="B117">
        <v>447.2</v>
      </c>
      <c r="C117">
        <v>559</v>
      </c>
      <c r="D117">
        <v>-111.79999999999998</v>
      </c>
      <c r="E117" s="1">
        <v>35395</v>
      </c>
    </row>
    <row r="118" spans="1:5" x14ac:dyDescent="0.2">
      <c r="A118">
        <v>10364</v>
      </c>
      <c r="B118">
        <v>950</v>
      </c>
      <c r="C118">
        <v>1187.5</v>
      </c>
      <c r="D118">
        <v>-237.5</v>
      </c>
      <c r="E118" s="1">
        <v>35395</v>
      </c>
    </row>
    <row r="119" spans="1:5" x14ac:dyDescent="0.2">
      <c r="A119">
        <v>10365</v>
      </c>
      <c r="B119">
        <v>403.20000000000005</v>
      </c>
      <c r="C119">
        <v>504</v>
      </c>
      <c r="D119">
        <v>-100.79999999999995</v>
      </c>
      <c r="E119" s="1">
        <v>35396</v>
      </c>
    </row>
    <row r="120" spans="1:5" x14ac:dyDescent="0.2">
      <c r="A120">
        <v>10366</v>
      </c>
      <c r="B120">
        <v>136</v>
      </c>
      <c r="C120">
        <v>170.25</v>
      </c>
      <c r="D120">
        <v>-34.25</v>
      </c>
      <c r="E120" s="1">
        <v>35397</v>
      </c>
    </row>
    <row r="121" spans="1:5" x14ac:dyDescent="0.2">
      <c r="A121">
        <v>10367</v>
      </c>
      <c r="B121">
        <v>834.19999999999993</v>
      </c>
      <c r="C121">
        <v>1044.8499999999999</v>
      </c>
      <c r="D121">
        <v>-210.64999999999998</v>
      </c>
      <c r="E121" s="1">
        <v>35397</v>
      </c>
    </row>
    <row r="122" spans="1:5" x14ac:dyDescent="0.2">
      <c r="A122">
        <v>10368</v>
      </c>
      <c r="B122">
        <v>1689.78</v>
      </c>
      <c r="C122">
        <v>2294.0500000000002</v>
      </c>
      <c r="D122">
        <v>-604.2700000000001</v>
      </c>
      <c r="E122" s="1">
        <v>35398</v>
      </c>
    </row>
    <row r="123" spans="1:5" x14ac:dyDescent="0.2">
      <c r="A123">
        <v>10369</v>
      </c>
      <c r="B123">
        <v>2390.4</v>
      </c>
      <c r="C123">
        <v>3159.8</v>
      </c>
      <c r="D123">
        <v>-769.4000000000002</v>
      </c>
      <c r="E123" s="1">
        <v>35401</v>
      </c>
    </row>
    <row r="124" spans="1:5" x14ac:dyDescent="0.2">
      <c r="A124">
        <v>10370</v>
      </c>
      <c r="B124">
        <v>1117.5999999999999</v>
      </c>
      <c r="C124">
        <v>1467.5</v>
      </c>
      <c r="D124">
        <v>-349.9</v>
      </c>
      <c r="E124" s="1">
        <v>35402</v>
      </c>
    </row>
    <row r="125" spans="1:5" x14ac:dyDescent="0.2">
      <c r="A125">
        <v>10371</v>
      </c>
      <c r="B125">
        <v>72.959999999999994</v>
      </c>
      <c r="C125">
        <v>114</v>
      </c>
      <c r="D125">
        <v>-41.040000000000006</v>
      </c>
      <c r="E125" s="1">
        <v>35402</v>
      </c>
    </row>
    <row r="126" spans="1:5" x14ac:dyDescent="0.2">
      <c r="A126">
        <v>10372</v>
      </c>
      <c r="B126">
        <v>9210.9000000000015</v>
      </c>
      <c r="C126">
        <v>15353.6</v>
      </c>
      <c r="D126">
        <v>-6142.7</v>
      </c>
      <c r="E126" s="1">
        <v>35403</v>
      </c>
    </row>
    <row r="127" spans="1:5" x14ac:dyDescent="0.2">
      <c r="A127">
        <v>10373</v>
      </c>
      <c r="B127">
        <v>1366.4</v>
      </c>
      <c r="C127">
        <v>2135</v>
      </c>
      <c r="D127">
        <v>-768.6</v>
      </c>
      <c r="E127" s="1">
        <v>35404</v>
      </c>
    </row>
    <row r="128" spans="1:5" x14ac:dyDescent="0.2">
      <c r="A128">
        <v>10374</v>
      </c>
      <c r="B128">
        <v>459</v>
      </c>
      <c r="C128">
        <v>573.75</v>
      </c>
      <c r="D128">
        <v>-114.75</v>
      </c>
      <c r="E128" s="1">
        <v>35404</v>
      </c>
    </row>
    <row r="129" spans="1:5" x14ac:dyDescent="0.2">
      <c r="A129">
        <v>10375</v>
      </c>
      <c r="B129">
        <v>338</v>
      </c>
      <c r="C129">
        <v>423.25</v>
      </c>
      <c r="D129">
        <v>-85.25</v>
      </c>
      <c r="E129" s="1">
        <v>35405</v>
      </c>
    </row>
    <row r="130" spans="1:5" x14ac:dyDescent="0.2">
      <c r="A130">
        <v>10376</v>
      </c>
      <c r="B130">
        <v>399</v>
      </c>
      <c r="C130">
        <v>525</v>
      </c>
      <c r="D130">
        <v>-126</v>
      </c>
      <c r="E130" s="1">
        <v>35408</v>
      </c>
    </row>
    <row r="131" spans="1:5" x14ac:dyDescent="0.2">
      <c r="A131">
        <v>10377</v>
      </c>
      <c r="B131">
        <v>863.59999999999991</v>
      </c>
      <c r="C131">
        <v>1272</v>
      </c>
      <c r="D131">
        <v>-408.40000000000003</v>
      </c>
      <c r="E131" s="1">
        <v>35408</v>
      </c>
    </row>
    <row r="132" spans="1:5" x14ac:dyDescent="0.2">
      <c r="A132">
        <v>10378</v>
      </c>
      <c r="B132">
        <v>103.19999999999999</v>
      </c>
      <c r="C132">
        <v>129</v>
      </c>
      <c r="D132">
        <v>-25.800000000000011</v>
      </c>
      <c r="E132" s="1">
        <v>35409</v>
      </c>
    </row>
    <row r="133" spans="1:5" x14ac:dyDescent="0.2">
      <c r="A133">
        <v>10379</v>
      </c>
      <c r="B133">
        <v>863.28</v>
      </c>
      <c r="C133">
        <v>1200.5999999999999</v>
      </c>
      <c r="D133">
        <v>-337.32</v>
      </c>
      <c r="E133" s="1">
        <v>35410</v>
      </c>
    </row>
    <row r="134" spans="1:5" x14ac:dyDescent="0.2">
      <c r="A134">
        <v>10380</v>
      </c>
      <c r="B134">
        <v>1313.8200000000002</v>
      </c>
      <c r="C134">
        <v>1776.02</v>
      </c>
      <c r="D134">
        <v>-462.2</v>
      </c>
      <c r="E134" s="1">
        <v>35411</v>
      </c>
    </row>
    <row r="135" spans="1:5" x14ac:dyDescent="0.2">
      <c r="A135">
        <v>10381</v>
      </c>
      <c r="B135">
        <v>112</v>
      </c>
      <c r="C135">
        <v>140</v>
      </c>
      <c r="D135">
        <v>-28</v>
      </c>
      <c r="E135" s="1">
        <v>35411</v>
      </c>
    </row>
    <row r="136" spans="1:5" x14ac:dyDescent="0.2">
      <c r="A136">
        <v>10382</v>
      </c>
      <c r="B136">
        <v>2900</v>
      </c>
      <c r="C136">
        <v>3628.76</v>
      </c>
      <c r="D136">
        <v>-728.76000000000022</v>
      </c>
      <c r="E136" s="1">
        <v>35412</v>
      </c>
    </row>
    <row r="137" spans="1:5" x14ac:dyDescent="0.2">
      <c r="A137">
        <v>10383</v>
      </c>
      <c r="B137">
        <v>899</v>
      </c>
      <c r="C137">
        <v>1123.75</v>
      </c>
      <c r="D137">
        <v>-224.75</v>
      </c>
      <c r="E137" s="1">
        <v>35415</v>
      </c>
    </row>
    <row r="138" spans="1:5" x14ac:dyDescent="0.2">
      <c r="A138">
        <v>10384</v>
      </c>
      <c r="B138">
        <v>2222.3999999999996</v>
      </c>
      <c r="C138">
        <v>2778</v>
      </c>
      <c r="D138">
        <v>-555.60000000000014</v>
      </c>
      <c r="E138" s="1">
        <v>35415</v>
      </c>
    </row>
    <row r="139" spans="1:5" x14ac:dyDescent="0.2">
      <c r="A139">
        <v>10385</v>
      </c>
      <c r="B139">
        <v>691.2</v>
      </c>
      <c r="C139">
        <v>1080</v>
      </c>
      <c r="D139">
        <v>-388.8</v>
      </c>
      <c r="E139" s="1">
        <v>35416</v>
      </c>
    </row>
    <row r="140" spans="1:5" x14ac:dyDescent="0.2">
      <c r="A140">
        <v>10386</v>
      </c>
      <c r="B140">
        <v>166</v>
      </c>
      <c r="C140">
        <v>207.5</v>
      </c>
      <c r="D140">
        <v>-41.5</v>
      </c>
      <c r="E140" s="1">
        <v>35417</v>
      </c>
    </row>
    <row r="141" spans="1:5" x14ac:dyDescent="0.2">
      <c r="A141">
        <v>10387</v>
      </c>
      <c r="B141">
        <v>1058.4000000000001</v>
      </c>
      <c r="C141">
        <v>1323.6</v>
      </c>
      <c r="D141">
        <v>-265.20000000000005</v>
      </c>
      <c r="E141" s="1">
        <v>35417</v>
      </c>
    </row>
    <row r="142" spans="1:5" x14ac:dyDescent="0.2">
      <c r="A142">
        <v>10388</v>
      </c>
      <c r="B142">
        <v>1228.8</v>
      </c>
      <c r="C142">
        <v>1594.5</v>
      </c>
      <c r="D142">
        <v>-365.7</v>
      </c>
      <c r="E142" s="1">
        <v>35418</v>
      </c>
    </row>
    <row r="143" spans="1:5" x14ac:dyDescent="0.2">
      <c r="A143">
        <v>10389</v>
      </c>
      <c r="B143">
        <v>1832.8</v>
      </c>
      <c r="C143">
        <v>2292</v>
      </c>
      <c r="D143">
        <v>-459.2</v>
      </c>
      <c r="E143" s="1">
        <v>35419</v>
      </c>
    </row>
    <row r="144" spans="1:5" x14ac:dyDescent="0.2">
      <c r="A144">
        <v>10390</v>
      </c>
      <c r="B144">
        <v>2090.88</v>
      </c>
      <c r="C144">
        <v>2845.2</v>
      </c>
      <c r="D144">
        <v>-754.31999999999994</v>
      </c>
      <c r="E144" s="1">
        <v>35422</v>
      </c>
    </row>
    <row r="145" spans="1:5" x14ac:dyDescent="0.2">
      <c r="A145">
        <v>10391</v>
      </c>
      <c r="B145">
        <v>86.399999999999991</v>
      </c>
      <c r="C145">
        <v>108</v>
      </c>
      <c r="D145">
        <v>-21.600000000000009</v>
      </c>
      <c r="E145" s="1">
        <v>35422</v>
      </c>
    </row>
    <row r="146" spans="1:5" x14ac:dyDescent="0.2">
      <c r="A146">
        <v>10392</v>
      </c>
      <c r="B146">
        <v>1440</v>
      </c>
      <c r="C146">
        <v>1800</v>
      </c>
      <c r="D146">
        <v>-360</v>
      </c>
      <c r="E146" s="1">
        <v>35423</v>
      </c>
    </row>
    <row r="147" spans="1:5" x14ac:dyDescent="0.2">
      <c r="A147">
        <v>10393</v>
      </c>
      <c r="B147">
        <v>2556.9499999999998</v>
      </c>
      <c r="C147">
        <v>4135.6000000000004</v>
      </c>
      <c r="D147">
        <v>-1578.6499999999999</v>
      </c>
      <c r="E147" s="1">
        <v>35424</v>
      </c>
    </row>
    <row r="148" spans="1:5" x14ac:dyDescent="0.2">
      <c r="A148">
        <v>10394</v>
      </c>
      <c r="B148">
        <v>442</v>
      </c>
      <c r="C148">
        <v>553</v>
      </c>
      <c r="D148">
        <v>-111</v>
      </c>
      <c r="E148" s="1">
        <v>35424</v>
      </c>
    </row>
    <row r="149" spans="1:5" x14ac:dyDescent="0.2">
      <c r="A149">
        <v>10395</v>
      </c>
      <c r="B149">
        <v>2122.92</v>
      </c>
      <c r="C149">
        <v>2920</v>
      </c>
      <c r="D149">
        <v>-797.08</v>
      </c>
      <c r="E149" s="1">
        <v>35425</v>
      </c>
    </row>
    <row r="150" spans="1:5" x14ac:dyDescent="0.2">
      <c r="A150">
        <v>10396</v>
      </c>
      <c r="B150">
        <v>1903.8000000000002</v>
      </c>
      <c r="C150">
        <v>2380.8000000000002</v>
      </c>
      <c r="D150">
        <v>-476.99999999999989</v>
      </c>
      <c r="E150" s="1">
        <v>35426</v>
      </c>
    </row>
    <row r="151" spans="1:5" x14ac:dyDescent="0.2">
      <c r="A151">
        <v>10397</v>
      </c>
      <c r="B151">
        <v>716.71999999999991</v>
      </c>
      <c r="C151">
        <v>1054</v>
      </c>
      <c r="D151">
        <v>-337.28000000000009</v>
      </c>
      <c r="E151" s="1">
        <v>35426</v>
      </c>
    </row>
    <row r="152" spans="1:5" x14ac:dyDescent="0.2">
      <c r="A152">
        <v>10398</v>
      </c>
      <c r="B152">
        <v>2505.6</v>
      </c>
      <c r="C152">
        <v>3420</v>
      </c>
      <c r="D152">
        <v>-914.40000000000009</v>
      </c>
      <c r="E152" s="1">
        <v>35429</v>
      </c>
    </row>
    <row r="153" spans="1:5" x14ac:dyDescent="0.2">
      <c r="A153">
        <v>10399</v>
      </c>
      <c r="B153">
        <v>1765.6</v>
      </c>
      <c r="C153">
        <v>2207</v>
      </c>
      <c r="D153">
        <v>-441.4</v>
      </c>
      <c r="E153" s="1">
        <v>35430</v>
      </c>
    </row>
    <row r="154" spans="1:5" x14ac:dyDescent="0.2">
      <c r="A154">
        <v>10400</v>
      </c>
      <c r="B154">
        <v>3063</v>
      </c>
      <c r="C154">
        <v>3829.59</v>
      </c>
      <c r="D154">
        <v>-766.59000000000015</v>
      </c>
      <c r="E154" s="1">
        <v>35431</v>
      </c>
    </row>
    <row r="155" spans="1:5" x14ac:dyDescent="0.2">
      <c r="A155">
        <v>10401</v>
      </c>
      <c r="B155">
        <v>3868.6</v>
      </c>
      <c r="C155">
        <v>4837.0200000000004</v>
      </c>
      <c r="D155">
        <v>-968.42000000000007</v>
      </c>
      <c r="E155" s="1">
        <v>35431</v>
      </c>
    </row>
    <row r="156" spans="1:5" x14ac:dyDescent="0.2">
      <c r="A156">
        <v>10402</v>
      </c>
      <c r="B156">
        <v>2713.5</v>
      </c>
      <c r="C156">
        <v>3393.5</v>
      </c>
      <c r="D156">
        <v>-680</v>
      </c>
      <c r="E156" s="1">
        <v>35432</v>
      </c>
    </row>
    <row r="157" spans="1:5" x14ac:dyDescent="0.2">
      <c r="A157">
        <v>10403</v>
      </c>
      <c r="B157">
        <v>855.01499999999999</v>
      </c>
      <c r="C157">
        <v>1258.95</v>
      </c>
      <c r="D157">
        <v>-403.93499999999995</v>
      </c>
      <c r="E157" s="1">
        <v>35433</v>
      </c>
    </row>
    <row r="158" spans="1:5" x14ac:dyDescent="0.2">
      <c r="A158">
        <v>10404</v>
      </c>
      <c r="B158">
        <v>1591.25</v>
      </c>
      <c r="C158">
        <v>2096.9</v>
      </c>
      <c r="D158">
        <v>-505.65</v>
      </c>
      <c r="E158" s="1">
        <v>35433</v>
      </c>
    </row>
    <row r="159" spans="1:5" x14ac:dyDescent="0.2">
      <c r="A159">
        <v>10405</v>
      </c>
      <c r="B159">
        <v>400</v>
      </c>
      <c r="C159">
        <v>500</v>
      </c>
      <c r="D159">
        <v>-100</v>
      </c>
      <c r="E159" s="1">
        <v>35436</v>
      </c>
    </row>
    <row r="160" spans="1:5" x14ac:dyDescent="0.2">
      <c r="A160">
        <v>10406</v>
      </c>
      <c r="B160">
        <v>1830.7800000000002</v>
      </c>
      <c r="C160">
        <v>2527</v>
      </c>
      <c r="D160">
        <v>-696.22</v>
      </c>
      <c r="E160" s="1">
        <v>35437</v>
      </c>
    </row>
    <row r="161" spans="1:5" x14ac:dyDescent="0.2">
      <c r="A161">
        <v>10407</v>
      </c>
      <c r="B161">
        <v>1194</v>
      </c>
      <c r="C161">
        <v>1492.5</v>
      </c>
      <c r="D161">
        <v>-298.5</v>
      </c>
      <c r="E161" s="1">
        <v>35437</v>
      </c>
    </row>
    <row r="162" spans="1:5" x14ac:dyDescent="0.2">
      <c r="A162">
        <v>10408</v>
      </c>
      <c r="B162">
        <v>1622.4</v>
      </c>
      <c r="C162">
        <v>2030.2</v>
      </c>
      <c r="D162">
        <v>-407.8</v>
      </c>
      <c r="E162" s="1">
        <v>35438</v>
      </c>
    </row>
    <row r="163" spans="1:5" x14ac:dyDescent="0.2">
      <c r="A163">
        <v>10409</v>
      </c>
      <c r="B163">
        <v>319.20000000000005</v>
      </c>
      <c r="C163">
        <v>399</v>
      </c>
      <c r="D163">
        <v>-79.799999999999983</v>
      </c>
      <c r="E163" s="1">
        <v>35439</v>
      </c>
    </row>
    <row r="164" spans="1:5" x14ac:dyDescent="0.2">
      <c r="A164">
        <v>10410</v>
      </c>
      <c r="B164">
        <v>802</v>
      </c>
      <c r="C164">
        <v>1002.5</v>
      </c>
      <c r="D164">
        <v>-200.5</v>
      </c>
      <c r="E164" s="1">
        <v>35440</v>
      </c>
    </row>
    <row r="165" spans="1:5" x14ac:dyDescent="0.2">
      <c r="A165">
        <v>10411</v>
      </c>
      <c r="B165">
        <v>966.8</v>
      </c>
      <c r="C165">
        <v>1514.25</v>
      </c>
      <c r="D165">
        <v>-547.45000000000005</v>
      </c>
      <c r="E165" s="1">
        <v>35440</v>
      </c>
    </row>
    <row r="166" spans="1:5" x14ac:dyDescent="0.2">
      <c r="A166">
        <v>10412</v>
      </c>
      <c r="B166">
        <v>334.8</v>
      </c>
      <c r="C166">
        <v>465</v>
      </c>
      <c r="D166">
        <v>-130.19999999999999</v>
      </c>
      <c r="E166" s="1">
        <v>35443</v>
      </c>
    </row>
    <row r="167" spans="1:5" x14ac:dyDescent="0.2">
      <c r="A167">
        <v>10413</v>
      </c>
      <c r="B167">
        <v>2123.1999999999998</v>
      </c>
      <c r="C167">
        <v>2656</v>
      </c>
      <c r="D167">
        <v>-532.79999999999995</v>
      </c>
      <c r="E167" s="1">
        <v>35444</v>
      </c>
    </row>
    <row r="168" spans="1:5" x14ac:dyDescent="0.2">
      <c r="A168">
        <v>10414</v>
      </c>
      <c r="B168">
        <v>224.83</v>
      </c>
      <c r="C168">
        <v>290.60000000000002</v>
      </c>
      <c r="D168">
        <v>-65.769999999999982</v>
      </c>
      <c r="E168" s="1">
        <v>35444</v>
      </c>
    </row>
    <row r="169" spans="1:5" x14ac:dyDescent="0.2">
      <c r="A169">
        <v>10415</v>
      </c>
      <c r="B169">
        <v>102.4</v>
      </c>
      <c r="C169">
        <v>128</v>
      </c>
      <c r="D169">
        <v>-25.6</v>
      </c>
      <c r="E169" s="1">
        <v>35445</v>
      </c>
    </row>
    <row r="170" spans="1:5" x14ac:dyDescent="0.2">
      <c r="A170">
        <v>10416</v>
      </c>
      <c r="B170">
        <v>720</v>
      </c>
      <c r="C170">
        <v>902</v>
      </c>
      <c r="D170">
        <v>-182</v>
      </c>
      <c r="E170" s="1">
        <v>35446</v>
      </c>
    </row>
    <row r="171" spans="1:5" x14ac:dyDescent="0.2">
      <c r="A171">
        <v>10417</v>
      </c>
      <c r="B171">
        <v>11188.4</v>
      </c>
      <c r="C171">
        <v>14104</v>
      </c>
      <c r="D171">
        <v>-2915.6</v>
      </c>
      <c r="E171" s="1">
        <v>35446</v>
      </c>
    </row>
    <row r="172" spans="1:5" x14ac:dyDescent="0.2">
      <c r="A172">
        <v>10418</v>
      </c>
      <c r="B172">
        <v>1814.8</v>
      </c>
      <c r="C172">
        <v>2268.5</v>
      </c>
      <c r="D172">
        <v>-453.7</v>
      </c>
      <c r="E172" s="1">
        <v>35447</v>
      </c>
    </row>
    <row r="173" spans="1:5" x14ac:dyDescent="0.2">
      <c r="A173">
        <v>10419</v>
      </c>
      <c r="B173">
        <v>2097.6000000000004</v>
      </c>
      <c r="C173">
        <v>2760</v>
      </c>
      <c r="D173">
        <v>-662.39999999999986</v>
      </c>
      <c r="E173" s="1">
        <v>35450</v>
      </c>
    </row>
    <row r="174" spans="1:5" x14ac:dyDescent="0.2">
      <c r="A174">
        <v>10420</v>
      </c>
      <c r="B174">
        <v>1707.8400000000001</v>
      </c>
      <c r="C174">
        <v>2372</v>
      </c>
      <c r="D174">
        <v>-664.16000000000008</v>
      </c>
      <c r="E174" s="1">
        <v>35451</v>
      </c>
    </row>
    <row r="175" spans="1:5" x14ac:dyDescent="0.2">
      <c r="A175">
        <v>10421</v>
      </c>
      <c r="B175">
        <v>1194.2700000000002</v>
      </c>
      <c r="C175">
        <v>1595.6999999999998</v>
      </c>
      <c r="D175">
        <v>-401.42999999999995</v>
      </c>
      <c r="E175" s="1">
        <v>35451</v>
      </c>
    </row>
    <row r="176" spans="1:5" x14ac:dyDescent="0.2">
      <c r="A176">
        <v>10422</v>
      </c>
      <c r="B176">
        <v>49.8</v>
      </c>
      <c r="C176">
        <v>62.46</v>
      </c>
      <c r="D176">
        <v>-12.660000000000004</v>
      </c>
      <c r="E176" s="1">
        <v>35452</v>
      </c>
    </row>
    <row r="177" spans="1:5" x14ac:dyDescent="0.2">
      <c r="A177">
        <v>10423</v>
      </c>
      <c r="B177">
        <v>1020</v>
      </c>
      <c r="C177">
        <v>1275</v>
      </c>
      <c r="D177">
        <v>-255</v>
      </c>
      <c r="E177" s="1">
        <v>35453</v>
      </c>
    </row>
    <row r="178" spans="1:5" x14ac:dyDescent="0.2">
      <c r="A178">
        <v>10424</v>
      </c>
      <c r="B178">
        <v>9194.5600000000013</v>
      </c>
      <c r="C178">
        <v>14366.5</v>
      </c>
      <c r="D178">
        <v>-5171.9399999999996</v>
      </c>
      <c r="E178" s="1">
        <v>35453</v>
      </c>
    </row>
    <row r="179" spans="1:5" x14ac:dyDescent="0.2">
      <c r="A179">
        <v>10425</v>
      </c>
      <c r="B179">
        <v>360</v>
      </c>
      <c r="C179">
        <v>600</v>
      </c>
      <c r="D179">
        <v>-240</v>
      </c>
      <c r="E179" s="1">
        <v>35454</v>
      </c>
    </row>
    <row r="180" spans="1:5" x14ac:dyDescent="0.2">
      <c r="A180">
        <v>10426</v>
      </c>
      <c r="B180">
        <v>338.20000000000005</v>
      </c>
      <c r="C180">
        <v>422.75</v>
      </c>
      <c r="D180">
        <v>-84.549999999999983</v>
      </c>
      <c r="E180" s="1">
        <v>35457</v>
      </c>
    </row>
    <row r="181" spans="1:5" x14ac:dyDescent="0.2">
      <c r="A181">
        <v>10427</v>
      </c>
      <c r="B181">
        <v>651</v>
      </c>
      <c r="C181">
        <v>813.75</v>
      </c>
      <c r="D181">
        <v>-162.75</v>
      </c>
      <c r="E181" s="1">
        <v>35457</v>
      </c>
    </row>
    <row r="182" spans="1:5" x14ac:dyDescent="0.2">
      <c r="A182">
        <v>10428</v>
      </c>
      <c r="B182">
        <v>192</v>
      </c>
      <c r="C182">
        <v>240</v>
      </c>
      <c r="D182">
        <v>-48</v>
      </c>
      <c r="E182" s="1">
        <v>35458</v>
      </c>
    </row>
    <row r="183" spans="1:5" x14ac:dyDescent="0.2">
      <c r="A183">
        <v>10429</v>
      </c>
      <c r="B183">
        <v>1441.375</v>
      </c>
      <c r="C183">
        <v>2186.5</v>
      </c>
      <c r="D183">
        <v>-745.125</v>
      </c>
      <c r="E183" s="1">
        <v>35459</v>
      </c>
    </row>
    <row r="184" spans="1:5" x14ac:dyDescent="0.2">
      <c r="A184">
        <v>10430</v>
      </c>
      <c r="B184">
        <v>4899.2</v>
      </c>
      <c r="C184">
        <v>7245</v>
      </c>
      <c r="D184">
        <v>-2345.8000000000002</v>
      </c>
      <c r="E184" s="1">
        <v>35460</v>
      </c>
    </row>
    <row r="185" spans="1:5" x14ac:dyDescent="0.2">
      <c r="A185">
        <v>10431</v>
      </c>
      <c r="B185">
        <v>1892.25</v>
      </c>
      <c r="C185">
        <v>3155</v>
      </c>
      <c r="D185">
        <v>-1262.75</v>
      </c>
      <c r="E185" s="1">
        <v>35460</v>
      </c>
    </row>
    <row r="186" spans="1:5" x14ac:dyDescent="0.2">
      <c r="A186">
        <v>10432</v>
      </c>
      <c r="B186">
        <v>485</v>
      </c>
      <c r="C186">
        <v>610.29999999999995</v>
      </c>
      <c r="D186">
        <v>-125.30000000000001</v>
      </c>
      <c r="E186" s="1">
        <v>35461</v>
      </c>
    </row>
    <row r="187" spans="1:5" x14ac:dyDescent="0.2">
      <c r="A187">
        <v>10433</v>
      </c>
      <c r="B187">
        <v>851.19999999999993</v>
      </c>
      <c r="C187">
        <v>1064</v>
      </c>
      <c r="D187">
        <v>-212.80000000000007</v>
      </c>
      <c r="E187" s="1">
        <v>35464</v>
      </c>
    </row>
    <row r="188" spans="1:5" x14ac:dyDescent="0.2">
      <c r="A188">
        <v>10434</v>
      </c>
      <c r="B188">
        <v>321.12</v>
      </c>
      <c r="C188">
        <v>450</v>
      </c>
      <c r="D188">
        <v>-128.88</v>
      </c>
      <c r="E188" s="1">
        <v>35464</v>
      </c>
    </row>
    <row r="189" spans="1:5" x14ac:dyDescent="0.2">
      <c r="A189">
        <v>10435</v>
      </c>
      <c r="B189">
        <v>631.6</v>
      </c>
      <c r="C189">
        <v>790</v>
      </c>
      <c r="D189">
        <v>-158.39999999999998</v>
      </c>
      <c r="E189" s="1">
        <v>35465</v>
      </c>
    </row>
    <row r="190" spans="1:5" x14ac:dyDescent="0.2">
      <c r="A190">
        <v>10436</v>
      </c>
      <c r="B190">
        <v>1994.5200000000002</v>
      </c>
      <c r="C190">
        <v>2763.5</v>
      </c>
      <c r="D190">
        <v>-768.97999999999979</v>
      </c>
      <c r="E190" s="1">
        <v>35466</v>
      </c>
    </row>
    <row r="191" spans="1:5" x14ac:dyDescent="0.2">
      <c r="A191">
        <v>10437</v>
      </c>
      <c r="B191">
        <v>393</v>
      </c>
      <c r="C191">
        <v>491.99999999999994</v>
      </c>
      <c r="D191">
        <v>-98.999999999999943</v>
      </c>
      <c r="E191" s="1">
        <v>35466</v>
      </c>
    </row>
    <row r="192" spans="1:5" x14ac:dyDescent="0.2">
      <c r="A192">
        <v>10438</v>
      </c>
      <c r="B192">
        <v>453.99999999999994</v>
      </c>
      <c r="C192">
        <v>710.5</v>
      </c>
      <c r="D192">
        <v>-256.5</v>
      </c>
      <c r="E192" s="1">
        <v>35467</v>
      </c>
    </row>
    <row r="193" spans="1:5" x14ac:dyDescent="0.2">
      <c r="A193">
        <v>10439</v>
      </c>
      <c r="B193">
        <v>1078</v>
      </c>
      <c r="C193">
        <v>1348.7</v>
      </c>
      <c r="D193">
        <v>-270.69999999999993</v>
      </c>
      <c r="E193" s="1">
        <v>35468</v>
      </c>
    </row>
    <row r="194" spans="1:5" x14ac:dyDescent="0.2">
      <c r="A194">
        <v>10440</v>
      </c>
      <c r="B194">
        <v>4924.1350000000002</v>
      </c>
      <c r="C194">
        <v>7246.01</v>
      </c>
      <c r="D194">
        <v>-2321.875</v>
      </c>
      <c r="E194" s="1">
        <v>35471</v>
      </c>
    </row>
    <row r="195" spans="1:5" x14ac:dyDescent="0.2">
      <c r="A195">
        <v>10441</v>
      </c>
      <c r="B195">
        <v>1755</v>
      </c>
      <c r="C195">
        <v>2195</v>
      </c>
      <c r="D195">
        <v>-440</v>
      </c>
      <c r="E195" s="1">
        <v>35471</v>
      </c>
    </row>
    <row r="196" spans="1:5" x14ac:dyDescent="0.2">
      <c r="A196">
        <v>10442</v>
      </c>
      <c r="B196">
        <v>1792</v>
      </c>
      <c r="C196">
        <v>2246</v>
      </c>
      <c r="D196">
        <v>-454</v>
      </c>
      <c r="E196" s="1">
        <v>35472</v>
      </c>
    </row>
    <row r="197" spans="1:5" x14ac:dyDescent="0.2">
      <c r="A197">
        <v>10443</v>
      </c>
      <c r="B197">
        <v>517.43999999999994</v>
      </c>
      <c r="C197">
        <v>673.2</v>
      </c>
      <c r="D197">
        <v>-155.76000000000008</v>
      </c>
      <c r="E197" s="1">
        <v>35473</v>
      </c>
    </row>
    <row r="198" spans="1:5" x14ac:dyDescent="0.2">
      <c r="A198">
        <v>10444</v>
      </c>
      <c r="B198">
        <v>1031.7</v>
      </c>
      <c r="C198">
        <v>1291.95</v>
      </c>
      <c r="D198">
        <v>-260.25</v>
      </c>
      <c r="E198" s="1">
        <v>35473</v>
      </c>
    </row>
    <row r="199" spans="1:5" x14ac:dyDescent="0.2">
      <c r="A199">
        <v>10445</v>
      </c>
      <c r="B199">
        <v>174.9</v>
      </c>
      <c r="C199">
        <v>219.75</v>
      </c>
      <c r="D199">
        <v>-44.849999999999994</v>
      </c>
      <c r="E199" s="1">
        <v>35474</v>
      </c>
    </row>
    <row r="200" spans="1:5" x14ac:dyDescent="0.2">
      <c r="A200">
        <v>10446</v>
      </c>
      <c r="B200">
        <v>246.23999999999998</v>
      </c>
      <c r="C200">
        <v>342.9</v>
      </c>
      <c r="D200">
        <v>-96.660000000000011</v>
      </c>
      <c r="E200" s="1">
        <v>35475</v>
      </c>
    </row>
    <row r="201" spans="1:5" x14ac:dyDescent="0.2">
      <c r="A201">
        <v>10447</v>
      </c>
      <c r="B201">
        <v>914.4</v>
      </c>
      <c r="C201">
        <v>1147.75</v>
      </c>
      <c r="D201">
        <v>-233.35</v>
      </c>
      <c r="E201" s="1">
        <v>35475</v>
      </c>
    </row>
    <row r="202" spans="1:5" x14ac:dyDescent="0.2">
      <c r="A202">
        <v>10448</v>
      </c>
      <c r="B202">
        <v>443.4</v>
      </c>
      <c r="C202">
        <v>555.38</v>
      </c>
      <c r="D202">
        <v>-111.98000000000002</v>
      </c>
      <c r="E202" s="1">
        <v>35478</v>
      </c>
    </row>
    <row r="203" spans="1:5" x14ac:dyDescent="0.2">
      <c r="A203">
        <v>10449</v>
      </c>
      <c r="B203">
        <v>1838.2</v>
      </c>
      <c r="C203">
        <v>2299.5</v>
      </c>
      <c r="D203">
        <v>-461.3</v>
      </c>
      <c r="E203" s="1">
        <v>35479</v>
      </c>
    </row>
    <row r="204" spans="1:5" x14ac:dyDescent="0.2">
      <c r="A204">
        <v>10450</v>
      </c>
      <c r="B204">
        <v>425.12</v>
      </c>
      <c r="C204">
        <v>664.7</v>
      </c>
      <c r="D204">
        <v>-239.57999999999998</v>
      </c>
      <c r="E204" s="1">
        <v>35480</v>
      </c>
    </row>
    <row r="205" spans="1:5" x14ac:dyDescent="0.2">
      <c r="A205">
        <v>10451</v>
      </c>
      <c r="B205">
        <v>3849.66</v>
      </c>
      <c r="C205">
        <v>5348.15</v>
      </c>
      <c r="D205">
        <v>-1498.49</v>
      </c>
      <c r="E205" s="1">
        <v>35480</v>
      </c>
    </row>
    <row r="206" spans="1:5" x14ac:dyDescent="0.2">
      <c r="A206">
        <v>10452</v>
      </c>
      <c r="B206">
        <v>2018.5</v>
      </c>
      <c r="C206">
        <v>2629</v>
      </c>
      <c r="D206">
        <v>-610.5</v>
      </c>
      <c r="E206" s="1">
        <v>35481</v>
      </c>
    </row>
    <row r="207" spans="1:5" x14ac:dyDescent="0.2">
      <c r="A207">
        <v>10453</v>
      </c>
      <c r="B207">
        <v>407.7</v>
      </c>
      <c r="C207">
        <v>566.25</v>
      </c>
      <c r="D207">
        <v>-158.55000000000001</v>
      </c>
      <c r="E207" s="1">
        <v>35482</v>
      </c>
    </row>
    <row r="208" spans="1:5" x14ac:dyDescent="0.2">
      <c r="A208">
        <v>10454</v>
      </c>
      <c r="B208">
        <v>331.2</v>
      </c>
      <c r="C208">
        <v>519</v>
      </c>
      <c r="D208">
        <v>-187.8</v>
      </c>
      <c r="E208" s="1">
        <v>35482</v>
      </c>
    </row>
    <row r="209" spans="1:5" x14ac:dyDescent="0.2">
      <c r="A209">
        <v>10455</v>
      </c>
      <c r="B209">
        <v>2684</v>
      </c>
      <c r="C209">
        <v>3357.5</v>
      </c>
      <c r="D209">
        <v>-673.49999999999977</v>
      </c>
      <c r="E209" s="1">
        <v>35485</v>
      </c>
    </row>
    <row r="210" spans="1:5" x14ac:dyDescent="0.2">
      <c r="A210">
        <v>10456</v>
      </c>
      <c r="B210">
        <v>557.6</v>
      </c>
      <c r="C210">
        <v>820</v>
      </c>
      <c r="D210">
        <v>-262.39999999999998</v>
      </c>
      <c r="E210" s="1">
        <v>35486</v>
      </c>
    </row>
    <row r="211" spans="1:5" x14ac:dyDescent="0.2">
      <c r="A211">
        <v>10457</v>
      </c>
      <c r="B211">
        <v>1584</v>
      </c>
      <c r="C211">
        <v>1980</v>
      </c>
      <c r="D211">
        <v>-396</v>
      </c>
      <c r="E211" s="1">
        <v>35486</v>
      </c>
    </row>
    <row r="212" spans="1:5" x14ac:dyDescent="0.2">
      <c r="A212">
        <v>10458</v>
      </c>
      <c r="B212">
        <v>3891</v>
      </c>
      <c r="C212">
        <v>4869.8999999999996</v>
      </c>
      <c r="D212">
        <v>-978.9</v>
      </c>
      <c r="E212" s="1">
        <v>35487</v>
      </c>
    </row>
    <row r="213" spans="1:5" x14ac:dyDescent="0.2">
      <c r="A213">
        <v>10459</v>
      </c>
      <c r="B213">
        <v>1659.2</v>
      </c>
      <c r="C213">
        <v>2112</v>
      </c>
      <c r="D213">
        <v>-452.79999999999995</v>
      </c>
      <c r="E213" s="1">
        <v>35488</v>
      </c>
    </row>
    <row r="214" spans="1:5" x14ac:dyDescent="0.2">
      <c r="A214">
        <v>10460</v>
      </c>
      <c r="B214">
        <v>176.1</v>
      </c>
      <c r="C214">
        <v>293.5</v>
      </c>
      <c r="D214">
        <v>-117.4</v>
      </c>
      <c r="E214" s="1">
        <v>35489</v>
      </c>
    </row>
    <row r="215" spans="1:5" x14ac:dyDescent="0.2">
      <c r="A215">
        <v>10461</v>
      </c>
      <c r="B215">
        <v>1538.7</v>
      </c>
      <c r="C215">
        <v>2564.92</v>
      </c>
      <c r="D215">
        <v>-1026.22</v>
      </c>
      <c r="E215" s="1">
        <v>35489</v>
      </c>
    </row>
    <row r="216" spans="1:5" x14ac:dyDescent="0.2">
      <c r="A216">
        <v>10462</v>
      </c>
      <c r="B216">
        <v>156.00000000000003</v>
      </c>
      <c r="C216">
        <v>195</v>
      </c>
      <c r="D216">
        <v>-38.999999999999986</v>
      </c>
      <c r="E216" s="1">
        <v>35492</v>
      </c>
    </row>
    <row r="217" spans="1:5" x14ac:dyDescent="0.2">
      <c r="A217">
        <v>10463</v>
      </c>
      <c r="B217">
        <v>713.3</v>
      </c>
      <c r="C217">
        <v>893.2</v>
      </c>
      <c r="D217">
        <v>-179.9</v>
      </c>
      <c r="E217" s="1">
        <v>35493</v>
      </c>
    </row>
    <row r="218" spans="1:5" x14ac:dyDescent="0.2">
      <c r="A218">
        <v>10464</v>
      </c>
      <c r="B218">
        <v>1609.28</v>
      </c>
      <c r="C218">
        <v>2310</v>
      </c>
      <c r="D218">
        <v>-700.72</v>
      </c>
      <c r="E218" s="1">
        <v>35493</v>
      </c>
    </row>
    <row r="219" spans="1:5" x14ac:dyDescent="0.2">
      <c r="A219">
        <v>10465</v>
      </c>
      <c r="B219">
        <v>2518</v>
      </c>
      <c r="C219">
        <v>3399.9700000000003</v>
      </c>
      <c r="D219">
        <v>-881.97000000000025</v>
      </c>
      <c r="E219" s="1">
        <v>35494</v>
      </c>
    </row>
    <row r="220" spans="1:5" x14ac:dyDescent="0.2">
      <c r="A220">
        <v>10466</v>
      </c>
      <c r="B220">
        <v>216</v>
      </c>
      <c r="C220">
        <v>270</v>
      </c>
      <c r="D220">
        <v>-54</v>
      </c>
      <c r="E220" s="1">
        <v>35495</v>
      </c>
    </row>
    <row r="221" spans="1:5" x14ac:dyDescent="0.2">
      <c r="A221">
        <v>10467</v>
      </c>
      <c r="B221">
        <v>235.2</v>
      </c>
      <c r="C221">
        <v>294</v>
      </c>
      <c r="D221">
        <v>-58.800000000000026</v>
      </c>
      <c r="E221" s="1">
        <v>35495</v>
      </c>
    </row>
    <row r="222" spans="1:5" x14ac:dyDescent="0.2">
      <c r="A222">
        <v>10468</v>
      </c>
      <c r="B222">
        <v>717.6</v>
      </c>
      <c r="C222">
        <v>897.12</v>
      </c>
      <c r="D222">
        <v>-179.52</v>
      </c>
      <c r="E222" s="1">
        <v>35496</v>
      </c>
    </row>
    <row r="223" spans="1:5" x14ac:dyDescent="0.2">
      <c r="A223">
        <v>10469</v>
      </c>
      <c r="B223">
        <v>956.67499999999995</v>
      </c>
      <c r="C223">
        <v>1409.65</v>
      </c>
      <c r="D223">
        <v>-452.97500000000008</v>
      </c>
      <c r="E223" s="1">
        <v>35499</v>
      </c>
    </row>
    <row r="224" spans="1:5" x14ac:dyDescent="0.2">
      <c r="A224">
        <v>10470</v>
      </c>
      <c r="B224">
        <v>1820.8</v>
      </c>
      <c r="C224">
        <v>2276</v>
      </c>
      <c r="D224">
        <v>-455.2</v>
      </c>
      <c r="E224" s="1">
        <v>35500</v>
      </c>
    </row>
    <row r="225" spans="1:5" x14ac:dyDescent="0.2">
      <c r="A225">
        <v>10471</v>
      </c>
      <c r="B225">
        <v>1328</v>
      </c>
      <c r="C225">
        <v>1660</v>
      </c>
      <c r="D225">
        <v>-332</v>
      </c>
      <c r="E225" s="1">
        <v>35500</v>
      </c>
    </row>
    <row r="226" spans="1:5" x14ac:dyDescent="0.2">
      <c r="A226">
        <v>10472</v>
      </c>
      <c r="B226">
        <v>1036.8</v>
      </c>
      <c r="C226">
        <v>1314</v>
      </c>
      <c r="D226">
        <v>-277.20000000000005</v>
      </c>
      <c r="E226" s="1">
        <v>35501</v>
      </c>
    </row>
    <row r="227" spans="1:5" x14ac:dyDescent="0.2">
      <c r="A227">
        <v>10473</v>
      </c>
      <c r="B227">
        <v>230.39999999999998</v>
      </c>
      <c r="C227">
        <v>288</v>
      </c>
      <c r="D227">
        <v>-57.600000000000023</v>
      </c>
      <c r="E227" s="1">
        <v>35502</v>
      </c>
    </row>
    <row r="228" spans="1:5" x14ac:dyDescent="0.2">
      <c r="A228">
        <v>10474</v>
      </c>
      <c r="B228">
        <v>1249.0999999999999</v>
      </c>
      <c r="C228">
        <v>1563.7000000000003</v>
      </c>
      <c r="D228">
        <v>-314.60000000000014</v>
      </c>
      <c r="E228" s="1">
        <v>35502</v>
      </c>
    </row>
    <row r="229" spans="1:5" x14ac:dyDescent="0.2">
      <c r="A229">
        <v>10475</v>
      </c>
      <c r="B229">
        <v>1505.18</v>
      </c>
      <c r="C229">
        <v>2213.5</v>
      </c>
      <c r="D229">
        <v>-708.31999999999994</v>
      </c>
      <c r="E229" s="1">
        <v>35503</v>
      </c>
    </row>
    <row r="230" spans="1:5" x14ac:dyDescent="0.2">
      <c r="A230">
        <v>10476</v>
      </c>
      <c r="B230">
        <v>180.48</v>
      </c>
      <c r="C230">
        <v>228</v>
      </c>
      <c r="D230">
        <v>-47.52</v>
      </c>
      <c r="E230" s="1">
        <v>35506</v>
      </c>
    </row>
    <row r="231" spans="1:5" x14ac:dyDescent="0.2">
      <c r="A231">
        <v>10477</v>
      </c>
      <c r="B231">
        <v>558</v>
      </c>
      <c r="C231">
        <v>840</v>
      </c>
      <c r="D231">
        <v>-282</v>
      </c>
      <c r="E231" s="1">
        <v>35506</v>
      </c>
    </row>
    <row r="232" spans="1:5" x14ac:dyDescent="0.2">
      <c r="A232">
        <v>10478</v>
      </c>
      <c r="B232">
        <v>471.2</v>
      </c>
      <c r="C232">
        <v>620</v>
      </c>
      <c r="D232">
        <v>-148.80000000000001</v>
      </c>
      <c r="E232" s="1">
        <v>35507</v>
      </c>
    </row>
    <row r="233" spans="1:5" x14ac:dyDescent="0.2">
      <c r="A233">
        <v>10479</v>
      </c>
      <c r="B233">
        <v>10495.6</v>
      </c>
      <c r="C233">
        <v>13120.9</v>
      </c>
      <c r="D233">
        <v>-2625.2999999999997</v>
      </c>
      <c r="E233" s="1">
        <v>35508</v>
      </c>
    </row>
    <row r="234" spans="1:5" x14ac:dyDescent="0.2">
      <c r="A234">
        <v>10480</v>
      </c>
      <c r="B234">
        <v>756</v>
      </c>
      <c r="C234">
        <v>945</v>
      </c>
      <c r="D234">
        <v>-189</v>
      </c>
      <c r="E234" s="1">
        <v>35509</v>
      </c>
    </row>
    <row r="235" spans="1:5" x14ac:dyDescent="0.2">
      <c r="A235">
        <v>10481</v>
      </c>
      <c r="B235">
        <v>1472</v>
      </c>
      <c r="C235">
        <v>1840</v>
      </c>
      <c r="D235">
        <v>-368</v>
      </c>
      <c r="E235" s="1">
        <v>35509</v>
      </c>
    </row>
    <row r="236" spans="1:5" x14ac:dyDescent="0.2">
      <c r="A236">
        <v>10482</v>
      </c>
      <c r="B236">
        <v>147</v>
      </c>
      <c r="C236">
        <v>184</v>
      </c>
      <c r="D236">
        <v>-37</v>
      </c>
      <c r="E236" s="1">
        <v>35510</v>
      </c>
    </row>
    <row r="237" spans="1:5" x14ac:dyDescent="0.2">
      <c r="A237">
        <v>10483</v>
      </c>
      <c r="B237">
        <v>668.8</v>
      </c>
      <c r="C237">
        <v>880</v>
      </c>
      <c r="D237">
        <v>-211.20000000000005</v>
      </c>
      <c r="E237" s="1">
        <v>35513</v>
      </c>
    </row>
    <row r="238" spans="1:5" x14ac:dyDescent="0.2">
      <c r="A238">
        <v>10484</v>
      </c>
      <c r="B238">
        <v>386.2</v>
      </c>
      <c r="C238">
        <v>483</v>
      </c>
      <c r="D238">
        <v>-96.800000000000011</v>
      </c>
      <c r="E238" s="1">
        <v>35513</v>
      </c>
    </row>
    <row r="239" spans="1:5" x14ac:dyDescent="0.2">
      <c r="A239">
        <v>10485</v>
      </c>
      <c r="B239">
        <v>1584</v>
      </c>
      <c r="C239">
        <v>2200</v>
      </c>
      <c r="D239">
        <v>-616</v>
      </c>
      <c r="E239" s="1">
        <v>35514</v>
      </c>
    </row>
    <row r="240" spans="1:5" x14ac:dyDescent="0.2">
      <c r="A240">
        <v>10486</v>
      </c>
      <c r="B240">
        <v>1272</v>
      </c>
      <c r="C240">
        <v>1590</v>
      </c>
      <c r="D240">
        <v>-318</v>
      </c>
      <c r="E240" s="1">
        <v>35515</v>
      </c>
    </row>
    <row r="241" spans="1:5" x14ac:dyDescent="0.2">
      <c r="A241">
        <v>10487</v>
      </c>
      <c r="B241">
        <v>889.7</v>
      </c>
      <c r="C241">
        <v>1161.7</v>
      </c>
      <c r="D241">
        <v>-272</v>
      </c>
      <c r="E241" s="1">
        <v>35515</v>
      </c>
    </row>
    <row r="242" spans="1:5" x14ac:dyDescent="0.2">
      <c r="A242">
        <v>10488</v>
      </c>
      <c r="B242">
        <v>1512</v>
      </c>
      <c r="C242">
        <v>1950</v>
      </c>
      <c r="D242">
        <v>-438</v>
      </c>
      <c r="E242" s="1">
        <v>35516</v>
      </c>
    </row>
    <row r="243" spans="1:5" x14ac:dyDescent="0.2">
      <c r="A243">
        <v>10489</v>
      </c>
      <c r="B243">
        <v>439.20000000000005</v>
      </c>
      <c r="C243">
        <v>629.09999999999991</v>
      </c>
      <c r="D243">
        <v>-189.89999999999995</v>
      </c>
      <c r="E243" s="1">
        <v>35517</v>
      </c>
    </row>
    <row r="244" spans="1:5" x14ac:dyDescent="0.2">
      <c r="A244">
        <v>10490</v>
      </c>
      <c r="B244">
        <v>3163.2</v>
      </c>
      <c r="C244">
        <v>3954</v>
      </c>
      <c r="D244">
        <v>-790.8</v>
      </c>
      <c r="E244" s="1">
        <v>35520</v>
      </c>
    </row>
    <row r="245" spans="1:5" x14ac:dyDescent="0.2">
      <c r="A245">
        <v>10491</v>
      </c>
      <c r="B245">
        <v>259.505</v>
      </c>
      <c r="C245">
        <v>382.75</v>
      </c>
      <c r="D245">
        <v>-123.245</v>
      </c>
      <c r="E245" s="1">
        <v>35520</v>
      </c>
    </row>
    <row r="246" spans="1:5" x14ac:dyDescent="0.2">
      <c r="A246">
        <v>10492</v>
      </c>
      <c r="B246">
        <v>851.2</v>
      </c>
      <c r="C246">
        <v>1120</v>
      </c>
      <c r="D246">
        <v>-268.8</v>
      </c>
      <c r="E246" s="1">
        <v>35521</v>
      </c>
    </row>
    <row r="247" spans="1:5" x14ac:dyDescent="0.2">
      <c r="A247">
        <v>10493</v>
      </c>
      <c r="B247">
        <v>608.40000000000009</v>
      </c>
      <c r="C247">
        <v>845.75</v>
      </c>
      <c r="D247">
        <v>-237.35</v>
      </c>
      <c r="E247" s="1">
        <v>35522</v>
      </c>
    </row>
    <row r="248" spans="1:5" x14ac:dyDescent="0.2">
      <c r="A248">
        <v>10494</v>
      </c>
      <c r="B248">
        <v>912</v>
      </c>
      <c r="C248">
        <v>1140</v>
      </c>
      <c r="D248">
        <v>-228</v>
      </c>
      <c r="E248" s="1">
        <v>35522</v>
      </c>
    </row>
    <row r="249" spans="1:5" x14ac:dyDescent="0.2">
      <c r="A249">
        <v>10495</v>
      </c>
      <c r="B249">
        <v>278</v>
      </c>
      <c r="C249">
        <v>348</v>
      </c>
      <c r="D249">
        <v>-70</v>
      </c>
      <c r="E249" s="1">
        <v>35523</v>
      </c>
    </row>
    <row r="250" spans="1:5" x14ac:dyDescent="0.2">
      <c r="A250">
        <v>10496</v>
      </c>
      <c r="B250">
        <v>190</v>
      </c>
      <c r="C250">
        <v>250</v>
      </c>
      <c r="D250">
        <v>-60</v>
      </c>
      <c r="E250" s="1">
        <v>35524</v>
      </c>
    </row>
    <row r="251" spans="1:5" x14ac:dyDescent="0.2">
      <c r="A251">
        <v>10497</v>
      </c>
      <c r="B251">
        <v>1380.6</v>
      </c>
      <c r="C251">
        <v>1727</v>
      </c>
      <c r="D251">
        <v>-346.39999999999992</v>
      </c>
      <c r="E251" s="1">
        <v>35524</v>
      </c>
    </row>
    <row r="252" spans="1:5" x14ac:dyDescent="0.2">
      <c r="A252">
        <v>10498</v>
      </c>
      <c r="B252">
        <v>575</v>
      </c>
      <c r="C252">
        <v>575</v>
      </c>
      <c r="D252">
        <v>0</v>
      </c>
      <c r="E252" s="1">
        <v>35527</v>
      </c>
    </row>
    <row r="253" spans="1:5" x14ac:dyDescent="0.2">
      <c r="A253">
        <v>10499</v>
      </c>
      <c r="B253">
        <v>1412</v>
      </c>
      <c r="C253">
        <v>1412</v>
      </c>
      <c r="D253">
        <v>0</v>
      </c>
      <c r="E253" s="1">
        <v>35528</v>
      </c>
    </row>
    <row r="254" spans="1:5" x14ac:dyDescent="0.2">
      <c r="A254">
        <v>10500</v>
      </c>
      <c r="B254">
        <v>523.26</v>
      </c>
      <c r="C254">
        <v>550.79999999999995</v>
      </c>
      <c r="D254">
        <v>-27.54000000000002</v>
      </c>
      <c r="E254" s="1">
        <v>35529</v>
      </c>
    </row>
    <row r="255" spans="1:5" x14ac:dyDescent="0.2">
      <c r="A255">
        <v>10501</v>
      </c>
      <c r="B255">
        <v>149</v>
      </c>
      <c r="C255">
        <v>149</v>
      </c>
      <c r="D255">
        <v>0</v>
      </c>
      <c r="E255" s="1">
        <v>35529</v>
      </c>
    </row>
    <row r="256" spans="1:5" x14ac:dyDescent="0.2">
      <c r="A256">
        <v>10502</v>
      </c>
      <c r="B256">
        <v>816.3</v>
      </c>
      <c r="C256">
        <v>816.3</v>
      </c>
      <c r="D256">
        <v>0</v>
      </c>
      <c r="E256" s="1">
        <v>35530</v>
      </c>
    </row>
    <row r="257" spans="1:5" x14ac:dyDescent="0.2">
      <c r="A257">
        <v>10503</v>
      </c>
      <c r="B257">
        <v>2048.5</v>
      </c>
      <c r="C257">
        <v>2048.5</v>
      </c>
      <c r="D257">
        <v>0</v>
      </c>
      <c r="E257" s="1">
        <v>35531</v>
      </c>
    </row>
    <row r="258" spans="1:5" x14ac:dyDescent="0.2">
      <c r="A258">
        <v>10504</v>
      </c>
      <c r="B258">
        <v>1388.5</v>
      </c>
      <c r="C258">
        <v>1388.5</v>
      </c>
      <c r="D258">
        <v>0</v>
      </c>
      <c r="E258" s="1">
        <v>35531</v>
      </c>
    </row>
    <row r="259" spans="1:5" x14ac:dyDescent="0.2">
      <c r="A259">
        <v>10505</v>
      </c>
      <c r="B259">
        <v>147.89999999999998</v>
      </c>
      <c r="C259">
        <v>147.89999999999998</v>
      </c>
      <c r="D259">
        <v>0</v>
      </c>
      <c r="E259" s="1">
        <v>35534</v>
      </c>
    </row>
    <row r="260" spans="1:5" x14ac:dyDescent="0.2">
      <c r="A260">
        <v>10506</v>
      </c>
      <c r="B260">
        <v>415.8</v>
      </c>
      <c r="C260">
        <v>462</v>
      </c>
      <c r="D260">
        <v>-46.199999999999989</v>
      </c>
      <c r="E260" s="1">
        <v>35535</v>
      </c>
    </row>
    <row r="261" spans="1:5" x14ac:dyDescent="0.2">
      <c r="A261">
        <v>10507</v>
      </c>
      <c r="B261">
        <v>749.0625</v>
      </c>
      <c r="C261">
        <v>881.25</v>
      </c>
      <c r="D261">
        <v>-132.1875</v>
      </c>
      <c r="E261" s="1">
        <v>35535</v>
      </c>
    </row>
    <row r="262" spans="1:5" x14ac:dyDescent="0.2">
      <c r="A262">
        <v>10508</v>
      </c>
      <c r="B262">
        <v>240</v>
      </c>
      <c r="C262">
        <v>240</v>
      </c>
      <c r="D262">
        <v>0</v>
      </c>
      <c r="E262" s="1">
        <v>35536</v>
      </c>
    </row>
    <row r="263" spans="1:5" x14ac:dyDescent="0.2">
      <c r="A263">
        <v>10509</v>
      </c>
      <c r="B263">
        <v>136.80000000000001</v>
      </c>
      <c r="C263">
        <v>136.80000000000001</v>
      </c>
      <c r="D263">
        <v>0</v>
      </c>
      <c r="E263" s="1">
        <v>35537</v>
      </c>
    </row>
    <row r="264" spans="1:5" x14ac:dyDescent="0.2">
      <c r="A264">
        <v>10510</v>
      </c>
      <c r="B264">
        <v>4707.5400000000009</v>
      </c>
      <c r="C264">
        <v>4735.4400000000005</v>
      </c>
      <c r="D264">
        <v>-27.900000000000006</v>
      </c>
      <c r="E264" s="1">
        <v>35538</v>
      </c>
    </row>
    <row r="265" spans="1:5" x14ac:dyDescent="0.2">
      <c r="A265">
        <v>10511</v>
      </c>
      <c r="B265">
        <v>2550</v>
      </c>
      <c r="C265">
        <v>3000</v>
      </c>
      <c r="D265">
        <v>-450</v>
      </c>
      <c r="E265" s="1">
        <v>35538</v>
      </c>
    </row>
    <row r="266" spans="1:5" x14ac:dyDescent="0.2">
      <c r="A266">
        <v>10512</v>
      </c>
      <c r="B266">
        <v>525.29999999999995</v>
      </c>
      <c r="C266">
        <v>618</v>
      </c>
      <c r="D266">
        <v>-92.699999999999989</v>
      </c>
      <c r="E266" s="1">
        <v>35541</v>
      </c>
    </row>
    <row r="267" spans="1:5" x14ac:dyDescent="0.2">
      <c r="A267">
        <v>10513</v>
      </c>
      <c r="B267">
        <v>1942</v>
      </c>
      <c r="C267">
        <v>2427.5</v>
      </c>
      <c r="D267">
        <v>-485.5</v>
      </c>
      <c r="E267" s="1">
        <v>35542</v>
      </c>
    </row>
    <row r="268" spans="1:5" x14ac:dyDescent="0.2">
      <c r="A268">
        <v>10514</v>
      </c>
      <c r="B268">
        <v>8623.4500000000007</v>
      </c>
      <c r="C268">
        <v>8623.4500000000007</v>
      </c>
      <c r="D268">
        <v>0</v>
      </c>
      <c r="E268" s="1">
        <v>35542</v>
      </c>
    </row>
    <row r="269" spans="1:5" x14ac:dyDescent="0.2">
      <c r="A269">
        <v>10515</v>
      </c>
      <c r="B269">
        <v>9921.2999999999993</v>
      </c>
      <c r="C269">
        <v>10588.5</v>
      </c>
      <c r="D269">
        <v>-667.2</v>
      </c>
      <c r="E269" s="1">
        <v>35543</v>
      </c>
    </row>
    <row r="270" spans="1:5" x14ac:dyDescent="0.2">
      <c r="A270">
        <v>10516</v>
      </c>
      <c r="B270">
        <v>2381.0500000000002</v>
      </c>
      <c r="C270">
        <v>2614.5</v>
      </c>
      <c r="D270">
        <v>-233.45000000000005</v>
      </c>
      <c r="E270" s="1">
        <v>35544</v>
      </c>
    </row>
    <row r="271" spans="1:5" x14ac:dyDescent="0.2">
      <c r="A271">
        <v>10517</v>
      </c>
      <c r="B271">
        <v>352</v>
      </c>
      <c r="C271">
        <v>352</v>
      </c>
      <c r="D271">
        <v>0</v>
      </c>
      <c r="E271" s="1">
        <v>35544</v>
      </c>
    </row>
    <row r="272" spans="1:5" x14ac:dyDescent="0.2">
      <c r="A272">
        <v>10518</v>
      </c>
      <c r="B272">
        <v>4150.05</v>
      </c>
      <c r="C272">
        <v>4150.05</v>
      </c>
      <c r="D272">
        <v>0</v>
      </c>
      <c r="E272" s="1">
        <v>35545</v>
      </c>
    </row>
    <row r="273" spans="1:5" x14ac:dyDescent="0.2">
      <c r="A273">
        <v>10519</v>
      </c>
      <c r="B273">
        <v>2314.1999999999998</v>
      </c>
      <c r="C273">
        <v>2356</v>
      </c>
      <c r="D273">
        <v>-41.800000000000011</v>
      </c>
      <c r="E273" s="1">
        <v>35548</v>
      </c>
    </row>
    <row r="274" spans="1:5" x14ac:dyDescent="0.2">
      <c r="A274">
        <v>10520</v>
      </c>
      <c r="B274">
        <v>200</v>
      </c>
      <c r="C274">
        <v>200</v>
      </c>
      <c r="D274">
        <v>0</v>
      </c>
      <c r="E274" s="1">
        <v>35549</v>
      </c>
    </row>
    <row r="275" spans="1:5" x14ac:dyDescent="0.2">
      <c r="A275">
        <v>10521</v>
      </c>
      <c r="B275">
        <v>225.5</v>
      </c>
      <c r="C275">
        <v>225.5</v>
      </c>
      <c r="D275">
        <v>0</v>
      </c>
      <c r="E275" s="1">
        <v>35549</v>
      </c>
    </row>
    <row r="276" spans="1:5" x14ac:dyDescent="0.2">
      <c r="A276">
        <v>10522</v>
      </c>
      <c r="B276">
        <v>2318.2399999999998</v>
      </c>
      <c r="C276">
        <v>2657.8</v>
      </c>
      <c r="D276">
        <v>-339.56</v>
      </c>
      <c r="E276" s="1">
        <v>35550</v>
      </c>
    </row>
    <row r="277" spans="1:5" x14ac:dyDescent="0.2">
      <c r="A277">
        <v>10523</v>
      </c>
      <c r="B277">
        <v>2444.31</v>
      </c>
      <c r="C277">
        <v>2715.9</v>
      </c>
      <c r="D277">
        <v>-271.59000000000003</v>
      </c>
      <c r="E277" s="1">
        <v>35551</v>
      </c>
    </row>
    <row r="278" spans="1:5" x14ac:dyDescent="0.2">
      <c r="A278">
        <v>10524</v>
      </c>
      <c r="B278">
        <v>3192.65</v>
      </c>
      <c r="C278">
        <v>3192.65</v>
      </c>
      <c r="D278">
        <v>0</v>
      </c>
      <c r="E278" s="1">
        <v>35551</v>
      </c>
    </row>
    <row r="279" spans="1:5" x14ac:dyDescent="0.2">
      <c r="A279">
        <v>10525</v>
      </c>
      <c r="B279">
        <v>818.4</v>
      </c>
      <c r="C279">
        <v>846</v>
      </c>
      <c r="D279">
        <v>-27.599999999999994</v>
      </c>
      <c r="E279" s="1">
        <v>35552</v>
      </c>
    </row>
    <row r="280" spans="1:5" x14ac:dyDescent="0.2">
      <c r="A280">
        <v>10526</v>
      </c>
      <c r="B280">
        <v>1151.4000000000001</v>
      </c>
      <c r="C280">
        <v>1344</v>
      </c>
      <c r="D280">
        <v>-192.6</v>
      </c>
      <c r="E280" s="1">
        <v>35555</v>
      </c>
    </row>
    <row r="281" spans="1:5" x14ac:dyDescent="0.2">
      <c r="A281">
        <v>10527</v>
      </c>
      <c r="B281">
        <v>1503</v>
      </c>
      <c r="C281">
        <v>1670</v>
      </c>
      <c r="D281">
        <v>-167</v>
      </c>
      <c r="E281" s="1">
        <v>35555</v>
      </c>
    </row>
    <row r="282" spans="1:5" x14ac:dyDescent="0.2">
      <c r="A282">
        <v>10528</v>
      </c>
      <c r="B282">
        <v>392.2</v>
      </c>
      <c r="C282">
        <v>396.2</v>
      </c>
      <c r="D282">
        <v>-4</v>
      </c>
      <c r="E282" s="1">
        <v>35556</v>
      </c>
    </row>
    <row r="283" spans="1:5" x14ac:dyDescent="0.2">
      <c r="A283">
        <v>10529</v>
      </c>
      <c r="B283">
        <v>946</v>
      </c>
      <c r="C283">
        <v>946</v>
      </c>
      <c r="D283">
        <v>0</v>
      </c>
      <c r="E283" s="1">
        <v>35557</v>
      </c>
    </row>
    <row r="284" spans="1:5" x14ac:dyDescent="0.2">
      <c r="A284">
        <v>10530</v>
      </c>
      <c r="B284">
        <v>4180</v>
      </c>
      <c r="C284">
        <v>4180</v>
      </c>
      <c r="D284">
        <v>0</v>
      </c>
      <c r="E284" s="1">
        <v>35558</v>
      </c>
    </row>
    <row r="285" spans="1:5" x14ac:dyDescent="0.2">
      <c r="A285">
        <v>10531</v>
      </c>
      <c r="B285">
        <v>110</v>
      </c>
      <c r="C285">
        <v>110</v>
      </c>
      <c r="D285">
        <v>0</v>
      </c>
      <c r="E285" s="1">
        <v>35558</v>
      </c>
    </row>
    <row r="286" spans="1:5" x14ac:dyDescent="0.2">
      <c r="A286">
        <v>10532</v>
      </c>
      <c r="B286">
        <v>796.35</v>
      </c>
      <c r="C286">
        <v>796.35</v>
      </c>
      <c r="D286">
        <v>0</v>
      </c>
      <c r="E286" s="1">
        <v>35559</v>
      </c>
    </row>
    <row r="287" spans="1:5" x14ac:dyDescent="0.2">
      <c r="A287">
        <v>10533</v>
      </c>
      <c r="B287">
        <v>2222.1999999999998</v>
      </c>
      <c r="C287">
        <v>2295.1999999999998</v>
      </c>
      <c r="D287">
        <v>-73</v>
      </c>
      <c r="E287" s="1">
        <v>35562</v>
      </c>
    </row>
    <row r="288" spans="1:5" x14ac:dyDescent="0.2">
      <c r="A288">
        <v>10534</v>
      </c>
      <c r="B288">
        <v>465.7</v>
      </c>
      <c r="C288">
        <v>517.4</v>
      </c>
      <c r="D288">
        <v>-51.70000000000001</v>
      </c>
      <c r="E288" s="1">
        <v>35562</v>
      </c>
    </row>
    <row r="289" spans="1:5" x14ac:dyDescent="0.2">
      <c r="A289">
        <v>10535</v>
      </c>
      <c r="B289">
        <v>1940.85</v>
      </c>
      <c r="C289">
        <v>2156.5</v>
      </c>
      <c r="D289">
        <v>-215.65</v>
      </c>
      <c r="E289" s="1">
        <v>35563</v>
      </c>
    </row>
    <row r="290" spans="1:5" x14ac:dyDescent="0.2">
      <c r="A290">
        <v>10536</v>
      </c>
      <c r="B290">
        <v>1645</v>
      </c>
      <c r="C290">
        <v>2085</v>
      </c>
      <c r="D290">
        <v>-440</v>
      </c>
      <c r="E290" s="1">
        <v>35564</v>
      </c>
    </row>
    <row r="291" spans="1:5" x14ac:dyDescent="0.2">
      <c r="A291">
        <v>10537</v>
      </c>
      <c r="B291">
        <v>1823.8</v>
      </c>
      <c r="C291">
        <v>1823.8</v>
      </c>
      <c r="D291">
        <v>0</v>
      </c>
      <c r="E291" s="1">
        <v>35564</v>
      </c>
    </row>
    <row r="292" spans="1:5" x14ac:dyDescent="0.2">
      <c r="A292">
        <v>10538</v>
      </c>
      <c r="B292">
        <v>139.80000000000001</v>
      </c>
      <c r="C292">
        <v>139.80000000000001</v>
      </c>
      <c r="D292">
        <v>0</v>
      </c>
      <c r="E292" s="1">
        <v>35565</v>
      </c>
    </row>
    <row r="293" spans="1:5" x14ac:dyDescent="0.2">
      <c r="A293">
        <v>10539</v>
      </c>
      <c r="B293">
        <v>355.5</v>
      </c>
      <c r="C293">
        <v>355.5</v>
      </c>
      <c r="D293">
        <v>0</v>
      </c>
      <c r="E293" s="1">
        <v>35566</v>
      </c>
    </row>
    <row r="294" spans="1:5" x14ac:dyDescent="0.2">
      <c r="A294">
        <v>10540</v>
      </c>
      <c r="B294">
        <v>10191.700000000001</v>
      </c>
      <c r="C294">
        <v>10191.700000000001</v>
      </c>
      <c r="D294">
        <v>0</v>
      </c>
      <c r="E294" s="1">
        <v>35569</v>
      </c>
    </row>
    <row r="295" spans="1:5" x14ac:dyDescent="0.2">
      <c r="A295">
        <v>10541</v>
      </c>
      <c r="B295">
        <v>1946.52</v>
      </c>
      <c r="C295">
        <v>2162.8000000000002</v>
      </c>
      <c r="D295">
        <v>-216.27999999999994</v>
      </c>
      <c r="E295" s="1">
        <v>35569</v>
      </c>
    </row>
    <row r="296" spans="1:5" x14ac:dyDescent="0.2">
      <c r="A296">
        <v>10542</v>
      </c>
      <c r="B296">
        <v>469.11</v>
      </c>
      <c r="C296">
        <v>493.8</v>
      </c>
      <c r="D296">
        <v>-24.689999999999998</v>
      </c>
      <c r="E296" s="1">
        <v>35570</v>
      </c>
    </row>
    <row r="297" spans="1:5" x14ac:dyDescent="0.2">
      <c r="A297">
        <v>10543</v>
      </c>
      <c r="B297">
        <v>1504.5</v>
      </c>
      <c r="C297">
        <v>1770</v>
      </c>
      <c r="D297">
        <v>-265.5</v>
      </c>
      <c r="E297" s="1">
        <v>35571</v>
      </c>
    </row>
    <row r="298" spans="1:5" x14ac:dyDescent="0.2">
      <c r="A298">
        <v>10544</v>
      </c>
      <c r="B298">
        <v>417.2</v>
      </c>
      <c r="C298">
        <v>417.2</v>
      </c>
      <c r="D298">
        <v>0</v>
      </c>
      <c r="E298" s="1">
        <v>35571</v>
      </c>
    </row>
    <row r="299" spans="1:5" x14ac:dyDescent="0.2">
      <c r="A299">
        <v>10545</v>
      </c>
      <c r="B299">
        <v>210</v>
      </c>
      <c r="C299">
        <v>210</v>
      </c>
      <c r="D299">
        <v>0</v>
      </c>
      <c r="E299" s="1">
        <v>35572</v>
      </c>
    </row>
    <row r="300" spans="1:5" x14ac:dyDescent="0.2">
      <c r="A300">
        <v>10546</v>
      </c>
      <c r="B300">
        <v>2812</v>
      </c>
      <c r="C300">
        <v>2812</v>
      </c>
      <c r="D300">
        <v>0</v>
      </c>
      <c r="E300" s="1">
        <v>35573</v>
      </c>
    </row>
    <row r="301" spans="1:5" x14ac:dyDescent="0.2">
      <c r="A301">
        <v>10547</v>
      </c>
      <c r="B301">
        <v>1792.8</v>
      </c>
      <c r="C301">
        <v>1908</v>
      </c>
      <c r="D301">
        <v>-115.20000000000005</v>
      </c>
      <c r="E301" s="1">
        <v>35573</v>
      </c>
    </row>
    <row r="302" spans="1:5" x14ac:dyDescent="0.2">
      <c r="A302">
        <v>10548</v>
      </c>
      <c r="B302">
        <v>240.1</v>
      </c>
      <c r="C302">
        <v>275.10000000000002</v>
      </c>
      <c r="D302">
        <v>-35</v>
      </c>
      <c r="E302" s="1">
        <v>35576</v>
      </c>
    </row>
    <row r="303" spans="1:5" x14ac:dyDescent="0.2">
      <c r="A303">
        <v>10549</v>
      </c>
      <c r="B303">
        <v>3554.2750000000001</v>
      </c>
      <c r="C303">
        <v>4181.5</v>
      </c>
      <c r="D303">
        <v>-627.22499999999991</v>
      </c>
      <c r="E303" s="1">
        <v>35577</v>
      </c>
    </row>
    <row r="304" spans="1:5" x14ac:dyDescent="0.2">
      <c r="A304">
        <v>10550</v>
      </c>
      <c r="B304">
        <v>683.3</v>
      </c>
      <c r="C304">
        <v>749</v>
      </c>
      <c r="D304">
        <v>-65.699999999999989</v>
      </c>
      <c r="E304" s="1">
        <v>35578</v>
      </c>
    </row>
    <row r="305" spans="1:5" x14ac:dyDescent="0.2">
      <c r="A305">
        <v>10551</v>
      </c>
      <c r="B305">
        <v>1677.3</v>
      </c>
      <c r="C305">
        <v>1836</v>
      </c>
      <c r="D305">
        <v>-158.70000000000005</v>
      </c>
      <c r="E305" s="1">
        <v>35578</v>
      </c>
    </row>
    <row r="306" spans="1:5" x14ac:dyDescent="0.2">
      <c r="A306">
        <v>10552</v>
      </c>
      <c r="B306">
        <v>880.5</v>
      </c>
      <c r="C306">
        <v>880.5</v>
      </c>
      <c r="D306">
        <v>0</v>
      </c>
      <c r="E306" s="1">
        <v>35579</v>
      </c>
    </row>
    <row r="307" spans="1:5" x14ac:dyDescent="0.2">
      <c r="A307">
        <v>10553</v>
      </c>
      <c r="B307">
        <v>1546.3</v>
      </c>
      <c r="C307">
        <v>1546.3</v>
      </c>
      <c r="D307">
        <v>0</v>
      </c>
      <c r="E307" s="1">
        <v>35580</v>
      </c>
    </row>
    <row r="308" spans="1:5" x14ac:dyDescent="0.2">
      <c r="A308">
        <v>10554</v>
      </c>
      <c r="B308">
        <v>1728.5250000000001</v>
      </c>
      <c r="C308">
        <v>1819.5</v>
      </c>
      <c r="D308">
        <v>-90.974999999999966</v>
      </c>
      <c r="E308" s="1">
        <v>35580</v>
      </c>
    </row>
    <row r="309" spans="1:5" x14ac:dyDescent="0.2">
      <c r="A309">
        <v>10555</v>
      </c>
      <c r="B309">
        <v>2944.4</v>
      </c>
      <c r="C309">
        <v>3680.5</v>
      </c>
      <c r="D309">
        <v>-736.09999999999991</v>
      </c>
      <c r="E309" s="1">
        <v>35583</v>
      </c>
    </row>
    <row r="310" spans="1:5" x14ac:dyDescent="0.2">
      <c r="A310">
        <v>10556</v>
      </c>
      <c r="B310">
        <v>835.19999999999993</v>
      </c>
      <c r="C310">
        <v>835.19999999999993</v>
      </c>
      <c r="D310">
        <v>0</v>
      </c>
      <c r="E310" s="1">
        <v>35584</v>
      </c>
    </row>
    <row r="311" spans="1:5" x14ac:dyDescent="0.2">
      <c r="A311">
        <v>10557</v>
      </c>
      <c r="B311">
        <v>1152.5</v>
      </c>
      <c r="C311">
        <v>1152.5</v>
      </c>
      <c r="D311">
        <v>0</v>
      </c>
      <c r="E311" s="1">
        <v>35584</v>
      </c>
    </row>
    <row r="312" spans="1:5" x14ac:dyDescent="0.2">
      <c r="A312">
        <v>10558</v>
      </c>
      <c r="B312">
        <v>2142.9</v>
      </c>
      <c r="C312">
        <v>2142.9</v>
      </c>
      <c r="D312">
        <v>0</v>
      </c>
      <c r="E312" s="1">
        <v>35585</v>
      </c>
    </row>
    <row r="313" spans="1:5" x14ac:dyDescent="0.2">
      <c r="A313">
        <v>10559</v>
      </c>
      <c r="B313">
        <v>520.41</v>
      </c>
      <c r="C313">
        <v>547.79999999999995</v>
      </c>
      <c r="D313">
        <v>-27.390000000000029</v>
      </c>
      <c r="E313" s="1">
        <v>35586</v>
      </c>
    </row>
    <row r="314" spans="1:5" x14ac:dyDescent="0.2">
      <c r="A314">
        <v>10560</v>
      </c>
      <c r="B314">
        <v>1072.425</v>
      </c>
      <c r="C314">
        <v>1257.3</v>
      </c>
      <c r="D314">
        <v>-184.875</v>
      </c>
      <c r="E314" s="1">
        <v>35587</v>
      </c>
    </row>
    <row r="315" spans="1:5" x14ac:dyDescent="0.2">
      <c r="A315">
        <v>10561</v>
      </c>
      <c r="B315">
        <v>2844.5</v>
      </c>
      <c r="C315">
        <v>2844.5</v>
      </c>
      <c r="D315">
        <v>0</v>
      </c>
      <c r="E315" s="1">
        <v>35587</v>
      </c>
    </row>
    <row r="316" spans="1:5" x14ac:dyDescent="0.2">
      <c r="A316">
        <v>10562</v>
      </c>
      <c r="B316">
        <v>488.7</v>
      </c>
      <c r="C316">
        <v>543</v>
      </c>
      <c r="D316">
        <v>-54.300000000000011</v>
      </c>
      <c r="E316" s="1">
        <v>35590</v>
      </c>
    </row>
    <row r="317" spans="1:5" x14ac:dyDescent="0.2">
      <c r="A317">
        <v>10563</v>
      </c>
      <c r="B317">
        <v>965</v>
      </c>
      <c r="C317">
        <v>965</v>
      </c>
      <c r="D317">
        <v>0</v>
      </c>
      <c r="E317" s="1">
        <v>35591</v>
      </c>
    </row>
    <row r="318" spans="1:5" x14ac:dyDescent="0.2">
      <c r="A318">
        <v>10564</v>
      </c>
      <c r="B318">
        <v>1234.05</v>
      </c>
      <c r="C318">
        <v>1299</v>
      </c>
      <c r="D318">
        <v>-64.950000000000045</v>
      </c>
      <c r="E318" s="1">
        <v>35591</v>
      </c>
    </row>
    <row r="319" spans="1:5" x14ac:dyDescent="0.2">
      <c r="A319">
        <v>10565</v>
      </c>
      <c r="B319">
        <v>639.9</v>
      </c>
      <c r="C319">
        <v>711</v>
      </c>
      <c r="D319">
        <v>-71.100000000000023</v>
      </c>
      <c r="E319" s="1">
        <v>35592</v>
      </c>
    </row>
    <row r="320" spans="1:5" x14ac:dyDescent="0.2">
      <c r="A320">
        <v>10566</v>
      </c>
      <c r="B320">
        <v>1761</v>
      </c>
      <c r="C320">
        <v>2040</v>
      </c>
      <c r="D320">
        <v>-279</v>
      </c>
      <c r="E320" s="1">
        <v>35593</v>
      </c>
    </row>
    <row r="321" spans="1:5" x14ac:dyDescent="0.2">
      <c r="A321">
        <v>10567</v>
      </c>
      <c r="B321">
        <v>2519</v>
      </c>
      <c r="C321">
        <v>3109</v>
      </c>
      <c r="D321">
        <v>-590</v>
      </c>
      <c r="E321" s="1">
        <v>35593</v>
      </c>
    </row>
    <row r="322" spans="1:5" x14ac:dyDescent="0.2">
      <c r="A322">
        <v>10568</v>
      </c>
      <c r="B322">
        <v>155</v>
      </c>
      <c r="C322">
        <v>155</v>
      </c>
      <c r="D322">
        <v>0</v>
      </c>
      <c r="E322" s="1">
        <v>35594</v>
      </c>
    </row>
    <row r="323" spans="1:5" x14ac:dyDescent="0.2">
      <c r="A323">
        <v>10569</v>
      </c>
      <c r="B323">
        <v>890</v>
      </c>
      <c r="C323">
        <v>977.5</v>
      </c>
      <c r="D323">
        <v>-87.5</v>
      </c>
      <c r="E323" s="1">
        <v>35597</v>
      </c>
    </row>
    <row r="324" spans="1:5" x14ac:dyDescent="0.2">
      <c r="A324">
        <v>10570</v>
      </c>
      <c r="B324">
        <v>2465.25</v>
      </c>
      <c r="C324">
        <v>2595</v>
      </c>
      <c r="D324">
        <v>-129.75</v>
      </c>
      <c r="E324" s="1">
        <v>35598</v>
      </c>
    </row>
    <row r="325" spans="1:5" x14ac:dyDescent="0.2">
      <c r="A325">
        <v>10571</v>
      </c>
      <c r="B325">
        <v>550.58749999999998</v>
      </c>
      <c r="C325">
        <v>647.75</v>
      </c>
      <c r="D325">
        <v>-97.162500000000023</v>
      </c>
      <c r="E325" s="1">
        <v>35598</v>
      </c>
    </row>
    <row r="326" spans="1:5" x14ac:dyDescent="0.2">
      <c r="A326">
        <v>10572</v>
      </c>
      <c r="B326">
        <v>1501.0849999999998</v>
      </c>
      <c r="C326">
        <v>1565.6499999999999</v>
      </c>
      <c r="D326">
        <v>-64.564999999999998</v>
      </c>
      <c r="E326" s="1">
        <v>35599</v>
      </c>
    </row>
    <row r="327" spans="1:5" x14ac:dyDescent="0.2">
      <c r="A327">
        <v>10573</v>
      </c>
      <c r="B327">
        <v>2082</v>
      </c>
      <c r="C327">
        <v>2082</v>
      </c>
      <c r="D327">
        <v>0</v>
      </c>
      <c r="E327" s="1">
        <v>35600</v>
      </c>
    </row>
    <row r="328" spans="1:5" x14ac:dyDescent="0.2">
      <c r="A328">
        <v>10574</v>
      </c>
      <c r="B328">
        <v>764.3</v>
      </c>
      <c r="C328">
        <v>764.3</v>
      </c>
      <c r="D328">
        <v>0</v>
      </c>
      <c r="E328" s="1">
        <v>35600</v>
      </c>
    </row>
    <row r="329" spans="1:5" x14ac:dyDescent="0.2">
      <c r="A329">
        <v>10575</v>
      </c>
      <c r="B329">
        <v>2147.4</v>
      </c>
      <c r="C329">
        <v>2147.4</v>
      </c>
      <c r="D329">
        <v>0</v>
      </c>
      <c r="E329" s="1">
        <v>35601</v>
      </c>
    </row>
    <row r="330" spans="1:5" x14ac:dyDescent="0.2">
      <c r="A330">
        <v>10576</v>
      </c>
      <c r="B330">
        <v>838.45</v>
      </c>
      <c r="C330">
        <v>838.45</v>
      </c>
      <c r="D330">
        <v>0</v>
      </c>
      <c r="E330" s="1">
        <v>35604</v>
      </c>
    </row>
    <row r="331" spans="1:5" x14ac:dyDescent="0.2">
      <c r="A331">
        <v>10577</v>
      </c>
      <c r="B331">
        <v>569</v>
      </c>
      <c r="C331">
        <v>569</v>
      </c>
      <c r="D331">
        <v>0</v>
      </c>
      <c r="E331" s="1">
        <v>35604</v>
      </c>
    </row>
    <row r="332" spans="1:5" x14ac:dyDescent="0.2">
      <c r="A332">
        <v>10578</v>
      </c>
      <c r="B332">
        <v>477</v>
      </c>
      <c r="C332">
        <v>477</v>
      </c>
      <c r="D332">
        <v>0</v>
      </c>
      <c r="E332" s="1">
        <v>35605</v>
      </c>
    </row>
    <row r="333" spans="1:5" x14ac:dyDescent="0.2">
      <c r="A333">
        <v>10579</v>
      </c>
      <c r="B333">
        <v>317.75</v>
      </c>
      <c r="C333">
        <v>317.75</v>
      </c>
      <c r="D333">
        <v>0</v>
      </c>
      <c r="E333" s="1">
        <v>35606</v>
      </c>
    </row>
    <row r="334" spans="1:5" x14ac:dyDescent="0.2">
      <c r="A334">
        <v>10580</v>
      </c>
      <c r="B334">
        <v>1013.7449999999999</v>
      </c>
      <c r="C334">
        <v>1067.0999999999999</v>
      </c>
      <c r="D334">
        <v>-53.355000000000047</v>
      </c>
      <c r="E334" s="1">
        <v>35607</v>
      </c>
    </row>
    <row r="335" spans="1:5" x14ac:dyDescent="0.2">
      <c r="A335">
        <v>10581</v>
      </c>
      <c r="B335">
        <v>310</v>
      </c>
      <c r="C335">
        <v>387.5</v>
      </c>
      <c r="D335">
        <v>-77.5</v>
      </c>
      <c r="E335" s="1">
        <v>35607</v>
      </c>
    </row>
    <row r="336" spans="1:5" x14ac:dyDescent="0.2">
      <c r="A336">
        <v>10582</v>
      </c>
      <c r="B336">
        <v>330</v>
      </c>
      <c r="C336">
        <v>330</v>
      </c>
      <c r="D336">
        <v>0</v>
      </c>
      <c r="E336" s="1">
        <v>35608</v>
      </c>
    </row>
    <row r="337" spans="1:5" x14ac:dyDescent="0.2">
      <c r="A337">
        <v>10583</v>
      </c>
      <c r="B337">
        <v>2237.5</v>
      </c>
      <c r="C337">
        <v>2413.9</v>
      </c>
      <c r="D337">
        <v>-176.39999999999998</v>
      </c>
      <c r="E337" s="1">
        <v>35611</v>
      </c>
    </row>
    <row r="338" spans="1:5" x14ac:dyDescent="0.2">
      <c r="A338">
        <v>10584</v>
      </c>
      <c r="B338">
        <v>593.75</v>
      </c>
      <c r="C338">
        <v>625</v>
      </c>
      <c r="D338">
        <v>-31.25</v>
      </c>
      <c r="E338" s="1">
        <v>35611</v>
      </c>
    </row>
    <row r="339" spans="1:5" x14ac:dyDescent="0.2">
      <c r="A339">
        <v>10585</v>
      </c>
      <c r="B339">
        <v>142.5</v>
      </c>
      <c r="C339">
        <v>142.5</v>
      </c>
      <c r="D339">
        <v>0</v>
      </c>
      <c r="E339" s="1">
        <v>35612</v>
      </c>
    </row>
    <row r="340" spans="1:5" x14ac:dyDescent="0.2">
      <c r="A340">
        <v>10586</v>
      </c>
      <c r="B340">
        <v>23.8</v>
      </c>
      <c r="C340">
        <v>28</v>
      </c>
      <c r="D340">
        <v>-4.1999999999999993</v>
      </c>
      <c r="E340" s="1">
        <v>35613</v>
      </c>
    </row>
    <row r="341" spans="1:5" x14ac:dyDescent="0.2">
      <c r="A341">
        <v>10587</v>
      </c>
      <c r="B341">
        <v>807.38</v>
      </c>
      <c r="C341">
        <v>807.38</v>
      </c>
      <c r="D341">
        <v>0</v>
      </c>
      <c r="E341" s="1">
        <v>35613</v>
      </c>
    </row>
    <row r="342" spans="1:5" x14ac:dyDescent="0.2">
      <c r="A342">
        <v>10588</v>
      </c>
      <c r="B342">
        <v>3120</v>
      </c>
      <c r="C342">
        <v>3900</v>
      </c>
      <c r="D342">
        <v>-780</v>
      </c>
      <c r="E342" s="1">
        <v>35614</v>
      </c>
    </row>
    <row r="343" spans="1:5" x14ac:dyDescent="0.2">
      <c r="A343">
        <v>10589</v>
      </c>
      <c r="B343">
        <v>72</v>
      </c>
      <c r="C343">
        <v>72</v>
      </c>
      <c r="D343">
        <v>0</v>
      </c>
      <c r="E343" s="1">
        <v>35615</v>
      </c>
    </row>
    <row r="344" spans="1:5" x14ac:dyDescent="0.2">
      <c r="A344">
        <v>10590</v>
      </c>
      <c r="B344">
        <v>1101</v>
      </c>
      <c r="C344">
        <v>1140</v>
      </c>
      <c r="D344">
        <v>-39</v>
      </c>
      <c r="E344" s="1">
        <v>35618</v>
      </c>
    </row>
    <row r="345" spans="1:5" x14ac:dyDescent="0.2">
      <c r="A345">
        <v>10591</v>
      </c>
      <c r="B345">
        <v>812.5</v>
      </c>
      <c r="C345">
        <v>812.5</v>
      </c>
      <c r="D345">
        <v>0</v>
      </c>
      <c r="E345" s="1">
        <v>35618</v>
      </c>
    </row>
    <row r="346" spans="1:5" x14ac:dyDescent="0.2">
      <c r="A346">
        <v>10592</v>
      </c>
      <c r="B346">
        <v>516.46749999999997</v>
      </c>
      <c r="C346">
        <v>543.65</v>
      </c>
      <c r="D346">
        <v>-27.182500000000005</v>
      </c>
      <c r="E346" s="1">
        <v>35619</v>
      </c>
    </row>
    <row r="347" spans="1:5" x14ac:dyDescent="0.2">
      <c r="A347">
        <v>10593</v>
      </c>
      <c r="B347">
        <v>1994.3999999999999</v>
      </c>
      <c r="C347">
        <v>2493</v>
      </c>
      <c r="D347">
        <v>-498.6</v>
      </c>
      <c r="E347" s="1">
        <v>35620</v>
      </c>
    </row>
    <row r="348" spans="1:5" x14ac:dyDescent="0.2">
      <c r="A348">
        <v>10594</v>
      </c>
      <c r="B348">
        <v>565.5</v>
      </c>
      <c r="C348">
        <v>565.5</v>
      </c>
      <c r="D348">
        <v>0</v>
      </c>
      <c r="E348" s="1">
        <v>35620</v>
      </c>
    </row>
    <row r="349" spans="1:5" x14ac:dyDescent="0.2">
      <c r="A349">
        <v>10595</v>
      </c>
      <c r="B349">
        <v>4725</v>
      </c>
      <c r="C349">
        <v>6300</v>
      </c>
      <c r="D349">
        <v>-1575</v>
      </c>
      <c r="E349" s="1">
        <v>35621</v>
      </c>
    </row>
    <row r="350" spans="1:5" x14ac:dyDescent="0.2">
      <c r="A350">
        <v>10596</v>
      </c>
      <c r="B350">
        <v>1180.8799999999999</v>
      </c>
      <c r="C350">
        <v>1476.1</v>
      </c>
      <c r="D350">
        <v>-295.22000000000003</v>
      </c>
      <c r="E350" s="1">
        <v>35622</v>
      </c>
    </row>
    <row r="351" spans="1:5" x14ac:dyDescent="0.2">
      <c r="A351">
        <v>10597</v>
      </c>
      <c r="B351">
        <v>718.08</v>
      </c>
      <c r="C351">
        <v>800.1</v>
      </c>
      <c r="D351">
        <v>-82.02000000000001</v>
      </c>
      <c r="E351" s="1">
        <v>35622</v>
      </c>
    </row>
    <row r="352" spans="1:5" x14ac:dyDescent="0.2">
      <c r="A352">
        <v>10598</v>
      </c>
      <c r="B352">
        <v>2388.5</v>
      </c>
      <c r="C352">
        <v>2388.5</v>
      </c>
      <c r="D352">
        <v>0</v>
      </c>
      <c r="E352" s="1">
        <v>35625</v>
      </c>
    </row>
    <row r="353" spans="1:5" x14ac:dyDescent="0.2">
      <c r="A353">
        <v>10599</v>
      </c>
      <c r="B353">
        <v>493</v>
      </c>
      <c r="C353">
        <v>493</v>
      </c>
      <c r="D353">
        <v>0</v>
      </c>
      <c r="E353" s="1">
        <v>35626</v>
      </c>
    </row>
    <row r="354" spans="1:5" x14ac:dyDescent="0.2">
      <c r="A354">
        <v>10600</v>
      </c>
      <c r="B354">
        <v>479.8</v>
      </c>
      <c r="C354">
        <v>479.8</v>
      </c>
      <c r="D354">
        <v>0</v>
      </c>
      <c r="E354" s="1">
        <v>35627</v>
      </c>
    </row>
    <row r="355" spans="1:5" x14ac:dyDescent="0.2">
      <c r="A355">
        <v>10601</v>
      </c>
      <c r="B355">
        <v>2285</v>
      </c>
      <c r="C355">
        <v>2285</v>
      </c>
      <c r="D355">
        <v>0</v>
      </c>
      <c r="E355" s="1">
        <v>35627</v>
      </c>
    </row>
    <row r="356" spans="1:5" x14ac:dyDescent="0.2">
      <c r="A356">
        <v>10602</v>
      </c>
      <c r="B356">
        <v>48.75</v>
      </c>
      <c r="C356">
        <v>65</v>
      </c>
      <c r="D356">
        <v>-16.25</v>
      </c>
      <c r="E356" s="1">
        <v>35628</v>
      </c>
    </row>
    <row r="357" spans="1:5" x14ac:dyDescent="0.2">
      <c r="A357">
        <v>10603</v>
      </c>
      <c r="B357">
        <v>1483</v>
      </c>
      <c r="C357">
        <v>1508</v>
      </c>
      <c r="D357">
        <v>-25</v>
      </c>
      <c r="E357" s="1">
        <v>35629</v>
      </c>
    </row>
    <row r="358" spans="1:5" x14ac:dyDescent="0.2">
      <c r="A358">
        <v>10604</v>
      </c>
      <c r="B358">
        <v>230.85</v>
      </c>
      <c r="C358">
        <v>256.5</v>
      </c>
      <c r="D358">
        <v>-25.650000000000006</v>
      </c>
      <c r="E358" s="1">
        <v>35629</v>
      </c>
    </row>
    <row r="359" spans="1:5" x14ac:dyDescent="0.2">
      <c r="A359">
        <v>10605</v>
      </c>
      <c r="B359">
        <v>4109.7</v>
      </c>
      <c r="C359">
        <v>4326</v>
      </c>
      <c r="D359">
        <v>-216.3</v>
      </c>
      <c r="E359" s="1">
        <v>35632</v>
      </c>
    </row>
    <row r="360" spans="1:5" x14ac:dyDescent="0.2">
      <c r="A360">
        <v>10606</v>
      </c>
      <c r="B360">
        <v>1130.4000000000001</v>
      </c>
      <c r="C360">
        <v>1413</v>
      </c>
      <c r="D360">
        <v>-282.60000000000002</v>
      </c>
      <c r="E360" s="1">
        <v>35633</v>
      </c>
    </row>
    <row r="361" spans="1:5" x14ac:dyDescent="0.2">
      <c r="A361">
        <v>10607</v>
      </c>
      <c r="B361">
        <v>6475.4000000000005</v>
      </c>
      <c r="C361">
        <v>6475.4000000000005</v>
      </c>
      <c r="D361">
        <v>0</v>
      </c>
      <c r="E361" s="1">
        <v>35633</v>
      </c>
    </row>
    <row r="362" spans="1:5" x14ac:dyDescent="0.2">
      <c r="A362">
        <v>10608</v>
      </c>
      <c r="B362">
        <v>1064</v>
      </c>
      <c r="C362">
        <v>1064</v>
      </c>
      <c r="D362">
        <v>0</v>
      </c>
      <c r="E362" s="1">
        <v>35634</v>
      </c>
    </row>
    <row r="363" spans="1:5" x14ac:dyDescent="0.2">
      <c r="A363">
        <v>10609</v>
      </c>
      <c r="B363">
        <v>424</v>
      </c>
      <c r="C363">
        <v>424</v>
      </c>
      <c r="D363">
        <v>0</v>
      </c>
      <c r="E363" s="1">
        <v>35635</v>
      </c>
    </row>
    <row r="364" spans="1:5" x14ac:dyDescent="0.2">
      <c r="A364">
        <v>10610</v>
      </c>
      <c r="B364">
        <v>299.25</v>
      </c>
      <c r="C364">
        <v>399</v>
      </c>
      <c r="D364">
        <v>-99.75</v>
      </c>
      <c r="E364" s="1">
        <v>35636</v>
      </c>
    </row>
    <row r="365" spans="1:5" x14ac:dyDescent="0.2">
      <c r="A365">
        <v>10611</v>
      </c>
      <c r="B365">
        <v>808</v>
      </c>
      <c r="C365">
        <v>808</v>
      </c>
      <c r="D365">
        <v>0</v>
      </c>
      <c r="E365" s="1">
        <v>35636</v>
      </c>
    </row>
    <row r="366" spans="1:5" x14ac:dyDescent="0.2">
      <c r="A366">
        <v>10612</v>
      </c>
      <c r="B366">
        <v>6375</v>
      </c>
      <c r="C366">
        <v>6375</v>
      </c>
      <c r="D366">
        <v>0</v>
      </c>
      <c r="E366" s="1">
        <v>35639</v>
      </c>
    </row>
    <row r="367" spans="1:5" x14ac:dyDescent="0.2">
      <c r="A367">
        <v>10613</v>
      </c>
      <c r="B367">
        <v>353.2</v>
      </c>
      <c r="C367">
        <v>358</v>
      </c>
      <c r="D367">
        <v>-4.7999999999999972</v>
      </c>
      <c r="E367" s="1">
        <v>35640</v>
      </c>
    </row>
    <row r="368" spans="1:5" x14ac:dyDescent="0.2">
      <c r="A368">
        <v>10614</v>
      </c>
      <c r="B368">
        <v>464</v>
      </c>
      <c r="C368">
        <v>464</v>
      </c>
      <c r="D368">
        <v>0</v>
      </c>
      <c r="E368" s="1">
        <v>35640</v>
      </c>
    </row>
    <row r="369" spans="1:5" x14ac:dyDescent="0.2">
      <c r="A369">
        <v>10615</v>
      </c>
      <c r="B369">
        <v>120</v>
      </c>
      <c r="C369">
        <v>120</v>
      </c>
      <c r="D369">
        <v>0</v>
      </c>
      <c r="E369" s="1">
        <v>35641</v>
      </c>
    </row>
    <row r="370" spans="1:5" x14ac:dyDescent="0.2">
      <c r="A370">
        <v>10616</v>
      </c>
      <c r="B370">
        <v>4807</v>
      </c>
      <c r="C370">
        <v>5032</v>
      </c>
      <c r="D370">
        <v>-225</v>
      </c>
      <c r="E370" s="1">
        <v>35642</v>
      </c>
    </row>
    <row r="371" spans="1:5" x14ac:dyDescent="0.2">
      <c r="A371">
        <v>10617</v>
      </c>
      <c r="B371">
        <v>1402.5</v>
      </c>
      <c r="C371">
        <v>1650</v>
      </c>
      <c r="D371">
        <v>-247.5</v>
      </c>
      <c r="E371" s="1">
        <v>35642</v>
      </c>
    </row>
    <row r="372" spans="1:5" x14ac:dyDescent="0.2">
      <c r="A372">
        <v>10618</v>
      </c>
      <c r="B372">
        <v>2697.5</v>
      </c>
      <c r="C372">
        <v>2697.5</v>
      </c>
      <c r="D372">
        <v>0</v>
      </c>
      <c r="E372" s="1">
        <v>35643</v>
      </c>
    </row>
    <row r="373" spans="1:5" x14ac:dyDescent="0.2">
      <c r="A373">
        <v>10619</v>
      </c>
      <c r="B373">
        <v>1260</v>
      </c>
      <c r="C373">
        <v>1260</v>
      </c>
      <c r="D373">
        <v>0</v>
      </c>
      <c r="E373" s="1">
        <v>35646</v>
      </c>
    </row>
    <row r="374" spans="1:5" x14ac:dyDescent="0.2">
      <c r="A374">
        <v>10620</v>
      </c>
      <c r="B374">
        <v>57.5</v>
      </c>
      <c r="C374">
        <v>57.5</v>
      </c>
      <c r="D374">
        <v>0</v>
      </c>
      <c r="E374" s="1">
        <v>35647</v>
      </c>
    </row>
    <row r="375" spans="1:5" x14ac:dyDescent="0.2">
      <c r="A375">
        <v>10621</v>
      </c>
      <c r="B375">
        <v>758.5</v>
      </c>
      <c r="C375">
        <v>758.5</v>
      </c>
      <c r="D375">
        <v>0</v>
      </c>
      <c r="E375" s="1">
        <v>35647</v>
      </c>
    </row>
    <row r="376" spans="1:5" x14ac:dyDescent="0.2">
      <c r="A376">
        <v>10622</v>
      </c>
      <c r="B376">
        <v>560</v>
      </c>
      <c r="C376">
        <v>605</v>
      </c>
      <c r="D376">
        <v>-45</v>
      </c>
      <c r="E376" s="1">
        <v>35648</v>
      </c>
    </row>
    <row r="377" spans="1:5" x14ac:dyDescent="0.2">
      <c r="A377">
        <v>10623</v>
      </c>
      <c r="B377">
        <v>1336.95</v>
      </c>
      <c r="C377">
        <v>1429.75</v>
      </c>
      <c r="D377">
        <v>-92.8</v>
      </c>
      <c r="E377" s="1">
        <v>35649</v>
      </c>
    </row>
    <row r="378" spans="1:5" x14ac:dyDescent="0.2">
      <c r="A378">
        <v>10624</v>
      </c>
      <c r="B378">
        <v>1393.24</v>
      </c>
      <c r="C378">
        <v>1393.24</v>
      </c>
      <c r="D378">
        <v>0</v>
      </c>
      <c r="E378" s="1">
        <v>35649</v>
      </c>
    </row>
    <row r="379" spans="1:5" x14ac:dyDescent="0.2">
      <c r="A379">
        <v>10625</v>
      </c>
      <c r="B379">
        <v>479.75</v>
      </c>
      <c r="C379">
        <v>479.75</v>
      </c>
      <c r="D379">
        <v>0</v>
      </c>
      <c r="E379" s="1">
        <v>35650</v>
      </c>
    </row>
    <row r="380" spans="1:5" x14ac:dyDescent="0.2">
      <c r="A380">
        <v>10626</v>
      </c>
      <c r="B380">
        <v>1503.6</v>
      </c>
      <c r="C380">
        <v>1503.6</v>
      </c>
      <c r="D380">
        <v>0</v>
      </c>
      <c r="E380" s="1">
        <v>35653</v>
      </c>
    </row>
    <row r="381" spans="1:5" x14ac:dyDescent="0.2">
      <c r="A381">
        <v>10627</v>
      </c>
      <c r="B381">
        <v>1185.75</v>
      </c>
      <c r="C381">
        <v>1264.5</v>
      </c>
      <c r="D381">
        <v>-78.75</v>
      </c>
      <c r="E381" s="1">
        <v>35653</v>
      </c>
    </row>
    <row r="382" spans="1:5" x14ac:dyDescent="0.2">
      <c r="A382">
        <v>10628</v>
      </c>
      <c r="B382">
        <v>450</v>
      </c>
      <c r="C382">
        <v>450</v>
      </c>
      <c r="D382">
        <v>0</v>
      </c>
      <c r="E382" s="1">
        <v>35654</v>
      </c>
    </row>
    <row r="383" spans="1:5" x14ac:dyDescent="0.2">
      <c r="A383">
        <v>10629</v>
      </c>
      <c r="B383">
        <v>2775.05</v>
      </c>
      <c r="C383">
        <v>2775.05</v>
      </c>
      <c r="D383">
        <v>0</v>
      </c>
      <c r="E383" s="1">
        <v>35654</v>
      </c>
    </row>
    <row r="384" spans="1:5" x14ac:dyDescent="0.2">
      <c r="A384">
        <v>10630</v>
      </c>
      <c r="B384">
        <v>903.6</v>
      </c>
      <c r="C384">
        <v>918</v>
      </c>
      <c r="D384">
        <v>-14.399999999999977</v>
      </c>
      <c r="E384" s="1">
        <v>35655</v>
      </c>
    </row>
    <row r="385" spans="1:5" x14ac:dyDescent="0.2">
      <c r="A385">
        <v>10631</v>
      </c>
      <c r="B385">
        <v>55.8</v>
      </c>
      <c r="C385">
        <v>62</v>
      </c>
      <c r="D385">
        <v>-6.2000000000000028</v>
      </c>
      <c r="E385" s="1">
        <v>35656</v>
      </c>
    </row>
    <row r="386" spans="1:5" x14ac:dyDescent="0.2">
      <c r="A386">
        <v>10632</v>
      </c>
      <c r="B386">
        <v>589</v>
      </c>
      <c r="C386">
        <v>620</v>
      </c>
      <c r="D386">
        <v>-31</v>
      </c>
      <c r="E386" s="1">
        <v>35656</v>
      </c>
    </row>
    <row r="387" spans="1:5" x14ac:dyDescent="0.2">
      <c r="A387">
        <v>10633</v>
      </c>
      <c r="B387">
        <v>5510.5925000000007</v>
      </c>
      <c r="C387">
        <v>6483.05</v>
      </c>
      <c r="D387">
        <v>-972.45749999999998</v>
      </c>
      <c r="E387" s="1">
        <v>35657</v>
      </c>
    </row>
    <row r="388" spans="1:5" x14ac:dyDescent="0.2">
      <c r="A388">
        <v>10634</v>
      </c>
      <c r="B388">
        <v>4985.5</v>
      </c>
      <c r="C388">
        <v>4985.5</v>
      </c>
      <c r="D388">
        <v>0</v>
      </c>
      <c r="E388" s="1">
        <v>35657</v>
      </c>
    </row>
    <row r="389" spans="1:5" x14ac:dyDescent="0.2">
      <c r="A389">
        <v>10635</v>
      </c>
      <c r="B389">
        <v>1326.2249999999999</v>
      </c>
      <c r="C389">
        <v>1380.25</v>
      </c>
      <c r="D389">
        <v>-54.024999999999977</v>
      </c>
      <c r="E389" s="1">
        <v>35660</v>
      </c>
    </row>
    <row r="390" spans="1:5" x14ac:dyDescent="0.2">
      <c r="A390">
        <v>10636</v>
      </c>
      <c r="B390">
        <v>629.5</v>
      </c>
      <c r="C390">
        <v>629.5</v>
      </c>
      <c r="D390">
        <v>0</v>
      </c>
      <c r="E390" s="1">
        <v>35661</v>
      </c>
    </row>
    <row r="391" spans="1:5" x14ac:dyDescent="0.2">
      <c r="A391">
        <v>10637</v>
      </c>
      <c r="B391">
        <v>2761.9375</v>
      </c>
      <c r="C391">
        <v>2896.25</v>
      </c>
      <c r="D391">
        <v>-134.3125</v>
      </c>
      <c r="E391" s="1">
        <v>35661</v>
      </c>
    </row>
    <row r="392" spans="1:5" x14ac:dyDescent="0.2">
      <c r="A392">
        <v>10638</v>
      </c>
      <c r="B392">
        <v>2720.05</v>
      </c>
      <c r="C392">
        <v>2720.05</v>
      </c>
      <c r="D392">
        <v>0</v>
      </c>
      <c r="E392" s="1">
        <v>35662</v>
      </c>
    </row>
    <row r="393" spans="1:5" x14ac:dyDescent="0.2">
      <c r="A393">
        <v>10639</v>
      </c>
      <c r="B393">
        <v>500</v>
      </c>
      <c r="C393">
        <v>500</v>
      </c>
      <c r="D393">
        <v>0</v>
      </c>
      <c r="E393" s="1">
        <v>35662</v>
      </c>
    </row>
    <row r="394" spans="1:5" x14ac:dyDescent="0.2">
      <c r="A394">
        <v>10640</v>
      </c>
      <c r="B394">
        <v>708.75</v>
      </c>
      <c r="C394">
        <v>945</v>
      </c>
      <c r="D394">
        <v>-236.25</v>
      </c>
      <c r="E394" s="1">
        <v>35663</v>
      </c>
    </row>
    <row r="395" spans="1:5" x14ac:dyDescent="0.2">
      <c r="A395">
        <v>10641</v>
      </c>
      <c r="B395">
        <v>2054</v>
      </c>
      <c r="C395">
        <v>2054</v>
      </c>
      <c r="D395">
        <v>0</v>
      </c>
      <c r="E395" s="1">
        <v>35664</v>
      </c>
    </row>
    <row r="396" spans="1:5" x14ac:dyDescent="0.2">
      <c r="A396">
        <v>10642</v>
      </c>
      <c r="B396">
        <v>696</v>
      </c>
      <c r="C396">
        <v>870</v>
      </c>
      <c r="D396">
        <v>-174</v>
      </c>
      <c r="E396" s="1">
        <v>35664</v>
      </c>
    </row>
    <row r="397" spans="1:5" x14ac:dyDescent="0.2">
      <c r="A397">
        <v>10643</v>
      </c>
      <c r="B397">
        <v>814.5</v>
      </c>
      <c r="C397">
        <v>1086</v>
      </c>
      <c r="D397">
        <v>-271.5</v>
      </c>
      <c r="E397" s="1">
        <v>35667</v>
      </c>
    </row>
    <row r="398" spans="1:5" x14ac:dyDescent="0.2">
      <c r="A398">
        <v>10644</v>
      </c>
      <c r="B398">
        <v>1371.8</v>
      </c>
      <c r="C398">
        <v>1422</v>
      </c>
      <c r="D398">
        <v>-50.199999999999989</v>
      </c>
      <c r="E398" s="1">
        <v>35667</v>
      </c>
    </row>
    <row r="399" spans="1:5" x14ac:dyDescent="0.2">
      <c r="A399">
        <v>10645</v>
      </c>
      <c r="B399">
        <v>1535</v>
      </c>
      <c r="C399">
        <v>1535</v>
      </c>
      <c r="D399">
        <v>0</v>
      </c>
      <c r="E399" s="1">
        <v>35668</v>
      </c>
    </row>
    <row r="400" spans="1:5" x14ac:dyDescent="0.2">
      <c r="A400">
        <v>10646</v>
      </c>
      <c r="B400">
        <v>1446</v>
      </c>
      <c r="C400">
        <v>1928</v>
      </c>
      <c r="D400">
        <v>-482</v>
      </c>
      <c r="E400" s="1">
        <v>35669</v>
      </c>
    </row>
    <row r="401" spans="1:5" x14ac:dyDescent="0.2">
      <c r="A401">
        <v>10647</v>
      </c>
      <c r="B401">
        <v>636</v>
      </c>
      <c r="C401">
        <v>636</v>
      </c>
      <c r="D401">
        <v>0</v>
      </c>
      <c r="E401" s="1">
        <v>35669</v>
      </c>
    </row>
    <row r="402" spans="1:5" x14ac:dyDescent="0.2">
      <c r="A402">
        <v>10648</v>
      </c>
      <c r="B402">
        <v>372.375</v>
      </c>
      <c r="C402">
        <v>382.5</v>
      </c>
      <c r="D402">
        <v>-10.125</v>
      </c>
      <c r="E402" s="1">
        <v>35670</v>
      </c>
    </row>
    <row r="403" spans="1:5" x14ac:dyDescent="0.2">
      <c r="A403">
        <v>10649</v>
      </c>
      <c r="B403">
        <v>1434</v>
      </c>
      <c r="C403">
        <v>1434</v>
      </c>
      <c r="D403">
        <v>0</v>
      </c>
      <c r="E403" s="1">
        <v>35670</v>
      </c>
    </row>
    <row r="404" spans="1:5" x14ac:dyDescent="0.2">
      <c r="A404">
        <v>10650</v>
      </c>
      <c r="B404">
        <v>1779.1999999999998</v>
      </c>
      <c r="C404">
        <v>1820.1999999999998</v>
      </c>
      <c r="D404">
        <v>-41</v>
      </c>
      <c r="E404" s="1">
        <v>35671</v>
      </c>
    </row>
    <row r="405" spans="1:5" x14ac:dyDescent="0.2">
      <c r="A405">
        <v>10651</v>
      </c>
      <c r="B405">
        <v>397.8</v>
      </c>
      <c r="C405">
        <v>530.4</v>
      </c>
      <c r="D405">
        <v>-132.6</v>
      </c>
      <c r="E405" s="1">
        <v>35674</v>
      </c>
    </row>
    <row r="406" spans="1:5" x14ac:dyDescent="0.2">
      <c r="A406">
        <v>10652</v>
      </c>
      <c r="B406">
        <v>318.83499999999998</v>
      </c>
      <c r="C406">
        <v>331.78</v>
      </c>
      <c r="D406">
        <v>-12.945</v>
      </c>
      <c r="E406" s="1">
        <v>35674</v>
      </c>
    </row>
    <row r="407" spans="1:5" x14ac:dyDescent="0.2">
      <c r="A407">
        <v>10653</v>
      </c>
      <c r="B407">
        <v>1083.1500000000001</v>
      </c>
      <c r="C407">
        <v>1203.5</v>
      </c>
      <c r="D407">
        <v>-120.35000000000002</v>
      </c>
      <c r="E407" s="1">
        <v>35675</v>
      </c>
    </row>
    <row r="408" spans="1:5" x14ac:dyDescent="0.2">
      <c r="A408">
        <v>10654</v>
      </c>
      <c r="B408">
        <v>601.83000000000004</v>
      </c>
      <c r="C408">
        <v>668.7</v>
      </c>
      <c r="D408">
        <v>-66.87</v>
      </c>
      <c r="E408" s="1">
        <v>35675</v>
      </c>
    </row>
    <row r="409" spans="1:5" x14ac:dyDescent="0.2">
      <c r="A409">
        <v>10655</v>
      </c>
      <c r="B409">
        <v>154.4</v>
      </c>
      <c r="C409">
        <v>193</v>
      </c>
      <c r="D409">
        <v>-38.599999999999994</v>
      </c>
      <c r="E409" s="1">
        <v>35676</v>
      </c>
    </row>
    <row r="410" spans="1:5" x14ac:dyDescent="0.2">
      <c r="A410">
        <v>10656</v>
      </c>
      <c r="B410">
        <v>604.21499999999992</v>
      </c>
      <c r="C410">
        <v>671.35</v>
      </c>
      <c r="D410">
        <v>-67.135000000000048</v>
      </c>
      <c r="E410" s="1">
        <v>35677</v>
      </c>
    </row>
    <row r="411" spans="1:5" x14ac:dyDescent="0.2">
      <c r="A411">
        <v>10657</v>
      </c>
      <c r="B411">
        <v>4371.6000000000004</v>
      </c>
      <c r="C411">
        <v>4371.6000000000004</v>
      </c>
      <c r="D411">
        <v>0</v>
      </c>
      <c r="E411" s="1">
        <v>35677</v>
      </c>
    </row>
    <row r="412" spans="1:5" x14ac:dyDescent="0.2">
      <c r="A412">
        <v>10658</v>
      </c>
      <c r="B412">
        <v>4464.6000000000004</v>
      </c>
      <c r="C412">
        <v>4668</v>
      </c>
      <c r="D412">
        <v>-203.40000000000009</v>
      </c>
      <c r="E412" s="1">
        <v>35678</v>
      </c>
    </row>
    <row r="413" spans="1:5" x14ac:dyDescent="0.2">
      <c r="A413">
        <v>10659</v>
      </c>
      <c r="B413">
        <v>1227.02</v>
      </c>
      <c r="C413">
        <v>1291.5999999999999</v>
      </c>
      <c r="D413">
        <v>-64.579999999999984</v>
      </c>
      <c r="E413" s="1">
        <v>35678</v>
      </c>
    </row>
    <row r="414" spans="1:5" x14ac:dyDescent="0.2">
      <c r="A414">
        <v>10660</v>
      </c>
      <c r="B414">
        <v>1701</v>
      </c>
      <c r="C414">
        <v>1701</v>
      </c>
      <c r="D414">
        <v>0</v>
      </c>
      <c r="E414" s="1">
        <v>35681</v>
      </c>
    </row>
    <row r="415" spans="1:5" x14ac:dyDescent="0.2">
      <c r="A415">
        <v>10661</v>
      </c>
      <c r="B415">
        <v>562.6</v>
      </c>
      <c r="C415">
        <v>703.25</v>
      </c>
      <c r="D415">
        <v>-140.65000000000003</v>
      </c>
      <c r="E415" s="1">
        <v>35682</v>
      </c>
    </row>
    <row r="416" spans="1:5" x14ac:dyDescent="0.2">
      <c r="A416">
        <v>10662</v>
      </c>
      <c r="B416">
        <v>125</v>
      </c>
      <c r="C416">
        <v>125</v>
      </c>
      <c r="D416">
        <v>0</v>
      </c>
      <c r="E416" s="1">
        <v>35682</v>
      </c>
    </row>
    <row r="417" spans="1:5" x14ac:dyDescent="0.2">
      <c r="A417">
        <v>10663</v>
      </c>
      <c r="B417">
        <v>1930.4</v>
      </c>
      <c r="C417">
        <v>2032</v>
      </c>
      <c r="D417">
        <v>-101.60000000000002</v>
      </c>
      <c r="E417" s="1">
        <v>35683</v>
      </c>
    </row>
    <row r="418" spans="1:5" x14ac:dyDescent="0.2">
      <c r="A418">
        <v>10664</v>
      </c>
      <c r="B418">
        <v>1288.3875</v>
      </c>
      <c r="C418">
        <v>1515.75</v>
      </c>
      <c r="D418">
        <v>-227.36250000000001</v>
      </c>
      <c r="E418" s="1">
        <v>35683</v>
      </c>
    </row>
    <row r="419" spans="1:5" x14ac:dyDescent="0.2">
      <c r="A419">
        <v>10665</v>
      </c>
      <c r="B419">
        <v>1295</v>
      </c>
      <c r="C419">
        <v>1295</v>
      </c>
      <c r="D419">
        <v>0</v>
      </c>
      <c r="E419" s="1">
        <v>35684</v>
      </c>
    </row>
    <row r="420" spans="1:5" x14ac:dyDescent="0.2">
      <c r="A420">
        <v>10666</v>
      </c>
      <c r="B420">
        <v>4666.9400000000005</v>
      </c>
      <c r="C420">
        <v>4666.9400000000005</v>
      </c>
      <c r="D420">
        <v>0</v>
      </c>
      <c r="E420" s="1">
        <v>35685</v>
      </c>
    </row>
    <row r="421" spans="1:5" x14ac:dyDescent="0.2">
      <c r="A421">
        <v>10667</v>
      </c>
      <c r="B421">
        <v>1536.8</v>
      </c>
      <c r="C421">
        <v>1921</v>
      </c>
      <c r="D421">
        <v>-384.2</v>
      </c>
      <c r="E421" s="1">
        <v>35685</v>
      </c>
    </row>
    <row r="422" spans="1:5" x14ac:dyDescent="0.2">
      <c r="A422">
        <v>10668</v>
      </c>
      <c r="B422">
        <v>625.27499999999998</v>
      </c>
      <c r="C422">
        <v>694.75</v>
      </c>
      <c r="D422">
        <v>-69.474999999999994</v>
      </c>
      <c r="E422" s="1">
        <v>35688</v>
      </c>
    </row>
    <row r="423" spans="1:5" x14ac:dyDescent="0.2">
      <c r="A423">
        <v>10669</v>
      </c>
      <c r="B423">
        <v>570</v>
      </c>
      <c r="C423">
        <v>570</v>
      </c>
      <c r="D423">
        <v>0</v>
      </c>
      <c r="E423" s="1">
        <v>35688</v>
      </c>
    </row>
    <row r="424" spans="1:5" x14ac:dyDescent="0.2">
      <c r="A424">
        <v>10670</v>
      </c>
      <c r="B424">
        <v>2301.75</v>
      </c>
      <c r="C424">
        <v>2301.75</v>
      </c>
      <c r="D424">
        <v>0</v>
      </c>
      <c r="E424" s="1">
        <v>35689</v>
      </c>
    </row>
    <row r="425" spans="1:5" x14ac:dyDescent="0.2">
      <c r="A425">
        <v>10671</v>
      </c>
      <c r="B425">
        <v>920.1</v>
      </c>
      <c r="C425">
        <v>920.1</v>
      </c>
      <c r="D425">
        <v>0</v>
      </c>
      <c r="E425" s="1">
        <v>35690</v>
      </c>
    </row>
    <row r="426" spans="1:5" x14ac:dyDescent="0.2">
      <c r="A426">
        <v>10672</v>
      </c>
      <c r="B426">
        <v>3815.25</v>
      </c>
      <c r="C426">
        <v>4210.5</v>
      </c>
      <c r="D426">
        <v>-395.25</v>
      </c>
      <c r="E426" s="1">
        <v>35690</v>
      </c>
    </row>
    <row r="427" spans="1:5" x14ac:dyDescent="0.2">
      <c r="A427">
        <v>10673</v>
      </c>
      <c r="B427">
        <v>412.35</v>
      </c>
      <c r="C427">
        <v>412.35</v>
      </c>
      <c r="D427">
        <v>0</v>
      </c>
      <c r="E427" s="1">
        <v>35691</v>
      </c>
    </row>
    <row r="428" spans="1:5" x14ac:dyDescent="0.2">
      <c r="A428">
        <v>10674</v>
      </c>
      <c r="B428">
        <v>45</v>
      </c>
      <c r="C428">
        <v>45</v>
      </c>
      <c r="D428">
        <v>0</v>
      </c>
      <c r="E428" s="1">
        <v>35691</v>
      </c>
    </row>
    <row r="429" spans="1:5" x14ac:dyDescent="0.2">
      <c r="A429">
        <v>10675</v>
      </c>
      <c r="B429">
        <v>1423</v>
      </c>
      <c r="C429">
        <v>1423</v>
      </c>
      <c r="D429">
        <v>0</v>
      </c>
      <c r="E429" s="1">
        <v>35692</v>
      </c>
    </row>
    <row r="430" spans="1:5" x14ac:dyDescent="0.2">
      <c r="A430">
        <v>10676</v>
      </c>
      <c r="B430">
        <v>534.85</v>
      </c>
      <c r="C430">
        <v>534.85</v>
      </c>
      <c r="D430">
        <v>0</v>
      </c>
      <c r="E430" s="1">
        <v>35695</v>
      </c>
    </row>
    <row r="431" spans="1:5" x14ac:dyDescent="0.2">
      <c r="A431">
        <v>10677</v>
      </c>
      <c r="B431">
        <v>813.36500000000001</v>
      </c>
      <c r="C431">
        <v>956.9</v>
      </c>
      <c r="D431">
        <v>-143.53499999999997</v>
      </c>
      <c r="E431" s="1">
        <v>35695</v>
      </c>
    </row>
    <row r="432" spans="1:5" x14ac:dyDescent="0.2">
      <c r="A432">
        <v>10678</v>
      </c>
      <c r="B432">
        <v>5256.5</v>
      </c>
      <c r="C432">
        <v>5256.5</v>
      </c>
      <c r="D432">
        <v>0</v>
      </c>
      <c r="E432" s="1">
        <v>35696</v>
      </c>
    </row>
    <row r="433" spans="1:5" x14ac:dyDescent="0.2">
      <c r="A433">
        <v>10679</v>
      </c>
      <c r="B433">
        <v>660</v>
      </c>
      <c r="C433">
        <v>660</v>
      </c>
      <c r="D433">
        <v>0</v>
      </c>
      <c r="E433" s="1">
        <v>35696</v>
      </c>
    </row>
    <row r="434" spans="1:5" x14ac:dyDescent="0.2">
      <c r="A434">
        <v>10680</v>
      </c>
      <c r="B434">
        <v>1261.875</v>
      </c>
      <c r="C434">
        <v>1682.5</v>
      </c>
      <c r="D434">
        <v>-420.625</v>
      </c>
      <c r="E434" s="1">
        <v>35697</v>
      </c>
    </row>
    <row r="435" spans="1:5" x14ac:dyDescent="0.2">
      <c r="A435">
        <v>10681</v>
      </c>
      <c r="B435">
        <v>1287.4000000000001</v>
      </c>
      <c r="C435">
        <v>1327</v>
      </c>
      <c r="D435">
        <v>-39.599999999999994</v>
      </c>
      <c r="E435" s="1">
        <v>35698</v>
      </c>
    </row>
    <row r="436" spans="1:5" x14ac:dyDescent="0.2">
      <c r="A436">
        <v>10682</v>
      </c>
      <c r="B436">
        <v>375.5</v>
      </c>
      <c r="C436">
        <v>375.5</v>
      </c>
      <c r="D436">
        <v>0</v>
      </c>
      <c r="E436" s="1">
        <v>35698</v>
      </c>
    </row>
    <row r="437" spans="1:5" x14ac:dyDescent="0.2">
      <c r="A437">
        <v>10683</v>
      </c>
      <c r="B437">
        <v>63</v>
      </c>
      <c r="C437">
        <v>63</v>
      </c>
      <c r="D437">
        <v>0</v>
      </c>
      <c r="E437" s="1">
        <v>35699</v>
      </c>
    </row>
    <row r="438" spans="1:5" x14ac:dyDescent="0.2">
      <c r="A438">
        <v>10684</v>
      </c>
      <c r="B438">
        <v>1768</v>
      </c>
      <c r="C438">
        <v>1768</v>
      </c>
      <c r="D438">
        <v>0</v>
      </c>
      <c r="E438" s="1">
        <v>35699</v>
      </c>
    </row>
    <row r="439" spans="1:5" x14ac:dyDescent="0.2">
      <c r="A439">
        <v>10685</v>
      </c>
      <c r="B439">
        <v>801.1</v>
      </c>
      <c r="C439">
        <v>801.1</v>
      </c>
      <c r="D439">
        <v>0</v>
      </c>
      <c r="E439" s="1">
        <v>35702</v>
      </c>
    </row>
    <row r="440" spans="1:5" x14ac:dyDescent="0.2">
      <c r="A440">
        <v>10686</v>
      </c>
      <c r="B440">
        <v>1404.45</v>
      </c>
      <c r="C440">
        <v>1638.45</v>
      </c>
      <c r="D440">
        <v>-234</v>
      </c>
      <c r="E440" s="1">
        <v>35703</v>
      </c>
    </row>
    <row r="441" spans="1:5" x14ac:dyDescent="0.2">
      <c r="A441">
        <v>10687</v>
      </c>
      <c r="B441">
        <v>4960.8999999999996</v>
      </c>
      <c r="C441">
        <v>6201.9</v>
      </c>
      <c r="D441">
        <v>-1241</v>
      </c>
      <c r="E441" s="1">
        <v>35703</v>
      </c>
    </row>
    <row r="442" spans="1:5" x14ac:dyDescent="0.2">
      <c r="A442">
        <v>10688</v>
      </c>
      <c r="B442">
        <v>3160.6</v>
      </c>
      <c r="C442">
        <v>3490</v>
      </c>
      <c r="D442">
        <v>-329.39999999999992</v>
      </c>
      <c r="E442" s="1">
        <v>35704</v>
      </c>
    </row>
    <row r="443" spans="1:5" x14ac:dyDescent="0.2">
      <c r="A443">
        <v>10689</v>
      </c>
      <c r="B443">
        <v>472.5</v>
      </c>
      <c r="C443">
        <v>630</v>
      </c>
      <c r="D443">
        <v>-157.5</v>
      </c>
      <c r="E443" s="1">
        <v>35704</v>
      </c>
    </row>
    <row r="444" spans="1:5" x14ac:dyDescent="0.2">
      <c r="A444">
        <v>10690</v>
      </c>
      <c r="B444">
        <v>862.5</v>
      </c>
      <c r="C444">
        <v>1150</v>
      </c>
      <c r="D444">
        <v>-287.5</v>
      </c>
      <c r="E444" s="1">
        <v>35705</v>
      </c>
    </row>
    <row r="445" spans="1:5" x14ac:dyDescent="0.2">
      <c r="A445">
        <v>10691</v>
      </c>
      <c r="B445">
        <v>10164.799999999999</v>
      </c>
      <c r="C445">
        <v>10164.799999999999</v>
      </c>
      <c r="D445">
        <v>0</v>
      </c>
      <c r="E445" s="1">
        <v>35706</v>
      </c>
    </row>
    <row r="446" spans="1:5" x14ac:dyDescent="0.2">
      <c r="A446">
        <v>10692</v>
      </c>
      <c r="B446">
        <v>878</v>
      </c>
      <c r="C446">
        <v>878</v>
      </c>
      <c r="D446">
        <v>0</v>
      </c>
      <c r="E446" s="1">
        <v>35706</v>
      </c>
    </row>
    <row r="447" spans="1:5" x14ac:dyDescent="0.2">
      <c r="A447">
        <v>10693</v>
      </c>
      <c r="B447">
        <v>2071.1999999999998</v>
      </c>
      <c r="C447">
        <v>2334</v>
      </c>
      <c r="D447">
        <v>-262.8</v>
      </c>
      <c r="E447" s="1">
        <v>35709</v>
      </c>
    </row>
    <row r="448" spans="1:5" x14ac:dyDescent="0.2">
      <c r="A448">
        <v>10694</v>
      </c>
      <c r="B448">
        <v>4825</v>
      </c>
      <c r="C448">
        <v>4825</v>
      </c>
      <c r="D448">
        <v>0</v>
      </c>
      <c r="E448" s="1">
        <v>35709</v>
      </c>
    </row>
    <row r="449" spans="1:5" x14ac:dyDescent="0.2">
      <c r="A449">
        <v>10695</v>
      </c>
      <c r="B449">
        <v>642</v>
      </c>
      <c r="C449">
        <v>642</v>
      </c>
      <c r="D449">
        <v>0</v>
      </c>
      <c r="E449" s="1">
        <v>35710</v>
      </c>
    </row>
    <row r="450" spans="1:5" x14ac:dyDescent="0.2">
      <c r="A450">
        <v>10696</v>
      </c>
      <c r="B450">
        <v>996</v>
      </c>
      <c r="C450">
        <v>996</v>
      </c>
      <c r="D450">
        <v>0</v>
      </c>
      <c r="E450" s="1">
        <v>35711</v>
      </c>
    </row>
    <row r="451" spans="1:5" x14ac:dyDescent="0.2">
      <c r="A451">
        <v>10697</v>
      </c>
      <c r="B451">
        <v>805.42499999999995</v>
      </c>
      <c r="C451">
        <v>1073.9000000000001</v>
      </c>
      <c r="D451">
        <v>-268.47500000000002</v>
      </c>
      <c r="E451" s="1">
        <v>35711</v>
      </c>
    </row>
    <row r="452" spans="1:5" x14ac:dyDescent="0.2">
      <c r="A452">
        <v>10698</v>
      </c>
      <c r="B452">
        <v>3436.4435000000003</v>
      </c>
      <c r="C452">
        <v>3600.73</v>
      </c>
      <c r="D452">
        <v>-164.28649999999982</v>
      </c>
      <c r="E452" s="1">
        <v>35712</v>
      </c>
    </row>
    <row r="453" spans="1:5" x14ac:dyDescent="0.2">
      <c r="A453">
        <v>10699</v>
      </c>
      <c r="B453">
        <v>114</v>
      </c>
      <c r="C453">
        <v>114</v>
      </c>
      <c r="D453">
        <v>0</v>
      </c>
      <c r="E453" s="1">
        <v>35712</v>
      </c>
    </row>
    <row r="454" spans="1:5" x14ac:dyDescent="0.2">
      <c r="A454">
        <v>10700</v>
      </c>
      <c r="B454">
        <v>1638.4</v>
      </c>
      <c r="C454">
        <v>2048</v>
      </c>
      <c r="D454">
        <v>-409.6</v>
      </c>
      <c r="E454" s="1">
        <v>35713</v>
      </c>
    </row>
    <row r="455" spans="1:5" x14ac:dyDescent="0.2">
      <c r="A455">
        <v>10701</v>
      </c>
      <c r="B455">
        <v>2864.5</v>
      </c>
      <c r="C455">
        <v>3370</v>
      </c>
      <c r="D455">
        <v>-505.5</v>
      </c>
      <c r="E455" s="1">
        <v>35716</v>
      </c>
    </row>
    <row r="456" spans="1:5" x14ac:dyDescent="0.2">
      <c r="A456">
        <v>10702</v>
      </c>
      <c r="B456">
        <v>330</v>
      </c>
      <c r="C456">
        <v>330</v>
      </c>
      <c r="D456">
        <v>0</v>
      </c>
      <c r="E456" s="1">
        <v>35716</v>
      </c>
    </row>
    <row r="457" spans="1:5" x14ac:dyDescent="0.2">
      <c r="A457">
        <v>10703</v>
      </c>
      <c r="B457">
        <v>2545</v>
      </c>
      <c r="C457">
        <v>2545</v>
      </c>
      <c r="D457">
        <v>0</v>
      </c>
      <c r="E457" s="1">
        <v>35717</v>
      </c>
    </row>
    <row r="458" spans="1:5" x14ac:dyDescent="0.2">
      <c r="A458">
        <v>10704</v>
      </c>
      <c r="B458">
        <v>595.5</v>
      </c>
      <c r="C458">
        <v>595.5</v>
      </c>
      <c r="D458">
        <v>0</v>
      </c>
      <c r="E458" s="1">
        <v>35717</v>
      </c>
    </row>
    <row r="459" spans="1:5" x14ac:dyDescent="0.2">
      <c r="A459">
        <v>10705</v>
      </c>
      <c r="B459">
        <v>378</v>
      </c>
      <c r="C459">
        <v>378</v>
      </c>
      <c r="D459">
        <v>0</v>
      </c>
      <c r="E459" s="1">
        <v>35718</v>
      </c>
    </row>
    <row r="460" spans="1:5" x14ac:dyDescent="0.2">
      <c r="A460">
        <v>10706</v>
      </c>
      <c r="B460">
        <v>1893</v>
      </c>
      <c r="C460">
        <v>1893</v>
      </c>
      <c r="D460">
        <v>0</v>
      </c>
      <c r="E460" s="1">
        <v>35719</v>
      </c>
    </row>
    <row r="461" spans="1:5" x14ac:dyDescent="0.2">
      <c r="A461">
        <v>10707</v>
      </c>
      <c r="B461">
        <v>1641</v>
      </c>
      <c r="C461">
        <v>1704</v>
      </c>
      <c r="D461">
        <v>-63</v>
      </c>
      <c r="E461" s="1">
        <v>35719</v>
      </c>
    </row>
    <row r="462" spans="1:5" x14ac:dyDescent="0.2">
      <c r="A462">
        <v>10708</v>
      </c>
      <c r="B462">
        <v>180.4</v>
      </c>
      <c r="C462">
        <v>180.4</v>
      </c>
      <c r="D462">
        <v>0</v>
      </c>
      <c r="E462" s="1">
        <v>35720</v>
      </c>
    </row>
    <row r="463" spans="1:5" x14ac:dyDescent="0.2">
      <c r="A463">
        <v>10709</v>
      </c>
      <c r="B463">
        <v>3424</v>
      </c>
      <c r="C463">
        <v>3424</v>
      </c>
      <c r="D463">
        <v>0</v>
      </c>
      <c r="E463" s="1">
        <v>35720</v>
      </c>
    </row>
    <row r="464" spans="1:5" x14ac:dyDescent="0.2">
      <c r="A464">
        <v>10710</v>
      </c>
      <c r="B464">
        <v>93.5</v>
      </c>
      <c r="C464">
        <v>93.5</v>
      </c>
      <c r="D464">
        <v>0</v>
      </c>
      <c r="E464" s="1">
        <v>35723</v>
      </c>
    </row>
    <row r="465" spans="1:5" x14ac:dyDescent="0.2">
      <c r="A465">
        <v>10711</v>
      </c>
      <c r="B465">
        <v>4451.7</v>
      </c>
      <c r="C465">
        <v>4451.7</v>
      </c>
      <c r="D465">
        <v>0</v>
      </c>
      <c r="E465" s="1">
        <v>35724</v>
      </c>
    </row>
    <row r="466" spans="1:5" x14ac:dyDescent="0.2">
      <c r="A466">
        <v>10712</v>
      </c>
      <c r="B466">
        <v>1233.48</v>
      </c>
      <c r="C466">
        <v>1238.4000000000001</v>
      </c>
      <c r="D466">
        <v>-4.9200000000000017</v>
      </c>
      <c r="E466" s="1">
        <v>35724</v>
      </c>
    </row>
    <row r="467" spans="1:5" x14ac:dyDescent="0.2">
      <c r="A467">
        <v>10713</v>
      </c>
      <c r="B467">
        <v>2827.9</v>
      </c>
      <c r="C467">
        <v>2827.9</v>
      </c>
      <c r="D467">
        <v>0</v>
      </c>
      <c r="E467" s="1">
        <v>35725</v>
      </c>
    </row>
    <row r="468" spans="1:5" x14ac:dyDescent="0.2">
      <c r="A468">
        <v>10714</v>
      </c>
      <c r="B468">
        <v>2205.75</v>
      </c>
      <c r="C468">
        <v>2941</v>
      </c>
      <c r="D468">
        <v>-735.25</v>
      </c>
      <c r="E468" s="1">
        <v>35725</v>
      </c>
    </row>
    <row r="469" spans="1:5" x14ac:dyDescent="0.2">
      <c r="A469">
        <v>10715</v>
      </c>
      <c r="B469">
        <v>1296</v>
      </c>
      <c r="C469">
        <v>1296</v>
      </c>
      <c r="D469">
        <v>0</v>
      </c>
      <c r="E469" s="1">
        <v>35726</v>
      </c>
    </row>
    <row r="470" spans="1:5" x14ac:dyDescent="0.2">
      <c r="A470">
        <v>10716</v>
      </c>
      <c r="B470">
        <v>706</v>
      </c>
      <c r="C470">
        <v>706</v>
      </c>
      <c r="D470">
        <v>0</v>
      </c>
      <c r="E470" s="1">
        <v>35727</v>
      </c>
    </row>
    <row r="471" spans="1:5" x14ac:dyDescent="0.2">
      <c r="A471">
        <v>10717</v>
      </c>
      <c r="B471">
        <v>1270.75</v>
      </c>
      <c r="C471">
        <v>1331.75</v>
      </c>
      <c r="D471">
        <v>-61</v>
      </c>
      <c r="E471" s="1">
        <v>35727</v>
      </c>
    </row>
    <row r="472" spans="1:5" x14ac:dyDescent="0.2">
      <c r="A472">
        <v>10718</v>
      </c>
      <c r="B472">
        <v>3463</v>
      </c>
      <c r="C472">
        <v>3463</v>
      </c>
      <c r="D472">
        <v>0</v>
      </c>
      <c r="E472" s="1">
        <v>35730</v>
      </c>
    </row>
    <row r="473" spans="1:5" x14ac:dyDescent="0.2">
      <c r="A473">
        <v>10719</v>
      </c>
      <c r="B473">
        <v>844.25250000000005</v>
      </c>
      <c r="C473">
        <v>1125.67</v>
      </c>
      <c r="D473">
        <v>-281.41750000000002</v>
      </c>
      <c r="E473" s="1">
        <v>35730</v>
      </c>
    </row>
    <row r="474" spans="1:5" x14ac:dyDescent="0.2">
      <c r="A474">
        <v>10720</v>
      </c>
      <c r="B474">
        <v>550</v>
      </c>
      <c r="C474">
        <v>550</v>
      </c>
      <c r="D474">
        <v>0</v>
      </c>
      <c r="E474" s="1">
        <v>35731</v>
      </c>
    </row>
    <row r="475" spans="1:5" x14ac:dyDescent="0.2">
      <c r="A475">
        <v>10721</v>
      </c>
      <c r="B475">
        <v>923.875</v>
      </c>
      <c r="C475">
        <v>972.5</v>
      </c>
      <c r="D475">
        <v>-48.625</v>
      </c>
      <c r="E475" s="1">
        <v>35732</v>
      </c>
    </row>
    <row r="476" spans="1:5" x14ac:dyDescent="0.2">
      <c r="A476">
        <v>10722</v>
      </c>
      <c r="B476">
        <v>1570</v>
      </c>
      <c r="C476">
        <v>1570</v>
      </c>
      <c r="D476">
        <v>0</v>
      </c>
      <c r="E476" s="1">
        <v>35732</v>
      </c>
    </row>
    <row r="477" spans="1:5" x14ac:dyDescent="0.2">
      <c r="A477">
        <v>10723</v>
      </c>
      <c r="B477">
        <v>468.45</v>
      </c>
      <c r="C477">
        <v>468.45</v>
      </c>
      <c r="D477">
        <v>0</v>
      </c>
      <c r="E477" s="1">
        <v>35733</v>
      </c>
    </row>
    <row r="478" spans="1:5" x14ac:dyDescent="0.2">
      <c r="A478">
        <v>10724</v>
      </c>
      <c r="B478">
        <v>638.5</v>
      </c>
      <c r="C478">
        <v>638.5</v>
      </c>
      <c r="D478">
        <v>0</v>
      </c>
      <c r="E478" s="1">
        <v>35733</v>
      </c>
    </row>
    <row r="479" spans="1:5" x14ac:dyDescent="0.2">
      <c r="A479">
        <v>10725</v>
      </c>
      <c r="B479">
        <v>287.8</v>
      </c>
      <c r="C479">
        <v>287.8</v>
      </c>
      <c r="D479">
        <v>0</v>
      </c>
      <c r="E479" s="1">
        <v>35734</v>
      </c>
    </row>
    <row r="480" spans="1:5" x14ac:dyDescent="0.2">
      <c r="A480">
        <v>10726</v>
      </c>
      <c r="B480">
        <v>655</v>
      </c>
      <c r="C480">
        <v>655</v>
      </c>
      <c r="D480">
        <v>0</v>
      </c>
      <c r="E480" s="1">
        <v>35737</v>
      </c>
    </row>
    <row r="481" spans="1:5" x14ac:dyDescent="0.2">
      <c r="A481">
        <v>10727</v>
      </c>
      <c r="B481">
        <v>1624.5</v>
      </c>
      <c r="C481">
        <v>1710</v>
      </c>
      <c r="D481">
        <v>-85.5</v>
      </c>
      <c r="E481" s="1">
        <v>35737</v>
      </c>
    </row>
    <row r="482" spans="1:5" x14ac:dyDescent="0.2">
      <c r="A482">
        <v>10728</v>
      </c>
      <c r="B482">
        <v>1296.75</v>
      </c>
      <c r="C482">
        <v>1296.75</v>
      </c>
      <c r="D482">
        <v>0</v>
      </c>
      <c r="E482" s="1">
        <v>35738</v>
      </c>
    </row>
    <row r="483" spans="1:5" x14ac:dyDescent="0.2">
      <c r="A483">
        <v>10729</v>
      </c>
      <c r="B483">
        <v>1850</v>
      </c>
      <c r="C483">
        <v>1850</v>
      </c>
      <c r="D483">
        <v>0</v>
      </c>
      <c r="E483" s="1">
        <v>35738</v>
      </c>
    </row>
    <row r="484" spans="1:5" x14ac:dyDescent="0.2">
      <c r="A484">
        <v>10730</v>
      </c>
      <c r="B484">
        <v>484.26250000000005</v>
      </c>
      <c r="C484">
        <v>509.75</v>
      </c>
      <c r="D484">
        <v>-25.487500000000011</v>
      </c>
      <c r="E484" s="1">
        <v>35739</v>
      </c>
    </row>
    <row r="485" spans="1:5" x14ac:dyDescent="0.2">
      <c r="A485">
        <v>10731</v>
      </c>
      <c r="B485">
        <v>1890.5</v>
      </c>
      <c r="C485">
        <v>1990</v>
      </c>
      <c r="D485">
        <v>-99.5</v>
      </c>
      <c r="E485" s="1">
        <v>35740</v>
      </c>
    </row>
    <row r="486" spans="1:5" x14ac:dyDescent="0.2">
      <c r="A486">
        <v>10732</v>
      </c>
      <c r="B486">
        <v>360</v>
      </c>
      <c r="C486">
        <v>360</v>
      </c>
      <c r="D486">
        <v>0</v>
      </c>
      <c r="E486" s="1">
        <v>35740</v>
      </c>
    </row>
    <row r="487" spans="1:5" x14ac:dyDescent="0.2">
      <c r="A487">
        <v>10733</v>
      </c>
      <c r="B487">
        <v>1459</v>
      </c>
      <c r="C487">
        <v>1459</v>
      </c>
      <c r="D487">
        <v>0</v>
      </c>
      <c r="E487" s="1">
        <v>35741</v>
      </c>
    </row>
    <row r="488" spans="1:5" x14ac:dyDescent="0.2">
      <c r="A488">
        <v>10734</v>
      </c>
      <c r="B488">
        <v>1498.35</v>
      </c>
      <c r="C488">
        <v>1498.35</v>
      </c>
      <c r="D488">
        <v>0</v>
      </c>
      <c r="E488" s="1">
        <v>35741</v>
      </c>
    </row>
    <row r="489" spans="1:5" x14ac:dyDescent="0.2">
      <c r="A489">
        <v>10735</v>
      </c>
      <c r="B489">
        <v>536.4</v>
      </c>
      <c r="C489">
        <v>596</v>
      </c>
      <c r="D489">
        <v>-59.6</v>
      </c>
      <c r="E489" s="1">
        <v>35744</v>
      </c>
    </row>
    <row r="490" spans="1:5" x14ac:dyDescent="0.2">
      <c r="A490">
        <v>10736</v>
      </c>
      <c r="B490">
        <v>997</v>
      </c>
      <c r="C490">
        <v>997</v>
      </c>
      <c r="D490">
        <v>0</v>
      </c>
      <c r="E490" s="1">
        <v>35745</v>
      </c>
    </row>
    <row r="491" spans="1:5" x14ac:dyDescent="0.2">
      <c r="A491">
        <v>10737</v>
      </c>
      <c r="B491">
        <v>139.80000000000001</v>
      </c>
      <c r="C491">
        <v>139.80000000000001</v>
      </c>
      <c r="D491">
        <v>0</v>
      </c>
      <c r="E491" s="1">
        <v>35745</v>
      </c>
    </row>
    <row r="492" spans="1:5" x14ac:dyDescent="0.2">
      <c r="A492">
        <v>10738</v>
      </c>
      <c r="B492">
        <v>52.349999999999994</v>
      </c>
      <c r="C492">
        <v>52.349999999999994</v>
      </c>
      <c r="D492">
        <v>0</v>
      </c>
      <c r="E492" s="1">
        <v>35746</v>
      </c>
    </row>
    <row r="493" spans="1:5" x14ac:dyDescent="0.2">
      <c r="A493">
        <v>10739</v>
      </c>
      <c r="B493">
        <v>240</v>
      </c>
      <c r="C493">
        <v>240</v>
      </c>
      <c r="D493">
        <v>0</v>
      </c>
      <c r="E493" s="1">
        <v>35746</v>
      </c>
    </row>
    <row r="494" spans="1:5" x14ac:dyDescent="0.2">
      <c r="A494">
        <v>10740</v>
      </c>
      <c r="B494">
        <v>1416</v>
      </c>
      <c r="C494">
        <v>1770</v>
      </c>
      <c r="D494">
        <v>-354</v>
      </c>
      <c r="E494" s="1">
        <v>35747</v>
      </c>
    </row>
    <row r="495" spans="1:5" x14ac:dyDescent="0.2">
      <c r="A495">
        <v>10741</v>
      </c>
      <c r="B495">
        <v>228</v>
      </c>
      <c r="C495">
        <v>285</v>
      </c>
      <c r="D495">
        <v>-57</v>
      </c>
      <c r="E495" s="1">
        <v>35748</v>
      </c>
    </row>
    <row r="496" spans="1:5" x14ac:dyDescent="0.2">
      <c r="A496">
        <v>10742</v>
      </c>
      <c r="B496">
        <v>3118</v>
      </c>
      <c r="C496">
        <v>3118</v>
      </c>
      <c r="D496">
        <v>0</v>
      </c>
      <c r="E496" s="1">
        <v>35748</v>
      </c>
    </row>
    <row r="497" spans="1:5" x14ac:dyDescent="0.2">
      <c r="A497">
        <v>10743</v>
      </c>
      <c r="B497">
        <v>319.2</v>
      </c>
      <c r="C497">
        <v>336</v>
      </c>
      <c r="D497">
        <v>-16.800000000000011</v>
      </c>
      <c r="E497" s="1">
        <v>35751</v>
      </c>
    </row>
    <row r="498" spans="1:5" x14ac:dyDescent="0.2">
      <c r="A498">
        <v>10744</v>
      </c>
      <c r="B498">
        <v>735.99999999999989</v>
      </c>
      <c r="C498">
        <v>919.99999999999989</v>
      </c>
      <c r="D498">
        <v>-184</v>
      </c>
      <c r="E498" s="1">
        <v>35751</v>
      </c>
    </row>
    <row r="499" spans="1:5" x14ac:dyDescent="0.2">
      <c r="A499">
        <v>10745</v>
      </c>
      <c r="B499">
        <v>4529.8</v>
      </c>
      <c r="C499">
        <v>4529.8</v>
      </c>
      <c r="D499">
        <v>0</v>
      </c>
      <c r="E499" s="1">
        <v>35752</v>
      </c>
    </row>
    <row r="500" spans="1:5" x14ac:dyDescent="0.2">
      <c r="A500">
        <v>10746</v>
      </c>
      <c r="B500">
        <v>2311.6999999999998</v>
      </c>
      <c r="C500">
        <v>2311.6999999999998</v>
      </c>
      <c r="D500">
        <v>0</v>
      </c>
      <c r="E500" s="1">
        <v>35753</v>
      </c>
    </row>
    <row r="501" spans="1:5" x14ac:dyDescent="0.2">
      <c r="A501">
        <v>10747</v>
      </c>
      <c r="B501">
        <v>1912.85</v>
      </c>
      <c r="C501">
        <v>1912.85</v>
      </c>
      <c r="D501">
        <v>0</v>
      </c>
      <c r="E501" s="1">
        <v>35753</v>
      </c>
    </row>
    <row r="502" spans="1:5" x14ac:dyDescent="0.2">
      <c r="A502">
        <v>10748</v>
      </c>
      <c r="B502">
        <v>2196</v>
      </c>
      <c r="C502">
        <v>2196</v>
      </c>
      <c r="D502">
        <v>0</v>
      </c>
      <c r="E502" s="1">
        <v>35754</v>
      </c>
    </row>
    <row r="503" spans="1:5" x14ac:dyDescent="0.2">
      <c r="A503">
        <v>10749</v>
      </c>
      <c r="B503">
        <v>1080</v>
      </c>
      <c r="C503">
        <v>1080</v>
      </c>
      <c r="D503">
        <v>0</v>
      </c>
      <c r="E503" s="1">
        <v>35754</v>
      </c>
    </row>
    <row r="504" spans="1:5" x14ac:dyDescent="0.2">
      <c r="A504">
        <v>10750</v>
      </c>
      <c r="B504">
        <v>1590.5625</v>
      </c>
      <c r="C504">
        <v>1871.25</v>
      </c>
      <c r="D504">
        <v>-280.6875</v>
      </c>
      <c r="E504" s="1">
        <v>35755</v>
      </c>
    </row>
    <row r="505" spans="1:5" x14ac:dyDescent="0.2">
      <c r="A505">
        <v>10751</v>
      </c>
      <c r="B505">
        <v>1631.4839999999999</v>
      </c>
      <c r="C505">
        <v>1701.46</v>
      </c>
      <c r="D505">
        <v>-69.975999999999999</v>
      </c>
      <c r="E505" s="1">
        <v>35758</v>
      </c>
    </row>
    <row r="506" spans="1:5" x14ac:dyDescent="0.2">
      <c r="A506">
        <v>10752</v>
      </c>
      <c r="B506">
        <v>252</v>
      </c>
      <c r="C506">
        <v>252</v>
      </c>
      <c r="D506">
        <v>0</v>
      </c>
      <c r="E506" s="1">
        <v>35758</v>
      </c>
    </row>
    <row r="507" spans="1:5" x14ac:dyDescent="0.2">
      <c r="A507">
        <v>10753</v>
      </c>
      <c r="B507">
        <v>88</v>
      </c>
      <c r="C507">
        <v>88</v>
      </c>
      <c r="D507">
        <v>0</v>
      </c>
      <c r="E507" s="1">
        <v>35759</v>
      </c>
    </row>
    <row r="508" spans="1:5" x14ac:dyDescent="0.2">
      <c r="A508">
        <v>10754</v>
      </c>
      <c r="B508">
        <v>55.199999999999996</v>
      </c>
      <c r="C508">
        <v>55.199999999999996</v>
      </c>
      <c r="D508">
        <v>0</v>
      </c>
      <c r="E508" s="1">
        <v>35759</v>
      </c>
    </row>
    <row r="509" spans="1:5" x14ac:dyDescent="0.2">
      <c r="A509">
        <v>10755</v>
      </c>
      <c r="B509">
        <v>1948.5</v>
      </c>
      <c r="C509">
        <v>2598</v>
      </c>
      <c r="D509">
        <v>-649.5</v>
      </c>
      <c r="E509" s="1">
        <v>35760</v>
      </c>
    </row>
    <row r="510" spans="1:5" x14ac:dyDescent="0.2">
      <c r="A510">
        <v>10756</v>
      </c>
      <c r="B510">
        <v>1990</v>
      </c>
      <c r="C510">
        <v>2487.5</v>
      </c>
      <c r="D510">
        <v>-497.5</v>
      </c>
      <c r="E510" s="1">
        <v>35761</v>
      </c>
    </row>
    <row r="511" spans="1:5" x14ac:dyDescent="0.2">
      <c r="A511">
        <v>10757</v>
      </c>
      <c r="B511">
        <v>3082</v>
      </c>
      <c r="C511">
        <v>3082</v>
      </c>
      <c r="D511">
        <v>0</v>
      </c>
      <c r="E511" s="1">
        <v>35761</v>
      </c>
    </row>
    <row r="512" spans="1:5" x14ac:dyDescent="0.2">
      <c r="A512">
        <v>10758</v>
      </c>
      <c r="B512">
        <v>1644.6</v>
      </c>
      <c r="C512">
        <v>1644.6</v>
      </c>
      <c r="D512">
        <v>0</v>
      </c>
      <c r="E512" s="1">
        <v>35762</v>
      </c>
    </row>
    <row r="513" spans="1:5" x14ac:dyDescent="0.2">
      <c r="A513">
        <v>10759</v>
      </c>
      <c r="B513">
        <v>320</v>
      </c>
      <c r="C513">
        <v>320</v>
      </c>
      <c r="D513">
        <v>0</v>
      </c>
      <c r="E513" s="1">
        <v>35762</v>
      </c>
    </row>
    <row r="514" spans="1:5" x14ac:dyDescent="0.2">
      <c r="A514">
        <v>10760</v>
      </c>
      <c r="B514">
        <v>2917</v>
      </c>
      <c r="C514">
        <v>3304</v>
      </c>
      <c r="D514">
        <v>-387</v>
      </c>
      <c r="E514" s="1">
        <v>35765</v>
      </c>
    </row>
    <row r="515" spans="1:5" x14ac:dyDescent="0.2">
      <c r="A515">
        <v>10761</v>
      </c>
      <c r="B515">
        <v>507</v>
      </c>
      <c r="C515">
        <v>629.5</v>
      </c>
      <c r="D515">
        <v>-122.5</v>
      </c>
      <c r="E515" s="1">
        <v>35766</v>
      </c>
    </row>
    <row r="516" spans="1:5" x14ac:dyDescent="0.2">
      <c r="A516">
        <v>10762</v>
      </c>
      <c r="B516">
        <v>4337</v>
      </c>
      <c r="C516">
        <v>4337</v>
      </c>
      <c r="D516">
        <v>0</v>
      </c>
      <c r="E516" s="1">
        <v>35766</v>
      </c>
    </row>
    <row r="517" spans="1:5" x14ac:dyDescent="0.2">
      <c r="A517">
        <v>10763</v>
      </c>
      <c r="B517">
        <v>616</v>
      </c>
      <c r="C517">
        <v>616</v>
      </c>
      <c r="D517">
        <v>0</v>
      </c>
      <c r="E517" s="1">
        <v>35767</v>
      </c>
    </row>
    <row r="518" spans="1:5" x14ac:dyDescent="0.2">
      <c r="A518">
        <v>10764</v>
      </c>
      <c r="B518">
        <v>2286</v>
      </c>
      <c r="C518">
        <v>2540</v>
      </c>
      <c r="D518">
        <v>-254</v>
      </c>
      <c r="E518" s="1">
        <v>35767</v>
      </c>
    </row>
    <row r="519" spans="1:5" x14ac:dyDescent="0.2">
      <c r="A519">
        <v>10765</v>
      </c>
      <c r="B519">
        <v>1515.6</v>
      </c>
      <c r="C519">
        <v>1684</v>
      </c>
      <c r="D519">
        <v>-168.40000000000009</v>
      </c>
      <c r="E519" s="1">
        <v>35768</v>
      </c>
    </row>
    <row r="520" spans="1:5" x14ac:dyDescent="0.2">
      <c r="A520">
        <v>10766</v>
      </c>
      <c r="B520">
        <v>2310</v>
      </c>
      <c r="C520">
        <v>2310</v>
      </c>
      <c r="D520">
        <v>0</v>
      </c>
      <c r="E520" s="1">
        <v>35769</v>
      </c>
    </row>
    <row r="521" spans="1:5" x14ac:dyDescent="0.2">
      <c r="A521">
        <v>10767</v>
      </c>
      <c r="B521">
        <v>28</v>
      </c>
      <c r="C521">
        <v>28</v>
      </c>
      <c r="D521">
        <v>0</v>
      </c>
      <c r="E521" s="1">
        <v>35769</v>
      </c>
    </row>
    <row r="522" spans="1:5" x14ac:dyDescent="0.2">
      <c r="A522">
        <v>10768</v>
      </c>
      <c r="B522">
        <v>1477</v>
      </c>
      <c r="C522">
        <v>1477</v>
      </c>
      <c r="D522">
        <v>0</v>
      </c>
      <c r="E522" s="1">
        <v>35772</v>
      </c>
    </row>
    <row r="523" spans="1:5" x14ac:dyDescent="0.2">
      <c r="A523">
        <v>10769</v>
      </c>
      <c r="B523">
        <v>1684.2750000000001</v>
      </c>
      <c r="C523">
        <v>1704</v>
      </c>
      <c r="D523">
        <v>-19.725000000000023</v>
      </c>
      <c r="E523" s="1">
        <v>35772</v>
      </c>
    </row>
    <row r="524" spans="1:5" x14ac:dyDescent="0.2">
      <c r="A524">
        <v>10770</v>
      </c>
      <c r="B524">
        <v>236.25</v>
      </c>
      <c r="C524">
        <v>315</v>
      </c>
      <c r="D524">
        <v>-78.75</v>
      </c>
      <c r="E524" s="1">
        <v>35773</v>
      </c>
    </row>
    <row r="525" spans="1:5" x14ac:dyDescent="0.2">
      <c r="A525">
        <v>10771</v>
      </c>
      <c r="B525">
        <v>344</v>
      </c>
      <c r="C525">
        <v>344</v>
      </c>
      <c r="D525">
        <v>0</v>
      </c>
      <c r="E525" s="1">
        <v>35774</v>
      </c>
    </row>
    <row r="526" spans="1:5" x14ac:dyDescent="0.2">
      <c r="A526">
        <v>10772</v>
      </c>
      <c r="B526">
        <v>3603.2200000000003</v>
      </c>
      <c r="C526">
        <v>3603.2200000000003</v>
      </c>
      <c r="D526">
        <v>0</v>
      </c>
      <c r="E526" s="1">
        <v>35774</v>
      </c>
    </row>
    <row r="527" spans="1:5" x14ac:dyDescent="0.2">
      <c r="A527">
        <v>10773</v>
      </c>
      <c r="B527">
        <v>2030.4</v>
      </c>
      <c r="C527">
        <v>2216.25</v>
      </c>
      <c r="D527">
        <v>-185.85</v>
      </c>
      <c r="E527" s="1">
        <v>35775</v>
      </c>
    </row>
    <row r="528" spans="1:5" x14ac:dyDescent="0.2">
      <c r="A528">
        <v>10774</v>
      </c>
      <c r="B528">
        <v>868.75</v>
      </c>
      <c r="C528">
        <v>875</v>
      </c>
      <c r="D528">
        <v>-6.25</v>
      </c>
      <c r="E528" s="1">
        <v>35775</v>
      </c>
    </row>
    <row r="529" spans="1:5" x14ac:dyDescent="0.2">
      <c r="A529">
        <v>10775</v>
      </c>
      <c r="B529">
        <v>228</v>
      </c>
      <c r="C529">
        <v>228</v>
      </c>
      <c r="D529">
        <v>0</v>
      </c>
      <c r="E529" s="1">
        <v>35776</v>
      </c>
    </row>
    <row r="530" spans="1:5" x14ac:dyDescent="0.2">
      <c r="A530">
        <v>10776</v>
      </c>
      <c r="B530">
        <v>6635.2749999999996</v>
      </c>
      <c r="C530">
        <v>6984.5</v>
      </c>
      <c r="D530">
        <v>-349.22500000000002</v>
      </c>
      <c r="E530" s="1">
        <v>35779</v>
      </c>
    </row>
    <row r="531" spans="1:5" x14ac:dyDescent="0.2">
      <c r="A531">
        <v>10777</v>
      </c>
      <c r="B531">
        <v>224</v>
      </c>
      <c r="C531">
        <v>280</v>
      </c>
      <c r="D531">
        <v>-56</v>
      </c>
      <c r="E531" s="1">
        <v>35779</v>
      </c>
    </row>
    <row r="532" spans="1:5" x14ac:dyDescent="0.2">
      <c r="A532">
        <v>10778</v>
      </c>
      <c r="B532">
        <v>96.5</v>
      </c>
      <c r="C532">
        <v>96.5</v>
      </c>
      <c r="D532">
        <v>0</v>
      </c>
      <c r="E532" s="1">
        <v>35780</v>
      </c>
    </row>
    <row r="533" spans="1:5" x14ac:dyDescent="0.2">
      <c r="A533">
        <v>10779</v>
      </c>
      <c r="B533">
        <v>1335</v>
      </c>
      <c r="C533">
        <v>1335</v>
      </c>
      <c r="D533">
        <v>0</v>
      </c>
      <c r="E533" s="1">
        <v>35780</v>
      </c>
    </row>
    <row r="534" spans="1:5" x14ac:dyDescent="0.2">
      <c r="A534">
        <v>10780</v>
      </c>
      <c r="B534">
        <v>720</v>
      </c>
      <c r="C534">
        <v>720</v>
      </c>
      <c r="D534">
        <v>0</v>
      </c>
      <c r="E534" s="1">
        <v>35780</v>
      </c>
    </row>
    <row r="535" spans="1:5" x14ac:dyDescent="0.2">
      <c r="A535">
        <v>10781</v>
      </c>
      <c r="B535">
        <v>975.88</v>
      </c>
      <c r="C535">
        <v>1132.3499999999999</v>
      </c>
      <c r="D535">
        <v>-156.47</v>
      </c>
      <c r="E535" s="1">
        <v>35781</v>
      </c>
    </row>
    <row r="536" spans="1:5" x14ac:dyDescent="0.2">
      <c r="A536">
        <v>10782</v>
      </c>
      <c r="B536">
        <v>12.5</v>
      </c>
      <c r="C536">
        <v>12.5</v>
      </c>
      <c r="D536">
        <v>0</v>
      </c>
      <c r="E536" s="1">
        <v>35781</v>
      </c>
    </row>
    <row r="537" spans="1:5" x14ac:dyDescent="0.2">
      <c r="A537">
        <v>10783</v>
      </c>
      <c r="B537">
        <v>1442.5</v>
      </c>
      <c r="C537">
        <v>1442.5</v>
      </c>
      <c r="D537">
        <v>0</v>
      </c>
      <c r="E537" s="1">
        <v>35782</v>
      </c>
    </row>
    <row r="538" spans="1:5" x14ac:dyDescent="0.2">
      <c r="A538">
        <v>10784</v>
      </c>
      <c r="B538">
        <v>1488</v>
      </c>
      <c r="C538">
        <v>1650</v>
      </c>
      <c r="D538">
        <v>-162.00000000000003</v>
      </c>
      <c r="E538" s="1">
        <v>35782</v>
      </c>
    </row>
    <row r="539" spans="1:5" x14ac:dyDescent="0.2">
      <c r="A539">
        <v>10785</v>
      </c>
      <c r="B539">
        <v>387.5</v>
      </c>
      <c r="C539">
        <v>387.5</v>
      </c>
      <c r="D539">
        <v>0</v>
      </c>
      <c r="E539" s="1">
        <v>35782</v>
      </c>
    </row>
    <row r="540" spans="1:5" x14ac:dyDescent="0.2">
      <c r="A540">
        <v>10786</v>
      </c>
      <c r="B540">
        <v>1531.08</v>
      </c>
      <c r="C540">
        <v>1913.85</v>
      </c>
      <c r="D540">
        <v>-382.77000000000004</v>
      </c>
      <c r="E540" s="1">
        <v>35783</v>
      </c>
    </row>
    <row r="541" spans="1:5" x14ac:dyDescent="0.2">
      <c r="A541">
        <v>10787</v>
      </c>
      <c r="B541">
        <v>2622.76</v>
      </c>
      <c r="C541">
        <v>2760.8</v>
      </c>
      <c r="D541">
        <v>-138.03999999999996</v>
      </c>
      <c r="E541" s="1">
        <v>35783</v>
      </c>
    </row>
    <row r="542" spans="1:5" x14ac:dyDescent="0.2">
      <c r="A542">
        <v>10788</v>
      </c>
      <c r="B542">
        <v>731.5</v>
      </c>
      <c r="C542">
        <v>770</v>
      </c>
      <c r="D542">
        <v>-38.5</v>
      </c>
      <c r="E542" s="1">
        <v>35786</v>
      </c>
    </row>
    <row r="543" spans="1:5" x14ac:dyDescent="0.2">
      <c r="A543">
        <v>10789</v>
      </c>
      <c r="B543">
        <v>3687</v>
      </c>
      <c r="C543">
        <v>3687</v>
      </c>
      <c r="D543">
        <v>0</v>
      </c>
      <c r="E543" s="1">
        <v>35786</v>
      </c>
    </row>
    <row r="544" spans="1:5" x14ac:dyDescent="0.2">
      <c r="A544">
        <v>10790</v>
      </c>
      <c r="B544">
        <v>722.5</v>
      </c>
      <c r="C544">
        <v>850</v>
      </c>
      <c r="D544">
        <v>-127.5</v>
      </c>
      <c r="E544" s="1">
        <v>35786</v>
      </c>
    </row>
    <row r="545" spans="1:5" x14ac:dyDescent="0.2">
      <c r="A545">
        <v>10791</v>
      </c>
      <c r="B545">
        <v>1829.7570000000001</v>
      </c>
      <c r="C545">
        <v>1926.0600000000002</v>
      </c>
      <c r="D545">
        <v>-96.303000000000026</v>
      </c>
      <c r="E545" s="1">
        <v>35787</v>
      </c>
    </row>
    <row r="546" spans="1:5" x14ac:dyDescent="0.2">
      <c r="A546">
        <v>10792</v>
      </c>
      <c r="B546">
        <v>399.85</v>
      </c>
      <c r="C546">
        <v>399.85</v>
      </c>
      <c r="D546">
        <v>0</v>
      </c>
      <c r="E546" s="1">
        <v>35787</v>
      </c>
    </row>
    <row r="547" spans="1:5" x14ac:dyDescent="0.2">
      <c r="A547">
        <v>10793</v>
      </c>
      <c r="B547">
        <v>191.1</v>
      </c>
      <c r="C547">
        <v>191.1</v>
      </c>
      <c r="D547">
        <v>0</v>
      </c>
      <c r="E547" s="1">
        <v>35788</v>
      </c>
    </row>
    <row r="548" spans="1:5" x14ac:dyDescent="0.2">
      <c r="A548">
        <v>10794</v>
      </c>
      <c r="B548">
        <v>314.76</v>
      </c>
      <c r="C548">
        <v>393.45</v>
      </c>
      <c r="D548">
        <v>-78.69</v>
      </c>
      <c r="E548" s="1">
        <v>35788</v>
      </c>
    </row>
    <row r="549" spans="1:5" x14ac:dyDescent="0.2">
      <c r="A549">
        <v>10795</v>
      </c>
      <c r="B549">
        <v>2158</v>
      </c>
      <c r="C549">
        <v>2499.25</v>
      </c>
      <c r="D549">
        <v>-341.25</v>
      </c>
      <c r="E549" s="1">
        <v>35788</v>
      </c>
    </row>
    <row r="550" spans="1:5" x14ac:dyDescent="0.2">
      <c r="A550">
        <v>10796</v>
      </c>
      <c r="B550">
        <v>2341.364</v>
      </c>
      <c r="C550">
        <v>2878.08</v>
      </c>
      <c r="D550">
        <v>-536.71600000000001</v>
      </c>
      <c r="E550" s="1">
        <v>35789</v>
      </c>
    </row>
    <row r="551" spans="1:5" x14ac:dyDescent="0.2">
      <c r="A551">
        <v>10797</v>
      </c>
      <c r="B551">
        <v>420</v>
      </c>
      <c r="C551">
        <v>420</v>
      </c>
      <c r="D551">
        <v>0</v>
      </c>
      <c r="E551" s="1">
        <v>35789</v>
      </c>
    </row>
    <row r="552" spans="1:5" x14ac:dyDescent="0.2">
      <c r="A552">
        <v>10798</v>
      </c>
      <c r="B552">
        <v>446.6</v>
      </c>
      <c r="C552">
        <v>446.6</v>
      </c>
      <c r="D552">
        <v>0</v>
      </c>
      <c r="E552" s="1">
        <v>35790</v>
      </c>
    </row>
    <row r="553" spans="1:5" x14ac:dyDescent="0.2">
      <c r="A553">
        <v>10799</v>
      </c>
      <c r="B553">
        <v>1553.5</v>
      </c>
      <c r="C553">
        <v>1585</v>
      </c>
      <c r="D553">
        <v>-31.5</v>
      </c>
      <c r="E553" s="1">
        <v>35790</v>
      </c>
    </row>
    <row r="554" spans="1:5" x14ac:dyDescent="0.2">
      <c r="A554">
        <v>10800</v>
      </c>
      <c r="B554">
        <v>1468.9349999999999</v>
      </c>
      <c r="C554">
        <v>1632.15</v>
      </c>
      <c r="D554">
        <v>-163.215</v>
      </c>
      <c r="E554" s="1">
        <v>35790</v>
      </c>
    </row>
    <row r="555" spans="1:5" x14ac:dyDescent="0.2">
      <c r="A555">
        <v>10801</v>
      </c>
      <c r="B555">
        <v>3026.8500000000004</v>
      </c>
      <c r="C555">
        <v>4035.8</v>
      </c>
      <c r="D555">
        <v>-1008.95</v>
      </c>
      <c r="E555" s="1">
        <v>35793</v>
      </c>
    </row>
    <row r="556" spans="1:5" x14ac:dyDescent="0.2">
      <c r="A556">
        <v>10802</v>
      </c>
      <c r="B556">
        <v>2942.8125</v>
      </c>
      <c r="C556">
        <v>3923.75</v>
      </c>
      <c r="D556">
        <v>-980.9375</v>
      </c>
      <c r="E556" s="1">
        <v>35793</v>
      </c>
    </row>
    <row r="557" spans="1:5" x14ac:dyDescent="0.2">
      <c r="A557">
        <v>10803</v>
      </c>
      <c r="B557">
        <v>1193.01</v>
      </c>
      <c r="C557">
        <v>1255.8</v>
      </c>
      <c r="D557">
        <v>-62.789999999999992</v>
      </c>
      <c r="E557" s="1">
        <v>35794</v>
      </c>
    </row>
    <row r="558" spans="1:5" x14ac:dyDescent="0.2">
      <c r="A558">
        <v>10804</v>
      </c>
      <c r="B558">
        <v>2278.4</v>
      </c>
      <c r="C558">
        <v>2290.4</v>
      </c>
      <c r="D558">
        <v>-12</v>
      </c>
      <c r="E558" s="1">
        <v>35794</v>
      </c>
    </row>
    <row r="559" spans="1:5" x14ac:dyDescent="0.2">
      <c r="A559">
        <v>10805</v>
      </c>
      <c r="B559">
        <v>2775</v>
      </c>
      <c r="C559">
        <v>2775</v>
      </c>
      <c r="D559">
        <v>0</v>
      </c>
      <c r="E559" s="1">
        <v>35794</v>
      </c>
    </row>
    <row r="560" spans="1:5" x14ac:dyDescent="0.2">
      <c r="A560">
        <v>10806</v>
      </c>
      <c r="B560">
        <v>439.6</v>
      </c>
      <c r="C560">
        <v>572.1</v>
      </c>
      <c r="D560">
        <v>-132.5</v>
      </c>
      <c r="E560" s="1">
        <v>35795</v>
      </c>
    </row>
    <row r="561" spans="1:5" x14ac:dyDescent="0.2">
      <c r="A561">
        <v>10807</v>
      </c>
      <c r="B561">
        <v>18.399999999999999</v>
      </c>
      <c r="C561">
        <v>18.399999999999999</v>
      </c>
      <c r="D561">
        <v>0</v>
      </c>
      <c r="E561" s="1">
        <v>35795</v>
      </c>
    </row>
    <row r="562" spans="1:5" x14ac:dyDescent="0.2">
      <c r="A562">
        <v>10808</v>
      </c>
      <c r="B562">
        <v>1411</v>
      </c>
      <c r="C562">
        <v>1660</v>
      </c>
      <c r="D562">
        <v>-249</v>
      </c>
      <c r="E562" s="1">
        <v>35796</v>
      </c>
    </row>
    <row r="563" spans="1:5" x14ac:dyDescent="0.2">
      <c r="A563">
        <v>10809</v>
      </c>
      <c r="B563">
        <v>140</v>
      </c>
      <c r="C563">
        <v>140</v>
      </c>
      <c r="D563">
        <v>0</v>
      </c>
      <c r="E563" s="1">
        <v>35796</v>
      </c>
    </row>
    <row r="564" spans="1:5" x14ac:dyDescent="0.2">
      <c r="A564">
        <v>10810</v>
      </c>
      <c r="B564">
        <v>187</v>
      </c>
      <c r="C564">
        <v>187</v>
      </c>
      <c r="D564">
        <v>0</v>
      </c>
      <c r="E564" s="1">
        <v>35796</v>
      </c>
    </row>
    <row r="565" spans="1:5" x14ac:dyDescent="0.2">
      <c r="A565">
        <v>10811</v>
      </c>
      <c r="B565">
        <v>852</v>
      </c>
      <c r="C565">
        <v>852</v>
      </c>
      <c r="D565">
        <v>0</v>
      </c>
      <c r="E565" s="1">
        <v>35797</v>
      </c>
    </row>
    <row r="566" spans="1:5" x14ac:dyDescent="0.2">
      <c r="A566">
        <v>10812</v>
      </c>
      <c r="B566">
        <v>1692.8</v>
      </c>
      <c r="C566">
        <v>1852</v>
      </c>
      <c r="D566">
        <v>-159.20000000000005</v>
      </c>
      <c r="E566" s="1">
        <v>35797</v>
      </c>
    </row>
    <row r="567" spans="1:5" x14ac:dyDescent="0.2">
      <c r="A567">
        <v>10813</v>
      </c>
      <c r="B567">
        <v>602.4</v>
      </c>
      <c r="C567">
        <v>648</v>
      </c>
      <c r="D567">
        <v>-45.599999999999994</v>
      </c>
      <c r="E567" s="1">
        <v>35800</v>
      </c>
    </row>
    <row r="568" spans="1:5" x14ac:dyDescent="0.2">
      <c r="A568">
        <v>10814</v>
      </c>
      <c r="B568">
        <v>1788.45</v>
      </c>
      <c r="C568">
        <v>2070</v>
      </c>
      <c r="D568">
        <v>-281.55</v>
      </c>
      <c r="E568" s="1">
        <v>35800</v>
      </c>
    </row>
    <row r="569" spans="1:5" x14ac:dyDescent="0.2">
      <c r="A569">
        <v>10815</v>
      </c>
      <c r="B569">
        <v>40</v>
      </c>
      <c r="C569">
        <v>40</v>
      </c>
      <c r="D569">
        <v>0</v>
      </c>
      <c r="E569" s="1">
        <v>35800</v>
      </c>
    </row>
    <row r="570" spans="1:5" x14ac:dyDescent="0.2">
      <c r="A570">
        <v>10816</v>
      </c>
      <c r="B570">
        <v>8446.4500000000007</v>
      </c>
      <c r="C570">
        <v>8891</v>
      </c>
      <c r="D570">
        <v>-444.54999999999995</v>
      </c>
      <c r="E570" s="1">
        <v>35801</v>
      </c>
    </row>
    <row r="571" spans="1:5" x14ac:dyDescent="0.2">
      <c r="A571">
        <v>10817</v>
      </c>
      <c r="B571">
        <v>10952.844999999999</v>
      </c>
      <c r="C571">
        <v>11490.7</v>
      </c>
      <c r="D571">
        <v>-537.8549999999999</v>
      </c>
      <c r="E571" s="1">
        <v>35801</v>
      </c>
    </row>
    <row r="572" spans="1:5" x14ac:dyDescent="0.2">
      <c r="A572">
        <v>10818</v>
      </c>
      <c r="B572">
        <v>833</v>
      </c>
      <c r="C572">
        <v>833</v>
      </c>
      <c r="D572">
        <v>0</v>
      </c>
      <c r="E572" s="1">
        <v>35802</v>
      </c>
    </row>
    <row r="573" spans="1:5" x14ac:dyDescent="0.2">
      <c r="A573">
        <v>10819</v>
      </c>
      <c r="B573">
        <v>477</v>
      </c>
      <c r="C573">
        <v>477</v>
      </c>
      <c r="D573">
        <v>0</v>
      </c>
      <c r="E573" s="1">
        <v>35802</v>
      </c>
    </row>
    <row r="574" spans="1:5" x14ac:dyDescent="0.2">
      <c r="A574">
        <v>10820</v>
      </c>
      <c r="B574">
        <v>1140</v>
      </c>
      <c r="C574">
        <v>1140</v>
      </c>
      <c r="D574">
        <v>0</v>
      </c>
      <c r="E574" s="1">
        <v>35802</v>
      </c>
    </row>
    <row r="575" spans="1:5" x14ac:dyDescent="0.2">
      <c r="A575">
        <v>10821</v>
      </c>
      <c r="B575">
        <v>678</v>
      </c>
      <c r="C575">
        <v>678</v>
      </c>
      <c r="D575">
        <v>0</v>
      </c>
      <c r="E575" s="1">
        <v>35803</v>
      </c>
    </row>
    <row r="576" spans="1:5" x14ac:dyDescent="0.2">
      <c r="A576">
        <v>10822</v>
      </c>
      <c r="B576">
        <v>237.89999999999998</v>
      </c>
      <c r="C576">
        <v>237.89999999999998</v>
      </c>
      <c r="D576">
        <v>0</v>
      </c>
      <c r="E576" s="1">
        <v>35803</v>
      </c>
    </row>
    <row r="577" spans="1:5" x14ac:dyDescent="0.2">
      <c r="A577">
        <v>10823</v>
      </c>
      <c r="B577">
        <v>2826</v>
      </c>
      <c r="C577">
        <v>3107.5</v>
      </c>
      <c r="D577">
        <v>-281.5</v>
      </c>
      <c r="E577" s="1">
        <v>35804</v>
      </c>
    </row>
    <row r="578" spans="1:5" x14ac:dyDescent="0.2">
      <c r="A578">
        <v>10824</v>
      </c>
      <c r="B578">
        <v>250.8</v>
      </c>
      <c r="C578">
        <v>250.8</v>
      </c>
      <c r="D578">
        <v>0</v>
      </c>
      <c r="E578" s="1">
        <v>35804</v>
      </c>
    </row>
    <row r="579" spans="1:5" x14ac:dyDescent="0.2">
      <c r="A579">
        <v>10825</v>
      </c>
      <c r="B579">
        <v>1030.76</v>
      </c>
      <c r="C579">
        <v>1030.76</v>
      </c>
      <c r="D579">
        <v>0</v>
      </c>
      <c r="E579" s="1">
        <v>35804</v>
      </c>
    </row>
    <row r="580" spans="1:5" x14ac:dyDescent="0.2">
      <c r="A580">
        <v>10826</v>
      </c>
      <c r="B580">
        <v>730</v>
      </c>
      <c r="C580">
        <v>730</v>
      </c>
      <c r="D580">
        <v>0</v>
      </c>
      <c r="E580" s="1">
        <v>35807</v>
      </c>
    </row>
    <row r="581" spans="1:5" x14ac:dyDescent="0.2">
      <c r="A581">
        <v>10827</v>
      </c>
      <c r="B581">
        <v>843</v>
      </c>
      <c r="C581">
        <v>843</v>
      </c>
      <c r="D581">
        <v>0</v>
      </c>
      <c r="E581" s="1">
        <v>35807</v>
      </c>
    </row>
    <row r="582" spans="1:5" x14ac:dyDescent="0.2">
      <c r="A582">
        <v>10828</v>
      </c>
      <c r="B582">
        <v>932</v>
      </c>
      <c r="C582">
        <v>932</v>
      </c>
      <c r="D582">
        <v>0</v>
      </c>
      <c r="E582" s="1">
        <v>35808</v>
      </c>
    </row>
    <row r="583" spans="1:5" x14ac:dyDescent="0.2">
      <c r="A583">
        <v>10829</v>
      </c>
      <c r="B583">
        <v>1764</v>
      </c>
      <c r="C583">
        <v>1764</v>
      </c>
      <c r="D583">
        <v>0</v>
      </c>
      <c r="E583" s="1">
        <v>35808</v>
      </c>
    </row>
    <row r="584" spans="1:5" x14ac:dyDescent="0.2">
      <c r="A584">
        <v>10830</v>
      </c>
      <c r="B584">
        <v>1974</v>
      </c>
      <c r="C584">
        <v>1974</v>
      </c>
      <c r="D584">
        <v>0</v>
      </c>
      <c r="E584" s="1">
        <v>35808</v>
      </c>
    </row>
    <row r="585" spans="1:5" x14ac:dyDescent="0.2">
      <c r="A585">
        <v>10831</v>
      </c>
      <c r="B585">
        <v>2684.4</v>
      </c>
      <c r="C585">
        <v>2684.4</v>
      </c>
      <c r="D585">
        <v>0</v>
      </c>
      <c r="E585" s="1">
        <v>35809</v>
      </c>
    </row>
    <row r="586" spans="1:5" x14ac:dyDescent="0.2">
      <c r="A586">
        <v>10832</v>
      </c>
      <c r="B586">
        <v>475.11</v>
      </c>
      <c r="C586">
        <v>568.95000000000005</v>
      </c>
      <c r="D586">
        <v>-93.84</v>
      </c>
      <c r="E586" s="1">
        <v>35809</v>
      </c>
    </row>
    <row r="587" spans="1:5" x14ac:dyDescent="0.2">
      <c r="A587">
        <v>10833</v>
      </c>
      <c r="B587">
        <v>906.93000000000006</v>
      </c>
      <c r="C587">
        <v>1007.7</v>
      </c>
      <c r="D587">
        <v>-100.76999999999998</v>
      </c>
      <c r="E587" s="1">
        <v>35810</v>
      </c>
    </row>
    <row r="588" spans="1:5" x14ac:dyDescent="0.2">
      <c r="A588">
        <v>10834</v>
      </c>
      <c r="B588">
        <v>1432.7139999999999</v>
      </c>
      <c r="C588">
        <v>1508.12</v>
      </c>
      <c r="D588">
        <v>-75.405999999999949</v>
      </c>
      <c r="E588" s="1">
        <v>35810</v>
      </c>
    </row>
    <row r="589" spans="1:5" x14ac:dyDescent="0.2">
      <c r="A589">
        <v>10835</v>
      </c>
      <c r="B589">
        <v>845.8</v>
      </c>
      <c r="C589">
        <v>851</v>
      </c>
      <c r="D589">
        <v>-5.1999999999999993</v>
      </c>
      <c r="E589" s="1">
        <v>35810</v>
      </c>
    </row>
    <row r="590" spans="1:5" x14ac:dyDescent="0.2">
      <c r="A590">
        <v>10836</v>
      </c>
      <c r="B590">
        <v>4705.5</v>
      </c>
      <c r="C590">
        <v>4705.5</v>
      </c>
      <c r="D590">
        <v>0</v>
      </c>
      <c r="E590" s="1">
        <v>35811</v>
      </c>
    </row>
    <row r="591" spans="1:5" x14ac:dyDescent="0.2">
      <c r="A591">
        <v>10837</v>
      </c>
      <c r="B591">
        <v>1064.5</v>
      </c>
      <c r="C591">
        <v>1254</v>
      </c>
      <c r="D591">
        <v>-189.5</v>
      </c>
      <c r="E591" s="1">
        <v>35811</v>
      </c>
    </row>
    <row r="592" spans="1:5" x14ac:dyDescent="0.2">
      <c r="A592">
        <v>10838</v>
      </c>
      <c r="B592">
        <v>1938.375</v>
      </c>
      <c r="C592">
        <v>2584.5</v>
      </c>
      <c r="D592">
        <v>-646.125</v>
      </c>
      <c r="E592" s="1">
        <v>35814</v>
      </c>
    </row>
    <row r="593" spans="1:5" x14ac:dyDescent="0.2">
      <c r="A593">
        <v>10839</v>
      </c>
      <c r="B593">
        <v>827.55</v>
      </c>
      <c r="C593">
        <v>919.5</v>
      </c>
      <c r="D593">
        <v>-91.949999999999989</v>
      </c>
      <c r="E593" s="1">
        <v>35814</v>
      </c>
    </row>
    <row r="594" spans="1:5" x14ac:dyDescent="0.2">
      <c r="A594">
        <v>10840</v>
      </c>
      <c r="B594">
        <v>211.2</v>
      </c>
      <c r="C594">
        <v>264</v>
      </c>
      <c r="D594">
        <v>-52.8</v>
      </c>
      <c r="E594" s="1">
        <v>35814</v>
      </c>
    </row>
    <row r="595" spans="1:5" x14ac:dyDescent="0.2">
      <c r="A595">
        <v>10841</v>
      </c>
      <c r="B595">
        <v>4581</v>
      </c>
      <c r="C595">
        <v>4581</v>
      </c>
      <c r="D595">
        <v>0</v>
      </c>
      <c r="E595" s="1">
        <v>35815</v>
      </c>
    </row>
    <row r="596" spans="1:5" x14ac:dyDescent="0.2">
      <c r="A596">
        <v>10842</v>
      </c>
      <c r="B596">
        <v>975</v>
      </c>
      <c r="C596">
        <v>975</v>
      </c>
      <c r="D596">
        <v>0</v>
      </c>
      <c r="E596" s="1">
        <v>35815</v>
      </c>
    </row>
    <row r="597" spans="1:5" x14ac:dyDescent="0.2">
      <c r="A597">
        <v>10843</v>
      </c>
      <c r="B597">
        <v>159</v>
      </c>
      <c r="C597">
        <v>212</v>
      </c>
      <c r="D597">
        <v>-53</v>
      </c>
      <c r="E597" s="1">
        <v>35816</v>
      </c>
    </row>
    <row r="598" spans="1:5" x14ac:dyDescent="0.2">
      <c r="A598">
        <v>10844</v>
      </c>
      <c r="B598">
        <v>735</v>
      </c>
      <c r="C598">
        <v>735</v>
      </c>
      <c r="D598">
        <v>0</v>
      </c>
      <c r="E598" s="1">
        <v>35816</v>
      </c>
    </row>
    <row r="599" spans="1:5" x14ac:dyDescent="0.2">
      <c r="A599">
        <v>10845</v>
      </c>
      <c r="B599">
        <v>3812.7</v>
      </c>
      <c r="C599">
        <v>4059</v>
      </c>
      <c r="D599">
        <v>-246.29999999999995</v>
      </c>
      <c r="E599" s="1">
        <v>35816</v>
      </c>
    </row>
    <row r="600" spans="1:5" x14ac:dyDescent="0.2">
      <c r="A600">
        <v>10846</v>
      </c>
      <c r="B600">
        <v>1112</v>
      </c>
      <c r="C600">
        <v>1112</v>
      </c>
      <c r="D600">
        <v>0</v>
      </c>
      <c r="E600" s="1">
        <v>35817</v>
      </c>
    </row>
    <row r="601" spans="1:5" x14ac:dyDescent="0.2">
      <c r="A601">
        <v>10847</v>
      </c>
      <c r="B601">
        <v>4931.92</v>
      </c>
      <c r="C601">
        <v>6164.9</v>
      </c>
      <c r="D601">
        <v>-1232.98</v>
      </c>
      <c r="E601" s="1">
        <v>35817</v>
      </c>
    </row>
    <row r="602" spans="1:5" x14ac:dyDescent="0.2">
      <c r="A602">
        <v>10848</v>
      </c>
      <c r="B602">
        <v>931.5</v>
      </c>
      <c r="C602">
        <v>931.5</v>
      </c>
      <c r="D602">
        <v>0</v>
      </c>
      <c r="E602" s="1">
        <v>35818</v>
      </c>
    </row>
    <row r="603" spans="1:5" x14ac:dyDescent="0.2">
      <c r="A603">
        <v>10849</v>
      </c>
      <c r="B603">
        <v>967.81899999999996</v>
      </c>
      <c r="C603">
        <v>1052.1399999999999</v>
      </c>
      <c r="D603">
        <v>-84.321000000000026</v>
      </c>
      <c r="E603" s="1">
        <v>35818</v>
      </c>
    </row>
    <row r="604" spans="1:5" x14ac:dyDescent="0.2">
      <c r="A604">
        <v>10850</v>
      </c>
      <c r="B604">
        <v>629</v>
      </c>
      <c r="C604">
        <v>740</v>
      </c>
      <c r="D604">
        <v>-111</v>
      </c>
      <c r="E604" s="1">
        <v>35818</v>
      </c>
    </row>
    <row r="605" spans="1:5" x14ac:dyDescent="0.2">
      <c r="A605">
        <v>10851</v>
      </c>
      <c r="B605">
        <v>2603</v>
      </c>
      <c r="C605">
        <v>2740</v>
      </c>
      <c r="D605">
        <v>-137</v>
      </c>
      <c r="E605" s="1">
        <v>35821</v>
      </c>
    </row>
    <row r="606" spans="1:5" x14ac:dyDescent="0.2">
      <c r="A606">
        <v>10852</v>
      </c>
      <c r="B606">
        <v>2984</v>
      </c>
      <c r="C606">
        <v>2984</v>
      </c>
      <c r="D606">
        <v>0</v>
      </c>
      <c r="E606" s="1">
        <v>35821</v>
      </c>
    </row>
    <row r="607" spans="1:5" x14ac:dyDescent="0.2">
      <c r="A607">
        <v>10853</v>
      </c>
      <c r="B607">
        <v>625</v>
      </c>
      <c r="C607">
        <v>625</v>
      </c>
      <c r="D607">
        <v>0</v>
      </c>
      <c r="E607" s="1">
        <v>35822</v>
      </c>
    </row>
    <row r="608" spans="1:5" x14ac:dyDescent="0.2">
      <c r="A608">
        <v>10854</v>
      </c>
      <c r="B608">
        <v>2966.5</v>
      </c>
      <c r="C608">
        <v>3490</v>
      </c>
      <c r="D608">
        <v>-523.5</v>
      </c>
      <c r="E608" s="1">
        <v>35822</v>
      </c>
    </row>
    <row r="609" spans="1:5" x14ac:dyDescent="0.2">
      <c r="A609">
        <v>10855</v>
      </c>
      <c r="B609">
        <v>2227.8874999999998</v>
      </c>
      <c r="C609">
        <v>2275.25</v>
      </c>
      <c r="D609">
        <v>-47.362500000000011</v>
      </c>
      <c r="E609" s="1">
        <v>35822</v>
      </c>
    </row>
    <row r="610" spans="1:5" x14ac:dyDescent="0.2">
      <c r="A610">
        <v>10856</v>
      </c>
      <c r="B610">
        <v>660</v>
      </c>
      <c r="C610">
        <v>660</v>
      </c>
      <c r="D610">
        <v>0</v>
      </c>
      <c r="E610" s="1">
        <v>35823</v>
      </c>
    </row>
    <row r="611" spans="1:5" x14ac:dyDescent="0.2">
      <c r="A611">
        <v>10857</v>
      </c>
      <c r="B611">
        <v>2048.2125000000001</v>
      </c>
      <c r="C611">
        <v>2630.95</v>
      </c>
      <c r="D611">
        <v>-582.73750000000007</v>
      </c>
      <c r="E611" s="1">
        <v>35823</v>
      </c>
    </row>
    <row r="612" spans="1:5" x14ac:dyDescent="0.2">
      <c r="A612">
        <v>10858</v>
      </c>
      <c r="B612">
        <v>649</v>
      </c>
      <c r="C612">
        <v>649</v>
      </c>
      <c r="D612">
        <v>0</v>
      </c>
      <c r="E612" s="1">
        <v>35824</v>
      </c>
    </row>
    <row r="613" spans="1:5" x14ac:dyDescent="0.2">
      <c r="A613">
        <v>10859</v>
      </c>
      <c r="B613">
        <v>1078.6875</v>
      </c>
      <c r="C613">
        <v>1438.25</v>
      </c>
      <c r="D613">
        <v>-359.5625</v>
      </c>
      <c r="E613" s="1">
        <v>35824</v>
      </c>
    </row>
    <row r="614" spans="1:5" x14ac:dyDescent="0.2">
      <c r="A614">
        <v>10860</v>
      </c>
      <c r="B614">
        <v>519</v>
      </c>
      <c r="C614">
        <v>519</v>
      </c>
      <c r="D614">
        <v>0</v>
      </c>
      <c r="E614" s="1">
        <v>35824</v>
      </c>
    </row>
    <row r="615" spans="1:5" x14ac:dyDescent="0.2">
      <c r="A615">
        <v>10861</v>
      </c>
      <c r="B615">
        <v>3523.4</v>
      </c>
      <c r="C615">
        <v>3523.4</v>
      </c>
      <c r="D615">
        <v>0</v>
      </c>
      <c r="E615" s="1">
        <v>35825</v>
      </c>
    </row>
    <row r="616" spans="1:5" x14ac:dyDescent="0.2">
      <c r="A616">
        <v>10862</v>
      </c>
      <c r="B616">
        <v>581</v>
      </c>
      <c r="C616">
        <v>581</v>
      </c>
      <c r="D616">
        <v>0</v>
      </c>
      <c r="E616" s="1">
        <v>35825</v>
      </c>
    </row>
    <row r="617" spans="1:5" x14ac:dyDescent="0.2">
      <c r="A617">
        <v>10863</v>
      </c>
      <c r="B617">
        <v>441.15</v>
      </c>
      <c r="C617">
        <v>519</v>
      </c>
      <c r="D617">
        <v>-77.849999999999994</v>
      </c>
      <c r="E617" s="1">
        <v>35828</v>
      </c>
    </row>
    <row r="618" spans="1:5" x14ac:dyDescent="0.2">
      <c r="A618">
        <v>10864</v>
      </c>
      <c r="B618">
        <v>282</v>
      </c>
      <c r="C618">
        <v>282</v>
      </c>
      <c r="D618">
        <v>0</v>
      </c>
      <c r="E618" s="1">
        <v>35828</v>
      </c>
    </row>
    <row r="619" spans="1:5" x14ac:dyDescent="0.2">
      <c r="A619">
        <v>10865</v>
      </c>
      <c r="B619">
        <v>16387.5</v>
      </c>
      <c r="C619">
        <v>17250</v>
      </c>
      <c r="D619">
        <v>-862.5</v>
      </c>
      <c r="E619" s="1">
        <v>35828</v>
      </c>
    </row>
    <row r="620" spans="1:5" x14ac:dyDescent="0.2">
      <c r="A620">
        <v>10866</v>
      </c>
      <c r="B620">
        <v>1096.1999999999998</v>
      </c>
      <c r="C620">
        <v>1461.6</v>
      </c>
      <c r="D620">
        <v>-365.4</v>
      </c>
      <c r="E620" s="1">
        <v>35829</v>
      </c>
    </row>
    <row r="621" spans="1:5" x14ac:dyDescent="0.2">
      <c r="A621">
        <v>10867</v>
      </c>
      <c r="B621">
        <v>98.399999999999991</v>
      </c>
      <c r="C621">
        <v>98.399999999999991</v>
      </c>
      <c r="D621">
        <v>0</v>
      </c>
      <c r="E621" s="1">
        <v>35829</v>
      </c>
    </row>
    <row r="622" spans="1:5" x14ac:dyDescent="0.2">
      <c r="A622">
        <v>10868</v>
      </c>
      <c r="B622">
        <v>1920.6</v>
      </c>
      <c r="C622">
        <v>2004.6</v>
      </c>
      <c r="D622">
        <v>-84</v>
      </c>
      <c r="E622" s="1">
        <v>35830</v>
      </c>
    </row>
    <row r="623" spans="1:5" x14ac:dyDescent="0.2">
      <c r="A623">
        <v>10869</v>
      </c>
      <c r="B623">
        <v>1630</v>
      </c>
      <c r="C623">
        <v>1630</v>
      </c>
      <c r="D623">
        <v>0</v>
      </c>
      <c r="E623" s="1">
        <v>35830</v>
      </c>
    </row>
    <row r="624" spans="1:5" x14ac:dyDescent="0.2">
      <c r="A624">
        <v>10870</v>
      </c>
      <c r="B624">
        <v>160</v>
      </c>
      <c r="C624">
        <v>160</v>
      </c>
      <c r="D624">
        <v>0</v>
      </c>
      <c r="E624" s="1">
        <v>35830</v>
      </c>
    </row>
    <row r="625" spans="1:5" x14ac:dyDescent="0.2">
      <c r="A625">
        <v>10871</v>
      </c>
      <c r="B625">
        <v>1979.23</v>
      </c>
      <c r="C625">
        <v>2083.4</v>
      </c>
      <c r="D625">
        <v>-104.17000000000004</v>
      </c>
      <c r="E625" s="1">
        <v>35831</v>
      </c>
    </row>
    <row r="626" spans="1:5" x14ac:dyDescent="0.2">
      <c r="A626">
        <v>10872</v>
      </c>
      <c r="B626">
        <v>2058.46</v>
      </c>
      <c r="C626">
        <v>2166.8000000000002</v>
      </c>
      <c r="D626">
        <v>-108.33999999999997</v>
      </c>
      <c r="E626" s="1">
        <v>35831</v>
      </c>
    </row>
    <row r="627" spans="1:5" x14ac:dyDescent="0.2">
      <c r="A627">
        <v>10873</v>
      </c>
      <c r="B627">
        <v>336.8</v>
      </c>
      <c r="C627">
        <v>336.8</v>
      </c>
      <c r="D627">
        <v>0</v>
      </c>
      <c r="E627" s="1">
        <v>35832</v>
      </c>
    </row>
    <row r="628" spans="1:5" x14ac:dyDescent="0.2">
      <c r="A628">
        <v>10874</v>
      </c>
      <c r="B628">
        <v>310</v>
      </c>
      <c r="C628">
        <v>310</v>
      </c>
      <c r="D628">
        <v>0</v>
      </c>
      <c r="E628" s="1">
        <v>35832</v>
      </c>
    </row>
    <row r="629" spans="1:5" x14ac:dyDescent="0.2">
      <c r="A629">
        <v>10875</v>
      </c>
      <c r="B629">
        <v>709.55</v>
      </c>
      <c r="C629">
        <v>729.5</v>
      </c>
      <c r="D629">
        <v>-19.949999999999989</v>
      </c>
      <c r="E629" s="1">
        <v>35832</v>
      </c>
    </row>
    <row r="630" spans="1:5" x14ac:dyDescent="0.2">
      <c r="A630">
        <v>10876</v>
      </c>
      <c r="B630">
        <v>917</v>
      </c>
      <c r="C630">
        <v>917</v>
      </c>
      <c r="D630">
        <v>0</v>
      </c>
      <c r="E630" s="1">
        <v>35835</v>
      </c>
    </row>
    <row r="631" spans="1:5" x14ac:dyDescent="0.2">
      <c r="A631">
        <v>10877</v>
      </c>
      <c r="B631">
        <v>1955.125</v>
      </c>
      <c r="C631">
        <v>2086</v>
      </c>
      <c r="D631">
        <v>-130.875</v>
      </c>
      <c r="E631" s="1">
        <v>35835</v>
      </c>
    </row>
    <row r="632" spans="1:5" x14ac:dyDescent="0.2">
      <c r="A632">
        <v>10878</v>
      </c>
      <c r="B632">
        <v>1539</v>
      </c>
      <c r="C632">
        <v>1620</v>
      </c>
      <c r="D632">
        <v>-81</v>
      </c>
      <c r="E632" s="1">
        <v>35836</v>
      </c>
    </row>
    <row r="633" spans="1:5" x14ac:dyDescent="0.2">
      <c r="A633">
        <v>10879</v>
      </c>
      <c r="B633">
        <v>611.29999999999995</v>
      </c>
      <c r="C633">
        <v>611.29999999999995</v>
      </c>
      <c r="D633">
        <v>0</v>
      </c>
      <c r="E633" s="1">
        <v>35836</v>
      </c>
    </row>
    <row r="634" spans="1:5" x14ac:dyDescent="0.2">
      <c r="A634">
        <v>10880</v>
      </c>
      <c r="B634">
        <v>1500</v>
      </c>
      <c r="C634">
        <v>1875</v>
      </c>
      <c r="D634">
        <v>-375</v>
      </c>
      <c r="E634" s="1">
        <v>35836</v>
      </c>
    </row>
    <row r="635" spans="1:5" x14ac:dyDescent="0.2">
      <c r="A635">
        <v>10881</v>
      </c>
      <c r="B635">
        <v>150</v>
      </c>
      <c r="C635">
        <v>150</v>
      </c>
      <c r="D635">
        <v>0</v>
      </c>
      <c r="E635" s="1">
        <v>35837</v>
      </c>
    </row>
    <row r="636" spans="1:5" x14ac:dyDescent="0.2">
      <c r="A636">
        <v>10882</v>
      </c>
      <c r="B636">
        <v>892.64</v>
      </c>
      <c r="C636">
        <v>988.4</v>
      </c>
      <c r="D636">
        <v>-95.759999999999991</v>
      </c>
      <c r="E636" s="1">
        <v>35837</v>
      </c>
    </row>
    <row r="637" spans="1:5" x14ac:dyDescent="0.2">
      <c r="A637">
        <v>10883</v>
      </c>
      <c r="B637">
        <v>36</v>
      </c>
      <c r="C637">
        <v>36</v>
      </c>
      <c r="D637">
        <v>0</v>
      </c>
      <c r="E637" s="1">
        <v>35838</v>
      </c>
    </row>
    <row r="638" spans="1:5" x14ac:dyDescent="0.2">
      <c r="A638">
        <v>10884</v>
      </c>
      <c r="B638">
        <v>1378.07</v>
      </c>
      <c r="C638">
        <v>1450.6</v>
      </c>
      <c r="D638">
        <v>-72.529999999999973</v>
      </c>
      <c r="E638" s="1">
        <v>35838</v>
      </c>
    </row>
    <row r="639" spans="1:5" x14ac:dyDescent="0.2">
      <c r="A639">
        <v>10885</v>
      </c>
      <c r="B639">
        <v>1209</v>
      </c>
      <c r="C639">
        <v>1209</v>
      </c>
      <c r="D639">
        <v>0</v>
      </c>
      <c r="E639" s="1">
        <v>35838</v>
      </c>
    </row>
    <row r="640" spans="1:5" x14ac:dyDescent="0.2">
      <c r="A640">
        <v>10886</v>
      </c>
      <c r="B640">
        <v>3127.5</v>
      </c>
      <c r="C640">
        <v>3127.5</v>
      </c>
      <c r="D640">
        <v>0</v>
      </c>
      <c r="E640" s="1">
        <v>35839</v>
      </c>
    </row>
    <row r="641" spans="1:5" x14ac:dyDescent="0.2">
      <c r="A641">
        <v>10887</v>
      </c>
      <c r="B641">
        <v>70</v>
      </c>
      <c r="C641">
        <v>70</v>
      </c>
      <c r="D641">
        <v>0</v>
      </c>
      <c r="E641" s="1">
        <v>35839</v>
      </c>
    </row>
    <row r="642" spans="1:5" x14ac:dyDescent="0.2">
      <c r="A642">
        <v>10888</v>
      </c>
      <c r="B642">
        <v>605</v>
      </c>
      <c r="C642">
        <v>605</v>
      </c>
      <c r="D642">
        <v>0</v>
      </c>
      <c r="E642" s="1">
        <v>35842</v>
      </c>
    </row>
    <row r="643" spans="1:5" x14ac:dyDescent="0.2">
      <c r="A643">
        <v>10889</v>
      </c>
      <c r="B643">
        <v>11380</v>
      </c>
      <c r="C643">
        <v>11380</v>
      </c>
      <c r="D643">
        <v>0</v>
      </c>
      <c r="E643" s="1">
        <v>35842</v>
      </c>
    </row>
    <row r="644" spans="1:5" x14ac:dyDescent="0.2">
      <c r="A644">
        <v>10890</v>
      </c>
      <c r="B644">
        <v>860.1</v>
      </c>
      <c r="C644">
        <v>860.1</v>
      </c>
      <c r="D644">
        <v>0</v>
      </c>
      <c r="E644" s="1">
        <v>35842</v>
      </c>
    </row>
    <row r="645" spans="1:5" x14ac:dyDescent="0.2">
      <c r="A645">
        <v>10891</v>
      </c>
      <c r="B645">
        <v>368.9325</v>
      </c>
      <c r="C645">
        <v>388.35</v>
      </c>
      <c r="D645">
        <v>-19.417500000000018</v>
      </c>
      <c r="E645" s="1">
        <v>35843</v>
      </c>
    </row>
    <row r="646" spans="1:5" x14ac:dyDescent="0.2">
      <c r="A646">
        <v>10892</v>
      </c>
      <c r="B646">
        <v>2090</v>
      </c>
      <c r="C646">
        <v>2200</v>
      </c>
      <c r="D646">
        <v>-110</v>
      </c>
      <c r="E646" s="1">
        <v>35843</v>
      </c>
    </row>
    <row r="647" spans="1:5" x14ac:dyDescent="0.2">
      <c r="A647">
        <v>10893</v>
      </c>
      <c r="B647">
        <v>5502.11</v>
      </c>
      <c r="C647">
        <v>5502.11</v>
      </c>
      <c r="D647">
        <v>0</v>
      </c>
      <c r="E647" s="1">
        <v>35844</v>
      </c>
    </row>
    <row r="648" spans="1:5" x14ac:dyDescent="0.2">
      <c r="A648">
        <v>10894</v>
      </c>
      <c r="B648">
        <v>2753.1</v>
      </c>
      <c r="C648">
        <v>2898</v>
      </c>
      <c r="D648">
        <v>-144.9</v>
      </c>
      <c r="E648" s="1">
        <v>35844</v>
      </c>
    </row>
    <row r="649" spans="1:5" x14ac:dyDescent="0.2">
      <c r="A649">
        <v>10895</v>
      </c>
      <c r="B649">
        <v>6379.4</v>
      </c>
      <c r="C649">
        <v>6379.4</v>
      </c>
      <c r="D649">
        <v>0</v>
      </c>
      <c r="E649" s="1">
        <v>35844</v>
      </c>
    </row>
    <row r="650" spans="1:5" x14ac:dyDescent="0.2">
      <c r="A650">
        <v>10896</v>
      </c>
      <c r="B650">
        <v>750.5</v>
      </c>
      <c r="C650">
        <v>750.5</v>
      </c>
      <c r="D650">
        <v>0</v>
      </c>
      <c r="E650" s="1">
        <v>35845</v>
      </c>
    </row>
    <row r="651" spans="1:5" x14ac:dyDescent="0.2">
      <c r="A651">
        <v>10897</v>
      </c>
      <c r="B651">
        <v>10835.240000000002</v>
      </c>
      <c r="C651">
        <v>10835.240000000002</v>
      </c>
      <c r="D651">
        <v>0</v>
      </c>
      <c r="E651" s="1">
        <v>35845</v>
      </c>
    </row>
    <row r="652" spans="1:5" x14ac:dyDescent="0.2">
      <c r="A652">
        <v>10898</v>
      </c>
      <c r="B652">
        <v>30</v>
      </c>
      <c r="C652">
        <v>30</v>
      </c>
      <c r="D652">
        <v>0</v>
      </c>
      <c r="E652" s="1">
        <v>35846</v>
      </c>
    </row>
    <row r="653" spans="1:5" x14ac:dyDescent="0.2">
      <c r="A653">
        <v>10899</v>
      </c>
      <c r="B653">
        <v>122.4</v>
      </c>
      <c r="C653">
        <v>144</v>
      </c>
      <c r="D653">
        <v>-21.599999999999994</v>
      </c>
      <c r="E653" s="1">
        <v>35846</v>
      </c>
    </row>
    <row r="654" spans="1:5" x14ac:dyDescent="0.2">
      <c r="A654">
        <v>10900</v>
      </c>
      <c r="B654">
        <v>33.75</v>
      </c>
      <c r="C654">
        <v>45</v>
      </c>
      <c r="D654">
        <v>-11.25</v>
      </c>
      <c r="E654" s="1">
        <v>35846</v>
      </c>
    </row>
    <row r="655" spans="1:5" x14ac:dyDescent="0.2">
      <c r="A655">
        <v>10901</v>
      </c>
      <c r="B655">
        <v>934.5</v>
      </c>
      <c r="C655">
        <v>934.5</v>
      </c>
      <c r="D655">
        <v>0</v>
      </c>
      <c r="E655" s="1">
        <v>35849</v>
      </c>
    </row>
    <row r="656" spans="1:5" x14ac:dyDescent="0.2">
      <c r="A656">
        <v>10902</v>
      </c>
      <c r="B656">
        <v>863.43</v>
      </c>
      <c r="C656">
        <v>1015.8</v>
      </c>
      <c r="D656">
        <v>-152.37</v>
      </c>
      <c r="E656" s="1">
        <v>35849</v>
      </c>
    </row>
    <row r="657" spans="1:5" x14ac:dyDescent="0.2">
      <c r="A657">
        <v>10903</v>
      </c>
      <c r="B657">
        <v>932.05</v>
      </c>
      <c r="C657">
        <v>932.05</v>
      </c>
      <c r="D657">
        <v>0</v>
      </c>
      <c r="E657" s="1">
        <v>35850</v>
      </c>
    </row>
    <row r="658" spans="1:5" x14ac:dyDescent="0.2">
      <c r="A658">
        <v>10904</v>
      </c>
      <c r="B658">
        <v>1924.25</v>
      </c>
      <c r="C658">
        <v>1924.25</v>
      </c>
      <c r="D658">
        <v>0</v>
      </c>
      <c r="E658" s="1">
        <v>35850</v>
      </c>
    </row>
    <row r="659" spans="1:5" x14ac:dyDescent="0.2">
      <c r="A659">
        <v>10905</v>
      </c>
      <c r="B659">
        <v>342</v>
      </c>
      <c r="C659">
        <v>360</v>
      </c>
      <c r="D659">
        <v>-18</v>
      </c>
      <c r="E659" s="1">
        <v>35850</v>
      </c>
    </row>
    <row r="660" spans="1:5" x14ac:dyDescent="0.2">
      <c r="A660">
        <v>10906</v>
      </c>
      <c r="B660">
        <v>427.5</v>
      </c>
      <c r="C660">
        <v>427.5</v>
      </c>
      <c r="D660">
        <v>0</v>
      </c>
      <c r="E660" s="1">
        <v>35851</v>
      </c>
    </row>
    <row r="661" spans="1:5" x14ac:dyDescent="0.2">
      <c r="A661">
        <v>10907</v>
      </c>
      <c r="B661">
        <v>108.5</v>
      </c>
      <c r="C661">
        <v>108.5</v>
      </c>
      <c r="D661">
        <v>0</v>
      </c>
      <c r="E661" s="1">
        <v>35851</v>
      </c>
    </row>
    <row r="662" spans="1:5" x14ac:dyDescent="0.2">
      <c r="A662">
        <v>10908</v>
      </c>
      <c r="B662">
        <v>663.1</v>
      </c>
      <c r="C662">
        <v>698</v>
      </c>
      <c r="D662">
        <v>-34.900000000000006</v>
      </c>
      <c r="E662" s="1">
        <v>35852</v>
      </c>
    </row>
    <row r="663" spans="1:5" x14ac:dyDescent="0.2">
      <c r="A663">
        <v>10909</v>
      </c>
      <c r="B663">
        <v>670</v>
      </c>
      <c r="C663">
        <v>670</v>
      </c>
      <c r="D663">
        <v>0</v>
      </c>
      <c r="E663" s="1">
        <v>35852</v>
      </c>
    </row>
    <row r="664" spans="1:5" x14ac:dyDescent="0.2">
      <c r="A664">
        <v>10910</v>
      </c>
      <c r="B664">
        <v>452.9</v>
      </c>
      <c r="C664">
        <v>452.9</v>
      </c>
      <c r="D664">
        <v>0</v>
      </c>
      <c r="E664" s="1">
        <v>35852</v>
      </c>
    </row>
    <row r="665" spans="1:5" x14ac:dyDescent="0.2">
      <c r="A665">
        <v>10911</v>
      </c>
      <c r="B665">
        <v>858</v>
      </c>
      <c r="C665">
        <v>858</v>
      </c>
      <c r="D665">
        <v>0</v>
      </c>
      <c r="E665" s="1">
        <v>35852</v>
      </c>
    </row>
    <row r="666" spans="1:5" x14ac:dyDescent="0.2">
      <c r="A666">
        <v>10912</v>
      </c>
      <c r="B666">
        <v>6200.55</v>
      </c>
      <c r="C666">
        <v>8267.4000000000015</v>
      </c>
      <c r="D666">
        <v>-2066.8500000000004</v>
      </c>
      <c r="E666" s="1">
        <v>35852</v>
      </c>
    </row>
    <row r="667" spans="1:5" x14ac:dyDescent="0.2">
      <c r="A667">
        <v>10913</v>
      </c>
      <c r="B667">
        <v>768.75</v>
      </c>
      <c r="C667">
        <v>958.75</v>
      </c>
      <c r="D667">
        <v>-190</v>
      </c>
      <c r="E667" s="1">
        <v>35852</v>
      </c>
    </row>
    <row r="668" spans="1:5" x14ac:dyDescent="0.2">
      <c r="A668">
        <v>10914</v>
      </c>
      <c r="B668">
        <v>537.5</v>
      </c>
      <c r="C668">
        <v>537.5</v>
      </c>
      <c r="D668">
        <v>0</v>
      </c>
      <c r="E668" s="1">
        <v>35853</v>
      </c>
    </row>
    <row r="669" spans="1:5" x14ac:dyDescent="0.2">
      <c r="A669">
        <v>10915</v>
      </c>
      <c r="B669">
        <v>539.5</v>
      </c>
      <c r="C669">
        <v>539.5</v>
      </c>
      <c r="D669">
        <v>0</v>
      </c>
      <c r="E669" s="1">
        <v>35853</v>
      </c>
    </row>
    <row r="670" spans="1:5" x14ac:dyDescent="0.2">
      <c r="A670">
        <v>10916</v>
      </c>
      <c r="B670">
        <v>686.7</v>
      </c>
      <c r="C670">
        <v>686.7</v>
      </c>
      <c r="D670">
        <v>0</v>
      </c>
      <c r="E670" s="1">
        <v>35853</v>
      </c>
    </row>
    <row r="671" spans="1:5" x14ac:dyDescent="0.2">
      <c r="A671">
        <v>10917</v>
      </c>
      <c r="B671">
        <v>365.89</v>
      </c>
      <c r="C671">
        <v>365.89</v>
      </c>
      <c r="D671">
        <v>0</v>
      </c>
      <c r="E671" s="1">
        <v>35856</v>
      </c>
    </row>
    <row r="672" spans="1:5" x14ac:dyDescent="0.2">
      <c r="A672">
        <v>10918</v>
      </c>
      <c r="B672">
        <v>1447.5</v>
      </c>
      <c r="C672">
        <v>1930</v>
      </c>
      <c r="D672">
        <v>-482.5</v>
      </c>
      <c r="E672" s="1">
        <v>35856</v>
      </c>
    </row>
    <row r="673" spans="1:5" x14ac:dyDescent="0.2">
      <c r="A673">
        <v>10919</v>
      </c>
      <c r="B673">
        <v>1122.8</v>
      </c>
      <c r="C673">
        <v>1122.8</v>
      </c>
      <c r="D673">
        <v>0</v>
      </c>
      <c r="E673" s="1">
        <v>35856</v>
      </c>
    </row>
    <row r="674" spans="1:5" x14ac:dyDescent="0.2">
      <c r="A674">
        <v>10920</v>
      </c>
      <c r="B674">
        <v>390</v>
      </c>
      <c r="C674">
        <v>390</v>
      </c>
      <c r="D674">
        <v>0</v>
      </c>
      <c r="E674" s="1">
        <v>35857</v>
      </c>
    </row>
    <row r="675" spans="1:5" x14ac:dyDescent="0.2">
      <c r="A675">
        <v>10921</v>
      </c>
      <c r="B675">
        <v>1936</v>
      </c>
      <c r="C675">
        <v>1936</v>
      </c>
      <c r="D675">
        <v>0</v>
      </c>
      <c r="E675" s="1">
        <v>35857</v>
      </c>
    </row>
    <row r="676" spans="1:5" x14ac:dyDescent="0.2">
      <c r="A676">
        <v>10922</v>
      </c>
      <c r="B676">
        <v>742.5</v>
      </c>
      <c r="C676">
        <v>742.5</v>
      </c>
      <c r="D676">
        <v>0</v>
      </c>
      <c r="E676" s="1">
        <v>35857</v>
      </c>
    </row>
    <row r="677" spans="1:5" x14ac:dyDescent="0.2">
      <c r="A677">
        <v>10923</v>
      </c>
      <c r="B677">
        <v>748.8</v>
      </c>
      <c r="C677">
        <v>936</v>
      </c>
      <c r="D677">
        <v>-187.2</v>
      </c>
      <c r="E677" s="1">
        <v>35857</v>
      </c>
    </row>
    <row r="678" spans="1:5" x14ac:dyDescent="0.2">
      <c r="A678">
        <v>10924</v>
      </c>
      <c r="B678">
        <v>1835.7</v>
      </c>
      <c r="C678">
        <v>2034.5</v>
      </c>
      <c r="D678">
        <v>-198.79999999999995</v>
      </c>
      <c r="E678" s="1">
        <v>35858</v>
      </c>
    </row>
    <row r="679" spans="1:5" x14ac:dyDescent="0.2">
      <c r="A679">
        <v>10925</v>
      </c>
      <c r="B679">
        <v>475.15</v>
      </c>
      <c r="C679">
        <v>559</v>
      </c>
      <c r="D679">
        <v>-83.85</v>
      </c>
      <c r="E679" s="1">
        <v>35858</v>
      </c>
    </row>
    <row r="680" spans="1:5" x14ac:dyDescent="0.2">
      <c r="A680">
        <v>10926</v>
      </c>
      <c r="B680">
        <v>514.4</v>
      </c>
      <c r="C680">
        <v>514.4</v>
      </c>
      <c r="D680">
        <v>0</v>
      </c>
      <c r="E680" s="1">
        <v>35858</v>
      </c>
    </row>
    <row r="681" spans="1:5" x14ac:dyDescent="0.2">
      <c r="A681">
        <v>10927</v>
      </c>
      <c r="B681">
        <v>800</v>
      </c>
      <c r="C681">
        <v>800</v>
      </c>
      <c r="D681">
        <v>0</v>
      </c>
      <c r="E681" s="1">
        <v>35859</v>
      </c>
    </row>
    <row r="682" spans="1:5" x14ac:dyDescent="0.2">
      <c r="A682">
        <v>10928</v>
      </c>
      <c r="B682">
        <v>137.5</v>
      </c>
      <c r="C682">
        <v>137.5</v>
      </c>
      <c r="D682">
        <v>0</v>
      </c>
      <c r="E682" s="1">
        <v>35859</v>
      </c>
    </row>
    <row r="683" spans="1:5" x14ac:dyDescent="0.2">
      <c r="A683">
        <v>10929</v>
      </c>
      <c r="B683">
        <v>1174.75</v>
      </c>
      <c r="C683">
        <v>1174.75</v>
      </c>
      <c r="D683">
        <v>0</v>
      </c>
      <c r="E683" s="1">
        <v>35859</v>
      </c>
    </row>
    <row r="684" spans="1:5" x14ac:dyDescent="0.2">
      <c r="A684">
        <v>10930</v>
      </c>
      <c r="B684">
        <v>2255.5</v>
      </c>
      <c r="C684">
        <v>2455</v>
      </c>
      <c r="D684">
        <v>-199.5</v>
      </c>
      <c r="E684" s="1">
        <v>35860</v>
      </c>
    </row>
    <row r="685" spans="1:5" x14ac:dyDescent="0.2">
      <c r="A685">
        <v>10931</v>
      </c>
      <c r="B685">
        <v>799.2</v>
      </c>
      <c r="C685">
        <v>837</v>
      </c>
      <c r="D685">
        <v>-37.800000000000011</v>
      </c>
      <c r="E685" s="1">
        <v>35860</v>
      </c>
    </row>
    <row r="686" spans="1:5" x14ac:dyDescent="0.2">
      <c r="A686">
        <v>10932</v>
      </c>
      <c r="B686">
        <v>1788.6299999999999</v>
      </c>
      <c r="C686">
        <v>1925.4999999999998</v>
      </c>
      <c r="D686">
        <v>-136.87</v>
      </c>
      <c r="E686" s="1">
        <v>35860</v>
      </c>
    </row>
    <row r="687" spans="1:5" x14ac:dyDescent="0.2">
      <c r="A687">
        <v>10933</v>
      </c>
      <c r="B687">
        <v>920.6</v>
      </c>
      <c r="C687">
        <v>920.6</v>
      </c>
      <c r="D687">
        <v>0</v>
      </c>
      <c r="E687" s="1">
        <v>35860</v>
      </c>
    </row>
    <row r="688" spans="1:5" x14ac:dyDescent="0.2">
      <c r="A688">
        <v>10934</v>
      </c>
      <c r="B688">
        <v>500</v>
      </c>
      <c r="C688">
        <v>500</v>
      </c>
      <c r="D688">
        <v>0</v>
      </c>
      <c r="E688" s="1">
        <v>35863</v>
      </c>
    </row>
    <row r="689" spans="1:5" x14ac:dyDescent="0.2">
      <c r="A689">
        <v>10935</v>
      </c>
      <c r="B689">
        <v>619.5</v>
      </c>
      <c r="C689">
        <v>700</v>
      </c>
      <c r="D689">
        <v>-80.5</v>
      </c>
      <c r="E689" s="1">
        <v>35863</v>
      </c>
    </row>
    <row r="690" spans="1:5" x14ac:dyDescent="0.2">
      <c r="A690">
        <v>10936</v>
      </c>
      <c r="B690">
        <v>456</v>
      </c>
      <c r="C690">
        <v>570</v>
      </c>
      <c r="D690">
        <v>-114</v>
      </c>
      <c r="E690" s="1">
        <v>35863</v>
      </c>
    </row>
    <row r="691" spans="1:5" x14ac:dyDescent="0.2">
      <c r="A691">
        <v>10937</v>
      </c>
      <c r="B691">
        <v>644.79999999999995</v>
      </c>
      <c r="C691">
        <v>644.79999999999995</v>
      </c>
      <c r="D691">
        <v>0</v>
      </c>
      <c r="E691" s="1">
        <v>35864</v>
      </c>
    </row>
    <row r="692" spans="1:5" x14ac:dyDescent="0.2">
      <c r="A692">
        <v>10938</v>
      </c>
      <c r="B692">
        <v>2731.875</v>
      </c>
      <c r="C692">
        <v>3642.5</v>
      </c>
      <c r="D692">
        <v>-910.625</v>
      </c>
      <c r="E692" s="1">
        <v>35864</v>
      </c>
    </row>
    <row r="693" spans="1:5" x14ac:dyDescent="0.2">
      <c r="A693">
        <v>10939</v>
      </c>
      <c r="B693">
        <v>637.5</v>
      </c>
      <c r="C693">
        <v>750</v>
      </c>
      <c r="D693">
        <v>-112.5</v>
      </c>
      <c r="E693" s="1">
        <v>35864</v>
      </c>
    </row>
    <row r="694" spans="1:5" x14ac:dyDescent="0.2">
      <c r="A694">
        <v>10940</v>
      </c>
      <c r="B694">
        <v>360</v>
      </c>
      <c r="C694">
        <v>360</v>
      </c>
      <c r="D694">
        <v>0</v>
      </c>
      <c r="E694" s="1">
        <v>35865</v>
      </c>
    </row>
    <row r="695" spans="1:5" x14ac:dyDescent="0.2">
      <c r="A695">
        <v>10941</v>
      </c>
      <c r="B695">
        <v>4011.75</v>
      </c>
      <c r="C695">
        <v>4769</v>
      </c>
      <c r="D695">
        <v>-757.25</v>
      </c>
      <c r="E695" s="1">
        <v>35865</v>
      </c>
    </row>
    <row r="696" spans="1:5" x14ac:dyDescent="0.2">
      <c r="A696">
        <v>10942</v>
      </c>
      <c r="B696">
        <v>560</v>
      </c>
      <c r="C696">
        <v>560</v>
      </c>
      <c r="D696">
        <v>0</v>
      </c>
      <c r="E696" s="1">
        <v>35865</v>
      </c>
    </row>
    <row r="697" spans="1:5" x14ac:dyDescent="0.2">
      <c r="A697">
        <v>10943</v>
      </c>
      <c r="B697">
        <v>711</v>
      </c>
      <c r="C697">
        <v>711</v>
      </c>
      <c r="D697">
        <v>0</v>
      </c>
      <c r="E697" s="1">
        <v>35865</v>
      </c>
    </row>
    <row r="698" spans="1:5" x14ac:dyDescent="0.2">
      <c r="A698">
        <v>10944</v>
      </c>
      <c r="B698">
        <v>1025.325</v>
      </c>
      <c r="C698">
        <v>1139.0999999999999</v>
      </c>
      <c r="D698">
        <v>-113.77499999999998</v>
      </c>
      <c r="E698" s="1">
        <v>35866</v>
      </c>
    </row>
    <row r="699" spans="1:5" x14ac:dyDescent="0.2">
      <c r="A699">
        <v>10945</v>
      </c>
      <c r="B699">
        <v>245</v>
      </c>
      <c r="C699">
        <v>245</v>
      </c>
      <c r="D699">
        <v>0</v>
      </c>
      <c r="E699" s="1">
        <v>35866</v>
      </c>
    </row>
    <row r="700" spans="1:5" x14ac:dyDescent="0.2">
      <c r="A700">
        <v>10946</v>
      </c>
      <c r="B700">
        <v>1407.5</v>
      </c>
      <c r="C700">
        <v>1407.5</v>
      </c>
      <c r="D700">
        <v>0</v>
      </c>
      <c r="E700" s="1">
        <v>35866</v>
      </c>
    </row>
    <row r="701" spans="1:5" x14ac:dyDescent="0.2">
      <c r="A701">
        <v>10947</v>
      </c>
      <c r="B701">
        <v>220</v>
      </c>
      <c r="C701">
        <v>220</v>
      </c>
      <c r="D701">
        <v>0</v>
      </c>
      <c r="E701" s="1">
        <v>35867</v>
      </c>
    </row>
    <row r="702" spans="1:5" x14ac:dyDescent="0.2">
      <c r="A702">
        <v>10948</v>
      </c>
      <c r="B702">
        <v>2362.25</v>
      </c>
      <c r="C702">
        <v>2362.25</v>
      </c>
      <c r="D702">
        <v>0</v>
      </c>
      <c r="E702" s="1">
        <v>35867</v>
      </c>
    </row>
    <row r="703" spans="1:5" x14ac:dyDescent="0.2">
      <c r="A703">
        <v>10949</v>
      </c>
      <c r="B703">
        <v>4422</v>
      </c>
      <c r="C703">
        <v>4422</v>
      </c>
      <c r="D703">
        <v>0</v>
      </c>
      <c r="E703" s="1">
        <v>35867</v>
      </c>
    </row>
    <row r="704" spans="1:5" x14ac:dyDescent="0.2">
      <c r="A704">
        <v>10950</v>
      </c>
      <c r="B704">
        <v>110</v>
      </c>
      <c r="C704">
        <v>110</v>
      </c>
      <c r="D704">
        <v>0</v>
      </c>
      <c r="E704" s="1">
        <v>35870</v>
      </c>
    </row>
    <row r="705" spans="1:5" x14ac:dyDescent="0.2">
      <c r="A705">
        <v>10951</v>
      </c>
      <c r="B705">
        <v>458.755</v>
      </c>
      <c r="C705">
        <v>482.9</v>
      </c>
      <c r="D705">
        <v>-24.145000000000003</v>
      </c>
      <c r="E705" s="1">
        <v>35870</v>
      </c>
    </row>
    <row r="706" spans="1:5" x14ac:dyDescent="0.2">
      <c r="A706">
        <v>10952</v>
      </c>
      <c r="B706">
        <v>471.2</v>
      </c>
      <c r="C706">
        <v>491.2</v>
      </c>
      <c r="D706">
        <v>-20</v>
      </c>
      <c r="E706" s="1">
        <v>35870</v>
      </c>
    </row>
    <row r="707" spans="1:5" x14ac:dyDescent="0.2">
      <c r="A707">
        <v>10953</v>
      </c>
      <c r="B707">
        <v>4441.25</v>
      </c>
      <c r="C707">
        <v>4675</v>
      </c>
      <c r="D707">
        <v>-233.75</v>
      </c>
      <c r="E707" s="1">
        <v>35870</v>
      </c>
    </row>
    <row r="708" spans="1:5" x14ac:dyDescent="0.2">
      <c r="A708">
        <v>10954</v>
      </c>
      <c r="B708">
        <v>1659.5349999999999</v>
      </c>
      <c r="C708">
        <v>1902.1</v>
      </c>
      <c r="D708">
        <v>-242.565</v>
      </c>
      <c r="E708" s="1">
        <v>35871</v>
      </c>
    </row>
    <row r="709" spans="1:5" x14ac:dyDescent="0.2">
      <c r="A709">
        <v>10955</v>
      </c>
      <c r="B709">
        <v>74.400000000000006</v>
      </c>
      <c r="C709">
        <v>93</v>
      </c>
      <c r="D709">
        <v>-18.599999999999994</v>
      </c>
      <c r="E709" s="1">
        <v>35871</v>
      </c>
    </row>
    <row r="710" spans="1:5" x14ac:dyDescent="0.2">
      <c r="A710">
        <v>10956</v>
      </c>
      <c r="B710">
        <v>677</v>
      </c>
      <c r="C710">
        <v>677</v>
      </c>
      <c r="D710">
        <v>0</v>
      </c>
      <c r="E710" s="1">
        <v>35871</v>
      </c>
    </row>
    <row r="711" spans="1:5" x14ac:dyDescent="0.2">
      <c r="A711">
        <v>10957</v>
      </c>
      <c r="B711">
        <v>1762.7</v>
      </c>
      <c r="C711">
        <v>1762.7</v>
      </c>
      <c r="D711">
        <v>0</v>
      </c>
      <c r="E711" s="1">
        <v>35872</v>
      </c>
    </row>
    <row r="712" spans="1:5" x14ac:dyDescent="0.2">
      <c r="A712">
        <v>10958</v>
      </c>
      <c r="B712">
        <v>781</v>
      </c>
      <c r="C712">
        <v>781</v>
      </c>
      <c r="D712">
        <v>0</v>
      </c>
      <c r="E712" s="1">
        <v>35872</v>
      </c>
    </row>
    <row r="713" spans="1:5" x14ac:dyDescent="0.2">
      <c r="A713">
        <v>10959</v>
      </c>
      <c r="B713">
        <v>131.75</v>
      </c>
      <c r="C713">
        <v>155</v>
      </c>
      <c r="D713">
        <v>-23.25</v>
      </c>
      <c r="E713" s="1">
        <v>35872</v>
      </c>
    </row>
    <row r="714" spans="1:5" x14ac:dyDescent="0.2">
      <c r="A714">
        <v>10960</v>
      </c>
      <c r="B714">
        <v>265.35000000000002</v>
      </c>
      <c r="C714">
        <v>276.60000000000002</v>
      </c>
      <c r="D714">
        <v>-11.25</v>
      </c>
      <c r="E714" s="1">
        <v>35873</v>
      </c>
    </row>
    <row r="715" spans="1:5" x14ac:dyDescent="0.2">
      <c r="A715">
        <v>10961</v>
      </c>
      <c r="B715">
        <v>1119.9000000000001</v>
      </c>
      <c r="C715">
        <v>1122</v>
      </c>
      <c r="D715">
        <v>-2.1000000000000014</v>
      </c>
      <c r="E715" s="1">
        <v>35873</v>
      </c>
    </row>
    <row r="716" spans="1:5" x14ac:dyDescent="0.2">
      <c r="A716">
        <v>10962</v>
      </c>
      <c r="B716">
        <v>3584</v>
      </c>
      <c r="C716">
        <v>3584</v>
      </c>
      <c r="D716">
        <v>0</v>
      </c>
      <c r="E716" s="1">
        <v>35873</v>
      </c>
    </row>
    <row r="717" spans="1:5" x14ac:dyDescent="0.2">
      <c r="A717">
        <v>10963</v>
      </c>
      <c r="B717">
        <v>57.8</v>
      </c>
      <c r="C717">
        <v>68</v>
      </c>
      <c r="D717">
        <v>-10.200000000000003</v>
      </c>
      <c r="E717" s="1">
        <v>35873</v>
      </c>
    </row>
    <row r="718" spans="1:5" x14ac:dyDescent="0.2">
      <c r="A718">
        <v>10964</v>
      </c>
      <c r="B718">
        <v>2052.5</v>
      </c>
      <c r="C718">
        <v>2052.5</v>
      </c>
      <c r="D718">
        <v>0</v>
      </c>
      <c r="E718" s="1">
        <v>35874</v>
      </c>
    </row>
    <row r="719" spans="1:5" x14ac:dyDescent="0.2">
      <c r="A719">
        <v>10965</v>
      </c>
      <c r="B719">
        <v>848</v>
      </c>
      <c r="C719">
        <v>848</v>
      </c>
      <c r="D719">
        <v>0</v>
      </c>
      <c r="E719" s="1">
        <v>35874</v>
      </c>
    </row>
    <row r="720" spans="1:5" x14ac:dyDescent="0.2">
      <c r="A720">
        <v>10966</v>
      </c>
      <c r="B720">
        <v>1098.46</v>
      </c>
      <c r="C720">
        <v>1255.5999999999999</v>
      </c>
      <c r="D720">
        <v>-157.13999999999999</v>
      </c>
      <c r="E720" s="1">
        <v>35874</v>
      </c>
    </row>
    <row r="721" spans="1:5" x14ac:dyDescent="0.2">
      <c r="A721">
        <v>10967</v>
      </c>
      <c r="B721">
        <v>910.4</v>
      </c>
      <c r="C721">
        <v>910.4</v>
      </c>
      <c r="D721">
        <v>0</v>
      </c>
      <c r="E721" s="1">
        <v>35877</v>
      </c>
    </row>
    <row r="722" spans="1:5" x14ac:dyDescent="0.2">
      <c r="A722">
        <v>10968</v>
      </c>
      <c r="B722">
        <v>1408</v>
      </c>
      <c r="C722">
        <v>1408</v>
      </c>
      <c r="D722">
        <v>0</v>
      </c>
      <c r="E722" s="1">
        <v>35877</v>
      </c>
    </row>
    <row r="723" spans="1:5" x14ac:dyDescent="0.2">
      <c r="A723">
        <v>10969</v>
      </c>
      <c r="B723">
        <v>108</v>
      </c>
      <c r="C723">
        <v>108</v>
      </c>
      <c r="D723">
        <v>0</v>
      </c>
      <c r="E723" s="1">
        <v>35877</v>
      </c>
    </row>
    <row r="724" spans="1:5" x14ac:dyDescent="0.2">
      <c r="A724">
        <v>10970</v>
      </c>
      <c r="B724">
        <v>224</v>
      </c>
      <c r="C724">
        <v>280</v>
      </c>
      <c r="D724">
        <v>-56</v>
      </c>
      <c r="E724" s="1">
        <v>35878</v>
      </c>
    </row>
    <row r="725" spans="1:5" x14ac:dyDescent="0.2">
      <c r="A725">
        <v>10971</v>
      </c>
      <c r="B725">
        <v>1733.0600000000002</v>
      </c>
      <c r="C725">
        <v>1733.0600000000002</v>
      </c>
      <c r="D725">
        <v>0</v>
      </c>
      <c r="E725" s="1">
        <v>35878</v>
      </c>
    </row>
    <row r="726" spans="1:5" x14ac:dyDescent="0.2">
      <c r="A726">
        <v>10972</v>
      </c>
      <c r="B726">
        <v>251.5</v>
      </c>
      <c r="C726">
        <v>251.5</v>
      </c>
      <c r="D726">
        <v>0</v>
      </c>
      <c r="E726" s="1">
        <v>35878</v>
      </c>
    </row>
    <row r="727" spans="1:5" x14ac:dyDescent="0.2">
      <c r="A727">
        <v>10973</v>
      </c>
      <c r="B727">
        <v>291.55</v>
      </c>
      <c r="C727">
        <v>291.55</v>
      </c>
      <c r="D727">
        <v>0</v>
      </c>
      <c r="E727" s="1">
        <v>35878</v>
      </c>
    </row>
    <row r="728" spans="1:5" x14ac:dyDescent="0.2">
      <c r="A728">
        <v>10974</v>
      </c>
      <c r="B728">
        <v>439</v>
      </c>
      <c r="C728">
        <v>439</v>
      </c>
      <c r="D728">
        <v>0</v>
      </c>
      <c r="E728" s="1">
        <v>35879</v>
      </c>
    </row>
    <row r="729" spans="1:5" x14ac:dyDescent="0.2">
      <c r="A729">
        <v>10975</v>
      </c>
      <c r="B729">
        <v>717.5</v>
      </c>
      <c r="C729">
        <v>717.5</v>
      </c>
      <c r="D729">
        <v>0</v>
      </c>
      <c r="E729" s="1">
        <v>35879</v>
      </c>
    </row>
    <row r="730" spans="1:5" x14ac:dyDescent="0.2">
      <c r="A730">
        <v>10976</v>
      </c>
      <c r="B730">
        <v>912</v>
      </c>
      <c r="C730">
        <v>912</v>
      </c>
      <c r="D730">
        <v>0</v>
      </c>
      <c r="E730" s="1">
        <v>35879</v>
      </c>
    </row>
    <row r="731" spans="1:5" x14ac:dyDescent="0.2">
      <c r="A731">
        <v>10977</v>
      </c>
      <c r="B731">
        <v>2233</v>
      </c>
      <c r="C731">
        <v>2233</v>
      </c>
      <c r="D731">
        <v>0</v>
      </c>
      <c r="E731" s="1">
        <v>35880</v>
      </c>
    </row>
    <row r="732" spans="1:5" x14ac:dyDescent="0.2">
      <c r="A732">
        <v>10978</v>
      </c>
      <c r="B732">
        <v>1303.1949999999999</v>
      </c>
      <c r="C732">
        <v>1500.7</v>
      </c>
      <c r="D732">
        <v>-197.505</v>
      </c>
      <c r="E732" s="1">
        <v>35880</v>
      </c>
    </row>
    <row r="733" spans="1:5" x14ac:dyDescent="0.2">
      <c r="A733">
        <v>10979</v>
      </c>
      <c r="B733">
        <v>4813.5</v>
      </c>
      <c r="C733">
        <v>4813.5</v>
      </c>
      <c r="D733">
        <v>0</v>
      </c>
      <c r="E733" s="1">
        <v>35880</v>
      </c>
    </row>
    <row r="734" spans="1:5" x14ac:dyDescent="0.2">
      <c r="A734">
        <v>10980</v>
      </c>
      <c r="B734">
        <v>248</v>
      </c>
      <c r="C734">
        <v>310</v>
      </c>
      <c r="D734">
        <v>-62</v>
      </c>
      <c r="E734" s="1">
        <v>35881</v>
      </c>
    </row>
    <row r="735" spans="1:5" x14ac:dyDescent="0.2">
      <c r="A735">
        <v>10981</v>
      </c>
      <c r="B735">
        <v>15810</v>
      </c>
      <c r="C735">
        <v>15810</v>
      </c>
      <c r="D735">
        <v>0</v>
      </c>
      <c r="E735" s="1">
        <v>35881</v>
      </c>
    </row>
    <row r="736" spans="1:5" x14ac:dyDescent="0.2">
      <c r="A736">
        <v>10982</v>
      </c>
      <c r="B736">
        <v>1014</v>
      </c>
      <c r="C736">
        <v>1014</v>
      </c>
      <c r="D736">
        <v>0</v>
      </c>
      <c r="E736" s="1">
        <v>35881</v>
      </c>
    </row>
    <row r="737" spans="1:5" x14ac:dyDescent="0.2">
      <c r="A737">
        <v>10983</v>
      </c>
      <c r="B737">
        <v>720.9</v>
      </c>
      <c r="C737">
        <v>796.5</v>
      </c>
      <c r="D737">
        <v>-75.600000000000023</v>
      </c>
      <c r="E737" s="1">
        <v>35881</v>
      </c>
    </row>
    <row r="738" spans="1:5" x14ac:dyDescent="0.2">
      <c r="A738">
        <v>10984</v>
      </c>
      <c r="B738">
        <v>1809.75</v>
      </c>
      <c r="C738">
        <v>1809.75</v>
      </c>
      <c r="D738">
        <v>0</v>
      </c>
      <c r="E738" s="1">
        <v>35884</v>
      </c>
    </row>
    <row r="739" spans="1:5" x14ac:dyDescent="0.2">
      <c r="A739">
        <v>10985</v>
      </c>
      <c r="B739">
        <v>2023.3799999999999</v>
      </c>
      <c r="C739">
        <v>2248.1999999999998</v>
      </c>
      <c r="D739">
        <v>-224.82000000000005</v>
      </c>
      <c r="E739" s="1">
        <v>35884</v>
      </c>
    </row>
    <row r="740" spans="1:5" x14ac:dyDescent="0.2">
      <c r="A740">
        <v>10986</v>
      </c>
      <c r="B740">
        <v>2220</v>
      </c>
      <c r="C740">
        <v>2220</v>
      </c>
      <c r="D740">
        <v>0</v>
      </c>
      <c r="E740" s="1">
        <v>35884</v>
      </c>
    </row>
    <row r="741" spans="1:5" x14ac:dyDescent="0.2">
      <c r="A741">
        <v>10987</v>
      </c>
      <c r="B741">
        <v>2772</v>
      </c>
      <c r="C741">
        <v>2772</v>
      </c>
      <c r="D741">
        <v>0</v>
      </c>
      <c r="E741" s="1">
        <v>35885</v>
      </c>
    </row>
    <row r="742" spans="1:5" x14ac:dyDescent="0.2">
      <c r="A742">
        <v>10988</v>
      </c>
      <c r="B742">
        <v>3574.8</v>
      </c>
      <c r="C742">
        <v>3772</v>
      </c>
      <c r="D742">
        <v>-197.20000000000005</v>
      </c>
      <c r="E742" s="1">
        <v>35885</v>
      </c>
    </row>
    <row r="743" spans="1:5" x14ac:dyDescent="0.2">
      <c r="A743">
        <v>10989</v>
      </c>
      <c r="B743">
        <v>1353.6</v>
      </c>
      <c r="C743">
        <v>1353.6</v>
      </c>
      <c r="D743">
        <v>0</v>
      </c>
      <c r="E743" s="1">
        <v>35885</v>
      </c>
    </row>
    <row r="744" spans="1:5" x14ac:dyDescent="0.2">
      <c r="A744">
        <v>10990</v>
      </c>
      <c r="B744">
        <v>4288.8500000000004</v>
      </c>
      <c r="C744">
        <v>4931</v>
      </c>
      <c r="D744">
        <v>-642.15000000000009</v>
      </c>
      <c r="E744" s="1">
        <v>35886</v>
      </c>
    </row>
    <row r="745" spans="1:5" x14ac:dyDescent="0.2">
      <c r="A745">
        <v>10991</v>
      </c>
      <c r="B745">
        <v>2296</v>
      </c>
      <c r="C745">
        <v>2870</v>
      </c>
      <c r="D745">
        <v>-574</v>
      </c>
      <c r="E745" s="1">
        <v>35886</v>
      </c>
    </row>
    <row r="746" spans="1:5" x14ac:dyDescent="0.2">
      <c r="A746">
        <v>10992</v>
      </c>
      <c r="B746">
        <v>69.599999999999994</v>
      </c>
      <c r="C746">
        <v>69.599999999999994</v>
      </c>
      <c r="D746">
        <v>0</v>
      </c>
      <c r="E746" s="1">
        <v>35886</v>
      </c>
    </row>
    <row r="747" spans="1:5" x14ac:dyDescent="0.2">
      <c r="A747">
        <v>10993</v>
      </c>
      <c r="B747">
        <v>4895.4375</v>
      </c>
      <c r="C747">
        <v>6527.25</v>
      </c>
      <c r="D747">
        <v>-1631.8125</v>
      </c>
      <c r="E747" s="1">
        <v>35886</v>
      </c>
    </row>
    <row r="748" spans="1:5" x14ac:dyDescent="0.2">
      <c r="A748">
        <v>10994</v>
      </c>
      <c r="B748">
        <v>940.5</v>
      </c>
      <c r="C748">
        <v>990</v>
      </c>
      <c r="D748">
        <v>-49.5</v>
      </c>
      <c r="E748" s="1">
        <v>35887</v>
      </c>
    </row>
    <row r="749" spans="1:5" x14ac:dyDescent="0.2">
      <c r="A749">
        <v>10995</v>
      </c>
      <c r="B749">
        <v>1196</v>
      </c>
      <c r="C749">
        <v>1196</v>
      </c>
      <c r="D749">
        <v>0</v>
      </c>
      <c r="E749" s="1">
        <v>35887</v>
      </c>
    </row>
    <row r="750" spans="1:5" x14ac:dyDescent="0.2">
      <c r="A750">
        <v>10996</v>
      </c>
      <c r="B750">
        <v>560</v>
      </c>
      <c r="C750">
        <v>560</v>
      </c>
      <c r="D750">
        <v>0</v>
      </c>
      <c r="E750" s="1">
        <v>35887</v>
      </c>
    </row>
    <row r="751" spans="1:5" x14ac:dyDescent="0.2">
      <c r="A751">
        <v>10997</v>
      </c>
      <c r="B751">
        <v>1885</v>
      </c>
      <c r="C751">
        <v>1980</v>
      </c>
      <c r="D751">
        <v>-95</v>
      </c>
      <c r="E751" s="1">
        <v>35888</v>
      </c>
    </row>
    <row r="752" spans="1:5" x14ac:dyDescent="0.2">
      <c r="A752">
        <v>10998</v>
      </c>
      <c r="B752">
        <v>686</v>
      </c>
      <c r="C752">
        <v>686</v>
      </c>
      <c r="D752">
        <v>0</v>
      </c>
      <c r="E752" s="1">
        <v>35888</v>
      </c>
    </row>
    <row r="753" spans="1:5" x14ac:dyDescent="0.2">
      <c r="A753">
        <v>10999</v>
      </c>
      <c r="B753">
        <v>1197.95</v>
      </c>
      <c r="C753">
        <v>1261</v>
      </c>
      <c r="D753">
        <v>-63.049999999999983</v>
      </c>
      <c r="E753" s="1">
        <v>35888</v>
      </c>
    </row>
    <row r="754" spans="1:5" x14ac:dyDescent="0.2">
      <c r="A754">
        <v>11000</v>
      </c>
      <c r="B754">
        <v>903.75</v>
      </c>
      <c r="C754">
        <v>1075</v>
      </c>
      <c r="D754">
        <v>-171.25</v>
      </c>
      <c r="E754" s="1">
        <v>35891</v>
      </c>
    </row>
    <row r="755" spans="1:5" x14ac:dyDescent="0.2">
      <c r="A755">
        <v>11001</v>
      </c>
      <c r="B755">
        <v>2769</v>
      </c>
      <c r="C755">
        <v>2769</v>
      </c>
      <c r="D755">
        <v>0</v>
      </c>
      <c r="E755" s="1">
        <v>35891</v>
      </c>
    </row>
    <row r="756" spans="1:5" x14ac:dyDescent="0.2">
      <c r="A756">
        <v>11002</v>
      </c>
      <c r="B756">
        <v>1811.1</v>
      </c>
      <c r="C756">
        <v>1902</v>
      </c>
      <c r="D756">
        <v>-90.899999999999977</v>
      </c>
      <c r="E756" s="1">
        <v>35891</v>
      </c>
    </row>
    <row r="757" spans="1:5" x14ac:dyDescent="0.2">
      <c r="A757">
        <v>11003</v>
      </c>
      <c r="B757">
        <v>326</v>
      </c>
      <c r="C757">
        <v>326</v>
      </c>
      <c r="D757">
        <v>0</v>
      </c>
      <c r="E757" s="1">
        <v>35891</v>
      </c>
    </row>
    <row r="758" spans="1:5" x14ac:dyDescent="0.2">
      <c r="A758">
        <v>11004</v>
      </c>
      <c r="B758">
        <v>295.38</v>
      </c>
      <c r="C758">
        <v>295.38</v>
      </c>
      <c r="D758">
        <v>0</v>
      </c>
      <c r="E758" s="1">
        <v>35892</v>
      </c>
    </row>
    <row r="759" spans="1:5" x14ac:dyDescent="0.2">
      <c r="A759">
        <v>11005</v>
      </c>
      <c r="B759">
        <v>586</v>
      </c>
      <c r="C759">
        <v>586</v>
      </c>
      <c r="D759">
        <v>0</v>
      </c>
      <c r="E759" s="1">
        <v>35892</v>
      </c>
    </row>
    <row r="760" spans="1:5" x14ac:dyDescent="0.2">
      <c r="A760">
        <v>11006</v>
      </c>
      <c r="B760">
        <v>329.685</v>
      </c>
      <c r="C760">
        <v>391.58000000000004</v>
      </c>
      <c r="D760">
        <v>-61.89500000000001</v>
      </c>
      <c r="E760" s="1">
        <v>35892</v>
      </c>
    </row>
    <row r="761" spans="1:5" x14ac:dyDescent="0.2">
      <c r="A761">
        <v>11007</v>
      </c>
      <c r="B761">
        <v>2633.9</v>
      </c>
      <c r="C761">
        <v>2633.9</v>
      </c>
      <c r="D761">
        <v>0</v>
      </c>
      <c r="E761" s="1">
        <v>35893</v>
      </c>
    </row>
    <row r="762" spans="1:5" x14ac:dyDescent="0.2">
      <c r="A762">
        <v>11008</v>
      </c>
      <c r="B762">
        <v>4680.8999999999996</v>
      </c>
      <c r="C762">
        <v>4903.5</v>
      </c>
      <c r="D762">
        <v>-222.59999999999991</v>
      </c>
      <c r="E762" s="1">
        <v>35893</v>
      </c>
    </row>
    <row r="763" spans="1:5" x14ac:dyDescent="0.2">
      <c r="A763">
        <v>11009</v>
      </c>
      <c r="B763">
        <v>616.5</v>
      </c>
      <c r="C763">
        <v>702</v>
      </c>
      <c r="D763">
        <v>-85.5</v>
      </c>
      <c r="E763" s="1">
        <v>35893</v>
      </c>
    </row>
    <row r="764" spans="1:5" x14ac:dyDescent="0.2">
      <c r="A764">
        <v>11010</v>
      </c>
      <c r="B764">
        <v>645</v>
      </c>
      <c r="C764">
        <v>645</v>
      </c>
      <c r="D764">
        <v>0</v>
      </c>
      <c r="E764" s="1">
        <v>35894</v>
      </c>
    </row>
    <row r="765" spans="1:5" x14ac:dyDescent="0.2">
      <c r="A765">
        <v>11011</v>
      </c>
      <c r="B765">
        <v>933.5</v>
      </c>
      <c r="C765">
        <v>960</v>
      </c>
      <c r="D765">
        <v>-26.5</v>
      </c>
      <c r="E765" s="1">
        <v>35894</v>
      </c>
    </row>
    <row r="766" spans="1:5" x14ac:dyDescent="0.2">
      <c r="A766">
        <v>11012</v>
      </c>
      <c r="B766">
        <v>2825.3</v>
      </c>
      <c r="C766">
        <v>2974</v>
      </c>
      <c r="D766">
        <v>-148.70000000000005</v>
      </c>
      <c r="E766" s="1">
        <v>35894</v>
      </c>
    </row>
    <row r="767" spans="1:5" x14ac:dyDescent="0.2">
      <c r="A767">
        <v>11013</v>
      </c>
      <c r="B767">
        <v>361</v>
      </c>
      <c r="C767">
        <v>361</v>
      </c>
      <c r="D767">
        <v>0</v>
      </c>
      <c r="E767" s="1">
        <v>35894</v>
      </c>
    </row>
    <row r="768" spans="1:5" x14ac:dyDescent="0.2">
      <c r="A768">
        <v>11014</v>
      </c>
      <c r="B768">
        <v>243.17999999999998</v>
      </c>
      <c r="C768">
        <v>270.2</v>
      </c>
      <c r="D768">
        <v>-27.02000000000001</v>
      </c>
      <c r="E768" s="1">
        <v>35895</v>
      </c>
    </row>
    <row r="769" spans="1:5" x14ac:dyDescent="0.2">
      <c r="A769">
        <v>11015</v>
      </c>
      <c r="B769">
        <v>622.35</v>
      </c>
      <c r="C769">
        <v>622.35</v>
      </c>
      <c r="D769">
        <v>0</v>
      </c>
      <c r="E769" s="1">
        <v>35895</v>
      </c>
    </row>
    <row r="770" spans="1:5" x14ac:dyDescent="0.2">
      <c r="A770">
        <v>11016</v>
      </c>
      <c r="B770">
        <v>491.5</v>
      </c>
      <c r="C770">
        <v>491.5</v>
      </c>
      <c r="D770">
        <v>0</v>
      </c>
      <c r="E770" s="1">
        <v>35895</v>
      </c>
    </row>
    <row r="771" spans="1:5" x14ac:dyDescent="0.2">
      <c r="A771">
        <v>11017</v>
      </c>
      <c r="B771">
        <v>6750</v>
      </c>
      <c r="C771">
        <v>6750</v>
      </c>
      <c r="D771">
        <v>0</v>
      </c>
      <c r="E771" s="1">
        <v>35898</v>
      </c>
    </row>
    <row r="772" spans="1:5" x14ac:dyDescent="0.2">
      <c r="A772">
        <v>11018</v>
      </c>
      <c r="B772">
        <v>1575</v>
      </c>
      <c r="C772">
        <v>1575</v>
      </c>
      <c r="D772">
        <v>0</v>
      </c>
      <c r="E772" s="1">
        <v>35898</v>
      </c>
    </row>
    <row r="773" spans="1:5" x14ac:dyDescent="0.2">
      <c r="A773">
        <v>11019</v>
      </c>
      <c r="B773">
        <v>76</v>
      </c>
      <c r="C773">
        <v>76</v>
      </c>
      <c r="D773">
        <v>0</v>
      </c>
      <c r="E773" s="1">
        <v>35898</v>
      </c>
    </row>
    <row r="774" spans="1:5" x14ac:dyDescent="0.2">
      <c r="A774">
        <v>11020</v>
      </c>
      <c r="B774">
        <v>632.4</v>
      </c>
      <c r="C774">
        <v>744</v>
      </c>
      <c r="D774">
        <v>-111.60000000000002</v>
      </c>
      <c r="E774" s="1">
        <v>35899</v>
      </c>
    </row>
    <row r="775" spans="1:5" x14ac:dyDescent="0.2">
      <c r="A775">
        <v>11021</v>
      </c>
      <c r="B775">
        <v>6306.24</v>
      </c>
      <c r="C775">
        <v>6941.49</v>
      </c>
      <c r="D775">
        <v>-635.25</v>
      </c>
      <c r="E775" s="1">
        <v>35899</v>
      </c>
    </row>
    <row r="776" spans="1:5" x14ac:dyDescent="0.2">
      <c r="A776">
        <v>11022</v>
      </c>
      <c r="B776">
        <v>1402</v>
      </c>
      <c r="C776">
        <v>1402</v>
      </c>
      <c r="D776">
        <v>0</v>
      </c>
      <c r="E776" s="1">
        <v>35899</v>
      </c>
    </row>
    <row r="777" spans="1:5" x14ac:dyDescent="0.2">
      <c r="A777">
        <v>11023</v>
      </c>
      <c r="B777">
        <v>1500</v>
      </c>
      <c r="C777">
        <v>1500</v>
      </c>
      <c r="D777">
        <v>0</v>
      </c>
      <c r="E777" s="1">
        <v>35899</v>
      </c>
    </row>
    <row r="778" spans="1:5" x14ac:dyDescent="0.2">
      <c r="A778">
        <v>11024</v>
      </c>
      <c r="B778">
        <v>1966.81</v>
      </c>
      <c r="C778">
        <v>1966.81</v>
      </c>
      <c r="D778">
        <v>0</v>
      </c>
      <c r="E778" s="1">
        <v>35900</v>
      </c>
    </row>
    <row r="779" spans="1:5" x14ac:dyDescent="0.2">
      <c r="A779">
        <v>11025</v>
      </c>
      <c r="B779">
        <v>270</v>
      </c>
      <c r="C779">
        <v>300</v>
      </c>
      <c r="D779">
        <v>-30</v>
      </c>
      <c r="E779" s="1">
        <v>35900</v>
      </c>
    </row>
    <row r="780" spans="1:5" x14ac:dyDescent="0.2">
      <c r="A780">
        <v>11026</v>
      </c>
      <c r="B780">
        <v>1030</v>
      </c>
      <c r="C780">
        <v>1030</v>
      </c>
      <c r="D780">
        <v>0</v>
      </c>
      <c r="E780" s="1">
        <v>35900</v>
      </c>
    </row>
    <row r="781" spans="1:5" x14ac:dyDescent="0.2">
      <c r="A781">
        <v>11027</v>
      </c>
      <c r="B781">
        <v>877.72499999999991</v>
      </c>
      <c r="C781">
        <v>1170.3</v>
      </c>
      <c r="D781">
        <v>-292.57500000000005</v>
      </c>
      <c r="E781" s="1">
        <v>35901</v>
      </c>
    </row>
    <row r="782" spans="1:5" x14ac:dyDescent="0.2">
      <c r="A782">
        <v>11028</v>
      </c>
      <c r="B782">
        <v>2160</v>
      </c>
      <c r="C782">
        <v>2160</v>
      </c>
      <c r="D782">
        <v>0</v>
      </c>
      <c r="E782" s="1">
        <v>35901</v>
      </c>
    </row>
    <row r="783" spans="1:5" x14ac:dyDescent="0.2">
      <c r="A783">
        <v>11029</v>
      </c>
      <c r="B783">
        <v>1286.8</v>
      </c>
      <c r="C783">
        <v>1286.8</v>
      </c>
      <c r="D783">
        <v>0</v>
      </c>
      <c r="E783" s="1">
        <v>35901</v>
      </c>
    </row>
    <row r="784" spans="1:5" x14ac:dyDescent="0.2">
      <c r="A784">
        <v>11030</v>
      </c>
      <c r="B784">
        <v>12615.05</v>
      </c>
      <c r="C784">
        <v>16321.900000000001</v>
      </c>
      <c r="D784">
        <v>-3706.8500000000004</v>
      </c>
      <c r="E784" s="1">
        <v>35902</v>
      </c>
    </row>
    <row r="785" spans="1:5" x14ac:dyDescent="0.2">
      <c r="A785">
        <v>11031</v>
      </c>
      <c r="B785">
        <v>2393.5</v>
      </c>
      <c r="C785">
        <v>2393.5</v>
      </c>
      <c r="D785">
        <v>0</v>
      </c>
      <c r="E785" s="1">
        <v>35902</v>
      </c>
    </row>
    <row r="786" spans="1:5" x14ac:dyDescent="0.2">
      <c r="A786">
        <v>11032</v>
      </c>
      <c r="B786">
        <v>8902.5</v>
      </c>
      <c r="C786">
        <v>8902.5</v>
      </c>
      <c r="D786">
        <v>0</v>
      </c>
      <c r="E786" s="1">
        <v>35902</v>
      </c>
    </row>
    <row r="787" spans="1:5" x14ac:dyDescent="0.2">
      <c r="A787">
        <v>11033</v>
      </c>
      <c r="B787">
        <v>3232.8</v>
      </c>
      <c r="C787">
        <v>3592</v>
      </c>
      <c r="D787">
        <v>-359.19999999999982</v>
      </c>
      <c r="E787" s="1">
        <v>35902</v>
      </c>
    </row>
    <row r="788" spans="1:5" x14ac:dyDescent="0.2">
      <c r="A788">
        <v>11034</v>
      </c>
      <c r="B788">
        <v>539.4</v>
      </c>
      <c r="C788">
        <v>554.4</v>
      </c>
      <c r="D788">
        <v>-15</v>
      </c>
      <c r="E788" s="1">
        <v>35905</v>
      </c>
    </row>
    <row r="789" spans="1:5" x14ac:dyDescent="0.2">
      <c r="A789">
        <v>11035</v>
      </c>
      <c r="B789">
        <v>1754.5</v>
      </c>
      <c r="C789">
        <v>1754.5</v>
      </c>
      <c r="D789">
        <v>0</v>
      </c>
      <c r="E789" s="1">
        <v>35905</v>
      </c>
    </row>
    <row r="790" spans="1:5" x14ac:dyDescent="0.2">
      <c r="A790">
        <v>11036</v>
      </c>
      <c r="B790">
        <v>1692</v>
      </c>
      <c r="C790">
        <v>1692</v>
      </c>
      <c r="D790">
        <v>0</v>
      </c>
      <c r="E790" s="1">
        <v>35905</v>
      </c>
    </row>
    <row r="791" spans="1:5" x14ac:dyDescent="0.2">
      <c r="A791">
        <v>11037</v>
      </c>
      <c r="B791">
        <v>60</v>
      </c>
      <c r="C791">
        <v>60</v>
      </c>
      <c r="D791">
        <v>0</v>
      </c>
      <c r="E791" s="1">
        <v>35906</v>
      </c>
    </row>
    <row r="792" spans="1:5" x14ac:dyDescent="0.2">
      <c r="A792">
        <v>11038</v>
      </c>
      <c r="B792">
        <v>732.6</v>
      </c>
      <c r="C792">
        <v>751</v>
      </c>
      <c r="D792">
        <v>-18.400000000000006</v>
      </c>
      <c r="E792" s="1">
        <v>35906</v>
      </c>
    </row>
    <row r="793" spans="1:5" x14ac:dyDescent="0.2">
      <c r="A793">
        <v>11039</v>
      </c>
      <c r="B793">
        <v>3090</v>
      </c>
      <c r="C793">
        <v>3090</v>
      </c>
      <c r="D793">
        <v>0</v>
      </c>
      <c r="E793" s="1">
        <v>35906</v>
      </c>
    </row>
    <row r="794" spans="1:5" x14ac:dyDescent="0.2">
      <c r="A794">
        <v>11040</v>
      </c>
      <c r="B794">
        <v>200</v>
      </c>
      <c r="C794">
        <v>200</v>
      </c>
      <c r="D794">
        <v>0</v>
      </c>
      <c r="E794" s="1">
        <v>35907</v>
      </c>
    </row>
    <row r="795" spans="1:5" x14ac:dyDescent="0.2">
      <c r="A795">
        <v>11041</v>
      </c>
      <c r="B795">
        <v>1773</v>
      </c>
      <c r="C795">
        <v>1887</v>
      </c>
      <c r="D795">
        <v>-114</v>
      </c>
      <c r="E795" s="1">
        <v>35907</v>
      </c>
    </row>
    <row r="796" spans="1:5" x14ac:dyDescent="0.2">
      <c r="A796">
        <v>11042</v>
      </c>
      <c r="B796">
        <v>405.75</v>
      </c>
      <c r="C796">
        <v>405.75</v>
      </c>
      <c r="D796">
        <v>0</v>
      </c>
      <c r="E796" s="1">
        <v>35907</v>
      </c>
    </row>
    <row r="797" spans="1:5" x14ac:dyDescent="0.2">
      <c r="A797">
        <v>11043</v>
      </c>
      <c r="B797">
        <v>210</v>
      </c>
      <c r="C797">
        <v>210</v>
      </c>
      <c r="D797">
        <v>0</v>
      </c>
      <c r="E797" s="1">
        <v>35907</v>
      </c>
    </row>
    <row r="798" spans="1:5" x14ac:dyDescent="0.2">
      <c r="A798">
        <v>11044</v>
      </c>
      <c r="B798">
        <v>591.59999999999991</v>
      </c>
      <c r="C798">
        <v>591.59999999999991</v>
      </c>
      <c r="D798">
        <v>0</v>
      </c>
      <c r="E798" s="1">
        <v>35908</v>
      </c>
    </row>
    <row r="799" spans="1:5" x14ac:dyDescent="0.2">
      <c r="A799">
        <v>11045</v>
      </c>
      <c r="B799">
        <v>1309.5</v>
      </c>
      <c r="C799">
        <v>1309.5</v>
      </c>
      <c r="D799">
        <v>0</v>
      </c>
      <c r="E799" s="1">
        <v>35908</v>
      </c>
    </row>
    <row r="800" spans="1:5" x14ac:dyDescent="0.2">
      <c r="A800">
        <v>11046</v>
      </c>
      <c r="B800">
        <v>1485.8</v>
      </c>
      <c r="C800">
        <v>1564</v>
      </c>
      <c r="D800">
        <v>-78.199999999999989</v>
      </c>
      <c r="E800" s="1">
        <v>35908</v>
      </c>
    </row>
    <row r="801" spans="1:5" x14ac:dyDescent="0.2">
      <c r="A801">
        <v>11047</v>
      </c>
      <c r="B801">
        <v>817.875</v>
      </c>
      <c r="C801">
        <v>1090.5</v>
      </c>
      <c r="D801">
        <v>-272.625</v>
      </c>
      <c r="E801" s="1">
        <v>35909</v>
      </c>
    </row>
    <row r="802" spans="1:5" x14ac:dyDescent="0.2">
      <c r="A802">
        <v>11048</v>
      </c>
      <c r="B802">
        <v>525</v>
      </c>
      <c r="C802">
        <v>525</v>
      </c>
      <c r="D802">
        <v>0</v>
      </c>
      <c r="E802" s="1">
        <v>35909</v>
      </c>
    </row>
    <row r="803" spans="1:5" x14ac:dyDescent="0.2">
      <c r="A803">
        <v>11049</v>
      </c>
      <c r="B803">
        <v>273.60000000000002</v>
      </c>
      <c r="C803">
        <v>342</v>
      </c>
      <c r="D803">
        <v>-68.400000000000006</v>
      </c>
      <c r="E803" s="1">
        <v>35909</v>
      </c>
    </row>
    <row r="804" spans="1:5" x14ac:dyDescent="0.2">
      <c r="A804">
        <v>11050</v>
      </c>
      <c r="B804">
        <v>810</v>
      </c>
      <c r="C804">
        <v>900</v>
      </c>
      <c r="D804">
        <v>-90</v>
      </c>
      <c r="E804" s="1">
        <v>35912</v>
      </c>
    </row>
    <row r="805" spans="1:5" x14ac:dyDescent="0.2">
      <c r="A805">
        <v>11051</v>
      </c>
      <c r="B805">
        <v>36</v>
      </c>
      <c r="C805">
        <v>45</v>
      </c>
      <c r="D805">
        <v>-9</v>
      </c>
      <c r="E805" s="1">
        <v>35912</v>
      </c>
    </row>
    <row r="806" spans="1:5" x14ac:dyDescent="0.2">
      <c r="A806">
        <v>11052</v>
      </c>
      <c r="B806">
        <v>1332</v>
      </c>
      <c r="C806">
        <v>1665</v>
      </c>
      <c r="D806">
        <v>-333</v>
      </c>
      <c r="E806" s="1">
        <v>35912</v>
      </c>
    </row>
    <row r="807" spans="1:5" x14ac:dyDescent="0.2">
      <c r="A807">
        <v>11053</v>
      </c>
      <c r="B807">
        <v>3055</v>
      </c>
      <c r="C807">
        <v>3658.75</v>
      </c>
      <c r="D807">
        <v>-603.75</v>
      </c>
      <c r="E807" s="1">
        <v>35912</v>
      </c>
    </row>
    <row r="808" spans="1:5" x14ac:dyDescent="0.2">
      <c r="A808">
        <v>11054</v>
      </c>
      <c r="B808">
        <v>305</v>
      </c>
      <c r="C808">
        <v>305</v>
      </c>
      <c r="D808">
        <v>0</v>
      </c>
      <c r="E808" s="1">
        <v>35913</v>
      </c>
    </row>
    <row r="809" spans="1:5" x14ac:dyDescent="0.2">
      <c r="A809">
        <v>11055</v>
      </c>
      <c r="B809">
        <v>1727.5</v>
      </c>
      <c r="C809">
        <v>1727.5</v>
      </c>
      <c r="D809">
        <v>0</v>
      </c>
      <c r="E809" s="1">
        <v>35913</v>
      </c>
    </row>
    <row r="810" spans="1:5" x14ac:dyDescent="0.2">
      <c r="A810">
        <v>11056</v>
      </c>
      <c r="B810">
        <v>3740</v>
      </c>
      <c r="C810">
        <v>3740</v>
      </c>
      <c r="D810">
        <v>0</v>
      </c>
      <c r="E810" s="1">
        <v>35913</v>
      </c>
    </row>
    <row r="811" spans="1:5" x14ac:dyDescent="0.2">
      <c r="A811">
        <v>11057</v>
      </c>
      <c r="B811">
        <v>45</v>
      </c>
      <c r="C811">
        <v>45</v>
      </c>
      <c r="D811">
        <v>0</v>
      </c>
      <c r="E811" s="1">
        <v>35914</v>
      </c>
    </row>
    <row r="812" spans="1:5" x14ac:dyDescent="0.2">
      <c r="A812">
        <v>11058</v>
      </c>
      <c r="B812">
        <v>858</v>
      </c>
      <c r="C812">
        <v>858</v>
      </c>
      <c r="D812">
        <v>0</v>
      </c>
      <c r="E812" s="1">
        <v>35914</v>
      </c>
    </row>
    <row r="813" spans="1:5" x14ac:dyDescent="0.2">
      <c r="A813">
        <v>11059</v>
      </c>
      <c r="B813">
        <v>1838</v>
      </c>
      <c r="C813">
        <v>1838</v>
      </c>
      <c r="D813">
        <v>0</v>
      </c>
      <c r="E813" s="1">
        <v>35914</v>
      </c>
    </row>
    <row r="814" spans="1:5" x14ac:dyDescent="0.2">
      <c r="A814">
        <v>11060</v>
      </c>
      <c r="B814">
        <v>266</v>
      </c>
      <c r="C814">
        <v>266</v>
      </c>
      <c r="D814">
        <v>0</v>
      </c>
      <c r="E814" s="1">
        <v>35915</v>
      </c>
    </row>
    <row r="815" spans="1:5" x14ac:dyDescent="0.2">
      <c r="A815">
        <v>11061</v>
      </c>
      <c r="B815">
        <v>510</v>
      </c>
      <c r="C815">
        <v>510</v>
      </c>
      <c r="D815">
        <v>0</v>
      </c>
      <c r="E815" s="1">
        <v>35915</v>
      </c>
    </row>
    <row r="816" spans="1:5" x14ac:dyDescent="0.2">
      <c r="A816">
        <v>11062</v>
      </c>
      <c r="B816">
        <v>406.4</v>
      </c>
      <c r="C816">
        <v>508</v>
      </c>
      <c r="D816">
        <v>-101.60000000000002</v>
      </c>
      <c r="E816" s="1">
        <v>35915</v>
      </c>
    </row>
    <row r="817" spans="1:5" x14ac:dyDescent="0.2">
      <c r="A817">
        <v>11063</v>
      </c>
      <c r="B817">
        <v>1342.95</v>
      </c>
      <c r="C817">
        <v>1445.5</v>
      </c>
      <c r="D817">
        <v>-102.55000000000001</v>
      </c>
      <c r="E817" s="1">
        <v>35915</v>
      </c>
    </row>
    <row r="818" spans="1:5" x14ac:dyDescent="0.2">
      <c r="A818">
        <v>11064</v>
      </c>
      <c r="B818">
        <v>4330.3999999999996</v>
      </c>
      <c r="C818">
        <v>4722.3</v>
      </c>
      <c r="D818">
        <v>-391.9000000000002</v>
      </c>
      <c r="E818" s="1">
        <v>35916</v>
      </c>
    </row>
    <row r="819" spans="1:5" x14ac:dyDescent="0.2">
      <c r="A819">
        <v>11065</v>
      </c>
      <c r="B819">
        <v>189.42000000000002</v>
      </c>
      <c r="C819">
        <v>252.56</v>
      </c>
      <c r="D819">
        <v>-63.14</v>
      </c>
      <c r="E819" s="1">
        <v>35916</v>
      </c>
    </row>
    <row r="820" spans="1:5" x14ac:dyDescent="0.2">
      <c r="A820">
        <v>11066</v>
      </c>
      <c r="B820">
        <v>928.75</v>
      </c>
      <c r="C820">
        <v>928.75</v>
      </c>
      <c r="D820">
        <v>0</v>
      </c>
      <c r="E820" s="1">
        <v>35916</v>
      </c>
    </row>
    <row r="821" spans="1:5" x14ac:dyDescent="0.2">
      <c r="A821">
        <v>11067</v>
      </c>
      <c r="B821">
        <v>86.850000000000009</v>
      </c>
      <c r="C821">
        <v>86.850000000000009</v>
      </c>
      <c r="D821">
        <v>0</v>
      </c>
      <c r="E821" s="1">
        <v>35919</v>
      </c>
    </row>
    <row r="822" spans="1:5" x14ac:dyDescent="0.2">
      <c r="A822">
        <v>11068</v>
      </c>
      <c r="B822">
        <v>2027.08</v>
      </c>
      <c r="C822">
        <v>2384.8000000000002</v>
      </c>
      <c r="D822">
        <v>-357.72000000000008</v>
      </c>
      <c r="E822" s="1">
        <v>35919</v>
      </c>
    </row>
    <row r="823" spans="1:5" x14ac:dyDescent="0.2">
      <c r="A823">
        <v>11069</v>
      </c>
      <c r="B823">
        <v>360</v>
      </c>
      <c r="C823">
        <v>360</v>
      </c>
      <c r="D823">
        <v>0</v>
      </c>
      <c r="E823" s="1">
        <v>35919</v>
      </c>
    </row>
    <row r="824" spans="1:5" x14ac:dyDescent="0.2">
      <c r="A824">
        <v>11070</v>
      </c>
      <c r="B824">
        <v>1629.9749999999999</v>
      </c>
      <c r="C824">
        <v>1873.5</v>
      </c>
      <c r="D824">
        <v>-243.52499999999998</v>
      </c>
      <c r="E824" s="1">
        <v>35920</v>
      </c>
    </row>
    <row r="825" spans="1:5" x14ac:dyDescent="0.2">
      <c r="A825">
        <v>11071</v>
      </c>
      <c r="B825">
        <v>484.5</v>
      </c>
      <c r="C825">
        <v>510</v>
      </c>
      <c r="D825">
        <v>-25.5</v>
      </c>
      <c r="E825" s="1">
        <v>35920</v>
      </c>
    </row>
    <row r="826" spans="1:5" x14ac:dyDescent="0.2">
      <c r="A826">
        <v>11072</v>
      </c>
      <c r="B826">
        <v>5218</v>
      </c>
      <c r="C826">
        <v>5218</v>
      </c>
      <c r="D826">
        <v>0</v>
      </c>
      <c r="E826" s="1">
        <v>35920</v>
      </c>
    </row>
    <row r="827" spans="1:5" x14ac:dyDescent="0.2">
      <c r="A827">
        <v>11073</v>
      </c>
      <c r="B827">
        <v>300</v>
      </c>
      <c r="C827">
        <v>300</v>
      </c>
      <c r="D827">
        <v>0</v>
      </c>
      <c r="E827" s="1">
        <v>35920</v>
      </c>
    </row>
    <row r="828" spans="1:5" x14ac:dyDescent="0.2">
      <c r="A828">
        <v>11074</v>
      </c>
      <c r="B828">
        <v>232.08499999999998</v>
      </c>
      <c r="C828">
        <v>244.29999999999998</v>
      </c>
      <c r="D828">
        <v>-12.215000000000003</v>
      </c>
      <c r="E828" s="1">
        <v>35921</v>
      </c>
    </row>
    <row r="829" spans="1:5" x14ac:dyDescent="0.2">
      <c r="A829">
        <v>11075</v>
      </c>
      <c r="B829">
        <v>498.1</v>
      </c>
      <c r="C829">
        <v>586</v>
      </c>
      <c r="D829">
        <v>-87.9</v>
      </c>
      <c r="E829" s="1">
        <v>35921</v>
      </c>
    </row>
    <row r="830" spans="1:5" x14ac:dyDescent="0.2">
      <c r="A830">
        <v>11076</v>
      </c>
      <c r="B830">
        <v>792.75</v>
      </c>
      <c r="C830">
        <v>1057</v>
      </c>
      <c r="D830">
        <v>-264.25</v>
      </c>
      <c r="E830" s="1">
        <v>35921</v>
      </c>
    </row>
    <row r="831" spans="1:5" x14ac:dyDescent="0.2">
      <c r="A831">
        <v>11077</v>
      </c>
      <c r="B831">
        <v>1255.7205000000001</v>
      </c>
      <c r="C831">
        <v>1374.6</v>
      </c>
      <c r="D831">
        <v>-118.87949999999998</v>
      </c>
      <c r="E831" s="1">
        <v>35921</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010F8-A58A-1642-BF23-85C99581B354}">
  <sheetPr codeName="Hoja6"/>
  <dimension ref="A1:Q831"/>
  <sheetViews>
    <sheetView topLeftCell="K1" zoomScale="178" workbookViewId="0">
      <selection activeCell="D2" sqref="D2:D831"/>
    </sheetView>
  </sheetViews>
  <sheetFormatPr baseColWidth="10" defaultRowHeight="16" x14ac:dyDescent="0.2"/>
  <cols>
    <col min="2" max="2" width="11.33203125" customWidth="1"/>
    <col min="3" max="3" width="11.6640625" customWidth="1"/>
    <col min="5" max="5" width="12.6640625" customWidth="1"/>
    <col min="6" max="6" width="12.33203125" customWidth="1"/>
    <col min="7" max="7" width="10.1640625" customWidth="1"/>
    <col min="8" max="8" width="9.33203125" bestFit="1" customWidth="1"/>
    <col min="9" max="9" width="29.83203125" bestFit="1" customWidth="1"/>
    <col min="10" max="10" width="39.33203125" bestFit="1" customWidth="1"/>
    <col min="11" max="11" width="12.6640625" bestFit="1" customWidth="1"/>
    <col min="12" max="12" width="12.83203125" bestFit="1" customWidth="1"/>
    <col min="13" max="13" width="14.83203125" customWidth="1"/>
    <col min="14" max="14" width="12" customWidth="1"/>
  </cols>
  <sheetData>
    <row r="1" spans="1:17" x14ac:dyDescent="0.2">
      <c r="A1" t="s">
        <v>0</v>
      </c>
      <c r="B1" t="s">
        <v>1</v>
      </c>
      <c r="C1" t="s">
        <v>2</v>
      </c>
      <c r="D1" t="s">
        <v>3</v>
      </c>
      <c r="E1" t="s">
        <v>4</v>
      </c>
      <c r="F1" t="s">
        <v>5</v>
      </c>
      <c r="G1" t="s">
        <v>6</v>
      </c>
      <c r="H1" t="s">
        <v>7</v>
      </c>
      <c r="I1" t="s">
        <v>8</v>
      </c>
      <c r="J1" t="s">
        <v>9</v>
      </c>
      <c r="K1" t="s">
        <v>10</v>
      </c>
      <c r="L1" t="s">
        <v>11</v>
      </c>
      <c r="M1" t="s">
        <v>12</v>
      </c>
      <c r="N1" t="s">
        <v>13</v>
      </c>
      <c r="O1" t="s">
        <v>1523</v>
      </c>
      <c r="P1" t="s">
        <v>1524</v>
      </c>
      <c r="Q1" t="s">
        <v>1525</v>
      </c>
    </row>
    <row r="2" spans="1:17" x14ac:dyDescent="0.2">
      <c r="A2">
        <v>10248</v>
      </c>
      <c r="B2" t="s">
        <v>14</v>
      </c>
      <c r="C2">
        <v>5</v>
      </c>
      <c r="D2" s="1">
        <v>35250</v>
      </c>
      <c r="E2" s="1">
        <v>35278</v>
      </c>
      <c r="F2" s="1">
        <v>35262</v>
      </c>
      <c r="G2">
        <v>3</v>
      </c>
      <c r="H2" s="2">
        <v>32.380000000000003</v>
      </c>
      <c r="I2" t="s">
        <v>15</v>
      </c>
      <c r="J2" t="s">
        <v>16</v>
      </c>
      <c r="K2" t="s">
        <v>17</v>
      </c>
      <c r="L2" t="s">
        <v>18</v>
      </c>
      <c r="M2">
        <v>51100</v>
      </c>
      <c r="N2" t="s">
        <v>19</v>
      </c>
      <c r="O2">
        <f>Orders[[#This Row],[requiredDate]]-Orders[[#This Row],[orderDate]]</f>
        <v>28</v>
      </c>
      <c r="P2">
        <f>Orders[[#This Row],[shippedDate]]-Orders[[#This Row],[orderDate]]</f>
        <v>12</v>
      </c>
      <c r="Q2">
        <f>Orders[[#This Row],[requiredDate]]-Orders[[#This Row],[shippedDate]]</f>
        <v>16</v>
      </c>
    </row>
    <row r="3" spans="1:17" x14ac:dyDescent="0.2">
      <c r="A3">
        <v>10249</v>
      </c>
      <c r="B3" t="s">
        <v>20</v>
      </c>
      <c r="C3">
        <v>6</v>
      </c>
      <c r="D3" s="1">
        <v>35251</v>
      </c>
      <c r="E3" s="1">
        <v>35293</v>
      </c>
      <c r="F3" s="1">
        <v>35256</v>
      </c>
      <c r="G3">
        <v>1</v>
      </c>
      <c r="H3" s="2">
        <v>11.61</v>
      </c>
      <c r="I3" t="s">
        <v>21</v>
      </c>
      <c r="J3" t="s">
        <v>22</v>
      </c>
      <c r="K3" t="s">
        <v>23</v>
      </c>
      <c r="L3" t="s">
        <v>18</v>
      </c>
      <c r="M3">
        <v>44087</v>
      </c>
      <c r="N3" t="s">
        <v>24</v>
      </c>
      <c r="O3">
        <f>Orders[[#This Row],[requiredDate]]-Orders[[#This Row],[orderDate]]</f>
        <v>42</v>
      </c>
      <c r="P3">
        <f>Orders[[#This Row],[shippedDate]]-Orders[[#This Row],[orderDate]]</f>
        <v>5</v>
      </c>
      <c r="Q3">
        <f>Orders[[#This Row],[requiredDate]]-Orders[[#This Row],[shippedDate]]</f>
        <v>37</v>
      </c>
    </row>
    <row r="4" spans="1:17" x14ac:dyDescent="0.2">
      <c r="A4">
        <v>10250</v>
      </c>
      <c r="B4" t="s">
        <v>25</v>
      </c>
      <c r="C4">
        <v>4</v>
      </c>
      <c r="D4" s="1">
        <v>35254</v>
      </c>
      <c r="E4" s="1">
        <v>35282</v>
      </c>
      <c r="F4" s="1">
        <v>35258</v>
      </c>
      <c r="G4">
        <v>2</v>
      </c>
      <c r="H4" s="2">
        <v>65.83</v>
      </c>
      <c r="I4" t="s">
        <v>26</v>
      </c>
      <c r="J4" t="s">
        <v>27</v>
      </c>
      <c r="K4" t="s">
        <v>28</v>
      </c>
      <c r="L4" t="s">
        <v>29</v>
      </c>
      <c r="M4" t="s">
        <v>30</v>
      </c>
      <c r="N4" t="s">
        <v>31</v>
      </c>
      <c r="O4">
        <f>Orders[[#This Row],[requiredDate]]-Orders[[#This Row],[orderDate]]</f>
        <v>28</v>
      </c>
      <c r="P4">
        <f>Orders[[#This Row],[shippedDate]]-Orders[[#This Row],[orderDate]]</f>
        <v>4</v>
      </c>
      <c r="Q4">
        <f>Orders[[#This Row],[requiredDate]]-Orders[[#This Row],[shippedDate]]</f>
        <v>24</v>
      </c>
    </row>
    <row r="5" spans="1:17" x14ac:dyDescent="0.2">
      <c r="A5">
        <v>10251</v>
      </c>
      <c r="B5" t="s">
        <v>32</v>
      </c>
      <c r="C5">
        <v>3</v>
      </c>
      <c r="D5" s="1">
        <v>35254</v>
      </c>
      <c r="E5" s="1">
        <v>35282</v>
      </c>
      <c r="F5" s="1">
        <v>35261</v>
      </c>
      <c r="G5">
        <v>1</v>
      </c>
      <c r="H5" s="2">
        <v>41.34</v>
      </c>
      <c r="I5" t="s">
        <v>33</v>
      </c>
      <c r="J5" t="s">
        <v>34</v>
      </c>
      <c r="K5" t="s">
        <v>35</v>
      </c>
      <c r="L5" t="s">
        <v>18</v>
      </c>
      <c r="M5">
        <v>69004</v>
      </c>
      <c r="N5" t="s">
        <v>19</v>
      </c>
      <c r="O5">
        <f>Orders[[#This Row],[requiredDate]]-Orders[[#This Row],[orderDate]]</f>
        <v>28</v>
      </c>
      <c r="P5">
        <f>Orders[[#This Row],[shippedDate]]-Orders[[#This Row],[orderDate]]</f>
        <v>7</v>
      </c>
      <c r="Q5">
        <f>Orders[[#This Row],[requiredDate]]-Orders[[#This Row],[shippedDate]]</f>
        <v>21</v>
      </c>
    </row>
    <row r="6" spans="1:17" x14ac:dyDescent="0.2">
      <c r="A6">
        <v>10252</v>
      </c>
      <c r="B6" t="s">
        <v>36</v>
      </c>
      <c r="C6">
        <v>4</v>
      </c>
      <c r="D6" s="1">
        <v>35255</v>
      </c>
      <c r="E6" s="1">
        <v>35283</v>
      </c>
      <c r="F6" s="1">
        <v>35257</v>
      </c>
      <c r="G6">
        <v>2</v>
      </c>
      <c r="H6" s="2">
        <v>51.3</v>
      </c>
      <c r="I6" t="s">
        <v>37</v>
      </c>
      <c r="J6" t="s">
        <v>38</v>
      </c>
      <c r="K6" t="s">
        <v>39</v>
      </c>
      <c r="L6" t="s">
        <v>18</v>
      </c>
      <c r="M6" t="s">
        <v>40</v>
      </c>
      <c r="N6" t="s">
        <v>41</v>
      </c>
      <c r="O6">
        <f>Orders[[#This Row],[requiredDate]]-Orders[[#This Row],[orderDate]]</f>
        <v>28</v>
      </c>
      <c r="P6">
        <f>Orders[[#This Row],[shippedDate]]-Orders[[#This Row],[orderDate]]</f>
        <v>2</v>
      </c>
      <c r="Q6">
        <f>Orders[[#This Row],[requiredDate]]-Orders[[#This Row],[shippedDate]]</f>
        <v>26</v>
      </c>
    </row>
    <row r="7" spans="1:17" x14ac:dyDescent="0.2">
      <c r="A7">
        <v>10253</v>
      </c>
      <c r="B7" t="s">
        <v>25</v>
      </c>
      <c r="C7">
        <v>3</v>
      </c>
      <c r="D7" s="1">
        <v>35256</v>
      </c>
      <c r="E7" s="1">
        <v>35270</v>
      </c>
      <c r="F7" s="1">
        <v>35262</v>
      </c>
      <c r="G7">
        <v>2</v>
      </c>
      <c r="H7" s="2">
        <v>58.17</v>
      </c>
      <c r="I7" t="s">
        <v>26</v>
      </c>
      <c r="J7" t="s">
        <v>27</v>
      </c>
      <c r="K7" t="s">
        <v>28</v>
      </c>
      <c r="L7" t="s">
        <v>29</v>
      </c>
      <c r="M7" t="s">
        <v>30</v>
      </c>
      <c r="N7" t="s">
        <v>31</v>
      </c>
      <c r="O7">
        <f>Orders[[#This Row],[requiredDate]]-Orders[[#This Row],[orderDate]]</f>
        <v>14</v>
      </c>
      <c r="P7">
        <f>Orders[[#This Row],[shippedDate]]-Orders[[#This Row],[orderDate]]</f>
        <v>6</v>
      </c>
      <c r="Q7">
        <f>Orders[[#This Row],[requiredDate]]-Orders[[#This Row],[shippedDate]]</f>
        <v>8</v>
      </c>
    </row>
    <row r="8" spans="1:17" x14ac:dyDescent="0.2">
      <c r="A8">
        <v>10254</v>
      </c>
      <c r="B8" t="s">
        <v>42</v>
      </c>
      <c r="C8">
        <v>5</v>
      </c>
      <c r="D8" s="1">
        <v>35257</v>
      </c>
      <c r="E8" s="1">
        <v>35285</v>
      </c>
      <c r="F8" s="1">
        <v>35269</v>
      </c>
      <c r="G8">
        <v>2</v>
      </c>
      <c r="H8" s="2">
        <v>22.98</v>
      </c>
      <c r="I8" t="s">
        <v>43</v>
      </c>
      <c r="J8" t="s">
        <v>44</v>
      </c>
      <c r="K8" t="s">
        <v>45</v>
      </c>
      <c r="L8" t="s">
        <v>18</v>
      </c>
      <c r="M8">
        <v>3012</v>
      </c>
      <c r="N8" t="s">
        <v>46</v>
      </c>
      <c r="O8">
        <f>Orders[[#This Row],[requiredDate]]-Orders[[#This Row],[orderDate]]</f>
        <v>28</v>
      </c>
      <c r="P8">
        <f>Orders[[#This Row],[shippedDate]]-Orders[[#This Row],[orderDate]]</f>
        <v>12</v>
      </c>
      <c r="Q8">
        <f>Orders[[#This Row],[requiredDate]]-Orders[[#This Row],[shippedDate]]</f>
        <v>16</v>
      </c>
    </row>
    <row r="9" spans="1:17" x14ac:dyDescent="0.2">
      <c r="A9">
        <v>10255</v>
      </c>
      <c r="B9" t="s">
        <v>47</v>
      </c>
      <c r="C9">
        <v>9</v>
      </c>
      <c r="D9" s="1">
        <v>35258</v>
      </c>
      <c r="E9" s="1">
        <v>35286</v>
      </c>
      <c r="F9" s="1">
        <v>35261</v>
      </c>
      <c r="G9">
        <v>3</v>
      </c>
      <c r="H9" s="2">
        <v>148.33000000000001</v>
      </c>
      <c r="I9" t="s">
        <v>48</v>
      </c>
      <c r="J9" t="s">
        <v>49</v>
      </c>
      <c r="K9" t="s">
        <v>50</v>
      </c>
      <c r="L9" t="s">
        <v>18</v>
      </c>
      <c r="M9">
        <v>1204</v>
      </c>
      <c r="N9" t="s">
        <v>46</v>
      </c>
      <c r="O9">
        <f>Orders[[#This Row],[requiredDate]]-Orders[[#This Row],[orderDate]]</f>
        <v>28</v>
      </c>
      <c r="P9">
        <f>Orders[[#This Row],[shippedDate]]-Orders[[#This Row],[orderDate]]</f>
        <v>3</v>
      </c>
      <c r="Q9">
        <f>Orders[[#This Row],[requiredDate]]-Orders[[#This Row],[shippedDate]]</f>
        <v>25</v>
      </c>
    </row>
    <row r="10" spans="1:17" x14ac:dyDescent="0.2">
      <c r="A10">
        <v>10256</v>
      </c>
      <c r="B10" t="s">
        <v>51</v>
      </c>
      <c r="C10">
        <v>3</v>
      </c>
      <c r="D10" s="1">
        <v>35261</v>
      </c>
      <c r="E10" s="1">
        <v>35289</v>
      </c>
      <c r="F10" s="1">
        <v>35263</v>
      </c>
      <c r="G10">
        <v>2</v>
      </c>
      <c r="H10" s="2">
        <v>13.97</v>
      </c>
      <c r="I10" t="s">
        <v>52</v>
      </c>
      <c r="J10" t="s">
        <v>53</v>
      </c>
      <c r="K10" t="s">
        <v>54</v>
      </c>
      <c r="L10" t="s">
        <v>55</v>
      </c>
      <c r="M10" t="s">
        <v>56</v>
      </c>
      <c r="N10" t="s">
        <v>31</v>
      </c>
      <c r="O10">
        <f>Orders[[#This Row],[requiredDate]]-Orders[[#This Row],[orderDate]]</f>
        <v>28</v>
      </c>
      <c r="P10">
        <f>Orders[[#This Row],[shippedDate]]-Orders[[#This Row],[orderDate]]</f>
        <v>2</v>
      </c>
      <c r="Q10">
        <f>Orders[[#This Row],[requiredDate]]-Orders[[#This Row],[shippedDate]]</f>
        <v>26</v>
      </c>
    </row>
    <row r="11" spans="1:17" x14ac:dyDescent="0.2">
      <c r="A11">
        <v>10257</v>
      </c>
      <c r="B11" t="s">
        <v>57</v>
      </c>
      <c r="C11">
        <v>4</v>
      </c>
      <c r="D11" s="1">
        <v>35262</v>
      </c>
      <c r="E11" s="1">
        <v>35290</v>
      </c>
      <c r="F11" s="1">
        <v>35268</v>
      </c>
      <c r="G11">
        <v>3</v>
      </c>
      <c r="H11" s="2">
        <v>81.91</v>
      </c>
      <c r="I11" t="s">
        <v>58</v>
      </c>
      <c r="J11" t="s">
        <v>59</v>
      </c>
      <c r="K11" t="s">
        <v>60</v>
      </c>
      <c r="L11" t="s">
        <v>61</v>
      </c>
      <c r="M11">
        <v>5022</v>
      </c>
      <c r="N11" t="s">
        <v>62</v>
      </c>
      <c r="O11">
        <f>Orders[[#This Row],[requiredDate]]-Orders[[#This Row],[orderDate]]</f>
        <v>28</v>
      </c>
      <c r="P11">
        <f>Orders[[#This Row],[shippedDate]]-Orders[[#This Row],[orderDate]]</f>
        <v>6</v>
      </c>
      <c r="Q11">
        <f>Orders[[#This Row],[requiredDate]]-Orders[[#This Row],[shippedDate]]</f>
        <v>22</v>
      </c>
    </row>
    <row r="12" spans="1:17" x14ac:dyDescent="0.2">
      <c r="A12">
        <v>10258</v>
      </c>
      <c r="B12" t="s">
        <v>63</v>
      </c>
      <c r="C12">
        <v>1</v>
      </c>
      <c r="D12" s="1">
        <v>35263</v>
      </c>
      <c r="E12" s="1">
        <v>35291</v>
      </c>
      <c r="F12" s="1">
        <v>35269</v>
      </c>
      <c r="G12">
        <v>1</v>
      </c>
      <c r="H12" s="2">
        <v>140.51</v>
      </c>
      <c r="I12" t="s">
        <v>64</v>
      </c>
      <c r="J12" t="s">
        <v>65</v>
      </c>
      <c r="K12" t="s">
        <v>66</v>
      </c>
      <c r="L12" t="s">
        <v>18</v>
      </c>
      <c r="M12">
        <v>8010</v>
      </c>
      <c r="N12" t="s">
        <v>67</v>
      </c>
      <c r="O12">
        <f>Orders[[#This Row],[requiredDate]]-Orders[[#This Row],[orderDate]]</f>
        <v>28</v>
      </c>
      <c r="P12">
        <f>Orders[[#This Row],[shippedDate]]-Orders[[#This Row],[orderDate]]</f>
        <v>6</v>
      </c>
      <c r="Q12">
        <f>Orders[[#This Row],[requiredDate]]-Orders[[#This Row],[shippedDate]]</f>
        <v>22</v>
      </c>
    </row>
    <row r="13" spans="1:17" x14ac:dyDescent="0.2">
      <c r="A13">
        <v>10259</v>
      </c>
      <c r="B13" t="s">
        <v>68</v>
      </c>
      <c r="C13">
        <v>4</v>
      </c>
      <c r="D13" s="1">
        <v>35264</v>
      </c>
      <c r="E13" s="1">
        <v>35292</v>
      </c>
      <c r="F13" s="1">
        <v>35271</v>
      </c>
      <c r="G13">
        <v>3</v>
      </c>
      <c r="H13" s="2">
        <v>3.25</v>
      </c>
      <c r="I13" t="s">
        <v>69</v>
      </c>
      <c r="J13" t="s">
        <v>70</v>
      </c>
      <c r="K13" t="s">
        <v>71</v>
      </c>
      <c r="L13" t="s">
        <v>18</v>
      </c>
      <c r="M13">
        <v>5022</v>
      </c>
      <c r="N13" t="s">
        <v>72</v>
      </c>
      <c r="O13">
        <f>Orders[[#This Row],[requiredDate]]-Orders[[#This Row],[orderDate]]</f>
        <v>28</v>
      </c>
      <c r="P13">
        <f>Orders[[#This Row],[shippedDate]]-Orders[[#This Row],[orderDate]]</f>
        <v>7</v>
      </c>
      <c r="Q13">
        <f>Orders[[#This Row],[requiredDate]]-Orders[[#This Row],[shippedDate]]</f>
        <v>21</v>
      </c>
    </row>
    <row r="14" spans="1:17" x14ac:dyDescent="0.2">
      <c r="A14">
        <v>10260</v>
      </c>
      <c r="B14" t="s">
        <v>73</v>
      </c>
      <c r="C14">
        <v>4</v>
      </c>
      <c r="D14" s="1">
        <v>35265</v>
      </c>
      <c r="E14" s="1">
        <v>35293</v>
      </c>
      <c r="F14" s="1">
        <v>35275</v>
      </c>
      <c r="G14">
        <v>1</v>
      </c>
      <c r="H14" s="2">
        <v>55.09</v>
      </c>
      <c r="I14" t="s">
        <v>74</v>
      </c>
      <c r="J14" t="s">
        <v>75</v>
      </c>
      <c r="K14" t="s">
        <v>76</v>
      </c>
      <c r="L14" t="s">
        <v>18</v>
      </c>
      <c r="M14">
        <v>50739</v>
      </c>
      <c r="N14" t="s">
        <v>24</v>
      </c>
      <c r="O14">
        <f>Orders[[#This Row],[requiredDate]]-Orders[[#This Row],[orderDate]]</f>
        <v>28</v>
      </c>
      <c r="P14">
        <f>Orders[[#This Row],[shippedDate]]-Orders[[#This Row],[orderDate]]</f>
        <v>10</v>
      </c>
      <c r="Q14">
        <f>Orders[[#This Row],[requiredDate]]-Orders[[#This Row],[shippedDate]]</f>
        <v>18</v>
      </c>
    </row>
    <row r="15" spans="1:17" x14ac:dyDescent="0.2">
      <c r="A15">
        <v>10261</v>
      </c>
      <c r="B15" t="s">
        <v>77</v>
      </c>
      <c r="C15">
        <v>4</v>
      </c>
      <c r="D15" s="1">
        <v>35265</v>
      </c>
      <c r="E15" s="1">
        <v>35293</v>
      </c>
      <c r="F15" s="1">
        <v>35276</v>
      </c>
      <c r="G15">
        <v>2</v>
      </c>
      <c r="H15" s="2">
        <v>3.05</v>
      </c>
      <c r="I15" t="s">
        <v>78</v>
      </c>
      <c r="J15" t="s">
        <v>79</v>
      </c>
      <c r="K15" t="s">
        <v>28</v>
      </c>
      <c r="L15" t="s">
        <v>29</v>
      </c>
      <c r="M15" t="s">
        <v>80</v>
      </c>
      <c r="N15" t="s">
        <v>31</v>
      </c>
      <c r="O15">
        <f>Orders[[#This Row],[requiredDate]]-Orders[[#This Row],[orderDate]]</f>
        <v>28</v>
      </c>
      <c r="P15">
        <f>Orders[[#This Row],[shippedDate]]-Orders[[#This Row],[orderDate]]</f>
        <v>11</v>
      </c>
      <c r="Q15">
        <f>Orders[[#This Row],[requiredDate]]-Orders[[#This Row],[shippedDate]]</f>
        <v>17</v>
      </c>
    </row>
    <row r="16" spans="1:17" x14ac:dyDescent="0.2">
      <c r="A16">
        <v>10262</v>
      </c>
      <c r="B16" t="s">
        <v>81</v>
      </c>
      <c r="C16">
        <v>8</v>
      </c>
      <c r="D16" s="1">
        <v>35268</v>
      </c>
      <c r="E16" s="1">
        <v>35296</v>
      </c>
      <c r="F16" s="1">
        <v>35271</v>
      </c>
      <c r="G16">
        <v>3</v>
      </c>
      <c r="H16" s="2">
        <v>48.29</v>
      </c>
      <c r="I16" t="s">
        <v>82</v>
      </c>
      <c r="J16" t="s">
        <v>83</v>
      </c>
      <c r="K16" t="s">
        <v>84</v>
      </c>
      <c r="L16" t="s">
        <v>85</v>
      </c>
      <c r="M16">
        <v>87110</v>
      </c>
      <c r="N16" t="s">
        <v>86</v>
      </c>
      <c r="O16">
        <f>Orders[[#This Row],[requiredDate]]-Orders[[#This Row],[orderDate]]</f>
        <v>28</v>
      </c>
      <c r="P16">
        <f>Orders[[#This Row],[shippedDate]]-Orders[[#This Row],[orderDate]]</f>
        <v>3</v>
      </c>
      <c r="Q16">
        <f>Orders[[#This Row],[requiredDate]]-Orders[[#This Row],[shippedDate]]</f>
        <v>25</v>
      </c>
    </row>
    <row r="17" spans="1:17" x14ac:dyDescent="0.2">
      <c r="A17">
        <v>10263</v>
      </c>
      <c r="B17" t="s">
        <v>63</v>
      </c>
      <c r="C17">
        <v>9</v>
      </c>
      <c r="D17" s="1">
        <v>35269</v>
      </c>
      <c r="E17" s="1">
        <v>35297</v>
      </c>
      <c r="F17" s="1">
        <v>35277</v>
      </c>
      <c r="G17">
        <v>3</v>
      </c>
      <c r="H17" s="2">
        <v>146.06</v>
      </c>
      <c r="I17" t="s">
        <v>64</v>
      </c>
      <c r="J17" t="s">
        <v>65</v>
      </c>
      <c r="K17" t="s">
        <v>66</v>
      </c>
      <c r="L17" t="s">
        <v>18</v>
      </c>
      <c r="M17">
        <v>8010</v>
      </c>
      <c r="N17" t="s">
        <v>67</v>
      </c>
      <c r="O17">
        <f>Orders[[#This Row],[requiredDate]]-Orders[[#This Row],[orderDate]]</f>
        <v>28</v>
      </c>
      <c r="P17">
        <f>Orders[[#This Row],[shippedDate]]-Orders[[#This Row],[orderDate]]</f>
        <v>8</v>
      </c>
      <c r="Q17">
        <f>Orders[[#This Row],[requiredDate]]-Orders[[#This Row],[shippedDate]]</f>
        <v>20</v>
      </c>
    </row>
    <row r="18" spans="1:17" x14ac:dyDescent="0.2">
      <c r="A18">
        <v>10264</v>
      </c>
      <c r="B18" t="s">
        <v>87</v>
      </c>
      <c r="C18">
        <v>6</v>
      </c>
      <c r="D18" s="1">
        <v>35270</v>
      </c>
      <c r="E18" s="1">
        <v>35298</v>
      </c>
      <c r="F18" s="1">
        <v>35300</v>
      </c>
      <c r="G18">
        <v>3</v>
      </c>
      <c r="H18" s="2">
        <v>3.67</v>
      </c>
      <c r="I18" t="s">
        <v>88</v>
      </c>
      <c r="J18" t="s">
        <v>89</v>
      </c>
      <c r="K18" t="s">
        <v>90</v>
      </c>
      <c r="L18" t="s">
        <v>18</v>
      </c>
      <c r="M18" t="s">
        <v>91</v>
      </c>
      <c r="N18" t="s">
        <v>92</v>
      </c>
      <c r="O18">
        <f>Orders[[#This Row],[requiredDate]]-Orders[[#This Row],[orderDate]]</f>
        <v>28</v>
      </c>
      <c r="P18">
        <f>Orders[[#This Row],[shippedDate]]-Orders[[#This Row],[orderDate]]</f>
        <v>30</v>
      </c>
      <c r="Q18">
        <f>Orders[[#This Row],[requiredDate]]-Orders[[#This Row],[shippedDate]]</f>
        <v>-2</v>
      </c>
    </row>
    <row r="19" spans="1:17" x14ac:dyDescent="0.2">
      <c r="A19">
        <v>10265</v>
      </c>
      <c r="B19" t="s">
        <v>93</v>
      </c>
      <c r="C19">
        <v>2</v>
      </c>
      <c r="D19" s="1">
        <v>35271</v>
      </c>
      <c r="E19" s="1">
        <v>35299</v>
      </c>
      <c r="F19" s="1">
        <v>35289</v>
      </c>
      <c r="G19">
        <v>1</v>
      </c>
      <c r="H19" s="2">
        <v>55.28</v>
      </c>
      <c r="I19" t="s">
        <v>94</v>
      </c>
      <c r="J19" t="s">
        <v>95</v>
      </c>
      <c r="K19" t="s">
        <v>96</v>
      </c>
      <c r="L19" t="s">
        <v>18</v>
      </c>
      <c r="M19">
        <v>67000</v>
      </c>
      <c r="N19" t="s">
        <v>19</v>
      </c>
      <c r="O19">
        <f>Orders[[#This Row],[requiredDate]]-Orders[[#This Row],[orderDate]]</f>
        <v>28</v>
      </c>
      <c r="P19">
        <f>Orders[[#This Row],[shippedDate]]-Orders[[#This Row],[orderDate]]</f>
        <v>18</v>
      </c>
      <c r="Q19">
        <f>Orders[[#This Row],[requiredDate]]-Orders[[#This Row],[shippedDate]]</f>
        <v>10</v>
      </c>
    </row>
    <row r="20" spans="1:17" x14ac:dyDescent="0.2">
      <c r="A20">
        <v>10266</v>
      </c>
      <c r="B20" t="s">
        <v>97</v>
      </c>
      <c r="C20">
        <v>3</v>
      </c>
      <c r="D20" s="1">
        <v>35272</v>
      </c>
      <c r="E20" s="1">
        <v>35314</v>
      </c>
      <c r="F20" s="1">
        <v>35277</v>
      </c>
      <c r="G20">
        <v>3</v>
      </c>
      <c r="H20" s="2">
        <v>25.73</v>
      </c>
      <c r="I20" t="s">
        <v>98</v>
      </c>
      <c r="J20" t="s">
        <v>99</v>
      </c>
      <c r="K20" t="s">
        <v>100</v>
      </c>
      <c r="L20" t="s">
        <v>18</v>
      </c>
      <c r="M20">
        <v>90110</v>
      </c>
      <c r="N20" t="s">
        <v>101</v>
      </c>
      <c r="O20">
        <f>Orders[[#This Row],[requiredDate]]-Orders[[#This Row],[orderDate]]</f>
        <v>42</v>
      </c>
      <c r="P20">
        <f>Orders[[#This Row],[shippedDate]]-Orders[[#This Row],[orderDate]]</f>
        <v>5</v>
      </c>
      <c r="Q20">
        <f>Orders[[#This Row],[requiredDate]]-Orders[[#This Row],[shippedDate]]</f>
        <v>37</v>
      </c>
    </row>
    <row r="21" spans="1:17" x14ac:dyDescent="0.2">
      <c r="A21">
        <v>10267</v>
      </c>
      <c r="B21" t="s">
        <v>102</v>
      </c>
      <c r="C21">
        <v>4</v>
      </c>
      <c r="D21" s="1">
        <v>35275</v>
      </c>
      <c r="E21" s="1">
        <v>35303</v>
      </c>
      <c r="F21" s="1">
        <v>35283</v>
      </c>
      <c r="G21">
        <v>1</v>
      </c>
      <c r="H21" s="2">
        <v>208.58</v>
      </c>
      <c r="I21" t="s">
        <v>103</v>
      </c>
      <c r="J21" t="s">
        <v>104</v>
      </c>
      <c r="K21" t="s">
        <v>105</v>
      </c>
      <c r="L21" t="s">
        <v>18</v>
      </c>
      <c r="M21">
        <v>80805</v>
      </c>
      <c r="N21" t="s">
        <v>24</v>
      </c>
      <c r="O21">
        <f>Orders[[#This Row],[requiredDate]]-Orders[[#This Row],[orderDate]]</f>
        <v>28</v>
      </c>
      <c r="P21">
        <f>Orders[[#This Row],[shippedDate]]-Orders[[#This Row],[orderDate]]</f>
        <v>8</v>
      </c>
      <c r="Q21">
        <f>Orders[[#This Row],[requiredDate]]-Orders[[#This Row],[shippedDate]]</f>
        <v>20</v>
      </c>
    </row>
    <row r="22" spans="1:17" x14ac:dyDescent="0.2">
      <c r="A22">
        <v>10268</v>
      </c>
      <c r="B22" t="s">
        <v>106</v>
      </c>
      <c r="C22">
        <v>8</v>
      </c>
      <c r="D22" s="1">
        <v>35276</v>
      </c>
      <c r="E22" s="1">
        <v>35304</v>
      </c>
      <c r="F22" s="1">
        <v>35279</v>
      </c>
      <c r="G22">
        <v>3</v>
      </c>
      <c r="H22" s="2">
        <v>66.290000000000006</v>
      </c>
      <c r="I22" t="s">
        <v>107</v>
      </c>
      <c r="J22" t="s">
        <v>108</v>
      </c>
      <c r="K22" t="s">
        <v>109</v>
      </c>
      <c r="L22" t="s">
        <v>110</v>
      </c>
      <c r="M22">
        <v>1081</v>
      </c>
      <c r="N22" t="s">
        <v>62</v>
      </c>
      <c r="O22">
        <f>Orders[[#This Row],[requiredDate]]-Orders[[#This Row],[orderDate]]</f>
        <v>28</v>
      </c>
      <c r="P22">
        <f>Orders[[#This Row],[shippedDate]]-Orders[[#This Row],[orderDate]]</f>
        <v>3</v>
      </c>
      <c r="Q22">
        <f>Orders[[#This Row],[requiredDate]]-Orders[[#This Row],[shippedDate]]</f>
        <v>25</v>
      </c>
    </row>
    <row r="23" spans="1:17" x14ac:dyDescent="0.2">
      <c r="A23">
        <v>10269</v>
      </c>
      <c r="B23" t="s">
        <v>111</v>
      </c>
      <c r="C23">
        <v>5</v>
      </c>
      <c r="D23" s="1">
        <v>35277</v>
      </c>
      <c r="E23" s="1">
        <v>35291</v>
      </c>
      <c r="F23" s="1">
        <v>35286</v>
      </c>
      <c r="G23">
        <v>1</v>
      </c>
      <c r="H23" s="2">
        <v>4.5599999999999996</v>
      </c>
      <c r="I23" t="s">
        <v>112</v>
      </c>
      <c r="J23" t="s">
        <v>113</v>
      </c>
      <c r="K23" t="s">
        <v>114</v>
      </c>
      <c r="L23" t="s">
        <v>115</v>
      </c>
      <c r="M23">
        <v>98124</v>
      </c>
      <c r="N23" t="s">
        <v>86</v>
      </c>
      <c r="O23">
        <f>Orders[[#This Row],[requiredDate]]-Orders[[#This Row],[orderDate]]</f>
        <v>14</v>
      </c>
      <c r="P23">
        <f>Orders[[#This Row],[shippedDate]]-Orders[[#This Row],[orderDate]]</f>
        <v>9</v>
      </c>
      <c r="Q23">
        <f>Orders[[#This Row],[requiredDate]]-Orders[[#This Row],[shippedDate]]</f>
        <v>5</v>
      </c>
    </row>
    <row r="24" spans="1:17" x14ac:dyDescent="0.2">
      <c r="A24">
        <v>10270</v>
      </c>
      <c r="B24" t="s">
        <v>97</v>
      </c>
      <c r="C24">
        <v>1</v>
      </c>
      <c r="D24" s="1">
        <v>35278</v>
      </c>
      <c r="E24" s="1">
        <v>35306</v>
      </c>
      <c r="F24" s="1">
        <v>35279</v>
      </c>
      <c r="G24">
        <v>1</v>
      </c>
      <c r="H24" s="2">
        <v>136.54</v>
      </c>
      <c r="I24" t="s">
        <v>98</v>
      </c>
      <c r="J24" t="s">
        <v>99</v>
      </c>
      <c r="K24" t="s">
        <v>100</v>
      </c>
      <c r="L24" t="s">
        <v>18</v>
      </c>
      <c r="M24">
        <v>90110</v>
      </c>
      <c r="N24" t="s">
        <v>101</v>
      </c>
      <c r="O24">
        <f>Orders[[#This Row],[requiredDate]]-Orders[[#This Row],[orderDate]]</f>
        <v>28</v>
      </c>
      <c r="P24">
        <f>Orders[[#This Row],[shippedDate]]-Orders[[#This Row],[orderDate]]</f>
        <v>1</v>
      </c>
      <c r="Q24">
        <f>Orders[[#This Row],[requiredDate]]-Orders[[#This Row],[shippedDate]]</f>
        <v>27</v>
      </c>
    </row>
    <row r="25" spans="1:17" x14ac:dyDescent="0.2">
      <c r="A25">
        <v>10271</v>
      </c>
      <c r="B25" t="s">
        <v>116</v>
      </c>
      <c r="C25">
        <v>6</v>
      </c>
      <c r="D25" s="1">
        <v>35278</v>
      </c>
      <c r="E25" s="1">
        <v>35306</v>
      </c>
      <c r="F25" s="1">
        <v>35307</v>
      </c>
      <c r="G25">
        <v>2</v>
      </c>
      <c r="H25" s="2">
        <v>4.54</v>
      </c>
      <c r="I25" t="s">
        <v>117</v>
      </c>
      <c r="J25" t="s">
        <v>118</v>
      </c>
      <c r="K25" t="s">
        <v>119</v>
      </c>
      <c r="L25" t="s">
        <v>120</v>
      </c>
      <c r="M25">
        <v>82520</v>
      </c>
      <c r="N25" t="s">
        <v>86</v>
      </c>
      <c r="O25">
        <f>Orders[[#This Row],[requiredDate]]-Orders[[#This Row],[orderDate]]</f>
        <v>28</v>
      </c>
      <c r="P25">
        <f>Orders[[#This Row],[shippedDate]]-Orders[[#This Row],[orderDate]]</f>
        <v>29</v>
      </c>
      <c r="Q25">
        <f>Orders[[#This Row],[requiredDate]]-Orders[[#This Row],[shippedDate]]</f>
        <v>-1</v>
      </c>
    </row>
    <row r="26" spans="1:17" x14ac:dyDescent="0.2">
      <c r="A26">
        <v>10272</v>
      </c>
      <c r="B26" t="s">
        <v>81</v>
      </c>
      <c r="C26">
        <v>6</v>
      </c>
      <c r="D26" s="1">
        <v>35279</v>
      </c>
      <c r="E26" s="1">
        <v>35307</v>
      </c>
      <c r="F26" s="1">
        <v>35283</v>
      </c>
      <c r="G26">
        <v>2</v>
      </c>
      <c r="H26" s="2">
        <v>98.03</v>
      </c>
      <c r="I26" t="s">
        <v>82</v>
      </c>
      <c r="J26" t="s">
        <v>83</v>
      </c>
      <c r="K26" t="s">
        <v>84</v>
      </c>
      <c r="L26" t="s">
        <v>85</v>
      </c>
      <c r="M26">
        <v>87110</v>
      </c>
      <c r="N26" t="s">
        <v>86</v>
      </c>
      <c r="O26">
        <f>Orders[[#This Row],[requiredDate]]-Orders[[#This Row],[orderDate]]</f>
        <v>28</v>
      </c>
      <c r="P26">
        <f>Orders[[#This Row],[shippedDate]]-Orders[[#This Row],[orderDate]]</f>
        <v>4</v>
      </c>
      <c r="Q26">
        <f>Orders[[#This Row],[requiredDate]]-Orders[[#This Row],[shippedDate]]</f>
        <v>24</v>
      </c>
    </row>
    <row r="27" spans="1:17" x14ac:dyDescent="0.2">
      <c r="A27">
        <v>10273</v>
      </c>
      <c r="B27" t="s">
        <v>121</v>
      </c>
      <c r="C27">
        <v>3</v>
      </c>
      <c r="D27" s="1">
        <v>35282</v>
      </c>
      <c r="E27" s="1">
        <v>35310</v>
      </c>
      <c r="F27" s="1">
        <v>35289</v>
      </c>
      <c r="G27">
        <v>3</v>
      </c>
      <c r="H27" s="2">
        <v>76.069999999999993</v>
      </c>
      <c r="I27" t="s">
        <v>122</v>
      </c>
      <c r="J27" t="s">
        <v>123</v>
      </c>
      <c r="K27" t="s">
        <v>124</v>
      </c>
      <c r="L27" t="s">
        <v>18</v>
      </c>
      <c r="M27">
        <v>1307</v>
      </c>
      <c r="N27" t="s">
        <v>24</v>
      </c>
      <c r="O27">
        <f>Orders[[#This Row],[requiredDate]]-Orders[[#This Row],[orderDate]]</f>
        <v>28</v>
      </c>
      <c r="P27">
        <f>Orders[[#This Row],[shippedDate]]-Orders[[#This Row],[orderDate]]</f>
        <v>7</v>
      </c>
      <c r="Q27">
        <f>Orders[[#This Row],[requiredDate]]-Orders[[#This Row],[shippedDate]]</f>
        <v>21</v>
      </c>
    </row>
    <row r="28" spans="1:17" x14ac:dyDescent="0.2">
      <c r="A28">
        <v>10274</v>
      </c>
      <c r="B28" t="s">
        <v>14</v>
      </c>
      <c r="C28">
        <v>6</v>
      </c>
      <c r="D28" s="1">
        <v>35283</v>
      </c>
      <c r="E28" s="1">
        <v>35311</v>
      </c>
      <c r="F28" s="1">
        <v>35293</v>
      </c>
      <c r="G28">
        <v>1</v>
      </c>
      <c r="H28" s="2">
        <v>6.01</v>
      </c>
      <c r="I28" t="s">
        <v>15</v>
      </c>
      <c r="J28" t="s">
        <v>16</v>
      </c>
      <c r="K28" t="s">
        <v>17</v>
      </c>
      <c r="L28" t="s">
        <v>18</v>
      </c>
      <c r="M28">
        <v>51100</v>
      </c>
      <c r="N28" t="s">
        <v>19</v>
      </c>
      <c r="O28">
        <f>Orders[[#This Row],[requiredDate]]-Orders[[#This Row],[orderDate]]</f>
        <v>28</v>
      </c>
      <c r="P28">
        <f>Orders[[#This Row],[shippedDate]]-Orders[[#This Row],[orderDate]]</f>
        <v>10</v>
      </c>
      <c r="Q28">
        <f>Orders[[#This Row],[requiredDate]]-Orders[[#This Row],[shippedDate]]</f>
        <v>18</v>
      </c>
    </row>
    <row r="29" spans="1:17" x14ac:dyDescent="0.2">
      <c r="A29">
        <v>10275</v>
      </c>
      <c r="B29" t="s">
        <v>125</v>
      </c>
      <c r="C29">
        <v>1</v>
      </c>
      <c r="D29" s="1">
        <v>35284</v>
      </c>
      <c r="E29" s="1">
        <v>35312</v>
      </c>
      <c r="F29" s="1">
        <v>35286</v>
      </c>
      <c r="G29">
        <v>1</v>
      </c>
      <c r="H29" s="2">
        <v>26.93</v>
      </c>
      <c r="I29" t="s">
        <v>126</v>
      </c>
      <c r="J29" t="s">
        <v>127</v>
      </c>
      <c r="K29" t="s">
        <v>128</v>
      </c>
      <c r="L29" t="s">
        <v>18</v>
      </c>
      <c r="M29">
        <v>24100</v>
      </c>
      <c r="N29" t="s">
        <v>129</v>
      </c>
      <c r="O29">
        <f>Orders[[#This Row],[requiredDate]]-Orders[[#This Row],[orderDate]]</f>
        <v>28</v>
      </c>
      <c r="P29">
        <f>Orders[[#This Row],[shippedDate]]-Orders[[#This Row],[orderDate]]</f>
        <v>2</v>
      </c>
      <c r="Q29">
        <f>Orders[[#This Row],[requiredDate]]-Orders[[#This Row],[shippedDate]]</f>
        <v>26</v>
      </c>
    </row>
    <row r="30" spans="1:17" x14ac:dyDescent="0.2">
      <c r="A30">
        <v>10276</v>
      </c>
      <c r="B30" t="s">
        <v>130</v>
      </c>
      <c r="C30">
        <v>8</v>
      </c>
      <c r="D30" s="1">
        <v>35285</v>
      </c>
      <c r="E30" s="1">
        <v>35299</v>
      </c>
      <c r="F30" s="1">
        <v>35291</v>
      </c>
      <c r="G30">
        <v>3</v>
      </c>
      <c r="H30" s="2">
        <v>13.84</v>
      </c>
      <c r="I30" t="s">
        <v>131</v>
      </c>
      <c r="J30" t="s">
        <v>132</v>
      </c>
      <c r="K30" t="s">
        <v>71</v>
      </c>
      <c r="L30" t="s">
        <v>18</v>
      </c>
      <c r="M30">
        <v>5033</v>
      </c>
      <c r="N30" t="s">
        <v>72</v>
      </c>
      <c r="O30">
        <f>Orders[[#This Row],[requiredDate]]-Orders[[#This Row],[orderDate]]</f>
        <v>14</v>
      </c>
      <c r="P30">
        <f>Orders[[#This Row],[shippedDate]]-Orders[[#This Row],[orderDate]]</f>
        <v>6</v>
      </c>
      <c r="Q30">
        <f>Orders[[#This Row],[requiredDate]]-Orders[[#This Row],[shippedDate]]</f>
        <v>8</v>
      </c>
    </row>
    <row r="31" spans="1:17" x14ac:dyDescent="0.2">
      <c r="A31">
        <v>10277</v>
      </c>
      <c r="B31" t="s">
        <v>133</v>
      </c>
      <c r="C31">
        <v>2</v>
      </c>
      <c r="D31" s="1">
        <v>35286</v>
      </c>
      <c r="E31" s="1">
        <v>35314</v>
      </c>
      <c r="F31" s="1">
        <v>35290</v>
      </c>
      <c r="G31">
        <v>3</v>
      </c>
      <c r="H31" s="2">
        <v>125.77</v>
      </c>
      <c r="I31" t="s">
        <v>134</v>
      </c>
      <c r="J31" t="s">
        <v>135</v>
      </c>
      <c r="K31" t="s">
        <v>136</v>
      </c>
      <c r="L31" t="s">
        <v>18</v>
      </c>
      <c r="M31">
        <v>4179</v>
      </c>
      <c r="N31" t="s">
        <v>24</v>
      </c>
      <c r="O31">
        <f>Orders[[#This Row],[requiredDate]]-Orders[[#This Row],[orderDate]]</f>
        <v>28</v>
      </c>
      <c r="P31">
        <f>Orders[[#This Row],[shippedDate]]-Orders[[#This Row],[orderDate]]</f>
        <v>4</v>
      </c>
      <c r="Q31">
        <f>Orders[[#This Row],[requiredDate]]-Orders[[#This Row],[shippedDate]]</f>
        <v>24</v>
      </c>
    </row>
    <row r="32" spans="1:17" x14ac:dyDescent="0.2">
      <c r="A32">
        <v>10278</v>
      </c>
      <c r="B32" t="s">
        <v>137</v>
      </c>
      <c r="C32">
        <v>8</v>
      </c>
      <c r="D32" s="1">
        <v>35289</v>
      </c>
      <c r="E32" s="1">
        <v>35317</v>
      </c>
      <c r="F32" s="1">
        <v>35293</v>
      </c>
      <c r="G32">
        <v>2</v>
      </c>
      <c r="H32" s="2">
        <v>92.69</v>
      </c>
      <c r="I32" t="s">
        <v>138</v>
      </c>
      <c r="J32" t="s">
        <v>139</v>
      </c>
      <c r="K32" t="s">
        <v>140</v>
      </c>
      <c r="L32" t="s">
        <v>18</v>
      </c>
      <c r="M32" t="s">
        <v>141</v>
      </c>
      <c r="N32" t="s">
        <v>92</v>
      </c>
      <c r="O32">
        <f>Orders[[#This Row],[requiredDate]]-Orders[[#This Row],[orderDate]]</f>
        <v>28</v>
      </c>
      <c r="P32">
        <f>Orders[[#This Row],[shippedDate]]-Orders[[#This Row],[orderDate]]</f>
        <v>4</v>
      </c>
      <c r="Q32">
        <f>Orders[[#This Row],[requiredDate]]-Orders[[#This Row],[shippedDate]]</f>
        <v>24</v>
      </c>
    </row>
    <row r="33" spans="1:17" x14ac:dyDescent="0.2">
      <c r="A33">
        <v>10279</v>
      </c>
      <c r="B33" t="s">
        <v>142</v>
      </c>
      <c r="C33">
        <v>8</v>
      </c>
      <c r="D33" s="1">
        <v>35290</v>
      </c>
      <c r="E33" s="1">
        <v>35318</v>
      </c>
      <c r="F33" s="1">
        <v>35293</v>
      </c>
      <c r="G33">
        <v>2</v>
      </c>
      <c r="H33" s="2">
        <v>25.83</v>
      </c>
      <c r="I33" t="s">
        <v>143</v>
      </c>
      <c r="J33" t="s">
        <v>144</v>
      </c>
      <c r="K33" t="s">
        <v>145</v>
      </c>
      <c r="L33" t="s">
        <v>18</v>
      </c>
      <c r="M33">
        <v>60528</v>
      </c>
      <c r="N33" t="s">
        <v>24</v>
      </c>
      <c r="O33">
        <f>Orders[[#This Row],[requiredDate]]-Orders[[#This Row],[orderDate]]</f>
        <v>28</v>
      </c>
      <c r="P33">
        <f>Orders[[#This Row],[shippedDate]]-Orders[[#This Row],[orderDate]]</f>
        <v>3</v>
      </c>
      <c r="Q33">
        <f>Orders[[#This Row],[requiredDate]]-Orders[[#This Row],[shippedDate]]</f>
        <v>25</v>
      </c>
    </row>
    <row r="34" spans="1:17" x14ac:dyDescent="0.2">
      <c r="A34">
        <v>10280</v>
      </c>
      <c r="B34" t="s">
        <v>137</v>
      </c>
      <c r="C34">
        <v>2</v>
      </c>
      <c r="D34" s="1">
        <v>35291</v>
      </c>
      <c r="E34" s="1">
        <v>35319</v>
      </c>
      <c r="F34" s="1">
        <v>35320</v>
      </c>
      <c r="G34">
        <v>1</v>
      </c>
      <c r="H34" s="2">
        <v>8.98</v>
      </c>
      <c r="I34" t="s">
        <v>138</v>
      </c>
      <c r="J34" t="s">
        <v>139</v>
      </c>
      <c r="K34" t="s">
        <v>140</v>
      </c>
      <c r="L34" t="s">
        <v>18</v>
      </c>
      <c r="M34" t="s">
        <v>141</v>
      </c>
      <c r="N34" t="s">
        <v>92</v>
      </c>
      <c r="O34">
        <f>Orders[[#This Row],[requiredDate]]-Orders[[#This Row],[orderDate]]</f>
        <v>28</v>
      </c>
      <c r="P34">
        <f>Orders[[#This Row],[shippedDate]]-Orders[[#This Row],[orderDate]]</f>
        <v>29</v>
      </c>
      <c r="Q34">
        <f>Orders[[#This Row],[requiredDate]]-Orders[[#This Row],[shippedDate]]</f>
        <v>-1</v>
      </c>
    </row>
    <row r="35" spans="1:17" x14ac:dyDescent="0.2">
      <c r="A35">
        <v>10281</v>
      </c>
      <c r="B35" t="s">
        <v>146</v>
      </c>
      <c r="C35">
        <v>4</v>
      </c>
      <c r="D35" s="1">
        <v>35291</v>
      </c>
      <c r="E35" s="1">
        <v>35305</v>
      </c>
      <c r="F35" s="1">
        <v>35298</v>
      </c>
      <c r="G35">
        <v>1</v>
      </c>
      <c r="H35" s="2">
        <v>2.94</v>
      </c>
      <c r="I35" t="s">
        <v>147</v>
      </c>
      <c r="J35" t="s">
        <v>148</v>
      </c>
      <c r="K35" t="s">
        <v>149</v>
      </c>
      <c r="L35" t="s">
        <v>18</v>
      </c>
      <c r="M35">
        <v>28001</v>
      </c>
      <c r="N35" t="s">
        <v>150</v>
      </c>
      <c r="O35">
        <f>Orders[[#This Row],[requiredDate]]-Orders[[#This Row],[orderDate]]</f>
        <v>14</v>
      </c>
      <c r="P35">
        <f>Orders[[#This Row],[shippedDate]]-Orders[[#This Row],[orderDate]]</f>
        <v>7</v>
      </c>
      <c r="Q35">
        <f>Orders[[#This Row],[requiredDate]]-Orders[[#This Row],[shippedDate]]</f>
        <v>7</v>
      </c>
    </row>
    <row r="36" spans="1:17" x14ac:dyDescent="0.2">
      <c r="A36">
        <v>10282</v>
      </c>
      <c r="B36" t="s">
        <v>146</v>
      </c>
      <c r="C36">
        <v>4</v>
      </c>
      <c r="D36" s="1">
        <v>35292</v>
      </c>
      <c r="E36" s="1">
        <v>35320</v>
      </c>
      <c r="F36" s="1">
        <v>35298</v>
      </c>
      <c r="G36">
        <v>1</v>
      </c>
      <c r="H36" s="2">
        <v>12.69</v>
      </c>
      <c r="I36" t="s">
        <v>147</v>
      </c>
      <c r="J36" t="s">
        <v>148</v>
      </c>
      <c r="K36" t="s">
        <v>149</v>
      </c>
      <c r="L36" t="s">
        <v>18</v>
      </c>
      <c r="M36">
        <v>28001</v>
      </c>
      <c r="N36" t="s">
        <v>150</v>
      </c>
      <c r="O36">
        <f>Orders[[#This Row],[requiredDate]]-Orders[[#This Row],[orderDate]]</f>
        <v>28</v>
      </c>
      <c r="P36">
        <f>Orders[[#This Row],[shippedDate]]-Orders[[#This Row],[orderDate]]</f>
        <v>6</v>
      </c>
      <c r="Q36">
        <f>Orders[[#This Row],[requiredDate]]-Orders[[#This Row],[shippedDate]]</f>
        <v>22</v>
      </c>
    </row>
    <row r="37" spans="1:17" x14ac:dyDescent="0.2">
      <c r="A37">
        <v>10283</v>
      </c>
      <c r="B37" t="s">
        <v>151</v>
      </c>
      <c r="C37">
        <v>3</v>
      </c>
      <c r="D37" s="1">
        <v>35293</v>
      </c>
      <c r="E37" s="1">
        <v>35321</v>
      </c>
      <c r="F37" s="1">
        <v>35300</v>
      </c>
      <c r="G37">
        <v>3</v>
      </c>
      <c r="H37" s="2">
        <v>84.81</v>
      </c>
      <c r="I37" t="s">
        <v>152</v>
      </c>
      <c r="J37" t="s">
        <v>153</v>
      </c>
      <c r="K37" t="s">
        <v>154</v>
      </c>
      <c r="L37" t="s">
        <v>155</v>
      </c>
      <c r="M37">
        <v>3508</v>
      </c>
      <c r="N37" t="s">
        <v>62</v>
      </c>
      <c r="O37">
        <f>Orders[[#This Row],[requiredDate]]-Orders[[#This Row],[orderDate]]</f>
        <v>28</v>
      </c>
      <c r="P37">
        <f>Orders[[#This Row],[shippedDate]]-Orders[[#This Row],[orderDate]]</f>
        <v>7</v>
      </c>
      <c r="Q37">
        <f>Orders[[#This Row],[requiredDate]]-Orders[[#This Row],[shippedDate]]</f>
        <v>21</v>
      </c>
    </row>
    <row r="38" spans="1:17" x14ac:dyDescent="0.2">
      <c r="A38">
        <v>10284</v>
      </c>
      <c r="B38" t="s">
        <v>142</v>
      </c>
      <c r="C38">
        <v>4</v>
      </c>
      <c r="D38" s="1">
        <v>35296</v>
      </c>
      <c r="E38" s="1">
        <v>35324</v>
      </c>
      <c r="F38" s="1">
        <v>35304</v>
      </c>
      <c r="G38">
        <v>1</v>
      </c>
      <c r="H38" s="2">
        <v>76.56</v>
      </c>
      <c r="I38" t="s">
        <v>143</v>
      </c>
      <c r="J38" t="s">
        <v>144</v>
      </c>
      <c r="K38" t="s">
        <v>145</v>
      </c>
      <c r="L38" t="s">
        <v>18</v>
      </c>
      <c r="M38">
        <v>60528</v>
      </c>
      <c r="N38" t="s">
        <v>24</v>
      </c>
      <c r="O38">
        <f>Orders[[#This Row],[requiredDate]]-Orders[[#This Row],[orderDate]]</f>
        <v>28</v>
      </c>
      <c r="P38">
        <f>Orders[[#This Row],[shippedDate]]-Orders[[#This Row],[orderDate]]</f>
        <v>8</v>
      </c>
      <c r="Q38">
        <f>Orders[[#This Row],[requiredDate]]-Orders[[#This Row],[shippedDate]]</f>
        <v>20</v>
      </c>
    </row>
    <row r="39" spans="1:17" x14ac:dyDescent="0.2">
      <c r="A39">
        <v>10285</v>
      </c>
      <c r="B39" t="s">
        <v>121</v>
      </c>
      <c r="C39">
        <v>1</v>
      </c>
      <c r="D39" s="1">
        <v>35297</v>
      </c>
      <c r="E39" s="1">
        <v>35325</v>
      </c>
      <c r="F39" s="1">
        <v>35303</v>
      </c>
      <c r="G39">
        <v>2</v>
      </c>
      <c r="H39" s="2">
        <v>76.83</v>
      </c>
      <c r="I39" t="s">
        <v>122</v>
      </c>
      <c r="J39" t="s">
        <v>123</v>
      </c>
      <c r="K39" t="s">
        <v>124</v>
      </c>
      <c r="L39" t="s">
        <v>18</v>
      </c>
      <c r="M39">
        <v>1307</v>
      </c>
      <c r="N39" t="s">
        <v>24</v>
      </c>
      <c r="O39">
        <f>Orders[[#This Row],[requiredDate]]-Orders[[#This Row],[orderDate]]</f>
        <v>28</v>
      </c>
      <c r="P39">
        <f>Orders[[#This Row],[shippedDate]]-Orders[[#This Row],[orderDate]]</f>
        <v>6</v>
      </c>
      <c r="Q39">
        <f>Orders[[#This Row],[requiredDate]]-Orders[[#This Row],[shippedDate]]</f>
        <v>22</v>
      </c>
    </row>
    <row r="40" spans="1:17" x14ac:dyDescent="0.2">
      <c r="A40">
        <v>10286</v>
      </c>
      <c r="B40" t="s">
        <v>121</v>
      </c>
      <c r="C40">
        <v>8</v>
      </c>
      <c r="D40" s="1">
        <v>35298</v>
      </c>
      <c r="E40" s="1">
        <v>35326</v>
      </c>
      <c r="F40" s="1">
        <v>35307</v>
      </c>
      <c r="G40">
        <v>3</v>
      </c>
      <c r="H40" s="2">
        <v>229.24</v>
      </c>
      <c r="I40" t="s">
        <v>122</v>
      </c>
      <c r="J40" t="s">
        <v>123</v>
      </c>
      <c r="K40" t="s">
        <v>124</v>
      </c>
      <c r="L40" t="s">
        <v>18</v>
      </c>
      <c r="M40">
        <v>1307</v>
      </c>
      <c r="N40" t="s">
        <v>24</v>
      </c>
      <c r="O40">
        <f>Orders[[#This Row],[requiredDate]]-Orders[[#This Row],[orderDate]]</f>
        <v>28</v>
      </c>
      <c r="P40">
        <f>Orders[[#This Row],[shippedDate]]-Orders[[#This Row],[orderDate]]</f>
        <v>9</v>
      </c>
      <c r="Q40">
        <f>Orders[[#This Row],[requiredDate]]-Orders[[#This Row],[shippedDate]]</f>
        <v>19</v>
      </c>
    </row>
    <row r="41" spans="1:17" x14ac:dyDescent="0.2">
      <c r="A41">
        <v>10287</v>
      </c>
      <c r="B41" t="s">
        <v>156</v>
      </c>
      <c r="C41">
        <v>8</v>
      </c>
      <c r="D41" s="1">
        <v>35299</v>
      </c>
      <c r="E41" s="1">
        <v>35327</v>
      </c>
      <c r="F41" s="1">
        <v>35305</v>
      </c>
      <c r="G41">
        <v>3</v>
      </c>
      <c r="H41" s="2">
        <v>12.76</v>
      </c>
      <c r="I41" t="s">
        <v>157</v>
      </c>
      <c r="J41" t="s">
        <v>158</v>
      </c>
      <c r="K41" t="s">
        <v>28</v>
      </c>
      <c r="L41" t="s">
        <v>29</v>
      </c>
      <c r="M41" t="s">
        <v>159</v>
      </c>
      <c r="N41" t="s">
        <v>31</v>
      </c>
      <c r="O41">
        <f>Orders[[#This Row],[requiredDate]]-Orders[[#This Row],[orderDate]]</f>
        <v>28</v>
      </c>
      <c r="P41">
        <f>Orders[[#This Row],[shippedDate]]-Orders[[#This Row],[orderDate]]</f>
        <v>6</v>
      </c>
      <c r="Q41">
        <f>Orders[[#This Row],[requiredDate]]-Orders[[#This Row],[shippedDate]]</f>
        <v>22</v>
      </c>
    </row>
    <row r="42" spans="1:17" x14ac:dyDescent="0.2">
      <c r="A42">
        <v>10288</v>
      </c>
      <c r="B42" t="s">
        <v>160</v>
      </c>
      <c r="C42">
        <v>4</v>
      </c>
      <c r="D42" s="1">
        <v>35300</v>
      </c>
      <c r="E42" s="1">
        <v>35328</v>
      </c>
      <c r="F42" s="1">
        <v>35311</v>
      </c>
      <c r="G42">
        <v>1</v>
      </c>
      <c r="H42" s="2">
        <v>7.45</v>
      </c>
      <c r="I42" t="s">
        <v>161</v>
      </c>
      <c r="J42" t="s">
        <v>162</v>
      </c>
      <c r="K42" t="s">
        <v>163</v>
      </c>
      <c r="L42" t="s">
        <v>18</v>
      </c>
      <c r="M42">
        <v>42100</v>
      </c>
      <c r="N42" t="s">
        <v>129</v>
      </c>
      <c r="O42">
        <f>Orders[[#This Row],[requiredDate]]-Orders[[#This Row],[orderDate]]</f>
        <v>28</v>
      </c>
      <c r="P42">
        <f>Orders[[#This Row],[shippedDate]]-Orders[[#This Row],[orderDate]]</f>
        <v>11</v>
      </c>
      <c r="Q42">
        <f>Orders[[#This Row],[requiredDate]]-Orders[[#This Row],[shippedDate]]</f>
        <v>17</v>
      </c>
    </row>
    <row r="43" spans="1:17" x14ac:dyDescent="0.2">
      <c r="A43">
        <v>10289</v>
      </c>
      <c r="B43" t="s">
        <v>164</v>
      </c>
      <c r="C43">
        <v>7</v>
      </c>
      <c r="D43" s="1">
        <v>35303</v>
      </c>
      <c r="E43" s="1">
        <v>35331</v>
      </c>
      <c r="F43" s="1">
        <v>35305</v>
      </c>
      <c r="G43">
        <v>3</v>
      </c>
      <c r="H43" s="2">
        <v>22.77</v>
      </c>
      <c r="I43" t="s">
        <v>165</v>
      </c>
      <c r="J43" t="s">
        <v>166</v>
      </c>
      <c r="K43" t="s">
        <v>167</v>
      </c>
      <c r="L43" t="s">
        <v>18</v>
      </c>
      <c r="M43" t="s">
        <v>168</v>
      </c>
      <c r="N43" t="s">
        <v>169</v>
      </c>
      <c r="O43">
        <f>Orders[[#This Row],[requiredDate]]-Orders[[#This Row],[orderDate]]</f>
        <v>28</v>
      </c>
      <c r="P43">
        <f>Orders[[#This Row],[shippedDate]]-Orders[[#This Row],[orderDate]]</f>
        <v>2</v>
      </c>
      <c r="Q43">
        <f>Orders[[#This Row],[requiredDate]]-Orders[[#This Row],[shippedDate]]</f>
        <v>26</v>
      </c>
    </row>
    <row r="44" spans="1:17" x14ac:dyDescent="0.2">
      <c r="A44">
        <v>10290</v>
      </c>
      <c r="B44" t="s">
        <v>170</v>
      </c>
      <c r="C44">
        <v>8</v>
      </c>
      <c r="D44" s="1">
        <v>35304</v>
      </c>
      <c r="E44" s="1">
        <v>35332</v>
      </c>
      <c r="F44" s="1">
        <v>35311</v>
      </c>
      <c r="G44">
        <v>1</v>
      </c>
      <c r="H44" s="2">
        <v>79.7</v>
      </c>
      <c r="I44" t="s">
        <v>171</v>
      </c>
      <c r="J44" t="s">
        <v>172</v>
      </c>
      <c r="K44" t="s">
        <v>173</v>
      </c>
      <c r="L44" t="s">
        <v>55</v>
      </c>
      <c r="M44" t="s">
        <v>174</v>
      </c>
      <c r="N44" t="s">
        <v>31</v>
      </c>
      <c r="O44">
        <f>Orders[[#This Row],[requiredDate]]-Orders[[#This Row],[orderDate]]</f>
        <v>28</v>
      </c>
      <c r="P44">
        <f>Orders[[#This Row],[shippedDate]]-Orders[[#This Row],[orderDate]]</f>
        <v>7</v>
      </c>
      <c r="Q44">
        <f>Orders[[#This Row],[requiredDate]]-Orders[[#This Row],[shippedDate]]</f>
        <v>21</v>
      </c>
    </row>
    <row r="45" spans="1:17" x14ac:dyDescent="0.2">
      <c r="A45">
        <v>10291</v>
      </c>
      <c r="B45" t="s">
        <v>77</v>
      </c>
      <c r="C45">
        <v>6</v>
      </c>
      <c r="D45" s="1">
        <v>35304</v>
      </c>
      <c r="E45" s="1">
        <v>35332</v>
      </c>
      <c r="F45" s="1">
        <v>35312</v>
      </c>
      <c r="G45">
        <v>2</v>
      </c>
      <c r="H45" s="2">
        <v>6.4</v>
      </c>
      <c r="I45" t="s">
        <v>78</v>
      </c>
      <c r="J45" t="s">
        <v>79</v>
      </c>
      <c r="K45" t="s">
        <v>28</v>
      </c>
      <c r="L45" t="s">
        <v>29</v>
      </c>
      <c r="M45" t="s">
        <v>80</v>
      </c>
      <c r="N45" t="s">
        <v>31</v>
      </c>
      <c r="O45">
        <f>Orders[[#This Row],[requiredDate]]-Orders[[#This Row],[orderDate]]</f>
        <v>28</v>
      </c>
      <c r="P45">
        <f>Orders[[#This Row],[shippedDate]]-Orders[[#This Row],[orderDate]]</f>
        <v>8</v>
      </c>
      <c r="Q45">
        <f>Orders[[#This Row],[requiredDate]]-Orders[[#This Row],[shippedDate]]</f>
        <v>20</v>
      </c>
    </row>
    <row r="46" spans="1:17" x14ac:dyDescent="0.2">
      <c r="A46">
        <v>10292</v>
      </c>
      <c r="B46" t="s">
        <v>175</v>
      </c>
      <c r="C46">
        <v>1</v>
      </c>
      <c r="D46" s="1">
        <v>35305</v>
      </c>
      <c r="E46" s="1">
        <v>35333</v>
      </c>
      <c r="F46" s="1">
        <v>35310</v>
      </c>
      <c r="G46">
        <v>2</v>
      </c>
      <c r="H46" s="2">
        <v>1.35</v>
      </c>
      <c r="I46" t="s">
        <v>176</v>
      </c>
      <c r="J46" t="s">
        <v>177</v>
      </c>
      <c r="K46" t="s">
        <v>173</v>
      </c>
      <c r="L46" t="s">
        <v>55</v>
      </c>
      <c r="M46" t="s">
        <v>178</v>
      </c>
      <c r="N46" t="s">
        <v>31</v>
      </c>
      <c r="O46">
        <f>Orders[[#This Row],[requiredDate]]-Orders[[#This Row],[orderDate]]</f>
        <v>28</v>
      </c>
      <c r="P46">
        <f>Orders[[#This Row],[shippedDate]]-Orders[[#This Row],[orderDate]]</f>
        <v>5</v>
      </c>
      <c r="Q46">
        <f>Orders[[#This Row],[requiredDate]]-Orders[[#This Row],[shippedDate]]</f>
        <v>23</v>
      </c>
    </row>
    <row r="47" spans="1:17" x14ac:dyDescent="0.2">
      <c r="A47">
        <v>10293</v>
      </c>
      <c r="B47" t="s">
        <v>130</v>
      </c>
      <c r="C47">
        <v>1</v>
      </c>
      <c r="D47" s="1">
        <v>35306</v>
      </c>
      <c r="E47" s="1">
        <v>35334</v>
      </c>
      <c r="F47" s="1">
        <v>35319</v>
      </c>
      <c r="G47">
        <v>3</v>
      </c>
      <c r="H47" s="2">
        <v>21.18</v>
      </c>
      <c r="I47" t="s">
        <v>131</v>
      </c>
      <c r="J47" t="s">
        <v>132</v>
      </c>
      <c r="K47" t="s">
        <v>71</v>
      </c>
      <c r="L47" t="s">
        <v>18</v>
      </c>
      <c r="M47">
        <v>5033</v>
      </c>
      <c r="N47" t="s">
        <v>72</v>
      </c>
      <c r="O47">
        <f>Orders[[#This Row],[requiredDate]]-Orders[[#This Row],[orderDate]]</f>
        <v>28</v>
      </c>
      <c r="P47">
        <f>Orders[[#This Row],[shippedDate]]-Orders[[#This Row],[orderDate]]</f>
        <v>13</v>
      </c>
      <c r="Q47">
        <f>Orders[[#This Row],[requiredDate]]-Orders[[#This Row],[shippedDate]]</f>
        <v>15</v>
      </c>
    </row>
    <row r="48" spans="1:17" x14ac:dyDescent="0.2">
      <c r="A48">
        <v>10294</v>
      </c>
      <c r="B48" t="s">
        <v>81</v>
      </c>
      <c r="C48">
        <v>4</v>
      </c>
      <c r="D48" s="1">
        <v>35307</v>
      </c>
      <c r="E48" s="1">
        <v>35335</v>
      </c>
      <c r="F48" s="1">
        <v>35313</v>
      </c>
      <c r="G48">
        <v>2</v>
      </c>
      <c r="H48" s="2">
        <v>147.26</v>
      </c>
      <c r="I48" t="s">
        <v>82</v>
      </c>
      <c r="J48" t="s">
        <v>83</v>
      </c>
      <c r="K48" t="s">
        <v>84</v>
      </c>
      <c r="L48" t="s">
        <v>85</v>
      </c>
      <c r="M48">
        <v>87110</v>
      </c>
      <c r="N48" t="s">
        <v>86</v>
      </c>
      <c r="O48">
        <f>Orders[[#This Row],[requiredDate]]-Orders[[#This Row],[orderDate]]</f>
        <v>28</v>
      </c>
      <c r="P48">
        <f>Orders[[#This Row],[shippedDate]]-Orders[[#This Row],[orderDate]]</f>
        <v>6</v>
      </c>
      <c r="Q48">
        <f>Orders[[#This Row],[requiredDate]]-Orders[[#This Row],[shippedDate]]</f>
        <v>22</v>
      </c>
    </row>
    <row r="49" spans="1:17" x14ac:dyDescent="0.2">
      <c r="A49">
        <v>10295</v>
      </c>
      <c r="B49" t="s">
        <v>14</v>
      </c>
      <c r="C49">
        <v>2</v>
      </c>
      <c r="D49" s="1">
        <v>35310</v>
      </c>
      <c r="E49" s="1">
        <v>35338</v>
      </c>
      <c r="F49" s="1">
        <v>35318</v>
      </c>
      <c r="G49">
        <v>2</v>
      </c>
      <c r="H49" s="2">
        <v>1.1499999999999999</v>
      </c>
      <c r="I49" t="s">
        <v>15</v>
      </c>
      <c r="J49" t="s">
        <v>16</v>
      </c>
      <c r="K49" t="s">
        <v>17</v>
      </c>
      <c r="L49" t="s">
        <v>18</v>
      </c>
      <c r="M49">
        <v>51100</v>
      </c>
      <c r="N49" t="s">
        <v>19</v>
      </c>
      <c r="O49">
        <f>Orders[[#This Row],[requiredDate]]-Orders[[#This Row],[orderDate]]</f>
        <v>28</v>
      </c>
      <c r="P49">
        <f>Orders[[#This Row],[shippedDate]]-Orders[[#This Row],[orderDate]]</f>
        <v>8</v>
      </c>
      <c r="Q49">
        <f>Orders[[#This Row],[requiredDate]]-Orders[[#This Row],[shippedDate]]</f>
        <v>20</v>
      </c>
    </row>
    <row r="50" spans="1:17" x14ac:dyDescent="0.2">
      <c r="A50">
        <v>10296</v>
      </c>
      <c r="B50" t="s">
        <v>151</v>
      </c>
      <c r="C50">
        <v>6</v>
      </c>
      <c r="D50" s="1">
        <v>35311</v>
      </c>
      <c r="E50" s="1">
        <v>35339</v>
      </c>
      <c r="F50" s="1">
        <v>35319</v>
      </c>
      <c r="G50">
        <v>1</v>
      </c>
      <c r="H50" s="2">
        <v>0.12</v>
      </c>
      <c r="I50" t="s">
        <v>152</v>
      </c>
      <c r="J50" t="s">
        <v>153</v>
      </c>
      <c r="K50" t="s">
        <v>154</v>
      </c>
      <c r="L50" t="s">
        <v>155</v>
      </c>
      <c r="M50">
        <v>3508</v>
      </c>
      <c r="N50" t="s">
        <v>62</v>
      </c>
      <c r="O50">
        <f>Orders[[#This Row],[requiredDate]]-Orders[[#This Row],[orderDate]]</f>
        <v>28</v>
      </c>
      <c r="P50">
        <f>Orders[[#This Row],[shippedDate]]-Orders[[#This Row],[orderDate]]</f>
        <v>8</v>
      </c>
      <c r="Q50">
        <f>Orders[[#This Row],[requiredDate]]-Orders[[#This Row],[shippedDate]]</f>
        <v>20</v>
      </c>
    </row>
    <row r="51" spans="1:17" x14ac:dyDescent="0.2">
      <c r="A51">
        <v>10297</v>
      </c>
      <c r="B51" t="s">
        <v>93</v>
      </c>
      <c r="C51">
        <v>5</v>
      </c>
      <c r="D51" s="1">
        <v>35312</v>
      </c>
      <c r="E51" s="1">
        <v>35354</v>
      </c>
      <c r="F51" s="1">
        <v>35318</v>
      </c>
      <c r="G51">
        <v>2</v>
      </c>
      <c r="H51" s="2">
        <v>5.74</v>
      </c>
      <c r="I51" t="s">
        <v>94</v>
      </c>
      <c r="J51" t="s">
        <v>95</v>
      </c>
      <c r="K51" t="s">
        <v>96</v>
      </c>
      <c r="L51" t="s">
        <v>18</v>
      </c>
      <c r="M51">
        <v>67000</v>
      </c>
      <c r="N51" t="s">
        <v>19</v>
      </c>
      <c r="O51">
        <f>Orders[[#This Row],[requiredDate]]-Orders[[#This Row],[orderDate]]</f>
        <v>42</v>
      </c>
      <c r="P51">
        <f>Orders[[#This Row],[shippedDate]]-Orders[[#This Row],[orderDate]]</f>
        <v>6</v>
      </c>
      <c r="Q51">
        <f>Orders[[#This Row],[requiredDate]]-Orders[[#This Row],[shippedDate]]</f>
        <v>36</v>
      </c>
    </row>
    <row r="52" spans="1:17" x14ac:dyDescent="0.2">
      <c r="A52">
        <v>10298</v>
      </c>
      <c r="B52" t="s">
        <v>179</v>
      </c>
      <c r="C52">
        <v>6</v>
      </c>
      <c r="D52" s="1">
        <v>35313</v>
      </c>
      <c r="E52" s="1">
        <v>35341</v>
      </c>
      <c r="F52" s="1">
        <v>35319</v>
      </c>
      <c r="G52">
        <v>2</v>
      </c>
      <c r="H52" s="2">
        <v>168.22</v>
      </c>
      <c r="I52" t="s">
        <v>180</v>
      </c>
      <c r="J52" t="s">
        <v>181</v>
      </c>
      <c r="K52" t="s">
        <v>182</v>
      </c>
      <c r="L52" t="s">
        <v>183</v>
      </c>
      <c r="M52" t="s">
        <v>18</v>
      </c>
      <c r="N52" t="s">
        <v>184</v>
      </c>
      <c r="O52">
        <f>Orders[[#This Row],[requiredDate]]-Orders[[#This Row],[orderDate]]</f>
        <v>28</v>
      </c>
      <c r="P52">
        <f>Orders[[#This Row],[shippedDate]]-Orders[[#This Row],[orderDate]]</f>
        <v>6</v>
      </c>
      <c r="Q52">
        <f>Orders[[#This Row],[requiredDate]]-Orders[[#This Row],[shippedDate]]</f>
        <v>22</v>
      </c>
    </row>
    <row r="53" spans="1:17" x14ac:dyDescent="0.2">
      <c r="A53">
        <v>10299</v>
      </c>
      <c r="B53" t="s">
        <v>156</v>
      </c>
      <c r="C53">
        <v>4</v>
      </c>
      <c r="D53" s="1">
        <v>35314</v>
      </c>
      <c r="E53" s="1">
        <v>35342</v>
      </c>
      <c r="F53" s="1">
        <v>35321</v>
      </c>
      <c r="G53">
        <v>2</v>
      </c>
      <c r="H53" s="2">
        <v>29.76</v>
      </c>
      <c r="I53" t="s">
        <v>157</v>
      </c>
      <c r="J53" t="s">
        <v>158</v>
      </c>
      <c r="K53" t="s">
        <v>28</v>
      </c>
      <c r="L53" t="s">
        <v>29</v>
      </c>
      <c r="M53" t="s">
        <v>159</v>
      </c>
      <c r="N53" t="s">
        <v>31</v>
      </c>
      <c r="O53">
        <f>Orders[[#This Row],[requiredDate]]-Orders[[#This Row],[orderDate]]</f>
        <v>28</v>
      </c>
      <c r="P53">
        <f>Orders[[#This Row],[shippedDate]]-Orders[[#This Row],[orderDate]]</f>
        <v>7</v>
      </c>
      <c r="Q53">
        <f>Orders[[#This Row],[requiredDate]]-Orders[[#This Row],[shippedDate]]</f>
        <v>21</v>
      </c>
    </row>
    <row r="54" spans="1:17" x14ac:dyDescent="0.2">
      <c r="A54">
        <v>10300</v>
      </c>
      <c r="B54" t="s">
        <v>125</v>
      </c>
      <c r="C54">
        <v>2</v>
      </c>
      <c r="D54" s="1">
        <v>35317</v>
      </c>
      <c r="E54" s="1">
        <v>35345</v>
      </c>
      <c r="F54" s="1">
        <v>35326</v>
      </c>
      <c r="G54">
        <v>2</v>
      </c>
      <c r="H54" s="2">
        <v>17.68</v>
      </c>
      <c r="I54" t="s">
        <v>126</v>
      </c>
      <c r="J54" t="s">
        <v>127</v>
      </c>
      <c r="K54" t="s">
        <v>128</v>
      </c>
      <c r="L54" t="s">
        <v>18</v>
      </c>
      <c r="M54">
        <v>24100</v>
      </c>
      <c r="N54" t="s">
        <v>129</v>
      </c>
      <c r="O54">
        <f>Orders[[#This Row],[requiredDate]]-Orders[[#This Row],[orderDate]]</f>
        <v>28</v>
      </c>
      <c r="P54">
        <f>Orders[[#This Row],[shippedDate]]-Orders[[#This Row],[orderDate]]</f>
        <v>9</v>
      </c>
      <c r="Q54">
        <f>Orders[[#This Row],[requiredDate]]-Orders[[#This Row],[shippedDate]]</f>
        <v>19</v>
      </c>
    </row>
    <row r="55" spans="1:17" x14ac:dyDescent="0.2">
      <c r="A55">
        <v>10301</v>
      </c>
      <c r="B55" t="s">
        <v>185</v>
      </c>
      <c r="C55">
        <v>8</v>
      </c>
      <c r="D55" s="1">
        <v>35317</v>
      </c>
      <c r="E55" s="1">
        <v>35345</v>
      </c>
      <c r="F55" s="1">
        <v>35325</v>
      </c>
      <c r="G55">
        <v>2</v>
      </c>
      <c r="H55" s="2">
        <v>45.08</v>
      </c>
      <c r="I55" t="s">
        <v>186</v>
      </c>
      <c r="J55" t="s">
        <v>187</v>
      </c>
      <c r="K55" t="s">
        <v>188</v>
      </c>
      <c r="L55" t="s">
        <v>18</v>
      </c>
      <c r="M55">
        <v>70563</v>
      </c>
      <c r="N55" t="s">
        <v>24</v>
      </c>
      <c r="O55">
        <f>Orders[[#This Row],[requiredDate]]-Orders[[#This Row],[orderDate]]</f>
        <v>28</v>
      </c>
      <c r="P55">
        <f>Orders[[#This Row],[shippedDate]]-Orders[[#This Row],[orderDate]]</f>
        <v>8</v>
      </c>
      <c r="Q55">
        <f>Orders[[#This Row],[requiredDate]]-Orders[[#This Row],[shippedDate]]</f>
        <v>20</v>
      </c>
    </row>
    <row r="56" spans="1:17" x14ac:dyDescent="0.2">
      <c r="A56">
        <v>10302</v>
      </c>
      <c r="B56" t="s">
        <v>36</v>
      </c>
      <c r="C56">
        <v>4</v>
      </c>
      <c r="D56" s="1">
        <v>35318</v>
      </c>
      <c r="E56" s="1">
        <v>35346</v>
      </c>
      <c r="F56" s="1">
        <v>35347</v>
      </c>
      <c r="G56">
        <v>2</v>
      </c>
      <c r="H56" s="2">
        <v>6.27</v>
      </c>
      <c r="I56" t="s">
        <v>37</v>
      </c>
      <c r="J56" t="s">
        <v>38</v>
      </c>
      <c r="K56" t="s">
        <v>39</v>
      </c>
      <c r="L56" t="s">
        <v>18</v>
      </c>
      <c r="M56" t="s">
        <v>40</v>
      </c>
      <c r="N56" t="s">
        <v>41</v>
      </c>
      <c r="O56">
        <f>Orders[[#This Row],[requiredDate]]-Orders[[#This Row],[orderDate]]</f>
        <v>28</v>
      </c>
      <c r="P56">
        <f>Orders[[#This Row],[shippedDate]]-Orders[[#This Row],[orderDate]]</f>
        <v>29</v>
      </c>
      <c r="Q56">
        <f>Orders[[#This Row],[requiredDate]]-Orders[[#This Row],[shippedDate]]</f>
        <v>-1</v>
      </c>
    </row>
    <row r="57" spans="1:17" x14ac:dyDescent="0.2">
      <c r="A57">
        <v>10303</v>
      </c>
      <c r="B57" t="s">
        <v>189</v>
      </c>
      <c r="C57">
        <v>7</v>
      </c>
      <c r="D57" s="1">
        <v>35319</v>
      </c>
      <c r="E57" s="1">
        <v>35347</v>
      </c>
      <c r="F57" s="1">
        <v>35326</v>
      </c>
      <c r="G57">
        <v>2</v>
      </c>
      <c r="H57" s="2">
        <v>107.83</v>
      </c>
      <c r="I57" t="s">
        <v>190</v>
      </c>
      <c r="J57" t="s">
        <v>191</v>
      </c>
      <c r="K57" t="s">
        <v>192</v>
      </c>
      <c r="L57" t="s">
        <v>18</v>
      </c>
      <c r="M57">
        <v>41101</v>
      </c>
      <c r="N57" t="s">
        <v>150</v>
      </c>
      <c r="O57">
        <f>Orders[[#This Row],[requiredDate]]-Orders[[#This Row],[orderDate]]</f>
        <v>28</v>
      </c>
      <c r="P57">
        <f>Orders[[#This Row],[shippedDate]]-Orders[[#This Row],[orderDate]]</f>
        <v>7</v>
      </c>
      <c r="Q57">
        <f>Orders[[#This Row],[requiredDate]]-Orders[[#This Row],[shippedDate]]</f>
        <v>21</v>
      </c>
    </row>
    <row r="58" spans="1:17" x14ac:dyDescent="0.2">
      <c r="A58">
        <v>10304</v>
      </c>
      <c r="B58" t="s">
        <v>130</v>
      </c>
      <c r="C58">
        <v>1</v>
      </c>
      <c r="D58" s="1">
        <v>35320</v>
      </c>
      <c r="E58" s="1">
        <v>35348</v>
      </c>
      <c r="F58" s="1">
        <v>35325</v>
      </c>
      <c r="G58">
        <v>2</v>
      </c>
      <c r="H58" s="2">
        <v>63.79</v>
      </c>
      <c r="I58" t="s">
        <v>131</v>
      </c>
      <c r="J58" t="s">
        <v>132</v>
      </c>
      <c r="K58" t="s">
        <v>71</v>
      </c>
      <c r="L58" t="s">
        <v>18</v>
      </c>
      <c r="M58">
        <v>5033</v>
      </c>
      <c r="N58" t="s">
        <v>72</v>
      </c>
      <c r="O58">
        <f>Orders[[#This Row],[requiredDate]]-Orders[[#This Row],[orderDate]]</f>
        <v>28</v>
      </c>
      <c r="P58">
        <f>Orders[[#This Row],[shippedDate]]-Orders[[#This Row],[orderDate]]</f>
        <v>5</v>
      </c>
      <c r="Q58">
        <f>Orders[[#This Row],[requiredDate]]-Orders[[#This Row],[shippedDate]]</f>
        <v>23</v>
      </c>
    </row>
    <row r="59" spans="1:17" x14ac:dyDescent="0.2">
      <c r="A59">
        <v>10305</v>
      </c>
      <c r="B59" t="s">
        <v>193</v>
      </c>
      <c r="C59">
        <v>8</v>
      </c>
      <c r="D59" s="1">
        <v>35321</v>
      </c>
      <c r="E59" s="1">
        <v>35349</v>
      </c>
      <c r="F59" s="1">
        <v>35347</v>
      </c>
      <c r="G59">
        <v>3</v>
      </c>
      <c r="H59" s="2">
        <v>257.62</v>
      </c>
      <c r="I59" t="s">
        <v>194</v>
      </c>
      <c r="J59" t="s">
        <v>195</v>
      </c>
      <c r="K59" t="s">
        <v>196</v>
      </c>
      <c r="L59" t="s">
        <v>197</v>
      </c>
      <c r="M59">
        <v>99508</v>
      </c>
      <c r="N59" t="s">
        <v>86</v>
      </c>
      <c r="O59">
        <f>Orders[[#This Row],[requiredDate]]-Orders[[#This Row],[orderDate]]</f>
        <v>28</v>
      </c>
      <c r="P59">
        <f>Orders[[#This Row],[shippedDate]]-Orders[[#This Row],[orderDate]]</f>
        <v>26</v>
      </c>
      <c r="Q59">
        <f>Orders[[#This Row],[requiredDate]]-Orders[[#This Row],[shippedDate]]</f>
        <v>2</v>
      </c>
    </row>
    <row r="60" spans="1:17" x14ac:dyDescent="0.2">
      <c r="A60">
        <v>10306</v>
      </c>
      <c r="B60" t="s">
        <v>146</v>
      </c>
      <c r="C60">
        <v>1</v>
      </c>
      <c r="D60" s="1">
        <v>35324</v>
      </c>
      <c r="E60" s="1">
        <v>35352</v>
      </c>
      <c r="F60" s="1">
        <v>35331</v>
      </c>
      <c r="G60">
        <v>3</v>
      </c>
      <c r="H60" s="2">
        <v>7.56</v>
      </c>
      <c r="I60" t="s">
        <v>147</v>
      </c>
      <c r="J60" t="s">
        <v>148</v>
      </c>
      <c r="K60" t="s">
        <v>149</v>
      </c>
      <c r="L60" t="s">
        <v>18</v>
      </c>
      <c r="M60">
        <v>28001</v>
      </c>
      <c r="N60" t="s">
        <v>150</v>
      </c>
      <c r="O60">
        <f>Orders[[#This Row],[requiredDate]]-Orders[[#This Row],[orderDate]]</f>
        <v>28</v>
      </c>
      <c r="P60">
        <f>Orders[[#This Row],[shippedDate]]-Orders[[#This Row],[orderDate]]</f>
        <v>7</v>
      </c>
      <c r="Q60">
        <f>Orders[[#This Row],[requiredDate]]-Orders[[#This Row],[shippedDate]]</f>
        <v>21</v>
      </c>
    </row>
    <row r="61" spans="1:17" x14ac:dyDescent="0.2">
      <c r="A61">
        <v>10307</v>
      </c>
      <c r="B61" t="s">
        <v>198</v>
      </c>
      <c r="C61">
        <v>2</v>
      </c>
      <c r="D61" s="1">
        <v>35325</v>
      </c>
      <c r="E61" s="1">
        <v>35353</v>
      </c>
      <c r="F61" s="1">
        <v>35333</v>
      </c>
      <c r="G61">
        <v>2</v>
      </c>
      <c r="H61" s="2">
        <v>0.56000000000000005</v>
      </c>
      <c r="I61" t="s">
        <v>199</v>
      </c>
      <c r="J61" t="s">
        <v>200</v>
      </c>
      <c r="K61" t="s">
        <v>201</v>
      </c>
      <c r="L61" t="s">
        <v>202</v>
      </c>
      <c r="M61">
        <v>97219</v>
      </c>
      <c r="N61" t="s">
        <v>86</v>
      </c>
      <c r="O61">
        <f>Orders[[#This Row],[requiredDate]]-Orders[[#This Row],[orderDate]]</f>
        <v>28</v>
      </c>
      <c r="P61">
        <f>Orders[[#This Row],[shippedDate]]-Orders[[#This Row],[orderDate]]</f>
        <v>8</v>
      </c>
      <c r="Q61">
        <f>Orders[[#This Row],[requiredDate]]-Orders[[#This Row],[shippedDate]]</f>
        <v>20</v>
      </c>
    </row>
    <row r="62" spans="1:17" x14ac:dyDescent="0.2">
      <c r="A62">
        <v>10308</v>
      </c>
      <c r="B62" t="s">
        <v>203</v>
      </c>
      <c r="C62">
        <v>7</v>
      </c>
      <c r="D62" s="1">
        <v>35326</v>
      </c>
      <c r="E62" s="1">
        <v>35354</v>
      </c>
      <c r="F62" s="1">
        <v>35332</v>
      </c>
      <c r="G62">
        <v>3</v>
      </c>
      <c r="H62" s="2">
        <v>1.61</v>
      </c>
      <c r="I62" t="s">
        <v>204</v>
      </c>
      <c r="J62" t="s">
        <v>205</v>
      </c>
      <c r="K62" t="s">
        <v>71</v>
      </c>
      <c r="L62" t="s">
        <v>18</v>
      </c>
      <c r="M62">
        <v>5021</v>
      </c>
      <c r="N62" t="s">
        <v>72</v>
      </c>
      <c r="O62">
        <f>Orders[[#This Row],[requiredDate]]-Orders[[#This Row],[orderDate]]</f>
        <v>28</v>
      </c>
      <c r="P62">
        <f>Orders[[#This Row],[shippedDate]]-Orders[[#This Row],[orderDate]]</f>
        <v>6</v>
      </c>
      <c r="Q62">
        <f>Orders[[#This Row],[requiredDate]]-Orders[[#This Row],[shippedDate]]</f>
        <v>22</v>
      </c>
    </row>
    <row r="63" spans="1:17" x14ac:dyDescent="0.2">
      <c r="A63">
        <v>10309</v>
      </c>
      <c r="B63" t="s">
        <v>179</v>
      </c>
      <c r="C63">
        <v>3</v>
      </c>
      <c r="D63" s="1">
        <v>35327</v>
      </c>
      <c r="E63" s="1">
        <v>35355</v>
      </c>
      <c r="F63" s="1">
        <v>35361</v>
      </c>
      <c r="G63">
        <v>1</v>
      </c>
      <c r="H63" s="2">
        <v>47.3</v>
      </c>
      <c r="I63" t="s">
        <v>180</v>
      </c>
      <c r="J63" t="s">
        <v>181</v>
      </c>
      <c r="K63" t="s">
        <v>182</v>
      </c>
      <c r="L63" t="s">
        <v>183</v>
      </c>
      <c r="M63" t="s">
        <v>18</v>
      </c>
      <c r="N63" t="s">
        <v>184</v>
      </c>
      <c r="O63">
        <f>Orders[[#This Row],[requiredDate]]-Orders[[#This Row],[orderDate]]</f>
        <v>28</v>
      </c>
      <c r="P63">
        <f>Orders[[#This Row],[shippedDate]]-Orders[[#This Row],[orderDate]]</f>
        <v>34</v>
      </c>
      <c r="Q63">
        <f>Orders[[#This Row],[requiredDate]]-Orders[[#This Row],[shippedDate]]</f>
        <v>-6</v>
      </c>
    </row>
    <row r="64" spans="1:17" x14ac:dyDescent="0.2">
      <c r="A64">
        <v>10310</v>
      </c>
      <c r="B64" t="s">
        <v>206</v>
      </c>
      <c r="C64">
        <v>8</v>
      </c>
      <c r="D64" s="1">
        <v>35328</v>
      </c>
      <c r="E64" s="1">
        <v>35356</v>
      </c>
      <c r="F64" s="1">
        <v>35335</v>
      </c>
      <c r="G64">
        <v>2</v>
      </c>
      <c r="H64" s="2">
        <v>17.52</v>
      </c>
      <c r="I64" t="s">
        <v>207</v>
      </c>
      <c r="J64" t="s">
        <v>208</v>
      </c>
      <c r="K64" t="s">
        <v>201</v>
      </c>
      <c r="L64" t="s">
        <v>202</v>
      </c>
      <c r="M64">
        <v>97201</v>
      </c>
      <c r="N64" t="s">
        <v>86</v>
      </c>
      <c r="O64">
        <f>Orders[[#This Row],[requiredDate]]-Orders[[#This Row],[orderDate]]</f>
        <v>28</v>
      </c>
      <c r="P64">
        <f>Orders[[#This Row],[shippedDate]]-Orders[[#This Row],[orderDate]]</f>
        <v>7</v>
      </c>
      <c r="Q64">
        <f>Orders[[#This Row],[requiredDate]]-Orders[[#This Row],[shippedDate]]</f>
        <v>21</v>
      </c>
    </row>
    <row r="65" spans="1:17" x14ac:dyDescent="0.2">
      <c r="A65">
        <v>10311</v>
      </c>
      <c r="B65" t="s">
        <v>209</v>
      </c>
      <c r="C65">
        <v>1</v>
      </c>
      <c r="D65" s="1">
        <v>35328</v>
      </c>
      <c r="E65" s="1">
        <v>35342</v>
      </c>
      <c r="F65" s="1">
        <v>35334</v>
      </c>
      <c r="G65">
        <v>3</v>
      </c>
      <c r="H65" s="2">
        <v>24.69</v>
      </c>
      <c r="I65" t="s">
        <v>210</v>
      </c>
      <c r="J65" t="s">
        <v>211</v>
      </c>
      <c r="K65" t="s">
        <v>212</v>
      </c>
      <c r="L65" t="s">
        <v>18</v>
      </c>
      <c r="M65">
        <v>44000</v>
      </c>
      <c r="N65" t="s">
        <v>19</v>
      </c>
      <c r="O65">
        <f>Orders[[#This Row],[requiredDate]]-Orders[[#This Row],[orderDate]]</f>
        <v>14</v>
      </c>
      <c r="P65">
        <f>Orders[[#This Row],[shippedDate]]-Orders[[#This Row],[orderDate]]</f>
        <v>6</v>
      </c>
      <c r="Q65">
        <f>Orders[[#This Row],[requiredDate]]-Orders[[#This Row],[shippedDate]]</f>
        <v>8</v>
      </c>
    </row>
    <row r="66" spans="1:17" x14ac:dyDescent="0.2">
      <c r="A66">
        <v>10312</v>
      </c>
      <c r="B66" t="s">
        <v>185</v>
      </c>
      <c r="C66">
        <v>2</v>
      </c>
      <c r="D66" s="1">
        <v>35331</v>
      </c>
      <c r="E66" s="1">
        <v>35359</v>
      </c>
      <c r="F66" s="1">
        <v>35341</v>
      </c>
      <c r="G66">
        <v>2</v>
      </c>
      <c r="H66" s="2">
        <v>40.26</v>
      </c>
      <c r="I66" t="s">
        <v>186</v>
      </c>
      <c r="J66" t="s">
        <v>187</v>
      </c>
      <c r="K66" t="s">
        <v>188</v>
      </c>
      <c r="L66" t="s">
        <v>18</v>
      </c>
      <c r="M66">
        <v>70563</v>
      </c>
      <c r="N66" t="s">
        <v>24</v>
      </c>
      <c r="O66">
        <f>Orders[[#This Row],[requiredDate]]-Orders[[#This Row],[orderDate]]</f>
        <v>28</v>
      </c>
      <c r="P66">
        <f>Orders[[#This Row],[shippedDate]]-Orders[[#This Row],[orderDate]]</f>
        <v>10</v>
      </c>
      <c r="Q66">
        <f>Orders[[#This Row],[requiredDate]]-Orders[[#This Row],[shippedDate]]</f>
        <v>18</v>
      </c>
    </row>
    <row r="67" spans="1:17" x14ac:dyDescent="0.2">
      <c r="A67">
        <v>10313</v>
      </c>
      <c r="B67" t="s">
        <v>121</v>
      </c>
      <c r="C67">
        <v>2</v>
      </c>
      <c r="D67" s="1">
        <v>35332</v>
      </c>
      <c r="E67" s="1">
        <v>35360</v>
      </c>
      <c r="F67" s="1">
        <v>35342</v>
      </c>
      <c r="G67">
        <v>2</v>
      </c>
      <c r="H67" s="2">
        <v>1.96</v>
      </c>
      <c r="I67" t="s">
        <v>122</v>
      </c>
      <c r="J67" t="s">
        <v>123</v>
      </c>
      <c r="K67" t="s">
        <v>124</v>
      </c>
      <c r="L67" t="s">
        <v>18</v>
      </c>
      <c r="M67">
        <v>1307</v>
      </c>
      <c r="N67" t="s">
        <v>24</v>
      </c>
      <c r="O67">
        <f>Orders[[#This Row],[requiredDate]]-Orders[[#This Row],[orderDate]]</f>
        <v>28</v>
      </c>
      <c r="P67">
        <f>Orders[[#This Row],[shippedDate]]-Orders[[#This Row],[orderDate]]</f>
        <v>10</v>
      </c>
      <c r="Q67">
        <f>Orders[[#This Row],[requiredDate]]-Orders[[#This Row],[shippedDate]]</f>
        <v>18</v>
      </c>
    </row>
    <row r="68" spans="1:17" x14ac:dyDescent="0.2">
      <c r="A68">
        <v>10314</v>
      </c>
      <c r="B68" t="s">
        <v>81</v>
      </c>
      <c r="C68">
        <v>1</v>
      </c>
      <c r="D68" s="1">
        <v>35333</v>
      </c>
      <c r="E68" s="1">
        <v>35361</v>
      </c>
      <c r="F68" s="1">
        <v>35342</v>
      </c>
      <c r="G68">
        <v>2</v>
      </c>
      <c r="H68" s="2">
        <v>74.16</v>
      </c>
      <c r="I68" t="s">
        <v>82</v>
      </c>
      <c r="J68" t="s">
        <v>83</v>
      </c>
      <c r="K68" t="s">
        <v>84</v>
      </c>
      <c r="L68" t="s">
        <v>85</v>
      </c>
      <c r="M68">
        <v>87110</v>
      </c>
      <c r="N68" t="s">
        <v>86</v>
      </c>
      <c r="O68">
        <f>Orders[[#This Row],[requiredDate]]-Orders[[#This Row],[orderDate]]</f>
        <v>28</v>
      </c>
      <c r="P68">
        <f>Orders[[#This Row],[shippedDate]]-Orders[[#This Row],[orderDate]]</f>
        <v>9</v>
      </c>
      <c r="Q68">
        <f>Orders[[#This Row],[requiredDate]]-Orders[[#This Row],[shippedDate]]</f>
        <v>19</v>
      </c>
    </row>
    <row r="69" spans="1:17" x14ac:dyDescent="0.2">
      <c r="A69">
        <v>10315</v>
      </c>
      <c r="B69" t="s">
        <v>213</v>
      </c>
      <c r="C69">
        <v>4</v>
      </c>
      <c r="D69" s="1">
        <v>35334</v>
      </c>
      <c r="E69" s="1">
        <v>35362</v>
      </c>
      <c r="F69" s="1">
        <v>35341</v>
      </c>
      <c r="G69">
        <v>2</v>
      </c>
      <c r="H69" s="2">
        <v>41.76</v>
      </c>
      <c r="I69" t="s">
        <v>214</v>
      </c>
      <c r="J69" t="s">
        <v>215</v>
      </c>
      <c r="K69" t="s">
        <v>216</v>
      </c>
      <c r="L69" t="s">
        <v>217</v>
      </c>
      <c r="M69" t="s">
        <v>218</v>
      </c>
      <c r="N69" t="s">
        <v>169</v>
      </c>
      <c r="O69">
        <f>Orders[[#This Row],[requiredDate]]-Orders[[#This Row],[orderDate]]</f>
        <v>28</v>
      </c>
      <c r="P69">
        <f>Orders[[#This Row],[shippedDate]]-Orders[[#This Row],[orderDate]]</f>
        <v>7</v>
      </c>
      <c r="Q69">
        <f>Orders[[#This Row],[requiredDate]]-Orders[[#This Row],[shippedDate]]</f>
        <v>21</v>
      </c>
    </row>
    <row r="70" spans="1:17" x14ac:dyDescent="0.2">
      <c r="A70">
        <v>10316</v>
      </c>
      <c r="B70" t="s">
        <v>81</v>
      </c>
      <c r="C70">
        <v>1</v>
      </c>
      <c r="D70" s="1">
        <v>35335</v>
      </c>
      <c r="E70" s="1">
        <v>35363</v>
      </c>
      <c r="F70" s="1">
        <v>35346</v>
      </c>
      <c r="G70">
        <v>3</v>
      </c>
      <c r="H70" s="2">
        <v>150.15</v>
      </c>
      <c r="I70" t="s">
        <v>82</v>
      </c>
      <c r="J70" t="s">
        <v>83</v>
      </c>
      <c r="K70" t="s">
        <v>84</v>
      </c>
      <c r="L70" t="s">
        <v>85</v>
      </c>
      <c r="M70">
        <v>87110</v>
      </c>
      <c r="N70" t="s">
        <v>86</v>
      </c>
      <c r="O70">
        <f>Orders[[#This Row],[requiredDate]]-Orders[[#This Row],[orderDate]]</f>
        <v>28</v>
      </c>
      <c r="P70">
        <f>Orders[[#This Row],[shippedDate]]-Orders[[#This Row],[orderDate]]</f>
        <v>11</v>
      </c>
      <c r="Q70">
        <f>Orders[[#This Row],[requiredDate]]-Orders[[#This Row],[shippedDate]]</f>
        <v>17</v>
      </c>
    </row>
    <row r="71" spans="1:17" x14ac:dyDescent="0.2">
      <c r="A71">
        <v>10317</v>
      </c>
      <c r="B71" t="s">
        <v>198</v>
      </c>
      <c r="C71">
        <v>6</v>
      </c>
      <c r="D71" s="1">
        <v>35338</v>
      </c>
      <c r="E71" s="1">
        <v>35366</v>
      </c>
      <c r="F71" s="1">
        <v>35348</v>
      </c>
      <c r="G71">
        <v>1</v>
      </c>
      <c r="H71" s="2">
        <v>12.69</v>
      </c>
      <c r="I71" t="s">
        <v>199</v>
      </c>
      <c r="J71" t="s">
        <v>200</v>
      </c>
      <c r="K71" t="s">
        <v>201</v>
      </c>
      <c r="L71" t="s">
        <v>202</v>
      </c>
      <c r="M71">
        <v>97219</v>
      </c>
      <c r="N71" t="s">
        <v>86</v>
      </c>
      <c r="O71">
        <f>Orders[[#This Row],[requiredDate]]-Orders[[#This Row],[orderDate]]</f>
        <v>28</v>
      </c>
      <c r="P71">
        <f>Orders[[#This Row],[shippedDate]]-Orders[[#This Row],[orderDate]]</f>
        <v>10</v>
      </c>
      <c r="Q71">
        <f>Orders[[#This Row],[requiredDate]]-Orders[[#This Row],[shippedDate]]</f>
        <v>18</v>
      </c>
    </row>
    <row r="72" spans="1:17" x14ac:dyDescent="0.2">
      <c r="A72">
        <v>10318</v>
      </c>
      <c r="B72" t="s">
        <v>213</v>
      </c>
      <c r="C72">
        <v>8</v>
      </c>
      <c r="D72" s="1">
        <v>35339</v>
      </c>
      <c r="E72" s="1">
        <v>35367</v>
      </c>
      <c r="F72" s="1">
        <v>35342</v>
      </c>
      <c r="G72">
        <v>2</v>
      </c>
      <c r="H72" s="2">
        <v>4.7300000000000004</v>
      </c>
      <c r="I72" t="s">
        <v>214</v>
      </c>
      <c r="J72" t="s">
        <v>215</v>
      </c>
      <c r="K72" t="s">
        <v>216</v>
      </c>
      <c r="L72" t="s">
        <v>217</v>
      </c>
      <c r="M72" t="s">
        <v>218</v>
      </c>
      <c r="N72" t="s">
        <v>169</v>
      </c>
      <c r="O72">
        <f>Orders[[#This Row],[requiredDate]]-Orders[[#This Row],[orderDate]]</f>
        <v>28</v>
      </c>
      <c r="P72">
        <f>Orders[[#This Row],[shippedDate]]-Orders[[#This Row],[orderDate]]</f>
        <v>3</v>
      </c>
      <c r="Q72">
        <f>Orders[[#This Row],[requiredDate]]-Orders[[#This Row],[shippedDate]]</f>
        <v>25</v>
      </c>
    </row>
    <row r="73" spans="1:17" x14ac:dyDescent="0.2">
      <c r="A73">
        <v>10319</v>
      </c>
      <c r="B73" t="s">
        <v>130</v>
      </c>
      <c r="C73">
        <v>7</v>
      </c>
      <c r="D73" s="1">
        <v>35340</v>
      </c>
      <c r="E73" s="1">
        <v>35368</v>
      </c>
      <c r="F73" s="1">
        <v>35349</v>
      </c>
      <c r="G73">
        <v>3</v>
      </c>
      <c r="H73" s="2">
        <v>64.5</v>
      </c>
      <c r="I73" t="s">
        <v>131</v>
      </c>
      <c r="J73" t="s">
        <v>132</v>
      </c>
      <c r="K73" t="s">
        <v>71</v>
      </c>
      <c r="L73" t="s">
        <v>18</v>
      </c>
      <c r="M73">
        <v>5033</v>
      </c>
      <c r="N73" t="s">
        <v>72</v>
      </c>
      <c r="O73">
        <f>Orders[[#This Row],[requiredDate]]-Orders[[#This Row],[orderDate]]</f>
        <v>28</v>
      </c>
      <c r="P73">
        <f>Orders[[#This Row],[shippedDate]]-Orders[[#This Row],[orderDate]]</f>
        <v>9</v>
      </c>
      <c r="Q73">
        <f>Orders[[#This Row],[requiredDate]]-Orders[[#This Row],[shippedDate]]</f>
        <v>19</v>
      </c>
    </row>
    <row r="74" spans="1:17" x14ac:dyDescent="0.2">
      <c r="A74">
        <v>10320</v>
      </c>
      <c r="B74" t="s">
        <v>97</v>
      </c>
      <c r="C74">
        <v>5</v>
      </c>
      <c r="D74" s="1">
        <v>35341</v>
      </c>
      <c r="E74" s="1">
        <v>35355</v>
      </c>
      <c r="F74" s="1">
        <v>35356</v>
      </c>
      <c r="G74">
        <v>3</v>
      </c>
      <c r="H74" s="2">
        <v>34.57</v>
      </c>
      <c r="I74" t="s">
        <v>98</v>
      </c>
      <c r="J74" t="s">
        <v>99</v>
      </c>
      <c r="K74" t="s">
        <v>100</v>
      </c>
      <c r="L74" t="s">
        <v>18</v>
      </c>
      <c r="M74">
        <v>90110</v>
      </c>
      <c r="N74" t="s">
        <v>101</v>
      </c>
      <c r="O74">
        <f>Orders[[#This Row],[requiredDate]]-Orders[[#This Row],[orderDate]]</f>
        <v>14</v>
      </c>
      <c r="P74">
        <f>Orders[[#This Row],[shippedDate]]-Orders[[#This Row],[orderDate]]</f>
        <v>15</v>
      </c>
      <c r="Q74">
        <f>Orders[[#This Row],[requiredDate]]-Orders[[#This Row],[shippedDate]]</f>
        <v>-1</v>
      </c>
    </row>
    <row r="75" spans="1:17" x14ac:dyDescent="0.2">
      <c r="A75">
        <v>10321</v>
      </c>
      <c r="B75" t="s">
        <v>213</v>
      </c>
      <c r="C75">
        <v>3</v>
      </c>
      <c r="D75" s="1">
        <v>35341</v>
      </c>
      <c r="E75" s="1">
        <v>35369</v>
      </c>
      <c r="F75" s="1">
        <v>35349</v>
      </c>
      <c r="G75">
        <v>2</v>
      </c>
      <c r="H75" s="2">
        <v>3.43</v>
      </c>
      <c r="I75" t="s">
        <v>214</v>
      </c>
      <c r="J75" t="s">
        <v>215</v>
      </c>
      <c r="K75" t="s">
        <v>216</v>
      </c>
      <c r="L75" t="s">
        <v>217</v>
      </c>
      <c r="M75" t="s">
        <v>218</v>
      </c>
      <c r="N75" t="s">
        <v>169</v>
      </c>
      <c r="O75">
        <f>Orders[[#This Row],[requiredDate]]-Orders[[#This Row],[orderDate]]</f>
        <v>28</v>
      </c>
      <c r="P75">
        <f>Orders[[#This Row],[shippedDate]]-Orders[[#This Row],[orderDate]]</f>
        <v>8</v>
      </c>
      <c r="Q75">
        <f>Orders[[#This Row],[requiredDate]]-Orders[[#This Row],[shippedDate]]</f>
        <v>20</v>
      </c>
    </row>
    <row r="76" spans="1:17" x14ac:dyDescent="0.2">
      <c r="A76">
        <v>10322</v>
      </c>
      <c r="B76" t="s">
        <v>219</v>
      </c>
      <c r="C76">
        <v>7</v>
      </c>
      <c r="D76" s="1">
        <v>35342</v>
      </c>
      <c r="E76" s="1">
        <v>35370</v>
      </c>
      <c r="F76" s="1">
        <v>35361</v>
      </c>
      <c r="G76">
        <v>3</v>
      </c>
      <c r="H76" s="2">
        <v>0.4</v>
      </c>
      <c r="I76" t="s">
        <v>220</v>
      </c>
      <c r="J76" t="s">
        <v>221</v>
      </c>
      <c r="K76" t="s">
        <v>71</v>
      </c>
      <c r="L76" t="s">
        <v>18</v>
      </c>
      <c r="M76">
        <v>5033</v>
      </c>
      <c r="N76" t="s">
        <v>72</v>
      </c>
      <c r="O76">
        <f>Orders[[#This Row],[requiredDate]]-Orders[[#This Row],[orderDate]]</f>
        <v>28</v>
      </c>
      <c r="P76">
        <f>Orders[[#This Row],[shippedDate]]-Orders[[#This Row],[orderDate]]</f>
        <v>19</v>
      </c>
      <c r="Q76">
        <f>Orders[[#This Row],[requiredDate]]-Orders[[#This Row],[shippedDate]]</f>
        <v>9</v>
      </c>
    </row>
    <row r="77" spans="1:17" x14ac:dyDescent="0.2">
      <c r="A77">
        <v>10323</v>
      </c>
      <c r="B77" t="s">
        <v>222</v>
      </c>
      <c r="C77">
        <v>4</v>
      </c>
      <c r="D77" s="1">
        <v>35345</v>
      </c>
      <c r="E77" s="1">
        <v>35373</v>
      </c>
      <c r="F77" s="1">
        <v>35352</v>
      </c>
      <c r="G77">
        <v>1</v>
      </c>
      <c r="H77" s="2">
        <v>4.88</v>
      </c>
      <c r="I77" t="s">
        <v>223</v>
      </c>
      <c r="J77" t="s">
        <v>224</v>
      </c>
      <c r="K77" t="s">
        <v>225</v>
      </c>
      <c r="L77" t="s">
        <v>18</v>
      </c>
      <c r="M77">
        <v>14776</v>
      </c>
      <c r="N77" t="s">
        <v>24</v>
      </c>
      <c r="O77">
        <f>Orders[[#This Row],[requiredDate]]-Orders[[#This Row],[orderDate]]</f>
        <v>28</v>
      </c>
      <c r="P77">
        <f>Orders[[#This Row],[shippedDate]]-Orders[[#This Row],[orderDate]]</f>
        <v>7</v>
      </c>
      <c r="Q77">
        <f>Orders[[#This Row],[requiredDate]]-Orders[[#This Row],[shippedDate]]</f>
        <v>21</v>
      </c>
    </row>
    <row r="78" spans="1:17" x14ac:dyDescent="0.2">
      <c r="A78">
        <v>10324</v>
      </c>
      <c r="B78" t="s">
        <v>226</v>
      </c>
      <c r="C78">
        <v>9</v>
      </c>
      <c r="D78" s="1">
        <v>35346</v>
      </c>
      <c r="E78" s="1">
        <v>35374</v>
      </c>
      <c r="F78" s="1">
        <v>35348</v>
      </c>
      <c r="G78">
        <v>1</v>
      </c>
      <c r="H78" s="2">
        <v>214.27</v>
      </c>
      <c r="I78" t="s">
        <v>227</v>
      </c>
      <c r="J78" t="s">
        <v>228</v>
      </c>
      <c r="K78" t="s">
        <v>229</v>
      </c>
      <c r="L78" t="s">
        <v>230</v>
      </c>
      <c r="M78">
        <v>83720</v>
      </c>
      <c r="N78" t="s">
        <v>86</v>
      </c>
      <c r="O78">
        <f>Orders[[#This Row],[requiredDate]]-Orders[[#This Row],[orderDate]]</f>
        <v>28</v>
      </c>
      <c r="P78">
        <f>Orders[[#This Row],[shippedDate]]-Orders[[#This Row],[orderDate]]</f>
        <v>2</v>
      </c>
      <c r="Q78">
        <f>Orders[[#This Row],[requiredDate]]-Orders[[#This Row],[shippedDate]]</f>
        <v>26</v>
      </c>
    </row>
    <row r="79" spans="1:17" x14ac:dyDescent="0.2">
      <c r="A79">
        <v>10325</v>
      </c>
      <c r="B79" t="s">
        <v>222</v>
      </c>
      <c r="C79">
        <v>1</v>
      </c>
      <c r="D79" s="1">
        <v>35347</v>
      </c>
      <c r="E79" s="1">
        <v>35361</v>
      </c>
      <c r="F79" s="1">
        <v>35352</v>
      </c>
      <c r="G79">
        <v>3</v>
      </c>
      <c r="H79" s="2">
        <v>64.86</v>
      </c>
      <c r="I79" t="s">
        <v>223</v>
      </c>
      <c r="J79" t="s">
        <v>224</v>
      </c>
      <c r="K79" t="s">
        <v>225</v>
      </c>
      <c r="L79" t="s">
        <v>18</v>
      </c>
      <c r="M79">
        <v>14776</v>
      </c>
      <c r="N79" t="s">
        <v>24</v>
      </c>
      <c r="O79">
        <f>Orders[[#This Row],[requiredDate]]-Orders[[#This Row],[orderDate]]</f>
        <v>14</v>
      </c>
      <c r="P79">
        <f>Orders[[#This Row],[shippedDate]]-Orders[[#This Row],[orderDate]]</f>
        <v>5</v>
      </c>
      <c r="Q79">
        <f>Orders[[#This Row],[requiredDate]]-Orders[[#This Row],[shippedDate]]</f>
        <v>9</v>
      </c>
    </row>
    <row r="80" spans="1:17" x14ac:dyDescent="0.2">
      <c r="A80">
        <v>10326</v>
      </c>
      <c r="B80" t="s">
        <v>231</v>
      </c>
      <c r="C80">
        <v>4</v>
      </c>
      <c r="D80" s="1">
        <v>35348</v>
      </c>
      <c r="E80" s="1">
        <v>35376</v>
      </c>
      <c r="F80" s="1">
        <v>35352</v>
      </c>
      <c r="G80">
        <v>2</v>
      </c>
      <c r="H80" s="2">
        <v>77.92</v>
      </c>
      <c r="I80" t="s">
        <v>232</v>
      </c>
      <c r="J80" t="s">
        <v>233</v>
      </c>
      <c r="K80" t="s">
        <v>149</v>
      </c>
      <c r="L80" t="s">
        <v>18</v>
      </c>
      <c r="M80">
        <v>28023</v>
      </c>
      <c r="N80" t="s">
        <v>150</v>
      </c>
      <c r="O80">
        <f>Orders[[#This Row],[requiredDate]]-Orders[[#This Row],[orderDate]]</f>
        <v>28</v>
      </c>
      <c r="P80">
        <f>Orders[[#This Row],[shippedDate]]-Orders[[#This Row],[orderDate]]</f>
        <v>4</v>
      </c>
      <c r="Q80">
        <f>Orders[[#This Row],[requiredDate]]-Orders[[#This Row],[shippedDate]]</f>
        <v>24</v>
      </c>
    </row>
    <row r="81" spans="1:17" x14ac:dyDescent="0.2">
      <c r="A81">
        <v>10327</v>
      </c>
      <c r="B81" t="s">
        <v>87</v>
      </c>
      <c r="C81">
        <v>2</v>
      </c>
      <c r="D81" s="1">
        <v>35349</v>
      </c>
      <c r="E81" s="1">
        <v>35377</v>
      </c>
      <c r="F81" s="1">
        <v>35352</v>
      </c>
      <c r="G81">
        <v>1</v>
      </c>
      <c r="H81" s="2">
        <v>63.36</v>
      </c>
      <c r="I81" t="s">
        <v>88</v>
      </c>
      <c r="J81" t="s">
        <v>89</v>
      </c>
      <c r="K81" t="s">
        <v>90</v>
      </c>
      <c r="L81" t="s">
        <v>18</v>
      </c>
      <c r="M81" t="s">
        <v>91</v>
      </c>
      <c r="N81" t="s">
        <v>92</v>
      </c>
      <c r="O81">
        <f>Orders[[#This Row],[requiredDate]]-Orders[[#This Row],[orderDate]]</f>
        <v>28</v>
      </c>
      <c r="P81">
        <f>Orders[[#This Row],[shippedDate]]-Orders[[#This Row],[orderDate]]</f>
        <v>3</v>
      </c>
      <c r="Q81">
        <f>Orders[[#This Row],[requiredDate]]-Orders[[#This Row],[shippedDate]]</f>
        <v>25</v>
      </c>
    </row>
    <row r="82" spans="1:17" x14ac:dyDescent="0.2">
      <c r="A82">
        <v>10328</v>
      </c>
      <c r="B82" t="s">
        <v>234</v>
      </c>
      <c r="C82">
        <v>4</v>
      </c>
      <c r="D82" s="1">
        <v>35352</v>
      </c>
      <c r="E82" s="1">
        <v>35380</v>
      </c>
      <c r="F82" s="1">
        <v>35355</v>
      </c>
      <c r="G82">
        <v>3</v>
      </c>
      <c r="H82" s="2">
        <v>87.03</v>
      </c>
      <c r="I82" t="s">
        <v>235</v>
      </c>
      <c r="J82" t="s">
        <v>236</v>
      </c>
      <c r="K82" t="s">
        <v>237</v>
      </c>
      <c r="L82" t="s">
        <v>18</v>
      </c>
      <c r="M82">
        <v>1675</v>
      </c>
      <c r="N82" t="s">
        <v>238</v>
      </c>
      <c r="O82">
        <f>Orders[[#This Row],[requiredDate]]-Orders[[#This Row],[orderDate]]</f>
        <v>28</v>
      </c>
      <c r="P82">
        <f>Orders[[#This Row],[shippedDate]]-Orders[[#This Row],[orderDate]]</f>
        <v>3</v>
      </c>
      <c r="Q82">
        <f>Orders[[#This Row],[requiredDate]]-Orders[[#This Row],[shippedDate]]</f>
        <v>25</v>
      </c>
    </row>
    <row r="83" spans="1:17" x14ac:dyDescent="0.2">
      <c r="A83">
        <v>10329</v>
      </c>
      <c r="B83" t="s">
        <v>116</v>
      </c>
      <c r="C83">
        <v>4</v>
      </c>
      <c r="D83" s="1">
        <v>35353</v>
      </c>
      <c r="E83" s="1">
        <v>35395</v>
      </c>
      <c r="F83" s="1">
        <v>35361</v>
      </c>
      <c r="G83">
        <v>2</v>
      </c>
      <c r="H83" s="2">
        <v>191.67</v>
      </c>
      <c r="I83" t="s">
        <v>117</v>
      </c>
      <c r="J83" t="s">
        <v>118</v>
      </c>
      <c r="K83" t="s">
        <v>119</v>
      </c>
      <c r="L83" t="s">
        <v>120</v>
      </c>
      <c r="M83">
        <v>82520</v>
      </c>
      <c r="N83" t="s">
        <v>86</v>
      </c>
      <c r="O83">
        <f>Orders[[#This Row],[requiredDate]]-Orders[[#This Row],[orderDate]]</f>
        <v>42</v>
      </c>
      <c r="P83">
        <f>Orders[[#This Row],[shippedDate]]-Orders[[#This Row],[orderDate]]</f>
        <v>8</v>
      </c>
      <c r="Q83">
        <f>Orders[[#This Row],[requiredDate]]-Orders[[#This Row],[shippedDate]]</f>
        <v>34</v>
      </c>
    </row>
    <row r="84" spans="1:17" x14ac:dyDescent="0.2">
      <c r="A84">
        <v>10330</v>
      </c>
      <c r="B84" t="s">
        <v>151</v>
      </c>
      <c r="C84">
        <v>3</v>
      </c>
      <c r="D84" s="1">
        <v>35354</v>
      </c>
      <c r="E84" s="1">
        <v>35382</v>
      </c>
      <c r="F84" s="1">
        <v>35366</v>
      </c>
      <c r="G84">
        <v>1</v>
      </c>
      <c r="H84" s="2">
        <v>12.75</v>
      </c>
      <c r="I84" t="s">
        <v>152</v>
      </c>
      <c r="J84" t="s">
        <v>153</v>
      </c>
      <c r="K84" t="s">
        <v>154</v>
      </c>
      <c r="L84" t="s">
        <v>155</v>
      </c>
      <c r="M84">
        <v>3508</v>
      </c>
      <c r="N84" t="s">
        <v>62</v>
      </c>
      <c r="O84">
        <f>Orders[[#This Row],[requiredDate]]-Orders[[#This Row],[orderDate]]</f>
        <v>28</v>
      </c>
      <c r="P84">
        <f>Orders[[#This Row],[shippedDate]]-Orders[[#This Row],[orderDate]]</f>
        <v>12</v>
      </c>
      <c r="Q84">
        <f>Orders[[#This Row],[requiredDate]]-Orders[[#This Row],[shippedDate]]</f>
        <v>16</v>
      </c>
    </row>
    <row r="85" spans="1:17" x14ac:dyDescent="0.2">
      <c r="A85">
        <v>10331</v>
      </c>
      <c r="B85" t="s">
        <v>239</v>
      </c>
      <c r="C85">
        <v>9</v>
      </c>
      <c r="D85" s="1">
        <v>35354</v>
      </c>
      <c r="E85" s="1">
        <v>35396</v>
      </c>
      <c r="F85" s="1">
        <v>35359</v>
      </c>
      <c r="G85">
        <v>1</v>
      </c>
      <c r="H85" s="2">
        <v>10.19</v>
      </c>
      <c r="I85" t="s">
        <v>240</v>
      </c>
      <c r="J85" t="s">
        <v>241</v>
      </c>
      <c r="K85" t="s">
        <v>242</v>
      </c>
      <c r="L85" t="s">
        <v>18</v>
      </c>
      <c r="M85">
        <v>13008</v>
      </c>
      <c r="N85" t="s">
        <v>19</v>
      </c>
      <c r="O85">
        <f>Orders[[#This Row],[requiredDate]]-Orders[[#This Row],[orderDate]]</f>
        <v>42</v>
      </c>
      <c r="P85">
        <f>Orders[[#This Row],[shippedDate]]-Orders[[#This Row],[orderDate]]</f>
        <v>5</v>
      </c>
      <c r="Q85">
        <f>Orders[[#This Row],[requiredDate]]-Orders[[#This Row],[shippedDate]]</f>
        <v>37</v>
      </c>
    </row>
    <row r="86" spans="1:17" x14ac:dyDescent="0.2">
      <c r="A86">
        <v>10332</v>
      </c>
      <c r="B86" t="s">
        <v>243</v>
      </c>
      <c r="C86">
        <v>3</v>
      </c>
      <c r="D86" s="1">
        <v>35355</v>
      </c>
      <c r="E86" s="1">
        <v>35397</v>
      </c>
      <c r="F86" s="1">
        <v>35359</v>
      </c>
      <c r="G86">
        <v>2</v>
      </c>
      <c r="H86" s="2">
        <v>52.84</v>
      </c>
      <c r="I86" t="s">
        <v>244</v>
      </c>
      <c r="J86" t="s">
        <v>245</v>
      </c>
      <c r="K86" t="s">
        <v>246</v>
      </c>
      <c r="L86" t="s">
        <v>247</v>
      </c>
      <c r="M86" t="s">
        <v>248</v>
      </c>
      <c r="N86" t="s">
        <v>249</v>
      </c>
      <c r="O86">
        <f>Orders[[#This Row],[requiredDate]]-Orders[[#This Row],[orderDate]]</f>
        <v>42</v>
      </c>
      <c r="P86">
        <f>Orders[[#This Row],[shippedDate]]-Orders[[#This Row],[orderDate]]</f>
        <v>4</v>
      </c>
      <c r="Q86">
        <f>Orders[[#This Row],[requiredDate]]-Orders[[#This Row],[shippedDate]]</f>
        <v>38</v>
      </c>
    </row>
    <row r="87" spans="1:17" x14ac:dyDescent="0.2">
      <c r="A87">
        <v>10333</v>
      </c>
      <c r="B87" t="s">
        <v>97</v>
      </c>
      <c r="C87">
        <v>5</v>
      </c>
      <c r="D87" s="1">
        <v>35356</v>
      </c>
      <c r="E87" s="1">
        <v>35384</v>
      </c>
      <c r="F87" s="1">
        <v>35363</v>
      </c>
      <c r="G87">
        <v>3</v>
      </c>
      <c r="H87" s="2">
        <v>0.59</v>
      </c>
      <c r="I87" t="s">
        <v>98</v>
      </c>
      <c r="J87" t="s">
        <v>99</v>
      </c>
      <c r="K87" t="s">
        <v>100</v>
      </c>
      <c r="L87" t="s">
        <v>18</v>
      </c>
      <c r="M87">
        <v>90110</v>
      </c>
      <c r="N87" t="s">
        <v>101</v>
      </c>
      <c r="O87">
        <f>Orders[[#This Row],[requiredDate]]-Orders[[#This Row],[orderDate]]</f>
        <v>28</v>
      </c>
      <c r="P87">
        <f>Orders[[#This Row],[shippedDate]]-Orders[[#This Row],[orderDate]]</f>
        <v>7</v>
      </c>
      <c r="Q87">
        <f>Orders[[#This Row],[requiredDate]]-Orders[[#This Row],[shippedDate]]</f>
        <v>21</v>
      </c>
    </row>
    <row r="88" spans="1:17" x14ac:dyDescent="0.2">
      <c r="A88">
        <v>10334</v>
      </c>
      <c r="B88" t="s">
        <v>32</v>
      </c>
      <c r="C88">
        <v>8</v>
      </c>
      <c r="D88" s="1">
        <v>35359</v>
      </c>
      <c r="E88" s="1">
        <v>35387</v>
      </c>
      <c r="F88" s="1">
        <v>35366</v>
      </c>
      <c r="G88">
        <v>2</v>
      </c>
      <c r="H88" s="2">
        <v>8.56</v>
      </c>
      <c r="I88" t="s">
        <v>33</v>
      </c>
      <c r="J88" t="s">
        <v>34</v>
      </c>
      <c r="K88" t="s">
        <v>35</v>
      </c>
      <c r="L88" t="s">
        <v>18</v>
      </c>
      <c r="M88">
        <v>69004</v>
      </c>
      <c r="N88" t="s">
        <v>19</v>
      </c>
      <c r="O88">
        <f>Orders[[#This Row],[requiredDate]]-Orders[[#This Row],[orderDate]]</f>
        <v>28</v>
      </c>
      <c r="P88">
        <f>Orders[[#This Row],[shippedDate]]-Orders[[#This Row],[orderDate]]</f>
        <v>7</v>
      </c>
      <c r="Q88">
        <f>Orders[[#This Row],[requiredDate]]-Orders[[#This Row],[shippedDate]]</f>
        <v>21</v>
      </c>
    </row>
    <row r="89" spans="1:17" x14ac:dyDescent="0.2">
      <c r="A89">
        <v>10335</v>
      </c>
      <c r="B89" t="s">
        <v>179</v>
      </c>
      <c r="C89">
        <v>7</v>
      </c>
      <c r="D89" s="1">
        <v>35360</v>
      </c>
      <c r="E89" s="1">
        <v>35388</v>
      </c>
      <c r="F89" s="1">
        <v>35362</v>
      </c>
      <c r="G89">
        <v>2</v>
      </c>
      <c r="H89" s="2">
        <v>42.11</v>
      </c>
      <c r="I89" t="s">
        <v>180</v>
      </c>
      <c r="J89" t="s">
        <v>181</v>
      </c>
      <c r="K89" t="s">
        <v>182</v>
      </c>
      <c r="L89" t="s">
        <v>183</v>
      </c>
      <c r="M89" t="s">
        <v>18</v>
      </c>
      <c r="N89" t="s">
        <v>184</v>
      </c>
      <c r="O89">
        <f>Orders[[#This Row],[requiredDate]]-Orders[[#This Row],[orderDate]]</f>
        <v>28</v>
      </c>
      <c r="P89">
        <f>Orders[[#This Row],[shippedDate]]-Orders[[#This Row],[orderDate]]</f>
        <v>2</v>
      </c>
      <c r="Q89">
        <f>Orders[[#This Row],[requiredDate]]-Orders[[#This Row],[shippedDate]]</f>
        <v>26</v>
      </c>
    </row>
    <row r="90" spans="1:17" x14ac:dyDescent="0.2">
      <c r="A90">
        <v>10336</v>
      </c>
      <c r="B90" t="s">
        <v>250</v>
      </c>
      <c r="C90">
        <v>7</v>
      </c>
      <c r="D90" s="1">
        <v>35361</v>
      </c>
      <c r="E90" s="1">
        <v>35389</v>
      </c>
      <c r="F90" s="1">
        <v>35363</v>
      </c>
      <c r="G90">
        <v>2</v>
      </c>
      <c r="H90" s="2">
        <v>15.51</v>
      </c>
      <c r="I90" t="s">
        <v>251</v>
      </c>
      <c r="J90" t="s">
        <v>252</v>
      </c>
      <c r="K90" t="s">
        <v>237</v>
      </c>
      <c r="L90" t="s">
        <v>18</v>
      </c>
      <c r="M90">
        <v>1756</v>
      </c>
      <c r="N90" t="s">
        <v>238</v>
      </c>
      <c r="O90">
        <f>Orders[[#This Row],[requiredDate]]-Orders[[#This Row],[orderDate]]</f>
        <v>28</v>
      </c>
      <c r="P90">
        <f>Orders[[#This Row],[shippedDate]]-Orders[[#This Row],[orderDate]]</f>
        <v>2</v>
      </c>
      <c r="Q90">
        <f>Orders[[#This Row],[requiredDate]]-Orders[[#This Row],[shippedDate]]</f>
        <v>26</v>
      </c>
    </row>
    <row r="91" spans="1:17" x14ac:dyDescent="0.2">
      <c r="A91">
        <v>10337</v>
      </c>
      <c r="B91" t="s">
        <v>102</v>
      </c>
      <c r="C91">
        <v>4</v>
      </c>
      <c r="D91" s="1">
        <v>35362</v>
      </c>
      <c r="E91" s="1">
        <v>35390</v>
      </c>
      <c r="F91" s="1">
        <v>35367</v>
      </c>
      <c r="G91">
        <v>3</v>
      </c>
      <c r="H91" s="2">
        <v>108.26</v>
      </c>
      <c r="I91" t="s">
        <v>103</v>
      </c>
      <c r="J91" t="s">
        <v>104</v>
      </c>
      <c r="K91" t="s">
        <v>105</v>
      </c>
      <c r="L91" t="s">
        <v>18</v>
      </c>
      <c r="M91">
        <v>80805</v>
      </c>
      <c r="N91" t="s">
        <v>24</v>
      </c>
      <c r="O91">
        <f>Orders[[#This Row],[requiredDate]]-Orders[[#This Row],[orderDate]]</f>
        <v>28</v>
      </c>
      <c r="P91">
        <f>Orders[[#This Row],[shippedDate]]-Orders[[#This Row],[orderDate]]</f>
        <v>5</v>
      </c>
      <c r="Q91">
        <f>Orders[[#This Row],[requiredDate]]-Orders[[#This Row],[shippedDate]]</f>
        <v>23</v>
      </c>
    </row>
    <row r="92" spans="1:17" x14ac:dyDescent="0.2">
      <c r="A92">
        <v>10338</v>
      </c>
      <c r="B92" t="s">
        <v>193</v>
      </c>
      <c r="C92">
        <v>4</v>
      </c>
      <c r="D92" s="1">
        <v>35363</v>
      </c>
      <c r="E92" s="1">
        <v>35391</v>
      </c>
      <c r="F92" s="1">
        <v>35367</v>
      </c>
      <c r="G92">
        <v>3</v>
      </c>
      <c r="H92" s="2">
        <v>84.21</v>
      </c>
      <c r="I92" t="s">
        <v>194</v>
      </c>
      <c r="J92" t="s">
        <v>195</v>
      </c>
      <c r="K92" t="s">
        <v>196</v>
      </c>
      <c r="L92" t="s">
        <v>197</v>
      </c>
      <c r="M92">
        <v>99508</v>
      </c>
      <c r="N92" t="s">
        <v>86</v>
      </c>
      <c r="O92">
        <f>Orders[[#This Row],[requiredDate]]-Orders[[#This Row],[orderDate]]</f>
        <v>28</v>
      </c>
      <c r="P92">
        <f>Orders[[#This Row],[shippedDate]]-Orders[[#This Row],[orderDate]]</f>
        <v>4</v>
      </c>
      <c r="Q92">
        <f>Orders[[#This Row],[requiredDate]]-Orders[[#This Row],[shippedDate]]</f>
        <v>24</v>
      </c>
    </row>
    <row r="93" spans="1:17" x14ac:dyDescent="0.2">
      <c r="A93">
        <v>10339</v>
      </c>
      <c r="B93" t="s">
        <v>243</v>
      </c>
      <c r="C93">
        <v>2</v>
      </c>
      <c r="D93" s="1">
        <v>35366</v>
      </c>
      <c r="E93" s="1">
        <v>35394</v>
      </c>
      <c r="F93" s="1">
        <v>35373</v>
      </c>
      <c r="G93">
        <v>2</v>
      </c>
      <c r="H93" s="2">
        <v>15.66</v>
      </c>
      <c r="I93" t="s">
        <v>244</v>
      </c>
      <c r="J93" t="s">
        <v>245</v>
      </c>
      <c r="K93" t="s">
        <v>246</v>
      </c>
      <c r="L93" t="s">
        <v>247</v>
      </c>
      <c r="M93" t="s">
        <v>248</v>
      </c>
      <c r="N93" t="s">
        <v>249</v>
      </c>
      <c r="O93">
        <f>Orders[[#This Row],[requiredDate]]-Orders[[#This Row],[orderDate]]</f>
        <v>28</v>
      </c>
      <c r="P93">
        <f>Orders[[#This Row],[shippedDate]]-Orders[[#This Row],[orderDate]]</f>
        <v>7</v>
      </c>
      <c r="Q93">
        <f>Orders[[#This Row],[requiredDate]]-Orders[[#This Row],[shippedDate]]</f>
        <v>21</v>
      </c>
    </row>
    <row r="94" spans="1:17" x14ac:dyDescent="0.2">
      <c r="A94">
        <v>10340</v>
      </c>
      <c r="B94" t="s">
        <v>239</v>
      </c>
      <c r="C94">
        <v>1</v>
      </c>
      <c r="D94" s="1">
        <v>35367</v>
      </c>
      <c r="E94" s="1">
        <v>35395</v>
      </c>
      <c r="F94" s="1">
        <v>35377</v>
      </c>
      <c r="G94">
        <v>3</v>
      </c>
      <c r="H94" s="2">
        <v>166.31</v>
      </c>
      <c r="I94" t="s">
        <v>240</v>
      </c>
      <c r="J94" t="s">
        <v>241</v>
      </c>
      <c r="K94" t="s">
        <v>242</v>
      </c>
      <c r="L94" t="s">
        <v>18</v>
      </c>
      <c r="M94">
        <v>13008</v>
      </c>
      <c r="N94" t="s">
        <v>19</v>
      </c>
      <c r="O94">
        <f>Orders[[#This Row],[requiredDate]]-Orders[[#This Row],[orderDate]]</f>
        <v>28</v>
      </c>
      <c r="P94">
        <f>Orders[[#This Row],[shippedDate]]-Orders[[#This Row],[orderDate]]</f>
        <v>10</v>
      </c>
      <c r="Q94">
        <f>Orders[[#This Row],[requiredDate]]-Orders[[#This Row],[shippedDate]]</f>
        <v>18</v>
      </c>
    </row>
    <row r="95" spans="1:17" x14ac:dyDescent="0.2">
      <c r="A95">
        <v>10341</v>
      </c>
      <c r="B95" t="s">
        <v>253</v>
      </c>
      <c r="C95">
        <v>7</v>
      </c>
      <c r="D95" s="1">
        <v>35367</v>
      </c>
      <c r="E95" s="1">
        <v>35395</v>
      </c>
      <c r="F95" s="1">
        <v>35374</v>
      </c>
      <c r="G95">
        <v>3</v>
      </c>
      <c r="H95" s="2">
        <v>26.78</v>
      </c>
      <c r="I95" t="s">
        <v>254</v>
      </c>
      <c r="J95" t="s">
        <v>255</v>
      </c>
      <c r="K95" t="s">
        <v>256</v>
      </c>
      <c r="L95" t="s">
        <v>18</v>
      </c>
      <c r="M95">
        <v>1734</v>
      </c>
      <c r="N95" t="s">
        <v>257</v>
      </c>
      <c r="O95">
        <f>Orders[[#This Row],[requiredDate]]-Orders[[#This Row],[orderDate]]</f>
        <v>28</v>
      </c>
      <c r="P95">
        <f>Orders[[#This Row],[shippedDate]]-Orders[[#This Row],[orderDate]]</f>
        <v>7</v>
      </c>
      <c r="Q95">
        <f>Orders[[#This Row],[requiredDate]]-Orders[[#This Row],[shippedDate]]</f>
        <v>21</v>
      </c>
    </row>
    <row r="96" spans="1:17" x14ac:dyDescent="0.2">
      <c r="A96">
        <v>10342</v>
      </c>
      <c r="B96" t="s">
        <v>102</v>
      </c>
      <c r="C96">
        <v>4</v>
      </c>
      <c r="D96" s="1">
        <v>35368</v>
      </c>
      <c r="E96" s="1">
        <v>35382</v>
      </c>
      <c r="F96" s="1">
        <v>35373</v>
      </c>
      <c r="G96">
        <v>2</v>
      </c>
      <c r="H96" s="2">
        <v>54.83</v>
      </c>
      <c r="I96" t="s">
        <v>103</v>
      </c>
      <c r="J96" t="s">
        <v>104</v>
      </c>
      <c r="K96" t="s">
        <v>105</v>
      </c>
      <c r="L96" t="s">
        <v>18</v>
      </c>
      <c r="M96">
        <v>80805</v>
      </c>
      <c r="N96" t="s">
        <v>24</v>
      </c>
      <c r="O96">
        <f>Orders[[#This Row],[requiredDate]]-Orders[[#This Row],[orderDate]]</f>
        <v>14</v>
      </c>
      <c r="P96">
        <f>Orders[[#This Row],[shippedDate]]-Orders[[#This Row],[orderDate]]</f>
        <v>5</v>
      </c>
      <c r="Q96">
        <f>Orders[[#This Row],[requiredDate]]-Orders[[#This Row],[shippedDate]]</f>
        <v>9</v>
      </c>
    </row>
    <row r="97" spans="1:17" x14ac:dyDescent="0.2">
      <c r="A97">
        <v>10343</v>
      </c>
      <c r="B97" t="s">
        <v>142</v>
      </c>
      <c r="C97">
        <v>4</v>
      </c>
      <c r="D97" s="1">
        <v>35369</v>
      </c>
      <c r="E97" s="1">
        <v>35397</v>
      </c>
      <c r="F97" s="1">
        <v>35375</v>
      </c>
      <c r="G97">
        <v>1</v>
      </c>
      <c r="H97" s="2">
        <v>110.37</v>
      </c>
      <c r="I97" t="s">
        <v>143</v>
      </c>
      <c r="J97" t="s">
        <v>144</v>
      </c>
      <c r="K97" t="s">
        <v>145</v>
      </c>
      <c r="L97" t="s">
        <v>18</v>
      </c>
      <c r="M97">
        <v>60528</v>
      </c>
      <c r="N97" t="s">
        <v>24</v>
      </c>
      <c r="O97">
        <f>Orders[[#This Row],[requiredDate]]-Orders[[#This Row],[orderDate]]</f>
        <v>28</v>
      </c>
      <c r="P97">
        <f>Orders[[#This Row],[shippedDate]]-Orders[[#This Row],[orderDate]]</f>
        <v>6</v>
      </c>
      <c r="Q97">
        <f>Orders[[#This Row],[requiredDate]]-Orders[[#This Row],[shippedDate]]</f>
        <v>22</v>
      </c>
    </row>
    <row r="98" spans="1:17" x14ac:dyDescent="0.2">
      <c r="A98">
        <v>10344</v>
      </c>
      <c r="B98" t="s">
        <v>111</v>
      </c>
      <c r="C98">
        <v>4</v>
      </c>
      <c r="D98" s="1">
        <v>35370</v>
      </c>
      <c r="E98" s="1">
        <v>35398</v>
      </c>
      <c r="F98" s="1">
        <v>35374</v>
      </c>
      <c r="G98">
        <v>2</v>
      </c>
      <c r="H98" s="2">
        <v>23.29</v>
      </c>
      <c r="I98" t="s">
        <v>112</v>
      </c>
      <c r="J98" t="s">
        <v>113</v>
      </c>
      <c r="K98" t="s">
        <v>114</v>
      </c>
      <c r="L98" t="s">
        <v>115</v>
      </c>
      <c r="M98">
        <v>98124</v>
      </c>
      <c r="N98" t="s">
        <v>86</v>
      </c>
      <c r="O98">
        <f>Orders[[#This Row],[requiredDate]]-Orders[[#This Row],[orderDate]]</f>
        <v>28</v>
      </c>
      <c r="P98">
        <f>Orders[[#This Row],[shippedDate]]-Orders[[#This Row],[orderDate]]</f>
        <v>4</v>
      </c>
      <c r="Q98">
        <f>Orders[[#This Row],[requiredDate]]-Orders[[#This Row],[shippedDate]]</f>
        <v>24</v>
      </c>
    </row>
    <row r="99" spans="1:17" x14ac:dyDescent="0.2">
      <c r="A99">
        <v>10345</v>
      </c>
      <c r="B99" t="s">
        <v>121</v>
      </c>
      <c r="C99">
        <v>2</v>
      </c>
      <c r="D99" s="1">
        <v>35373</v>
      </c>
      <c r="E99" s="1">
        <v>35401</v>
      </c>
      <c r="F99" s="1">
        <v>35380</v>
      </c>
      <c r="G99">
        <v>2</v>
      </c>
      <c r="H99" s="2">
        <v>249.06</v>
      </c>
      <c r="I99" t="s">
        <v>122</v>
      </c>
      <c r="J99" t="s">
        <v>123</v>
      </c>
      <c r="K99" t="s">
        <v>124</v>
      </c>
      <c r="L99" t="s">
        <v>18</v>
      </c>
      <c r="M99">
        <v>1307</v>
      </c>
      <c r="N99" t="s">
        <v>24</v>
      </c>
      <c r="O99">
        <f>Orders[[#This Row],[requiredDate]]-Orders[[#This Row],[orderDate]]</f>
        <v>28</v>
      </c>
      <c r="P99">
        <f>Orders[[#This Row],[shippedDate]]-Orders[[#This Row],[orderDate]]</f>
        <v>7</v>
      </c>
      <c r="Q99">
        <f>Orders[[#This Row],[requiredDate]]-Orders[[#This Row],[shippedDate]]</f>
        <v>21</v>
      </c>
    </row>
    <row r="100" spans="1:17" x14ac:dyDescent="0.2">
      <c r="A100">
        <v>10346</v>
      </c>
      <c r="B100" t="s">
        <v>81</v>
      </c>
      <c r="C100">
        <v>3</v>
      </c>
      <c r="D100" s="1">
        <v>35374</v>
      </c>
      <c r="E100" s="1">
        <v>35416</v>
      </c>
      <c r="F100" s="1">
        <v>35377</v>
      </c>
      <c r="G100">
        <v>3</v>
      </c>
      <c r="H100" s="2">
        <v>142.08000000000001</v>
      </c>
      <c r="I100" t="s">
        <v>82</v>
      </c>
      <c r="J100" t="s">
        <v>83</v>
      </c>
      <c r="K100" t="s">
        <v>84</v>
      </c>
      <c r="L100" t="s">
        <v>85</v>
      </c>
      <c r="M100">
        <v>87110</v>
      </c>
      <c r="N100" t="s">
        <v>86</v>
      </c>
      <c r="O100">
        <f>Orders[[#This Row],[requiredDate]]-Orders[[#This Row],[orderDate]]</f>
        <v>42</v>
      </c>
      <c r="P100">
        <f>Orders[[#This Row],[shippedDate]]-Orders[[#This Row],[orderDate]]</f>
        <v>3</v>
      </c>
      <c r="Q100">
        <f>Orders[[#This Row],[requiredDate]]-Orders[[#This Row],[shippedDate]]</f>
        <v>39</v>
      </c>
    </row>
    <row r="101" spans="1:17" x14ac:dyDescent="0.2">
      <c r="A101">
        <v>10347</v>
      </c>
      <c r="B101" t="s">
        <v>258</v>
      </c>
      <c r="C101">
        <v>4</v>
      </c>
      <c r="D101" s="1">
        <v>35375</v>
      </c>
      <c r="E101" s="1">
        <v>35403</v>
      </c>
      <c r="F101" s="1">
        <v>35377</v>
      </c>
      <c r="G101">
        <v>3</v>
      </c>
      <c r="H101" s="2">
        <v>3.1</v>
      </c>
      <c r="I101" t="s">
        <v>259</v>
      </c>
      <c r="J101" t="s">
        <v>260</v>
      </c>
      <c r="K101" t="s">
        <v>173</v>
      </c>
      <c r="L101" t="s">
        <v>55</v>
      </c>
      <c r="M101" t="s">
        <v>261</v>
      </c>
      <c r="N101" t="s">
        <v>31</v>
      </c>
      <c r="O101">
        <f>Orders[[#This Row],[requiredDate]]-Orders[[#This Row],[orderDate]]</f>
        <v>28</v>
      </c>
      <c r="P101">
        <f>Orders[[#This Row],[shippedDate]]-Orders[[#This Row],[orderDate]]</f>
        <v>2</v>
      </c>
      <c r="Q101">
        <f>Orders[[#This Row],[requiredDate]]-Orders[[#This Row],[shippedDate]]</f>
        <v>26</v>
      </c>
    </row>
    <row r="102" spans="1:17" x14ac:dyDescent="0.2">
      <c r="A102">
        <v>10348</v>
      </c>
      <c r="B102" t="s">
        <v>185</v>
      </c>
      <c r="C102">
        <v>4</v>
      </c>
      <c r="D102" s="1">
        <v>35376</v>
      </c>
      <c r="E102" s="1">
        <v>35404</v>
      </c>
      <c r="F102" s="1">
        <v>35384</v>
      </c>
      <c r="G102">
        <v>2</v>
      </c>
      <c r="H102" s="2">
        <v>0.78</v>
      </c>
      <c r="I102" t="s">
        <v>186</v>
      </c>
      <c r="J102" t="s">
        <v>187</v>
      </c>
      <c r="K102" t="s">
        <v>188</v>
      </c>
      <c r="L102" t="s">
        <v>18</v>
      </c>
      <c r="M102">
        <v>70563</v>
      </c>
      <c r="N102" t="s">
        <v>24</v>
      </c>
      <c r="O102">
        <f>Orders[[#This Row],[requiredDate]]-Orders[[#This Row],[orderDate]]</f>
        <v>28</v>
      </c>
      <c r="P102">
        <f>Orders[[#This Row],[shippedDate]]-Orders[[#This Row],[orderDate]]</f>
        <v>8</v>
      </c>
      <c r="Q102">
        <f>Orders[[#This Row],[requiredDate]]-Orders[[#This Row],[shippedDate]]</f>
        <v>20</v>
      </c>
    </row>
    <row r="103" spans="1:17" x14ac:dyDescent="0.2">
      <c r="A103">
        <v>10349</v>
      </c>
      <c r="B103" t="s">
        <v>116</v>
      </c>
      <c r="C103">
        <v>7</v>
      </c>
      <c r="D103" s="1">
        <v>35377</v>
      </c>
      <c r="E103" s="1">
        <v>35405</v>
      </c>
      <c r="F103" s="1">
        <v>35384</v>
      </c>
      <c r="G103">
        <v>1</v>
      </c>
      <c r="H103" s="2">
        <v>8.6300000000000008</v>
      </c>
      <c r="I103" t="s">
        <v>117</v>
      </c>
      <c r="J103" t="s">
        <v>118</v>
      </c>
      <c r="K103" t="s">
        <v>119</v>
      </c>
      <c r="L103" t="s">
        <v>120</v>
      </c>
      <c r="M103">
        <v>82520</v>
      </c>
      <c r="N103" t="s">
        <v>86</v>
      </c>
      <c r="O103">
        <f>Orders[[#This Row],[requiredDate]]-Orders[[#This Row],[orderDate]]</f>
        <v>28</v>
      </c>
      <c r="P103">
        <f>Orders[[#This Row],[shippedDate]]-Orders[[#This Row],[orderDate]]</f>
        <v>7</v>
      </c>
      <c r="Q103">
        <f>Orders[[#This Row],[requiredDate]]-Orders[[#This Row],[shippedDate]]</f>
        <v>21</v>
      </c>
    </row>
    <row r="104" spans="1:17" x14ac:dyDescent="0.2">
      <c r="A104">
        <v>10350</v>
      </c>
      <c r="B104" t="s">
        <v>262</v>
      </c>
      <c r="C104">
        <v>6</v>
      </c>
      <c r="D104" s="1">
        <v>35380</v>
      </c>
      <c r="E104" s="1">
        <v>35408</v>
      </c>
      <c r="F104" s="1">
        <v>35402</v>
      </c>
      <c r="G104">
        <v>2</v>
      </c>
      <c r="H104" s="2">
        <v>64.19</v>
      </c>
      <c r="I104" t="s">
        <v>263</v>
      </c>
      <c r="J104" t="s">
        <v>264</v>
      </c>
      <c r="K104" t="s">
        <v>265</v>
      </c>
      <c r="L104" t="s">
        <v>18</v>
      </c>
      <c r="M104">
        <v>31000</v>
      </c>
      <c r="N104" t="s">
        <v>19</v>
      </c>
      <c r="O104">
        <f>Orders[[#This Row],[requiredDate]]-Orders[[#This Row],[orderDate]]</f>
        <v>28</v>
      </c>
      <c r="P104">
        <f>Orders[[#This Row],[shippedDate]]-Orders[[#This Row],[orderDate]]</f>
        <v>22</v>
      </c>
      <c r="Q104">
        <f>Orders[[#This Row],[requiredDate]]-Orders[[#This Row],[shippedDate]]</f>
        <v>6</v>
      </c>
    </row>
    <row r="105" spans="1:17" x14ac:dyDescent="0.2">
      <c r="A105">
        <v>10351</v>
      </c>
      <c r="B105" t="s">
        <v>63</v>
      </c>
      <c r="C105">
        <v>1</v>
      </c>
      <c r="D105" s="1">
        <v>35380</v>
      </c>
      <c r="E105" s="1">
        <v>35408</v>
      </c>
      <c r="F105" s="1">
        <v>35389</v>
      </c>
      <c r="G105">
        <v>1</v>
      </c>
      <c r="H105" s="2">
        <v>162.33000000000001</v>
      </c>
      <c r="I105" t="s">
        <v>64</v>
      </c>
      <c r="J105" t="s">
        <v>65</v>
      </c>
      <c r="K105" t="s">
        <v>66</v>
      </c>
      <c r="L105" t="s">
        <v>18</v>
      </c>
      <c r="M105">
        <v>8010</v>
      </c>
      <c r="N105" t="s">
        <v>67</v>
      </c>
      <c r="O105">
        <f>Orders[[#This Row],[requiredDate]]-Orders[[#This Row],[orderDate]]</f>
        <v>28</v>
      </c>
      <c r="P105">
        <f>Orders[[#This Row],[shippedDate]]-Orders[[#This Row],[orderDate]]</f>
        <v>9</v>
      </c>
      <c r="Q105">
        <f>Orders[[#This Row],[requiredDate]]-Orders[[#This Row],[shippedDate]]</f>
        <v>19</v>
      </c>
    </row>
    <row r="106" spans="1:17" x14ac:dyDescent="0.2">
      <c r="A106">
        <v>10352</v>
      </c>
      <c r="B106" t="s">
        <v>234</v>
      </c>
      <c r="C106">
        <v>3</v>
      </c>
      <c r="D106" s="1">
        <v>35381</v>
      </c>
      <c r="E106" s="1">
        <v>35395</v>
      </c>
      <c r="F106" s="1">
        <v>35387</v>
      </c>
      <c r="G106">
        <v>3</v>
      </c>
      <c r="H106" s="2">
        <v>1.3</v>
      </c>
      <c r="I106" t="s">
        <v>235</v>
      </c>
      <c r="J106" t="s">
        <v>236</v>
      </c>
      <c r="K106" t="s">
        <v>237</v>
      </c>
      <c r="L106" t="s">
        <v>18</v>
      </c>
      <c r="M106">
        <v>1675</v>
      </c>
      <c r="N106" t="s">
        <v>238</v>
      </c>
      <c r="O106">
        <f>Orders[[#This Row],[requiredDate]]-Orders[[#This Row],[orderDate]]</f>
        <v>14</v>
      </c>
      <c r="P106">
        <f>Orders[[#This Row],[shippedDate]]-Orders[[#This Row],[orderDate]]</f>
        <v>6</v>
      </c>
      <c r="Q106">
        <f>Orders[[#This Row],[requiredDate]]-Orders[[#This Row],[shippedDate]]</f>
        <v>8</v>
      </c>
    </row>
    <row r="107" spans="1:17" x14ac:dyDescent="0.2">
      <c r="A107">
        <v>10353</v>
      </c>
      <c r="B107" t="s">
        <v>266</v>
      </c>
      <c r="C107">
        <v>7</v>
      </c>
      <c r="D107" s="1">
        <v>35382</v>
      </c>
      <c r="E107" s="1">
        <v>35410</v>
      </c>
      <c r="F107" s="1">
        <v>35394</v>
      </c>
      <c r="G107">
        <v>3</v>
      </c>
      <c r="H107" s="2">
        <v>360.63</v>
      </c>
      <c r="I107" t="s">
        <v>267</v>
      </c>
      <c r="J107" t="s">
        <v>268</v>
      </c>
      <c r="K107" t="s">
        <v>269</v>
      </c>
      <c r="L107" t="s">
        <v>18</v>
      </c>
      <c r="M107">
        <v>5020</v>
      </c>
      <c r="N107" t="s">
        <v>67</v>
      </c>
      <c r="O107">
        <f>Orders[[#This Row],[requiredDate]]-Orders[[#This Row],[orderDate]]</f>
        <v>28</v>
      </c>
      <c r="P107">
        <f>Orders[[#This Row],[shippedDate]]-Orders[[#This Row],[orderDate]]</f>
        <v>12</v>
      </c>
      <c r="Q107">
        <f>Orders[[#This Row],[requiredDate]]-Orders[[#This Row],[shippedDate]]</f>
        <v>16</v>
      </c>
    </row>
    <row r="108" spans="1:17" x14ac:dyDescent="0.2">
      <c r="A108">
        <v>10354</v>
      </c>
      <c r="B108" t="s">
        <v>219</v>
      </c>
      <c r="C108">
        <v>8</v>
      </c>
      <c r="D108" s="1">
        <v>35383</v>
      </c>
      <c r="E108" s="1">
        <v>35411</v>
      </c>
      <c r="F108" s="1">
        <v>35389</v>
      </c>
      <c r="G108">
        <v>3</v>
      </c>
      <c r="H108" s="2">
        <v>53.8</v>
      </c>
      <c r="I108" t="s">
        <v>220</v>
      </c>
      <c r="J108" t="s">
        <v>221</v>
      </c>
      <c r="K108" t="s">
        <v>71</v>
      </c>
      <c r="L108" t="s">
        <v>18</v>
      </c>
      <c r="M108">
        <v>5033</v>
      </c>
      <c r="N108" t="s">
        <v>72</v>
      </c>
      <c r="O108">
        <f>Orders[[#This Row],[requiredDate]]-Orders[[#This Row],[orderDate]]</f>
        <v>28</v>
      </c>
      <c r="P108">
        <f>Orders[[#This Row],[shippedDate]]-Orders[[#This Row],[orderDate]]</f>
        <v>6</v>
      </c>
      <c r="Q108">
        <f>Orders[[#This Row],[requiredDate]]-Orders[[#This Row],[shippedDate]]</f>
        <v>22</v>
      </c>
    </row>
    <row r="109" spans="1:17" x14ac:dyDescent="0.2">
      <c r="A109">
        <v>10355</v>
      </c>
      <c r="B109" t="s">
        <v>270</v>
      </c>
      <c r="C109">
        <v>6</v>
      </c>
      <c r="D109" s="1">
        <v>35384</v>
      </c>
      <c r="E109" s="1">
        <v>35412</v>
      </c>
      <c r="F109" s="1">
        <v>35389</v>
      </c>
      <c r="G109">
        <v>1</v>
      </c>
      <c r="H109" s="2">
        <v>41.95</v>
      </c>
      <c r="I109" t="s">
        <v>271</v>
      </c>
      <c r="J109" t="s">
        <v>272</v>
      </c>
      <c r="K109" t="s">
        <v>273</v>
      </c>
      <c r="L109" t="s">
        <v>274</v>
      </c>
      <c r="M109" t="s">
        <v>275</v>
      </c>
      <c r="N109" t="s">
        <v>169</v>
      </c>
      <c r="O109">
        <f>Orders[[#This Row],[requiredDate]]-Orders[[#This Row],[orderDate]]</f>
        <v>28</v>
      </c>
      <c r="P109">
        <f>Orders[[#This Row],[shippedDate]]-Orders[[#This Row],[orderDate]]</f>
        <v>5</v>
      </c>
      <c r="Q109">
        <f>Orders[[#This Row],[requiredDate]]-Orders[[#This Row],[shippedDate]]</f>
        <v>23</v>
      </c>
    </row>
    <row r="110" spans="1:17" x14ac:dyDescent="0.2">
      <c r="A110">
        <v>10356</v>
      </c>
      <c r="B110" t="s">
        <v>185</v>
      </c>
      <c r="C110">
        <v>6</v>
      </c>
      <c r="D110" s="1">
        <v>35387</v>
      </c>
      <c r="E110" s="1">
        <v>35415</v>
      </c>
      <c r="F110" s="1">
        <v>35396</v>
      </c>
      <c r="G110">
        <v>2</v>
      </c>
      <c r="H110" s="2">
        <v>36.71</v>
      </c>
      <c r="I110" t="s">
        <v>186</v>
      </c>
      <c r="J110" t="s">
        <v>187</v>
      </c>
      <c r="K110" t="s">
        <v>188</v>
      </c>
      <c r="L110" t="s">
        <v>18</v>
      </c>
      <c r="M110">
        <v>70563</v>
      </c>
      <c r="N110" t="s">
        <v>24</v>
      </c>
      <c r="O110">
        <f>Orders[[#This Row],[requiredDate]]-Orders[[#This Row],[orderDate]]</f>
        <v>28</v>
      </c>
      <c r="P110">
        <f>Orders[[#This Row],[shippedDate]]-Orders[[#This Row],[orderDate]]</f>
        <v>9</v>
      </c>
      <c r="Q110">
        <f>Orders[[#This Row],[requiredDate]]-Orders[[#This Row],[shippedDate]]</f>
        <v>19</v>
      </c>
    </row>
    <row r="111" spans="1:17" x14ac:dyDescent="0.2">
      <c r="A111">
        <v>10357</v>
      </c>
      <c r="B111" t="s">
        <v>151</v>
      </c>
      <c r="C111">
        <v>1</v>
      </c>
      <c r="D111" s="1">
        <v>35388</v>
      </c>
      <c r="E111" s="1">
        <v>35416</v>
      </c>
      <c r="F111" s="1">
        <v>35401</v>
      </c>
      <c r="G111">
        <v>3</v>
      </c>
      <c r="H111" s="2">
        <v>34.880000000000003</v>
      </c>
      <c r="I111" t="s">
        <v>152</v>
      </c>
      <c r="J111" t="s">
        <v>153</v>
      </c>
      <c r="K111" t="s">
        <v>154</v>
      </c>
      <c r="L111" t="s">
        <v>155</v>
      </c>
      <c r="M111">
        <v>3508</v>
      </c>
      <c r="N111" t="s">
        <v>62</v>
      </c>
      <c r="O111">
        <f>Orders[[#This Row],[requiredDate]]-Orders[[#This Row],[orderDate]]</f>
        <v>28</v>
      </c>
      <c r="P111">
        <f>Orders[[#This Row],[shippedDate]]-Orders[[#This Row],[orderDate]]</f>
        <v>13</v>
      </c>
      <c r="Q111">
        <f>Orders[[#This Row],[requiredDate]]-Orders[[#This Row],[shippedDate]]</f>
        <v>15</v>
      </c>
    </row>
    <row r="112" spans="1:17" x14ac:dyDescent="0.2">
      <c r="A112">
        <v>10358</v>
      </c>
      <c r="B112" t="s">
        <v>262</v>
      </c>
      <c r="C112">
        <v>5</v>
      </c>
      <c r="D112" s="1">
        <v>35389</v>
      </c>
      <c r="E112" s="1">
        <v>35417</v>
      </c>
      <c r="F112" s="1">
        <v>35396</v>
      </c>
      <c r="G112">
        <v>1</v>
      </c>
      <c r="H112" s="2">
        <v>19.64</v>
      </c>
      <c r="I112" t="s">
        <v>263</v>
      </c>
      <c r="J112" t="s">
        <v>264</v>
      </c>
      <c r="K112" t="s">
        <v>265</v>
      </c>
      <c r="L112" t="s">
        <v>18</v>
      </c>
      <c r="M112">
        <v>31000</v>
      </c>
      <c r="N112" t="s">
        <v>19</v>
      </c>
      <c r="O112">
        <f>Orders[[#This Row],[requiredDate]]-Orders[[#This Row],[orderDate]]</f>
        <v>28</v>
      </c>
      <c r="P112">
        <f>Orders[[#This Row],[shippedDate]]-Orders[[#This Row],[orderDate]]</f>
        <v>7</v>
      </c>
      <c r="Q112">
        <f>Orders[[#This Row],[requiredDate]]-Orders[[#This Row],[shippedDate]]</f>
        <v>21</v>
      </c>
    </row>
    <row r="113" spans="1:17" x14ac:dyDescent="0.2">
      <c r="A113">
        <v>10359</v>
      </c>
      <c r="B113" t="s">
        <v>276</v>
      </c>
      <c r="C113">
        <v>5</v>
      </c>
      <c r="D113" s="1">
        <v>35390</v>
      </c>
      <c r="E113" s="1">
        <v>35418</v>
      </c>
      <c r="F113" s="1">
        <v>35395</v>
      </c>
      <c r="G113">
        <v>3</v>
      </c>
      <c r="H113" s="2">
        <v>288.43</v>
      </c>
      <c r="I113" t="s">
        <v>277</v>
      </c>
      <c r="J113" t="s">
        <v>278</v>
      </c>
      <c r="K113" t="s">
        <v>167</v>
      </c>
      <c r="L113" t="s">
        <v>18</v>
      </c>
      <c r="M113" t="s">
        <v>279</v>
      </c>
      <c r="N113" t="s">
        <v>169</v>
      </c>
      <c r="O113">
        <f>Orders[[#This Row],[requiredDate]]-Orders[[#This Row],[orderDate]]</f>
        <v>28</v>
      </c>
      <c r="P113">
        <f>Orders[[#This Row],[shippedDate]]-Orders[[#This Row],[orderDate]]</f>
        <v>5</v>
      </c>
      <c r="Q113">
        <f>Orders[[#This Row],[requiredDate]]-Orders[[#This Row],[shippedDate]]</f>
        <v>23</v>
      </c>
    </row>
    <row r="114" spans="1:17" x14ac:dyDescent="0.2">
      <c r="A114">
        <v>10360</v>
      </c>
      <c r="B114" t="s">
        <v>93</v>
      </c>
      <c r="C114">
        <v>4</v>
      </c>
      <c r="D114" s="1">
        <v>35391</v>
      </c>
      <c r="E114" s="1">
        <v>35419</v>
      </c>
      <c r="F114" s="1">
        <v>35401</v>
      </c>
      <c r="G114">
        <v>3</v>
      </c>
      <c r="H114" s="2">
        <v>131.69999999999999</v>
      </c>
      <c r="I114" t="s">
        <v>94</v>
      </c>
      <c r="J114" t="s">
        <v>95</v>
      </c>
      <c r="K114" t="s">
        <v>96</v>
      </c>
      <c r="L114" t="s">
        <v>18</v>
      </c>
      <c r="M114">
        <v>67000</v>
      </c>
      <c r="N114" t="s">
        <v>19</v>
      </c>
      <c r="O114">
        <f>Orders[[#This Row],[requiredDate]]-Orders[[#This Row],[orderDate]]</f>
        <v>28</v>
      </c>
      <c r="P114">
        <f>Orders[[#This Row],[shippedDate]]-Orders[[#This Row],[orderDate]]</f>
        <v>10</v>
      </c>
      <c r="Q114">
        <f>Orders[[#This Row],[requiredDate]]-Orders[[#This Row],[shippedDate]]</f>
        <v>18</v>
      </c>
    </row>
    <row r="115" spans="1:17" x14ac:dyDescent="0.2">
      <c r="A115">
        <v>10361</v>
      </c>
      <c r="B115" t="s">
        <v>121</v>
      </c>
      <c r="C115">
        <v>1</v>
      </c>
      <c r="D115" s="1">
        <v>35391</v>
      </c>
      <c r="E115" s="1">
        <v>35419</v>
      </c>
      <c r="F115" s="1">
        <v>35402</v>
      </c>
      <c r="G115">
        <v>2</v>
      </c>
      <c r="H115" s="2">
        <v>183.17</v>
      </c>
      <c r="I115" t="s">
        <v>122</v>
      </c>
      <c r="J115" t="s">
        <v>123</v>
      </c>
      <c r="K115" t="s">
        <v>124</v>
      </c>
      <c r="L115" t="s">
        <v>18</v>
      </c>
      <c r="M115">
        <v>1307</v>
      </c>
      <c r="N115" t="s">
        <v>24</v>
      </c>
      <c r="O115">
        <f>Orders[[#This Row],[requiredDate]]-Orders[[#This Row],[orderDate]]</f>
        <v>28</v>
      </c>
      <c r="P115">
        <f>Orders[[#This Row],[shippedDate]]-Orders[[#This Row],[orderDate]]</f>
        <v>11</v>
      </c>
      <c r="Q115">
        <f>Orders[[#This Row],[requiredDate]]-Orders[[#This Row],[shippedDate]]</f>
        <v>17</v>
      </c>
    </row>
    <row r="116" spans="1:17" x14ac:dyDescent="0.2">
      <c r="A116">
        <v>10362</v>
      </c>
      <c r="B116" t="s">
        <v>239</v>
      </c>
      <c r="C116">
        <v>3</v>
      </c>
      <c r="D116" s="1">
        <v>35394</v>
      </c>
      <c r="E116" s="1">
        <v>35422</v>
      </c>
      <c r="F116" s="1">
        <v>35397</v>
      </c>
      <c r="G116">
        <v>1</v>
      </c>
      <c r="H116" s="2">
        <v>96.04</v>
      </c>
      <c r="I116" t="s">
        <v>240</v>
      </c>
      <c r="J116" t="s">
        <v>241</v>
      </c>
      <c r="K116" t="s">
        <v>242</v>
      </c>
      <c r="L116" t="s">
        <v>18</v>
      </c>
      <c r="M116">
        <v>13008</v>
      </c>
      <c r="N116" t="s">
        <v>19</v>
      </c>
      <c r="O116">
        <f>Orders[[#This Row],[requiredDate]]-Orders[[#This Row],[orderDate]]</f>
        <v>28</v>
      </c>
      <c r="P116">
        <f>Orders[[#This Row],[shippedDate]]-Orders[[#This Row],[orderDate]]</f>
        <v>3</v>
      </c>
      <c r="Q116">
        <f>Orders[[#This Row],[requiredDate]]-Orders[[#This Row],[shippedDate]]</f>
        <v>25</v>
      </c>
    </row>
    <row r="117" spans="1:17" x14ac:dyDescent="0.2">
      <c r="A117">
        <v>10363</v>
      </c>
      <c r="B117" t="s">
        <v>280</v>
      </c>
      <c r="C117">
        <v>4</v>
      </c>
      <c r="D117" s="1">
        <v>35395</v>
      </c>
      <c r="E117" s="1">
        <v>35423</v>
      </c>
      <c r="F117" s="1">
        <v>35403</v>
      </c>
      <c r="G117">
        <v>3</v>
      </c>
      <c r="H117" s="2">
        <v>30.54</v>
      </c>
      <c r="I117" t="s">
        <v>281</v>
      </c>
      <c r="J117" t="s">
        <v>282</v>
      </c>
      <c r="K117" t="s">
        <v>283</v>
      </c>
      <c r="L117" t="s">
        <v>18</v>
      </c>
      <c r="M117">
        <v>52066</v>
      </c>
      <c r="N117" t="s">
        <v>24</v>
      </c>
      <c r="O117">
        <f>Orders[[#This Row],[requiredDate]]-Orders[[#This Row],[orderDate]]</f>
        <v>28</v>
      </c>
      <c r="P117">
        <f>Orders[[#This Row],[shippedDate]]-Orders[[#This Row],[orderDate]]</f>
        <v>8</v>
      </c>
      <c r="Q117">
        <f>Orders[[#This Row],[requiredDate]]-Orders[[#This Row],[shippedDate]]</f>
        <v>20</v>
      </c>
    </row>
    <row r="118" spans="1:17" x14ac:dyDescent="0.2">
      <c r="A118">
        <v>10364</v>
      </c>
      <c r="B118" t="s">
        <v>284</v>
      </c>
      <c r="C118">
        <v>1</v>
      </c>
      <c r="D118" s="1">
        <v>35395</v>
      </c>
      <c r="E118" s="1">
        <v>35437</v>
      </c>
      <c r="F118" s="1">
        <v>35403</v>
      </c>
      <c r="G118">
        <v>1</v>
      </c>
      <c r="H118" s="2">
        <v>71.97</v>
      </c>
      <c r="I118" t="s">
        <v>285</v>
      </c>
      <c r="J118" t="s">
        <v>286</v>
      </c>
      <c r="K118" t="s">
        <v>167</v>
      </c>
      <c r="L118" t="s">
        <v>18</v>
      </c>
      <c r="M118" t="s">
        <v>287</v>
      </c>
      <c r="N118" t="s">
        <v>169</v>
      </c>
      <c r="O118">
        <f>Orders[[#This Row],[requiredDate]]-Orders[[#This Row],[orderDate]]</f>
        <v>42</v>
      </c>
      <c r="P118">
        <f>Orders[[#This Row],[shippedDate]]-Orders[[#This Row],[orderDate]]</f>
        <v>8</v>
      </c>
      <c r="Q118">
        <f>Orders[[#This Row],[requiredDate]]-Orders[[#This Row],[shippedDate]]</f>
        <v>34</v>
      </c>
    </row>
    <row r="119" spans="1:17" x14ac:dyDescent="0.2">
      <c r="A119">
        <v>10365</v>
      </c>
      <c r="B119" t="s">
        <v>288</v>
      </c>
      <c r="C119">
        <v>3</v>
      </c>
      <c r="D119" s="1">
        <v>35396</v>
      </c>
      <c r="E119" s="1">
        <v>35424</v>
      </c>
      <c r="F119" s="1">
        <v>35401</v>
      </c>
      <c r="G119">
        <v>2</v>
      </c>
      <c r="H119" s="2">
        <v>22</v>
      </c>
      <c r="I119" t="s">
        <v>289</v>
      </c>
      <c r="J119" t="s">
        <v>290</v>
      </c>
      <c r="K119" t="s">
        <v>71</v>
      </c>
      <c r="L119" t="s">
        <v>18</v>
      </c>
      <c r="M119">
        <v>5023</v>
      </c>
      <c r="N119" t="s">
        <v>72</v>
      </c>
      <c r="O119">
        <f>Orders[[#This Row],[requiredDate]]-Orders[[#This Row],[orderDate]]</f>
        <v>28</v>
      </c>
      <c r="P119">
        <f>Orders[[#This Row],[shippedDate]]-Orders[[#This Row],[orderDate]]</f>
        <v>5</v>
      </c>
      <c r="Q119">
        <f>Orders[[#This Row],[requiredDate]]-Orders[[#This Row],[shippedDate]]</f>
        <v>23</v>
      </c>
    </row>
    <row r="120" spans="1:17" x14ac:dyDescent="0.2">
      <c r="A120">
        <v>10366</v>
      </c>
      <c r="B120" t="s">
        <v>291</v>
      </c>
      <c r="C120">
        <v>8</v>
      </c>
      <c r="D120" s="1">
        <v>35397</v>
      </c>
      <c r="E120" s="1">
        <v>35439</v>
      </c>
      <c r="F120" s="1">
        <v>35429</v>
      </c>
      <c r="G120">
        <v>2</v>
      </c>
      <c r="H120" s="2">
        <v>10.14</v>
      </c>
      <c r="I120" t="s">
        <v>292</v>
      </c>
      <c r="J120" t="s">
        <v>293</v>
      </c>
      <c r="K120" t="s">
        <v>294</v>
      </c>
      <c r="L120" t="s">
        <v>18</v>
      </c>
      <c r="M120">
        <v>8022</v>
      </c>
      <c r="N120" t="s">
        <v>150</v>
      </c>
      <c r="O120">
        <f>Orders[[#This Row],[requiredDate]]-Orders[[#This Row],[orderDate]]</f>
        <v>42</v>
      </c>
      <c r="P120">
        <f>Orders[[#This Row],[shippedDate]]-Orders[[#This Row],[orderDate]]</f>
        <v>32</v>
      </c>
      <c r="Q120">
        <f>Orders[[#This Row],[requiredDate]]-Orders[[#This Row],[shippedDate]]</f>
        <v>10</v>
      </c>
    </row>
    <row r="121" spans="1:17" x14ac:dyDescent="0.2">
      <c r="A121">
        <v>10367</v>
      </c>
      <c r="B121" t="s">
        <v>295</v>
      </c>
      <c r="C121">
        <v>7</v>
      </c>
      <c r="D121" s="1">
        <v>35397</v>
      </c>
      <c r="E121" s="1">
        <v>35425</v>
      </c>
      <c r="F121" s="1">
        <v>35401</v>
      </c>
      <c r="G121">
        <v>3</v>
      </c>
      <c r="H121" s="2">
        <v>13.55</v>
      </c>
      <c r="I121" t="s">
        <v>296</v>
      </c>
      <c r="J121" t="s">
        <v>297</v>
      </c>
      <c r="K121" t="s">
        <v>298</v>
      </c>
      <c r="L121" t="s">
        <v>18</v>
      </c>
      <c r="M121">
        <v>8200</v>
      </c>
      <c r="N121" t="s">
        <v>257</v>
      </c>
      <c r="O121">
        <f>Orders[[#This Row],[requiredDate]]-Orders[[#This Row],[orderDate]]</f>
        <v>28</v>
      </c>
      <c r="P121">
        <f>Orders[[#This Row],[shippedDate]]-Orders[[#This Row],[orderDate]]</f>
        <v>4</v>
      </c>
      <c r="Q121">
        <f>Orders[[#This Row],[requiredDate]]-Orders[[#This Row],[shippedDate]]</f>
        <v>24</v>
      </c>
    </row>
    <row r="122" spans="1:17" x14ac:dyDescent="0.2">
      <c r="A122">
        <v>10368</v>
      </c>
      <c r="B122" t="s">
        <v>63</v>
      </c>
      <c r="C122">
        <v>2</v>
      </c>
      <c r="D122" s="1">
        <v>35398</v>
      </c>
      <c r="E122" s="1">
        <v>35426</v>
      </c>
      <c r="F122" s="1">
        <v>35401</v>
      </c>
      <c r="G122">
        <v>2</v>
      </c>
      <c r="H122" s="2">
        <v>101.95</v>
      </c>
      <c r="I122" t="s">
        <v>64</v>
      </c>
      <c r="J122" t="s">
        <v>65</v>
      </c>
      <c r="K122" t="s">
        <v>66</v>
      </c>
      <c r="L122" t="s">
        <v>18</v>
      </c>
      <c r="M122">
        <v>8010</v>
      </c>
      <c r="N122" t="s">
        <v>67</v>
      </c>
      <c r="O122">
        <f>Orders[[#This Row],[requiredDate]]-Orders[[#This Row],[orderDate]]</f>
        <v>28</v>
      </c>
      <c r="P122">
        <f>Orders[[#This Row],[shippedDate]]-Orders[[#This Row],[orderDate]]</f>
        <v>3</v>
      </c>
      <c r="Q122">
        <f>Orders[[#This Row],[requiredDate]]-Orders[[#This Row],[shippedDate]]</f>
        <v>25</v>
      </c>
    </row>
    <row r="123" spans="1:17" x14ac:dyDescent="0.2">
      <c r="A123">
        <v>10369</v>
      </c>
      <c r="B123" t="s">
        <v>116</v>
      </c>
      <c r="C123">
        <v>8</v>
      </c>
      <c r="D123" s="1">
        <v>35401</v>
      </c>
      <c r="E123" s="1">
        <v>35429</v>
      </c>
      <c r="F123" s="1">
        <v>35408</v>
      </c>
      <c r="G123">
        <v>2</v>
      </c>
      <c r="H123" s="2">
        <v>195.68</v>
      </c>
      <c r="I123" t="s">
        <v>117</v>
      </c>
      <c r="J123" t="s">
        <v>118</v>
      </c>
      <c r="K123" t="s">
        <v>119</v>
      </c>
      <c r="L123" t="s">
        <v>120</v>
      </c>
      <c r="M123">
        <v>82520</v>
      </c>
      <c r="N123" t="s">
        <v>86</v>
      </c>
      <c r="O123">
        <f>Orders[[#This Row],[requiredDate]]-Orders[[#This Row],[orderDate]]</f>
        <v>28</v>
      </c>
      <c r="P123">
        <f>Orders[[#This Row],[shippedDate]]-Orders[[#This Row],[orderDate]]</f>
        <v>7</v>
      </c>
      <c r="Q123">
        <f>Orders[[#This Row],[requiredDate]]-Orders[[#This Row],[shippedDate]]</f>
        <v>21</v>
      </c>
    </row>
    <row r="124" spans="1:17" x14ac:dyDescent="0.2">
      <c r="A124">
        <v>10370</v>
      </c>
      <c r="B124" t="s">
        <v>42</v>
      </c>
      <c r="C124">
        <v>6</v>
      </c>
      <c r="D124" s="1">
        <v>35402</v>
      </c>
      <c r="E124" s="1">
        <v>35430</v>
      </c>
      <c r="F124" s="1">
        <v>35426</v>
      </c>
      <c r="G124">
        <v>2</v>
      </c>
      <c r="H124" s="2">
        <v>1.17</v>
      </c>
      <c r="I124" t="s">
        <v>43</v>
      </c>
      <c r="J124" t="s">
        <v>44</v>
      </c>
      <c r="K124" t="s">
        <v>45</v>
      </c>
      <c r="L124" t="s">
        <v>18</v>
      </c>
      <c r="M124">
        <v>3012</v>
      </c>
      <c r="N124" t="s">
        <v>46</v>
      </c>
      <c r="O124">
        <f>Orders[[#This Row],[requiredDate]]-Orders[[#This Row],[orderDate]]</f>
        <v>28</v>
      </c>
      <c r="P124">
        <f>Orders[[#This Row],[shippedDate]]-Orders[[#This Row],[orderDate]]</f>
        <v>24</v>
      </c>
      <c r="Q124">
        <f>Orders[[#This Row],[requiredDate]]-Orders[[#This Row],[shippedDate]]</f>
        <v>4</v>
      </c>
    </row>
    <row r="125" spans="1:17" x14ac:dyDescent="0.2">
      <c r="A125">
        <v>10371</v>
      </c>
      <c r="B125" t="s">
        <v>262</v>
      </c>
      <c r="C125">
        <v>1</v>
      </c>
      <c r="D125" s="1">
        <v>35402</v>
      </c>
      <c r="E125" s="1">
        <v>35430</v>
      </c>
      <c r="F125" s="1">
        <v>35423</v>
      </c>
      <c r="G125">
        <v>1</v>
      </c>
      <c r="H125" s="2">
        <v>0.45</v>
      </c>
      <c r="I125" t="s">
        <v>263</v>
      </c>
      <c r="J125" t="s">
        <v>264</v>
      </c>
      <c r="K125" t="s">
        <v>265</v>
      </c>
      <c r="L125" t="s">
        <v>18</v>
      </c>
      <c r="M125">
        <v>31000</v>
      </c>
      <c r="N125" t="s">
        <v>19</v>
      </c>
      <c r="O125">
        <f>Orders[[#This Row],[requiredDate]]-Orders[[#This Row],[orderDate]]</f>
        <v>28</v>
      </c>
      <c r="P125">
        <f>Orders[[#This Row],[shippedDate]]-Orders[[#This Row],[orderDate]]</f>
        <v>21</v>
      </c>
      <c r="Q125">
        <f>Orders[[#This Row],[requiredDate]]-Orders[[#This Row],[shippedDate]]</f>
        <v>7</v>
      </c>
    </row>
    <row r="126" spans="1:17" x14ac:dyDescent="0.2">
      <c r="A126">
        <v>10372</v>
      </c>
      <c r="B126" t="s">
        <v>299</v>
      </c>
      <c r="C126">
        <v>5</v>
      </c>
      <c r="D126" s="1">
        <v>35403</v>
      </c>
      <c r="E126" s="1">
        <v>35431</v>
      </c>
      <c r="F126" s="1">
        <v>35408</v>
      </c>
      <c r="G126">
        <v>2</v>
      </c>
      <c r="H126" s="2">
        <v>890.78</v>
      </c>
      <c r="I126" t="s">
        <v>300</v>
      </c>
      <c r="J126" t="s">
        <v>301</v>
      </c>
      <c r="K126" t="s">
        <v>173</v>
      </c>
      <c r="L126" t="s">
        <v>55</v>
      </c>
      <c r="M126" t="s">
        <v>302</v>
      </c>
      <c r="N126" t="s">
        <v>31</v>
      </c>
      <c r="O126">
        <f>Orders[[#This Row],[requiredDate]]-Orders[[#This Row],[orderDate]]</f>
        <v>28</v>
      </c>
      <c r="P126">
        <f>Orders[[#This Row],[shippedDate]]-Orders[[#This Row],[orderDate]]</f>
        <v>5</v>
      </c>
      <c r="Q126">
        <f>Orders[[#This Row],[requiredDate]]-Orders[[#This Row],[shippedDate]]</f>
        <v>23</v>
      </c>
    </row>
    <row r="127" spans="1:17" x14ac:dyDescent="0.2">
      <c r="A127">
        <v>10373</v>
      </c>
      <c r="B127" t="s">
        <v>179</v>
      </c>
      <c r="C127">
        <v>4</v>
      </c>
      <c r="D127" s="1">
        <v>35404</v>
      </c>
      <c r="E127" s="1">
        <v>35432</v>
      </c>
      <c r="F127" s="1">
        <v>35410</v>
      </c>
      <c r="G127">
        <v>3</v>
      </c>
      <c r="H127" s="2">
        <v>124.12</v>
      </c>
      <c r="I127" t="s">
        <v>180</v>
      </c>
      <c r="J127" t="s">
        <v>181</v>
      </c>
      <c r="K127" t="s">
        <v>182</v>
      </c>
      <c r="L127" t="s">
        <v>183</v>
      </c>
      <c r="M127" t="s">
        <v>18</v>
      </c>
      <c r="N127" t="s">
        <v>184</v>
      </c>
      <c r="O127">
        <f>Orders[[#This Row],[requiredDate]]-Orders[[#This Row],[orderDate]]</f>
        <v>28</v>
      </c>
      <c r="P127">
        <f>Orders[[#This Row],[shippedDate]]-Orders[[#This Row],[orderDate]]</f>
        <v>6</v>
      </c>
      <c r="Q127">
        <f>Orders[[#This Row],[requiredDate]]-Orders[[#This Row],[shippedDate]]</f>
        <v>22</v>
      </c>
    </row>
    <row r="128" spans="1:17" x14ac:dyDescent="0.2">
      <c r="A128">
        <v>10374</v>
      </c>
      <c r="B128" t="s">
        <v>303</v>
      </c>
      <c r="C128">
        <v>1</v>
      </c>
      <c r="D128" s="1">
        <v>35404</v>
      </c>
      <c r="E128" s="1">
        <v>35432</v>
      </c>
      <c r="F128" s="1">
        <v>35408</v>
      </c>
      <c r="G128">
        <v>3</v>
      </c>
      <c r="H128" s="2">
        <v>3.94</v>
      </c>
      <c r="I128" t="s">
        <v>304</v>
      </c>
      <c r="J128" t="s">
        <v>305</v>
      </c>
      <c r="K128" t="s">
        <v>306</v>
      </c>
      <c r="L128" t="s">
        <v>18</v>
      </c>
      <c r="M128" t="s">
        <v>307</v>
      </c>
      <c r="N128" t="s">
        <v>308</v>
      </c>
      <c r="O128">
        <f>Orders[[#This Row],[requiredDate]]-Orders[[#This Row],[orderDate]]</f>
        <v>28</v>
      </c>
      <c r="P128">
        <f>Orders[[#This Row],[shippedDate]]-Orders[[#This Row],[orderDate]]</f>
        <v>4</v>
      </c>
      <c r="Q128">
        <f>Orders[[#This Row],[requiredDate]]-Orders[[#This Row],[shippedDate]]</f>
        <v>24</v>
      </c>
    </row>
    <row r="129" spans="1:17" x14ac:dyDescent="0.2">
      <c r="A129">
        <v>10375</v>
      </c>
      <c r="B129" t="s">
        <v>309</v>
      </c>
      <c r="C129">
        <v>3</v>
      </c>
      <c r="D129" s="1">
        <v>35405</v>
      </c>
      <c r="E129" s="1">
        <v>35433</v>
      </c>
      <c r="F129" s="1">
        <v>35408</v>
      </c>
      <c r="G129">
        <v>2</v>
      </c>
      <c r="H129" s="2">
        <v>20.12</v>
      </c>
      <c r="I129" t="s">
        <v>310</v>
      </c>
      <c r="J129" t="s">
        <v>311</v>
      </c>
      <c r="K129" t="s">
        <v>312</v>
      </c>
      <c r="L129" t="s">
        <v>202</v>
      </c>
      <c r="M129">
        <v>97827</v>
      </c>
      <c r="N129" t="s">
        <v>86</v>
      </c>
      <c r="O129">
        <f>Orders[[#This Row],[requiredDate]]-Orders[[#This Row],[orderDate]]</f>
        <v>28</v>
      </c>
      <c r="P129">
        <f>Orders[[#This Row],[shippedDate]]-Orders[[#This Row],[orderDate]]</f>
        <v>3</v>
      </c>
      <c r="Q129">
        <f>Orders[[#This Row],[requiredDate]]-Orders[[#This Row],[shippedDate]]</f>
        <v>25</v>
      </c>
    </row>
    <row r="130" spans="1:17" x14ac:dyDescent="0.2">
      <c r="A130">
        <v>10376</v>
      </c>
      <c r="B130" t="s">
        <v>243</v>
      </c>
      <c r="C130">
        <v>1</v>
      </c>
      <c r="D130" s="1">
        <v>35408</v>
      </c>
      <c r="E130" s="1">
        <v>35436</v>
      </c>
      <c r="F130" s="1">
        <v>35412</v>
      </c>
      <c r="G130">
        <v>2</v>
      </c>
      <c r="H130" s="2">
        <v>20.39</v>
      </c>
      <c r="I130" t="s">
        <v>244</v>
      </c>
      <c r="J130" t="s">
        <v>245</v>
      </c>
      <c r="K130" t="s">
        <v>246</v>
      </c>
      <c r="L130" t="s">
        <v>247</v>
      </c>
      <c r="M130" t="s">
        <v>248</v>
      </c>
      <c r="N130" t="s">
        <v>249</v>
      </c>
      <c r="O130">
        <f>Orders[[#This Row],[requiredDate]]-Orders[[#This Row],[orderDate]]</f>
        <v>28</v>
      </c>
      <c r="P130">
        <f>Orders[[#This Row],[shippedDate]]-Orders[[#This Row],[orderDate]]</f>
        <v>4</v>
      </c>
      <c r="Q130">
        <f>Orders[[#This Row],[requiredDate]]-Orders[[#This Row],[shippedDate]]</f>
        <v>24</v>
      </c>
    </row>
    <row r="131" spans="1:17" x14ac:dyDescent="0.2">
      <c r="A131">
        <v>10377</v>
      </c>
      <c r="B131" t="s">
        <v>276</v>
      </c>
      <c r="C131">
        <v>1</v>
      </c>
      <c r="D131" s="1">
        <v>35408</v>
      </c>
      <c r="E131" s="1">
        <v>35436</v>
      </c>
      <c r="F131" s="1">
        <v>35412</v>
      </c>
      <c r="G131">
        <v>3</v>
      </c>
      <c r="H131" s="2">
        <v>22.21</v>
      </c>
      <c r="I131" t="s">
        <v>277</v>
      </c>
      <c r="J131" t="s">
        <v>278</v>
      </c>
      <c r="K131" t="s">
        <v>167</v>
      </c>
      <c r="L131" t="s">
        <v>18</v>
      </c>
      <c r="M131" t="s">
        <v>279</v>
      </c>
      <c r="N131" t="s">
        <v>169</v>
      </c>
      <c r="O131">
        <f>Orders[[#This Row],[requiredDate]]-Orders[[#This Row],[orderDate]]</f>
        <v>28</v>
      </c>
      <c r="P131">
        <f>Orders[[#This Row],[shippedDate]]-Orders[[#This Row],[orderDate]]</f>
        <v>4</v>
      </c>
      <c r="Q131">
        <f>Orders[[#This Row],[requiredDate]]-Orders[[#This Row],[shippedDate]]</f>
        <v>24</v>
      </c>
    </row>
    <row r="132" spans="1:17" x14ac:dyDescent="0.2">
      <c r="A132">
        <v>10378</v>
      </c>
      <c r="B132" t="s">
        <v>87</v>
      </c>
      <c r="C132">
        <v>5</v>
      </c>
      <c r="D132" s="1">
        <v>35409</v>
      </c>
      <c r="E132" s="1">
        <v>35437</v>
      </c>
      <c r="F132" s="1">
        <v>35418</v>
      </c>
      <c r="G132">
        <v>3</v>
      </c>
      <c r="H132" s="2">
        <v>5.44</v>
      </c>
      <c r="I132" t="s">
        <v>88</v>
      </c>
      <c r="J132" t="s">
        <v>89</v>
      </c>
      <c r="K132" t="s">
        <v>90</v>
      </c>
      <c r="L132" t="s">
        <v>18</v>
      </c>
      <c r="M132" t="s">
        <v>91</v>
      </c>
      <c r="N132" t="s">
        <v>92</v>
      </c>
      <c r="O132">
        <f>Orders[[#This Row],[requiredDate]]-Orders[[#This Row],[orderDate]]</f>
        <v>28</v>
      </c>
      <c r="P132">
        <f>Orders[[#This Row],[shippedDate]]-Orders[[#This Row],[orderDate]]</f>
        <v>9</v>
      </c>
      <c r="Q132">
        <f>Orders[[#This Row],[requiredDate]]-Orders[[#This Row],[shippedDate]]</f>
        <v>19</v>
      </c>
    </row>
    <row r="133" spans="1:17" x14ac:dyDescent="0.2">
      <c r="A133">
        <v>10379</v>
      </c>
      <c r="B133" t="s">
        <v>77</v>
      </c>
      <c r="C133">
        <v>2</v>
      </c>
      <c r="D133" s="1">
        <v>35410</v>
      </c>
      <c r="E133" s="1">
        <v>35438</v>
      </c>
      <c r="F133" s="1">
        <v>35412</v>
      </c>
      <c r="G133">
        <v>1</v>
      </c>
      <c r="H133" s="2">
        <v>45.03</v>
      </c>
      <c r="I133" t="s">
        <v>78</v>
      </c>
      <c r="J133" t="s">
        <v>79</v>
      </c>
      <c r="K133" t="s">
        <v>28</v>
      </c>
      <c r="L133" t="s">
        <v>29</v>
      </c>
      <c r="M133" t="s">
        <v>80</v>
      </c>
      <c r="N133" t="s">
        <v>31</v>
      </c>
      <c r="O133">
        <f>Orders[[#This Row],[requiredDate]]-Orders[[#This Row],[orderDate]]</f>
        <v>28</v>
      </c>
      <c r="P133">
        <f>Orders[[#This Row],[shippedDate]]-Orders[[#This Row],[orderDate]]</f>
        <v>2</v>
      </c>
      <c r="Q133">
        <f>Orders[[#This Row],[requiredDate]]-Orders[[#This Row],[shippedDate]]</f>
        <v>26</v>
      </c>
    </row>
    <row r="134" spans="1:17" x14ac:dyDescent="0.2">
      <c r="A134">
        <v>10380</v>
      </c>
      <c r="B134" t="s">
        <v>179</v>
      </c>
      <c r="C134">
        <v>8</v>
      </c>
      <c r="D134" s="1">
        <v>35411</v>
      </c>
      <c r="E134" s="1">
        <v>35439</v>
      </c>
      <c r="F134" s="1">
        <v>35446</v>
      </c>
      <c r="G134">
        <v>3</v>
      </c>
      <c r="H134" s="2">
        <v>35.03</v>
      </c>
      <c r="I134" t="s">
        <v>180</v>
      </c>
      <c r="J134" t="s">
        <v>181</v>
      </c>
      <c r="K134" t="s">
        <v>182</v>
      </c>
      <c r="L134" t="s">
        <v>183</v>
      </c>
      <c r="M134" t="s">
        <v>18</v>
      </c>
      <c r="N134" t="s">
        <v>184</v>
      </c>
      <c r="O134">
        <f>Orders[[#This Row],[requiredDate]]-Orders[[#This Row],[orderDate]]</f>
        <v>28</v>
      </c>
      <c r="P134">
        <f>Orders[[#This Row],[shippedDate]]-Orders[[#This Row],[orderDate]]</f>
        <v>35</v>
      </c>
      <c r="Q134">
        <f>Orders[[#This Row],[requiredDate]]-Orders[[#This Row],[shippedDate]]</f>
        <v>-7</v>
      </c>
    </row>
    <row r="135" spans="1:17" x14ac:dyDescent="0.2">
      <c r="A135">
        <v>10381</v>
      </c>
      <c r="B135" t="s">
        <v>151</v>
      </c>
      <c r="C135">
        <v>3</v>
      </c>
      <c r="D135" s="1">
        <v>35411</v>
      </c>
      <c r="E135" s="1">
        <v>35439</v>
      </c>
      <c r="F135" s="1">
        <v>35412</v>
      </c>
      <c r="G135">
        <v>3</v>
      </c>
      <c r="H135" s="2">
        <v>7.99</v>
      </c>
      <c r="I135" t="s">
        <v>152</v>
      </c>
      <c r="J135" t="s">
        <v>153</v>
      </c>
      <c r="K135" t="s">
        <v>154</v>
      </c>
      <c r="L135" t="s">
        <v>155</v>
      </c>
      <c r="M135">
        <v>3508</v>
      </c>
      <c r="N135" t="s">
        <v>62</v>
      </c>
      <c r="O135">
        <f>Orders[[#This Row],[requiredDate]]-Orders[[#This Row],[orderDate]]</f>
        <v>28</v>
      </c>
      <c r="P135">
        <f>Orders[[#This Row],[shippedDate]]-Orders[[#This Row],[orderDate]]</f>
        <v>1</v>
      </c>
      <c r="Q135">
        <f>Orders[[#This Row],[requiredDate]]-Orders[[#This Row],[shippedDate]]</f>
        <v>27</v>
      </c>
    </row>
    <row r="136" spans="1:17" x14ac:dyDescent="0.2">
      <c r="A136">
        <v>10382</v>
      </c>
      <c r="B136" t="s">
        <v>63</v>
      </c>
      <c r="C136">
        <v>4</v>
      </c>
      <c r="D136" s="1">
        <v>35412</v>
      </c>
      <c r="E136" s="1">
        <v>35440</v>
      </c>
      <c r="F136" s="1">
        <v>35415</v>
      </c>
      <c r="G136">
        <v>1</v>
      </c>
      <c r="H136" s="2">
        <v>94.77</v>
      </c>
      <c r="I136" t="s">
        <v>64</v>
      </c>
      <c r="J136" t="s">
        <v>65</v>
      </c>
      <c r="K136" t="s">
        <v>66</v>
      </c>
      <c r="L136" t="s">
        <v>18</v>
      </c>
      <c r="M136">
        <v>8010</v>
      </c>
      <c r="N136" t="s">
        <v>67</v>
      </c>
      <c r="O136">
        <f>Orders[[#This Row],[requiredDate]]-Orders[[#This Row],[orderDate]]</f>
        <v>28</v>
      </c>
      <c r="P136">
        <f>Orders[[#This Row],[shippedDate]]-Orders[[#This Row],[orderDate]]</f>
        <v>3</v>
      </c>
      <c r="Q136">
        <f>Orders[[#This Row],[requiredDate]]-Orders[[#This Row],[shippedDate]]</f>
        <v>25</v>
      </c>
    </row>
    <row r="137" spans="1:17" x14ac:dyDescent="0.2">
      <c r="A137">
        <v>10383</v>
      </c>
      <c r="B137" t="s">
        <v>270</v>
      </c>
      <c r="C137">
        <v>8</v>
      </c>
      <c r="D137" s="1">
        <v>35415</v>
      </c>
      <c r="E137" s="1">
        <v>35443</v>
      </c>
      <c r="F137" s="1">
        <v>35417</v>
      </c>
      <c r="G137">
        <v>3</v>
      </c>
      <c r="H137" s="2">
        <v>34.24</v>
      </c>
      <c r="I137" t="s">
        <v>271</v>
      </c>
      <c r="J137" t="s">
        <v>272</v>
      </c>
      <c r="K137" t="s">
        <v>273</v>
      </c>
      <c r="L137" t="s">
        <v>274</v>
      </c>
      <c r="M137" t="s">
        <v>275</v>
      </c>
      <c r="N137" t="s">
        <v>169</v>
      </c>
      <c r="O137">
        <f>Orders[[#This Row],[requiredDate]]-Orders[[#This Row],[orderDate]]</f>
        <v>28</v>
      </c>
      <c r="P137">
        <f>Orders[[#This Row],[shippedDate]]-Orders[[#This Row],[orderDate]]</f>
        <v>2</v>
      </c>
      <c r="Q137">
        <f>Orders[[#This Row],[requiredDate]]-Orders[[#This Row],[shippedDate]]</f>
        <v>26</v>
      </c>
    </row>
    <row r="138" spans="1:17" x14ac:dyDescent="0.2">
      <c r="A138">
        <v>10384</v>
      </c>
      <c r="B138" t="s">
        <v>137</v>
      </c>
      <c r="C138">
        <v>3</v>
      </c>
      <c r="D138" s="1">
        <v>35415</v>
      </c>
      <c r="E138" s="1">
        <v>35443</v>
      </c>
      <c r="F138" s="1">
        <v>35419</v>
      </c>
      <c r="G138">
        <v>3</v>
      </c>
      <c r="H138" s="2">
        <v>168.64</v>
      </c>
      <c r="I138" t="s">
        <v>138</v>
      </c>
      <c r="J138" t="s">
        <v>139</v>
      </c>
      <c r="K138" t="s">
        <v>140</v>
      </c>
      <c r="L138" t="s">
        <v>18</v>
      </c>
      <c r="M138" t="s">
        <v>141</v>
      </c>
      <c r="N138" t="s">
        <v>92</v>
      </c>
      <c r="O138">
        <f>Orders[[#This Row],[requiredDate]]-Orders[[#This Row],[orderDate]]</f>
        <v>28</v>
      </c>
      <c r="P138">
        <f>Orders[[#This Row],[shippedDate]]-Orders[[#This Row],[orderDate]]</f>
        <v>4</v>
      </c>
      <c r="Q138">
        <f>Orders[[#This Row],[requiredDate]]-Orders[[#This Row],[shippedDate]]</f>
        <v>24</v>
      </c>
    </row>
    <row r="139" spans="1:17" x14ac:dyDescent="0.2">
      <c r="A139">
        <v>10385</v>
      </c>
      <c r="B139" t="s">
        <v>116</v>
      </c>
      <c r="C139">
        <v>1</v>
      </c>
      <c r="D139" s="1">
        <v>35416</v>
      </c>
      <c r="E139" s="1">
        <v>35444</v>
      </c>
      <c r="F139" s="1">
        <v>35422</v>
      </c>
      <c r="G139">
        <v>2</v>
      </c>
      <c r="H139" s="2">
        <v>30.96</v>
      </c>
      <c r="I139" t="s">
        <v>117</v>
      </c>
      <c r="J139" t="s">
        <v>118</v>
      </c>
      <c r="K139" t="s">
        <v>119</v>
      </c>
      <c r="L139" t="s">
        <v>120</v>
      </c>
      <c r="M139">
        <v>82520</v>
      </c>
      <c r="N139" t="s">
        <v>86</v>
      </c>
      <c r="O139">
        <f>Orders[[#This Row],[requiredDate]]-Orders[[#This Row],[orderDate]]</f>
        <v>28</v>
      </c>
      <c r="P139">
        <f>Orders[[#This Row],[shippedDate]]-Orders[[#This Row],[orderDate]]</f>
        <v>6</v>
      </c>
      <c r="Q139">
        <f>Orders[[#This Row],[requiredDate]]-Orders[[#This Row],[shippedDate]]</f>
        <v>22</v>
      </c>
    </row>
    <row r="140" spans="1:17" x14ac:dyDescent="0.2">
      <c r="A140">
        <v>10386</v>
      </c>
      <c r="B140" t="s">
        <v>258</v>
      </c>
      <c r="C140">
        <v>9</v>
      </c>
      <c r="D140" s="1">
        <v>35417</v>
      </c>
      <c r="E140" s="1">
        <v>35431</v>
      </c>
      <c r="F140" s="1">
        <v>35424</v>
      </c>
      <c r="G140">
        <v>3</v>
      </c>
      <c r="H140" s="2">
        <v>13.99</v>
      </c>
      <c r="I140" t="s">
        <v>259</v>
      </c>
      <c r="J140" t="s">
        <v>260</v>
      </c>
      <c r="K140" t="s">
        <v>173</v>
      </c>
      <c r="L140" t="s">
        <v>55</v>
      </c>
      <c r="M140" t="s">
        <v>261</v>
      </c>
      <c r="N140" t="s">
        <v>31</v>
      </c>
      <c r="O140">
        <f>Orders[[#This Row],[requiredDate]]-Orders[[#This Row],[orderDate]]</f>
        <v>14</v>
      </c>
      <c r="P140">
        <f>Orders[[#This Row],[shippedDate]]-Orders[[#This Row],[orderDate]]</f>
        <v>7</v>
      </c>
      <c r="Q140">
        <f>Orders[[#This Row],[requiredDate]]-Orders[[#This Row],[shippedDate]]</f>
        <v>7</v>
      </c>
    </row>
    <row r="141" spans="1:17" x14ac:dyDescent="0.2">
      <c r="A141">
        <v>10387</v>
      </c>
      <c r="B141" t="s">
        <v>313</v>
      </c>
      <c r="C141">
        <v>1</v>
      </c>
      <c r="D141" s="1">
        <v>35417</v>
      </c>
      <c r="E141" s="1">
        <v>35445</v>
      </c>
      <c r="F141" s="1">
        <v>35419</v>
      </c>
      <c r="G141">
        <v>2</v>
      </c>
      <c r="H141" s="2">
        <v>93.63</v>
      </c>
      <c r="I141" t="s">
        <v>314</v>
      </c>
      <c r="J141" t="s">
        <v>315</v>
      </c>
      <c r="K141" t="s">
        <v>316</v>
      </c>
      <c r="L141" t="s">
        <v>18</v>
      </c>
      <c r="M141">
        <v>4110</v>
      </c>
      <c r="N141" t="s">
        <v>317</v>
      </c>
      <c r="O141">
        <f>Orders[[#This Row],[requiredDate]]-Orders[[#This Row],[orderDate]]</f>
        <v>28</v>
      </c>
      <c r="P141">
        <f>Orders[[#This Row],[shippedDate]]-Orders[[#This Row],[orderDate]]</f>
        <v>2</v>
      </c>
      <c r="Q141">
        <f>Orders[[#This Row],[requiredDate]]-Orders[[#This Row],[shippedDate]]</f>
        <v>26</v>
      </c>
    </row>
    <row r="142" spans="1:17" x14ac:dyDescent="0.2">
      <c r="A142">
        <v>10388</v>
      </c>
      <c r="B142" t="s">
        <v>276</v>
      </c>
      <c r="C142">
        <v>2</v>
      </c>
      <c r="D142" s="1">
        <v>35418</v>
      </c>
      <c r="E142" s="1">
        <v>35446</v>
      </c>
      <c r="F142" s="1">
        <v>35419</v>
      </c>
      <c r="G142">
        <v>1</v>
      </c>
      <c r="H142" s="2">
        <v>34.86</v>
      </c>
      <c r="I142" t="s">
        <v>277</v>
      </c>
      <c r="J142" t="s">
        <v>278</v>
      </c>
      <c r="K142" t="s">
        <v>167</v>
      </c>
      <c r="L142" t="s">
        <v>18</v>
      </c>
      <c r="M142" t="s">
        <v>279</v>
      </c>
      <c r="N142" t="s">
        <v>169</v>
      </c>
      <c r="O142">
        <f>Orders[[#This Row],[requiredDate]]-Orders[[#This Row],[orderDate]]</f>
        <v>28</v>
      </c>
      <c r="P142">
        <f>Orders[[#This Row],[shippedDate]]-Orders[[#This Row],[orderDate]]</f>
        <v>1</v>
      </c>
      <c r="Q142">
        <f>Orders[[#This Row],[requiredDate]]-Orders[[#This Row],[shippedDate]]</f>
        <v>27</v>
      </c>
    </row>
    <row r="143" spans="1:17" x14ac:dyDescent="0.2">
      <c r="A143">
        <v>10389</v>
      </c>
      <c r="B143" t="s">
        <v>318</v>
      </c>
      <c r="C143">
        <v>4</v>
      </c>
      <c r="D143" s="1">
        <v>35419</v>
      </c>
      <c r="E143" s="1">
        <v>35447</v>
      </c>
      <c r="F143" s="1">
        <v>35423</v>
      </c>
      <c r="G143">
        <v>2</v>
      </c>
      <c r="H143" s="2">
        <v>47.42</v>
      </c>
      <c r="I143" t="s">
        <v>319</v>
      </c>
      <c r="J143" t="s">
        <v>320</v>
      </c>
      <c r="K143" t="s">
        <v>321</v>
      </c>
      <c r="L143" t="s">
        <v>322</v>
      </c>
      <c r="M143" t="s">
        <v>323</v>
      </c>
      <c r="N143" t="s">
        <v>249</v>
      </c>
      <c r="O143">
        <f>Orders[[#This Row],[requiredDate]]-Orders[[#This Row],[orderDate]]</f>
        <v>28</v>
      </c>
      <c r="P143">
        <f>Orders[[#This Row],[shippedDate]]-Orders[[#This Row],[orderDate]]</f>
        <v>4</v>
      </c>
      <c r="Q143">
        <f>Orders[[#This Row],[requiredDate]]-Orders[[#This Row],[shippedDate]]</f>
        <v>24</v>
      </c>
    </row>
    <row r="144" spans="1:17" x14ac:dyDescent="0.2">
      <c r="A144">
        <v>10390</v>
      </c>
      <c r="B144" t="s">
        <v>63</v>
      </c>
      <c r="C144">
        <v>6</v>
      </c>
      <c r="D144" s="1">
        <v>35422</v>
      </c>
      <c r="E144" s="1">
        <v>35450</v>
      </c>
      <c r="F144" s="1">
        <v>35425</v>
      </c>
      <c r="G144">
        <v>1</v>
      </c>
      <c r="H144" s="2">
        <v>126.38</v>
      </c>
      <c r="I144" t="s">
        <v>64</v>
      </c>
      <c r="J144" t="s">
        <v>65</v>
      </c>
      <c r="K144" t="s">
        <v>66</v>
      </c>
      <c r="L144" t="s">
        <v>18</v>
      </c>
      <c r="M144">
        <v>8010</v>
      </c>
      <c r="N144" t="s">
        <v>67</v>
      </c>
      <c r="O144">
        <f>Orders[[#This Row],[requiredDate]]-Orders[[#This Row],[orderDate]]</f>
        <v>28</v>
      </c>
      <c r="P144">
        <f>Orders[[#This Row],[shippedDate]]-Orders[[#This Row],[orderDate]]</f>
        <v>3</v>
      </c>
      <c r="Q144">
        <f>Orders[[#This Row],[requiredDate]]-Orders[[#This Row],[shippedDate]]</f>
        <v>25</v>
      </c>
    </row>
    <row r="145" spans="1:17" x14ac:dyDescent="0.2">
      <c r="A145">
        <v>10391</v>
      </c>
      <c r="B145" t="s">
        <v>280</v>
      </c>
      <c r="C145">
        <v>3</v>
      </c>
      <c r="D145" s="1">
        <v>35422</v>
      </c>
      <c r="E145" s="1">
        <v>35450</v>
      </c>
      <c r="F145" s="1">
        <v>35430</v>
      </c>
      <c r="G145">
        <v>3</v>
      </c>
      <c r="H145" s="2">
        <v>5.45</v>
      </c>
      <c r="I145" t="s">
        <v>281</v>
      </c>
      <c r="J145" t="s">
        <v>282</v>
      </c>
      <c r="K145" t="s">
        <v>283</v>
      </c>
      <c r="L145" t="s">
        <v>18</v>
      </c>
      <c r="M145">
        <v>52066</v>
      </c>
      <c r="N145" t="s">
        <v>24</v>
      </c>
      <c r="O145">
        <f>Orders[[#This Row],[requiredDate]]-Orders[[#This Row],[orderDate]]</f>
        <v>28</v>
      </c>
      <c r="P145">
        <f>Orders[[#This Row],[shippedDate]]-Orders[[#This Row],[orderDate]]</f>
        <v>8</v>
      </c>
      <c r="Q145">
        <f>Orders[[#This Row],[requiredDate]]-Orders[[#This Row],[shippedDate]]</f>
        <v>20</v>
      </c>
    </row>
    <row r="146" spans="1:17" x14ac:dyDescent="0.2">
      <c r="A146">
        <v>10392</v>
      </c>
      <c r="B146" t="s">
        <v>266</v>
      </c>
      <c r="C146">
        <v>2</v>
      </c>
      <c r="D146" s="1">
        <v>35423</v>
      </c>
      <c r="E146" s="1">
        <v>35451</v>
      </c>
      <c r="F146" s="1">
        <v>35431</v>
      </c>
      <c r="G146">
        <v>3</v>
      </c>
      <c r="H146" s="2">
        <v>122.46</v>
      </c>
      <c r="I146" t="s">
        <v>267</v>
      </c>
      <c r="J146" t="s">
        <v>268</v>
      </c>
      <c r="K146" t="s">
        <v>269</v>
      </c>
      <c r="L146" t="s">
        <v>18</v>
      </c>
      <c r="M146">
        <v>5020</v>
      </c>
      <c r="N146" t="s">
        <v>67</v>
      </c>
      <c r="O146">
        <f>Orders[[#This Row],[requiredDate]]-Orders[[#This Row],[orderDate]]</f>
        <v>28</v>
      </c>
      <c r="P146">
        <f>Orders[[#This Row],[shippedDate]]-Orders[[#This Row],[orderDate]]</f>
        <v>8</v>
      </c>
      <c r="Q146">
        <f>Orders[[#This Row],[requiredDate]]-Orders[[#This Row],[shippedDate]]</f>
        <v>20</v>
      </c>
    </row>
    <row r="147" spans="1:17" x14ac:dyDescent="0.2">
      <c r="A147">
        <v>10393</v>
      </c>
      <c r="B147" t="s">
        <v>226</v>
      </c>
      <c r="C147">
        <v>1</v>
      </c>
      <c r="D147" s="1">
        <v>35424</v>
      </c>
      <c r="E147" s="1">
        <v>35452</v>
      </c>
      <c r="F147" s="1">
        <v>35433</v>
      </c>
      <c r="G147">
        <v>3</v>
      </c>
      <c r="H147" s="2">
        <v>126.56</v>
      </c>
      <c r="I147" t="s">
        <v>227</v>
      </c>
      <c r="J147" t="s">
        <v>228</v>
      </c>
      <c r="K147" t="s">
        <v>229</v>
      </c>
      <c r="L147" t="s">
        <v>230</v>
      </c>
      <c r="M147">
        <v>83720</v>
      </c>
      <c r="N147" t="s">
        <v>86</v>
      </c>
      <c r="O147">
        <f>Orders[[#This Row],[requiredDate]]-Orders[[#This Row],[orderDate]]</f>
        <v>28</v>
      </c>
      <c r="P147">
        <f>Orders[[#This Row],[shippedDate]]-Orders[[#This Row],[orderDate]]</f>
        <v>9</v>
      </c>
      <c r="Q147">
        <f>Orders[[#This Row],[requiredDate]]-Orders[[#This Row],[shippedDate]]</f>
        <v>19</v>
      </c>
    </row>
    <row r="148" spans="1:17" x14ac:dyDescent="0.2">
      <c r="A148">
        <v>10394</v>
      </c>
      <c r="B148" t="s">
        <v>309</v>
      </c>
      <c r="C148">
        <v>1</v>
      </c>
      <c r="D148" s="1">
        <v>35424</v>
      </c>
      <c r="E148" s="1">
        <v>35452</v>
      </c>
      <c r="F148" s="1">
        <v>35433</v>
      </c>
      <c r="G148">
        <v>3</v>
      </c>
      <c r="H148" s="2">
        <v>30.34</v>
      </c>
      <c r="I148" t="s">
        <v>310</v>
      </c>
      <c r="J148" t="s">
        <v>311</v>
      </c>
      <c r="K148" t="s">
        <v>312</v>
      </c>
      <c r="L148" t="s">
        <v>202</v>
      </c>
      <c r="M148">
        <v>97827</v>
      </c>
      <c r="N148" t="s">
        <v>86</v>
      </c>
      <c r="O148">
        <f>Orders[[#This Row],[requiredDate]]-Orders[[#This Row],[orderDate]]</f>
        <v>28</v>
      </c>
      <c r="P148">
        <f>Orders[[#This Row],[shippedDate]]-Orders[[#This Row],[orderDate]]</f>
        <v>9</v>
      </c>
      <c r="Q148">
        <f>Orders[[#This Row],[requiredDate]]-Orders[[#This Row],[shippedDate]]</f>
        <v>19</v>
      </c>
    </row>
    <row r="149" spans="1:17" x14ac:dyDescent="0.2">
      <c r="A149">
        <v>10395</v>
      </c>
      <c r="B149" t="s">
        <v>57</v>
      </c>
      <c r="C149">
        <v>6</v>
      </c>
      <c r="D149" s="1">
        <v>35425</v>
      </c>
      <c r="E149" s="1">
        <v>35453</v>
      </c>
      <c r="F149" s="1">
        <v>35433</v>
      </c>
      <c r="G149">
        <v>1</v>
      </c>
      <c r="H149" s="2">
        <v>184.41</v>
      </c>
      <c r="I149" t="s">
        <v>58</v>
      </c>
      <c r="J149" t="s">
        <v>59</v>
      </c>
      <c r="K149" t="s">
        <v>60</v>
      </c>
      <c r="L149" t="s">
        <v>61</v>
      </c>
      <c r="M149">
        <v>5022</v>
      </c>
      <c r="N149" t="s">
        <v>62</v>
      </c>
      <c r="O149">
        <f>Orders[[#This Row],[requiredDate]]-Orders[[#This Row],[orderDate]]</f>
        <v>28</v>
      </c>
      <c r="P149">
        <f>Orders[[#This Row],[shippedDate]]-Orders[[#This Row],[orderDate]]</f>
        <v>8</v>
      </c>
      <c r="Q149">
        <f>Orders[[#This Row],[requiredDate]]-Orders[[#This Row],[shippedDate]]</f>
        <v>20</v>
      </c>
    </row>
    <row r="150" spans="1:17" x14ac:dyDescent="0.2">
      <c r="A150">
        <v>10396</v>
      </c>
      <c r="B150" t="s">
        <v>102</v>
      </c>
      <c r="C150">
        <v>1</v>
      </c>
      <c r="D150" s="1">
        <v>35426</v>
      </c>
      <c r="E150" s="1">
        <v>35440</v>
      </c>
      <c r="F150" s="1">
        <v>35436</v>
      </c>
      <c r="G150">
        <v>3</v>
      </c>
      <c r="H150" s="2">
        <v>135.35</v>
      </c>
      <c r="I150" t="s">
        <v>103</v>
      </c>
      <c r="J150" t="s">
        <v>104</v>
      </c>
      <c r="K150" t="s">
        <v>105</v>
      </c>
      <c r="L150" t="s">
        <v>18</v>
      </c>
      <c r="M150">
        <v>80805</v>
      </c>
      <c r="N150" t="s">
        <v>24</v>
      </c>
      <c r="O150">
        <f>Orders[[#This Row],[requiredDate]]-Orders[[#This Row],[orderDate]]</f>
        <v>14</v>
      </c>
      <c r="P150">
        <f>Orders[[#This Row],[shippedDate]]-Orders[[#This Row],[orderDate]]</f>
        <v>10</v>
      </c>
      <c r="Q150">
        <f>Orders[[#This Row],[requiredDate]]-Orders[[#This Row],[shippedDate]]</f>
        <v>4</v>
      </c>
    </row>
    <row r="151" spans="1:17" x14ac:dyDescent="0.2">
      <c r="A151">
        <v>10397</v>
      </c>
      <c r="B151" t="s">
        <v>250</v>
      </c>
      <c r="C151">
        <v>5</v>
      </c>
      <c r="D151" s="1">
        <v>35426</v>
      </c>
      <c r="E151" s="1">
        <v>35454</v>
      </c>
      <c r="F151" s="1">
        <v>35432</v>
      </c>
      <c r="G151">
        <v>1</v>
      </c>
      <c r="H151" s="2">
        <v>60.26</v>
      </c>
      <c r="I151" t="s">
        <v>251</v>
      </c>
      <c r="J151" t="s">
        <v>252</v>
      </c>
      <c r="K151" t="s">
        <v>237</v>
      </c>
      <c r="L151" t="s">
        <v>18</v>
      </c>
      <c r="M151">
        <v>1756</v>
      </c>
      <c r="N151" t="s">
        <v>238</v>
      </c>
      <c r="O151">
        <f>Orders[[#This Row],[requiredDate]]-Orders[[#This Row],[orderDate]]</f>
        <v>28</v>
      </c>
      <c r="P151">
        <f>Orders[[#This Row],[shippedDate]]-Orders[[#This Row],[orderDate]]</f>
        <v>6</v>
      </c>
      <c r="Q151">
        <f>Orders[[#This Row],[requiredDate]]-Orders[[#This Row],[shippedDate]]</f>
        <v>22</v>
      </c>
    </row>
    <row r="152" spans="1:17" x14ac:dyDescent="0.2">
      <c r="A152">
        <v>10398</v>
      </c>
      <c r="B152" t="s">
        <v>226</v>
      </c>
      <c r="C152">
        <v>2</v>
      </c>
      <c r="D152" s="1">
        <v>35429</v>
      </c>
      <c r="E152" s="1">
        <v>35457</v>
      </c>
      <c r="F152" s="1">
        <v>35439</v>
      </c>
      <c r="G152">
        <v>3</v>
      </c>
      <c r="H152" s="2">
        <v>89.16</v>
      </c>
      <c r="I152" t="s">
        <v>227</v>
      </c>
      <c r="J152" t="s">
        <v>228</v>
      </c>
      <c r="K152" t="s">
        <v>229</v>
      </c>
      <c r="L152" t="s">
        <v>230</v>
      </c>
      <c r="M152">
        <v>83720</v>
      </c>
      <c r="N152" t="s">
        <v>86</v>
      </c>
      <c r="O152">
        <f>Orders[[#This Row],[requiredDate]]-Orders[[#This Row],[orderDate]]</f>
        <v>28</v>
      </c>
      <c r="P152">
        <f>Orders[[#This Row],[shippedDate]]-Orders[[#This Row],[orderDate]]</f>
        <v>10</v>
      </c>
      <c r="Q152">
        <f>Orders[[#This Row],[requiredDate]]-Orders[[#This Row],[shippedDate]]</f>
        <v>18</v>
      </c>
    </row>
    <row r="153" spans="1:17" x14ac:dyDescent="0.2">
      <c r="A153">
        <v>10399</v>
      </c>
      <c r="B153" t="s">
        <v>295</v>
      </c>
      <c r="C153">
        <v>8</v>
      </c>
      <c r="D153" s="1">
        <v>35430</v>
      </c>
      <c r="E153" s="1">
        <v>35444</v>
      </c>
      <c r="F153" s="1">
        <v>35438</v>
      </c>
      <c r="G153">
        <v>3</v>
      </c>
      <c r="H153" s="2">
        <v>27.36</v>
      </c>
      <c r="I153" t="s">
        <v>296</v>
      </c>
      <c r="J153" t="s">
        <v>297</v>
      </c>
      <c r="K153" t="s">
        <v>298</v>
      </c>
      <c r="L153" t="s">
        <v>18</v>
      </c>
      <c r="M153">
        <v>8200</v>
      </c>
      <c r="N153" t="s">
        <v>257</v>
      </c>
      <c r="O153">
        <f>Orders[[#This Row],[requiredDate]]-Orders[[#This Row],[orderDate]]</f>
        <v>14</v>
      </c>
      <c r="P153">
        <f>Orders[[#This Row],[shippedDate]]-Orders[[#This Row],[orderDate]]</f>
        <v>8</v>
      </c>
      <c r="Q153">
        <f>Orders[[#This Row],[requiredDate]]-Orders[[#This Row],[shippedDate]]</f>
        <v>6</v>
      </c>
    </row>
    <row r="154" spans="1:17" x14ac:dyDescent="0.2">
      <c r="A154">
        <v>10400</v>
      </c>
      <c r="B154" t="s">
        <v>284</v>
      </c>
      <c r="C154">
        <v>1</v>
      </c>
      <c r="D154" s="1">
        <v>35431</v>
      </c>
      <c r="E154" s="1">
        <v>35459</v>
      </c>
      <c r="F154" s="1">
        <v>35446</v>
      </c>
      <c r="G154">
        <v>3</v>
      </c>
      <c r="H154" s="2">
        <v>83.93</v>
      </c>
      <c r="I154" t="s">
        <v>285</v>
      </c>
      <c r="J154" t="s">
        <v>286</v>
      </c>
      <c r="K154" t="s">
        <v>167</v>
      </c>
      <c r="L154" t="s">
        <v>18</v>
      </c>
      <c r="M154" t="s">
        <v>287</v>
      </c>
      <c r="N154" t="s">
        <v>169</v>
      </c>
      <c r="O154">
        <f>Orders[[#This Row],[requiredDate]]-Orders[[#This Row],[orderDate]]</f>
        <v>28</v>
      </c>
      <c r="P154">
        <f>Orders[[#This Row],[shippedDate]]-Orders[[#This Row],[orderDate]]</f>
        <v>15</v>
      </c>
      <c r="Q154">
        <f>Orders[[#This Row],[requiredDate]]-Orders[[#This Row],[shippedDate]]</f>
        <v>13</v>
      </c>
    </row>
    <row r="155" spans="1:17" x14ac:dyDescent="0.2">
      <c r="A155">
        <v>10401</v>
      </c>
      <c r="B155" t="s">
        <v>81</v>
      </c>
      <c r="C155">
        <v>1</v>
      </c>
      <c r="D155" s="1">
        <v>35431</v>
      </c>
      <c r="E155" s="1">
        <v>35459</v>
      </c>
      <c r="F155" s="1">
        <v>35440</v>
      </c>
      <c r="G155">
        <v>1</v>
      </c>
      <c r="H155" s="2">
        <v>12.51</v>
      </c>
      <c r="I155" t="s">
        <v>82</v>
      </c>
      <c r="J155" t="s">
        <v>83</v>
      </c>
      <c r="K155" t="s">
        <v>84</v>
      </c>
      <c r="L155" t="s">
        <v>85</v>
      </c>
      <c r="M155">
        <v>87110</v>
      </c>
      <c r="N155" t="s">
        <v>86</v>
      </c>
      <c r="O155">
        <f>Orders[[#This Row],[requiredDate]]-Orders[[#This Row],[orderDate]]</f>
        <v>28</v>
      </c>
      <c r="P155">
        <f>Orders[[#This Row],[shippedDate]]-Orders[[#This Row],[orderDate]]</f>
        <v>9</v>
      </c>
      <c r="Q155">
        <f>Orders[[#This Row],[requiredDate]]-Orders[[#This Row],[shippedDate]]</f>
        <v>19</v>
      </c>
    </row>
    <row r="156" spans="1:17" x14ac:dyDescent="0.2">
      <c r="A156">
        <v>10402</v>
      </c>
      <c r="B156" t="s">
        <v>63</v>
      </c>
      <c r="C156">
        <v>8</v>
      </c>
      <c r="D156" s="1">
        <v>35432</v>
      </c>
      <c r="E156" s="1">
        <v>35474</v>
      </c>
      <c r="F156" s="1">
        <v>35440</v>
      </c>
      <c r="G156">
        <v>2</v>
      </c>
      <c r="H156" s="2">
        <v>67.88</v>
      </c>
      <c r="I156" t="s">
        <v>64</v>
      </c>
      <c r="J156" t="s">
        <v>65</v>
      </c>
      <c r="K156" t="s">
        <v>66</v>
      </c>
      <c r="L156" t="s">
        <v>18</v>
      </c>
      <c r="M156">
        <v>8010</v>
      </c>
      <c r="N156" t="s">
        <v>67</v>
      </c>
      <c r="O156">
        <f>Orders[[#This Row],[requiredDate]]-Orders[[#This Row],[orderDate]]</f>
        <v>42</v>
      </c>
      <c r="P156">
        <f>Orders[[#This Row],[shippedDate]]-Orders[[#This Row],[orderDate]]</f>
        <v>8</v>
      </c>
      <c r="Q156">
        <f>Orders[[#This Row],[requiredDate]]-Orders[[#This Row],[shippedDate]]</f>
        <v>34</v>
      </c>
    </row>
    <row r="157" spans="1:17" x14ac:dyDescent="0.2">
      <c r="A157">
        <v>10403</v>
      </c>
      <c r="B157" t="s">
        <v>63</v>
      </c>
      <c r="C157">
        <v>4</v>
      </c>
      <c r="D157" s="1">
        <v>35433</v>
      </c>
      <c r="E157" s="1">
        <v>35461</v>
      </c>
      <c r="F157" s="1">
        <v>35439</v>
      </c>
      <c r="G157">
        <v>3</v>
      </c>
      <c r="H157" s="2">
        <v>73.790000000000006</v>
      </c>
      <c r="I157" t="s">
        <v>64</v>
      </c>
      <c r="J157" t="s">
        <v>65</v>
      </c>
      <c r="K157" t="s">
        <v>66</v>
      </c>
      <c r="L157" t="s">
        <v>18</v>
      </c>
      <c r="M157">
        <v>8010</v>
      </c>
      <c r="N157" t="s">
        <v>67</v>
      </c>
      <c r="O157">
        <f>Orders[[#This Row],[requiredDate]]-Orders[[#This Row],[orderDate]]</f>
        <v>28</v>
      </c>
      <c r="P157">
        <f>Orders[[#This Row],[shippedDate]]-Orders[[#This Row],[orderDate]]</f>
        <v>6</v>
      </c>
      <c r="Q157">
        <f>Orders[[#This Row],[requiredDate]]-Orders[[#This Row],[shippedDate]]</f>
        <v>22</v>
      </c>
    </row>
    <row r="158" spans="1:17" x14ac:dyDescent="0.2">
      <c r="A158">
        <v>10404</v>
      </c>
      <c r="B158" t="s">
        <v>125</v>
      </c>
      <c r="C158">
        <v>2</v>
      </c>
      <c r="D158" s="1">
        <v>35433</v>
      </c>
      <c r="E158" s="1">
        <v>35461</v>
      </c>
      <c r="F158" s="1">
        <v>35438</v>
      </c>
      <c r="G158">
        <v>1</v>
      </c>
      <c r="H158" s="2">
        <v>155.97</v>
      </c>
      <c r="I158" t="s">
        <v>126</v>
      </c>
      <c r="J158" t="s">
        <v>127</v>
      </c>
      <c r="K158" t="s">
        <v>128</v>
      </c>
      <c r="L158" t="s">
        <v>18</v>
      </c>
      <c r="M158">
        <v>24100</v>
      </c>
      <c r="N158" t="s">
        <v>129</v>
      </c>
      <c r="O158">
        <f>Orders[[#This Row],[requiredDate]]-Orders[[#This Row],[orderDate]]</f>
        <v>28</v>
      </c>
      <c r="P158">
        <f>Orders[[#This Row],[shippedDate]]-Orders[[#This Row],[orderDate]]</f>
        <v>5</v>
      </c>
      <c r="Q158">
        <f>Orders[[#This Row],[requiredDate]]-Orders[[#This Row],[shippedDate]]</f>
        <v>23</v>
      </c>
    </row>
    <row r="159" spans="1:17" x14ac:dyDescent="0.2">
      <c r="A159">
        <v>10405</v>
      </c>
      <c r="B159" t="s">
        <v>324</v>
      </c>
      <c r="C159">
        <v>1</v>
      </c>
      <c r="D159" s="1">
        <v>35436</v>
      </c>
      <c r="E159" s="1">
        <v>35464</v>
      </c>
      <c r="F159" s="1">
        <v>35452</v>
      </c>
      <c r="G159">
        <v>1</v>
      </c>
      <c r="H159" s="2">
        <v>34.82</v>
      </c>
      <c r="I159" t="s">
        <v>325</v>
      </c>
      <c r="J159" t="s">
        <v>326</v>
      </c>
      <c r="K159" t="s">
        <v>327</v>
      </c>
      <c r="L159" t="s">
        <v>328</v>
      </c>
      <c r="M159">
        <v>4980</v>
      </c>
      <c r="N159" t="s">
        <v>62</v>
      </c>
      <c r="O159">
        <f>Orders[[#This Row],[requiredDate]]-Orders[[#This Row],[orderDate]]</f>
        <v>28</v>
      </c>
      <c r="P159">
        <f>Orders[[#This Row],[shippedDate]]-Orders[[#This Row],[orderDate]]</f>
        <v>16</v>
      </c>
      <c r="Q159">
        <f>Orders[[#This Row],[requiredDate]]-Orders[[#This Row],[shippedDate]]</f>
        <v>12</v>
      </c>
    </row>
    <row r="160" spans="1:17" x14ac:dyDescent="0.2">
      <c r="A160">
        <v>10406</v>
      </c>
      <c r="B160" t="s">
        <v>299</v>
      </c>
      <c r="C160">
        <v>7</v>
      </c>
      <c r="D160" s="1">
        <v>35437</v>
      </c>
      <c r="E160" s="1">
        <v>35479</v>
      </c>
      <c r="F160" s="1">
        <v>35443</v>
      </c>
      <c r="G160">
        <v>1</v>
      </c>
      <c r="H160" s="2">
        <v>108.04</v>
      </c>
      <c r="I160" t="s">
        <v>300</v>
      </c>
      <c r="J160" t="s">
        <v>301</v>
      </c>
      <c r="K160" t="s">
        <v>173</v>
      </c>
      <c r="L160" t="s">
        <v>55</v>
      </c>
      <c r="M160" t="s">
        <v>302</v>
      </c>
      <c r="N160" t="s">
        <v>31</v>
      </c>
      <c r="O160">
        <f>Orders[[#This Row],[requiredDate]]-Orders[[#This Row],[orderDate]]</f>
        <v>42</v>
      </c>
      <c r="P160">
        <f>Orders[[#This Row],[shippedDate]]-Orders[[#This Row],[orderDate]]</f>
        <v>6</v>
      </c>
      <c r="Q160">
        <f>Orders[[#This Row],[requiredDate]]-Orders[[#This Row],[shippedDate]]</f>
        <v>36</v>
      </c>
    </row>
    <row r="161" spans="1:17" x14ac:dyDescent="0.2">
      <c r="A161">
        <v>10407</v>
      </c>
      <c r="B161" t="s">
        <v>73</v>
      </c>
      <c r="C161">
        <v>2</v>
      </c>
      <c r="D161" s="1">
        <v>35437</v>
      </c>
      <c r="E161" s="1">
        <v>35465</v>
      </c>
      <c r="F161" s="1">
        <v>35460</v>
      </c>
      <c r="G161">
        <v>2</v>
      </c>
      <c r="H161" s="2">
        <v>91.48</v>
      </c>
      <c r="I161" t="s">
        <v>74</v>
      </c>
      <c r="J161" t="s">
        <v>75</v>
      </c>
      <c r="K161" t="s">
        <v>76</v>
      </c>
      <c r="L161" t="s">
        <v>18</v>
      </c>
      <c r="M161">
        <v>50739</v>
      </c>
      <c r="N161" t="s">
        <v>24</v>
      </c>
      <c r="O161">
        <f>Orders[[#This Row],[requiredDate]]-Orders[[#This Row],[orderDate]]</f>
        <v>28</v>
      </c>
      <c r="P161">
        <f>Orders[[#This Row],[shippedDate]]-Orders[[#This Row],[orderDate]]</f>
        <v>23</v>
      </c>
      <c r="Q161">
        <f>Orders[[#This Row],[requiredDate]]-Orders[[#This Row],[shippedDate]]</f>
        <v>5</v>
      </c>
    </row>
    <row r="162" spans="1:17" x14ac:dyDescent="0.2">
      <c r="A162">
        <v>10408</v>
      </c>
      <c r="B162" t="s">
        <v>329</v>
      </c>
      <c r="C162">
        <v>8</v>
      </c>
      <c r="D162" s="1">
        <v>35438</v>
      </c>
      <c r="E162" s="1">
        <v>35466</v>
      </c>
      <c r="F162" s="1">
        <v>35444</v>
      </c>
      <c r="G162">
        <v>1</v>
      </c>
      <c r="H162" s="2">
        <v>11.26</v>
      </c>
      <c r="I162" t="s">
        <v>330</v>
      </c>
      <c r="J162" t="s">
        <v>331</v>
      </c>
      <c r="K162" t="s">
        <v>332</v>
      </c>
      <c r="L162" t="s">
        <v>18</v>
      </c>
      <c r="M162">
        <v>59000</v>
      </c>
      <c r="N162" t="s">
        <v>19</v>
      </c>
      <c r="O162">
        <f>Orders[[#This Row],[requiredDate]]-Orders[[#This Row],[orderDate]]</f>
        <v>28</v>
      </c>
      <c r="P162">
        <f>Orders[[#This Row],[shippedDate]]-Orders[[#This Row],[orderDate]]</f>
        <v>6</v>
      </c>
      <c r="Q162">
        <f>Orders[[#This Row],[requiredDate]]-Orders[[#This Row],[shippedDate]]</f>
        <v>22</v>
      </c>
    </row>
    <row r="163" spans="1:17" x14ac:dyDescent="0.2">
      <c r="A163">
        <v>10409</v>
      </c>
      <c r="B163" t="s">
        <v>333</v>
      </c>
      <c r="C163">
        <v>3</v>
      </c>
      <c r="D163" s="1">
        <v>35439</v>
      </c>
      <c r="E163" s="1">
        <v>35467</v>
      </c>
      <c r="F163" s="1">
        <v>35444</v>
      </c>
      <c r="G163">
        <v>1</v>
      </c>
      <c r="H163" s="2">
        <v>29.83</v>
      </c>
      <c r="I163" t="s">
        <v>334</v>
      </c>
      <c r="J163" t="s">
        <v>335</v>
      </c>
      <c r="K163" t="s">
        <v>336</v>
      </c>
      <c r="L163" t="s">
        <v>18</v>
      </c>
      <c r="M163">
        <v>1010</v>
      </c>
      <c r="N163" t="s">
        <v>337</v>
      </c>
      <c r="O163">
        <f>Orders[[#This Row],[requiredDate]]-Orders[[#This Row],[orderDate]]</f>
        <v>28</v>
      </c>
      <c r="P163">
        <f>Orders[[#This Row],[shippedDate]]-Orders[[#This Row],[orderDate]]</f>
        <v>5</v>
      </c>
      <c r="Q163">
        <f>Orders[[#This Row],[requiredDate]]-Orders[[#This Row],[shippedDate]]</f>
        <v>23</v>
      </c>
    </row>
    <row r="164" spans="1:17" x14ac:dyDescent="0.2">
      <c r="A164">
        <v>10410</v>
      </c>
      <c r="B164" t="s">
        <v>318</v>
      </c>
      <c r="C164">
        <v>3</v>
      </c>
      <c r="D164" s="1">
        <v>35440</v>
      </c>
      <c r="E164" s="1">
        <v>35468</v>
      </c>
      <c r="F164" s="1">
        <v>35445</v>
      </c>
      <c r="G164">
        <v>3</v>
      </c>
      <c r="H164" s="2">
        <v>2.4</v>
      </c>
      <c r="I164" t="s">
        <v>319</v>
      </c>
      <c r="J164" t="s">
        <v>320</v>
      </c>
      <c r="K164" t="s">
        <v>321</v>
      </c>
      <c r="L164" t="s">
        <v>322</v>
      </c>
      <c r="M164" t="s">
        <v>323</v>
      </c>
      <c r="N164" t="s">
        <v>249</v>
      </c>
      <c r="O164">
        <f>Orders[[#This Row],[requiredDate]]-Orders[[#This Row],[orderDate]]</f>
        <v>28</v>
      </c>
      <c r="P164">
        <f>Orders[[#This Row],[shippedDate]]-Orders[[#This Row],[orderDate]]</f>
        <v>5</v>
      </c>
      <c r="Q164">
        <f>Orders[[#This Row],[requiredDate]]-Orders[[#This Row],[shippedDate]]</f>
        <v>23</v>
      </c>
    </row>
    <row r="165" spans="1:17" x14ac:dyDescent="0.2">
      <c r="A165">
        <v>10411</v>
      </c>
      <c r="B165" t="s">
        <v>318</v>
      </c>
      <c r="C165">
        <v>9</v>
      </c>
      <c r="D165" s="1">
        <v>35440</v>
      </c>
      <c r="E165" s="1">
        <v>35468</v>
      </c>
      <c r="F165" s="1">
        <v>35451</v>
      </c>
      <c r="G165">
        <v>3</v>
      </c>
      <c r="H165" s="2">
        <v>23.65</v>
      </c>
      <c r="I165" t="s">
        <v>319</v>
      </c>
      <c r="J165" t="s">
        <v>320</v>
      </c>
      <c r="K165" t="s">
        <v>321</v>
      </c>
      <c r="L165" t="s">
        <v>322</v>
      </c>
      <c r="M165" t="s">
        <v>323</v>
      </c>
      <c r="N165" t="s">
        <v>249</v>
      </c>
      <c r="O165">
        <f>Orders[[#This Row],[requiredDate]]-Orders[[#This Row],[orderDate]]</f>
        <v>28</v>
      </c>
      <c r="P165">
        <f>Orders[[#This Row],[shippedDate]]-Orders[[#This Row],[orderDate]]</f>
        <v>11</v>
      </c>
      <c r="Q165">
        <f>Orders[[#This Row],[requiredDate]]-Orders[[#This Row],[shippedDate]]</f>
        <v>17</v>
      </c>
    </row>
    <row r="166" spans="1:17" x14ac:dyDescent="0.2">
      <c r="A166">
        <v>10412</v>
      </c>
      <c r="B166" t="s">
        <v>97</v>
      </c>
      <c r="C166">
        <v>8</v>
      </c>
      <c r="D166" s="1">
        <v>35443</v>
      </c>
      <c r="E166" s="1">
        <v>35471</v>
      </c>
      <c r="F166" s="1">
        <v>35445</v>
      </c>
      <c r="G166">
        <v>2</v>
      </c>
      <c r="H166" s="2">
        <v>3.77</v>
      </c>
      <c r="I166" t="s">
        <v>98</v>
      </c>
      <c r="J166" t="s">
        <v>99</v>
      </c>
      <c r="K166" t="s">
        <v>100</v>
      </c>
      <c r="L166" t="s">
        <v>18</v>
      </c>
      <c r="M166">
        <v>90110</v>
      </c>
      <c r="N166" t="s">
        <v>101</v>
      </c>
      <c r="O166">
        <f>Orders[[#This Row],[requiredDate]]-Orders[[#This Row],[orderDate]]</f>
        <v>28</v>
      </c>
      <c r="P166">
        <f>Orders[[#This Row],[shippedDate]]-Orders[[#This Row],[orderDate]]</f>
        <v>2</v>
      </c>
      <c r="Q166">
        <f>Orders[[#This Row],[requiredDate]]-Orders[[#This Row],[shippedDate]]</f>
        <v>26</v>
      </c>
    </row>
    <row r="167" spans="1:17" x14ac:dyDescent="0.2">
      <c r="A167">
        <v>10413</v>
      </c>
      <c r="B167" t="s">
        <v>262</v>
      </c>
      <c r="C167">
        <v>3</v>
      </c>
      <c r="D167" s="1">
        <v>35444</v>
      </c>
      <c r="E167" s="1">
        <v>35472</v>
      </c>
      <c r="F167" s="1">
        <v>35446</v>
      </c>
      <c r="G167">
        <v>2</v>
      </c>
      <c r="H167" s="2">
        <v>95.66</v>
      </c>
      <c r="I167" t="s">
        <v>263</v>
      </c>
      <c r="J167" t="s">
        <v>264</v>
      </c>
      <c r="K167" t="s">
        <v>265</v>
      </c>
      <c r="L167" t="s">
        <v>18</v>
      </c>
      <c r="M167">
        <v>31000</v>
      </c>
      <c r="N167" t="s">
        <v>19</v>
      </c>
      <c r="O167">
        <f>Orders[[#This Row],[requiredDate]]-Orders[[#This Row],[orderDate]]</f>
        <v>28</v>
      </c>
      <c r="P167">
        <f>Orders[[#This Row],[shippedDate]]-Orders[[#This Row],[orderDate]]</f>
        <v>2</v>
      </c>
      <c r="Q167">
        <f>Orders[[#This Row],[requiredDate]]-Orders[[#This Row],[shippedDate]]</f>
        <v>26</v>
      </c>
    </row>
    <row r="168" spans="1:17" x14ac:dyDescent="0.2">
      <c r="A168">
        <v>10414</v>
      </c>
      <c r="B168" t="s">
        <v>258</v>
      </c>
      <c r="C168">
        <v>2</v>
      </c>
      <c r="D168" s="1">
        <v>35444</v>
      </c>
      <c r="E168" s="1">
        <v>35472</v>
      </c>
      <c r="F168" s="1">
        <v>35447</v>
      </c>
      <c r="G168">
        <v>3</v>
      </c>
      <c r="H168" s="2">
        <v>21.48</v>
      </c>
      <c r="I168" t="s">
        <v>259</v>
      </c>
      <c r="J168" t="s">
        <v>260</v>
      </c>
      <c r="K168" t="s">
        <v>173</v>
      </c>
      <c r="L168" t="s">
        <v>55</v>
      </c>
      <c r="M168" t="s">
        <v>261</v>
      </c>
      <c r="N168" t="s">
        <v>31</v>
      </c>
      <c r="O168">
        <f>Orders[[#This Row],[requiredDate]]-Orders[[#This Row],[orderDate]]</f>
        <v>28</v>
      </c>
      <c r="P168">
        <f>Orders[[#This Row],[shippedDate]]-Orders[[#This Row],[orderDate]]</f>
        <v>3</v>
      </c>
      <c r="Q168">
        <f>Orders[[#This Row],[requiredDate]]-Orders[[#This Row],[shippedDate]]</f>
        <v>25</v>
      </c>
    </row>
    <row r="169" spans="1:17" x14ac:dyDescent="0.2">
      <c r="A169">
        <v>10415</v>
      </c>
      <c r="B169" t="s">
        <v>309</v>
      </c>
      <c r="C169">
        <v>3</v>
      </c>
      <c r="D169" s="1">
        <v>35445</v>
      </c>
      <c r="E169" s="1">
        <v>35473</v>
      </c>
      <c r="F169" s="1">
        <v>35454</v>
      </c>
      <c r="G169">
        <v>1</v>
      </c>
      <c r="H169" s="2">
        <v>0.2</v>
      </c>
      <c r="I169" t="s">
        <v>310</v>
      </c>
      <c r="J169" t="s">
        <v>311</v>
      </c>
      <c r="K169" t="s">
        <v>312</v>
      </c>
      <c r="L169" t="s">
        <v>202</v>
      </c>
      <c r="M169">
        <v>97827</v>
      </c>
      <c r="N169" t="s">
        <v>86</v>
      </c>
      <c r="O169">
        <f>Orders[[#This Row],[requiredDate]]-Orders[[#This Row],[orderDate]]</f>
        <v>28</v>
      </c>
      <c r="P169">
        <f>Orders[[#This Row],[shippedDate]]-Orders[[#This Row],[orderDate]]</f>
        <v>9</v>
      </c>
      <c r="Q169">
        <f>Orders[[#This Row],[requiredDate]]-Orders[[#This Row],[shippedDate]]</f>
        <v>19</v>
      </c>
    </row>
    <row r="170" spans="1:17" x14ac:dyDescent="0.2">
      <c r="A170">
        <v>10416</v>
      </c>
      <c r="B170" t="s">
        <v>97</v>
      </c>
      <c r="C170">
        <v>8</v>
      </c>
      <c r="D170" s="1">
        <v>35446</v>
      </c>
      <c r="E170" s="1">
        <v>35474</v>
      </c>
      <c r="F170" s="1">
        <v>35457</v>
      </c>
      <c r="G170">
        <v>3</v>
      </c>
      <c r="H170" s="2">
        <v>22.72</v>
      </c>
      <c r="I170" t="s">
        <v>98</v>
      </c>
      <c r="J170" t="s">
        <v>99</v>
      </c>
      <c r="K170" t="s">
        <v>100</v>
      </c>
      <c r="L170" t="s">
        <v>18</v>
      </c>
      <c r="M170">
        <v>90110</v>
      </c>
      <c r="N170" t="s">
        <v>101</v>
      </c>
      <c r="O170">
        <f>Orders[[#This Row],[requiredDate]]-Orders[[#This Row],[orderDate]]</f>
        <v>28</v>
      </c>
      <c r="P170">
        <f>Orders[[#This Row],[shippedDate]]-Orders[[#This Row],[orderDate]]</f>
        <v>11</v>
      </c>
      <c r="Q170">
        <f>Orders[[#This Row],[requiredDate]]-Orders[[#This Row],[shippedDate]]</f>
        <v>17</v>
      </c>
    </row>
    <row r="171" spans="1:17" x14ac:dyDescent="0.2">
      <c r="A171">
        <v>10417</v>
      </c>
      <c r="B171" t="s">
        <v>253</v>
      </c>
      <c r="C171">
        <v>4</v>
      </c>
      <c r="D171" s="1">
        <v>35446</v>
      </c>
      <c r="E171" s="1">
        <v>35474</v>
      </c>
      <c r="F171" s="1">
        <v>35458</v>
      </c>
      <c r="G171">
        <v>3</v>
      </c>
      <c r="H171" s="2">
        <v>70.290000000000006</v>
      </c>
      <c r="I171" t="s">
        <v>254</v>
      </c>
      <c r="J171" t="s">
        <v>255</v>
      </c>
      <c r="K171" t="s">
        <v>256</v>
      </c>
      <c r="L171" t="s">
        <v>18</v>
      </c>
      <c r="M171">
        <v>1734</v>
      </c>
      <c r="N171" t="s">
        <v>257</v>
      </c>
      <c r="O171">
        <f>Orders[[#This Row],[requiredDate]]-Orders[[#This Row],[orderDate]]</f>
        <v>28</v>
      </c>
      <c r="P171">
        <f>Orders[[#This Row],[shippedDate]]-Orders[[#This Row],[orderDate]]</f>
        <v>12</v>
      </c>
      <c r="Q171">
        <f>Orders[[#This Row],[requiredDate]]-Orders[[#This Row],[shippedDate]]</f>
        <v>16</v>
      </c>
    </row>
    <row r="172" spans="1:17" x14ac:dyDescent="0.2">
      <c r="A172">
        <v>10418</v>
      </c>
      <c r="B172" t="s">
        <v>121</v>
      </c>
      <c r="C172">
        <v>4</v>
      </c>
      <c r="D172" s="1">
        <v>35447</v>
      </c>
      <c r="E172" s="1">
        <v>35475</v>
      </c>
      <c r="F172" s="1">
        <v>35454</v>
      </c>
      <c r="G172">
        <v>1</v>
      </c>
      <c r="H172" s="2">
        <v>17.55</v>
      </c>
      <c r="I172" t="s">
        <v>122</v>
      </c>
      <c r="J172" t="s">
        <v>123</v>
      </c>
      <c r="K172" t="s">
        <v>124</v>
      </c>
      <c r="L172" t="s">
        <v>18</v>
      </c>
      <c r="M172">
        <v>1307</v>
      </c>
      <c r="N172" t="s">
        <v>24</v>
      </c>
      <c r="O172">
        <f>Orders[[#This Row],[requiredDate]]-Orders[[#This Row],[orderDate]]</f>
        <v>28</v>
      </c>
      <c r="P172">
        <f>Orders[[#This Row],[shippedDate]]-Orders[[#This Row],[orderDate]]</f>
        <v>7</v>
      </c>
      <c r="Q172">
        <f>Orders[[#This Row],[requiredDate]]-Orders[[#This Row],[shippedDate]]</f>
        <v>21</v>
      </c>
    </row>
    <row r="173" spans="1:17" x14ac:dyDescent="0.2">
      <c r="A173">
        <v>10419</v>
      </c>
      <c r="B173" t="s">
        <v>47</v>
      </c>
      <c r="C173">
        <v>4</v>
      </c>
      <c r="D173" s="1">
        <v>35450</v>
      </c>
      <c r="E173" s="1">
        <v>35478</v>
      </c>
      <c r="F173" s="1">
        <v>35460</v>
      </c>
      <c r="G173">
        <v>2</v>
      </c>
      <c r="H173" s="2">
        <v>137.35</v>
      </c>
      <c r="I173" t="s">
        <v>48</v>
      </c>
      <c r="J173" t="s">
        <v>49</v>
      </c>
      <c r="K173" t="s">
        <v>50</v>
      </c>
      <c r="L173" t="s">
        <v>18</v>
      </c>
      <c r="M173">
        <v>1204</v>
      </c>
      <c r="N173" t="s">
        <v>46</v>
      </c>
      <c r="O173">
        <f>Orders[[#This Row],[requiredDate]]-Orders[[#This Row],[orderDate]]</f>
        <v>28</v>
      </c>
      <c r="P173">
        <f>Orders[[#This Row],[shippedDate]]-Orders[[#This Row],[orderDate]]</f>
        <v>10</v>
      </c>
      <c r="Q173">
        <f>Orders[[#This Row],[requiredDate]]-Orders[[#This Row],[shippedDate]]</f>
        <v>18</v>
      </c>
    </row>
    <row r="174" spans="1:17" x14ac:dyDescent="0.2">
      <c r="A174">
        <v>10420</v>
      </c>
      <c r="B174" t="s">
        <v>51</v>
      </c>
      <c r="C174">
        <v>3</v>
      </c>
      <c r="D174" s="1">
        <v>35451</v>
      </c>
      <c r="E174" s="1">
        <v>35479</v>
      </c>
      <c r="F174" s="1">
        <v>35457</v>
      </c>
      <c r="G174">
        <v>1</v>
      </c>
      <c r="H174" s="2">
        <v>44.12</v>
      </c>
      <c r="I174" t="s">
        <v>52</v>
      </c>
      <c r="J174" t="s">
        <v>53</v>
      </c>
      <c r="K174" t="s">
        <v>54</v>
      </c>
      <c r="L174" t="s">
        <v>55</v>
      </c>
      <c r="M174" t="s">
        <v>56</v>
      </c>
      <c r="N174" t="s">
        <v>31</v>
      </c>
      <c r="O174">
        <f>Orders[[#This Row],[requiredDate]]-Orders[[#This Row],[orderDate]]</f>
        <v>28</v>
      </c>
      <c r="P174">
        <f>Orders[[#This Row],[shippedDate]]-Orders[[#This Row],[orderDate]]</f>
        <v>6</v>
      </c>
      <c r="Q174">
        <f>Orders[[#This Row],[requiredDate]]-Orders[[#This Row],[shippedDate]]</f>
        <v>22</v>
      </c>
    </row>
    <row r="175" spans="1:17" x14ac:dyDescent="0.2">
      <c r="A175">
        <v>10421</v>
      </c>
      <c r="B175" t="s">
        <v>77</v>
      </c>
      <c r="C175">
        <v>8</v>
      </c>
      <c r="D175" s="1">
        <v>35451</v>
      </c>
      <c r="E175" s="1">
        <v>35493</v>
      </c>
      <c r="F175" s="1">
        <v>35457</v>
      </c>
      <c r="G175">
        <v>1</v>
      </c>
      <c r="H175" s="2">
        <v>99.23</v>
      </c>
      <c r="I175" t="s">
        <v>78</v>
      </c>
      <c r="J175" t="s">
        <v>79</v>
      </c>
      <c r="K175" t="s">
        <v>28</v>
      </c>
      <c r="L175" t="s">
        <v>29</v>
      </c>
      <c r="M175" t="s">
        <v>80</v>
      </c>
      <c r="N175" t="s">
        <v>31</v>
      </c>
      <c r="O175">
        <f>Orders[[#This Row],[requiredDate]]-Orders[[#This Row],[orderDate]]</f>
        <v>42</v>
      </c>
      <c r="P175">
        <f>Orders[[#This Row],[shippedDate]]-Orders[[#This Row],[orderDate]]</f>
        <v>6</v>
      </c>
      <c r="Q175">
        <f>Orders[[#This Row],[requiredDate]]-Orders[[#This Row],[shippedDate]]</f>
        <v>36</v>
      </c>
    </row>
    <row r="176" spans="1:17" x14ac:dyDescent="0.2">
      <c r="A176">
        <v>10422</v>
      </c>
      <c r="B176" t="s">
        <v>338</v>
      </c>
      <c r="C176">
        <v>2</v>
      </c>
      <c r="D176" s="1">
        <v>35452</v>
      </c>
      <c r="E176" s="1">
        <v>35480</v>
      </c>
      <c r="F176" s="1">
        <v>35461</v>
      </c>
      <c r="G176">
        <v>1</v>
      </c>
      <c r="H176" s="2">
        <v>3.02</v>
      </c>
      <c r="I176" t="s">
        <v>339</v>
      </c>
      <c r="J176" t="s">
        <v>340</v>
      </c>
      <c r="K176" t="s">
        <v>341</v>
      </c>
      <c r="L176" t="s">
        <v>18</v>
      </c>
      <c r="M176">
        <v>10100</v>
      </c>
      <c r="N176" t="s">
        <v>129</v>
      </c>
      <c r="O176">
        <f>Orders[[#This Row],[requiredDate]]-Orders[[#This Row],[orderDate]]</f>
        <v>28</v>
      </c>
      <c r="P176">
        <f>Orders[[#This Row],[shippedDate]]-Orders[[#This Row],[orderDate]]</f>
        <v>9</v>
      </c>
      <c r="Q176">
        <f>Orders[[#This Row],[requiredDate]]-Orders[[#This Row],[shippedDate]]</f>
        <v>19</v>
      </c>
    </row>
    <row r="177" spans="1:17" x14ac:dyDescent="0.2">
      <c r="A177">
        <v>10423</v>
      </c>
      <c r="B177" t="s">
        <v>342</v>
      </c>
      <c r="C177">
        <v>6</v>
      </c>
      <c r="D177" s="1">
        <v>35453</v>
      </c>
      <c r="E177" s="1">
        <v>35467</v>
      </c>
      <c r="F177" s="1">
        <v>35485</v>
      </c>
      <c r="G177">
        <v>3</v>
      </c>
      <c r="H177" s="2">
        <v>24.5</v>
      </c>
      <c r="I177" t="s">
        <v>343</v>
      </c>
      <c r="J177" t="s">
        <v>344</v>
      </c>
      <c r="K177" t="s">
        <v>345</v>
      </c>
      <c r="L177" t="s">
        <v>55</v>
      </c>
      <c r="M177" t="s">
        <v>346</v>
      </c>
      <c r="N177" t="s">
        <v>31</v>
      </c>
      <c r="O177">
        <f>Orders[[#This Row],[requiredDate]]-Orders[[#This Row],[orderDate]]</f>
        <v>14</v>
      </c>
      <c r="P177">
        <f>Orders[[#This Row],[shippedDate]]-Orders[[#This Row],[orderDate]]</f>
        <v>32</v>
      </c>
      <c r="Q177">
        <f>Orders[[#This Row],[requiredDate]]-Orders[[#This Row],[shippedDate]]</f>
        <v>-18</v>
      </c>
    </row>
    <row r="178" spans="1:17" x14ac:dyDescent="0.2">
      <c r="A178">
        <v>10424</v>
      </c>
      <c r="B178" t="s">
        <v>243</v>
      </c>
      <c r="C178">
        <v>7</v>
      </c>
      <c r="D178" s="1">
        <v>35453</v>
      </c>
      <c r="E178" s="1">
        <v>35481</v>
      </c>
      <c r="F178" s="1">
        <v>35457</v>
      </c>
      <c r="G178">
        <v>2</v>
      </c>
      <c r="H178" s="2">
        <v>370.61</v>
      </c>
      <c r="I178" t="s">
        <v>244</v>
      </c>
      <c r="J178" t="s">
        <v>245</v>
      </c>
      <c r="K178" t="s">
        <v>246</v>
      </c>
      <c r="L178" t="s">
        <v>247</v>
      </c>
      <c r="M178" t="s">
        <v>248</v>
      </c>
      <c r="N178" t="s">
        <v>249</v>
      </c>
      <c r="O178">
        <f>Orders[[#This Row],[requiredDate]]-Orders[[#This Row],[orderDate]]</f>
        <v>28</v>
      </c>
      <c r="P178">
        <f>Orders[[#This Row],[shippedDate]]-Orders[[#This Row],[orderDate]]</f>
        <v>4</v>
      </c>
      <c r="Q178">
        <f>Orders[[#This Row],[requiredDate]]-Orders[[#This Row],[shippedDate]]</f>
        <v>24</v>
      </c>
    </row>
    <row r="179" spans="1:17" x14ac:dyDescent="0.2">
      <c r="A179">
        <v>10425</v>
      </c>
      <c r="B179" t="s">
        <v>262</v>
      </c>
      <c r="C179">
        <v>6</v>
      </c>
      <c r="D179" s="1">
        <v>35454</v>
      </c>
      <c r="E179" s="1">
        <v>35482</v>
      </c>
      <c r="F179" s="1">
        <v>35475</v>
      </c>
      <c r="G179">
        <v>2</v>
      </c>
      <c r="H179" s="2">
        <v>7.93</v>
      </c>
      <c r="I179" t="s">
        <v>263</v>
      </c>
      <c r="J179" t="s">
        <v>264</v>
      </c>
      <c r="K179" t="s">
        <v>265</v>
      </c>
      <c r="L179" t="s">
        <v>18</v>
      </c>
      <c r="M179">
        <v>31000</v>
      </c>
      <c r="N179" t="s">
        <v>19</v>
      </c>
      <c r="O179">
        <f>Orders[[#This Row],[requiredDate]]-Orders[[#This Row],[orderDate]]</f>
        <v>28</v>
      </c>
      <c r="P179">
        <f>Orders[[#This Row],[shippedDate]]-Orders[[#This Row],[orderDate]]</f>
        <v>21</v>
      </c>
      <c r="Q179">
        <f>Orders[[#This Row],[requiredDate]]-Orders[[#This Row],[shippedDate]]</f>
        <v>7</v>
      </c>
    </row>
    <row r="180" spans="1:17" x14ac:dyDescent="0.2">
      <c r="A180">
        <v>10426</v>
      </c>
      <c r="B180" t="s">
        <v>291</v>
      </c>
      <c r="C180">
        <v>4</v>
      </c>
      <c r="D180" s="1">
        <v>35457</v>
      </c>
      <c r="E180" s="1">
        <v>35485</v>
      </c>
      <c r="F180" s="1">
        <v>35467</v>
      </c>
      <c r="G180">
        <v>1</v>
      </c>
      <c r="H180" s="2">
        <v>18.690000000000001</v>
      </c>
      <c r="I180" t="s">
        <v>292</v>
      </c>
      <c r="J180" t="s">
        <v>293</v>
      </c>
      <c r="K180" t="s">
        <v>294</v>
      </c>
      <c r="L180" t="s">
        <v>18</v>
      </c>
      <c r="M180">
        <v>8022</v>
      </c>
      <c r="N180" t="s">
        <v>150</v>
      </c>
      <c r="O180">
        <f>Orders[[#This Row],[requiredDate]]-Orders[[#This Row],[orderDate]]</f>
        <v>28</v>
      </c>
      <c r="P180">
        <f>Orders[[#This Row],[shippedDate]]-Orders[[#This Row],[orderDate]]</f>
        <v>10</v>
      </c>
      <c r="Q180">
        <f>Orders[[#This Row],[requiredDate]]-Orders[[#This Row],[shippedDate]]</f>
        <v>18</v>
      </c>
    </row>
    <row r="181" spans="1:17" x14ac:dyDescent="0.2">
      <c r="A181">
        <v>10427</v>
      </c>
      <c r="B181" t="s">
        <v>266</v>
      </c>
      <c r="C181">
        <v>4</v>
      </c>
      <c r="D181" s="1">
        <v>35457</v>
      </c>
      <c r="E181" s="1">
        <v>35485</v>
      </c>
      <c r="F181" s="1">
        <v>35492</v>
      </c>
      <c r="G181">
        <v>2</v>
      </c>
      <c r="H181" s="2">
        <v>31.29</v>
      </c>
      <c r="I181" t="s">
        <v>267</v>
      </c>
      <c r="J181" t="s">
        <v>268</v>
      </c>
      <c r="K181" t="s">
        <v>269</v>
      </c>
      <c r="L181" t="s">
        <v>18</v>
      </c>
      <c r="M181">
        <v>5020</v>
      </c>
      <c r="N181" t="s">
        <v>67</v>
      </c>
      <c r="O181">
        <f>Orders[[#This Row],[requiredDate]]-Orders[[#This Row],[orderDate]]</f>
        <v>28</v>
      </c>
      <c r="P181">
        <f>Orders[[#This Row],[shippedDate]]-Orders[[#This Row],[orderDate]]</f>
        <v>35</v>
      </c>
      <c r="Q181">
        <f>Orders[[#This Row],[requiredDate]]-Orders[[#This Row],[shippedDate]]</f>
        <v>-7</v>
      </c>
    </row>
    <row r="182" spans="1:17" x14ac:dyDescent="0.2">
      <c r="A182">
        <v>10428</v>
      </c>
      <c r="B182" t="s">
        <v>160</v>
      </c>
      <c r="C182">
        <v>7</v>
      </c>
      <c r="D182" s="1">
        <v>35458</v>
      </c>
      <c r="E182" s="1">
        <v>35486</v>
      </c>
      <c r="F182" s="1">
        <v>35465</v>
      </c>
      <c r="G182">
        <v>1</v>
      </c>
      <c r="H182" s="2">
        <v>11.09</v>
      </c>
      <c r="I182" t="s">
        <v>161</v>
      </c>
      <c r="J182" t="s">
        <v>162</v>
      </c>
      <c r="K182" t="s">
        <v>163</v>
      </c>
      <c r="L182" t="s">
        <v>18</v>
      </c>
      <c r="M182">
        <v>42100</v>
      </c>
      <c r="N182" t="s">
        <v>129</v>
      </c>
      <c r="O182">
        <f>Orders[[#This Row],[requiredDate]]-Orders[[#This Row],[orderDate]]</f>
        <v>28</v>
      </c>
      <c r="P182">
        <f>Orders[[#This Row],[shippedDate]]-Orders[[#This Row],[orderDate]]</f>
        <v>7</v>
      </c>
      <c r="Q182">
        <f>Orders[[#This Row],[requiredDate]]-Orders[[#This Row],[shippedDate]]</f>
        <v>21</v>
      </c>
    </row>
    <row r="183" spans="1:17" x14ac:dyDescent="0.2">
      <c r="A183">
        <v>10429</v>
      </c>
      <c r="B183" t="s">
        <v>179</v>
      </c>
      <c r="C183">
        <v>3</v>
      </c>
      <c r="D183" s="1">
        <v>35459</v>
      </c>
      <c r="E183" s="1">
        <v>35501</v>
      </c>
      <c r="F183" s="1">
        <v>35468</v>
      </c>
      <c r="G183">
        <v>2</v>
      </c>
      <c r="H183" s="2">
        <v>56.63</v>
      </c>
      <c r="I183" t="s">
        <v>180</v>
      </c>
      <c r="J183" t="s">
        <v>181</v>
      </c>
      <c r="K183" t="s">
        <v>182</v>
      </c>
      <c r="L183" t="s">
        <v>183</v>
      </c>
      <c r="M183" t="s">
        <v>18</v>
      </c>
      <c r="N183" t="s">
        <v>184</v>
      </c>
      <c r="O183">
        <f>Orders[[#This Row],[requiredDate]]-Orders[[#This Row],[orderDate]]</f>
        <v>42</v>
      </c>
      <c r="P183">
        <f>Orders[[#This Row],[shippedDate]]-Orders[[#This Row],[orderDate]]</f>
        <v>9</v>
      </c>
      <c r="Q183">
        <f>Orders[[#This Row],[requiredDate]]-Orders[[#This Row],[shippedDate]]</f>
        <v>33</v>
      </c>
    </row>
    <row r="184" spans="1:17" x14ac:dyDescent="0.2">
      <c r="A184">
        <v>10430</v>
      </c>
      <c r="B184" t="s">
        <v>63</v>
      </c>
      <c r="C184">
        <v>4</v>
      </c>
      <c r="D184" s="1">
        <v>35460</v>
      </c>
      <c r="E184" s="1">
        <v>35474</v>
      </c>
      <c r="F184" s="1">
        <v>35464</v>
      </c>
      <c r="G184">
        <v>1</v>
      </c>
      <c r="H184" s="2">
        <v>458.78</v>
      </c>
      <c r="I184" t="s">
        <v>64</v>
      </c>
      <c r="J184" t="s">
        <v>65</v>
      </c>
      <c r="K184" t="s">
        <v>66</v>
      </c>
      <c r="L184" t="s">
        <v>18</v>
      </c>
      <c r="M184">
        <v>8010</v>
      </c>
      <c r="N184" t="s">
        <v>67</v>
      </c>
      <c r="O184">
        <f>Orders[[#This Row],[requiredDate]]-Orders[[#This Row],[orderDate]]</f>
        <v>14</v>
      </c>
      <c r="P184">
        <f>Orders[[#This Row],[shippedDate]]-Orders[[#This Row],[orderDate]]</f>
        <v>4</v>
      </c>
      <c r="Q184">
        <f>Orders[[#This Row],[requiredDate]]-Orders[[#This Row],[shippedDate]]</f>
        <v>10</v>
      </c>
    </row>
    <row r="185" spans="1:17" x14ac:dyDescent="0.2">
      <c r="A185">
        <v>10431</v>
      </c>
      <c r="B185" t="s">
        <v>318</v>
      </c>
      <c r="C185">
        <v>4</v>
      </c>
      <c r="D185" s="1">
        <v>35460</v>
      </c>
      <c r="E185" s="1">
        <v>35474</v>
      </c>
      <c r="F185" s="1">
        <v>35468</v>
      </c>
      <c r="G185">
        <v>2</v>
      </c>
      <c r="H185" s="2">
        <v>44.17</v>
      </c>
      <c r="I185" t="s">
        <v>319</v>
      </c>
      <c r="J185" t="s">
        <v>320</v>
      </c>
      <c r="K185" t="s">
        <v>321</v>
      </c>
      <c r="L185" t="s">
        <v>322</v>
      </c>
      <c r="M185" t="s">
        <v>323</v>
      </c>
      <c r="N185" t="s">
        <v>249</v>
      </c>
      <c r="O185">
        <f>Orders[[#This Row],[requiredDate]]-Orders[[#This Row],[orderDate]]</f>
        <v>14</v>
      </c>
      <c r="P185">
        <f>Orders[[#This Row],[shippedDate]]-Orders[[#This Row],[orderDate]]</f>
        <v>8</v>
      </c>
      <c r="Q185">
        <f>Orders[[#This Row],[requiredDate]]-Orders[[#This Row],[shippedDate]]</f>
        <v>6</v>
      </c>
    </row>
    <row r="186" spans="1:17" x14ac:dyDescent="0.2">
      <c r="A186">
        <v>10432</v>
      </c>
      <c r="B186" t="s">
        <v>116</v>
      </c>
      <c r="C186">
        <v>3</v>
      </c>
      <c r="D186" s="1">
        <v>35461</v>
      </c>
      <c r="E186" s="1">
        <v>35475</v>
      </c>
      <c r="F186" s="1">
        <v>35468</v>
      </c>
      <c r="G186">
        <v>2</v>
      </c>
      <c r="H186" s="2">
        <v>4.34</v>
      </c>
      <c r="I186" t="s">
        <v>117</v>
      </c>
      <c r="J186" t="s">
        <v>118</v>
      </c>
      <c r="K186" t="s">
        <v>119</v>
      </c>
      <c r="L186" t="s">
        <v>120</v>
      </c>
      <c r="M186">
        <v>82520</v>
      </c>
      <c r="N186" t="s">
        <v>86</v>
      </c>
      <c r="O186">
        <f>Orders[[#This Row],[requiredDate]]-Orders[[#This Row],[orderDate]]</f>
        <v>14</v>
      </c>
      <c r="P186">
        <f>Orders[[#This Row],[shippedDate]]-Orders[[#This Row],[orderDate]]</f>
        <v>7</v>
      </c>
      <c r="Q186">
        <f>Orders[[#This Row],[requiredDate]]-Orders[[#This Row],[shippedDate]]</f>
        <v>7</v>
      </c>
    </row>
    <row r="187" spans="1:17" x14ac:dyDescent="0.2">
      <c r="A187">
        <v>10433</v>
      </c>
      <c r="B187" t="s">
        <v>250</v>
      </c>
      <c r="C187">
        <v>3</v>
      </c>
      <c r="D187" s="1">
        <v>35464</v>
      </c>
      <c r="E187" s="1">
        <v>35492</v>
      </c>
      <c r="F187" s="1">
        <v>35493</v>
      </c>
      <c r="G187">
        <v>3</v>
      </c>
      <c r="H187" s="2">
        <v>73.83</v>
      </c>
      <c r="I187" t="s">
        <v>251</v>
      </c>
      <c r="J187" t="s">
        <v>252</v>
      </c>
      <c r="K187" t="s">
        <v>237</v>
      </c>
      <c r="L187" t="s">
        <v>18</v>
      </c>
      <c r="M187">
        <v>1756</v>
      </c>
      <c r="N187" t="s">
        <v>238</v>
      </c>
      <c r="O187">
        <f>Orders[[#This Row],[requiredDate]]-Orders[[#This Row],[orderDate]]</f>
        <v>28</v>
      </c>
      <c r="P187">
        <f>Orders[[#This Row],[shippedDate]]-Orders[[#This Row],[orderDate]]</f>
        <v>29</v>
      </c>
      <c r="Q187">
        <f>Orders[[#This Row],[requiredDate]]-Orders[[#This Row],[shippedDate]]</f>
        <v>-1</v>
      </c>
    </row>
    <row r="188" spans="1:17" x14ac:dyDescent="0.2">
      <c r="A188">
        <v>10434</v>
      </c>
      <c r="B188" t="s">
        <v>87</v>
      </c>
      <c r="C188">
        <v>3</v>
      </c>
      <c r="D188" s="1">
        <v>35464</v>
      </c>
      <c r="E188" s="1">
        <v>35492</v>
      </c>
      <c r="F188" s="1">
        <v>35474</v>
      </c>
      <c r="G188">
        <v>2</v>
      </c>
      <c r="H188" s="2">
        <v>17.920000000000002</v>
      </c>
      <c r="I188" t="s">
        <v>88</v>
      </c>
      <c r="J188" t="s">
        <v>89</v>
      </c>
      <c r="K188" t="s">
        <v>90</v>
      </c>
      <c r="L188" t="s">
        <v>18</v>
      </c>
      <c r="M188" t="s">
        <v>91</v>
      </c>
      <c r="N188" t="s">
        <v>92</v>
      </c>
      <c r="O188">
        <f>Orders[[#This Row],[requiredDate]]-Orders[[#This Row],[orderDate]]</f>
        <v>28</v>
      </c>
      <c r="P188">
        <f>Orders[[#This Row],[shippedDate]]-Orders[[#This Row],[orderDate]]</f>
        <v>10</v>
      </c>
      <c r="Q188">
        <f>Orders[[#This Row],[requiredDate]]-Orders[[#This Row],[shippedDate]]</f>
        <v>18</v>
      </c>
    </row>
    <row r="189" spans="1:17" x14ac:dyDescent="0.2">
      <c r="A189">
        <v>10435</v>
      </c>
      <c r="B189" t="s">
        <v>347</v>
      </c>
      <c r="C189">
        <v>8</v>
      </c>
      <c r="D189" s="1">
        <v>35465</v>
      </c>
      <c r="E189" s="1">
        <v>35507</v>
      </c>
      <c r="F189" s="1">
        <v>35468</v>
      </c>
      <c r="G189">
        <v>2</v>
      </c>
      <c r="H189" s="2">
        <v>9.2100000000000009</v>
      </c>
      <c r="I189" t="s">
        <v>348</v>
      </c>
      <c r="J189" t="s">
        <v>349</v>
      </c>
      <c r="K189" t="s">
        <v>167</v>
      </c>
      <c r="L189" t="s">
        <v>18</v>
      </c>
      <c r="M189" t="s">
        <v>350</v>
      </c>
      <c r="N189" t="s">
        <v>169</v>
      </c>
      <c r="O189">
        <f>Orders[[#This Row],[requiredDate]]-Orders[[#This Row],[orderDate]]</f>
        <v>42</v>
      </c>
      <c r="P189">
        <f>Orders[[#This Row],[shippedDate]]-Orders[[#This Row],[orderDate]]</f>
        <v>3</v>
      </c>
      <c r="Q189">
        <f>Orders[[#This Row],[requiredDate]]-Orders[[#This Row],[shippedDate]]</f>
        <v>39</v>
      </c>
    </row>
    <row r="190" spans="1:17" x14ac:dyDescent="0.2">
      <c r="A190">
        <v>10436</v>
      </c>
      <c r="B190" t="s">
        <v>93</v>
      </c>
      <c r="C190">
        <v>3</v>
      </c>
      <c r="D190" s="1">
        <v>35466</v>
      </c>
      <c r="E190" s="1">
        <v>35494</v>
      </c>
      <c r="F190" s="1">
        <v>35472</v>
      </c>
      <c r="G190">
        <v>2</v>
      </c>
      <c r="H190" s="2">
        <v>156.66</v>
      </c>
      <c r="I190" t="s">
        <v>94</v>
      </c>
      <c r="J190" t="s">
        <v>95</v>
      </c>
      <c r="K190" t="s">
        <v>96</v>
      </c>
      <c r="L190" t="s">
        <v>18</v>
      </c>
      <c r="M190">
        <v>67000</v>
      </c>
      <c r="N190" t="s">
        <v>19</v>
      </c>
      <c r="O190">
        <f>Orders[[#This Row],[requiredDate]]-Orders[[#This Row],[orderDate]]</f>
        <v>28</v>
      </c>
      <c r="P190">
        <f>Orders[[#This Row],[shippedDate]]-Orders[[#This Row],[orderDate]]</f>
        <v>6</v>
      </c>
      <c r="Q190">
        <f>Orders[[#This Row],[requiredDate]]-Orders[[#This Row],[shippedDate]]</f>
        <v>22</v>
      </c>
    </row>
    <row r="191" spans="1:17" x14ac:dyDescent="0.2">
      <c r="A191">
        <v>10437</v>
      </c>
      <c r="B191" t="s">
        <v>97</v>
      </c>
      <c r="C191">
        <v>8</v>
      </c>
      <c r="D191" s="1">
        <v>35466</v>
      </c>
      <c r="E191" s="1">
        <v>35494</v>
      </c>
      <c r="F191" s="1">
        <v>35473</v>
      </c>
      <c r="G191">
        <v>1</v>
      </c>
      <c r="H191" s="2">
        <v>19.97</v>
      </c>
      <c r="I191" t="s">
        <v>98</v>
      </c>
      <c r="J191" t="s">
        <v>99</v>
      </c>
      <c r="K191" t="s">
        <v>100</v>
      </c>
      <c r="L191" t="s">
        <v>18</v>
      </c>
      <c r="M191">
        <v>90110</v>
      </c>
      <c r="N191" t="s">
        <v>101</v>
      </c>
      <c r="O191">
        <f>Orders[[#This Row],[requiredDate]]-Orders[[#This Row],[orderDate]]</f>
        <v>28</v>
      </c>
      <c r="P191">
        <f>Orders[[#This Row],[shippedDate]]-Orders[[#This Row],[orderDate]]</f>
        <v>7</v>
      </c>
      <c r="Q191">
        <f>Orders[[#This Row],[requiredDate]]-Orders[[#This Row],[shippedDate]]</f>
        <v>21</v>
      </c>
    </row>
    <row r="192" spans="1:17" x14ac:dyDescent="0.2">
      <c r="A192">
        <v>10438</v>
      </c>
      <c r="B192" t="s">
        <v>20</v>
      </c>
      <c r="C192">
        <v>3</v>
      </c>
      <c r="D192" s="1">
        <v>35467</v>
      </c>
      <c r="E192" s="1">
        <v>35495</v>
      </c>
      <c r="F192" s="1">
        <v>35475</v>
      </c>
      <c r="G192">
        <v>2</v>
      </c>
      <c r="H192" s="2">
        <v>8.24</v>
      </c>
      <c r="I192" t="s">
        <v>21</v>
      </c>
      <c r="J192" t="s">
        <v>22</v>
      </c>
      <c r="K192" t="s">
        <v>23</v>
      </c>
      <c r="L192" t="s">
        <v>18</v>
      </c>
      <c r="M192">
        <v>44087</v>
      </c>
      <c r="N192" t="s">
        <v>24</v>
      </c>
      <c r="O192">
        <f>Orders[[#This Row],[requiredDate]]-Orders[[#This Row],[orderDate]]</f>
        <v>28</v>
      </c>
      <c r="P192">
        <f>Orders[[#This Row],[shippedDate]]-Orders[[#This Row],[orderDate]]</f>
        <v>8</v>
      </c>
      <c r="Q192">
        <f>Orders[[#This Row],[requiredDate]]-Orders[[#This Row],[shippedDate]]</f>
        <v>20</v>
      </c>
    </row>
    <row r="193" spans="1:17" x14ac:dyDescent="0.2">
      <c r="A193">
        <v>10439</v>
      </c>
      <c r="B193" t="s">
        <v>243</v>
      </c>
      <c r="C193">
        <v>6</v>
      </c>
      <c r="D193" s="1">
        <v>35468</v>
      </c>
      <c r="E193" s="1">
        <v>35496</v>
      </c>
      <c r="F193" s="1">
        <v>35471</v>
      </c>
      <c r="G193">
        <v>3</v>
      </c>
      <c r="H193" s="2">
        <v>4.07</v>
      </c>
      <c r="I193" t="s">
        <v>244</v>
      </c>
      <c r="J193" t="s">
        <v>245</v>
      </c>
      <c r="K193" t="s">
        <v>246</v>
      </c>
      <c r="L193" t="s">
        <v>247</v>
      </c>
      <c r="M193" t="s">
        <v>248</v>
      </c>
      <c r="N193" t="s">
        <v>249</v>
      </c>
      <c r="O193">
        <f>Orders[[#This Row],[requiredDate]]-Orders[[#This Row],[orderDate]]</f>
        <v>28</v>
      </c>
      <c r="P193">
        <f>Orders[[#This Row],[shippedDate]]-Orders[[#This Row],[orderDate]]</f>
        <v>3</v>
      </c>
      <c r="Q193">
        <f>Orders[[#This Row],[requiredDate]]-Orders[[#This Row],[shippedDate]]</f>
        <v>25</v>
      </c>
    </row>
    <row r="194" spans="1:17" x14ac:dyDescent="0.2">
      <c r="A194">
        <v>10440</v>
      </c>
      <c r="B194" t="s">
        <v>226</v>
      </c>
      <c r="C194">
        <v>4</v>
      </c>
      <c r="D194" s="1">
        <v>35471</v>
      </c>
      <c r="E194" s="1">
        <v>35499</v>
      </c>
      <c r="F194" s="1">
        <v>35489</v>
      </c>
      <c r="G194">
        <v>2</v>
      </c>
      <c r="H194" s="2">
        <v>86.53</v>
      </c>
      <c r="I194" t="s">
        <v>227</v>
      </c>
      <c r="J194" t="s">
        <v>228</v>
      </c>
      <c r="K194" t="s">
        <v>229</v>
      </c>
      <c r="L194" t="s">
        <v>230</v>
      </c>
      <c r="M194">
        <v>83720</v>
      </c>
      <c r="N194" t="s">
        <v>86</v>
      </c>
      <c r="O194">
        <f>Orders[[#This Row],[requiredDate]]-Orders[[#This Row],[orderDate]]</f>
        <v>28</v>
      </c>
      <c r="P194">
        <f>Orders[[#This Row],[shippedDate]]-Orders[[#This Row],[orderDate]]</f>
        <v>18</v>
      </c>
      <c r="Q194">
        <f>Orders[[#This Row],[requiredDate]]-Orders[[#This Row],[shippedDate]]</f>
        <v>10</v>
      </c>
    </row>
    <row r="195" spans="1:17" x14ac:dyDescent="0.2">
      <c r="A195">
        <v>10441</v>
      </c>
      <c r="B195" t="s">
        <v>193</v>
      </c>
      <c r="C195">
        <v>3</v>
      </c>
      <c r="D195" s="1">
        <v>35471</v>
      </c>
      <c r="E195" s="1">
        <v>35513</v>
      </c>
      <c r="F195" s="1">
        <v>35503</v>
      </c>
      <c r="G195">
        <v>2</v>
      </c>
      <c r="H195" s="2">
        <v>73.02</v>
      </c>
      <c r="I195" t="s">
        <v>194</v>
      </c>
      <c r="J195" t="s">
        <v>195</v>
      </c>
      <c r="K195" t="s">
        <v>196</v>
      </c>
      <c r="L195" t="s">
        <v>197</v>
      </c>
      <c r="M195">
        <v>99508</v>
      </c>
      <c r="N195" t="s">
        <v>86</v>
      </c>
      <c r="O195">
        <f>Orders[[#This Row],[requiredDate]]-Orders[[#This Row],[orderDate]]</f>
        <v>42</v>
      </c>
      <c r="P195">
        <f>Orders[[#This Row],[shippedDate]]-Orders[[#This Row],[orderDate]]</f>
        <v>32</v>
      </c>
      <c r="Q195">
        <f>Orders[[#This Row],[requiredDate]]-Orders[[#This Row],[shippedDate]]</f>
        <v>10</v>
      </c>
    </row>
    <row r="196" spans="1:17" x14ac:dyDescent="0.2">
      <c r="A196">
        <v>10442</v>
      </c>
      <c r="B196" t="s">
        <v>63</v>
      </c>
      <c r="C196">
        <v>3</v>
      </c>
      <c r="D196" s="1">
        <v>35472</v>
      </c>
      <c r="E196" s="1">
        <v>35500</v>
      </c>
      <c r="F196" s="1">
        <v>35479</v>
      </c>
      <c r="G196">
        <v>2</v>
      </c>
      <c r="H196" s="2">
        <v>47.94</v>
      </c>
      <c r="I196" t="s">
        <v>64</v>
      </c>
      <c r="J196" t="s">
        <v>65</v>
      </c>
      <c r="K196" t="s">
        <v>66</v>
      </c>
      <c r="L196" t="s">
        <v>18</v>
      </c>
      <c r="M196">
        <v>8010</v>
      </c>
      <c r="N196" t="s">
        <v>67</v>
      </c>
      <c r="O196">
        <f>Orders[[#This Row],[requiredDate]]-Orders[[#This Row],[orderDate]]</f>
        <v>28</v>
      </c>
      <c r="P196">
        <f>Orders[[#This Row],[shippedDate]]-Orders[[#This Row],[orderDate]]</f>
        <v>7</v>
      </c>
      <c r="Q196">
        <f>Orders[[#This Row],[requiredDate]]-Orders[[#This Row],[shippedDate]]</f>
        <v>21</v>
      </c>
    </row>
    <row r="197" spans="1:17" x14ac:dyDescent="0.2">
      <c r="A197">
        <v>10443</v>
      </c>
      <c r="B197" t="s">
        <v>160</v>
      </c>
      <c r="C197">
        <v>8</v>
      </c>
      <c r="D197" s="1">
        <v>35473</v>
      </c>
      <c r="E197" s="1">
        <v>35501</v>
      </c>
      <c r="F197" s="1">
        <v>35475</v>
      </c>
      <c r="G197">
        <v>1</v>
      </c>
      <c r="H197" s="2">
        <v>13.95</v>
      </c>
      <c r="I197" t="s">
        <v>161</v>
      </c>
      <c r="J197" t="s">
        <v>162</v>
      </c>
      <c r="K197" t="s">
        <v>163</v>
      </c>
      <c r="L197" t="s">
        <v>18</v>
      </c>
      <c r="M197">
        <v>42100</v>
      </c>
      <c r="N197" t="s">
        <v>129</v>
      </c>
      <c r="O197">
        <f>Orders[[#This Row],[requiredDate]]-Orders[[#This Row],[orderDate]]</f>
        <v>28</v>
      </c>
      <c r="P197">
        <f>Orders[[#This Row],[shippedDate]]-Orders[[#This Row],[orderDate]]</f>
        <v>2</v>
      </c>
      <c r="Q197">
        <f>Orders[[#This Row],[requiredDate]]-Orders[[#This Row],[shippedDate]]</f>
        <v>26</v>
      </c>
    </row>
    <row r="198" spans="1:17" x14ac:dyDescent="0.2">
      <c r="A198">
        <v>10444</v>
      </c>
      <c r="B198" t="s">
        <v>137</v>
      </c>
      <c r="C198">
        <v>3</v>
      </c>
      <c r="D198" s="1">
        <v>35473</v>
      </c>
      <c r="E198" s="1">
        <v>35501</v>
      </c>
      <c r="F198" s="1">
        <v>35482</v>
      </c>
      <c r="G198">
        <v>3</v>
      </c>
      <c r="H198" s="2">
        <v>3.5</v>
      </c>
      <c r="I198" t="s">
        <v>138</v>
      </c>
      <c r="J198" t="s">
        <v>139</v>
      </c>
      <c r="K198" t="s">
        <v>140</v>
      </c>
      <c r="L198" t="s">
        <v>18</v>
      </c>
      <c r="M198" t="s">
        <v>141</v>
      </c>
      <c r="N198" t="s">
        <v>92</v>
      </c>
      <c r="O198">
        <f>Orders[[#This Row],[requiredDate]]-Orders[[#This Row],[orderDate]]</f>
        <v>28</v>
      </c>
      <c r="P198">
        <f>Orders[[#This Row],[shippedDate]]-Orders[[#This Row],[orderDate]]</f>
        <v>9</v>
      </c>
      <c r="Q198">
        <f>Orders[[#This Row],[requiredDate]]-Orders[[#This Row],[shippedDate]]</f>
        <v>19</v>
      </c>
    </row>
    <row r="199" spans="1:17" x14ac:dyDescent="0.2">
      <c r="A199">
        <v>10445</v>
      </c>
      <c r="B199" t="s">
        <v>137</v>
      </c>
      <c r="C199">
        <v>3</v>
      </c>
      <c r="D199" s="1">
        <v>35474</v>
      </c>
      <c r="E199" s="1">
        <v>35502</v>
      </c>
      <c r="F199" s="1">
        <v>35481</v>
      </c>
      <c r="G199">
        <v>1</v>
      </c>
      <c r="H199" s="2">
        <v>9.3000000000000007</v>
      </c>
      <c r="I199" t="s">
        <v>138</v>
      </c>
      <c r="J199" t="s">
        <v>139</v>
      </c>
      <c r="K199" t="s">
        <v>140</v>
      </c>
      <c r="L199" t="s">
        <v>18</v>
      </c>
      <c r="M199" t="s">
        <v>141</v>
      </c>
      <c r="N199" t="s">
        <v>92</v>
      </c>
      <c r="O199">
        <f>Orders[[#This Row],[requiredDate]]-Orders[[#This Row],[orderDate]]</f>
        <v>28</v>
      </c>
      <c r="P199">
        <f>Orders[[#This Row],[shippedDate]]-Orders[[#This Row],[orderDate]]</f>
        <v>7</v>
      </c>
      <c r="Q199">
        <f>Orders[[#This Row],[requiredDate]]-Orders[[#This Row],[shippedDate]]</f>
        <v>21</v>
      </c>
    </row>
    <row r="200" spans="1:17" x14ac:dyDescent="0.2">
      <c r="A200">
        <v>10446</v>
      </c>
      <c r="B200" t="s">
        <v>20</v>
      </c>
      <c r="C200">
        <v>6</v>
      </c>
      <c r="D200" s="1">
        <v>35475</v>
      </c>
      <c r="E200" s="1">
        <v>35503</v>
      </c>
      <c r="F200" s="1">
        <v>35480</v>
      </c>
      <c r="G200">
        <v>1</v>
      </c>
      <c r="H200" s="2">
        <v>14.68</v>
      </c>
      <c r="I200" t="s">
        <v>21</v>
      </c>
      <c r="J200" t="s">
        <v>22</v>
      </c>
      <c r="K200" t="s">
        <v>23</v>
      </c>
      <c r="L200" t="s">
        <v>18</v>
      </c>
      <c r="M200">
        <v>44087</v>
      </c>
      <c r="N200" t="s">
        <v>24</v>
      </c>
      <c r="O200">
        <f>Orders[[#This Row],[requiredDate]]-Orders[[#This Row],[orderDate]]</f>
        <v>28</v>
      </c>
      <c r="P200">
        <f>Orders[[#This Row],[shippedDate]]-Orders[[#This Row],[orderDate]]</f>
        <v>5</v>
      </c>
      <c r="Q200">
        <f>Orders[[#This Row],[requiredDate]]-Orders[[#This Row],[shippedDate]]</f>
        <v>23</v>
      </c>
    </row>
    <row r="201" spans="1:17" x14ac:dyDescent="0.2">
      <c r="A201">
        <v>10447</v>
      </c>
      <c r="B201" t="s">
        <v>156</v>
      </c>
      <c r="C201">
        <v>4</v>
      </c>
      <c r="D201" s="1">
        <v>35475</v>
      </c>
      <c r="E201" s="1">
        <v>35503</v>
      </c>
      <c r="F201" s="1">
        <v>35496</v>
      </c>
      <c r="G201">
        <v>2</v>
      </c>
      <c r="H201" s="2">
        <v>68.66</v>
      </c>
      <c r="I201" t="s">
        <v>157</v>
      </c>
      <c r="J201" t="s">
        <v>158</v>
      </c>
      <c r="K201" t="s">
        <v>28</v>
      </c>
      <c r="L201" t="s">
        <v>29</v>
      </c>
      <c r="M201" t="s">
        <v>159</v>
      </c>
      <c r="N201" t="s">
        <v>31</v>
      </c>
      <c r="O201">
        <f>Orders[[#This Row],[requiredDate]]-Orders[[#This Row],[orderDate]]</f>
        <v>28</v>
      </c>
      <c r="P201">
        <f>Orders[[#This Row],[shippedDate]]-Orders[[#This Row],[orderDate]]</f>
        <v>21</v>
      </c>
      <c r="Q201">
        <f>Orders[[#This Row],[requiredDate]]-Orders[[#This Row],[shippedDate]]</f>
        <v>7</v>
      </c>
    </row>
    <row r="202" spans="1:17" x14ac:dyDescent="0.2">
      <c r="A202">
        <v>10448</v>
      </c>
      <c r="B202" t="s">
        <v>351</v>
      </c>
      <c r="C202">
        <v>4</v>
      </c>
      <c r="D202" s="1">
        <v>35478</v>
      </c>
      <c r="E202" s="1">
        <v>35506</v>
      </c>
      <c r="F202" s="1">
        <v>35485</v>
      </c>
      <c r="G202">
        <v>2</v>
      </c>
      <c r="H202" s="2">
        <v>38.82</v>
      </c>
      <c r="I202" t="s">
        <v>352</v>
      </c>
      <c r="J202" t="s">
        <v>353</v>
      </c>
      <c r="K202" t="s">
        <v>336</v>
      </c>
      <c r="L202" t="s">
        <v>18</v>
      </c>
      <c r="M202">
        <v>1010</v>
      </c>
      <c r="N202" t="s">
        <v>337</v>
      </c>
      <c r="O202">
        <f>Orders[[#This Row],[requiredDate]]-Orders[[#This Row],[orderDate]]</f>
        <v>28</v>
      </c>
      <c r="P202">
        <f>Orders[[#This Row],[shippedDate]]-Orders[[#This Row],[orderDate]]</f>
        <v>7</v>
      </c>
      <c r="Q202">
        <f>Orders[[#This Row],[requiredDate]]-Orders[[#This Row],[shippedDate]]</f>
        <v>21</v>
      </c>
    </row>
    <row r="203" spans="1:17" x14ac:dyDescent="0.2">
      <c r="A203">
        <v>10449</v>
      </c>
      <c r="B203" t="s">
        <v>93</v>
      </c>
      <c r="C203">
        <v>3</v>
      </c>
      <c r="D203" s="1">
        <v>35479</v>
      </c>
      <c r="E203" s="1">
        <v>35507</v>
      </c>
      <c r="F203" s="1">
        <v>35488</v>
      </c>
      <c r="G203">
        <v>2</v>
      </c>
      <c r="H203" s="2">
        <v>53.3</v>
      </c>
      <c r="I203" t="s">
        <v>94</v>
      </c>
      <c r="J203" t="s">
        <v>95</v>
      </c>
      <c r="K203" t="s">
        <v>96</v>
      </c>
      <c r="L203" t="s">
        <v>18</v>
      </c>
      <c r="M203">
        <v>67000</v>
      </c>
      <c r="N203" t="s">
        <v>19</v>
      </c>
      <c r="O203">
        <f>Orders[[#This Row],[requiredDate]]-Orders[[#This Row],[orderDate]]</f>
        <v>28</v>
      </c>
      <c r="P203">
        <f>Orders[[#This Row],[shippedDate]]-Orders[[#This Row],[orderDate]]</f>
        <v>9</v>
      </c>
      <c r="Q203">
        <f>Orders[[#This Row],[requiredDate]]-Orders[[#This Row],[shippedDate]]</f>
        <v>19</v>
      </c>
    </row>
    <row r="204" spans="1:17" x14ac:dyDescent="0.2">
      <c r="A204">
        <v>10450</v>
      </c>
      <c r="B204" t="s">
        <v>32</v>
      </c>
      <c r="C204">
        <v>8</v>
      </c>
      <c r="D204" s="1">
        <v>35480</v>
      </c>
      <c r="E204" s="1">
        <v>35508</v>
      </c>
      <c r="F204" s="1">
        <v>35500</v>
      </c>
      <c r="G204">
        <v>2</v>
      </c>
      <c r="H204" s="2">
        <v>7.23</v>
      </c>
      <c r="I204" t="s">
        <v>33</v>
      </c>
      <c r="J204" t="s">
        <v>34</v>
      </c>
      <c r="K204" t="s">
        <v>35</v>
      </c>
      <c r="L204" t="s">
        <v>18</v>
      </c>
      <c r="M204">
        <v>69004</v>
      </c>
      <c r="N204" t="s">
        <v>19</v>
      </c>
      <c r="O204">
        <f>Orders[[#This Row],[requiredDate]]-Orders[[#This Row],[orderDate]]</f>
        <v>28</v>
      </c>
      <c r="P204">
        <f>Orders[[#This Row],[shippedDate]]-Orders[[#This Row],[orderDate]]</f>
        <v>20</v>
      </c>
      <c r="Q204">
        <f>Orders[[#This Row],[requiredDate]]-Orders[[#This Row],[shippedDate]]</f>
        <v>8</v>
      </c>
    </row>
    <row r="205" spans="1:17" x14ac:dyDescent="0.2">
      <c r="A205">
        <v>10451</v>
      </c>
      <c r="B205" t="s">
        <v>121</v>
      </c>
      <c r="C205">
        <v>4</v>
      </c>
      <c r="D205" s="1">
        <v>35480</v>
      </c>
      <c r="E205" s="1">
        <v>35494</v>
      </c>
      <c r="F205" s="1">
        <v>35501</v>
      </c>
      <c r="G205">
        <v>3</v>
      </c>
      <c r="H205" s="2">
        <v>189.09</v>
      </c>
      <c r="I205" t="s">
        <v>122</v>
      </c>
      <c r="J205" t="s">
        <v>123</v>
      </c>
      <c r="K205" t="s">
        <v>124</v>
      </c>
      <c r="L205" t="s">
        <v>18</v>
      </c>
      <c r="M205">
        <v>1307</v>
      </c>
      <c r="N205" t="s">
        <v>24</v>
      </c>
      <c r="O205">
        <f>Orders[[#This Row],[requiredDate]]-Orders[[#This Row],[orderDate]]</f>
        <v>14</v>
      </c>
      <c r="P205">
        <f>Orders[[#This Row],[shippedDate]]-Orders[[#This Row],[orderDate]]</f>
        <v>21</v>
      </c>
      <c r="Q205">
        <f>Orders[[#This Row],[requiredDate]]-Orders[[#This Row],[shippedDate]]</f>
        <v>-7</v>
      </c>
    </row>
    <row r="206" spans="1:17" x14ac:dyDescent="0.2">
      <c r="A206">
        <v>10452</v>
      </c>
      <c r="B206" t="s">
        <v>226</v>
      </c>
      <c r="C206">
        <v>8</v>
      </c>
      <c r="D206" s="1">
        <v>35481</v>
      </c>
      <c r="E206" s="1">
        <v>35509</v>
      </c>
      <c r="F206" s="1">
        <v>35487</v>
      </c>
      <c r="G206">
        <v>1</v>
      </c>
      <c r="H206" s="2">
        <v>140.26</v>
      </c>
      <c r="I206" t="s">
        <v>227</v>
      </c>
      <c r="J206" t="s">
        <v>228</v>
      </c>
      <c r="K206" t="s">
        <v>229</v>
      </c>
      <c r="L206" t="s">
        <v>230</v>
      </c>
      <c r="M206">
        <v>83720</v>
      </c>
      <c r="N206" t="s">
        <v>86</v>
      </c>
      <c r="O206">
        <f>Orders[[#This Row],[requiredDate]]-Orders[[#This Row],[orderDate]]</f>
        <v>28</v>
      </c>
      <c r="P206">
        <f>Orders[[#This Row],[shippedDate]]-Orders[[#This Row],[orderDate]]</f>
        <v>6</v>
      </c>
      <c r="Q206">
        <f>Orders[[#This Row],[requiredDate]]-Orders[[#This Row],[shippedDate]]</f>
        <v>22</v>
      </c>
    </row>
    <row r="207" spans="1:17" x14ac:dyDescent="0.2">
      <c r="A207">
        <v>10453</v>
      </c>
      <c r="B207" t="s">
        <v>270</v>
      </c>
      <c r="C207">
        <v>1</v>
      </c>
      <c r="D207" s="1">
        <v>35482</v>
      </c>
      <c r="E207" s="1">
        <v>35510</v>
      </c>
      <c r="F207" s="1">
        <v>35487</v>
      </c>
      <c r="G207">
        <v>2</v>
      </c>
      <c r="H207" s="2">
        <v>25.36</v>
      </c>
      <c r="I207" t="s">
        <v>271</v>
      </c>
      <c r="J207" t="s">
        <v>272</v>
      </c>
      <c r="K207" t="s">
        <v>273</v>
      </c>
      <c r="L207" t="s">
        <v>274</v>
      </c>
      <c r="M207" t="s">
        <v>275</v>
      </c>
      <c r="N207" t="s">
        <v>169</v>
      </c>
      <c r="O207">
        <f>Orders[[#This Row],[requiredDate]]-Orders[[#This Row],[orderDate]]</f>
        <v>28</v>
      </c>
      <c r="P207">
        <f>Orders[[#This Row],[shippedDate]]-Orders[[#This Row],[orderDate]]</f>
        <v>5</v>
      </c>
      <c r="Q207">
        <f>Orders[[#This Row],[requiredDate]]-Orders[[#This Row],[shippedDate]]</f>
        <v>23</v>
      </c>
    </row>
    <row r="208" spans="1:17" x14ac:dyDescent="0.2">
      <c r="A208">
        <v>10454</v>
      </c>
      <c r="B208" t="s">
        <v>262</v>
      </c>
      <c r="C208">
        <v>4</v>
      </c>
      <c r="D208" s="1">
        <v>35482</v>
      </c>
      <c r="E208" s="1">
        <v>35510</v>
      </c>
      <c r="F208" s="1">
        <v>35486</v>
      </c>
      <c r="G208">
        <v>3</v>
      </c>
      <c r="H208" s="2">
        <v>2.74</v>
      </c>
      <c r="I208" t="s">
        <v>263</v>
      </c>
      <c r="J208" t="s">
        <v>264</v>
      </c>
      <c r="K208" t="s">
        <v>265</v>
      </c>
      <c r="L208" t="s">
        <v>18</v>
      </c>
      <c r="M208">
        <v>31000</v>
      </c>
      <c r="N208" t="s">
        <v>19</v>
      </c>
      <c r="O208">
        <f>Orders[[#This Row],[requiredDate]]-Orders[[#This Row],[orderDate]]</f>
        <v>28</v>
      </c>
      <c r="P208">
        <f>Orders[[#This Row],[shippedDate]]-Orders[[#This Row],[orderDate]]</f>
        <v>4</v>
      </c>
      <c r="Q208">
        <f>Orders[[#This Row],[requiredDate]]-Orders[[#This Row],[shippedDate]]</f>
        <v>24</v>
      </c>
    </row>
    <row r="209" spans="1:17" x14ac:dyDescent="0.2">
      <c r="A209">
        <v>10455</v>
      </c>
      <c r="B209" t="s">
        <v>97</v>
      </c>
      <c r="C209">
        <v>8</v>
      </c>
      <c r="D209" s="1">
        <v>35485</v>
      </c>
      <c r="E209" s="1">
        <v>35527</v>
      </c>
      <c r="F209" s="1">
        <v>35492</v>
      </c>
      <c r="G209">
        <v>2</v>
      </c>
      <c r="H209" s="2">
        <v>180.45</v>
      </c>
      <c r="I209" t="s">
        <v>98</v>
      </c>
      <c r="J209" t="s">
        <v>99</v>
      </c>
      <c r="K209" t="s">
        <v>100</v>
      </c>
      <c r="L209" t="s">
        <v>18</v>
      </c>
      <c r="M209">
        <v>90110</v>
      </c>
      <c r="N209" t="s">
        <v>101</v>
      </c>
      <c r="O209">
        <f>Orders[[#This Row],[requiredDate]]-Orders[[#This Row],[orderDate]]</f>
        <v>42</v>
      </c>
      <c r="P209">
        <f>Orders[[#This Row],[shippedDate]]-Orders[[#This Row],[orderDate]]</f>
        <v>7</v>
      </c>
      <c r="Q209">
        <f>Orders[[#This Row],[requiredDate]]-Orders[[#This Row],[shippedDate]]</f>
        <v>35</v>
      </c>
    </row>
    <row r="210" spans="1:17" x14ac:dyDescent="0.2">
      <c r="A210">
        <v>10456</v>
      </c>
      <c r="B210" t="s">
        <v>222</v>
      </c>
      <c r="C210">
        <v>8</v>
      </c>
      <c r="D210" s="1">
        <v>35486</v>
      </c>
      <c r="E210" s="1">
        <v>35528</v>
      </c>
      <c r="F210" s="1">
        <v>35489</v>
      </c>
      <c r="G210">
        <v>2</v>
      </c>
      <c r="H210" s="2">
        <v>8.1199999999999992</v>
      </c>
      <c r="I210" t="s">
        <v>223</v>
      </c>
      <c r="J210" t="s">
        <v>224</v>
      </c>
      <c r="K210" t="s">
        <v>225</v>
      </c>
      <c r="L210" t="s">
        <v>18</v>
      </c>
      <c r="M210">
        <v>14776</v>
      </c>
      <c r="N210" t="s">
        <v>24</v>
      </c>
      <c r="O210">
        <f>Orders[[#This Row],[requiredDate]]-Orders[[#This Row],[orderDate]]</f>
        <v>42</v>
      </c>
      <c r="P210">
        <f>Orders[[#This Row],[shippedDate]]-Orders[[#This Row],[orderDate]]</f>
        <v>3</v>
      </c>
      <c r="Q210">
        <f>Orders[[#This Row],[requiredDate]]-Orders[[#This Row],[shippedDate]]</f>
        <v>39</v>
      </c>
    </row>
    <row r="211" spans="1:17" x14ac:dyDescent="0.2">
      <c r="A211">
        <v>10457</v>
      </c>
      <c r="B211" t="s">
        <v>222</v>
      </c>
      <c r="C211">
        <v>2</v>
      </c>
      <c r="D211" s="1">
        <v>35486</v>
      </c>
      <c r="E211" s="1">
        <v>35514</v>
      </c>
      <c r="F211" s="1">
        <v>35492</v>
      </c>
      <c r="G211">
        <v>1</v>
      </c>
      <c r="H211" s="2">
        <v>11.57</v>
      </c>
      <c r="I211" t="s">
        <v>223</v>
      </c>
      <c r="J211" t="s">
        <v>224</v>
      </c>
      <c r="K211" t="s">
        <v>225</v>
      </c>
      <c r="L211" t="s">
        <v>18</v>
      </c>
      <c r="M211">
        <v>14776</v>
      </c>
      <c r="N211" t="s">
        <v>24</v>
      </c>
      <c r="O211">
        <f>Orders[[#This Row],[requiredDate]]-Orders[[#This Row],[orderDate]]</f>
        <v>28</v>
      </c>
      <c r="P211">
        <f>Orders[[#This Row],[shippedDate]]-Orders[[#This Row],[orderDate]]</f>
        <v>6</v>
      </c>
      <c r="Q211">
        <f>Orders[[#This Row],[requiredDate]]-Orders[[#This Row],[shippedDate]]</f>
        <v>22</v>
      </c>
    </row>
    <row r="212" spans="1:17" x14ac:dyDescent="0.2">
      <c r="A212">
        <v>10458</v>
      </c>
      <c r="B212" t="s">
        <v>36</v>
      </c>
      <c r="C212">
        <v>7</v>
      </c>
      <c r="D212" s="1">
        <v>35487</v>
      </c>
      <c r="E212" s="1">
        <v>35515</v>
      </c>
      <c r="F212" s="1">
        <v>35493</v>
      </c>
      <c r="G212">
        <v>3</v>
      </c>
      <c r="H212" s="2">
        <v>147.06</v>
      </c>
      <c r="I212" t="s">
        <v>37</v>
      </c>
      <c r="J212" t="s">
        <v>38</v>
      </c>
      <c r="K212" t="s">
        <v>39</v>
      </c>
      <c r="L212" t="s">
        <v>18</v>
      </c>
      <c r="M212" t="s">
        <v>40</v>
      </c>
      <c r="N212" t="s">
        <v>41</v>
      </c>
      <c r="O212">
        <f>Orders[[#This Row],[requiredDate]]-Orders[[#This Row],[orderDate]]</f>
        <v>28</v>
      </c>
      <c r="P212">
        <f>Orders[[#This Row],[shippedDate]]-Orders[[#This Row],[orderDate]]</f>
        <v>6</v>
      </c>
      <c r="Q212">
        <f>Orders[[#This Row],[requiredDate]]-Orders[[#This Row],[shippedDate]]</f>
        <v>22</v>
      </c>
    </row>
    <row r="213" spans="1:17" x14ac:dyDescent="0.2">
      <c r="A213">
        <v>10459</v>
      </c>
      <c r="B213" t="s">
        <v>32</v>
      </c>
      <c r="C213">
        <v>4</v>
      </c>
      <c r="D213" s="1">
        <v>35488</v>
      </c>
      <c r="E213" s="1">
        <v>35516</v>
      </c>
      <c r="F213" s="1">
        <v>35489</v>
      </c>
      <c r="G213">
        <v>2</v>
      </c>
      <c r="H213" s="2">
        <v>25.09</v>
      </c>
      <c r="I213" t="s">
        <v>33</v>
      </c>
      <c r="J213" t="s">
        <v>34</v>
      </c>
      <c r="K213" t="s">
        <v>35</v>
      </c>
      <c r="L213" t="s">
        <v>18</v>
      </c>
      <c r="M213">
        <v>69004</v>
      </c>
      <c r="N213" t="s">
        <v>19</v>
      </c>
      <c r="O213">
        <f>Orders[[#This Row],[requiredDate]]-Orders[[#This Row],[orderDate]]</f>
        <v>28</v>
      </c>
      <c r="P213">
        <f>Orders[[#This Row],[shippedDate]]-Orders[[#This Row],[orderDate]]</f>
        <v>1</v>
      </c>
      <c r="Q213">
        <f>Orders[[#This Row],[requiredDate]]-Orders[[#This Row],[shippedDate]]</f>
        <v>27</v>
      </c>
    </row>
    <row r="214" spans="1:17" x14ac:dyDescent="0.2">
      <c r="A214">
        <v>10460</v>
      </c>
      <c r="B214" t="s">
        <v>87</v>
      </c>
      <c r="C214">
        <v>8</v>
      </c>
      <c r="D214" s="1">
        <v>35489</v>
      </c>
      <c r="E214" s="1">
        <v>35517</v>
      </c>
      <c r="F214" s="1">
        <v>35492</v>
      </c>
      <c r="G214">
        <v>1</v>
      </c>
      <c r="H214" s="2">
        <v>16.27</v>
      </c>
      <c r="I214" t="s">
        <v>88</v>
      </c>
      <c r="J214" t="s">
        <v>89</v>
      </c>
      <c r="K214" t="s">
        <v>90</v>
      </c>
      <c r="L214" t="s">
        <v>18</v>
      </c>
      <c r="M214" t="s">
        <v>91</v>
      </c>
      <c r="N214" t="s">
        <v>92</v>
      </c>
      <c r="O214">
        <f>Orders[[#This Row],[requiredDate]]-Orders[[#This Row],[orderDate]]</f>
        <v>28</v>
      </c>
      <c r="P214">
        <f>Orders[[#This Row],[shippedDate]]-Orders[[#This Row],[orderDate]]</f>
        <v>3</v>
      </c>
      <c r="Q214">
        <f>Orders[[#This Row],[requiredDate]]-Orders[[#This Row],[shippedDate]]</f>
        <v>25</v>
      </c>
    </row>
    <row r="215" spans="1:17" x14ac:dyDescent="0.2">
      <c r="A215">
        <v>10461</v>
      </c>
      <c r="B215" t="s">
        <v>151</v>
      </c>
      <c r="C215">
        <v>1</v>
      </c>
      <c r="D215" s="1">
        <v>35489</v>
      </c>
      <c r="E215" s="1">
        <v>35517</v>
      </c>
      <c r="F215" s="1">
        <v>35494</v>
      </c>
      <c r="G215">
        <v>3</v>
      </c>
      <c r="H215" s="2">
        <v>148.61000000000001</v>
      </c>
      <c r="I215" t="s">
        <v>152</v>
      </c>
      <c r="J215" t="s">
        <v>153</v>
      </c>
      <c r="K215" t="s">
        <v>154</v>
      </c>
      <c r="L215" t="s">
        <v>155</v>
      </c>
      <c r="M215">
        <v>3508</v>
      </c>
      <c r="N215" t="s">
        <v>62</v>
      </c>
      <c r="O215">
        <f>Orders[[#This Row],[requiredDate]]-Orders[[#This Row],[orderDate]]</f>
        <v>28</v>
      </c>
      <c r="P215">
        <f>Orders[[#This Row],[shippedDate]]-Orders[[#This Row],[orderDate]]</f>
        <v>5</v>
      </c>
      <c r="Q215">
        <f>Orders[[#This Row],[requiredDate]]-Orders[[#This Row],[shippedDate]]</f>
        <v>23</v>
      </c>
    </row>
    <row r="216" spans="1:17" x14ac:dyDescent="0.2">
      <c r="A216">
        <v>10462</v>
      </c>
      <c r="B216" t="s">
        <v>347</v>
      </c>
      <c r="C216">
        <v>2</v>
      </c>
      <c r="D216" s="1">
        <v>35492</v>
      </c>
      <c r="E216" s="1">
        <v>35520</v>
      </c>
      <c r="F216" s="1">
        <v>35507</v>
      </c>
      <c r="G216">
        <v>1</v>
      </c>
      <c r="H216" s="2">
        <v>6.17</v>
      </c>
      <c r="I216" t="s">
        <v>348</v>
      </c>
      <c r="J216" t="s">
        <v>349</v>
      </c>
      <c r="K216" t="s">
        <v>167</v>
      </c>
      <c r="L216" t="s">
        <v>18</v>
      </c>
      <c r="M216" t="s">
        <v>350</v>
      </c>
      <c r="N216" t="s">
        <v>169</v>
      </c>
      <c r="O216">
        <f>Orders[[#This Row],[requiredDate]]-Orders[[#This Row],[orderDate]]</f>
        <v>28</v>
      </c>
      <c r="P216">
        <f>Orders[[#This Row],[shippedDate]]-Orders[[#This Row],[orderDate]]</f>
        <v>15</v>
      </c>
      <c r="Q216">
        <f>Orders[[#This Row],[requiredDate]]-Orders[[#This Row],[shippedDate]]</f>
        <v>13</v>
      </c>
    </row>
    <row r="217" spans="1:17" x14ac:dyDescent="0.2">
      <c r="A217">
        <v>10463</v>
      </c>
      <c r="B217" t="s">
        <v>36</v>
      </c>
      <c r="C217">
        <v>5</v>
      </c>
      <c r="D217" s="1">
        <v>35493</v>
      </c>
      <c r="E217" s="1">
        <v>35521</v>
      </c>
      <c r="F217" s="1">
        <v>35495</v>
      </c>
      <c r="G217">
        <v>3</v>
      </c>
      <c r="H217" s="2">
        <v>14.78</v>
      </c>
      <c r="I217" t="s">
        <v>37</v>
      </c>
      <c r="J217" t="s">
        <v>38</v>
      </c>
      <c r="K217" t="s">
        <v>39</v>
      </c>
      <c r="L217" t="s">
        <v>18</v>
      </c>
      <c r="M217" t="s">
        <v>40</v>
      </c>
      <c r="N217" t="s">
        <v>41</v>
      </c>
      <c r="O217">
        <f>Orders[[#This Row],[requiredDate]]-Orders[[#This Row],[orderDate]]</f>
        <v>28</v>
      </c>
      <c r="P217">
        <f>Orders[[#This Row],[shippedDate]]-Orders[[#This Row],[orderDate]]</f>
        <v>2</v>
      </c>
      <c r="Q217">
        <f>Orders[[#This Row],[requiredDate]]-Orders[[#This Row],[shippedDate]]</f>
        <v>26</v>
      </c>
    </row>
    <row r="218" spans="1:17" x14ac:dyDescent="0.2">
      <c r="A218">
        <v>10464</v>
      </c>
      <c r="B218" t="s">
        <v>234</v>
      </c>
      <c r="C218">
        <v>4</v>
      </c>
      <c r="D218" s="1">
        <v>35493</v>
      </c>
      <c r="E218" s="1">
        <v>35521</v>
      </c>
      <c r="F218" s="1">
        <v>35503</v>
      </c>
      <c r="G218">
        <v>2</v>
      </c>
      <c r="H218" s="2">
        <v>89</v>
      </c>
      <c r="I218" t="s">
        <v>235</v>
      </c>
      <c r="J218" t="s">
        <v>236</v>
      </c>
      <c r="K218" t="s">
        <v>237</v>
      </c>
      <c r="L218" t="s">
        <v>18</v>
      </c>
      <c r="M218">
        <v>1675</v>
      </c>
      <c r="N218" t="s">
        <v>238</v>
      </c>
      <c r="O218">
        <f>Orders[[#This Row],[requiredDate]]-Orders[[#This Row],[orderDate]]</f>
        <v>28</v>
      </c>
      <c r="P218">
        <f>Orders[[#This Row],[shippedDate]]-Orders[[#This Row],[orderDate]]</f>
        <v>10</v>
      </c>
      <c r="Q218">
        <f>Orders[[#This Row],[requiredDate]]-Orders[[#This Row],[shippedDate]]</f>
        <v>18</v>
      </c>
    </row>
    <row r="219" spans="1:17" x14ac:dyDescent="0.2">
      <c r="A219">
        <v>10465</v>
      </c>
      <c r="B219" t="s">
        <v>295</v>
      </c>
      <c r="C219">
        <v>1</v>
      </c>
      <c r="D219" s="1">
        <v>35494</v>
      </c>
      <c r="E219" s="1">
        <v>35522</v>
      </c>
      <c r="F219" s="1">
        <v>35503</v>
      </c>
      <c r="G219">
        <v>3</v>
      </c>
      <c r="H219" s="2">
        <v>145.04</v>
      </c>
      <c r="I219" t="s">
        <v>296</v>
      </c>
      <c r="J219" t="s">
        <v>297</v>
      </c>
      <c r="K219" t="s">
        <v>298</v>
      </c>
      <c r="L219" t="s">
        <v>18</v>
      </c>
      <c r="M219">
        <v>8200</v>
      </c>
      <c r="N219" t="s">
        <v>257</v>
      </c>
      <c r="O219">
        <f>Orders[[#This Row],[requiredDate]]-Orders[[#This Row],[orderDate]]</f>
        <v>28</v>
      </c>
      <c r="P219">
        <f>Orders[[#This Row],[shippedDate]]-Orders[[#This Row],[orderDate]]</f>
        <v>9</v>
      </c>
      <c r="Q219">
        <f>Orders[[#This Row],[requiredDate]]-Orders[[#This Row],[shippedDate]]</f>
        <v>19</v>
      </c>
    </row>
    <row r="220" spans="1:17" x14ac:dyDescent="0.2">
      <c r="A220">
        <v>10466</v>
      </c>
      <c r="B220" t="s">
        <v>170</v>
      </c>
      <c r="C220">
        <v>4</v>
      </c>
      <c r="D220" s="1">
        <v>35495</v>
      </c>
      <c r="E220" s="1">
        <v>35523</v>
      </c>
      <c r="F220" s="1">
        <v>35502</v>
      </c>
      <c r="G220">
        <v>1</v>
      </c>
      <c r="H220" s="2">
        <v>11.93</v>
      </c>
      <c r="I220" t="s">
        <v>171</v>
      </c>
      <c r="J220" t="s">
        <v>172</v>
      </c>
      <c r="K220" t="s">
        <v>173</v>
      </c>
      <c r="L220" t="s">
        <v>55</v>
      </c>
      <c r="M220" t="s">
        <v>174</v>
      </c>
      <c r="N220" t="s">
        <v>31</v>
      </c>
      <c r="O220">
        <f>Orders[[#This Row],[requiredDate]]-Orders[[#This Row],[orderDate]]</f>
        <v>28</v>
      </c>
      <c r="P220">
        <f>Orders[[#This Row],[shippedDate]]-Orders[[#This Row],[orderDate]]</f>
        <v>7</v>
      </c>
      <c r="Q220">
        <f>Orders[[#This Row],[requiredDate]]-Orders[[#This Row],[shippedDate]]</f>
        <v>21</v>
      </c>
    </row>
    <row r="221" spans="1:17" x14ac:dyDescent="0.2">
      <c r="A221">
        <v>10467</v>
      </c>
      <c r="B221" t="s">
        <v>125</v>
      </c>
      <c r="C221">
        <v>8</v>
      </c>
      <c r="D221" s="1">
        <v>35495</v>
      </c>
      <c r="E221" s="1">
        <v>35523</v>
      </c>
      <c r="F221" s="1">
        <v>35500</v>
      </c>
      <c r="G221">
        <v>2</v>
      </c>
      <c r="H221" s="2">
        <v>4.93</v>
      </c>
      <c r="I221" t="s">
        <v>126</v>
      </c>
      <c r="J221" t="s">
        <v>127</v>
      </c>
      <c r="K221" t="s">
        <v>128</v>
      </c>
      <c r="L221" t="s">
        <v>18</v>
      </c>
      <c r="M221">
        <v>24100</v>
      </c>
      <c r="N221" t="s">
        <v>129</v>
      </c>
      <c r="O221">
        <f>Orders[[#This Row],[requiredDate]]-Orders[[#This Row],[orderDate]]</f>
        <v>28</v>
      </c>
      <c r="P221">
        <f>Orders[[#This Row],[shippedDate]]-Orders[[#This Row],[orderDate]]</f>
        <v>5</v>
      </c>
      <c r="Q221">
        <f>Orders[[#This Row],[requiredDate]]-Orders[[#This Row],[shippedDate]]</f>
        <v>23</v>
      </c>
    </row>
    <row r="222" spans="1:17" x14ac:dyDescent="0.2">
      <c r="A222">
        <v>10468</v>
      </c>
      <c r="B222" t="s">
        <v>222</v>
      </c>
      <c r="C222">
        <v>3</v>
      </c>
      <c r="D222" s="1">
        <v>35496</v>
      </c>
      <c r="E222" s="1">
        <v>35524</v>
      </c>
      <c r="F222" s="1">
        <v>35501</v>
      </c>
      <c r="G222">
        <v>3</v>
      </c>
      <c r="H222" s="2">
        <v>44.12</v>
      </c>
      <c r="I222" t="s">
        <v>223</v>
      </c>
      <c r="J222" t="s">
        <v>224</v>
      </c>
      <c r="K222" t="s">
        <v>225</v>
      </c>
      <c r="L222" t="s">
        <v>18</v>
      </c>
      <c r="M222">
        <v>14776</v>
      </c>
      <c r="N222" t="s">
        <v>24</v>
      </c>
      <c r="O222">
        <f>Orders[[#This Row],[requiredDate]]-Orders[[#This Row],[orderDate]]</f>
        <v>28</v>
      </c>
      <c r="P222">
        <f>Orders[[#This Row],[shippedDate]]-Orders[[#This Row],[orderDate]]</f>
        <v>5</v>
      </c>
      <c r="Q222">
        <f>Orders[[#This Row],[requiredDate]]-Orders[[#This Row],[shippedDate]]</f>
        <v>23</v>
      </c>
    </row>
    <row r="223" spans="1:17" x14ac:dyDescent="0.2">
      <c r="A223">
        <v>10469</v>
      </c>
      <c r="B223" t="s">
        <v>111</v>
      </c>
      <c r="C223">
        <v>1</v>
      </c>
      <c r="D223" s="1">
        <v>35499</v>
      </c>
      <c r="E223" s="1">
        <v>35527</v>
      </c>
      <c r="F223" s="1">
        <v>35503</v>
      </c>
      <c r="G223">
        <v>1</v>
      </c>
      <c r="H223" s="2">
        <v>60.18</v>
      </c>
      <c r="I223" t="s">
        <v>112</v>
      </c>
      <c r="J223" t="s">
        <v>113</v>
      </c>
      <c r="K223" t="s">
        <v>114</v>
      </c>
      <c r="L223" t="s">
        <v>115</v>
      </c>
      <c r="M223">
        <v>98124</v>
      </c>
      <c r="N223" t="s">
        <v>86</v>
      </c>
      <c r="O223">
        <f>Orders[[#This Row],[requiredDate]]-Orders[[#This Row],[orderDate]]</f>
        <v>28</v>
      </c>
      <c r="P223">
        <f>Orders[[#This Row],[shippedDate]]-Orders[[#This Row],[orderDate]]</f>
        <v>4</v>
      </c>
      <c r="Q223">
        <f>Orders[[#This Row],[requiredDate]]-Orders[[#This Row],[shippedDate]]</f>
        <v>24</v>
      </c>
    </row>
    <row r="224" spans="1:17" x14ac:dyDescent="0.2">
      <c r="A224">
        <v>10470</v>
      </c>
      <c r="B224" t="s">
        <v>239</v>
      </c>
      <c r="C224">
        <v>4</v>
      </c>
      <c r="D224" s="1">
        <v>35500</v>
      </c>
      <c r="E224" s="1">
        <v>35528</v>
      </c>
      <c r="F224" s="1">
        <v>35503</v>
      </c>
      <c r="G224">
        <v>2</v>
      </c>
      <c r="H224" s="2">
        <v>64.56</v>
      </c>
      <c r="I224" t="s">
        <v>240</v>
      </c>
      <c r="J224" t="s">
        <v>241</v>
      </c>
      <c r="K224" t="s">
        <v>242</v>
      </c>
      <c r="L224" t="s">
        <v>18</v>
      </c>
      <c r="M224">
        <v>13008</v>
      </c>
      <c r="N224" t="s">
        <v>19</v>
      </c>
      <c r="O224">
        <f>Orders[[#This Row],[requiredDate]]-Orders[[#This Row],[orderDate]]</f>
        <v>28</v>
      </c>
      <c r="P224">
        <f>Orders[[#This Row],[shippedDate]]-Orders[[#This Row],[orderDate]]</f>
        <v>3</v>
      </c>
      <c r="Q224">
        <f>Orders[[#This Row],[requiredDate]]-Orders[[#This Row],[shippedDate]]</f>
        <v>25</v>
      </c>
    </row>
    <row r="225" spans="1:17" x14ac:dyDescent="0.2">
      <c r="A225">
        <v>10471</v>
      </c>
      <c r="B225" t="s">
        <v>164</v>
      </c>
      <c r="C225">
        <v>2</v>
      </c>
      <c r="D225" s="1">
        <v>35500</v>
      </c>
      <c r="E225" s="1">
        <v>35528</v>
      </c>
      <c r="F225" s="1">
        <v>35507</v>
      </c>
      <c r="G225">
        <v>3</v>
      </c>
      <c r="H225" s="2">
        <v>45.59</v>
      </c>
      <c r="I225" t="s">
        <v>165</v>
      </c>
      <c r="J225" t="s">
        <v>166</v>
      </c>
      <c r="K225" t="s">
        <v>167</v>
      </c>
      <c r="L225" t="s">
        <v>18</v>
      </c>
      <c r="M225" t="s">
        <v>168</v>
      </c>
      <c r="N225" t="s">
        <v>169</v>
      </c>
      <c r="O225">
        <f>Orders[[#This Row],[requiredDate]]-Orders[[#This Row],[orderDate]]</f>
        <v>28</v>
      </c>
      <c r="P225">
        <f>Orders[[#This Row],[shippedDate]]-Orders[[#This Row],[orderDate]]</f>
        <v>7</v>
      </c>
      <c r="Q225">
        <f>Orders[[#This Row],[requiredDate]]-Orders[[#This Row],[shippedDate]]</f>
        <v>21</v>
      </c>
    </row>
    <row r="226" spans="1:17" x14ac:dyDescent="0.2">
      <c r="A226">
        <v>10472</v>
      </c>
      <c r="B226" t="s">
        <v>276</v>
      </c>
      <c r="C226">
        <v>8</v>
      </c>
      <c r="D226" s="1">
        <v>35501</v>
      </c>
      <c r="E226" s="1">
        <v>35529</v>
      </c>
      <c r="F226" s="1">
        <v>35508</v>
      </c>
      <c r="G226">
        <v>1</v>
      </c>
      <c r="H226" s="2">
        <v>4.2</v>
      </c>
      <c r="I226" t="s">
        <v>277</v>
      </c>
      <c r="J226" t="s">
        <v>278</v>
      </c>
      <c r="K226" t="s">
        <v>167</v>
      </c>
      <c r="L226" t="s">
        <v>18</v>
      </c>
      <c r="M226" t="s">
        <v>279</v>
      </c>
      <c r="N226" t="s">
        <v>169</v>
      </c>
      <c r="O226">
        <f>Orders[[#This Row],[requiredDate]]-Orders[[#This Row],[orderDate]]</f>
        <v>28</v>
      </c>
      <c r="P226">
        <f>Orders[[#This Row],[shippedDate]]-Orders[[#This Row],[orderDate]]</f>
        <v>7</v>
      </c>
      <c r="Q226">
        <f>Orders[[#This Row],[requiredDate]]-Orders[[#This Row],[shippedDate]]</f>
        <v>21</v>
      </c>
    </row>
    <row r="227" spans="1:17" x14ac:dyDescent="0.2">
      <c r="A227">
        <v>10473</v>
      </c>
      <c r="B227" t="s">
        <v>213</v>
      </c>
      <c r="C227">
        <v>1</v>
      </c>
      <c r="D227" s="1">
        <v>35502</v>
      </c>
      <c r="E227" s="1">
        <v>35516</v>
      </c>
      <c r="F227" s="1">
        <v>35510</v>
      </c>
      <c r="G227">
        <v>3</v>
      </c>
      <c r="H227" s="2">
        <v>16.37</v>
      </c>
      <c r="I227" t="s">
        <v>214</v>
      </c>
      <c r="J227" t="s">
        <v>215</v>
      </c>
      <c r="K227" t="s">
        <v>216</v>
      </c>
      <c r="L227" t="s">
        <v>217</v>
      </c>
      <c r="M227" t="s">
        <v>218</v>
      </c>
      <c r="N227" t="s">
        <v>169</v>
      </c>
      <c r="O227">
        <f>Orders[[#This Row],[requiredDate]]-Orders[[#This Row],[orderDate]]</f>
        <v>14</v>
      </c>
      <c r="P227">
        <f>Orders[[#This Row],[shippedDate]]-Orders[[#This Row],[orderDate]]</f>
        <v>8</v>
      </c>
      <c r="Q227">
        <f>Orders[[#This Row],[requiredDate]]-Orders[[#This Row],[shippedDate]]</f>
        <v>6</v>
      </c>
    </row>
    <row r="228" spans="1:17" x14ac:dyDescent="0.2">
      <c r="A228">
        <v>10474</v>
      </c>
      <c r="B228" t="s">
        <v>219</v>
      </c>
      <c r="C228">
        <v>5</v>
      </c>
      <c r="D228" s="1">
        <v>35502</v>
      </c>
      <c r="E228" s="1">
        <v>35530</v>
      </c>
      <c r="F228" s="1">
        <v>35510</v>
      </c>
      <c r="G228">
        <v>2</v>
      </c>
      <c r="H228" s="2">
        <v>83.49</v>
      </c>
      <c r="I228" t="s">
        <v>220</v>
      </c>
      <c r="J228" t="s">
        <v>221</v>
      </c>
      <c r="K228" t="s">
        <v>71</v>
      </c>
      <c r="L228" t="s">
        <v>18</v>
      </c>
      <c r="M228">
        <v>5033</v>
      </c>
      <c r="N228" t="s">
        <v>72</v>
      </c>
      <c r="O228">
        <f>Orders[[#This Row],[requiredDate]]-Orders[[#This Row],[orderDate]]</f>
        <v>28</v>
      </c>
      <c r="P228">
        <f>Orders[[#This Row],[shippedDate]]-Orders[[#This Row],[orderDate]]</f>
        <v>8</v>
      </c>
      <c r="Q228">
        <f>Orders[[#This Row],[requiredDate]]-Orders[[#This Row],[shippedDate]]</f>
        <v>20</v>
      </c>
    </row>
    <row r="229" spans="1:17" x14ac:dyDescent="0.2">
      <c r="A229">
        <v>10475</v>
      </c>
      <c r="B229" t="s">
        <v>36</v>
      </c>
      <c r="C229">
        <v>9</v>
      </c>
      <c r="D229" s="1">
        <v>35503</v>
      </c>
      <c r="E229" s="1">
        <v>35531</v>
      </c>
      <c r="F229" s="1">
        <v>35524</v>
      </c>
      <c r="G229">
        <v>1</v>
      </c>
      <c r="H229" s="2">
        <v>68.52</v>
      </c>
      <c r="I229" t="s">
        <v>37</v>
      </c>
      <c r="J229" t="s">
        <v>38</v>
      </c>
      <c r="K229" t="s">
        <v>39</v>
      </c>
      <c r="L229" t="s">
        <v>18</v>
      </c>
      <c r="M229" t="s">
        <v>40</v>
      </c>
      <c r="N229" t="s">
        <v>41</v>
      </c>
      <c r="O229">
        <f>Orders[[#This Row],[requiredDate]]-Orders[[#This Row],[orderDate]]</f>
        <v>28</v>
      </c>
      <c r="P229">
        <f>Orders[[#This Row],[shippedDate]]-Orders[[#This Row],[orderDate]]</f>
        <v>21</v>
      </c>
      <c r="Q229">
        <f>Orders[[#This Row],[requiredDate]]-Orders[[#This Row],[shippedDate]]</f>
        <v>7</v>
      </c>
    </row>
    <row r="230" spans="1:17" x14ac:dyDescent="0.2">
      <c r="A230">
        <v>10476</v>
      </c>
      <c r="B230" t="s">
        <v>57</v>
      </c>
      <c r="C230">
        <v>8</v>
      </c>
      <c r="D230" s="1">
        <v>35506</v>
      </c>
      <c r="E230" s="1">
        <v>35534</v>
      </c>
      <c r="F230" s="1">
        <v>35513</v>
      </c>
      <c r="G230">
        <v>3</v>
      </c>
      <c r="H230" s="2">
        <v>4.41</v>
      </c>
      <c r="I230" t="s">
        <v>58</v>
      </c>
      <c r="J230" t="s">
        <v>59</v>
      </c>
      <c r="K230" t="s">
        <v>60</v>
      </c>
      <c r="L230" t="s">
        <v>61</v>
      </c>
      <c r="M230">
        <v>5022</v>
      </c>
      <c r="N230" t="s">
        <v>62</v>
      </c>
      <c r="O230">
        <f>Orders[[#This Row],[requiredDate]]-Orders[[#This Row],[orderDate]]</f>
        <v>28</v>
      </c>
      <c r="P230">
        <f>Orders[[#This Row],[shippedDate]]-Orders[[#This Row],[orderDate]]</f>
        <v>7</v>
      </c>
      <c r="Q230">
        <f>Orders[[#This Row],[requiredDate]]-Orders[[#This Row],[shippedDate]]</f>
        <v>21</v>
      </c>
    </row>
    <row r="231" spans="1:17" x14ac:dyDescent="0.2">
      <c r="A231">
        <v>10477</v>
      </c>
      <c r="B231" t="s">
        <v>250</v>
      </c>
      <c r="C231">
        <v>5</v>
      </c>
      <c r="D231" s="1">
        <v>35506</v>
      </c>
      <c r="E231" s="1">
        <v>35534</v>
      </c>
      <c r="F231" s="1">
        <v>35514</v>
      </c>
      <c r="G231">
        <v>2</v>
      </c>
      <c r="H231" s="2">
        <v>13.02</v>
      </c>
      <c r="I231" t="s">
        <v>251</v>
      </c>
      <c r="J231" t="s">
        <v>252</v>
      </c>
      <c r="K231" t="s">
        <v>237</v>
      </c>
      <c r="L231" t="s">
        <v>18</v>
      </c>
      <c r="M231">
        <v>1756</v>
      </c>
      <c r="N231" t="s">
        <v>238</v>
      </c>
      <c r="O231">
        <f>Orders[[#This Row],[requiredDate]]-Orders[[#This Row],[orderDate]]</f>
        <v>28</v>
      </c>
      <c r="P231">
        <f>Orders[[#This Row],[shippedDate]]-Orders[[#This Row],[orderDate]]</f>
        <v>8</v>
      </c>
      <c r="Q231">
        <f>Orders[[#This Row],[requiredDate]]-Orders[[#This Row],[shippedDate]]</f>
        <v>20</v>
      </c>
    </row>
    <row r="232" spans="1:17" x14ac:dyDescent="0.2">
      <c r="A232">
        <v>10478</v>
      </c>
      <c r="B232" t="s">
        <v>32</v>
      </c>
      <c r="C232">
        <v>2</v>
      </c>
      <c r="D232" s="1">
        <v>35507</v>
      </c>
      <c r="E232" s="1">
        <v>35521</v>
      </c>
      <c r="F232" s="1">
        <v>35515</v>
      </c>
      <c r="G232">
        <v>3</v>
      </c>
      <c r="H232" s="2">
        <v>4.8099999999999996</v>
      </c>
      <c r="I232" t="s">
        <v>33</v>
      </c>
      <c r="J232" t="s">
        <v>34</v>
      </c>
      <c r="K232" t="s">
        <v>35</v>
      </c>
      <c r="L232" t="s">
        <v>18</v>
      </c>
      <c r="M232">
        <v>69004</v>
      </c>
      <c r="N232" t="s">
        <v>19</v>
      </c>
      <c r="O232">
        <f>Orders[[#This Row],[requiredDate]]-Orders[[#This Row],[orderDate]]</f>
        <v>14</v>
      </c>
      <c r="P232">
        <f>Orders[[#This Row],[shippedDate]]-Orders[[#This Row],[orderDate]]</f>
        <v>8</v>
      </c>
      <c r="Q232">
        <f>Orders[[#This Row],[requiredDate]]-Orders[[#This Row],[shippedDate]]</f>
        <v>6</v>
      </c>
    </row>
    <row r="233" spans="1:17" x14ac:dyDescent="0.2">
      <c r="A233">
        <v>10479</v>
      </c>
      <c r="B233" t="s">
        <v>81</v>
      </c>
      <c r="C233">
        <v>3</v>
      </c>
      <c r="D233" s="1">
        <v>35508</v>
      </c>
      <c r="E233" s="1">
        <v>35536</v>
      </c>
      <c r="F233" s="1">
        <v>35510</v>
      </c>
      <c r="G233">
        <v>3</v>
      </c>
      <c r="H233" s="2">
        <v>708.95</v>
      </c>
      <c r="I233" t="s">
        <v>82</v>
      </c>
      <c r="J233" t="s">
        <v>83</v>
      </c>
      <c r="K233" t="s">
        <v>84</v>
      </c>
      <c r="L233" t="s">
        <v>85</v>
      </c>
      <c r="M233">
        <v>87110</v>
      </c>
      <c r="N233" t="s">
        <v>86</v>
      </c>
      <c r="O233">
        <f>Orders[[#This Row],[requiredDate]]-Orders[[#This Row],[orderDate]]</f>
        <v>28</v>
      </c>
      <c r="P233">
        <f>Orders[[#This Row],[shippedDate]]-Orders[[#This Row],[orderDate]]</f>
        <v>2</v>
      </c>
      <c r="Q233">
        <f>Orders[[#This Row],[requiredDate]]-Orders[[#This Row],[shippedDate]]</f>
        <v>26</v>
      </c>
    </row>
    <row r="234" spans="1:17" x14ac:dyDescent="0.2">
      <c r="A234">
        <v>10480</v>
      </c>
      <c r="B234" t="s">
        <v>329</v>
      </c>
      <c r="C234">
        <v>6</v>
      </c>
      <c r="D234" s="1">
        <v>35509</v>
      </c>
      <c r="E234" s="1">
        <v>35537</v>
      </c>
      <c r="F234" s="1">
        <v>35513</v>
      </c>
      <c r="G234">
        <v>2</v>
      </c>
      <c r="H234" s="2">
        <v>1.35</v>
      </c>
      <c r="I234" t="s">
        <v>330</v>
      </c>
      <c r="J234" t="s">
        <v>331</v>
      </c>
      <c r="K234" t="s">
        <v>332</v>
      </c>
      <c r="L234" t="s">
        <v>18</v>
      </c>
      <c r="M234">
        <v>59000</v>
      </c>
      <c r="N234" t="s">
        <v>19</v>
      </c>
      <c r="O234">
        <f>Orders[[#This Row],[requiredDate]]-Orders[[#This Row],[orderDate]]</f>
        <v>28</v>
      </c>
      <c r="P234">
        <f>Orders[[#This Row],[shippedDate]]-Orders[[#This Row],[orderDate]]</f>
        <v>4</v>
      </c>
      <c r="Q234">
        <f>Orders[[#This Row],[requiredDate]]-Orders[[#This Row],[shippedDate]]</f>
        <v>24</v>
      </c>
    </row>
    <row r="235" spans="1:17" x14ac:dyDescent="0.2">
      <c r="A235">
        <v>10481</v>
      </c>
      <c r="B235" t="s">
        <v>156</v>
      </c>
      <c r="C235">
        <v>8</v>
      </c>
      <c r="D235" s="1">
        <v>35509</v>
      </c>
      <c r="E235" s="1">
        <v>35537</v>
      </c>
      <c r="F235" s="1">
        <v>35514</v>
      </c>
      <c r="G235">
        <v>2</v>
      </c>
      <c r="H235" s="2">
        <v>64.33</v>
      </c>
      <c r="I235" t="s">
        <v>157</v>
      </c>
      <c r="J235" t="s">
        <v>158</v>
      </c>
      <c r="K235" t="s">
        <v>28</v>
      </c>
      <c r="L235" t="s">
        <v>29</v>
      </c>
      <c r="M235" t="s">
        <v>159</v>
      </c>
      <c r="N235" t="s">
        <v>31</v>
      </c>
      <c r="O235">
        <f>Orders[[#This Row],[requiredDate]]-Orders[[#This Row],[orderDate]]</f>
        <v>28</v>
      </c>
      <c r="P235">
        <f>Orders[[#This Row],[shippedDate]]-Orders[[#This Row],[orderDate]]</f>
        <v>5</v>
      </c>
      <c r="Q235">
        <f>Orders[[#This Row],[requiredDate]]-Orders[[#This Row],[shippedDate]]</f>
        <v>23</v>
      </c>
    </row>
    <row r="236" spans="1:17" x14ac:dyDescent="0.2">
      <c r="A236">
        <v>10482</v>
      </c>
      <c r="B236" t="s">
        <v>354</v>
      </c>
      <c r="C236">
        <v>1</v>
      </c>
      <c r="D236" s="1">
        <v>35510</v>
      </c>
      <c r="E236" s="1">
        <v>35538</v>
      </c>
      <c r="F236" s="1">
        <v>35530</v>
      </c>
      <c r="G236">
        <v>3</v>
      </c>
      <c r="H236" s="2">
        <v>7.48</v>
      </c>
      <c r="I236" t="s">
        <v>355</v>
      </c>
      <c r="J236" t="s">
        <v>356</v>
      </c>
      <c r="K236" t="s">
        <v>357</v>
      </c>
      <c r="L236" t="s">
        <v>115</v>
      </c>
      <c r="M236">
        <v>99362</v>
      </c>
      <c r="N236" t="s">
        <v>86</v>
      </c>
      <c r="O236">
        <f>Orders[[#This Row],[requiredDate]]-Orders[[#This Row],[orderDate]]</f>
        <v>28</v>
      </c>
      <c r="P236">
        <f>Orders[[#This Row],[shippedDate]]-Orders[[#This Row],[orderDate]]</f>
        <v>20</v>
      </c>
      <c r="Q236">
        <f>Orders[[#This Row],[requiredDate]]-Orders[[#This Row],[shippedDate]]</f>
        <v>8</v>
      </c>
    </row>
    <row r="237" spans="1:17" x14ac:dyDescent="0.2">
      <c r="A237">
        <v>10483</v>
      </c>
      <c r="B237" t="s">
        <v>111</v>
      </c>
      <c r="C237">
        <v>7</v>
      </c>
      <c r="D237" s="1">
        <v>35513</v>
      </c>
      <c r="E237" s="1">
        <v>35541</v>
      </c>
      <c r="F237" s="1">
        <v>35545</v>
      </c>
      <c r="G237">
        <v>2</v>
      </c>
      <c r="H237" s="2">
        <v>15.28</v>
      </c>
      <c r="I237" t="s">
        <v>112</v>
      </c>
      <c r="J237" t="s">
        <v>113</v>
      </c>
      <c r="K237" t="s">
        <v>114</v>
      </c>
      <c r="L237" t="s">
        <v>115</v>
      </c>
      <c r="M237">
        <v>98124</v>
      </c>
      <c r="N237" t="s">
        <v>86</v>
      </c>
      <c r="O237">
        <f>Orders[[#This Row],[requiredDate]]-Orders[[#This Row],[orderDate]]</f>
        <v>28</v>
      </c>
      <c r="P237">
        <f>Orders[[#This Row],[shippedDate]]-Orders[[#This Row],[orderDate]]</f>
        <v>32</v>
      </c>
      <c r="Q237">
        <f>Orders[[#This Row],[requiredDate]]-Orders[[#This Row],[shippedDate]]</f>
        <v>-4</v>
      </c>
    </row>
    <row r="238" spans="1:17" x14ac:dyDescent="0.2">
      <c r="A238">
        <v>10484</v>
      </c>
      <c r="B238" t="s">
        <v>164</v>
      </c>
      <c r="C238">
        <v>3</v>
      </c>
      <c r="D238" s="1">
        <v>35513</v>
      </c>
      <c r="E238" s="1">
        <v>35541</v>
      </c>
      <c r="F238" s="1">
        <v>35521</v>
      </c>
      <c r="G238">
        <v>3</v>
      </c>
      <c r="H238" s="2">
        <v>6.88</v>
      </c>
      <c r="I238" t="s">
        <v>165</v>
      </c>
      <c r="J238" t="s">
        <v>166</v>
      </c>
      <c r="K238" t="s">
        <v>167</v>
      </c>
      <c r="L238" t="s">
        <v>18</v>
      </c>
      <c r="M238" t="s">
        <v>168</v>
      </c>
      <c r="N238" t="s">
        <v>169</v>
      </c>
      <c r="O238">
        <f>Orders[[#This Row],[requiredDate]]-Orders[[#This Row],[orderDate]]</f>
        <v>28</v>
      </c>
      <c r="P238">
        <f>Orders[[#This Row],[shippedDate]]-Orders[[#This Row],[orderDate]]</f>
        <v>8</v>
      </c>
      <c r="Q238">
        <f>Orders[[#This Row],[requiredDate]]-Orders[[#This Row],[shippedDate]]</f>
        <v>20</v>
      </c>
    </row>
    <row r="239" spans="1:17" x14ac:dyDescent="0.2">
      <c r="A239">
        <v>10485</v>
      </c>
      <c r="B239" t="s">
        <v>324</v>
      </c>
      <c r="C239">
        <v>4</v>
      </c>
      <c r="D239" s="1">
        <v>35514</v>
      </c>
      <c r="E239" s="1">
        <v>35528</v>
      </c>
      <c r="F239" s="1">
        <v>35520</v>
      </c>
      <c r="G239">
        <v>2</v>
      </c>
      <c r="H239" s="2">
        <v>64.45</v>
      </c>
      <c r="I239" t="s">
        <v>325</v>
      </c>
      <c r="J239" t="s">
        <v>326</v>
      </c>
      <c r="K239" t="s">
        <v>327</v>
      </c>
      <c r="L239" t="s">
        <v>328</v>
      </c>
      <c r="M239">
        <v>4980</v>
      </c>
      <c r="N239" t="s">
        <v>62</v>
      </c>
      <c r="O239">
        <f>Orders[[#This Row],[requiredDate]]-Orders[[#This Row],[orderDate]]</f>
        <v>14</v>
      </c>
      <c r="P239">
        <f>Orders[[#This Row],[shippedDate]]-Orders[[#This Row],[orderDate]]</f>
        <v>6</v>
      </c>
      <c r="Q239">
        <f>Orders[[#This Row],[requiredDate]]-Orders[[#This Row],[shippedDate]]</f>
        <v>8</v>
      </c>
    </row>
    <row r="240" spans="1:17" x14ac:dyDescent="0.2">
      <c r="A240">
        <v>10486</v>
      </c>
      <c r="B240" t="s">
        <v>57</v>
      </c>
      <c r="C240">
        <v>1</v>
      </c>
      <c r="D240" s="1">
        <v>35515</v>
      </c>
      <c r="E240" s="1">
        <v>35543</v>
      </c>
      <c r="F240" s="1">
        <v>35522</v>
      </c>
      <c r="G240">
        <v>2</v>
      </c>
      <c r="H240" s="2">
        <v>30.53</v>
      </c>
      <c r="I240" t="s">
        <v>58</v>
      </c>
      <c r="J240" t="s">
        <v>59</v>
      </c>
      <c r="K240" t="s">
        <v>60</v>
      </c>
      <c r="L240" t="s">
        <v>61</v>
      </c>
      <c r="M240">
        <v>5022</v>
      </c>
      <c r="N240" t="s">
        <v>62</v>
      </c>
      <c r="O240">
        <f>Orders[[#This Row],[requiredDate]]-Orders[[#This Row],[orderDate]]</f>
        <v>28</v>
      </c>
      <c r="P240">
        <f>Orders[[#This Row],[shippedDate]]-Orders[[#This Row],[orderDate]]</f>
        <v>7</v>
      </c>
      <c r="Q240">
        <f>Orders[[#This Row],[requiredDate]]-Orders[[#This Row],[shippedDate]]</f>
        <v>21</v>
      </c>
    </row>
    <row r="241" spans="1:17" x14ac:dyDescent="0.2">
      <c r="A241">
        <v>10487</v>
      </c>
      <c r="B241" t="s">
        <v>299</v>
      </c>
      <c r="C241">
        <v>2</v>
      </c>
      <c r="D241" s="1">
        <v>35515</v>
      </c>
      <c r="E241" s="1">
        <v>35543</v>
      </c>
      <c r="F241" s="1">
        <v>35517</v>
      </c>
      <c r="G241">
        <v>2</v>
      </c>
      <c r="H241" s="2">
        <v>71.069999999999993</v>
      </c>
      <c r="I241" t="s">
        <v>300</v>
      </c>
      <c r="J241" t="s">
        <v>301</v>
      </c>
      <c r="K241" t="s">
        <v>173</v>
      </c>
      <c r="L241" t="s">
        <v>55</v>
      </c>
      <c r="M241" t="s">
        <v>302</v>
      </c>
      <c r="N241" t="s">
        <v>31</v>
      </c>
      <c r="O241">
        <f>Orders[[#This Row],[requiredDate]]-Orders[[#This Row],[orderDate]]</f>
        <v>28</v>
      </c>
      <c r="P241">
        <f>Orders[[#This Row],[shippedDate]]-Orders[[#This Row],[orderDate]]</f>
        <v>2</v>
      </c>
      <c r="Q241">
        <f>Orders[[#This Row],[requiredDate]]-Orders[[#This Row],[shippedDate]]</f>
        <v>26</v>
      </c>
    </row>
    <row r="242" spans="1:17" x14ac:dyDescent="0.2">
      <c r="A242">
        <v>10488</v>
      </c>
      <c r="B242" t="s">
        <v>102</v>
      </c>
      <c r="C242">
        <v>8</v>
      </c>
      <c r="D242" s="1">
        <v>35516</v>
      </c>
      <c r="E242" s="1">
        <v>35544</v>
      </c>
      <c r="F242" s="1">
        <v>35522</v>
      </c>
      <c r="G242">
        <v>2</v>
      </c>
      <c r="H242" s="2">
        <v>4.93</v>
      </c>
      <c r="I242" t="s">
        <v>103</v>
      </c>
      <c r="J242" t="s">
        <v>104</v>
      </c>
      <c r="K242" t="s">
        <v>105</v>
      </c>
      <c r="L242" t="s">
        <v>18</v>
      </c>
      <c r="M242">
        <v>80805</v>
      </c>
      <c r="N242" t="s">
        <v>24</v>
      </c>
      <c r="O242">
        <f>Orders[[#This Row],[requiredDate]]-Orders[[#This Row],[orderDate]]</f>
        <v>28</v>
      </c>
      <c r="P242">
        <f>Orders[[#This Row],[shippedDate]]-Orders[[#This Row],[orderDate]]</f>
        <v>6</v>
      </c>
      <c r="Q242">
        <f>Orders[[#This Row],[requiredDate]]-Orders[[#This Row],[shippedDate]]</f>
        <v>22</v>
      </c>
    </row>
    <row r="243" spans="1:17" x14ac:dyDescent="0.2">
      <c r="A243">
        <v>10489</v>
      </c>
      <c r="B243" t="s">
        <v>266</v>
      </c>
      <c r="C243">
        <v>6</v>
      </c>
      <c r="D243" s="1">
        <v>35517</v>
      </c>
      <c r="E243" s="1">
        <v>35545</v>
      </c>
      <c r="F243" s="1">
        <v>35529</v>
      </c>
      <c r="G243">
        <v>2</v>
      </c>
      <c r="H243" s="2">
        <v>5.29</v>
      </c>
      <c r="I243" t="s">
        <v>267</v>
      </c>
      <c r="J243" t="s">
        <v>268</v>
      </c>
      <c r="K243" t="s">
        <v>269</v>
      </c>
      <c r="L243" t="s">
        <v>18</v>
      </c>
      <c r="M243">
        <v>5020</v>
      </c>
      <c r="N243" t="s">
        <v>67</v>
      </c>
      <c r="O243">
        <f>Orders[[#This Row],[requiredDate]]-Orders[[#This Row],[orderDate]]</f>
        <v>28</v>
      </c>
      <c r="P243">
        <f>Orders[[#This Row],[shippedDate]]-Orders[[#This Row],[orderDate]]</f>
        <v>12</v>
      </c>
      <c r="Q243">
        <f>Orders[[#This Row],[requiredDate]]-Orders[[#This Row],[shippedDate]]</f>
        <v>16</v>
      </c>
    </row>
    <row r="244" spans="1:17" x14ac:dyDescent="0.2">
      <c r="A244">
        <v>10490</v>
      </c>
      <c r="B244" t="s">
        <v>57</v>
      </c>
      <c r="C244">
        <v>7</v>
      </c>
      <c r="D244" s="1">
        <v>35520</v>
      </c>
      <c r="E244" s="1">
        <v>35548</v>
      </c>
      <c r="F244" s="1">
        <v>35523</v>
      </c>
      <c r="G244">
        <v>2</v>
      </c>
      <c r="H244" s="2">
        <v>210.19</v>
      </c>
      <c r="I244" t="s">
        <v>58</v>
      </c>
      <c r="J244" t="s">
        <v>59</v>
      </c>
      <c r="K244" t="s">
        <v>60</v>
      </c>
      <c r="L244" t="s">
        <v>61</v>
      </c>
      <c r="M244">
        <v>5022</v>
      </c>
      <c r="N244" t="s">
        <v>62</v>
      </c>
      <c r="O244">
        <f>Orders[[#This Row],[requiredDate]]-Orders[[#This Row],[orderDate]]</f>
        <v>28</v>
      </c>
      <c r="P244">
        <f>Orders[[#This Row],[shippedDate]]-Orders[[#This Row],[orderDate]]</f>
        <v>3</v>
      </c>
      <c r="Q244">
        <f>Orders[[#This Row],[requiredDate]]-Orders[[#This Row],[shippedDate]]</f>
        <v>25</v>
      </c>
    </row>
    <row r="245" spans="1:17" x14ac:dyDescent="0.2">
      <c r="A245">
        <v>10491</v>
      </c>
      <c r="B245" t="s">
        <v>234</v>
      </c>
      <c r="C245">
        <v>8</v>
      </c>
      <c r="D245" s="1">
        <v>35520</v>
      </c>
      <c r="E245" s="1">
        <v>35548</v>
      </c>
      <c r="F245" s="1">
        <v>35528</v>
      </c>
      <c r="G245">
        <v>3</v>
      </c>
      <c r="H245" s="2">
        <v>16.96</v>
      </c>
      <c r="I245" t="s">
        <v>235</v>
      </c>
      <c r="J245" t="s">
        <v>236</v>
      </c>
      <c r="K245" t="s">
        <v>237</v>
      </c>
      <c r="L245" t="s">
        <v>18</v>
      </c>
      <c r="M245">
        <v>1675</v>
      </c>
      <c r="N245" t="s">
        <v>238</v>
      </c>
      <c r="O245">
        <f>Orders[[#This Row],[requiredDate]]-Orders[[#This Row],[orderDate]]</f>
        <v>28</v>
      </c>
      <c r="P245">
        <f>Orders[[#This Row],[shippedDate]]-Orders[[#This Row],[orderDate]]</f>
        <v>8</v>
      </c>
      <c r="Q245">
        <f>Orders[[#This Row],[requiredDate]]-Orders[[#This Row],[shippedDate]]</f>
        <v>20</v>
      </c>
    </row>
    <row r="246" spans="1:17" x14ac:dyDescent="0.2">
      <c r="A246">
        <v>10492</v>
      </c>
      <c r="B246" t="s">
        <v>318</v>
      </c>
      <c r="C246">
        <v>3</v>
      </c>
      <c r="D246" s="1">
        <v>35521</v>
      </c>
      <c r="E246" s="1">
        <v>35549</v>
      </c>
      <c r="F246" s="1">
        <v>35531</v>
      </c>
      <c r="G246">
        <v>1</v>
      </c>
      <c r="H246" s="2">
        <v>62.89</v>
      </c>
      <c r="I246" t="s">
        <v>319</v>
      </c>
      <c r="J246" t="s">
        <v>320</v>
      </c>
      <c r="K246" t="s">
        <v>321</v>
      </c>
      <c r="L246" t="s">
        <v>322</v>
      </c>
      <c r="M246" t="s">
        <v>323</v>
      </c>
      <c r="N246" t="s">
        <v>249</v>
      </c>
      <c r="O246">
        <f>Orders[[#This Row],[requiredDate]]-Orders[[#This Row],[orderDate]]</f>
        <v>28</v>
      </c>
      <c r="P246">
        <f>Orders[[#This Row],[shippedDate]]-Orders[[#This Row],[orderDate]]</f>
        <v>10</v>
      </c>
      <c r="Q246">
        <f>Orders[[#This Row],[requiredDate]]-Orders[[#This Row],[shippedDate]]</f>
        <v>18</v>
      </c>
    </row>
    <row r="247" spans="1:17" x14ac:dyDescent="0.2">
      <c r="A247">
        <v>10493</v>
      </c>
      <c r="B247" t="s">
        <v>262</v>
      </c>
      <c r="C247">
        <v>4</v>
      </c>
      <c r="D247" s="1">
        <v>35522</v>
      </c>
      <c r="E247" s="1">
        <v>35550</v>
      </c>
      <c r="F247" s="1">
        <v>35530</v>
      </c>
      <c r="G247">
        <v>3</v>
      </c>
      <c r="H247" s="2">
        <v>10.64</v>
      </c>
      <c r="I247" t="s">
        <v>263</v>
      </c>
      <c r="J247" t="s">
        <v>264</v>
      </c>
      <c r="K247" t="s">
        <v>265</v>
      </c>
      <c r="L247" t="s">
        <v>18</v>
      </c>
      <c r="M247">
        <v>31000</v>
      </c>
      <c r="N247" t="s">
        <v>19</v>
      </c>
      <c r="O247">
        <f>Orders[[#This Row],[requiredDate]]-Orders[[#This Row],[orderDate]]</f>
        <v>28</v>
      </c>
      <c r="P247">
        <f>Orders[[#This Row],[shippedDate]]-Orders[[#This Row],[orderDate]]</f>
        <v>8</v>
      </c>
      <c r="Q247">
        <f>Orders[[#This Row],[requiredDate]]-Orders[[#This Row],[shippedDate]]</f>
        <v>20</v>
      </c>
    </row>
    <row r="248" spans="1:17" x14ac:dyDescent="0.2">
      <c r="A248">
        <v>10494</v>
      </c>
      <c r="B248" t="s">
        <v>170</v>
      </c>
      <c r="C248">
        <v>4</v>
      </c>
      <c r="D248" s="1">
        <v>35522</v>
      </c>
      <c r="E248" s="1">
        <v>35550</v>
      </c>
      <c r="F248" s="1">
        <v>35529</v>
      </c>
      <c r="G248">
        <v>2</v>
      </c>
      <c r="H248" s="2">
        <v>65.989999999999995</v>
      </c>
      <c r="I248" t="s">
        <v>171</v>
      </c>
      <c r="J248" t="s">
        <v>172</v>
      </c>
      <c r="K248" t="s">
        <v>173</v>
      </c>
      <c r="L248" t="s">
        <v>55</v>
      </c>
      <c r="M248" t="s">
        <v>174</v>
      </c>
      <c r="N248" t="s">
        <v>31</v>
      </c>
      <c r="O248">
        <f>Orders[[#This Row],[requiredDate]]-Orders[[#This Row],[orderDate]]</f>
        <v>28</v>
      </c>
      <c r="P248">
        <f>Orders[[#This Row],[shippedDate]]-Orders[[#This Row],[orderDate]]</f>
        <v>7</v>
      </c>
      <c r="Q248">
        <f>Orders[[#This Row],[requiredDate]]-Orders[[#This Row],[shippedDate]]</f>
        <v>21</v>
      </c>
    </row>
    <row r="249" spans="1:17" x14ac:dyDescent="0.2">
      <c r="A249">
        <v>10495</v>
      </c>
      <c r="B249" t="s">
        <v>358</v>
      </c>
      <c r="C249">
        <v>3</v>
      </c>
      <c r="D249" s="1">
        <v>35523</v>
      </c>
      <c r="E249" s="1">
        <v>35551</v>
      </c>
      <c r="F249" s="1">
        <v>35531</v>
      </c>
      <c r="G249">
        <v>3</v>
      </c>
      <c r="H249" s="2">
        <v>4.6500000000000004</v>
      </c>
      <c r="I249" t="s">
        <v>359</v>
      </c>
      <c r="J249" t="s">
        <v>360</v>
      </c>
      <c r="K249" t="s">
        <v>361</v>
      </c>
      <c r="L249" t="s">
        <v>322</v>
      </c>
      <c r="M249" t="s">
        <v>362</v>
      </c>
      <c r="N249" t="s">
        <v>249</v>
      </c>
      <c r="O249">
        <f>Orders[[#This Row],[requiredDate]]-Orders[[#This Row],[orderDate]]</f>
        <v>28</v>
      </c>
      <c r="P249">
        <f>Orders[[#This Row],[shippedDate]]-Orders[[#This Row],[orderDate]]</f>
        <v>8</v>
      </c>
      <c r="Q249">
        <f>Orders[[#This Row],[requiredDate]]-Orders[[#This Row],[shippedDate]]</f>
        <v>20</v>
      </c>
    </row>
    <row r="250" spans="1:17" x14ac:dyDescent="0.2">
      <c r="A250">
        <v>10496</v>
      </c>
      <c r="B250" t="s">
        <v>175</v>
      </c>
      <c r="C250">
        <v>7</v>
      </c>
      <c r="D250" s="1">
        <v>35524</v>
      </c>
      <c r="E250" s="1">
        <v>35552</v>
      </c>
      <c r="F250" s="1">
        <v>35527</v>
      </c>
      <c r="G250">
        <v>2</v>
      </c>
      <c r="H250" s="2">
        <v>46.77</v>
      </c>
      <c r="I250" t="s">
        <v>176</v>
      </c>
      <c r="J250" t="s">
        <v>177</v>
      </c>
      <c r="K250" t="s">
        <v>173</v>
      </c>
      <c r="L250" t="s">
        <v>55</v>
      </c>
      <c r="M250" t="s">
        <v>178</v>
      </c>
      <c r="N250" t="s">
        <v>31</v>
      </c>
      <c r="O250">
        <f>Orders[[#This Row],[requiredDate]]-Orders[[#This Row],[orderDate]]</f>
        <v>28</v>
      </c>
      <c r="P250">
        <f>Orders[[#This Row],[shippedDate]]-Orders[[#This Row],[orderDate]]</f>
        <v>3</v>
      </c>
      <c r="Q250">
        <f>Orders[[#This Row],[requiredDate]]-Orders[[#This Row],[shippedDate]]</f>
        <v>25</v>
      </c>
    </row>
    <row r="251" spans="1:17" x14ac:dyDescent="0.2">
      <c r="A251">
        <v>10497</v>
      </c>
      <c r="B251" t="s">
        <v>142</v>
      </c>
      <c r="C251">
        <v>7</v>
      </c>
      <c r="D251" s="1">
        <v>35524</v>
      </c>
      <c r="E251" s="1">
        <v>35552</v>
      </c>
      <c r="F251" s="1">
        <v>35527</v>
      </c>
      <c r="G251">
        <v>1</v>
      </c>
      <c r="H251" s="2">
        <v>36.21</v>
      </c>
      <c r="I251" t="s">
        <v>143</v>
      </c>
      <c r="J251" t="s">
        <v>144</v>
      </c>
      <c r="K251" t="s">
        <v>145</v>
      </c>
      <c r="L251" t="s">
        <v>18</v>
      </c>
      <c r="M251">
        <v>60528</v>
      </c>
      <c r="N251" t="s">
        <v>24</v>
      </c>
      <c r="O251">
        <f>Orders[[#This Row],[requiredDate]]-Orders[[#This Row],[orderDate]]</f>
        <v>28</v>
      </c>
      <c r="P251">
        <f>Orders[[#This Row],[shippedDate]]-Orders[[#This Row],[orderDate]]</f>
        <v>3</v>
      </c>
      <c r="Q251">
        <f>Orders[[#This Row],[requiredDate]]-Orders[[#This Row],[shippedDate]]</f>
        <v>25</v>
      </c>
    </row>
    <row r="252" spans="1:17" x14ac:dyDescent="0.2">
      <c r="A252">
        <v>10498</v>
      </c>
      <c r="B252" t="s">
        <v>57</v>
      </c>
      <c r="C252">
        <v>8</v>
      </c>
      <c r="D252" s="1">
        <v>35527</v>
      </c>
      <c r="E252" s="1">
        <v>35555</v>
      </c>
      <c r="F252" s="1">
        <v>35531</v>
      </c>
      <c r="G252">
        <v>2</v>
      </c>
      <c r="H252" s="2">
        <v>29.75</v>
      </c>
      <c r="I252" t="s">
        <v>58</v>
      </c>
      <c r="J252" t="s">
        <v>59</v>
      </c>
      <c r="K252" t="s">
        <v>60</v>
      </c>
      <c r="L252" t="s">
        <v>61</v>
      </c>
      <c r="M252">
        <v>5022</v>
      </c>
      <c r="N252" t="s">
        <v>62</v>
      </c>
      <c r="O252">
        <f>Orders[[#This Row],[requiredDate]]-Orders[[#This Row],[orderDate]]</f>
        <v>28</v>
      </c>
      <c r="P252">
        <f>Orders[[#This Row],[shippedDate]]-Orders[[#This Row],[orderDate]]</f>
        <v>4</v>
      </c>
      <c r="Q252">
        <f>Orders[[#This Row],[requiredDate]]-Orders[[#This Row],[shippedDate]]</f>
        <v>24</v>
      </c>
    </row>
    <row r="253" spans="1:17" x14ac:dyDescent="0.2">
      <c r="A253">
        <v>10499</v>
      </c>
      <c r="B253" t="s">
        <v>151</v>
      </c>
      <c r="C253">
        <v>4</v>
      </c>
      <c r="D253" s="1">
        <v>35528</v>
      </c>
      <c r="E253" s="1">
        <v>35556</v>
      </c>
      <c r="F253" s="1">
        <v>35536</v>
      </c>
      <c r="G253">
        <v>2</v>
      </c>
      <c r="H253" s="2">
        <v>102.02</v>
      </c>
      <c r="I253" t="s">
        <v>152</v>
      </c>
      <c r="J253" t="s">
        <v>153</v>
      </c>
      <c r="K253" t="s">
        <v>154</v>
      </c>
      <c r="L253" t="s">
        <v>155</v>
      </c>
      <c r="M253">
        <v>3508</v>
      </c>
      <c r="N253" t="s">
        <v>62</v>
      </c>
      <c r="O253">
        <f>Orders[[#This Row],[requiredDate]]-Orders[[#This Row],[orderDate]]</f>
        <v>28</v>
      </c>
      <c r="P253">
        <f>Orders[[#This Row],[shippedDate]]-Orders[[#This Row],[orderDate]]</f>
        <v>8</v>
      </c>
      <c r="Q253">
        <f>Orders[[#This Row],[requiredDate]]-Orders[[#This Row],[shippedDate]]</f>
        <v>20</v>
      </c>
    </row>
    <row r="254" spans="1:17" x14ac:dyDescent="0.2">
      <c r="A254">
        <v>10500</v>
      </c>
      <c r="B254" t="s">
        <v>262</v>
      </c>
      <c r="C254">
        <v>6</v>
      </c>
      <c r="D254" s="1">
        <v>35529</v>
      </c>
      <c r="E254" s="1">
        <v>35557</v>
      </c>
      <c r="F254" s="1">
        <v>35537</v>
      </c>
      <c r="G254">
        <v>1</v>
      </c>
      <c r="H254" s="2">
        <v>42.68</v>
      </c>
      <c r="I254" t="s">
        <v>263</v>
      </c>
      <c r="J254" t="s">
        <v>264</v>
      </c>
      <c r="K254" t="s">
        <v>265</v>
      </c>
      <c r="L254" t="s">
        <v>18</v>
      </c>
      <c r="M254">
        <v>31000</v>
      </c>
      <c r="N254" t="s">
        <v>19</v>
      </c>
      <c r="O254">
        <f>Orders[[#This Row],[requiredDate]]-Orders[[#This Row],[orderDate]]</f>
        <v>28</v>
      </c>
      <c r="P254">
        <f>Orders[[#This Row],[shippedDate]]-Orders[[#This Row],[orderDate]]</f>
        <v>8</v>
      </c>
      <c r="Q254">
        <f>Orders[[#This Row],[requiredDate]]-Orders[[#This Row],[shippedDate]]</f>
        <v>20</v>
      </c>
    </row>
    <row r="255" spans="1:17" x14ac:dyDescent="0.2">
      <c r="A255">
        <v>10501</v>
      </c>
      <c r="B255" t="s">
        <v>363</v>
      </c>
      <c r="C255">
        <v>9</v>
      </c>
      <c r="D255" s="1">
        <v>35529</v>
      </c>
      <c r="E255" s="1">
        <v>35557</v>
      </c>
      <c r="F255" s="1">
        <v>35536</v>
      </c>
      <c r="G255">
        <v>3</v>
      </c>
      <c r="H255" s="2">
        <v>8.85</v>
      </c>
      <c r="I255" t="s">
        <v>364</v>
      </c>
      <c r="J255" t="s">
        <v>365</v>
      </c>
      <c r="K255" t="s">
        <v>366</v>
      </c>
      <c r="L255" t="s">
        <v>18</v>
      </c>
      <c r="M255">
        <v>68306</v>
      </c>
      <c r="N255" t="s">
        <v>24</v>
      </c>
      <c r="O255">
        <f>Orders[[#This Row],[requiredDate]]-Orders[[#This Row],[orderDate]]</f>
        <v>28</v>
      </c>
      <c r="P255">
        <f>Orders[[#This Row],[shippedDate]]-Orders[[#This Row],[orderDate]]</f>
        <v>7</v>
      </c>
      <c r="Q255">
        <f>Orders[[#This Row],[requiredDate]]-Orders[[#This Row],[shippedDate]]</f>
        <v>21</v>
      </c>
    </row>
    <row r="256" spans="1:17" x14ac:dyDescent="0.2">
      <c r="A256">
        <v>10502</v>
      </c>
      <c r="B256" t="s">
        <v>219</v>
      </c>
      <c r="C256">
        <v>2</v>
      </c>
      <c r="D256" s="1">
        <v>35530</v>
      </c>
      <c r="E256" s="1">
        <v>35558</v>
      </c>
      <c r="F256" s="1">
        <v>35549</v>
      </c>
      <c r="G256">
        <v>1</v>
      </c>
      <c r="H256" s="2">
        <v>69.319999999999993</v>
      </c>
      <c r="I256" t="s">
        <v>220</v>
      </c>
      <c r="J256" t="s">
        <v>221</v>
      </c>
      <c r="K256" t="s">
        <v>71</v>
      </c>
      <c r="L256" t="s">
        <v>18</v>
      </c>
      <c r="M256">
        <v>5033</v>
      </c>
      <c r="N256" t="s">
        <v>72</v>
      </c>
      <c r="O256">
        <f>Orders[[#This Row],[requiredDate]]-Orders[[#This Row],[orderDate]]</f>
        <v>28</v>
      </c>
      <c r="P256">
        <f>Orders[[#This Row],[shippedDate]]-Orders[[#This Row],[orderDate]]</f>
        <v>19</v>
      </c>
      <c r="Q256">
        <f>Orders[[#This Row],[requiredDate]]-Orders[[#This Row],[shippedDate]]</f>
        <v>9</v>
      </c>
    </row>
    <row r="257" spans="1:17" x14ac:dyDescent="0.2">
      <c r="A257">
        <v>10503</v>
      </c>
      <c r="B257" t="s">
        <v>179</v>
      </c>
      <c r="C257">
        <v>6</v>
      </c>
      <c r="D257" s="1">
        <v>35531</v>
      </c>
      <c r="E257" s="1">
        <v>35559</v>
      </c>
      <c r="F257" s="1">
        <v>35536</v>
      </c>
      <c r="G257">
        <v>2</v>
      </c>
      <c r="H257" s="2">
        <v>16.739999999999998</v>
      </c>
      <c r="I257" t="s">
        <v>180</v>
      </c>
      <c r="J257" t="s">
        <v>181</v>
      </c>
      <c r="K257" t="s">
        <v>182</v>
      </c>
      <c r="L257" t="s">
        <v>183</v>
      </c>
      <c r="M257" t="s">
        <v>18</v>
      </c>
      <c r="N257" t="s">
        <v>184</v>
      </c>
      <c r="O257">
        <f>Orders[[#This Row],[requiredDate]]-Orders[[#This Row],[orderDate]]</f>
        <v>28</v>
      </c>
      <c r="P257">
        <f>Orders[[#This Row],[shippedDate]]-Orders[[#This Row],[orderDate]]</f>
        <v>5</v>
      </c>
      <c r="Q257">
        <f>Orders[[#This Row],[requiredDate]]-Orders[[#This Row],[shippedDate]]</f>
        <v>23</v>
      </c>
    </row>
    <row r="258" spans="1:17" x14ac:dyDescent="0.2">
      <c r="A258">
        <v>10504</v>
      </c>
      <c r="B258" t="s">
        <v>111</v>
      </c>
      <c r="C258">
        <v>4</v>
      </c>
      <c r="D258" s="1">
        <v>35531</v>
      </c>
      <c r="E258" s="1">
        <v>35559</v>
      </c>
      <c r="F258" s="1">
        <v>35538</v>
      </c>
      <c r="G258">
        <v>3</v>
      </c>
      <c r="H258" s="2">
        <v>59.13</v>
      </c>
      <c r="I258" t="s">
        <v>112</v>
      </c>
      <c r="J258" t="s">
        <v>113</v>
      </c>
      <c r="K258" t="s">
        <v>114</v>
      </c>
      <c r="L258" t="s">
        <v>115</v>
      </c>
      <c r="M258">
        <v>98124</v>
      </c>
      <c r="N258" t="s">
        <v>86</v>
      </c>
      <c r="O258">
        <f>Orders[[#This Row],[requiredDate]]-Orders[[#This Row],[orderDate]]</f>
        <v>28</v>
      </c>
      <c r="P258">
        <f>Orders[[#This Row],[shippedDate]]-Orders[[#This Row],[orderDate]]</f>
        <v>7</v>
      </c>
      <c r="Q258">
        <f>Orders[[#This Row],[requiredDate]]-Orders[[#This Row],[shippedDate]]</f>
        <v>21</v>
      </c>
    </row>
    <row r="259" spans="1:17" x14ac:dyDescent="0.2">
      <c r="A259">
        <v>10505</v>
      </c>
      <c r="B259" t="s">
        <v>243</v>
      </c>
      <c r="C259">
        <v>3</v>
      </c>
      <c r="D259" s="1">
        <v>35534</v>
      </c>
      <c r="E259" s="1">
        <v>35562</v>
      </c>
      <c r="F259" s="1">
        <v>35541</v>
      </c>
      <c r="G259">
        <v>3</v>
      </c>
      <c r="H259" s="2">
        <v>7.13</v>
      </c>
      <c r="I259" t="s">
        <v>244</v>
      </c>
      <c r="J259" t="s">
        <v>245</v>
      </c>
      <c r="K259" t="s">
        <v>246</v>
      </c>
      <c r="L259" t="s">
        <v>247</v>
      </c>
      <c r="M259" t="s">
        <v>248</v>
      </c>
      <c r="N259" t="s">
        <v>249</v>
      </c>
      <c r="O259">
        <f>Orders[[#This Row],[requiredDate]]-Orders[[#This Row],[orderDate]]</f>
        <v>28</v>
      </c>
      <c r="P259">
        <f>Orders[[#This Row],[shippedDate]]-Orders[[#This Row],[orderDate]]</f>
        <v>7</v>
      </c>
      <c r="Q259">
        <f>Orders[[#This Row],[requiredDate]]-Orders[[#This Row],[shippedDate]]</f>
        <v>21</v>
      </c>
    </row>
    <row r="260" spans="1:17" x14ac:dyDescent="0.2">
      <c r="A260">
        <v>10506</v>
      </c>
      <c r="B260" t="s">
        <v>222</v>
      </c>
      <c r="C260">
        <v>9</v>
      </c>
      <c r="D260" s="1">
        <v>35535</v>
      </c>
      <c r="E260" s="1">
        <v>35563</v>
      </c>
      <c r="F260" s="1">
        <v>35552</v>
      </c>
      <c r="G260">
        <v>2</v>
      </c>
      <c r="H260" s="2">
        <v>21.19</v>
      </c>
      <c r="I260" t="s">
        <v>223</v>
      </c>
      <c r="J260" t="s">
        <v>224</v>
      </c>
      <c r="K260" t="s">
        <v>225</v>
      </c>
      <c r="L260" t="s">
        <v>18</v>
      </c>
      <c r="M260">
        <v>14776</v>
      </c>
      <c r="N260" t="s">
        <v>24</v>
      </c>
      <c r="O260">
        <f>Orders[[#This Row],[requiredDate]]-Orders[[#This Row],[orderDate]]</f>
        <v>28</v>
      </c>
      <c r="P260">
        <f>Orders[[#This Row],[shippedDate]]-Orders[[#This Row],[orderDate]]</f>
        <v>17</v>
      </c>
      <c r="Q260">
        <f>Orders[[#This Row],[requiredDate]]-Orders[[#This Row],[shippedDate]]</f>
        <v>11</v>
      </c>
    </row>
    <row r="261" spans="1:17" x14ac:dyDescent="0.2">
      <c r="A261">
        <v>10507</v>
      </c>
      <c r="B261" t="s">
        <v>288</v>
      </c>
      <c r="C261">
        <v>7</v>
      </c>
      <c r="D261" s="1">
        <v>35535</v>
      </c>
      <c r="E261" s="1">
        <v>35563</v>
      </c>
      <c r="F261" s="1">
        <v>35542</v>
      </c>
      <c r="G261">
        <v>1</v>
      </c>
      <c r="H261" s="2">
        <v>47.45</v>
      </c>
      <c r="I261" t="s">
        <v>289</v>
      </c>
      <c r="J261" t="s">
        <v>290</v>
      </c>
      <c r="K261" t="s">
        <v>71</v>
      </c>
      <c r="L261" t="s">
        <v>18</v>
      </c>
      <c r="M261">
        <v>5023</v>
      </c>
      <c r="N261" t="s">
        <v>72</v>
      </c>
      <c r="O261">
        <f>Orders[[#This Row],[requiredDate]]-Orders[[#This Row],[orderDate]]</f>
        <v>28</v>
      </c>
      <c r="P261">
        <f>Orders[[#This Row],[shippedDate]]-Orders[[#This Row],[orderDate]]</f>
        <v>7</v>
      </c>
      <c r="Q261">
        <f>Orders[[#This Row],[requiredDate]]-Orders[[#This Row],[shippedDate]]</f>
        <v>21</v>
      </c>
    </row>
    <row r="262" spans="1:17" x14ac:dyDescent="0.2">
      <c r="A262">
        <v>10508</v>
      </c>
      <c r="B262" t="s">
        <v>73</v>
      </c>
      <c r="C262">
        <v>1</v>
      </c>
      <c r="D262" s="1">
        <v>35536</v>
      </c>
      <c r="E262" s="1">
        <v>35564</v>
      </c>
      <c r="F262" s="1">
        <v>35563</v>
      </c>
      <c r="G262">
        <v>2</v>
      </c>
      <c r="H262" s="2">
        <v>4.99</v>
      </c>
      <c r="I262" t="s">
        <v>74</v>
      </c>
      <c r="J262" t="s">
        <v>75</v>
      </c>
      <c r="K262" t="s">
        <v>76</v>
      </c>
      <c r="L262" t="s">
        <v>18</v>
      </c>
      <c r="M262">
        <v>50739</v>
      </c>
      <c r="N262" t="s">
        <v>24</v>
      </c>
      <c r="O262">
        <f>Orders[[#This Row],[requiredDate]]-Orders[[#This Row],[orderDate]]</f>
        <v>28</v>
      </c>
      <c r="P262">
        <f>Orders[[#This Row],[shippedDate]]-Orders[[#This Row],[orderDate]]</f>
        <v>27</v>
      </c>
      <c r="Q262">
        <f>Orders[[#This Row],[requiredDate]]-Orders[[#This Row],[shippedDate]]</f>
        <v>1</v>
      </c>
    </row>
    <row r="263" spans="1:17" x14ac:dyDescent="0.2">
      <c r="A263">
        <v>10509</v>
      </c>
      <c r="B263" t="s">
        <v>363</v>
      </c>
      <c r="C263">
        <v>4</v>
      </c>
      <c r="D263" s="1">
        <v>35537</v>
      </c>
      <c r="E263" s="1">
        <v>35565</v>
      </c>
      <c r="F263" s="1">
        <v>35549</v>
      </c>
      <c r="G263">
        <v>1</v>
      </c>
      <c r="H263" s="2">
        <v>0.15</v>
      </c>
      <c r="I263" t="s">
        <v>364</v>
      </c>
      <c r="J263" t="s">
        <v>365</v>
      </c>
      <c r="K263" t="s">
        <v>366</v>
      </c>
      <c r="L263" t="s">
        <v>18</v>
      </c>
      <c r="M263">
        <v>68306</v>
      </c>
      <c r="N263" t="s">
        <v>24</v>
      </c>
      <c r="O263">
        <f>Orders[[#This Row],[requiredDate]]-Orders[[#This Row],[orderDate]]</f>
        <v>28</v>
      </c>
      <c r="P263">
        <f>Orders[[#This Row],[shippedDate]]-Orders[[#This Row],[orderDate]]</f>
        <v>12</v>
      </c>
      <c r="Q263">
        <f>Orders[[#This Row],[requiredDate]]-Orders[[#This Row],[shippedDate]]</f>
        <v>16</v>
      </c>
    </row>
    <row r="264" spans="1:17" x14ac:dyDescent="0.2">
      <c r="A264">
        <v>10510</v>
      </c>
      <c r="B264" t="s">
        <v>226</v>
      </c>
      <c r="C264">
        <v>6</v>
      </c>
      <c r="D264" s="1">
        <v>35538</v>
      </c>
      <c r="E264" s="1">
        <v>35566</v>
      </c>
      <c r="F264" s="1">
        <v>35548</v>
      </c>
      <c r="G264">
        <v>3</v>
      </c>
      <c r="H264" s="2">
        <v>367.63</v>
      </c>
      <c r="I264" t="s">
        <v>227</v>
      </c>
      <c r="J264" t="s">
        <v>228</v>
      </c>
      <c r="K264" t="s">
        <v>229</v>
      </c>
      <c r="L264" t="s">
        <v>230</v>
      </c>
      <c r="M264">
        <v>83720</v>
      </c>
      <c r="N264" t="s">
        <v>86</v>
      </c>
      <c r="O264">
        <f>Orders[[#This Row],[requiredDate]]-Orders[[#This Row],[orderDate]]</f>
        <v>28</v>
      </c>
      <c r="P264">
        <f>Orders[[#This Row],[shippedDate]]-Orders[[#This Row],[orderDate]]</f>
        <v>10</v>
      </c>
      <c r="Q264">
        <f>Orders[[#This Row],[requiredDate]]-Orders[[#This Row],[shippedDate]]</f>
        <v>18</v>
      </c>
    </row>
    <row r="265" spans="1:17" x14ac:dyDescent="0.2">
      <c r="A265">
        <v>10511</v>
      </c>
      <c r="B265" t="s">
        <v>239</v>
      </c>
      <c r="C265">
        <v>4</v>
      </c>
      <c r="D265" s="1">
        <v>35538</v>
      </c>
      <c r="E265" s="1">
        <v>35566</v>
      </c>
      <c r="F265" s="1">
        <v>35541</v>
      </c>
      <c r="G265">
        <v>3</v>
      </c>
      <c r="H265" s="2">
        <v>350.64</v>
      </c>
      <c r="I265" t="s">
        <v>240</v>
      </c>
      <c r="J265" t="s">
        <v>241</v>
      </c>
      <c r="K265" t="s">
        <v>242</v>
      </c>
      <c r="L265" t="s">
        <v>18</v>
      </c>
      <c r="M265">
        <v>13008</v>
      </c>
      <c r="N265" t="s">
        <v>19</v>
      </c>
      <c r="O265">
        <f>Orders[[#This Row],[requiredDate]]-Orders[[#This Row],[orderDate]]</f>
        <v>28</v>
      </c>
      <c r="P265">
        <f>Orders[[#This Row],[shippedDate]]-Orders[[#This Row],[orderDate]]</f>
        <v>3</v>
      </c>
      <c r="Q265">
        <f>Orders[[#This Row],[requiredDate]]-Orders[[#This Row],[shippedDate]]</f>
        <v>25</v>
      </c>
    </row>
    <row r="266" spans="1:17" x14ac:dyDescent="0.2">
      <c r="A266">
        <v>10512</v>
      </c>
      <c r="B266" t="s">
        <v>258</v>
      </c>
      <c r="C266">
        <v>7</v>
      </c>
      <c r="D266" s="1">
        <v>35541</v>
      </c>
      <c r="E266" s="1">
        <v>35569</v>
      </c>
      <c r="F266" s="1">
        <v>35544</v>
      </c>
      <c r="G266">
        <v>2</v>
      </c>
      <c r="H266" s="2">
        <v>3.53</v>
      </c>
      <c r="I266" t="s">
        <v>259</v>
      </c>
      <c r="J266" t="s">
        <v>260</v>
      </c>
      <c r="K266" t="s">
        <v>173</v>
      </c>
      <c r="L266" t="s">
        <v>55</v>
      </c>
      <c r="M266" t="s">
        <v>261</v>
      </c>
      <c r="N266" t="s">
        <v>31</v>
      </c>
      <c r="O266">
        <f>Orders[[#This Row],[requiredDate]]-Orders[[#This Row],[orderDate]]</f>
        <v>28</v>
      </c>
      <c r="P266">
        <f>Orders[[#This Row],[shippedDate]]-Orders[[#This Row],[orderDate]]</f>
        <v>3</v>
      </c>
      <c r="Q266">
        <f>Orders[[#This Row],[requiredDate]]-Orders[[#This Row],[shippedDate]]</f>
        <v>25</v>
      </c>
    </row>
    <row r="267" spans="1:17" x14ac:dyDescent="0.2">
      <c r="A267">
        <v>10513</v>
      </c>
      <c r="B267" t="s">
        <v>185</v>
      </c>
      <c r="C267">
        <v>7</v>
      </c>
      <c r="D267" s="1">
        <v>35542</v>
      </c>
      <c r="E267" s="1">
        <v>35584</v>
      </c>
      <c r="F267" s="1">
        <v>35548</v>
      </c>
      <c r="G267">
        <v>1</v>
      </c>
      <c r="H267" s="2">
        <v>105.65</v>
      </c>
      <c r="I267" t="s">
        <v>186</v>
      </c>
      <c r="J267" t="s">
        <v>187</v>
      </c>
      <c r="K267" t="s">
        <v>188</v>
      </c>
      <c r="L267" t="s">
        <v>18</v>
      </c>
      <c r="M267">
        <v>70563</v>
      </c>
      <c r="N267" t="s">
        <v>24</v>
      </c>
      <c r="O267">
        <f>Orders[[#This Row],[requiredDate]]-Orders[[#This Row],[orderDate]]</f>
        <v>42</v>
      </c>
      <c r="P267">
        <f>Orders[[#This Row],[shippedDate]]-Orders[[#This Row],[orderDate]]</f>
        <v>6</v>
      </c>
      <c r="Q267">
        <f>Orders[[#This Row],[requiredDate]]-Orders[[#This Row],[shippedDate]]</f>
        <v>36</v>
      </c>
    </row>
    <row r="268" spans="1:17" x14ac:dyDescent="0.2">
      <c r="A268">
        <v>10514</v>
      </c>
      <c r="B268" t="s">
        <v>63</v>
      </c>
      <c r="C268">
        <v>3</v>
      </c>
      <c r="D268" s="1">
        <v>35542</v>
      </c>
      <c r="E268" s="1">
        <v>35570</v>
      </c>
      <c r="F268" s="1">
        <v>35566</v>
      </c>
      <c r="G268">
        <v>2</v>
      </c>
      <c r="H268" s="2">
        <v>789.95</v>
      </c>
      <c r="I268" t="s">
        <v>64</v>
      </c>
      <c r="J268" t="s">
        <v>65</v>
      </c>
      <c r="K268" t="s">
        <v>66</v>
      </c>
      <c r="L268" t="s">
        <v>18</v>
      </c>
      <c r="M268">
        <v>8010</v>
      </c>
      <c r="N268" t="s">
        <v>67</v>
      </c>
      <c r="O268">
        <f>Orders[[#This Row],[requiredDate]]-Orders[[#This Row],[orderDate]]</f>
        <v>28</v>
      </c>
      <c r="P268">
        <f>Orders[[#This Row],[shippedDate]]-Orders[[#This Row],[orderDate]]</f>
        <v>24</v>
      </c>
      <c r="Q268">
        <f>Orders[[#This Row],[requiredDate]]-Orders[[#This Row],[shippedDate]]</f>
        <v>4</v>
      </c>
    </row>
    <row r="269" spans="1:17" x14ac:dyDescent="0.2">
      <c r="A269">
        <v>10515</v>
      </c>
      <c r="B269" t="s">
        <v>121</v>
      </c>
      <c r="C269">
        <v>2</v>
      </c>
      <c r="D269" s="1">
        <v>35543</v>
      </c>
      <c r="E269" s="1">
        <v>35557</v>
      </c>
      <c r="F269" s="1">
        <v>35573</v>
      </c>
      <c r="G269">
        <v>1</v>
      </c>
      <c r="H269" s="2">
        <v>204.47</v>
      </c>
      <c r="I269" t="s">
        <v>122</v>
      </c>
      <c r="J269" t="s">
        <v>123</v>
      </c>
      <c r="K269" t="s">
        <v>124</v>
      </c>
      <c r="L269" t="s">
        <v>18</v>
      </c>
      <c r="M269">
        <v>1307</v>
      </c>
      <c r="N269" t="s">
        <v>24</v>
      </c>
      <c r="O269">
        <f>Orders[[#This Row],[requiredDate]]-Orders[[#This Row],[orderDate]]</f>
        <v>14</v>
      </c>
      <c r="P269">
        <f>Orders[[#This Row],[shippedDate]]-Orders[[#This Row],[orderDate]]</f>
        <v>30</v>
      </c>
      <c r="Q269">
        <f>Orders[[#This Row],[requiredDate]]-Orders[[#This Row],[shippedDate]]</f>
        <v>-16</v>
      </c>
    </row>
    <row r="270" spans="1:17" x14ac:dyDescent="0.2">
      <c r="A270">
        <v>10516</v>
      </c>
      <c r="B270" t="s">
        <v>179</v>
      </c>
      <c r="C270">
        <v>2</v>
      </c>
      <c r="D270" s="1">
        <v>35544</v>
      </c>
      <c r="E270" s="1">
        <v>35572</v>
      </c>
      <c r="F270" s="1">
        <v>35551</v>
      </c>
      <c r="G270">
        <v>3</v>
      </c>
      <c r="H270" s="2">
        <v>62.78</v>
      </c>
      <c r="I270" t="s">
        <v>180</v>
      </c>
      <c r="J270" t="s">
        <v>181</v>
      </c>
      <c r="K270" t="s">
        <v>182</v>
      </c>
      <c r="L270" t="s">
        <v>183</v>
      </c>
      <c r="M270" t="s">
        <v>18</v>
      </c>
      <c r="N270" t="s">
        <v>184</v>
      </c>
      <c r="O270">
        <f>Orders[[#This Row],[requiredDate]]-Orders[[#This Row],[orderDate]]</f>
        <v>28</v>
      </c>
      <c r="P270">
        <f>Orders[[#This Row],[shippedDate]]-Orders[[#This Row],[orderDate]]</f>
        <v>7</v>
      </c>
      <c r="Q270">
        <f>Orders[[#This Row],[requiredDate]]-Orders[[#This Row],[shippedDate]]</f>
        <v>21</v>
      </c>
    </row>
    <row r="271" spans="1:17" x14ac:dyDescent="0.2">
      <c r="A271">
        <v>10517</v>
      </c>
      <c r="B271" t="s">
        <v>367</v>
      </c>
      <c r="C271">
        <v>3</v>
      </c>
      <c r="D271" s="1">
        <v>35544</v>
      </c>
      <c r="E271" s="1">
        <v>35572</v>
      </c>
      <c r="F271" s="1">
        <v>35549</v>
      </c>
      <c r="G271">
        <v>3</v>
      </c>
      <c r="H271" s="2">
        <v>32.07</v>
      </c>
      <c r="I271" t="s">
        <v>368</v>
      </c>
      <c r="J271" t="s">
        <v>369</v>
      </c>
      <c r="K271" t="s">
        <v>167</v>
      </c>
      <c r="L271" t="s">
        <v>18</v>
      </c>
      <c r="M271" t="s">
        <v>370</v>
      </c>
      <c r="N271" t="s">
        <v>169</v>
      </c>
      <c r="O271">
        <f>Orders[[#This Row],[requiredDate]]-Orders[[#This Row],[orderDate]]</f>
        <v>28</v>
      </c>
      <c r="P271">
        <f>Orders[[#This Row],[shippedDate]]-Orders[[#This Row],[orderDate]]</f>
        <v>5</v>
      </c>
      <c r="Q271">
        <f>Orders[[#This Row],[requiredDate]]-Orders[[#This Row],[shippedDate]]</f>
        <v>23</v>
      </c>
    </row>
    <row r="272" spans="1:17" x14ac:dyDescent="0.2">
      <c r="A272">
        <v>10518</v>
      </c>
      <c r="B272" t="s">
        <v>130</v>
      </c>
      <c r="C272">
        <v>4</v>
      </c>
      <c r="D272" s="1">
        <v>35545</v>
      </c>
      <c r="E272" s="1">
        <v>35559</v>
      </c>
      <c r="F272" s="1">
        <v>35555</v>
      </c>
      <c r="G272">
        <v>2</v>
      </c>
      <c r="H272" s="2">
        <v>218.15</v>
      </c>
      <c r="I272" t="s">
        <v>131</v>
      </c>
      <c r="J272" t="s">
        <v>132</v>
      </c>
      <c r="K272" t="s">
        <v>71</v>
      </c>
      <c r="L272" t="s">
        <v>18</v>
      </c>
      <c r="M272">
        <v>5033</v>
      </c>
      <c r="N272" t="s">
        <v>72</v>
      </c>
      <c r="O272">
        <f>Orders[[#This Row],[requiredDate]]-Orders[[#This Row],[orderDate]]</f>
        <v>14</v>
      </c>
      <c r="P272">
        <f>Orders[[#This Row],[shippedDate]]-Orders[[#This Row],[orderDate]]</f>
        <v>10</v>
      </c>
      <c r="Q272">
        <f>Orders[[#This Row],[requiredDate]]-Orders[[#This Row],[shippedDate]]</f>
        <v>4</v>
      </c>
    </row>
    <row r="273" spans="1:17" x14ac:dyDescent="0.2">
      <c r="A273">
        <v>10519</v>
      </c>
      <c r="B273" t="s">
        <v>42</v>
      </c>
      <c r="C273">
        <v>6</v>
      </c>
      <c r="D273" s="1">
        <v>35548</v>
      </c>
      <c r="E273" s="1">
        <v>35576</v>
      </c>
      <c r="F273" s="1">
        <v>35551</v>
      </c>
      <c r="G273">
        <v>3</v>
      </c>
      <c r="H273" s="2">
        <v>91.76</v>
      </c>
      <c r="I273" t="s">
        <v>43</v>
      </c>
      <c r="J273" t="s">
        <v>44</v>
      </c>
      <c r="K273" t="s">
        <v>45</v>
      </c>
      <c r="L273" t="s">
        <v>18</v>
      </c>
      <c r="M273">
        <v>3012</v>
      </c>
      <c r="N273" t="s">
        <v>46</v>
      </c>
      <c r="O273">
        <f>Orders[[#This Row],[requiredDate]]-Orders[[#This Row],[orderDate]]</f>
        <v>28</v>
      </c>
      <c r="P273">
        <f>Orders[[#This Row],[shippedDate]]-Orders[[#This Row],[orderDate]]</f>
        <v>3</v>
      </c>
      <c r="Q273">
        <f>Orders[[#This Row],[requiredDate]]-Orders[[#This Row],[shippedDate]]</f>
        <v>25</v>
      </c>
    </row>
    <row r="274" spans="1:17" x14ac:dyDescent="0.2">
      <c r="A274">
        <v>10520</v>
      </c>
      <c r="B274" t="s">
        <v>313</v>
      </c>
      <c r="C274">
        <v>7</v>
      </c>
      <c r="D274" s="1">
        <v>35549</v>
      </c>
      <c r="E274" s="1">
        <v>35577</v>
      </c>
      <c r="F274" s="1">
        <v>35551</v>
      </c>
      <c r="G274">
        <v>1</v>
      </c>
      <c r="H274" s="2">
        <v>13.37</v>
      </c>
      <c r="I274" t="s">
        <v>314</v>
      </c>
      <c r="J274" t="s">
        <v>315</v>
      </c>
      <c r="K274" t="s">
        <v>316</v>
      </c>
      <c r="L274" t="s">
        <v>18</v>
      </c>
      <c r="M274">
        <v>4110</v>
      </c>
      <c r="N274" t="s">
        <v>317</v>
      </c>
      <c r="O274">
        <f>Orders[[#This Row],[requiredDate]]-Orders[[#This Row],[orderDate]]</f>
        <v>28</v>
      </c>
      <c r="P274">
        <f>Orders[[#This Row],[shippedDate]]-Orders[[#This Row],[orderDate]]</f>
        <v>2</v>
      </c>
      <c r="Q274">
        <f>Orders[[#This Row],[requiredDate]]-Orders[[#This Row],[shippedDate]]</f>
        <v>26</v>
      </c>
    </row>
    <row r="275" spans="1:17" x14ac:dyDescent="0.2">
      <c r="A275">
        <v>10521</v>
      </c>
      <c r="B275" t="s">
        <v>371</v>
      </c>
      <c r="C275">
        <v>8</v>
      </c>
      <c r="D275" s="1">
        <v>35549</v>
      </c>
      <c r="E275" s="1">
        <v>35577</v>
      </c>
      <c r="F275" s="1">
        <v>35552</v>
      </c>
      <c r="G275">
        <v>2</v>
      </c>
      <c r="H275" s="2">
        <v>17.22</v>
      </c>
      <c r="I275" t="s">
        <v>372</v>
      </c>
      <c r="J275" t="s">
        <v>373</v>
      </c>
      <c r="K275" t="s">
        <v>336</v>
      </c>
      <c r="L275" t="s">
        <v>18</v>
      </c>
      <c r="M275">
        <v>1010</v>
      </c>
      <c r="N275" t="s">
        <v>337</v>
      </c>
      <c r="O275">
        <f>Orders[[#This Row],[requiredDate]]-Orders[[#This Row],[orderDate]]</f>
        <v>28</v>
      </c>
      <c r="P275">
        <f>Orders[[#This Row],[shippedDate]]-Orders[[#This Row],[orderDate]]</f>
        <v>3</v>
      </c>
      <c r="Q275">
        <f>Orders[[#This Row],[requiredDate]]-Orders[[#This Row],[shippedDate]]</f>
        <v>25</v>
      </c>
    </row>
    <row r="276" spans="1:17" x14ac:dyDescent="0.2">
      <c r="A276">
        <v>10522</v>
      </c>
      <c r="B276" t="s">
        <v>142</v>
      </c>
      <c r="C276">
        <v>4</v>
      </c>
      <c r="D276" s="1">
        <v>35550</v>
      </c>
      <c r="E276" s="1">
        <v>35578</v>
      </c>
      <c r="F276" s="1">
        <v>35556</v>
      </c>
      <c r="G276">
        <v>1</v>
      </c>
      <c r="H276" s="2">
        <v>45.33</v>
      </c>
      <c r="I276" t="s">
        <v>143</v>
      </c>
      <c r="J276" t="s">
        <v>144</v>
      </c>
      <c r="K276" t="s">
        <v>145</v>
      </c>
      <c r="L276" t="s">
        <v>18</v>
      </c>
      <c r="M276">
        <v>60528</v>
      </c>
      <c r="N276" t="s">
        <v>24</v>
      </c>
      <c r="O276">
        <f>Orders[[#This Row],[requiredDate]]-Orders[[#This Row],[orderDate]]</f>
        <v>28</v>
      </c>
      <c r="P276">
        <f>Orders[[#This Row],[shippedDate]]-Orders[[#This Row],[orderDate]]</f>
        <v>6</v>
      </c>
      <c r="Q276">
        <f>Orders[[#This Row],[requiredDate]]-Orders[[#This Row],[shippedDate]]</f>
        <v>22</v>
      </c>
    </row>
    <row r="277" spans="1:17" x14ac:dyDescent="0.2">
      <c r="A277">
        <v>10523</v>
      </c>
      <c r="B277" t="s">
        <v>276</v>
      </c>
      <c r="C277">
        <v>7</v>
      </c>
      <c r="D277" s="1">
        <v>35551</v>
      </c>
      <c r="E277" s="1">
        <v>35579</v>
      </c>
      <c r="F277" s="1">
        <v>35580</v>
      </c>
      <c r="G277">
        <v>2</v>
      </c>
      <c r="H277" s="2">
        <v>77.63</v>
      </c>
      <c r="I277" t="s">
        <v>277</v>
      </c>
      <c r="J277" t="s">
        <v>278</v>
      </c>
      <c r="K277" t="s">
        <v>167</v>
      </c>
      <c r="L277" t="s">
        <v>18</v>
      </c>
      <c r="M277" t="s">
        <v>279</v>
      </c>
      <c r="N277" t="s">
        <v>169</v>
      </c>
      <c r="O277">
        <f>Orders[[#This Row],[requiredDate]]-Orders[[#This Row],[orderDate]]</f>
        <v>28</v>
      </c>
      <c r="P277">
        <f>Orders[[#This Row],[shippedDate]]-Orders[[#This Row],[orderDate]]</f>
        <v>29</v>
      </c>
      <c r="Q277">
        <f>Orders[[#This Row],[requiredDate]]-Orders[[#This Row],[shippedDate]]</f>
        <v>-1</v>
      </c>
    </row>
    <row r="278" spans="1:17" x14ac:dyDescent="0.2">
      <c r="A278">
        <v>10524</v>
      </c>
      <c r="B278" t="s">
        <v>137</v>
      </c>
      <c r="C278">
        <v>1</v>
      </c>
      <c r="D278" s="1">
        <v>35551</v>
      </c>
      <c r="E278" s="1">
        <v>35579</v>
      </c>
      <c r="F278" s="1">
        <v>35557</v>
      </c>
      <c r="G278">
        <v>2</v>
      </c>
      <c r="H278" s="2">
        <v>244.79</v>
      </c>
      <c r="I278" t="s">
        <v>138</v>
      </c>
      <c r="J278" t="s">
        <v>139</v>
      </c>
      <c r="K278" t="s">
        <v>140</v>
      </c>
      <c r="L278" t="s">
        <v>18</v>
      </c>
      <c r="M278" t="s">
        <v>141</v>
      </c>
      <c r="N278" t="s">
        <v>92</v>
      </c>
      <c r="O278">
        <f>Orders[[#This Row],[requiredDate]]-Orders[[#This Row],[orderDate]]</f>
        <v>28</v>
      </c>
      <c r="P278">
        <f>Orders[[#This Row],[shippedDate]]-Orders[[#This Row],[orderDate]]</f>
        <v>6</v>
      </c>
      <c r="Q278">
        <f>Orders[[#This Row],[requiredDate]]-Orders[[#This Row],[shippedDate]]</f>
        <v>22</v>
      </c>
    </row>
    <row r="279" spans="1:17" x14ac:dyDescent="0.2">
      <c r="A279">
        <v>10525</v>
      </c>
      <c r="B279" t="s">
        <v>239</v>
      </c>
      <c r="C279">
        <v>1</v>
      </c>
      <c r="D279" s="1">
        <v>35552</v>
      </c>
      <c r="E279" s="1">
        <v>35580</v>
      </c>
      <c r="F279" s="1">
        <v>35573</v>
      </c>
      <c r="G279">
        <v>2</v>
      </c>
      <c r="H279" s="2">
        <v>11.06</v>
      </c>
      <c r="I279" t="s">
        <v>240</v>
      </c>
      <c r="J279" t="s">
        <v>241</v>
      </c>
      <c r="K279" t="s">
        <v>242</v>
      </c>
      <c r="L279" t="s">
        <v>18</v>
      </c>
      <c r="M279">
        <v>13008</v>
      </c>
      <c r="N279" t="s">
        <v>19</v>
      </c>
      <c r="O279">
        <f>Orders[[#This Row],[requiredDate]]-Orders[[#This Row],[orderDate]]</f>
        <v>28</v>
      </c>
      <c r="P279">
        <f>Orders[[#This Row],[shippedDate]]-Orders[[#This Row],[orderDate]]</f>
        <v>21</v>
      </c>
      <c r="Q279">
        <f>Orders[[#This Row],[requiredDate]]-Orders[[#This Row],[shippedDate]]</f>
        <v>7</v>
      </c>
    </row>
    <row r="280" spans="1:17" x14ac:dyDescent="0.2">
      <c r="A280">
        <v>10526</v>
      </c>
      <c r="B280" t="s">
        <v>97</v>
      </c>
      <c r="C280">
        <v>4</v>
      </c>
      <c r="D280" s="1">
        <v>35555</v>
      </c>
      <c r="E280" s="1">
        <v>35583</v>
      </c>
      <c r="F280" s="1">
        <v>35565</v>
      </c>
      <c r="G280">
        <v>2</v>
      </c>
      <c r="H280" s="2">
        <v>58.59</v>
      </c>
      <c r="I280" t="s">
        <v>98</v>
      </c>
      <c r="J280" t="s">
        <v>99</v>
      </c>
      <c r="K280" t="s">
        <v>100</v>
      </c>
      <c r="L280" t="s">
        <v>18</v>
      </c>
      <c r="M280">
        <v>90110</v>
      </c>
      <c r="N280" t="s">
        <v>101</v>
      </c>
      <c r="O280">
        <f>Orders[[#This Row],[requiredDate]]-Orders[[#This Row],[orderDate]]</f>
        <v>28</v>
      </c>
      <c r="P280">
        <f>Orders[[#This Row],[shippedDate]]-Orders[[#This Row],[orderDate]]</f>
        <v>10</v>
      </c>
      <c r="Q280">
        <f>Orders[[#This Row],[requiredDate]]-Orders[[#This Row],[shippedDate]]</f>
        <v>18</v>
      </c>
    </row>
    <row r="281" spans="1:17" x14ac:dyDescent="0.2">
      <c r="A281">
        <v>10527</v>
      </c>
      <c r="B281" t="s">
        <v>121</v>
      </c>
      <c r="C281">
        <v>7</v>
      </c>
      <c r="D281" s="1">
        <v>35555</v>
      </c>
      <c r="E281" s="1">
        <v>35583</v>
      </c>
      <c r="F281" s="1">
        <v>35557</v>
      </c>
      <c r="G281">
        <v>1</v>
      </c>
      <c r="H281" s="2">
        <v>41.9</v>
      </c>
      <c r="I281" t="s">
        <v>122</v>
      </c>
      <c r="J281" t="s">
        <v>123</v>
      </c>
      <c r="K281" t="s">
        <v>124</v>
      </c>
      <c r="L281" t="s">
        <v>18</v>
      </c>
      <c r="M281">
        <v>1307</v>
      </c>
      <c r="N281" t="s">
        <v>24</v>
      </c>
      <c r="O281">
        <f>Orders[[#This Row],[requiredDate]]-Orders[[#This Row],[orderDate]]</f>
        <v>28</v>
      </c>
      <c r="P281">
        <f>Orders[[#This Row],[shippedDate]]-Orders[[#This Row],[orderDate]]</f>
        <v>2</v>
      </c>
      <c r="Q281">
        <f>Orders[[#This Row],[requiredDate]]-Orders[[#This Row],[shippedDate]]</f>
        <v>26</v>
      </c>
    </row>
    <row r="282" spans="1:17" x14ac:dyDescent="0.2">
      <c r="A282">
        <v>10528</v>
      </c>
      <c r="B282" t="s">
        <v>374</v>
      </c>
      <c r="C282">
        <v>6</v>
      </c>
      <c r="D282" s="1">
        <v>35556</v>
      </c>
      <c r="E282" s="1">
        <v>35570</v>
      </c>
      <c r="F282" s="1">
        <v>35559</v>
      </c>
      <c r="G282">
        <v>2</v>
      </c>
      <c r="H282" s="2">
        <v>3.35</v>
      </c>
      <c r="I282" t="s">
        <v>375</v>
      </c>
      <c r="J282" t="s">
        <v>376</v>
      </c>
      <c r="K282" t="s">
        <v>377</v>
      </c>
      <c r="L282" t="s">
        <v>202</v>
      </c>
      <c r="M282">
        <v>97403</v>
      </c>
      <c r="N282" t="s">
        <v>86</v>
      </c>
      <c r="O282">
        <f>Orders[[#This Row],[requiredDate]]-Orders[[#This Row],[orderDate]]</f>
        <v>14</v>
      </c>
      <c r="P282">
        <f>Orders[[#This Row],[shippedDate]]-Orders[[#This Row],[orderDate]]</f>
        <v>3</v>
      </c>
      <c r="Q282">
        <f>Orders[[#This Row],[requiredDate]]-Orders[[#This Row],[shippedDate]]</f>
        <v>11</v>
      </c>
    </row>
    <row r="283" spans="1:17" x14ac:dyDescent="0.2">
      <c r="A283">
        <v>10529</v>
      </c>
      <c r="B283" t="s">
        <v>378</v>
      </c>
      <c r="C283">
        <v>5</v>
      </c>
      <c r="D283" s="1">
        <v>35557</v>
      </c>
      <c r="E283" s="1">
        <v>35585</v>
      </c>
      <c r="F283" s="1">
        <v>35559</v>
      </c>
      <c r="G283">
        <v>2</v>
      </c>
      <c r="H283" s="2">
        <v>66.69</v>
      </c>
      <c r="I283" t="s">
        <v>379</v>
      </c>
      <c r="J283" t="s">
        <v>380</v>
      </c>
      <c r="K283" t="s">
        <v>381</v>
      </c>
      <c r="L283" t="s">
        <v>18</v>
      </c>
      <c r="M283" t="s">
        <v>382</v>
      </c>
      <c r="N283" t="s">
        <v>41</v>
      </c>
      <c r="O283">
        <f>Orders[[#This Row],[requiredDate]]-Orders[[#This Row],[orderDate]]</f>
        <v>28</v>
      </c>
      <c r="P283">
        <f>Orders[[#This Row],[shippedDate]]-Orders[[#This Row],[orderDate]]</f>
        <v>2</v>
      </c>
      <c r="Q283">
        <f>Orders[[#This Row],[requiredDate]]-Orders[[#This Row],[shippedDate]]</f>
        <v>26</v>
      </c>
    </row>
    <row r="284" spans="1:17" x14ac:dyDescent="0.2">
      <c r="A284">
        <v>10530</v>
      </c>
      <c r="B284" t="s">
        <v>266</v>
      </c>
      <c r="C284">
        <v>3</v>
      </c>
      <c r="D284" s="1">
        <v>35558</v>
      </c>
      <c r="E284" s="1">
        <v>35586</v>
      </c>
      <c r="F284" s="1">
        <v>35562</v>
      </c>
      <c r="G284">
        <v>2</v>
      </c>
      <c r="H284" s="2">
        <v>339.22</v>
      </c>
      <c r="I284" t="s">
        <v>267</v>
      </c>
      <c r="J284" t="s">
        <v>268</v>
      </c>
      <c r="K284" t="s">
        <v>269</v>
      </c>
      <c r="L284" t="s">
        <v>18</v>
      </c>
      <c r="M284">
        <v>5020</v>
      </c>
      <c r="N284" t="s">
        <v>67</v>
      </c>
      <c r="O284">
        <f>Orders[[#This Row],[requiredDate]]-Orders[[#This Row],[orderDate]]</f>
        <v>28</v>
      </c>
      <c r="P284">
        <f>Orders[[#This Row],[shippedDate]]-Orders[[#This Row],[orderDate]]</f>
        <v>4</v>
      </c>
      <c r="Q284">
        <f>Orders[[#This Row],[requiredDate]]-Orders[[#This Row],[shippedDate]]</f>
        <v>24</v>
      </c>
    </row>
    <row r="285" spans="1:17" x14ac:dyDescent="0.2">
      <c r="A285">
        <v>10531</v>
      </c>
      <c r="B285" t="s">
        <v>333</v>
      </c>
      <c r="C285">
        <v>7</v>
      </c>
      <c r="D285" s="1">
        <v>35558</v>
      </c>
      <c r="E285" s="1">
        <v>35586</v>
      </c>
      <c r="F285" s="1">
        <v>35569</v>
      </c>
      <c r="G285">
        <v>1</v>
      </c>
      <c r="H285" s="2">
        <v>8.1199999999999992</v>
      </c>
      <c r="I285" t="s">
        <v>334</v>
      </c>
      <c r="J285" t="s">
        <v>335</v>
      </c>
      <c r="K285" t="s">
        <v>336</v>
      </c>
      <c r="L285" t="s">
        <v>18</v>
      </c>
      <c r="M285">
        <v>1010</v>
      </c>
      <c r="N285" t="s">
        <v>337</v>
      </c>
      <c r="O285">
        <f>Orders[[#This Row],[requiredDate]]-Orders[[#This Row],[orderDate]]</f>
        <v>28</v>
      </c>
      <c r="P285">
        <f>Orders[[#This Row],[shippedDate]]-Orders[[#This Row],[orderDate]]</f>
        <v>11</v>
      </c>
      <c r="Q285">
        <f>Orders[[#This Row],[requiredDate]]-Orders[[#This Row],[shippedDate]]</f>
        <v>17</v>
      </c>
    </row>
    <row r="286" spans="1:17" x14ac:dyDescent="0.2">
      <c r="A286">
        <v>10532</v>
      </c>
      <c r="B286" t="s">
        <v>284</v>
      </c>
      <c r="C286">
        <v>7</v>
      </c>
      <c r="D286" s="1">
        <v>35559</v>
      </c>
      <c r="E286" s="1">
        <v>35587</v>
      </c>
      <c r="F286" s="1">
        <v>35562</v>
      </c>
      <c r="G286">
        <v>3</v>
      </c>
      <c r="H286" s="2">
        <v>74.459999999999994</v>
      </c>
      <c r="I286" t="s">
        <v>285</v>
      </c>
      <c r="J286" t="s">
        <v>286</v>
      </c>
      <c r="K286" t="s">
        <v>167</v>
      </c>
      <c r="L286" t="s">
        <v>18</v>
      </c>
      <c r="M286" t="s">
        <v>287</v>
      </c>
      <c r="N286" t="s">
        <v>169</v>
      </c>
      <c r="O286">
        <f>Orders[[#This Row],[requiredDate]]-Orders[[#This Row],[orderDate]]</f>
        <v>28</v>
      </c>
      <c r="P286">
        <f>Orders[[#This Row],[shippedDate]]-Orders[[#This Row],[orderDate]]</f>
        <v>3</v>
      </c>
      <c r="Q286">
        <f>Orders[[#This Row],[requiredDate]]-Orders[[#This Row],[shippedDate]]</f>
        <v>25</v>
      </c>
    </row>
    <row r="287" spans="1:17" x14ac:dyDescent="0.2">
      <c r="A287">
        <v>10533</v>
      </c>
      <c r="B287" t="s">
        <v>87</v>
      </c>
      <c r="C287">
        <v>8</v>
      </c>
      <c r="D287" s="1">
        <v>35562</v>
      </c>
      <c r="E287" s="1">
        <v>35590</v>
      </c>
      <c r="F287" s="1">
        <v>35572</v>
      </c>
      <c r="G287">
        <v>1</v>
      </c>
      <c r="H287" s="2">
        <v>188.04</v>
      </c>
      <c r="I287" t="s">
        <v>88</v>
      </c>
      <c r="J287" t="s">
        <v>89</v>
      </c>
      <c r="K287" t="s">
        <v>90</v>
      </c>
      <c r="L287" t="s">
        <v>18</v>
      </c>
      <c r="M287" t="s">
        <v>91</v>
      </c>
      <c r="N287" t="s">
        <v>92</v>
      </c>
      <c r="O287">
        <f>Orders[[#This Row],[requiredDate]]-Orders[[#This Row],[orderDate]]</f>
        <v>28</v>
      </c>
      <c r="P287">
        <f>Orders[[#This Row],[shippedDate]]-Orders[[#This Row],[orderDate]]</f>
        <v>10</v>
      </c>
      <c r="Q287">
        <f>Orders[[#This Row],[requiredDate]]-Orders[[#This Row],[shippedDate]]</f>
        <v>18</v>
      </c>
    </row>
    <row r="288" spans="1:17" x14ac:dyDescent="0.2">
      <c r="A288">
        <v>10534</v>
      </c>
      <c r="B288" t="s">
        <v>142</v>
      </c>
      <c r="C288">
        <v>8</v>
      </c>
      <c r="D288" s="1">
        <v>35562</v>
      </c>
      <c r="E288" s="1">
        <v>35590</v>
      </c>
      <c r="F288" s="1">
        <v>35564</v>
      </c>
      <c r="G288">
        <v>2</v>
      </c>
      <c r="H288" s="2">
        <v>27.94</v>
      </c>
      <c r="I288" t="s">
        <v>143</v>
      </c>
      <c r="J288" t="s">
        <v>144</v>
      </c>
      <c r="K288" t="s">
        <v>145</v>
      </c>
      <c r="L288" t="s">
        <v>18</v>
      </c>
      <c r="M288">
        <v>60528</v>
      </c>
      <c r="N288" t="s">
        <v>24</v>
      </c>
      <c r="O288">
        <f>Orders[[#This Row],[requiredDate]]-Orders[[#This Row],[orderDate]]</f>
        <v>28</v>
      </c>
      <c r="P288">
        <f>Orders[[#This Row],[shippedDate]]-Orders[[#This Row],[orderDate]]</f>
        <v>2</v>
      </c>
      <c r="Q288">
        <f>Orders[[#This Row],[requiredDate]]-Orders[[#This Row],[shippedDate]]</f>
        <v>26</v>
      </c>
    </row>
    <row r="289" spans="1:17" x14ac:dyDescent="0.2">
      <c r="A289">
        <v>10535</v>
      </c>
      <c r="B289" t="s">
        <v>288</v>
      </c>
      <c r="C289">
        <v>4</v>
      </c>
      <c r="D289" s="1">
        <v>35563</v>
      </c>
      <c r="E289" s="1">
        <v>35591</v>
      </c>
      <c r="F289" s="1">
        <v>35571</v>
      </c>
      <c r="G289">
        <v>1</v>
      </c>
      <c r="H289" s="2">
        <v>15.64</v>
      </c>
      <c r="I289" t="s">
        <v>289</v>
      </c>
      <c r="J289" t="s">
        <v>290</v>
      </c>
      <c r="K289" t="s">
        <v>71</v>
      </c>
      <c r="L289" t="s">
        <v>18</v>
      </c>
      <c r="M289">
        <v>5023</v>
      </c>
      <c r="N289" t="s">
        <v>72</v>
      </c>
      <c r="O289">
        <f>Orders[[#This Row],[requiredDate]]-Orders[[#This Row],[orderDate]]</f>
        <v>28</v>
      </c>
      <c r="P289">
        <f>Orders[[#This Row],[shippedDate]]-Orders[[#This Row],[orderDate]]</f>
        <v>8</v>
      </c>
      <c r="Q289">
        <f>Orders[[#This Row],[requiredDate]]-Orders[[#This Row],[shippedDate]]</f>
        <v>20</v>
      </c>
    </row>
    <row r="290" spans="1:17" x14ac:dyDescent="0.2">
      <c r="A290">
        <v>10536</v>
      </c>
      <c r="B290" t="s">
        <v>142</v>
      </c>
      <c r="C290">
        <v>3</v>
      </c>
      <c r="D290" s="1">
        <v>35564</v>
      </c>
      <c r="E290" s="1">
        <v>35592</v>
      </c>
      <c r="F290" s="1">
        <v>35587</v>
      </c>
      <c r="G290">
        <v>2</v>
      </c>
      <c r="H290" s="2">
        <v>58.88</v>
      </c>
      <c r="I290" t="s">
        <v>143</v>
      </c>
      <c r="J290" t="s">
        <v>144</v>
      </c>
      <c r="K290" t="s">
        <v>145</v>
      </c>
      <c r="L290" t="s">
        <v>18</v>
      </c>
      <c r="M290">
        <v>60528</v>
      </c>
      <c r="N290" t="s">
        <v>24</v>
      </c>
      <c r="O290">
        <f>Orders[[#This Row],[requiredDate]]-Orders[[#This Row],[orderDate]]</f>
        <v>28</v>
      </c>
      <c r="P290">
        <f>Orders[[#This Row],[shippedDate]]-Orders[[#This Row],[orderDate]]</f>
        <v>23</v>
      </c>
      <c r="Q290">
        <f>Orders[[#This Row],[requiredDate]]-Orders[[#This Row],[shippedDate]]</f>
        <v>5</v>
      </c>
    </row>
    <row r="291" spans="1:17" x14ac:dyDescent="0.2">
      <c r="A291">
        <v>10537</v>
      </c>
      <c r="B291" t="s">
        <v>47</v>
      </c>
      <c r="C291">
        <v>1</v>
      </c>
      <c r="D291" s="1">
        <v>35564</v>
      </c>
      <c r="E291" s="1">
        <v>35578</v>
      </c>
      <c r="F291" s="1">
        <v>35569</v>
      </c>
      <c r="G291">
        <v>1</v>
      </c>
      <c r="H291" s="2">
        <v>78.849999999999994</v>
      </c>
      <c r="I291" t="s">
        <v>48</v>
      </c>
      <c r="J291" t="s">
        <v>49</v>
      </c>
      <c r="K291" t="s">
        <v>50</v>
      </c>
      <c r="L291" t="s">
        <v>18</v>
      </c>
      <c r="M291">
        <v>1204</v>
      </c>
      <c r="N291" t="s">
        <v>46</v>
      </c>
      <c r="O291">
        <f>Orders[[#This Row],[requiredDate]]-Orders[[#This Row],[orderDate]]</f>
        <v>14</v>
      </c>
      <c r="P291">
        <f>Orders[[#This Row],[shippedDate]]-Orders[[#This Row],[orderDate]]</f>
        <v>5</v>
      </c>
      <c r="Q291">
        <f>Orders[[#This Row],[requiredDate]]-Orders[[#This Row],[shippedDate]]</f>
        <v>9</v>
      </c>
    </row>
    <row r="292" spans="1:17" x14ac:dyDescent="0.2">
      <c r="A292">
        <v>10538</v>
      </c>
      <c r="B292" t="s">
        <v>164</v>
      </c>
      <c r="C292">
        <v>9</v>
      </c>
      <c r="D292" s="1">
        <v>35565</v>
      </c>
      <c r="E292" s="1">
        <v>35593</v>
      </c>
      <c r="F292" s="1">
        <v>35566</v>
      </c>
      <c r="G292">
        <v>3</v>
      </c>
      <c r="H292" s="2">
        <v>4.87</v>
      </c>
      <c r="I292" t="s">
        <v>165</v>
      </c>
      <c r="J292" t="s">
        <v>166</v>
      </c>
      <c r="K292" t="s">
        <v>167</v>
      </c>
      <c r="L292" t="s">
        <v>18</v>
      </c>
      <c r="M292" t="s">
        <v>168</v>
      </c>
      <c r="N292" t="s">
        <v>169</v>
      </c>
      <c r="O292">
        <f>Orders[[#This Row],[requiredDate]]-Orders[[#This Row],[orderDate]]</f>
        <v>28</v>
      </c>
      <c r="P292">
        <f>Orders[[#This Row],[shippedDate]]-Orders[[#This Row],[orderDate]]</f>
        <v>1</v>
      </c>
      <c r="Q292">
        <f>Orders[[#This Row],[requiredDate]]-Orders[[#This Row],[shippedDate]]</f>
        <v>27</v>
      </c>
    </row>
    <row r="293" spans="1:17" x14ac:dyDescent="0.2">
      <c r="A293">
        <v>10539</v>
      </c>
      <c r="B293" t="s">
        <v>164</v>
      </c>
      <c r="C293">
        <v>6</v>
      </c>
      <c r="D293" s="1">
        <v>35566</v>
      </c>
      <c r="E293" s="1">
        <v>35594</v>
      </c>
      <c r="F293" s="1">
        <v>35573</v>
      </c>
      <c r="G293">
        <v>3</v>
      </c>
      <c r="H293" s="2">
        <v>12.36</v>
      </c>
      <c r="I293" t="s">
        <v>165</v>
      </c>
      <c r="J293" t="s">
        <v>166</v>
      </c>
      <c r="K293" t="s">
        <v>167</v>
      </c>
      <c r="L293" t="s">
        <v>18</v>
      </c>
      <c r="M293" t="s">
        <v>168</v>
      </c>
      <c r="N293" t="s">
        <v>169</v>
      </c>
      <c r="O293">
        <f>Orders[[#This Row],[requiredDate]]-Orders[[#This Row],[orderDate]]</f>
        <v>28</v>
      </c>
      <c r="P293">
        <f>Orders[[#This Row],[shippedDate]]-Orders[[#This Row],[orderDate]]</f>
        <v>7</v>
      </c>
      <c r="Q293">
        <f>Orders[[#This Row],[requiredDate]]-Orders[[#This Row],[shippedDate]]</f>
        <v>21</v>
      </c>
    </row>
    <row r="294" spans="1:17" x14ac:dyDescent="0.2">
      <c r="A294">
        <v>10540</v>
      </c>
      <c r="B294" t="s">
        <v>121</v>
      </c>
      <c r="C294">
        <v>3</v>
      </c>
      <c r="D294" s="1">
        <v>35569</v>
      </c>
      <c r="E294" s="1">
        <v>35597</v>
      </c>
      <c r="F294" s="1">
        <v>35594</v>
      </c>
      <c r="G294">
        <v>3</v>
      </c>
      <c r="H294" s="2">
        <v>1007.64</v>
      </c>
      <c r="I294" t="s">
        <v>122</v>
      </c>
      <c r="J294" t="s">
        <v>123</v>
      </c>
      <c r="K294" t="s">
        <v>124</v>
      </c>
      <c r="L294" t="s">
        <v>18</v>
      </c>
      <c r="M294">
        <v>1307</v>
      </c>
      <c r="N294" t="s">
        <v>24</v>
      </c>
      <c r="O294">
        <f>Orders[[#This Row],[requiredDate]]-Orders[[#This Row],[orderDate]]</f>
        <v>28</v>
      </c>
      <c r="P294">
        <f>Orders[[#This Row],[shippedDate]]-Orders[[#This Row],[orderDate]]</f>
        <v>25</v>
      </c>
      <c r="Q294">
        <f>Orders[[#This Row],[requiredDate]]-Orders[[#This Row],[shippedDate]]</f>
        <v>3</v>
      </c>
    </row>
    <row r="295" spans="1:17" x14ac:dyDescent="0.2">
      <c r="A295">
        <v>10541</v>
      </c>
      <c r="B295" t="s">
        <v>25</v>
      </c>
      <c r="C295">
        <v>2</v>
      </c>
      <c r="D295" s="1">
        <v>35569</v>
      </c>
      <c r="E295" s="1">
        <v>35597</v>
      </c>
      <c r="F295" s="1">
        <v>35579</v>
      </c>
      <c r="G295">
        <v>1</v>
      </c>
      <c r="H295" s="2">
        <v>68.650000000000006</v>
      </c>
      <c r="I295" t="s">
        <v>26</v>
      </c>
      <c r="J295" t="s">
        <v>27</v>
      </c>
      <c r="K295" t="s">
        <v>28</v>
      </c>
      <c r="L295" t="s">
        <v>29</v>
      </c>
      <c r="M295" t="s">
        <v>30</v>
      </c>
      <c r="N295" t="s">
        <v>31</v>
      </c>
      <c r="O295">
        <f>Orders[[#This Row],[requiredDate]]-Orders[[#This Row],[orderDate]]</f>
        <v>28</v>
      </c>
      <c r="P295">
        <f>Orders[[#This Row],[shippedDate]]-Orders[[#This Row],[orderDate]]</f>
        <v>10</v>
      </c>
      <c r="Q295">
        <f>Orders[[#This Row],[requiredDate]]-Orders[[#This Row],[shippedDate]]</f>
        <v>18</v>
      </c>
    </row>
    <row r="296" spans="1:17" x14ac:dyDescent="0.2">
      <c r="A296">
        <v>10542</v>
      </c>
      <c r="B296" t="s">
        <v>222</v>
      </c>
      <c r="C296">
        <v>1</v>
      </c>
      <c r="D296" s="1">
        <v>35570</v>
      </c>
      <c r="E296" s="1">
        <v>35598</v>
      </c>
      <c r="F296" s="1">
        <v>35576</v>
      </c>
      <c r="G296">
        <v>3</v>
      </c>
      <c r="H296" s="2">
        <v>10.95</v>
      </c>
      <c r="I296" t="s">
        <v>223</v>
      </c>
      <c r="J296" t="s">
        <v>224</v>
      </c>
      <c r="K296" t="s">
        <v>225</v>
      </c>
      <c r="L296" t="s">
        <v>18</v>
      </c>
      <c r="M296">
        <v>14776</v>
      </c>
      <c r="N296" t="s">
        <v>24</v>
      </c>
      <c r="O296">
        <f>Orders[[#This Row],[requiredDate]]-Orders[[#This Row],[orderDate]]</f>
        <v>28</v>
      </c>
      <c r="P296">
        <f>Orders[[#This Row],[shippedDate]]-Orders[[#This Row],[orderDate]]</f>
        <v>6</v>
      </c>
      <c r="Q296">
        <f>Orders[[#This Row],[requiredDate]]-Orders[[#This Row],[shippedDate]]</f>
        <v>22</v>
      </c>
    </row>
    <row r="297" spans="1:17" x14ac:dyDescent="0.2">
      <c r="A297">
        <v>10543</v>
      </c>
      <c r="B297" t="s">
        <v>151</v>
      </c>
      <c r="C297">
        <v>8</v>
      </c>
      <c r="D297" s="1">
        <v>35571</v>
      </c>
      <c r="E297" s="1">
        <v>35599</v>
      </c>
      <c r="F297" s="1">
        <v>35573</v>
      </c>
      <c r="G297">
        <v>2</v>
      </c>
      <c r="H297" s="2">
        <v>48.17</v>
      </c>
      <c r="I297" t="s">
        <v>152</v>
      </c>
      <c r="J297" t="s">
        <v>153</v>
      </c>
      <c r="K297" t="s">
        <v>154</v>
      </c>
      <c r="L297" t="s">
        <v>155</v>
      </c>
      <c r="M297">
        <v>3508</v>
      </c>
      <c r="N297" t="s">
        <v>62</v>
      </c>
      <c r="O297">
        <f>Orders[[#This Row],[requiredDate]]-Orders[[#This Row],[orderDate]]</f>
        <v>28</v>
      </c>
      <c r="P297">
        <f>Orders[[#This Row],[shippedDate]]-Orders[[#This Row],[orderDate]]</f>
        <v>2</v>
      </c>
      <c r="Q297">
        <f>Orders[[#This Row],[requiredDate]]-Orders[[#This Row],[shippedDate]]</f>
        <v>26</v>
      </c>
    </row>
    <row r="298" spans="1:17" x14ac:dyDescent="0.2">
      <c r="A298">
        <v>10544</v>
      </c>
      <c r="B298" t="s">
        <v>198</v>
      </c>
      <c r="C298">
        <v>4</v>
      </c>
      <c r="D298" s="1">
        <v>35571</v>
      </c>
      <c r="E298" s="1">
        <v>35599</v>
      </c>
      <c r="F298" s="1">
        <v>35580</v>
      </c>
      <c r="G298">
        <v>1</v>
      </c>
      <c r="H298" s="2">
        <v>24.91</v>
      </c>
      <c r="I298" t="s">
        <v>199</v>
      </c>
      <c r="J298" t="s">
        <v>200</v>
      </c>
      <c r="K298" t="s">
        <v>201</v>
      </c>
      <c r="L298" t="s">
        <v>202</v>
      </c>
      <c r="M298">
        <v>97219</v>
      </c>
      <c r="N298" t="s">
        <v>86</v>
      </c>
      <c r="O298">
        <f>Orders[[#This Row],[requiredDate]]-Orders[[#This Row],[orderDate]]</f>
        <v>28</v>
      </c>
      <c r="P298">
        <f>Orders[[#This Row],[shippedDate]]-Orders[[#This Row],[orderDate]]</f>
        <v>9</v>
      </c>
      <c r="Q298">
        <f>Orders[[#This Row],[requiredDate]]-Orders[[#This Row],[shippedDate]]</f>
        <v>19</v>
      </c>
    </row>
    <row r="299" spans="1:17" x14ac:dyDescent="0.2">
      <c r="A299">
        <v>10545</v>
      </c>
      <c r="B299" t="s">
        <v>354</v>
      </c>
      <c r="C299">
        <v>8</v>
      </c>
      <c r="D299" s="1">
        <v>35572</v>
      </c>
      <c r="E299" s="1">
        <v>35600</v>
      </c>
      <c r="F299" s="1">
        <v>35607</v>
      </c>
      <c r="G299">
        <v>2</v>
      </c>
      <c r="H299" s="2">
        <v>11.92</v>
      </c>
      <c r="I299" t="s">
        <v>355</v>
      </c>
      <c r="J299" t="s">
        <v>356</v>
      </c>
      <c r="K299" t="s">
        <v>357</v>
      </c>
      <c r="L299" t="s">
        <v>115</v>
      </c>
      <c r="M299">
        <v>99362</v>
      </c>
      <c r="N299" t="s">
        <v>86</v>
      </c>
      <c r="O299">
        <f>Orders[[#This Row],[requiredDate]]-Orders[[#This Row],[orderDate]]</f>
        <v>28</v>
      </c>
      <c r="P299">
        <f>Orders[[#This Row],[shippedDate]]-Orders[[#This Row],[orderDate]]</f>
        <v>35</v>
      </c>
      <c r="Q299">
        <f>Orders[[#This Row],[requiredDate]]-Orders[[#This Row],[shippedDate]]</f>
        <v>-7</v>
      </c>
    </row>
    <row r="300" spans="1:17" x14ac:dyDescent="0.2">
      <c r="A300">
        <v>10546</v>
      </c>
      <c r="B300" t="s">
        <v>32</v>
      </c>
      <c r="C300">
        <v>1</v>
      </c>
      <c r="D300" s="1">
        <v>35573</v>
      </c>
      <c r="E300" s="1">
        <v>35601</v>
      </c>
      <c r="F300" s="1">
        <v>35577</v>
      </c>
      <c r="G300">
        <v>3</v>
      </c>
      <c r="H300" s="2">
        <v>194.72</v>
      </c>
      <c r="I300" t="s">
        <v>33</v>
      </c>
      <c r="J300" t="s">
        <v>34</v>
      </c>
      <c r="K300" t="s">
        <v>35</v>
      </c>
      <c r="L300" t="s">
        <v>18</v>
      </c>
      <c r="M300">
        <v>69004</v>
      </c>
      <c r="N300" t="s">
        <v>19</v>
      </c>
      <c r="O300">
        <f>Orders[[#This Row],[requiredDate]]-Orders[[#This Row],[orderDate]]</f>
        <v>28</v>
      </c>
      <c r="P300">
        <f>Orders[[#This Row],[shippedDate]]-Orders[[#This Row],[orderDate]]</f>
        <v>4</v>
      </c>
      <c r="Q300">
        <f>Orders[[#This Row],[requiredDate]]-Orders[[#This Row],[shippedDate]]</f>
        <v>24</v>
      </c>
    </row>
    <row r="301" spans="1:17" x14ac:dyDescent="0.2">
      <c r="A301">
        <v>10547</v>
      </c>
      <c r="B301" t="s">
        <v>276</v>
      </c>
      <c r="C301">
        <v>3</v>
      </c>
      <c r="D301" s="1">
        <v>35573</v>
      </c>
      <c r="E301" s="1">
        <v>35601</v>
      </c>
      <c r="F301" s="1">
        <v>35583</v>
      </c>
      <c r="G301">
        <v>2</v>
      </c>
      <c r="H301" s="2">
        <v>178.43</v>
      </c>
      <c r="I301" t="s">
        <v>277</v>
      </c>
      <c r="J301" t="s">
        <v>278</v>
      </c>
      <c r="K301" t="s">
        <v>167</v>
      </c>
      <c r="L301" t="s">
        <v>18</v>
      </c>
      <c r="M301" t="s">
        <v>279</v>
      </c>
      <c r="N301" t="s">
        <v>169</v>
      </c>
      <c r="O301">
        <f>Orders[[#This Row],[requiredDate]]-Orders[[#This Row],[orderDate]]</f>
        <v>28</v>
      </c>
      <c r="P301">
        <f>Orders[[#This Row],[shippedDate]]-Orders[[#This Row],[orderDate]]</f>
        <v>10</v>
      </c>
      <c r="Q301">
        <f>Orders[[#This Row],[requiredDate]]-Orders[[#This Row],[shippedDate]]</f>
        <v>18</v>
      </c>
    </row>
    <row r="302" spans="1:17" x14ac:dyDescent="0.2">
      <c r="A302">
        <v>10548</v>
      </c>
      <c r="B302" t="s">
        <v>20</v>
      </c>
      <c r="C302">
        <v>3</v>
      </c>
      <c r="D302" s="1">
        <v>35576</v>
      </c>
      <c r="E302" s="1">
        <v>35604</v>
      </c>
      <c r="F302" s="1">
        <v>35583</v>
      </c>
      <c r="G302">
        <v>2</v>
      </c>
      <c r="H302" s="2">
        <v>1.43</v>
      </c>
      <c r="I302" t="s">
        <v>21</v>
      </c>
      <c r="J302" t="s">
        <v>22</v>
      </c>
      <c r="K302" t="s">
        <v>23</v>
      </c>
      <c r="L302" t="s">
        <v>18</v>
      </c>
      <c r="M302">
        <v>44087</v>
      </c>
      <c r="N302" t="s">
        <v>24</v>
      </c>
      <c r="O302">
        <f>Orders[[#This Row],[requiredDate]]-Orders[[#This Row],[orderDate]]</f>
        <v>28</v>
      </c>
      <c r="P302">
        <f>Orders[[#This Row],[shippedDate]]-Orders[[#This Row],[orderDate]]</f>
        <v>7</v>
      </c>
      <c r="Q302">
        <f>Orders[[#This Row],[requiredDate]]-Orders[[#This Row],[shippedDate]]</f>
        <v>21</v>
      </c>
    </row>
    <row r="303" spans="1:17" x14ac:dyDescent="0.2">
      <c r="A303">
        <v>10549</v>
      </c>
      <c r="B303" t="s">
        <v>121</v>
      </c>
      <c r="C303">
        <v>5</v>
      </c>
      <c r="D303" s="1">
        <v>35577</v>
      </c>
      <c r="E303" s="1">
        <v>35591</v>
      </c>
      <c r="F303" s="1">
        <v>35580</v>
      </c>
      <c r="G303">
        <v>1</v>
      </c>
      <c r="H303" s="2">
        <v>171.24</v>
      </c>
      <c r="I303" t="s">
        <v>122</v>
      </c>
      <c r="J303" t="s">
        <v>123</v>
      </c>
      <c r="K303" t="s">
        <v>124</v>
      </c>
      <c r="L303" t="s">
        <v>18</v>
      </c>
      <c r="M303">
        <v>1307</v>
      </c>
      <c r="N303" t="s">
        <v>24</v>
      </c>
      <c r="O303">
        <f>Orders[[#This Row],[requiredDate]]-Orders[[#This Row],[orderDate]]</f>
        <v>14</v>
      </c>
      <c r="P303">
        <f>Orders[[#This Row],[shippedDate]]-Orders[[#This Row],[orderDate]]</f>
        <v>3</v>
      </c>
      <c r="Q303">
        <f>Orders[[#This Row],[requiredDate]]-Orders[[#This Row],[shippedDate]]</f>
        <v>11</v>
      </c>
    </row>
    <row r="304" spans="1:17" x14ac:dyDescent="0.2">
      <c r="A304">
        <v>10550</v>
      </c>
      <c r="B304" t="s">
        <v>189</v>
      </c>
      <c r="C304">
        <v>7</v>
      </c>
      <c r="D304" s="1">
        <v>35578</v>
      </c>
      <c r="E304" s="1">
        <v>35606</v>
      </c>
      <c r="F304" s="1">
        <v>35587</v>
      </c>
      <c r="G304">
        <v>3</v>
      </c>
      <c r="H304" s="2">
        <v>4.32</v>
      </c>
      <c r="I304" t="s">
        <v>190</v>
      </c>
      <c r="J304" t="s">
        <v>191</v>
      </c>
      <c r="K304" t="s">
        <v>192</v>
      </c>
      <c r="L304" t="s">
        <v>18</v>
      </c>
      <c r="M304">
        <v>41101</v>
      </c>
      <c r="N304" t="s">
        <v>150</v>
      </c>
      <c r="O304">
        <f>Orders[[#This Row],[requiredDate]]-Orders[[#This Row],[orderDate]]</f>
        <v>28</v>
      </c>
      <c r="P304">
        <f>Orders[[#This Row],[shippedDate]]-Orders[[#This Row],[orderDate]]</f>
        <v>9</v>
      </c>
      <c r="Q304">
        <f>Orders[[#This Row],[requiredDate]]-Orders[[#This Row],[shippedDate]]</f>
        <v>19</v>
      </c>
    </row>
    <row r="305" spans="1:17" x14ac:dyDescent="0.2">
      <c r="A305">
        <v>10551</v>
      </c>
      <c r="B305" t="s">
        <v>234</v>
      </c>
      <c r="C305">
        <v>4</v>
      </c>
      <c r="D305" s="1">
        <v>35578</v>
      </c>
      <c r="E305" s="1">
        <v>35620</v>
      </c>
      <c r="F305" s="1">
        <v>35587</v>
      </c>
      <c r="G305">
        <v>3</v>
      </c>
      <c r="H305" s="2">
        <v>72.95</v>
      </c>
      <c r="I305" t="s">
        <v>235</v>
      </c>
      <c r="J305" t="s">
        <v>236</v>
      </c>
      <c r="K305" t="s">
        <v>237</v>
      </c>
      <c r="L305" t="s">
        <v>18</v>
      </c>
      <c r="M305">
        <v>1675</v>
      </c>
      <c r="N305" t="s">
        <v>238</v>
      </c>
      <c r="O305">
        <f>Orders[[#This Row],[requiredDate]]-Orders[[#This Row],[orderDate]]</f>
        <v>42</v>
      </c>
      <c r="P305">
        <f>Orders[[#This Row],[shippedDate]]-Orders[[#This Row],[orderDate]]</f>
        <v>9</v>
      </c>
      <c r="Q305">
        <f>Orders[[#This Row],[requiredDate]]-Orders[[#This Row],[shippedDate]]</f>
        <v>33</v>
      </c>
    </row>
    <row r="306" spans="1:17" x14ac:dyDescent="0.2">
      <c r="A306">
        <v>10552</v>
      </c>
      <c r="B306" t="s">
        <v>57</v>
      </c>
      <c r="C306">
        <v>2</v>
      </c>
      <c r="D306" s="1">
        <v>35579</v>
      </c>
      <c r="E306" s="1">
        <v>35607</v>
      </c>
      <c r="F306" s="1">
        <v>35586</v>
      </c>
      <c r="G306">
        <v>1</v>
      </c>
      <c r="H306" s="2">
        <v>83.22</v>
      </c>
      <c r="I306" t="s">
        <v>58</v>
      </c>
      <c r="J306" t="s">
        <v>59</v>
      </c>
      <c r="K306" t="s">
        <v>60</v>
      </c>
      <c r="L306" t="s">
        <v>61</v>
      </c>
      <c r="M306">
        <v>5022</v>
      </c>
      <c r="N306" t="s">
        <v>62</v>
      </c>
      <c r="O306">
        <f>Orders[[#This Row],[requiredDate]]-Orders[[#This Row],[orderDate]]</f>
        <v>28</v>
      </c>
      <c r="P306">
        <f>Orders[[#This Row],[shippedDate]]-Orders[[#This Row],[orderDate]]</f>
        <v>7</v>
      </c>
      <c r="Q306">
        <f>Orders[[#This Row],[requiredDate]]-Orders[[#This Row],[shippedDate]]</f>
        <v>21</v>
      </c>
    </row>
    <row r="307" spans="1:17" x14ac:dyDescent="0.2">
      <c r="A307">
        <v>10553</v>
      </c>
      <c r="B307" t="s">
        <v>97</v>
      </c>
      <c r="C307">
        <v>2</v>
      </c>
      <c r="D307" s="1">
        <v>35580</v>
      </c>
      <c r="E307" s="1">
        <v>35608</v>
      </c>
      <c r="F307" s="1">
        <v>35584</v>
      </c>
      <c r="G307">
        <v>2</v>
      </c>
      <c r="H307" s="2">
        <v>149.49</v>
      </c>
      <c r="I307" t="s">
        <v>98</v>
      </c>
      <c r="J307" t="s">
        <v>99</v>
      </c>
      <c r="K307" t="s">
        <v>100</v>
      </c>
      <c r="L307" t="s">
        <v>18</v>
      </c>
      <c r="M307">
        <v>90110</v>
      </c>
      <c r="N307" t="s">
        <v>101</v>
      </c>
      <c r="O307">
        <f>Orders[[#This Row],[requiredDate]]-Orders[[#This Row],[orderDate]]</f>
        <v>28</v>
      </c>
      <c r="P307">
        <f>Orders[[#This Row],[shippedDate]]-Orders[[#This Row],[orderDate]]</f>
        <v>4</v>
      </c>
      <c r="Q307">
        <f>Orders[[#This Row],[requiredDate]]-Orders[[#This Row],[shippedDate]]</f>
        <v>24</v>
      </c>
    </row>
    <row r="308" spans="1:17" x14ac:dyDescent="0.2">
      <c r="A308">
        <v>10554</v>
      </c>
      <c r="B308" t="s">
        <v>73</v>
      </c>
      <c r="C308">
        <v>4</v>
      </c>
      <c r="D308" s="1">
        <v>35580</v>
      </c>
      <c r="E308" s="1">
        <v>35608</v>
      </c>
      <c r="F308" s="1">
        <v>35586</v>
      </c>
      <c r="G308">
        <v>3</v>
      </c>
      <c r="H308" s="2">
        <v>120.97</v>
      </c>
      <c r="I308" t="s">
        <v>74</v>
      </c>
      <c r="J308" t="s">
        <v>75</v>
      </c>
      <c r="K308" t="s">
        <v>76</v>
      </c>
      <c r="L308" t="s">
        <v>18</v>
      </c>
      <c r="M308">
        <v>50739</v>
      </c>
      <c r="N308" t="s">
        <v>24</v>
      </c>
      <c r="O308">
        <f>Orders[[#This Row],[requiredDate]]-Orders[[#This Row],[orderDate]]</f>
        <v>28</v>
      </c>
      <c r="P308">
        <f>Orders[[#This Row],[shippedDate]]-Orders[[#This Row],[orderDate]]</f>
        <v>6</v>
      </c>
      <c r="Q308">
        <f>Orders[[#This Row],[requiredDate]]-Orders[[#This Row],[shippedDate]]</f>
        <v>22</v>
      </c>
    </row>
    <row r="309" spans="1:17" x14ac:dyDescent="0.2">
      <c r="A309">
        <v>10555</v>
      </c>
      <c r="B309" t="s">
        <v>226</v>
      </c>
      <c r="C309">
        <v>6</v>
      </c>
      <c r="D309" s="1">
        <v>35583</v>
      </c>
      <c r="E309" s="1">
        <v>35611</v>
      </c>
      <c r="F309" s="1">
        <v>35585</v>
      </c>
      <c r="G309">
        <v>3</v>
      </c>
      <c r="H309" s="2">
        <v>252.49</v>
      </c>
      <c r="I309" t="s">
        <v>227</v>
      </c>
      <c r="J309" t="s">
        <v>228</v>
      </c>
      <c r="K309" t="s">
        <v>229</v>
      </c>
      <c r="L309" t="s">
        <v>230</v>
      </c>
      <c r="M309">
        <v>83720</v>
      </c>
      <c r="N309" t="s">
        <v>86</v>
      </c>
      <c r="O309">
        <f>Orders[[#This Row],[requiredDate]]-Orders[[#This Row],[orderDate]]</f>
        <v>28</v>
      </c>
      <c r="P309">
        <f>Orders[[#This Row],[shippedDate]]-Orders[[#This Row],[orderDate]]</f>
        <v>2</v>
      </c>
      <c r="Q309">
        <f>Orders[[#This Row],[requiredDate]]-Orders[[#This Row],[shippedDate]]</f>
        <v>26</v>
      </c>
    </row>
    <row r="310" spans="1:17" x14ac:dyDescent="0.2">
      <c r="A310">
        <v>10556</v>
      </c>
      <c r="B310" t="s">
        <v>253</v>
      </c>
      <c r="C310">
        <v>2</v>
      </c>
      <c r="D310" s="1">
        <v>35584</v>
      </c>
      <c r="E310" s="1">
        <v>35626</v>
      </c>
      <c r="F310" s="1">
        <v>35594</v>
      </c>
      <c r="G310">
        <v>1</v>
      </c>
      <c r="H310" s="2">
        <v>9.8000000000000007</v>
      </c>
      <c r="I310" t="s">
        <v>254</v>
      </c>
      <c r="J310" t="s">
        <v>255</v>
      </c>
      <c r="K310" t="s">
        <v>256</v>
      </c>
      <c r="L310" t="s">
        <v>18</v>
      </c>
      <c r="M310">
        <v>1734</v>
      </c>
      <c r="N310" t="s">
        <v>257</v>
      </c>
      <c r="O310">
        <f>Orders[[#This Row],[requiredDate]]-Orders[[#This Row],[orderDate]]</f>
        <v>42</v>
      </c>
      <c r="P310">
        <f>Orders[[#This Row],[shippedDate]]-Orders[[#This Row],[orderDate]]</f>
        <v>10</v>
      </c>
      <c r="Q310">
        <f>Orders[[#This Row],[requiredDate]]-Orders[[#This Row],[shippedDate]]</f>
        <v>32</v>
      </c>
    </row>
    <row r="311" spans="1:17" x14ac:dyDescent="0.2">
      <c r="A311">
        <v>10557</v>
      </c>
      <c r="B311" t="s">
        <v>142</v>
      </c>
      <c r="C311">
        <v>9</v>
      </c>
      <c r="D311" s="1">
        <v>35584</v>
      </c>
      <c r="E311" s="1">
        <v>35598</v>
      </c>
      <c r="F311" s="1">
        <v>35587</v>
      </c>
      <c r="G311">
        <v>2</v>
      </c>
      <c r="H311" s="2">
        <v>96.72</v>
      </c>
      <c r="I311" t="s">
        <v>143</v>
      </c>
      <c r="J311" t="s">
        <v>144</v>
      </c>
      <c r="K311" t="s">
        <v>145</v>
      </c>
      <c r="L311" t="s">
        <v>18</v>
      </c>
      <c r="M311">
        <v>60528</v>
      </c>
      <c r="N311" t="s">
        <v>24</v>
      </c>
      <c r="O311">
        <f>Orders[[#This Row],[requiredDate]]-Orders[[#This Row],[orderDate]]</f>
        <v>14</v>
      </c>
      <c r="P311">
        <f>Orders[[#This Row],[shippedDate]]-Orders[[#This Row],[orderDate]]</f>
        <v>3</v>
      </c>
      <c r="Q311">
        <f>Orders[[#This Row],[requiredDate]]-Orders[[#This Row],[shippedDate]]</f>
        <v>11</v>
      </c>
    </row>
    <row r="312" spans="1:17" x14ac:dyDescent="0.2">
      <c r="A312">
        <v>10558</v>
      </c>
      <c r="B312" t="s">
        <v>270</v>
      </c>
      <c r="C312">
        <v>1</v>
      </c>
      <c r="D312" s="1">
        <v>35585</v>
      </c>
      <c r="E312" s="1">
        <v>35613</v>
      </c>
      <c r="F312" s="1">
        <v>35591</v>
      </c>
      <c r="G312">
        <v>2</v>
      </c>
      <c r="H312" s="2">
        <v>72.97</v>
      </c>
      <c r="I312" t="s">
        <v>271</v>
      </c>
      <c r="J312" t="s">
        <v>272</v>
      </c>
      <c r="K312" t="s">
        <v>273</v>
      </c>
      <c r="L312" t="s">
        <v>274</v>
      </c>
      <c r="M312" t="s">
        <v>275</v>
      </c>
      <c r="N312" t="s">
        <v>169</v>
      </c>
      <c r="O312">
        <f>Orders[[#This Row],[requiredDate]]-Orders[[#This Row],[orderDate]]</f>
        <v>28</v>
      </c>
      <c r="P312">
        <f>Orders[[#This Row],[shippedDate]]-Orders[[#This Row],[orderDate]]</f>
        <v>6</v>
      </c>
      <c r="Q312">
        <f>Orders[[#This Row],[requiredDate]]-Orders[[#This Row],[shippedDate]]</f>
        <v>22</v>
      </c>
    </row>
    <row r="313" spans="1:17" x14ac:dyDescent="0.2">
      <c r="A313">
        <v>10559</v>
      </c>
      <c r="B313" t="s">
        <v>93</v>
      </c>
      <c r="C313">
        <v>6</v>
      </c>
      <c r="D313" s="1">
        <v>35586</v>
      </c>
      <c r="E313" s="1">
        <v>35614</v>
      </c>
      <c r="F313" s="1">
        <v>35594</v>
      </c>
      <c r="G313">
        <v>1</v>
      </c>
      <c r="H313" s="2">
        <v>8.0500000000000007</v>
      </c>
      <c r="I313" t="s">
        <v>94</v>
      </c>
      <c r="J313" t="s">
        <v>95</v>
      </c>
      <c r="K313" t="s">
        <v>96</v>
      </c>
      <c r="L313" t="s">
        <v>18</v>
      </c>
      <c r="M313">
        <v>67000</v>
      </c>
      <c r="N313" t="s">
        <v>19</v>
      </c>
      <c r="O313">
        <f>Orders[[#This Row],[requiredDate]]-Orders[[#This Row],[orderDate]]</f>
        <v>28</v>
      </c>
      <c r="P313">
        <f>Orders[[#This Row],[shippedDate]]-Orders[[#This Row],[orderDate]]</f>
        <v>8</v>
      </c>
      <c r="Q313">
        <f>Orders[[#This Row],[requiredDate]]-Orders[[#This Row],[shippedDate]]</f>
        <v>20</v>
      </c>
    </row>
    <row r="314" spans="1:17" x14ac:dyDescent="0.2">
      <c r="A314">
        <v>10560</v>
      </c>
      <c r="B314" t="s">
        <v>102</v>
      </c>
      <c r="C314">
        <v>8</v>
      </c>
      <c r="D314" s="1">
        <v>35587</v>
      </c>
      <c r="E314" s="1">
        <v>35615</v>
      </c>
      <c r="F314" s="1">
        <v>35590</v>
      </c>
      <c r="G314">
        <v>1</v>
      </c>
      <c r="H314" s="2">
        <v>36.65</v>
      </c>
      <c r="I314" t="s">
        <v>103</v>
      </c>
      <c r="J314" t="s">
        <v>104</v>
      </c>
      <c r="K314" t="s">
        <v>105</v>
      </c>
      <c r="L314" t="s">
        <v>18</v>
      </c>
      <c r="M314">
        <v>80805</v>
      </c>
      <c r="N314" t="s">
        <v>24</v>
      </c>
      <c r="O314">
        <f>Orders[[#This Row],[requiredDate]]-Orders[[#This Row],[orderDate]]</f>
        <v>28</v>
      </c>
      <c r="P314">
        <f>Orders[[#This Row],[shippedDate]]-Orders[[#This Row],[orderDate]]</f>
        <v>3</v>
      </c>
      <c r="Q314">
        <f>Orders[[#This Row],[requiredDate]]-Orders[[#This Row],[shippedDate]]</f>
        <v>25</v>
      </c>
    </row>
    <row r="315" spans="1:17" x14ac:dyDescent="0.2">
      <c r="A315">
        <v>10561</v>
      </c>
      <c r="B315" t="s">
        <v>87</v>
      </c>
      <c r="C315">
        <v>2</v>
      </c>
      <c r="D315" s="1">
        <v>35587</v>
      </c>
      <c r="E315" s="1">
        <v>35615</v>
      </c>
      <c r="F315" s="1">
        <v>35590</v>
      </c>
      <c r="G315">
        <v>2</v>
      </c>
      <c r="H315" s="2">
        <v>242.21</v>
      </c>
      <c r="I315" t="s">
        <v>88</v>
      </c>
      <c r="J315" t="s">
        <v>89</v>
      </c>
      <c r="K315" t="s">
        <v>90</v>
      </c>
      <c r="L315" t="s">
        <v>18</v>
      </c>
      <c r="M315" t="s">
        <v>91</v>
      </c>
      <c r="N315" t="s">
        <v>92</v>
      </c>
      <c r="O315">
        <f>Orders[[#This Row],[requiredDate]]-Orders[[#This Row],[orderDate]]</f>
        <v>28</v>
      </c>
      <c r="P315">
        <f>Orders[[#This Row],[shippedDate]]-Orders[[#This Row],[orderDate]]</f>
        <v>3</v>
      </c>
      <c r="Q315">
        <f>Orders[[#This Row],[requiredDate]]-Orders[[#This Row],[shippedDate]]</f>
        <v>25</v>
      </c>
    </row>
    <row r="316" spans="1:17" x14ac:dyDescent="0.2">
      <c r="A316">
        <v>10562</v>
      </c>
      <c r="B316" t="s">
        <v>160</v>
      </c>
      <c r="C316">
        <v>1</v>
      </c>
      <c r="D316" s="1">
        <v>35590</v>
      </c>
      <c r="E316" s="1">
        <v>35618</v>
      </c>
      <c r="F316" s="1">
        <v>35593</v>
      </c>
      <c r="G316">
        <v>1</v>
      </c>
      <c r="H316" s="2">
        <v>22.95</v>
      </c>
      <c r="I316" t="s">
        <v>161</v>
      </c>
      <c r="J316" t="s">
        <v>162</v>
      </c>
      <c r="K316" t="s">
        <v>163</v>
      </c>
      <c r="L316" t="s">
        <v>18</v>
      </c>
      <c r="M316">
        <v>42100</v>
      </c>
      <c r="N316" t="s">
        <v>129</v>
      </c>
      <c r="O316">
        <f>Orders[[#This Row],[requiredDate]]-Orders[[#This Row],[orderDate]]</f>
        <v>28</v>
      </c>
      <c r="P316">
        <f>Orders[[#This Row],[shippedDate]]-Orders[[#This Row],[orderDate]]</f>
        <v>3</v>
      </c>
      <c r="Q316">
        <f>Orders[[#This Row],[requiredDate]]-Orders[[#This Row],[shippedDate]]</f>
        <v>25</v>
      </c>
    </row>
    <row r="317" spans="1:17" x14ac:dyDescent="0.2">
      <c r="A317">
        <v>10563</v>
      </c>
      <c r="B317" t="s">
        <v>156</v>
      </c>
      <c r="C317">
        <v>2</v>
      </c>
      <c r="D317" s="1">
        <v>35591</v>
      </c>
      <c r="E317" s="1">
        <v>35633</v>
      </c>
      <c r="F317" s="1">
        <v>35605</v>
      </c>
      <c r="G317">
        <v>2</v>
      </c>
      <c r="H317" s="2">
        <v>60.43</v>
      </c>
      <c r="I317" t="s">
        <v>157</v>
      </c>
      <c r="J317" t="s">
        <v>158</v>
      </c>
      <c r="K317" t="s">
        <v>28</v>
      </c>
      <c r="L317" t="s">
        <v>29</v>
      </c>
      <c r="M317" t="s">
        <v>159</v>
      </c>
      <c r="N317" t="s">
        <v>31</v>
      </c>
      <c r="O317">
        <f>Orders[[#This Row],[requiredDate]]-Orders[[#This Row],[orderDate]]</f>
        <v>42</v>
      </c>
      <c r="P317">
        <f>Orders[[#This Row],[shippedDate]]-Orders[[#This Row],[orderDate]]</f>
        <v>14</v>
      </c>
      <c r="Q317">
        <f>Orders[[#This Row],[requiredDate]]-Orders[[#This Row],[shippedDate]]</f>
        <v>28</v>
      </c>
    </row>
    <row r="318" spans="1:17" x14ac:dyDescent="0.2">
      <c r="A318">
        <v>10564</v>
      </c>
      <c r="B318" t="s">
        <v>81</v>
      </c>
      <c r="C318">
        <v>4</v>
      </c>
      <c r="D318" s="1">
        <v>35591</v>
      </c>
      <c r="E318" s="1">
        <v>35619</v>
      </c>
      <c r="F318" s="1">
        <v>35597</v>
      </c>
      <c r="G318">
        <v>3</v>
      </c>
      <c r="H318" s="2">
        <v>13.75</v>
      </c>
      <c r="I318" t="s">
        <v>82</v>
      </c>
      <c r="J318" t="s">
        <v>83</v>
      </c>
      <c r="K318" t="s">
        <v>84</v>
      </c>
      <c r="L318" t="s">
        <v>85</v>
      </c>
      <c r="M318">
        <v>87110</v>
      </c>
      <c r="N318" t="s">
        <v>86</v>
      </c>
      <c r="O318">
        <f>Orders[[#This Row],[requiredDate]]-Orders[[#This Row],[orderDate]]</f>
        <v>28</v>
      </c>
      <c r="P318">
        <f>Orders[[#This Row],[shippedDate]]-Orders[[#This Row],[orderDate]]</f>
        <v>6</v>
      </c>
      <c r="Q318">
        <f>Orders[[#This Row],[requiredDate]]-Orders[[#This Row],[shippedDate]]</f>
        <v>22</v>
      </c>
    </row>
    <row r="319" spans="1:17" x14ac:dyDescent="0.2">
      <c r="A319">
        <v>10565</v>
      </c>
      <c r="B319" t="s">
        <v>243</v>
      </c>
      <c r="C319">
        <v>8</v>
      </c>
      <c r="D319" s="1">
        <v>35592</v>
      </c>
      <c r="E319" s="1">
        <v>35620</v>
      </c>
      <c r="F319" s="1">
        <v>35599</v>
      </c>
      <c r="G319">
        <v>2</v>
      </c>
      <c r="H319" s="2">
        <v>7.15</v>
      </c>
      <c r="I319" t="s">
        <v>244</v>
      </c>
      <c r="J319" t="s">
        <v>245</v>
      </c>
      <c r="K319" t="s">
        <v>246</v>
      </c>
      <c r="L319" t="s">
        <v>247</v>
      </c>
      <c r="M319" t="s">
        <v>248</v>
      </c>
      <c r="N319" t="s">
        <v>249</v>
      </c>
      <c r="O319">
        <f>Orders[[#This Row],[requiredDate]]-Orders[[#This Row],[orderDate]]</f>
        <v>28</v>
      </c>
      <c r="P319">
        <f>Orders[[#This Row],[shippedDate]]-Orders[[#This Row],[orderDate]]</f>
        <v>7</v>
      </c>
      <c r="Q319">
        <f>Orders[[#This Row],[requiredDate]]-Orders[[#This Row],[shippedDate]]</f>
        <v>21</v>
      </c>
    </row>
    <row r="320" spans="1:17" x14ac:dyDescent="0.2">
      <c r="A320">
        <v>10566</v>
      </c>
      <c r="B320" t="s">
        <v>93</v>
      </c>
      <c r="C320">
        <v>9</v>
      </c>
      <c r="D320" s="1">
        <v>35593</v>
      </c>
      <c r="E320" s="1">
        <v>35621</v>
      </c>
      <c r="F320" s="1">
        <v>35599</v>
      </c>
      <c r="G320">
        <v>1</v>
      </c>
      <c r="H320" s="2">
        <v>88.4</v>
      </c>
      <c r="I320" t="s">
        <v>94</v>
      </c>
      <c r="J320" t="s">
        <v>95</v>
      </c>
      <c r="K320" t="s">
        <v>96</v>
      </c>
      <c r="L320" t="s">
        <v>18</v>
      </c>
      <c r="M320">
        <v>67000</v>
      </c>
      <c r="N320" t="s">
        <v>19</v>
      </c>
      <c r="O320">
        <f>Orders[[#This Row],[requiredDate]]-Orders[[#This Row],[orderDate]]</f>
        <v>28</v>
      </c>
      <c r="P320">
        <f>Orders[[#This Row],[shippedDate]]-Orders[[#This Row],[orderDate]]</f>
        <v>6</v>
      </c>
      <c r="Q320">
        <f>Orders[[#This Row],[requiredDate]]-Orders[[#This Row],[shippedDate]]</f>
        <v>22</v>
      </c>
    </row>
    <row r="321" spans="1:17" x14ac:dyDescent="0.2">
      <c r="A321">
        <v>10567</v>
      </c>
      <c r="B321" t="s">
        <v>179</v>
      </c>
      <c r="C321">
        <v>1</v>
      </c>
      <c r="D321" s="1">
        <v>35593</v>
      </c>
      <c r="E321" s="1">
        <v>35621</v>
      </c>
      <c r="F321" s="1">
        <v>35598</v>
      </c>
      <c r="G321">
        <v>1</v>
      </c>
      <c r="H321" s="2">
        <v>33.97</v>
      </c>
      <c r="I321" t="s">
        <v>180</v>
      </c>
      <c r="J321" t="s">
        <v>181</v>
      </c>
      <c r="K321" t="s">
        <v>182</v>
      </c>
      <c r="L321" t="s">
        <v>183</v>
      </c>
      <c r="M321" t="s">
        <v>18</v>
      </c>
      <c r="N321" t="s">
        <v>184</v>
      </c>
      <c r="O321">
        <f>Orders[[#This Row],[requiredDate]]-Orders[[#This Row],[orderDate]]</f>
        <v>28</v>
      </c>
      <c r="P321">
        <f>Orders[[#This Row],[shippedDate]]-Orders[[#This Row],[orderDate]]</f>
        <v>5</v>
      </c>
      <c r="Q321">
        <f>Orders[[#This Row],[requiredDate]]-Orders[[#This Row],[shippedDate]]</f>
        <v>23</v>
      </c>
    </row>
    <row r="322" spans="1:17" x14ac:dyDescent="0.2">
      <c r="A322">
        <v>10568</v>
      </c>
      <c r="B322" t="s">
        <v>291</v>
      </c>
      <c r="C322">
        <v>3</v>
      </c>
      <c r="D322" s="1">
        <v>35594</v>
      </c>
      <c r="E322" s="1">
        <v>35622</v>
      </c>
      <c r="F322" s="1">
        <v>35620</v>
      </c>
      <c r="G322">
        <v>3</v>
      </c>
      <c r="H322" s="2">
        <v>6.54</v>
      </c>
      <c r="I322" t="s">
        <v>292</v>
      </c>
      <c r="J322" t="s">
        <v>293</v>
      </c>
      <c r="K322" t="s">
        <v>294</v>
      </c>
      <c r="L322" t="s">
        <v>18</v>
      </c>
      <c r="M322">
        <v>8022</v>
      </c>
      <c r="N322" t="s">
        <v>150</v>
      </c>
      <c r="O322">
        <f>Orders[[#This Row],[requiredDate]]-Orders[[#This Row],[orderDate]]</f>
        <v>28</v>
      </c>
      <c r="P322">
        <f>Orders[[#This Row],[shippedDate]]-Orders[[#This Row],[orderDate]]</f>
        <v>26</v>
      </c>
      <c r="Q322">
        <f>Orders[[#This Row],[requiredDate]]-Orders[[#This Row],[shippedDate]]</f>
        <v>2</v>
      </c>
    </row>
    <row r="323" spans="1:17" x14ac:dyDescent="0.2">
      <c r="A323">
        <v>10569</v>
      </c>
      <c r="B323" t="s">
        <v>81</v>
      </c>
      <c r="C323">
        <v>5</v>
      </c>
      <c r="D323" s="1">
        <v>35597</v>
      </c>
      <c r="E323" s="1">
        <v>35625</v>
      </c>
      <c r="F323" s="1">
        <v>35622</v>
      </c>
      <c r="G323">
        <v>1</v>
      </c>
      <c r="H323" s="2">
        <v>58.98</v>
      </c>
      <c r="I323" t="s">
        <v>82</v>
      </c>
      <c r="J323" t="s">
        <v>83</v>
      </c>
      <c r="K323" t="s">
        <v>84</v>
      </c>
      <c r="L323" t="s">
        <v>85</v>
      </c>
      <c r="M323">
        <v>87110</v>
      </c>
      <c r="N323" t="s">
        <v>86</v>
      </c>
      <c r="O323">
        <f>Orders[[#This Row],[requiredDate]]-Orders[[#This Row],[orderDate]]</f>
        <v>28</v>
      </c>
      <c r="P323">
        <f>Orders[[#This Row],[shippedDate]]-Orders[[#This Row],[orderDate]]</f>
        <v>25</v>
      </c>
      <c r="Q323">
        <f>Orders[[#This Row],[requiredDate]]-Orders[[#This Row],[shippedDate]]</f>
        <v>3</v>
      </c>
    </row>
    <row r="324" spans="1:17" x14ac:dyDescent="0.2">
      <c r="A324">
        <v>10570</v>
      </c>
      <c r="B324" t="s">
        <v>243</v>
      </c>
      <c r="C324">
        <v>3</v>
      </c>
      <c r="D324" s="1">
        <v>35598</v>
      </c>
      <c r="E324" s="1">
        <v>35626</v>
      </c>
      <c r="F324" s="1">
        <v>35600</v>
      </c>
      <c r="G324">
        <v>3</v>
      </c>
      <c r="H324" s="2">
        <v>188.99</v>
      </c>
      <c r="I324" t="s">
        <v>244</v>
      </c>
      <c r="J324" t="s">
        <v>245</v>
      </c>
      <c r="K324" t="s">
        <v>246</v>
      </c>
      <c r="L324" t="s">
        <v>247</v>
      </c>
      <c r="M324" t="s">
        <v>248</v>
      </c>
      <c r="N324" t="s">
        <v>249</v>
      </c>
      <c r="O324">
        <f>Orders[[#This Row],[requiredDate]]-Orders[[#This Row],[orderDate]]</f>
        <v>28</v>
      </c>
      <c r="P324">
        <f>Orders[[#This Row],[shippedDate]]-Orders[[#This Row],[orderDate]]</f>
        <v>2</v>
      </c>
      <c r="Q324">
        <f>Orders[[#This Row],[requiredDate]]-Orders[[#This Row],[shippedDate]]</f>
        <v>26</v>
      </c>
    </row>
    <row r="325" spans="1:17" x14ac:dyDescent="0.2">
      <c r="A325">
        <v>10571</v>
      </c>
      <c r="B325" t="s">
        <v>63</v>
      </c>
      <c r="C325">
        <v>8</v>
      </c>
      <c r="D325" s="1">
        <v>35598</v>
      </c>
      <c r="E325" s="1">
        <v>35640</v>
      </c>
      <c r="F325" s="1">
        <v>35615</v>
      </c>
      <c r="G325">
        <v>3</v>
      </c>
      <c r="H325" s="2">
        <v>26.06</v>
      </c>
      <c r="I325" t="s">
        <v>64</v>
      </c>
      <c r="J325" t="s">
        <v>65</v>
      </c>
      <c r="K325" t="s">
        <v>66</v>
      </c>
      <c r="L325" t="s">
        <v>18</v>
      </c>
      <c r="M325">
        <v>8010</v>
      </c>
      <c r="N325" t="s">
        <v>67</v>
      </c>
      <c r="O325">
        <f>Orders[[#This Row],[requiredDate]]-Orders[[#This Row],[orderDate]]</f>
        <v>42</v>
      </c>
      <c r="P325">
        <f>Orders[[#This Row],[shippedDate]]-Orders[[#This Row],[orderDate]]</f>
        <v>17</v>
      </c>
      <c r="Q325">
        <f>Orders[[#This Row],[requiredDate]]-Orders[[#This Row],[shippedDate]]</f>
        <v>25</v>
      </c>
    </row>
    <row r="326" spans="1:17" x14ac:dyDescent="0.2">
      <c r="A326">
        <v>10572</v>
      </c>
      <c r="B326" t="s">
        <v>137</v>
      </c>
      <c r="C326">
        <v>3</v>
      </c>
      <c r="D326" s="1">
        <v>35599</v>
      </c>
      <c r="E326" s="1">
        <v>35627</v>
      </c>
      <c r="F326" s="1">
        <v>35606</v>
      </c>
      <c r="G326">
        <v>2</v>
      </c>
      <c r="H326" s="2">
        <v>116.43</v>
      </c>
      <c r="I326" t="s">
        <v>138</v>
      </c>
      <c r="J326" t="s">
        <v>139</v>
      </c>
      <c r="K326" t="s">
        <v>140</v>
      </c>
      <c r="L326" t="s">
        <v>18</v>
      </c>
      <c r="M326" t="s">
        <v>141</v>
      </c>
      <c r="N326" t="s">
        <v>92</v>
      </c>
      <c r="O326">
        <f>Orders[[#This Row],[requiredDate]]-Orders[[#This Row],[orderDate]]</f>
        <v>28</v>
      </c>
      <c r="P326">
        <f>Orders[[#This Row],[shippedDate]]-Orders[[#This Row],[orderDate]]</f>
        <v>7</v>
      </c>
      <c r="Q326">
        <f>Orders[[#This Row],[requiredDate]]-Orders[[#This Row],[shippedDate]]</f>
        <v>21</v>
      </c>
    </row>
    <row r="327" spans="1:17" x14ac:dyDescent="0.2">
      <c r="A327">
        <v>10573</v>
      </c>
      <c r="B327" t="s">
        <v>288</v>
      </c>
      <c r="C327">
        <v>7</v>
      </c>
      <c r="D327" s="1">
        <v>35600</v>
      </c>
      <c r="E327" s="1">
        <v>35628</v>
      </c>
      <c r="F327" s="1">
        <v>35601</v>
      </c>
      <c r="G327">
        <v>3</v>
      </c>
      <c r="H327" s="2">
        <v>84.84</v>
      </c>
      <c r="I327" t="s">
        <v>289</v>
      </c>
      <c r="J327" t="s">
        <v>290</v>
      </c>
      <c r="K327" t="s">
        <v>71</v>
      </c>
      <c r="L327" t="s">
        <v>18</v>
      </c>
      <c r="M327">
        <v>5023</v>
      </c>
      <c r="N327" t="s">
        <v>72</v>
      </c>
      <c r="O327">
        <f>Orders[[#This Row],[requiredDate]]-Orders[[#This Row],[orderDate]]</f>
        <v>28</v>
      </c>
      <c r="P327">
        <f>Orders[[#This Row],[shippedDate]]-Orders[[#This Row],[orderDate]]</f>
        <v>1</v>
      </c>
      <c r="Q327">
        <f>Orders[[#This Row],[requiredDate]]-Orders[[#This Row],[shippedDate]]</f>
        <v>27</v>
      </c>
    </row>
    <row r="328" spans="1:17" x14ac:dyDescent="0.2">
      <c r="A328">
        <v>10574</v>
      </c>
      <c r="B328" t="s">
        <v>383</v>
      </c>
      <c r="C328">
        <v>4</v>
      </c>
      <c r="D328" s="1">
        <v>35600</v>
      </c>
      <c r="E328" s="1">
        <v>35628</v>
      </c>
      <c r="F328" s="1">
        <v>35611</v>
      </c>
      <c r="G328">
        <v>2</v>
      </c>
      <c r="H328" s="2">
        <v>37.6</v>
      </c>
      <c r="I328" t="s">
        <v>384</v>
      </c>
      <c r="J328" t="s">
        <v>385</v>
      </c>
      <c r="K328" t="s">
        <v>386</v>
      </c>
      <c r="L328" t="s">
        <v>115</v>
      </c>
      <c r="M328">
        <v>98034</v>
      </c>
      <c r="N328" t="s">
        <v>86</v>
      </c>
      <c r="O328">
        <f>Orders[[#This Row],[requiredDate]]-Orders[[#This Row],[orderDate]]</f>
        <v>28</v>
      </c>
      <c r="P328">
        <f>Orders[[#This Row],[shippedDate]]-Orders[[#This Row],[orderDate]]</f>
        <v>11</v>
      </c>
      <c r="Q328">
        <f>Orders[[#This Row],[requiredDate]]-Orders[[#This Row],[shippedDate]]</f>
        <v>17</v>
      </c>
    </row>
    <row r="329" spans="1:17" x14ac:dyDescent="0.2">
      <c r="A329">
        <v>10575</v>
      </c>
      <c r="B329" t="s">
        <v>133</v>
      </c>
      <c r="C329">
        <v>5</v>
      </c>
      <c r="D329" s="1">
        <v>35601</v>
      </c>
      <c r="E329" s="1">
        <v>35615</v>
      </c>
      <c r="F329" s="1">
        <v>35611</v>
      </c>
      <c r="G329">
        <v>1</v>
      </c>
      <c r="H329" s="2">
        <v>127.34</v>
      </c>
      <c r="I329" t="s">
        <v>134</v>
      </c>
      <c r="J329" t="s">
        <v>135</v>
      </c>
      <c r="K329" t="s">
        <v>136</v>
      </c>
      <c r="L329" t="s">
        <v>18</v>
      </c>
      <c r="M329">
        <v>4179</v>
      </c>
      <c r="N329" t="s">
        <v>24</v>
      </c>
      <c r="O329">
        <f>Orders[[#This Row],[requiredDate]]-Orders[[#This Row],[orderDate]]</f>
        <v>14</v>
      </c>
      <c r="P329">
        <f>Orders[[#This Row],[shippedDate]]-Orders[[#This Row],[orderDate]]</f>
        <v>10</v>
      </c>
      <c r="Q329">
        <f>Orders[[#This Row],[requiredDate]]-Orders[[#This Row],[shippedDate]]</f>
        <v>4</v>
      </c>
    </row>
    <row r="330" spans="1:17" x14ac:dyDescent="0.2">
      <c r="A330">
        <v>10576</v>
      </c>
      <c r="B330" t="s">
        <v>130</v>
      </c>
      <c r="C330">
        <v>3</v>
      </c>
      <c r="D330" s="1">
        <v>35604</v>
      </c>
      <c r="E330" s="1">
        <v>35618</v>
      </c>
      <c r="F330" s="1">
        <v>35611</v>
      </c>
      <c r="G330">
        <v>3</v>
      </c>
      <c r="H330" s="2">
        <v>18.559999999999999</v>
      </c>
      <c r="I330" t="s">
        <v>131</v>
      </c>
      <c r="J330" t="s">
        <v>132</v>
      </c>
      <c r="K330" t="s">
        <v>71</v>
      </c>
      <c r="L330" t="s">
        <v>18</v>
      </c>
      <c r="M330">
        <v>5033</v>
      </c>
      <c r="N330" t="s">
        <v>72</v>
      </c>
      <c r="O330">
        <f>Orders[[#This Row],[requiredDate]]-Orders[[#This Row],[orderDate]]</f>
        <v>14</v>
      </c>
      <c r="P330">
        <f>Orders[[#This Row],[shippedDate]]-Orders[[#This Row],[orderDate]]</f>
        <v>7</v>
      </c>
      <c r="Q330">
        <f>Orders[[#This Row],[requiredDate]]-Orders[[#This Row],[shippedDate]]</f>
        <v>7</v>
      </c>
    </row>
    <row r="331" spans="1:17" x14ac:dyDescent="0.2">
      <c r="A331">
        <v>10577</v>
      </c>
      <c r="B331" t="s">
        <v>383</v>
      </c>
      <c r="C331">
        <v>9</v>
      </c>
      <c r="D331" s="1">
        <v>35604</v>
      </c>
      <c r="E331" s="1">
        <v>35646</v>
      </c>
      <c r="F331" s="1">
        <v>35611</v>
      </c>
      <c r="G331">
        <v>2</v>
      </c>
      <c r="H331" s="2">
        <v>25.41</v>
      </c>
      <c r="I331" t="s">
        <v>384</v>
      </c>
      <c r="J331" t="s">
        <v>385</v>
      </c>
      <c r="K331" t="s">
        <v>386</v>
      </c>
      <c r="L331" t="s">
        <v>115</v>
      </c>
      <c r="M331">
        <v>98034</v>
      </c>
      <c r="N331" t="s">
        <v>86</v>
      </c>
      <c r="O331">
        <f>Orders[[#This Row],[requiredDate]]-Orders[[#This Row],[orderDate]]</f>
        <v>42</v>
      </c>
      <c r="P331">
        <f>Orders[[#This Row],[shippedDate]]-Orders[[#This Row],[orderDate]]</f>
        <v>7</v>
      </c>
      <c r="Q331">
        <f>Orders[[#This Row],[requiredDate]]-Orders[[#This Row],[shippedDate]]</f>
        <v>35</v>
      </c>
    </row>
    <row r="332" spans="1:17" x14ac:dyDescent="0.2">
      <c r="A332">
        <v>10578</v>
      </c>
      <c r="B332" t="s">
        <v>164</v>
      </c>
      <c r="C332">
        <v>4</v>
      </c>
      <c r="D332" s="1">
        <v>35605</v>
      </c>
      <c r="E332" s="1">
        <v>35633</v>
      </c>
      <c r="F332" s="1">
        <v>35636</v>
      </c>
      <c r="G332">
        <v>3</v>
      </c>
      <c r="H332" s="2">
        <v>29.6</v>
      </c>
      <c r="I332" t="s">
        <v>165</v>
      </c>
      <c r="J332" t="s">
        <v>166</v>
      </c>
      <c r="K332" t="s">
        <v>167</v>
      </c>
      <c r="L332" t="s">
        <v>18</v>
      </c>
      <c r="M332" t="s">
        <v>168</v>
      </c>
      <c r="N332" t="s">
        <v>169</v>
      </c>
      <c r="O332">
        <f>Orders[[#This Row],[requiredDate]]-Orders[[#This Row],[orderDate]]</f>
        <v>28</v>
      </c>
      <c r="P332">
        <f>Orders[[#This Row],[shippedDate]]-Orders[[#This Row],[orderDate]]</f>
        <v>31</v>
      </c>
      <c r="Q332">
        <f>Orders[[#This Row],[requiredDate]]-Orders[[#This Row],[shippedDate]]</f>
        <v>-3</v>
      </c>
    </row>
    <row r="333" spans="1:17" x14ac:dyDescent="0.2">
      <c r="A333">
        <v>10579</v>
      </c>
      <c r="B333" t="s">
        <v>387</v>
      </c>
      <c r="C333">
        <v>1</v>
      </c>
      <c r="D333" s="1">
        <v>35606</v>
      </c>
      <c r="E333" s="1">
        <v>35634</v>
      </c>
      <c r="F333" s="1">
        <v>35615</v>
      </c>
      <c r="G333">
        <v>2</v>
      </c>
      <c r="H333" s="2">
        <v>13.73</v>
      </c>
      <c r="I333" t="s">
        <v>388</v>
      </c>
      <c r="J333" t="s">
        <v>389</v>
      </c>
      <c r="K333" t="s">
        <v>390</v>
      </c>
      <c r="L333" t="s">
        <v>391</v>
      </c>
      <c r="M333">
        <v>94117</v>
      </c>
      <c r="N333" t="s">
        <v>86</v>
      </c>
      <c r="O333">
        <f>Orders[[#This Row],[requiredDate]]-Orders[[#This Row],[orderDate]]</f>
        <v>28</v>
      </c>
      <c r="P333">
        <f>Orders[[#This Row],[shippedDate]]-Orders[[#This Row],[orderDate]]</f>
        <v>9</v>
      </c>
      <c r="Q333">
        <f>Orders[[#This Row],[requiredDate]]-Orders[[#This Row],[shippedDate]]</f>
        <v>19</v>
      </c>
    </row>
    <row r="334" spans="1:17" x14ac:dyDescent="0.2">
      <c r="A334">
        <v>10580</v>
      </c>
      <c r="B334" t="s">
        <v>73</v>
      </c>
      <c r="C334">
        <v>4</v>
      </c>
      <c r="D334" s="1">
        <v>35607</v>
      </c>
      <c r="E334" s="1">
        <v>35635</v>
      </c>
      <c r="F334" s="1">
        <v>35612</v>
      </c>
      <c r="G334">
        <v>3</v>
      </c>
      <c r="H334" s="2">
        <v>75.89</v>
      </c>
      <c r="I334" t="s">
        <v>74</v>
      </c>
      <c r="J334" t="s">
        <v>75</v>
      </c>
      <c r="K334" t="s">
        <v>76</v>
      </c>
      <c r="L334" t="s">
        <v>18</v>
      </c>
      <c r="M334">
        <v>50739</v>
      </c>
      <c r="N334" t="s">
        <v>24</v>
      </c>
      <c r="O334">
        <f>Orders[[#This Row],[requiredDate]]-Orders[[#This Row],[orderDate]]</f>
        <v>28</v>
      </c>
      <c r="P334">
        <f>Orders[[#This Row],[shippedDate]]-Orders[[#This Row],[orderDate]]</f>
        <v>5</v>
      </c>
      <c r="Q334">
        <f>Orders[[#This Row],[requiredDate]]-Orders[[#This Row],[shippedDate]]</f>
        <v>23</v>
      </c>
    </row>
    <row r="335" spans="1:17" x14ac:dyDescent="0.2">
      <c r="A335">
        <v>10581</v>
      </c>
      <c r="B335" t="s">
        <v>258</v>
      </c>
      <c r="C335">
        <v>3</v>
      </c>
      <c r="D335" s="1">
        <v>35607</v>
      </c>
      <c r="E335" s="1">
        <v>35635</v>
      </c>
      <c r="F335" s="1">
        <v>35613</v>
      </c>
      <c r="G335">
        <v>1</v>
      </c>
      <c r="H335" s="2">
        <v>3.01</v>
      </c>
      <c r="I335" t="s">
        <v>259</v>
      </c>
      <c r="J335" t="s">
        <v>260</v>
      </c>
      <c r="K335" t="s">
        <v>173</v>
      </c>
      <c r="L335" t="s">
        <v>55</v>
      </c>
      <c r="M335" t="s">
        <v>261</v>
      </c>
      <c r="N335" t="s">
        <v>31</v>
      </c>
      <c r="O335">
        <f>Orders[[#This Row],[requiredDate]]-Orders[[#This Row],[orderDate]]</f>
        <v>28</v>
      </c>
      <c r="P335">
        <f>Orders[[#This Row],[shippedDate]]-Orders[[#This Row],[orderDate]]</f>
        <v>6</v>
      </c>
      <c r="Q335">
        <f>Orders[[#This Row],[requiredDate]]-Orders[[#This Row],[shippedDate]]</f>
        <v>22</v>
      </c>
    </row>
    <row r="336" spans="1:17" x14ac:dyDescent="0.2">
      <c r="A336">
        <v>10582</v>
      </c>
      <c r="B336" t="s">
        <v>363</v>
      </c>
      <c r="C336">
        <v>3</v>
      </c>
      <c r="D336" s="1">
        <v>35608</v>
      </c>
      <c r="E336" s="1">
        <v>35636</v>
      </c>
      <c r="F336" s="1">
        <v>35625</v>
      </c>
      <c r="G336">
        <v>2</v>
      </c>
      <c r="H336" s="2">
        <v>27.71</v>
      </c>
      <c r="I336" t="s">
        <v>364</v>
      </c>
      <c r="J336" t="s">
        <v>365</v>
      </c>
      <c r="K336" t="s">
        <v>366</v>
      </c>
      <c r="L336" t="s">
        <v>18</v>
      </c>
      <c r="M336">
        <v>68306</v>
      </c>
      <c r="N336" t="s">
        <v>24</v>
      </c>
      <c r="O336">
        <f>Orders[[#This Row],[requiredDate]]-Orders[[#This Row],[orderDate]]</f>
        <v>28</v>
      </c>
      <c r="P336">
        <f>Orders[[#This Row],[shippedDate]]-Orders[[#This Row],[orderDate]]</f>
        <v>17</v>
      </c>
      <c r="Q336">
        <f>Orders[[#This Row],[requiredDate]]-Orders[[#This Row],[shippedDate]]</f>
        <v>11</v>
      </c>
    </row>
    <row r="337" spans="1:17" x14ac:dyDescent="0.2">
      <c r="A337">
        <v>10583</v>
      </c>
      <c r="B337" t="s">
        <v>97</v>
      </c>
      <c r="C337">
        <v>2</v>
      </c>
      <c r="D337" s="1">
        <v>35611</v>
      </c>
      <c r="E337" s="1">
        <v>35639</v>
      </c>
      <c r="F337" s="1">
        <v>35615</v>
      </c>
      <c r="G337">
        <v>2</v>
      </c>
      <c r="H337" s="2">
        <v>7.28</v>
      </c>
      <c r="I337" t="s">
        <v>98</v>
      </c>
      <c r="J337" t="s">
        <v>99</v>
      </c>
      <c r="K337" t="s">
        <v>100</v>
      </c>
      <c r="L337" t="s">
        <v>18</v>
      </c>
      <c r="M337">
        <v>90110</v>
      </c>
      <c r="N337" t="s">
        <v>101</v>
      </c>
      <c r="O337">
        <f>Orders[[#This Row],[requiredDate]]-Orders[[#This Row],[orderDate]]</f>
        <v>28</v>
      </c>
      <c r="P337">
        <f>Orders[[#This Row],[shippedDate]]-Orders[[#This Row],[orderDate]]</f>
        <v>4</v>
      </c>
      <c r="Q337">
        <f>Orders[[#This Row],[requiredDate]]-Orders[[#This Row],[shippedDate]]</f>
        <v>24</v>
      </c>
    </row>
    <row r="338" spans="1:17" x14ac:dyDescent="0.2">
      <c r="A338">
        <v>10584</v>
      </c>
      <c r="B338" t="s">
        <v>93</v>
      </c>
      <c r="C338">
        <v>4</v>
      </c>
      <c r="D338" s="1">
        <v>35611</v>
      </c>
      <c r="E338" s="1">
        <v>35639</v>
      </c>
      <c r="F338" s="1">
        <v>35615</v>
      </c>
      <c r="G338">
        <v>1</v>
      </c>
      <c r="H338" s="2">
        <v>59.14</v>
      </c>
      <c r="I338" t="s">
        <v>94</v>
      </c>
      <c r="J338" t="s">
        <v>95</v>
      </c>
      <c r="K338" t="s">
        <v>96</v>
      </c>
      <c r="L338" t="s">
        <v>18</v>
      </c>
      <c r="M338">
        <v>67000</v>
      </c>
      <c r="N338" t="s">
        <v>19</v>
      </c>
      <c r="O338">
        <f>Orders[[#This Row],[requiredDate]]-Orders[[#This Row],[orderDate]]</f>
        <v>28</v>
      </c>
      <c r="P338">
        <f>Orders[[#This Row],[shippedDate]]-Orders[[#This Row],[orderDate]]</f>
        <v>4</v>
      </c>
      <c r="Q338">
        <f>Orders[[#This Row],[requiredDate]]-Orders[[#This Row],[shippedDate]]</f>
        <v>24</v>
      </c>
    </row>
    <row r="339" spans="1:17" x14ac:dyDescent="0.2">
      <c r="A339">
        <v>10585</v>
      </c>
      <c r="B339" t="s">
        <v>51</v>
      </c>
      <c r="C339">
        <v>7</v>
      </c>
      <c r="D339" s="1">
        <v>35612</v>
      </c>
      <c r="E339" s="1">
        <v>35640</v>
      </c>
      <c r="F339" s="1">
        <v>35621</v>
      </c>
      <c r="G339">
        <v>1</v>
      </c>
      <c r="H339" s="2">
        <v>13.41</v>
      </c>
      <c r="I339" t="s">
        <v>52</v>
      </c>
      <c r="J339" t="s">
        <v>53</v>
      </c>
      <c r="K339" t="s">
        <v>54</v>
      </c>
      <c r="L339" t="s">
        <v>55</v>
      </c>
      <c r="M339" t="s">
        <v>56</v>
      </c>
      <c r="N339" t="s">
        <v>31</v>
      </c>
      <c r="O339">
        <f>Orders[[#This Row],[requiredDate]]-Orders[[#This Row],[orderDate]]</f>
        <v>28</v>
      </c>
      <c r="P339">
        <f>Orders[[#This Row],[shippedDate]]-Orders[[#This Row],[orderDate]]</f>
        <v>9</v>
      </c>
      <c r="Q339">
        <f>Orders[[#This Row],[requiredDate]]-Orders[[#This Row],[shippedDate]]</f>
        <v>19</v>
      </c>
    </row>
    <row r="340" spans="1:17" x14ac:dyDescent="0.2">
      <c r="A340">
        <v>10586</v>
      </c>
      <c r="B340" t="s">
        <v>160</v>
      </c>
      <c r="C340">
        <v>9</v>
      </c>
      <c r="D340" s="1">
        <v>35613</v>
      </c>
      <c r="E340" s="1">
        <v>35641</v>
      </c>
      <c r="F340" s="1">
        <v>35620</v>
      </c>
      <c r="G340">
        <v>1</v>
      </c>
      <c r="H340" s="2">
        <v>0.48</v>
      </c>
      <c r="I340" t="s">
        <v>161</v>
      </c>
      <c r="J340" t="s">
        <v>162</v>
      </c>
      <c r="K340" t="s">
        <v>163</v>
      </c>
      <c r="L340" t="s">
        <v>18</v>
      </c>
      <c r="M340">
        <v>42100</v>
      </c>
      <c r="N340" t="s">
        <v>129</v>
      </c>
      <c r="O340">
        <f>Orders[[#This Row],[requiredDate]]-Orders[[#This Row],[orderDate]]</f>
        <v>28</v>
      </c>
      <c r="P340">
        <f>Orders[[#This Row],[shippedDate]]-Orders[[#This Row],[orderDate]]</f>
        <v>7</v>
      </c>
      <c r="Q340">
        <f>Orders[[#This Row],[requiredDate]]-Orders[[#This Row],[shippedDate]]</f>
        <v>21</v>
      </c>
    </row>
    <row r="341" spans="1:17" x14ac:dyDescent="0.2">
      <c r="A341">
        <v>10587</v>
      </c>
      <c r="B341" t="s">
        <v>77</v>
      </c>
      <c r="C341">
        <v>1</v>
      </c>
      <c r="D341" s="1">
        <v>35613</v>
      </c>
      <c r="E341" s="1">
        <v>35641</v>
      </c>
      <c r="F341" s="1">
        <v>35620</v>
      </c>
      <c r="G341">
        <v>1</v>
      </c>
      <c r="H341" s="2">
        <v>62.52</v>
      </c>
      <c r="I341" t="s">
        <v>78</v>
      </c>
      <c r="J341" t="s">
        <v>79</v>
      </c>
      <c r="K341" t="s">
        <v>28</v>
      </c>
      <c r="L341" t="s">
        <v>29</v>
      </c>
      <c r="M341" t="s">
        <v>80</v>
      </c>
      <c r="N341" t="s">
        <v>31</v>
      </c>
      <c r="O341">
        <f>Orders[[#This Row],[requiredDate]]-Orders[[#This Row],[orderDate]]</f>
        <v>28</v>
      </c>
      <c r="P341">
        <f>Orders[[#This Row],[shippedDate]]-Orders[[#This Row],[orderDate]]</f>
        <v>7</v>
      </c>
      <c r="Q341">
        <f>Orders[[#This Row],[requiredDate]]-Orders[[#This Row],[shippedDate]]</f>
        <v>21</v>
      </c>
    </row>
    <row r="342" spans="1:17" x14ac:dyDescent="0.2">
      <c r="A342">
        <v>10588</v>
      </c>
      <c r="B342" t="s">
        <v>121</v>
      </c>
      <c r="C342">
        <v>2</v>
      </c>
      <c r="D342" s="1">
        <v>35614</v>
      </c>
      <c r="E342" s="1">
        <v>35642</v>
      </c>
      <c r="F342" s="1">
        <v>35621</v>
      </c>
      <c r="G342">
        <v>3</v>
      </c>
      <c r="H342" s="2">
        <v>194.67</v>
      </c>
      <c r="I342" t="s">
        <v>122</v>
      </c>
      <c r="J342" t="s">
        <v>123</v>
      </c>
      <c r="K342" t="s">
        <v>124</v>
      </c>
      <c r="L342" t="s">
        <v>18</v>
      </c>
      <c r="M342">
        <v>1307</v>
      </c>
      <c r="N342" t="s">
        <v>24</v>
      </c>
      <c r="O342">
        <f>Orders[[#This Row],[requiredDate]]-Orders[[#This Row],[orderDate]]</f>
        <v>28</v>
      </c>
      <c r="P342">
        <f>Orders[[#This Row],[shippedDate]]-Orders[[#This Row],[orderDate]]</f>
        <v>7</v>
      </c>
      <c r="Q342">
        <f>Orders[[#This Row],[requiredDate]]-Orders[[#This Row],[shippedDate]]</f>
        <v>21</v>
      </c>
    </row>
    <row r="343" spans="1:17" x14ac:dyDescent="0.2">
      <c r="A343">
        <v>10589</v>
      </c>
      <c r="B343" t="s">
        <v>374</v>
      </c>
      <c r="C343">
        <v>8</v>
      </c>
      <c r="D343" s="1">
        <v>35615</v>
      </c>
      <c r="E343" s="1">
        <v>35643</v>
      </c>
      <c r="F343" s="1">
        <v>35625</v>
      </c>
      <c r="G343">
        <v>2</v>
      </c>
      <c r="H343" s="2">
        <v>4.42</v>
      </c>
      <c r="I343" t="s">
        <v>375</v>
      </c>
      <c r="J343" t="s">
        <v>376</v>
      </c>
      <c r="K343" t="s">
        <v>377</v>
      </c>
      <c r="L343" t="s">
        <v>202</v>
      </c>
      <c r="M343">
        <v>97403</v>
      </c>
      <c r="N343" t="s">
        <v>86</v>
      </c>
      <c r="O343">
        <f>Orders[[#This Row],[requiredDate]]-Orders[[#This Row],[orderDate]]</f>
        <v>28</v>
      </c>
      <c r="P343">
        <f>Orders[[#This Row],[shippedDate]]-Orders[[#This Row],[orderDate]]</f>
        <v>10</v>
      </c>
      <c r="Q343">
        <f>Orders[[#This Row],[requiredDate]]-Orders[[#This Row],[shippedDate]]</f>
        <v>18</v>
      </c>
    </row>
    <row r="344" spans="1:17" x14ac:dyDescent="0.2">
      <c r="A344">
        <v>10590</v>
      </c>
      <c r="B344" t="s">
        <v>243</v>
      </c>
      <c r="C344">
        <v>4</v>
      </c>
      <c r="D344" s="1">
        <v>35618</v>
      </c>
      <c r="E344" s="1">
        <v>35646</v>
      </c>
      <c r="F344" s="1">
        <v>35625</v>
      </c>
      <c r="G344">
        <v>3</v>
      </c>
      <c r="H344" s="2">
        <v>44.77</v>
      </c>
      <c r="I344" t="s">
        <v>244</v>
      </c>
      <c r="J344" t="s">
        <v>245</v>
      </c>
      <c r="K344" t="s">
        <v>246</v>
      </c>
      <c r="L344" t="s">
        <v>247</v>
      </c>
      <c r="M344" t="s">
        <v>248</v>
      </c>
      <c r="N344" t="s">
        <v>249</v>
      </c>
      <c r="O344">
        <f>Orders[[#This Row],[requiredDate]]-Orders[[#This Row],[orderDate]]</f>
        <v>28</v>
      </c>
      <c r="P344">
        <f>Orders[[#This Row],[shippedDate]]-Orders[[#This Row],[orderDate]]</f>
        <v>7</v>
      </c>
      <c r="Q344">
        <f>Orders[[#This Row],[requiredDate]]-Orders[[#This Row],[shippedDate]]</f>
        <v>21</v>
      </c>
    </row>
    <row r="345" spans="1:17" x14ac:dyDescent="0.2">
      <c r="A345">
        <v>10591</v>
      </c>
      <c r="B345" t="s">
        <v>295</v>
      </c>
      <c r="C345">
        <v>1</v>
      </c>
      <c r="D345" s="1">
        <v>35618</v>
      </c>
      <c r="E345" s="1">
        <v>35632</v>
      </c>
      <c r="F345" s="1">
        <v>35627</v>
      </c>
      <c r="G345">
        <v>1</v>
      </c>
      <c r="H345" s="2">
        <v>55.92</v>
      </c>
      <c r="I345" t="s">
        <v>296</v>
      </c>
      <c r="J345" t="s">
        <v>297</v>
      </c>
      <c r="K345" t="s">
        <v>298</v>
      </c>
      <c r="L345" t="s">
        <v>18</v>
      </c>
      <c r="M345">
        <v>8200</v>
      </c>
      <c r="N345" t="s">
        <v>257</v>
      </c>
      <c r="O345">
        <f>Orders[[#This Row],[requiredDate]]-Orders[[#This Row],[orderDate]]</f>
        <v>14</v>
      </c>
      <c r="P345">
        <f>Orders[[#This Row],[shippedDate]]-Orders[[#This Row],[orderDate]]</f>
        <v>9</v>
      </c>
      <c r="Q345">
        <f>Orders[[#This Row],[requiredDate]]-Orders[[#This Row],[shippedDate]]</f>
        <v>5</v>
      </c>
    </row>
    <row r="346" spans="1:17" x14ac:dyDescent="0.2">
      <c r="A346">
        <v>10592</v>
      </c>
      <c r="B346" t="s">
        <v>142</v>
      </c>
      <c r="C346">
        <v>3</v>
      </c>
      <c r="D346" s="1">
        <v>35619</v>
      </c>
      <c r="E346" s="1">
        <v>35647</v>
      </c>
      <c r="F346" s="1">
        <v>35627</v>
      </c>
      <c r="G346">
        <v>1</v>
      </c>
      <c r="H346" s="2">
        <v>32.1</v>
      </c>
      <c r="I346" t="s">
        <v>143</v>
      </c>
      <c r="J346" t="s">
        <v>144</v>
      </c>
      <c r="K346" t="s">
        <v>145</v>
      </c>
      <c r="L346" t="s">
        <v>18</v>
      </c>
      <c r="M346">
        <v>60528</v>
      </c>
      <c r="N346" t="s">
        <v>24</v>
      </c>
      <c r="O346">
        <f>Orders[[#This Row],[requiredDate]]-Orders[[#This Row],[orderDate]]</f>
        <v>28</v>
      </c>
      <c r="P346">
        <f>Orders[[#This Row],[shippedDate]]-Orders[[#This Row],[orderDate]]</f>
        <v>8</v>
      </c>
      <c r="Q346">
        <f>Orders[[#This Row],[requiredDate]]-Orders[[#This Row],[shippedDate]]</f>
        <v>20</v>
      </c>
    </row>
    <row r="347" spans="1:17" x14ac:dyDescent="0.2">
      <c r="A347">
        <v>10593</v>
      </c>
      <c r="B347" t="s">
        <v>142</v>
      </c>
      <c r="C347">
        <v>7</v>
      </c>
      <c r="D347" s="1">
        <v>35620</v>
      </c>
      <c r="E347" s="1">
        <v>35648</v>
      </c>
      <c r="F347" s="1">
        <v>35655</v>
      </c>
      <c r="G347">
        <v>2</v>
      </c>
      <c r="H347" s="2">
        <v>174.2</v>
      </c>
      <c r="I347" t="s">
        <v>143</v>
      </c>
      <c r="J347" t="s">
        <v>144</v>
      </c>
      <c r="K347" t="s">
        <v>145</v>
      </c>
      <c r="L347" t="s">
        <v>18</v>
      </c>
      <c r="M347">
        <v>60528</v>
      </c>
      <c r="N347" t="s">
        <v>24</v>
      </c>
      <c r="O347">
        <f>Orders[[#This Row],[requiredDate]]-Orders[[#This Row],[orderDate]]</f>
        <v>28</v>
      </c>
      <c r="P347">
        <f>Orders[[#This Row],[shippedDate]]-Orders[[#This Row],[orderDate]]</f>
        <v>35</v>
      </c>
      <c r="Q347">
        <f>Orders[[#This Row],[requiredDate]]-Orders[[#This Row],[shippedDate]]</f>
        <v>-7</v>
      </c>
    </row>
    <row r="348" spans="1:17" x14ac:dyDescent="0.2">
      <c r="A348">
        <v>10594</v>
      </c>
      <c r="B348" t="s">
        <v>193</v>
      </c>
      <c r="C348">
        <v>3</v>
      </c>
      <c r="D348" s="1">
        <v>35620</v>
      </c>
      <c r="E348" s="1">
        <v>35648</v>
      </c>
      <c r="F348" s="1">
        <v>35627</v>
      </c>
      <c r="G348">
        <v>2</v>
      </c>
      <c r="H348" s="2">
        <v>5.24</v>
      </c>
      <c r="I348" t="s">
        <v>194</v>
      </c>
      <c r="J348" t="s">
        <v>195</v>
      </c>
      <c r="K348" t="s">
        <v>196</v>
      </c>
      <c r="L348" t="s">
        <v>197</v>
      </c>
      <c r="M348">
        <v>99508</v>
      </c>
      <c r="N348" t="s">
        <v>86</v>
      </c>
      <c r="O348">
        <f>Orders[[#This Row],[requiredDate]]-Orders[[#This Row],[orderDate]]</f>
        <v>28</v>
      </c>
      <c r="P348">
        <f>Orders[[#This Row],[shippedDate]]-Orders[[#This Row],[orderDate]]</f>
        <v>7</v>
      </c>
      <c r="Q348">
        <f>Orders[[#This Row],[requiredDate]]-Orders[[#This Row],[shippedDate]]</f>
        <v>21</v>
      </c>
    </row>
    <row r="349" spans="1:17" x14ac:dyDescent="0.2">
      <c r="A349">
        <v>10595</v>
      </c>
      <c r="B349" t="s">
        <v>63</v>
      </c>
      <c r="C349">
        <v>2</v>
      </c>
      <c r="D349" s="1">
        <v>35621</v>
      </c>
      <c r="E349" s="1">
        <v>35649</v>
      </c>
      <c r="F349" s="1">
        <v>35625</v>
      </c>
      <c r="G349">
        <v>1</v>
      </c>
      <c r="H349" s="2">
        <v>96.78</v>
      </c>
      <c r="I349" t="s">
        <v>64</v>
      </c>
      <c r="J349" t="s">
        <v>65</v>
      </c>
      <c r="K349" t="s">
        <v>66</v>
      </c>
      <c r="L349" t="s">
        <v>18</v>
      </c>
      <c r="M349">
        <v>8010</v>
      </c>
      <c r="N349" t="s">
        <v>67</v>
      </c>
      <c r="O349">
        <f>Orders[[#This Row],[requiredDate]]-Orders[[#This Row],[orderDate]]</f>
        <v>28</v>
      </c>
      <c r="P349">
        <f>Orders[[#This Row],[shippedDate]]-Orders[[#This Row],[orderDate]]</f>
        <v>4</v>
      </c>
      <c r="Q349">
        <f>Orders[[#This Row],[requiredDate]]-Orders[[#This Row],[shippedDate]]</f>
        <v>24</v>
      </c>
    </row>
    <row r="350" spans="1:17" x14ac:dyDescent="0.2">
      <c r="A350">
        <v>10596</v>
      </c>
      <c r="B350" t="s">
        <v>111</v>
      </c>
      <c r="C350">
        <v>8</v>
      </c>
      <c r="D350" s="1">
        <v>35622</v>
      </c>
      <c r="E350" s="1">
        <v>35650</v>
      </c>
      <c r="F350" s="1">
        <v>35654</v>
      </c>
      <c r="G350">
        <v>1</v>
      </c>
      <c r="H350" s="2">
        <v>16.34</v>
      </c>
      <c r="I350" t="s">
        <v>112</v>
      </c>
      <c r="J350" t="s">
        <v>113</v>
      </c>
      <c r="K350" t="s">
        <v>114</v>
      </c>
      <c r="L350" t="s">
        <v>115</v>
      </c>
      <c r="M350">
        <v>98124</v>
      </c>
      <c r="N350" t="s">
        <v>86</v>
      </c>
      <c r="O350">
        <f>Orders[[#This Row],[requiredDate]]-Orders[[#This Row],[orderDate]]</f>
        <v>28</v>
      </c>
      <c r="P350">
        <f>Orders[[#This Row],[shippedDate]]-Orders[[#This Row],[orderDate]]</f>
        <v>32</v>
      </c>
      <c r="Q350">
        <f>Orders[[#This Row],[requiredDate]]-Orders[[#This Row],[shippedDate]]</f>
        <v>-4</v>
      </c>
    </row>
    <row r="351" spans="1:17" x14ac:dyDescent="0.2">
      <c r="A351">
        <v>10597</v>
      </c>
      <c r="B351" t="s">
        <v>266</v>
      </c>
      <c r="C351">
        <v>7</v>
      </c>
      <c r="D351" s="1">
        <v>35622</v>
      </c>
      <c r="E351" s="1">
        <v>35650</v>
      </c>
      <c r="F351" s="1">
        <v>35629</v>
      </c>
      <c r="G351">
        <v>3</v>
      </c>
      <c r="H351" s="2">
        <v>35.119999999999997</v>
      </c>
      <c r="I351" t="s">
        <v>267</v>
      </c>
      <c r="J351" t="s">
        <v>268</v>
      </c>
      <c r="K351" t="s">
        <v>269</v>
      </c>
      <c r="L351" t="s">
        <v>18</v>
      </c>
      <c r="M351">
        <v>5020</v>
      </c>
      <c r="N351" t="s">
        <v>67</v>
      </c>
      <c r="O351">
        <f>Orders[[#This Row],[requiredDate]]-Orders[[#This Row],[orderDate]]</f>
        <v>28</v>
      </c>
      <c r="P351">
        <f>Orders[[#This Row],[shippedDate]]-Orders[[#This Row],[orderDate]]</f>
        <v>7</v>
      </c>
      <c r="Q351">
        <f>Orders[[#This Row],[requiredDate]]-Orders[[#This Row],[shippedDate]]</f>
        <v>21</v>
      </c>
    </row>
    <row r="352" spans="1:17" x14ac:dyDescent="0.2">
      <c r="A352">
        <v>10598</v>
      </c>
      <c r="B352" t="s">
        <v>81</v>
      </c>
      <c r="C352">
        <v>1</v>
      </c>
      <c r="D352" s="1">
        <v>35625</v>
      </c>
      <c r="E352" s="1">
        <v>35653</v>
      </c>
      <c r="F352" s="1">
        <v>35629</v>
      </c>
      <c r="G352">
        <v>3</v>
      </c>
      <c r="H352" s="2">
        <v>44.42</v>
      </c>
      <c r="I352" t="s">
        <v>82</v>
      </c>
      <c r="J352" t="s">
        <v>83</v>
      </c>
      <c r="K352" t="s">
        <v>84</v>
      </c>
      <c r="L352" t="s">
        <v>85</v>
      </c>
      <c r="M352">
        <v>87110</v>
      </c>
      <c r="N352" t="s">
        <v>86</v>
      </c>
      <c r="O352">
        <f>Orders[[#This Row],[requiredDate]]-Orders[[#This Row],[orderDate]]</f>
        <v>28</v>
      </c>
      <c r="P352">
        <f>Orders[[#This Row],[shippedDate]]-Orders[[#This Row],[orderDate]]</f>
        <v>4</v>
      </c>
      <c r="Q352">
        <f>Orders[[#This Row],[requiredDate]]-Orders[[#This Row],[shippedDate]]</f>
        <v>24</v>
      </c>
    </row>
    <row r="353" spans="1:17" x14ac:dyDescent="0.2">
      <c r="A353">
        <v>10599</v>
      </c>
      <c r="B353" t="s">
        <v>164</v>
      </c>
      <c r="C353">
        <v>6</v>
      </c>
      <c r="D353" s="1">
        <v>35626</v>
      </c>
      <c r="E353" s="1">
        <v>35668</v>
      </c>
      <c r="F353" s="1">
        <v>35632</v>
      </c>
      <c r="G353">
        <v>3</v>
      </c>
      <c r="H353" s="2">
        <v>29.98</v>
      </c>
      <c r="I353" t="s">
        <v>165</v>
      </c>
      <c r="J353" t="s">
        <v>166</v>
      </c>
      <c r="K353" t="s">
        <v>167</v>
      </c>
      <c r="L353" t="s">
        <v>18</v>
      </c>
      <c r="M353" t="s">
        <v>168</v>
      </c>
      <c r="N353" t="s">
        <v>169</v>
      </c>
      <c r="O353">
        <f>Orders[[#This Row],[requiredDate]]-Orders[[#This Row],[orderDate]]</f>
        <v>42</v>
      </c>
      <c r="P353">
        <f>Orders[[#This Row],[shippedDate]]-Orders[[#This Row],[orderDate]]</f>
        <v>6</v>
      </c>
      <c r="Q353">
        <f>Orders[[#This Row],[requiredDate]]-Orders[[#This Row],[shippedDate]]</f>
        <v>36</v>
      </c>
    </row>
    <row r="354" spans="1:17" x14ac:dyDescent="0.2">
      <c r="A354">
        <v>10600</v>
      </c>
      <c r="B354" t="s">
        <v>309</v>
      </c>
      <c r="C354">
        <v>4</v>
      </c>
      <c r="D354" s="1">
        <v>35627</v>
      </c>
      <c r="E354" s="1">
        <v>35655</v>
      </c>
      <c r="F354" s="1">
        <v>35632</v>
      </c>
      <c r="G354">
        <v>1</v>
      </c>
      <c r="H354" s="2">
        <v>45.13</v>
      </c>
      <c r="I354" t="s">
        <v>310</v>
      </c>
      <c r="J354" t="s">
        <v>311</v>
      </c>
      <c r="K354" t="s">
        <v>312</v>
      </c>
      <c r="L354" t="s">
        <v>202</v>
      </c>
      <c r="M354">
        <v>97827</v>
      </c>
      <c r="N354" t="s">
        <v>86</v>
      </c>
      <c r="O354">
        <f>Orders[[#This Row],[requiredDate]]-Orders[[#This Row],[orderDate]]</f>
        <v>28</v>
      </c>
      <c r="P354">
        <f>Orders[[#This Row],[shippedDate]]-Orders[[#This Row],[orderDate]]</f>
        <v>5</v>
      </c>
      <c r="Q354">
        <f>Orders[[#This Row],[requiredDate]]-Orders[[#This Row],[shippedDate]]</f>
        <v>23</v>
      </c>
    </row>
    <row r="355" spans="1:17" x14ac:dyDescent="0.2">
      <c r="A355">
        <v>10601</v>
      </c>
      <c r="B355" t="s">
        <v>57</v>
      </c>
      <c r="C355">
        <v>7</v>
      </c>
      <c r="D355" s="1">
        <v>35627</v>
      </c>
      <c r="E355" s="1">
        <v>35669</v>
      </c>
      <c r="F355" s="1">
        <v>35633</v>
      </c>
      <c r="G355">
        <v>1</v>
      </c>
      <c r="H355" s="2">
        <v>58.3</v>
      </c>
      <c r="I355" t="s">
        <v>58</v>
      </c>
      <c r="J355" t="s">
        <v>59</v>
      </c>
      <c r="K355" t="s">
        <v>60</v>
      </c>
      <c r="L355" t="s">
        <v>61</v>
      </c>
      <c r="M355">
        <v>5022</v>
      </c>
      <c r="N355" t="s">
        <v>62</v>
      </c>
      <c r="O355">
        <f>Orders[[#This Row],[requiredDate]]-Orders[[#This Row],[orderDate]]</f>
        <v>42</v>
      </c>
      <c r="P355">
        <f>Orders[[#This Row],[shippedDate]]-Orders[[#This Row],[orderDate]]</f>
        <v>6</v>
      </c>
      <c r="Q355">
        <f>Orders[[#This Row],[requiredDate]]-Orders[[#This Row],[shippedDate]]</f>
        <v>36</v>
      </c>
    </row>
    <row r="356" spans="1:17" x14ac:dyDescent="0.2">
      <c r="A356">
        <v>10602</v>
      </c>
      <c r="B356" t="s">
        <v>295</v>
      </c>
      <c r="C356">
        <v>8</v>
      </c>
      <c r="D356" s="1">
        <v>35628</v>
      </c>
      <c r="E356" s="1">
        <v>35656</v>
      </c>
      <c r="F356" s="1">
        <v>35633</v>
      </c>
      <c r="G356">
        <v>2</v>
      </c>
      <c r="H356" s="2">
        <v>2.92</v>
      </c>
      <c r="I356" t="s">
        <v>296</v>
      </c>
      <c r="J356" t="s">
        <v>297</v>
      </c>
      <c r="K356" t="s">
        <v>298</v>
      </c>
      <c r="L356" t="s">
        <v>18</v>
      </c>
      <c r="M356">
        <v>8200</v>
      </c>
      <c r="N356" t="s">
        <v>257</v>
      </c>
      <c r="O356">
        <f>Orders[[#This Row],[requiredDate]]-Orders[[#This Row],[orderDate]]</f>
        <v>28</v>
      </c>
      <c r="P356">
        <f>Orders[[#This Row],[shippedDate]]-Orders[[#This Row],[orderDate]]</f>
        <v>5</v>
      </c>
      <c r="Q356">
        <f>Orders[[#This Row],[requiredDate]]-Orders[[#This Row],[shippedDate]]</f>
        <v>23</v>
      </c>
    </row>
    <row r="357" spans="1:17" x14ac:dyDescent="0.2">
      <c r="A357">
        <v>10603</v>
      </c>
      <c r="B357" t="s">
        <v>226</v>
      </c>
      <c r="C357">
        <v>8</v>
      </c>
      <c r="D357" s="1">
        <v>35629</v>
      </c>
      <c r="E357" s="1">
        <v>35657</v>
      </c>
      <c r="F357" s="1">
        <v>35650</v>
      </c>
      <c r="G357">
        <v>2</v>
      </c>
      <c r="H357" s="2">
        <v>48.77</v>
      </c>
      <c r="I357" t="s">
        <v>227</v>
      </c>
      <c r="J357" t="s">
        <v>228</v>
      </c>
      <c r="K357" t="s">
        <v>229</v>
      </c>
      <c r="L357" t="s">
        <v>230</v>
      </c>
      <c r="M357">
        <v>83720</v>
      </c>
      <c r="N357" t="s">
        <v>86</v>
      </c>
      <c r="O357">
        <f>Orders[[#This Row],[requiredDate]]-Orders[[#This Row],[orderDate]]</f>
        <v>28</v>
      </c>
      <c r="P357">
        <f>Orders[[#This Row],[shippedDate]]-Orders[[#This Row],[orderDate]]</f>
        <v>21</v>
      </c>
      <c r="Q357">
        <f>Orders[[#This Row],[requiredDate]]-Orders[[#This Row],[shippedDate]]</f>
        <v>7</v>
      </c>
    </row>
    <row r="358" spans="1:17" x14ac:dyDescent="0.2">
      <c r="A358">
        <v>10604</v>
      </c>
      <c r="B358" t="s">
        <v>234</v>
      </c>
      <c r="C358">
        <v>1</v>
      </c>
      <c r="D358" s="1">
        <v>35629</v>
      </c>
      <c r="E358" s="1">
        <v>35657</v>
      </c>
      <c r="F358" s="1">
        <v>35640</v>
      </c>
      <c r="G358">
        <v>1</v>
      </c>
      <c r="H358" s="2">
        <v>7.46</v>
      </c>
      <c r="I358" t="s">
        <v>235</v>
      </c>
      <c r="J358" t="s">
        <v>236</v>
      </c>
      <c r="K358" t="s">
        <v>237</v>
      </c>
      <c r="L358" t="s">
        <v>18</v>
      </c>
      <c r="M358">
        <v>1675</v>
      </c>
      <c r="N358" t="s">
        <v>238</v>
      </c>
      <c r="O358">
        <f>Orders[[#This Row],[requiredDate]]-Orders[[#This Row],[orderDate]]</f>
        <v>28</v>
      </c>
      <c r="P358">
        <f>Orders[[#This Row],[shippedDate]]-Orders[[#This Row],[orderDate]]</f>
        <v>11</v>
      </c>
      <c r="Q358">
        <f>Orders[[#This Row],[requiredDate]]-Orders[[#This Row],[shippedDate]]</f>
        <v>17</v>
      </c>
    </row>
    <row r="359" spans="1:17" x14ac:dyDescent="0.2">
      <c r="A359">
        <v>10605</v>
      </c>
      <c r="B359" t="s">
        <v>243</v>
      </c>
      <c r="C359">
        <v>1</v>
      </c>
      <c r="D359" s="1">
        <v>35632</v>
      </c>
      <c r="E359" s="1">
        <v>35660</v>
      </c>
      <c r="F359" s="1">
        <v>35640</v>
      </c>
      <c r="G359">
        <v>2</v>
      </c>
      <c r="H359" s="2">
        <v>379.13</v>
      </c>
      <c r="I359" t="s">
        <v>244</v>
      </c>
      <c r="J359" t="s">
        <v>245</v>
      </c>
      <c r="K359" t="s">
        <v>246</v>
      </c>
      <c r="L359" t="s">
        <v>247</v>
      </c>
      <c r="M359" t="s">
        <v>248</v>
      </c>
      <c r="N359" t="s">
        <v>249</v>
      </c>
      <c r="O359">
        <f>Orders[[#This Row],[requiredDate]]-Orders[[#This Row],[orderDate]]</f>
        <v>28</v>
      </c>
      <c r="P359">
        <f>Orders[[#This Row],[shippedDate]]-Orders[[#This Row],[orderDate]]</f>
        <v>8</v>
      </c>
      <c r="Q359">
        <f>Orders[[#This Row],[requiredDate]]-Orders[[#This Row],[shippedDate]]</f>
        <v>20</v>
      </c>
    </row>
    <row r="360" spans="1:17" x14ac:dyDescent="0.2">
      <c r="A360">
        <v>10606</v>
      </c>
      <c r="B360" t="s">
        <v>175</v>
      </c>
      <c r="C360">
        <v>4</v>
      </c>
      <c r="D360" s="1">
        <v>35633</v>
      </c>
      <c r="E360" s="1">
        <v>35661</v>
      </c>
      <c r="F360" s="1">
        <v>35642</v>
      </c>
      <c r="G360">
        <v>3</v>
      </c>
      <c r="H360" s="2">
        <v>79.400000000000006</v>
      </c>
      <c r="I360" t="s">
        <v>176</v>
      </c>
      <c r="J360" t="s">
        <v>177</v>
      </c>
      <c r="K360" t="s">
        <v>173</v>
      </c>
      <c r="L360" t="s">
        <v>55</v>
      </c>
      <c r="M360" t="s">
        <v>178</v>
      </c>
      <c r="N360" t="s">
        <v>31</v>
      </c>
      <c r="O360">
        <f>Orders[[#This Row],[requiredDate]]-Orders[[#This Row],[orderDate]]</f>
        <v>28</v>
      </c>
      <c r="P360">
        <f>Orders[[#This Row],[shippedDate]]-Orders[[#This Row],[orderDate]]</f>
        <v>9</v>
      </c>
      <c r="Q360">
        <f>Orders[[#This Row],[requiredDate]]-Orders[[#This Row],[shippedDate]]</f>
        <v>19</v>
      </c>
    </row>
    <row r="361" spans="1:17" x14ac:dyDescent="0.2">
      <c r="A361">
        <v>10607</v>
      </c>
      <c r="B361" t="s">
        <v>226</v>
      </c>
      <c r="C361">
        <v>5</v>
      </c>
      <c r="D361" s="1">
        <v>35633</v>
      </c>
      <c r="E361" s="1">
        <v>35661</v>
      </c>
      <c r="F361" s="1">
        <v>35636</v>
      </c>
      <c r="G361">
        <v>1</v>
      </c>
      <c r="H361" s="2">
        <v>200.24</v>
      </c>
      <c r="I361" t="s">
        <v>227</v>
      </c>
      <c r="J361" t="s">
        <v>228</v>
      </c>
      <c r="K361" t="s">
        <v>229</v>
      </c>
      <c r="L361" t="s">
        <v>230</v>
      </c>
      <c r="M361">
        <v>83720</v>
      </c>
      <c r="N361" t="s">
        <v>86</v>
      </c>
      <c r="O361">
        <f>Orders[[#This Row],[requiredDate]]-Orders[[#This Row],[orderDate]]</f>
        <v>28</v>
      </c>
      <c r="P361">
        <f>Orders[[#This Row],[shippedDate]]-Orders[[#This Row],[orderDate]]</f>
        <v>3</v>
      </c>
      <c r="Q361">
        <f>Orders[[#This Row],[requiredDate]]-Orders[[#This Row],[shippedDate]]</f>
        <v>25</v>
      </c>
    </row>
    <row r="362" spans="1:17" x14ac:dyDescent="0.2">
      <c r="A362">
        <v>10608</v>
      </c>
      <c r="B362" t="s">
        <v>20</v>
      </c>
      <c r="C362">
        <v>4</v>
      </c>
      <c r="D362" s="1">
        <v>35634</v>
      </c>
      <c r="E362" s="1">
        <v>35662</v>
      </c>
      <c r="F362" s="1">
        <v>35643</v>
      </c>
      <c r="G362">
        <v>2</v>
      </c>
      <c r="H362" s="2">
        <v>27.79</v>
      </c>
      <c r="I362" t="s">
        <v>21</v>
      </c>
      <c r="J362" t="s">
        <v>22</v>
      </c>
      <c r="K362" t="s">
        <v>23</v>
      </c>
      <c r="L362" t="s">
        <v>18</v>
      </c>
      <c r="M362">
        <v>44087</v>
      </c>
      <c r="N362" t="s">
        <v>24</v>
      </c>
      <c r="O362">
        <f>Orders[[#This Row],[requiredDate]]-Orders[[#This Row],[orderDate]]</f>
        <v>28</v>
      </c>
      <c r="P362">
        <f>Orders[[#This Row],[shippedDate]]-Orders[[#This Row],[orderDate]]</f>
        <v>9</v>
      </c>
      <c r="Q362">
        <f>Orders[[#This Row],[requiredDate]]-Orders[[#This Row],[shippedDate]]</f>
        <v>19</v>
      </c>
    </row>
    <row r="363" spans="1:17" x14ac:dyDescent="0.2">
      <c r="A363">
        <v>10609</v>
      </c>
      <c r="B363" t="s">
        <v>209</v>
      </c>
      <c r="C363">
        <v>7</v>
      </c>
      <c r="D363" s="1">
        <v>35635</v>
      </c>
      <c r="E363" s="1">
        <v>35663</v>
      </c>
      <c r="F363" s="1">
        <v>35641</v>
      </c>
      <c r="G363">
        <v>2</v>
      </c>
      <c r="H363" s="2">
        <v>1.85</v>
      </c>
      <c r="I363" t="s">
        <v>210</v>
      </c>
      <c r="J363" t="s">
        <v>211</v>
      </c>
      <c r="K363" t="s">
        <v>212</v>
      </c>
      <c r="L363" t="s">
        <v>18</v>
      </c>
      <c r="M363">
        <v>44000</v>
      </c>
      <c r="N363" t="s">
        <v>19</v>
      </c>
      <c r="O363">
        <f>Orders[[#This Row],[requiredDate]]-Orders[[#This Row],[orderDate]]</f>
        <v>28</v>
      </c>
      <c r="P363">
        <f>Orders[[#This Row],[shippedDate]]-Orders[[#This Row],[orderDate]]</f>
        <v>6</v>
      </c>
      <c r="Q363">
        <f>Orders[[#This Row],[requiredDate]]-Orders[[#This Row],[shippedDate]]</f>
        <v>22</v>
      </c>
    </row>
    <row r="364" spans="1:17" x14ac:dyDescent="0.2">
      <c r="A364">
        <v>10610</v>
      </c>
      <c r="B364" t="s">
        <v>262</v>
      </c>
      <c r="C364">
        <v>8</v>
      </c>
      <c r="D364" s="1">
        <v>35636</v>
      </c>
      <c r="E364" s="1">
        <v>35664</v>
      </c>
      <c r="F364" s="1">
        <v>35648</v>
      </c>
      <c r="G364">
        <v>1</v>
      </c>
      <c r="H364" s="2">
        <v>26.78</v>
      </c>
      <c r="I364" t="s">
        <v>263</v>
      </c>
      <c r="J364" t="s">
        <v>264</v>
      </c>
      <c r="K364" t="s">
        <v>265</v>
      </c>
      <c r="L364" t="s">
        <v>18</v>
      </c>
      <c r="M364">
        <v>31000</v>
      </c>
      <c r="N364" t="s">
        <v>19</v>
      </c>
      <c r="O364">
        <f>Orders[[#This Row],[requiredDate]]-Orders[[#This Row],[orderDate]]</f>
        <v>28</v>
      </c>
      <c r="P364">
        <f>Orders[[#This Row],[shippedDate]]-Orders[[#This Row],[orderDate]]</f>
        <v>12</v>
      </c>
      <c r="Q364">
        <f>Orders[[#This Row],[requiredDate]]-Orders[[#This Row],[shippedDate]]</f>
        <v>16</v>
      </c>
    </row>
    <row r="365" spans="1:17" x14ac:dyDescent="0.2">
      <c r="A365">
        <v>10611</v>
      </c>
      <c r="B365" t="s">
        <v>303</v>
      </c>
      <c r="C365">
        <v>6</v>
      </c>
      <c r="D365" s="1">
        <v>35636</v>
      </c>
      <c r="E365" s="1">
        <v>35664</v>
      </c>
      <c r="F365" s="1">
        <v>35643</v>
      </c>
      <c r="G365">
        <v>2</v>
      </c>
      <c r="H365" s="2">
        <v>80.650000000000006</v>
      </c>
      <c r="I365" t="s">
        <v>304</v>
      </c>
      <c r="J365" t="s">
        <v>305</v>
      </c>
      <c r="K365" t="s">
        <v>306</v>
      </c>
      <c r="L365" t="s">
        <v>18</v>
      </c>
      <c r="M365" t="s">
        <v>307</v>
      </c>
      <c r="N365" t="s">
        <v>308</v>
      </c>
      <c r="O365">
        <f>Orders[[#This Row],[requiredDate]]-Orders[[#This Row],[orderDate]]</f>
        <v>28</v>
      </c>
      <c r="P365">
        <f>Orders[[#This Row],[shippedDate]]-Orders[[#This Row],[orderDate]]</f>
        <v>7</v>
      </c>
      <c r="Q365">
        <f>Orders[[#This Row],[requiredDate]]-Orders[[#This Row],[shippedDate]]</f>
        <v>21</v>
      </c>
    </row>
    <row r="366" spans="1:17" x14ac:dyDescent="0.2">
      <c r="A366">
        <v>10612</v>
      </c>
      <c r="B366" t="s">
        <v>226</v>
      </c>
      <c r="C366">
        <v>1</v>
      </c>
      <c r="D366" s="1">
        <v>35639</v>
      </c>
      <c r="E366" s="1">
        <v>35667</v>
      </c>
      <c r="F366" s="1">
        <v>35643</v>
      </c>
      <c r="G366">
        <v>2</v>
      </c>
      <c r="H366" s="2">
        <v>544.08000000000004</v>
      </c>
      <c r="I366" t="s">
        <v>227</v>
      </c>
      <c r="J366" t="s">
        <v>228</v>
      </c>
      <c r="K366" t="s">
        <v>229</v>
      </c>
      <c r="L366" t="s">
        <v>230</v>
      </c>
      <c r="M366">
        <v>83720</v>
      </c>
      <c r="N366" t="s">
        <v>86</v>
      </c>
      <c r="O366">
        <f>Orders[[#This Row],[requiredDate]]-Orders[[#This Row],[orderDate]]</f>
        <v>28</v>
      </c>
      <c r="P366">
        <f>Orders[[#This Row],[shippedDate]]-Orders[[#This Row],[orderDate]]</f>
        <v>4</v>
      </c>
      <c r="Q366">
        <f>Orders[[#This Row],[requiredDate]]-Orders[[#This Row],[shippedDate]]</f>
        <v>24</v>
      </c>
    </row>
    <row r="367" spans="1:17" x14ac:dyDescent="0.2">
      <c r="A367">
        <v>10613</v>
      </c>
      <c r="B367" t="s">
        <v>57</v>
      </c>
      <c r="C367">
        <v>4</v>
      </c>
      <c r="D367" s="1">
        <v>35640</v>
      </c>
      <c r="E367" s="1">
        <v>35668</v>
      </c>
      <c r="F367" s="1">
        <v>35643</v>
      </c>
      <c r="G367">
        <v>2</v>
      </c>
      <c r="H367" s="2">
        <v>8.11</v>
      </c>
      <c r="I367" t="s">
        <v>58</v>
      </c>
      <c r="J367" t="s">
        <v>59</v>
      </c>
      <c r="K367" t="s">
        <v>60</v>
      </c>
      <c r="L367" t="s">
        <v>61</v>
      </c>
      <c r="M367">
        <v>5022</v>
      </c>
      <c r="N367" t="s">
        <v>62</v>
      </c>
      <c r="O367">
        <f>Orders[[#This Row],[requiredDate]]-Orders[[#This Row],[orderDate]]</f>
        <v>28</v>
      </c>
      <c r="P367">
        <f>Orders[[#This Row],[shippedDate]]-Orders[[#This Row],[orderDate]]</f>
        <v>3</v>
      </c>
      <c r="Q367">
        <f>Orders[[#This Row],[requiredDate]]-Orders[[#This Row],[shippedDate]]</f>
        <v>25</v>
      </c>
    </row>
    <row r="368" spans="1:17" x14ac:dyDescent="0.2">
      <c r="A368">
        <v>10614</v>
      </c>
      <c r="B368" t="s">
        <v>363</v>
      </c>
      <c r="C368">
        <v>8</v>
      </c>
      <c r="D368" s="1">
        <v>35640</v>
      </c>
      <c r="E368" s="1">
        <v>35668</v>
      </c>
      <c r="F368" s="1">
        <v>35643</v>
      </c>
      <c r="G368">
        <v>3</v>
      </c>
      <c r="H368" s="2">
        <v>1.93</v>
      </c>
      <c r="I368" t="s">
        <v>364</v>
      </c>
      <c r="J368" t="s">
        <v>365</v>
      </c>
      <c r="K368" t="s">
        <v>366</v>
      </c>
      <c r="L368" t="s">
        <v>18</v>
      </c>
      <c r="M368">
        <v>68306</v>
      </c>
      <c r="N368" t="s">
        <v>24</v>
      </c>
      <c r="O368">
        <f>Orders[[#This Row],[requiredDate]]-Orders[[#This Row],[orderDate]]</f>
        <v>28</v>
      </c>
      <c r="P368">
        <f>Orders[[#This Row],[shippedDate]]-Orders[[#This Row],[orderDate]]</f>
        <v>3</v>
      </c>
      <c r="Q368">
        <f>Orders[[#This Row],[requiredDate]]-Orders[[#This Row],[shippedDate]]</f>
        <v>25</v>
      </c>
    </row>
    <row r="369" spans="1:17" x14ac:dyDescent="0.2">
      <c r="A369">
        <v>10615</v>
      </c>
      <c r="B369" t="s">
        <v>392</v>
      </c>
      <c r="C369">
        <v>2</v>
      </c>
      <c r="D369" s="1">
        <v>35641</v>
      </c>
      <c r="E369" s="1">
        <v>35669</v>
      </c>
      <c r="F369" s="1">
        <v>35648</v>
      </c>
      <c r="G369">
        <v>3</v>
      </c>
      <c r="H369" s="2">
        <v>0.75</v>
      </c>
      <c r="I369" t="s">
        <v>393</v>
      </c>
      <c r="J369" t="s">
        <v>394</v>
      </c>
      <c r="K369" t="s">
        <v>395</v>
      </c>
      <c r="L369" t="s">
        <v>18</v>
      </c>
      <c r="M369">
        <v>21240</v>
      </c>
      <c r="N369" t="s">
        <v>101</v>
      </c>
      <c r="O369">
        <f>Orders[[#This Row],[requiredDate]]-Orders[[#This Row],[orderDate]]</f>
        <v>28</v>
      </c>
      <c r="P369">
        <f>Orders[[#This Row],[shippedDate]]-Orders[[#This Row],[orderDate]]</f>
        <v>7</v>
      </c>
      <c r="Q369">
        <f>Orders[[#This Row],[requiredDate]]-Orders[[#This Row],[shippedDate]]</f>
        <v>21</v>
      </c>
    </row>
    <row r="370" spans="1:17" x14ac:dyDescent="0.2">
      <c r="A370">
        <v>10616</v>
      </c>
      <c r="B370" t="s">
        <v>374</v>
      </c>
      <c r="C370">
        <v>1</v>
      </c>
      <c r="D370" s="1">
        <v>35642</v>
      </c>
      <c r="E370" s="1">
        <v>35670</v>
      </c>
      <c r="F370" s="1">
        <v>35647</v>
      </c>
      <c r="G370">
        <v>2</v>
      </c>
      <c r="H370" s="2">
        <v>116.53</v>
      </c>
      <c r="I370" t="s">
        <v>375</v>
      </c>
      <c r="J370" t="s">
        <v>376</v>
      </c>
      <c r="K370" t="s">
        <v>377</v>
      </c>
      <c r="L370" t="s">
        <v>202</v>
      </c>
      <c r="M370">
        <v>97403</v>
      </c>
      <c r="N370" t="s">
        <v>86</v>
      </c>
      <c r="O370">
        <f>Orders[[#This Row],[requiredDate]]-Orders[[#This Row],[orderDate]]</f>
        <v>28</v>
      </c>
      <c r="P370">
        <f>Orders[[#This Row],[shippedDate]]-Orders[[#This Row],[orderDate]]</f>
        <v>5</v>
      </c>
      <c r="Q370">
        <f>Orders[[#This Row],[requiredDate]]-Orders[[#This Row],[shippedDate]]</f>
        <v>23</v>
      </c>
    </row>
    <row r="371" spans="1:17" x14ac:dyDescent="0.2">
      <c r="A371">
        <v>10617</v>
      </c>
      <c r="B371" t="s">
        <v>374</v>
      </c>
      <c r="C371">
        <v>4</v>
      </c>
      <c r="D371" s="1">
        <v>35642</v>
      </c>
      <c r="E371" s="1">
        <v>35670</v>
      </c>
      <c r="F371" s="1">
        <v>35646</v>
      </c>
      <c r="G371">
        <v>2</v>
      </c>
      <c r="H371" s="2">
        <v>18.53</v>
      </c>
      <c r="I371" t="s">
        <v>375</v>
      </c>
      <c r="J371" t="s">
        <v>376</v>
      </c>
      <c r="K371" t="s">
        <v>377</v>
      </c>
      <c r="L371" t="s">
        <v>202</v>
      </c>
      <c r="M371">
        <v>97403</v>
      </c>
      <c r="N371" t="s">
        <v>86</v>
      </c>
      <c r="O371">
        <f>Orders[[#This Row],[requiredDate]]-Orders[[#This Row],[orderDate]]</f>
        <v>28</v>
      </c>
      <c r="P371">
        <f>Orders[[#This Row],[shippedDate]]-Orders[[#This Row],[orderDate]]</f>
        <v>4</v>
      </c>
      <c r="Q371">
        <f>Orders[[#This Row],[requiredDate]]-Orders[[#This Row],[shippedDate]]</f>
        <v>24</v>
      </c>
    </row>
    <row r="372" spans="1:17" x14ac:dyDescent="0.2">
      <c r="A372">
        <v>10618</v>
      </c>
      <c r="B372" t="s">
        <v>243</v>
      </c>
      <c r="C372">
        <v>1</v>
      </c>
      <c r="D372" s="1">
        <v>35643</v>
      </c>
      <c r="E372" s="1">
        <v>35685</v>
      </c>
      <c r="F372" s="1">
        <v>35650</v>
      </c>
      <c r="G372">
        <v>1</v>
      </c>
      <c r="H372" s="2">
        <v>154.68</v>
      </c>
      <c r="I372" t="s">
        <v>244</v>
      </c>
      <c r="J372" t="s">
        <v>245</v>
      </c>
      <c r="K372" t="s">
        <v>246</v>
      </c>
      <c r="L372" t="s">
        <v>247</v>
      </c>
      <c r="M372" t="s">
        <v>248</v>
      </c>
      <c r="N372" t="s">
        <v>249</v>
      </c>
      <c r="O372">
        <f>Orders[[#This Row],[requiredDate]]-Orders[[#This Row],[orderDate]]</f>
        <v>42</v>
      </c>
      <c r="P372">
        <f>Orders[[#This Row],[shippedDate]]-Orders[[#This Row],[orderDate]]</f>
        <v>7</v>
      </c>
      <c r="Q372">
        <f>Orders[[#This Row],[requiredDate]]-Orders[[#This Row],[shippedDate]]</f>
        <v>35</v>
      </c>
    </row>
    <row r="373" spans="1:17" x14ac:dyDescent="0.2">
      <c r="A373">
        <v>10619</v>
      </c>
      <c r="B373" t="s">
        <v>243</v>
      </c>
      <c r="C373">
        <v>3</v>
      </c>
      <c r="D373" s="1">
        <v>35646</v>
      </c>
      <c r="E373" s="1">
        <v>35674</v>
      </c>
      <c r="F373" s="1">
        <v>35649</v>
      </c>
      <c r="G373">
        <v>3</v>
      </c>
      <c r="H373" s="2">
        <v>91.05</v>
      </c>
      <c r="I373" t="s">
        <v>244</v>
      </c>
      <c r="J373" t="s">
        <v>245</v>
      </c>
      <c r="K373" t="s">
        <v>246</v>
      </c>
      <c r="L373" t="s">
        <v>247</v>
      </c>
      <c r="M373" t="s">
        <v>248</v>
      </c>
      <c r="N373" t="s">
        <v>249</v>
      </c>
      <c r="O373">
        <f>Orders[[#This Row],[requiredDate]]-Orders[[#This Row],[orderDate]]</f>
        <v>28</v>
      </c>
      <c r="P373">
        <f>Orders[[#This Row],[shippedDate]]-Orders[[#This Row],[orderDate]]</f>
        <v>3</v>
      </c>
      <c r="Q373">
        <f>Orders[[#This Row],[requiredDate]]-Orders[[#This Row],[shippedDate]]</f>
        <v>25</v>
      </c>
    </row>
    <row r="374" spans="1:17" x14ac:dyDescent="0.2">
      <c r="A374">
        <v>10620</v>
      </c>
      <c r="B374" t="s">
        <v>358</v>
      </c>
      <c r="C374">
        <v>2</v>
      </c>
      <c r="D374" s="1">
        <v>35647</v>
      </c>
      <c r="E374" s="1">
        <v>35675</v>
      </c>
      <c r="F374" s="1">
        <v>35656</v>
      </c>
      <c r="G374">
        <v>3</v>
      </c>
      <c r="H374" s="2">
        <v>0.94</v>
      </c>
      <c r="I374" t="s">
        <v>359</v>
      </c>
      <c r="J374" t="s">
        <v>360</v>
      </c>
      <c r="K374" t="s">
        <v>361</v>
      </c>
      <c r="L374" t="s">
        <v>322</v>
      </c>
      <c r="M374" t="s">
        <v>362</v>
      </c>
      <c r="N374" t="s">
        <v>249</v>
      </c>
      <c r="O374">
        <f>Orders[[#This Row],[requiredDate]]-Orders[[#This Row],[orderDate]]</f>
        <v>28</v>
      </c>
      <c r="P374">
        <f>Orders[[#This Row],[shippedDate]]-Orders[[#This Row],[orderDate]]</f>
        <v>9</v>
      </c>
      <c r="Q374">
        <f>Orders[[#This Row],[requiredDate]]-Orders[[#This Row],[shippedDate]]</f>
        <v>19</v>
      </c>
    </row>
    <row r="375" spans="1:17" x14ac:dyDescent="0.2">
      <c r="A375">
        <v>10621</v>
      </c>
      <c r="B375" t="s">
        <v>213</v>
      </c>
      <c r="C375">
        <v>4</v>
      </c>
      <c r="D375" s="1">
        <v>35647</v>
      </c>
      <c r="E375" s="1">
        <v>35675</v>
      </c>
      <c r="F375" s="1">
        <v>35653</v>
      </c>
      <c r="G375">
        <v>2</v>
      </c>
      <c r="H375" s="2">
        <v>23.73</v>
      </c>
      <c r="I375" t="s">
        <v>214</v>
      </c>
      <c r="J375" t="s">
        <v>215</v>
      </c>
      <c r="K375" t="s">
        <v>216</v>
      </c>
      <c r="L375" t="s">
        <v>217</v>
      </c>
      <c r="M375" t="s">
        <v>218</v>
      </c>
      <c r="N375" t="s">
        <v>169</v>
      </c>
      <c r="O375">
        <f>Orders[[#This Row],[requiredDate]]-Orders[[#This Row],[orderDate]]</f>
        <v>28</v>
      </c>
      <c r="P375">
        <f>Orders[[#This Row],[shippedDate]]-Orders[[#This Row],[orderDate]]</f>
        <v>6</v>
      </c>
      <c r="Q375">
        <f>Orders[[#This Row],[requiredDate]]-Orders[[#This Row],[shippedDate]]</f>
        <v>22</v>
      </c>
    </row>
    <row r="376" spans="1:17" x14ac:dyDescent="0.2">
      <c r="A376">
        <v>10622</v>
      </c>
      <c r="B376" t="s">
        <v>156</v>
      </c>
      <c r="C376">
        <v>4</v>
      </c>
      <c r="D376" s="1">
        <v>35648</v>
      </c>
      <c r="E376" s="1">
        <v>35676</v>
      </c>
      <c r="F376" s="1">
        <v>35653</v>
      </c>
      <c r="G376">
        <v>3</v>
      </c>
      <c r="H376" s="2">
        <v>50.97</v>
      </c>
      <c r="I376" t="s">
        <v>157</v>
      </c>
      <c r="J376" t="s">
        <v>158</v>
      </c>
      <c r="K376" t="s">
        <v>28</v>
      </c>
      <c r="L376" t="s">
        <v>29</v>
      </c>
      <c r="M376" t="s">
        <v>159</v>
      </c>
      <c r="N376" t="s">
        <v>31</v>
      </c>
      <c r="O376">
        <f>Orders[[#This Row],[requiredDate]]-Orders[[#This Row],[orderDate]]</f>
        <v>28</v>
      </c>
      <c r="P376">
        <f>Orders[[#This Row],[shippedDate]]-Orders[[#This Row],[orderDate]]</f>
        <v>5</v>
      </c>
      <c r="Q376">
        <f>Orders[[#This Row],[requiredDate]]-Orders[[#This Row],[shippedDate]]</f>
        <v>23</v>
      </c>
    </row>
    <row r="377" spans="1:17" x14ac:dyDescent="0.2">
      <c r="A377">
        <v>10623</v>
      </c>
      <c r="B377" t="s">
        <v>102</v>
      </c>
      <c r="C377">
        <v>8</v>
      </c>
      <c r="D377" s="1">
        <v>35649</v>
      </c>
      <c r="E377" s="1">
        <v>35677</v>
      </c>
      <c r="F377" s="1">
        <v>35654</v>
      </c>
      <c r="G377">
        <v>2</v>
      </c>
      <c r="H377" s="2">
        <v>97.18</v>
      </c>
      <c r="I377" t="s">
        <v>103</v>
      </c>
      <c r="J377" t="s">
        <v>104</v>
      </c>
      <c r="K377" t="s">
        <v>105</v>
      </c>
      <c r="L377" t="s">
        <v>18</v>
      </c>
      <c r="M377">
        <v>80805</v>
      </c>
      <c r="N377" t="s">
        <v>24</v>
      </c>
      <c r="O377">
        <f>Orders[[#This Row],[requiredDate]]-Orders[[#This Row],[orderDate]]</f>
        <v>28</v>
      </c>
      <c r="P377">
        <f>Orders[[#This Row],[shippedDate]]-Orders[[#This Row],[orderDate]]</f>
        <v>5</v>
      </c>
      <c r="Q377">
        <f>Orders[[#This Row],[requiredDate]]-Orders[[#This Row],[shippedDate]]</f>
        <v>23</v>
      </c>
    </row>
    <row r="378" spans="1:17" x14ac:dyDescent="0.2">
      <c r="A378">
        <v>10624</v>
      </c>
      <c r="B378" t="s">
        <v>396</v>
      </c>
      <c r="C378">
        <v>4</v>
      </c>
      <c r="D378" s="1">
        <v>35649</v>
      </c>
      <c r="E378" s="1">
        <v>35677</v>
      </c>
      <c r="F378" s="1">
        <v>35661</v>
      </c>
      <c r="G378">
        <v>2</v>
      </c>
      <c r="H378" s="2">
        <v>94.8</v>
      </c>
      <c r="I378" t="s">
        <v>397</v>
      </c>
      <c r="J378" t="s">
        <v>398</v>
      </c>
      <c r="K378" t="s">
        <v>399</v>
      </c>
      <c r="L378" t="s">
        <v>400</v>
      </c>
      <c r="M378">
        <v>59801</v>
      </c>
      <c r="N378" t="s">
        <v>86</v>
      </c>
      <c r="O378">
        <f>Orders[[#This Row],[requiredDate]]-Orders[[#This Row],[orderDate]]</f>
        <v>28</v>
      </c>
      <c r="P378">
        <f>Orders[[#This Row],[shippedDate]]-Orders[[#This Row],[orderDate]]</f>
        <v>12</v>
      </c>
      <c r="Q378">
        <f>Orders[[#This Row],[requiredDate]]-Orders[[#This Row],[shippedDate]]</f>
        <v>16</v>
      </c>
    </row>
    <row r="379" spans="1:17" x14ac:dyDescent="0.2">
      <c r="A379">
        <v>10625</v>
      </c>
      <c r="B379" t="s">
        <v>203</v>
      </c>
      <c r="C379">
        <v>3</v>
      </c>
      <c r="D379" s="1">
        <v>35650</v>
      </c>
      <c r="E379" s="1">
        <v>35678</v>
      </c>
      <c r="F379" s="1">
        <v>35656</v>
      </c>
      <c r="G379">
        <v>1</v>
      </c>
      <c r="H379" s="2">
        <v>43.9</v>
      </c>
      <c r="I379" t="s">
        <v>204</v>
      </c>
      <c r="J379" t="s">
        <v>205</v>
      </c>
      <c r="K379" t="s">
        <v>71</v>
      </c>
      <c r="L379" t="s">
        <v>18</v>
      </c>
      <c r="M379">
        <v>5021</v>
      </c>
      <c r="N379" t="s">
        <v>72</v>
      </c>
      <c r="O379">
        <f>Orders[[#This Row],[requiredDate]]-Orders[[#This Row],[orderDate]]</f>
        <v>28</v>
      </c>
      <c r="P379">
        <f>Orders[[#This Row],[shippedDate]]-Orders[[#This Row],[orderDate]]</f>
        <v>6</v>
      </c>
      <c r="Q379">
        <f>Orders[[#This Row],[requiredDate]]-Orders[[#This Row],[shippedDate]]</f>
        <v>22</v>
      </c>
    </row>
    <row r="380" spans="1:17" x14ac:dyDescent="0.2">
      <c r="A380">
        <v>10626</v>
      </c>
      <c r="B380" t="s">
        <v>137</v>
      </c>
      <c r="C380">
        <v>1</v>
      </c>
      <c r="D380" s="1">
        <v>35653</v>
      </c>
      <c r="E380" s="1">
        <v>35681</v>
      </c>
      <c r="F380" s="1">
        <v>35662</v>
      </c>
      <c r="G380">
        <v>2</v>
      </c>
      <c r="H380" s="2">
        <v>138.69</v>
      </c>
      <c r="I380" t="s">
        <v>138</v>
      </c>
      <c r="J380" t="s">
        <v>139</v>
      </c>
      <c r="K380" t="s">
        <v>140</v>
      </c>
      <c r="L380" t="s">
        <v>18</v>
      </c>
      <c r="M380" t="s">
        <v>141</v>
      </c>
      <c r="N380" t="s">
        <v>92</v>
      </c>
      <c r="O380">
        <f>Orders[[#This Row],[requiredDate]]-Orders[[#This Row],[orderDate]]</f>
        <v>28</v>
      </c>
      <c r="P380">
        <f>Orders[[#This Row],[shippedDate]]-Orders[[#This Row],[orderDate]]</f>
        <v>9</v>
      </c>
      <c r="Q380">
        <f>Orders[[#This Row],[requiredDate]]-Orders[[#This Row],[shippedDate]]</f>
        <v>19</v>
      </c>
    </row>
    <row r="381" spans="1:17" x14ac:dyDescent="0.2">
      <c r="A381">
        <v>10627</v>
      </c>
      <c r="B381" t="s">
        <v>226</v>
      </c>
      <c r="C381">
        <v>8</v>
      </c>
      <c r="D381" s="1">
        <v>35653</v>
      </c>
      <c r="E381" s="1">
        <v>35695</v>
      </c>
      <c r="F381" s="1">
        <v>35663</v>
      </c>
      <c r="G381">
        <v>3</v>
      </c>
      <c r="H381" s="2">
        <v>107.46</v>
      </c>
      <c r="I381" t="s">
        <v>227</v>
      </c>
      <c r="J381" t="s">
        <v>228</v>
      </c>
      <c r="K381" t="s">
        <v>229</v>
      </c>
      <c r="L381" t="s">
        <v>230</v>
      </c>
      <c r="M381">
        <v>83720</v>
      </c>
      <c r="N381" t="s">
        <v>86</v>
      </c>
      <c r="O381">
        <f>Orders[[#This Row],[requiredDate]]-Orders[[#This Row],[orderDate]]</f>
        <v>42</v>
      </c>
      <c r="P381">
        <f>Orders[[#This Row],[shippedDate]]-Orders[[#This Row],[orderDate]]</f>
        <v>10</v>
      </c>
      <c r="Q381">
        <f>Orders[[#This Row],[requiredDate]]-Orders[[#This Row],[shippedDate]]</f>
        <v>32</v>
      </c>
    </row>
    <row r="382" spans="1:17" x14ac:dyDescent="0.2">
      <c r="A382">
        <v>10628</v>
      </c>
      <c r="B382" t="s">
        <v>93</v>
      </c>
      <c r="C382">
        <v>4</v>
      </c>
      <c r="D382" s="1">
        <v>35654</v>
      </c>
      <c r="E382" s="1">
        <v>35682</v>
      </c>
      <c r="F382" s="1">
        <v>35662</v>
      </c>
      <c r="G382">
        <v>3</v>
      </c>
      <c r="H382" s="2">
        <v>30.36</v>
      </c>
      <c r="I382" t="s">
        <v>94</v>
      </c>
      <c r="J382" t="s">
        <v>95</v>
      </c>
      <c r="K382" t="s">
        <v>96</v>
      </c>
      <c r="L382" t="s">
        <v>18</v>
      </c>
      <c r="M382">
        <v>67000</v>
      </c>
      <c r="N382" t="s">
        <v>19</v>
      </c>
      <c r="O382">
        <f>Orders[[#This Row],[requiredDate]]-Orders[[#This Row],[orderDate]]</f>
        <v>28</v>
      </c>
      <c r="P382">
        <f>Orders[[#This Row],[shippedDate]]-Orders[[#This Row],[orderDate]]</f>
        <v>8</v>
      </c>
      <c r="Q382">
        <f>Orders[[#This Row],[requiredDate]]-Orders[[#This Row],[shippedDate]]</f>
        <v>20</v>
      </c>
    </row>
    <row r="383" spans="1:17" x14ac:dyDescent="0.2">
      <c r="A383">
        <v>10629</v>
      </c>
      <c r="B383" t="s">
        <v>189</v>
      </c>
      <c r="C383">
        <v>4</v>
      </c>
      <c r="D383" s="1">
        <v>35654</v>
      </c>
      <c r="E383" s="1">
        <v>35682</v>
      </c>
      <c r="F383" s="1">
        <v>35662</v>
      </c>
      <c r="G383">
        <v>3</v>
      </c>
      <c r="H383" s="2">
        <v>85.46</v>
      </c>
      <c r="I383" t="s">
        <v>190</v>
      </c>
      <c r="J383" t="s">
        <v>191</v>
      </c>
      <c r="K383" t="s">
        <v>192</v>
      </c>
      <c r="L383" t="s">
        <v>18</v>
      </c>
      <c r="M383">
        <v>41101</v>
      </c>
      <c r="N383" t="s">
        <v>150</v>
      </c>
      <c r="O383">
        <f>Orders[[#This Row],[requiredDate]]-Orders[[#This Row],[orderDate]]</f>
        <v>28</v>
      </c>
      <c r="P383">
        <f>Orders[[#This Row],[shippedDate]]-Orders[[#This Row],[orderDate]]</f>
        <v>8</v>
      </c>
      <c r="Q383">
        <f>Orders[[#This Row],[requiredDate]]-Orders[[#This Row],[shippedDate]]</f>
        <v>20</v>
      </c>
    </row>
    <row r="384" spans="1:17" x14ac:dyDescent="0.2">
      <c r="A384">
        <v>10630</v>
      </c>
      <c r="B384" t="s">
        <v>222</v>
      </c>
      <c r="C384">
        <v>1</v>
      </c>
      <c r="D384" s="1">
        <v>35655</v>
      </c>
      <c r="E384" s="1">
        <v>35683</v>
      </c>
      <c r="F384" s="1">
        <v>35661</v>
      </c>
      <c r="G384">
        <v>2</v>
      </c>
      <c r="H384" s="2">
        <v>32.35</v>
      </c>
      <c r="I384" t="s">
        <v>223</v>
      </c>
      <c r="J384" t="s">
        <v>224</v>
      </c>
      <c r="K384" t="s">
        <v>225</v>
      </c>
      <c r="L384" t="s">
        <v>18</v>
      </c>
      <c r="M384">
        <v>14776</v>
      </c>
      <c r="N384" t="s">
        <v>24</v>
      </c>
      <c r="O384">
        <f>Orders[[#This Row],[requiredDate]]-Orders[[#This Row],[orderDate]]</f>
        <v>28</v>
      </c>
      <c r="P384">
        <f>Orders[[#This Row],[shippedDate]]-Orders[[#This Row],[orderDate]]</f>
        <v>6</v>
      </c>
      <c r="Q384">
        <f>Orders[[#This Row],[requiredDate]]-Orders[[#This Row],[shippedDate]]</f>
        <v>22</v>
      </c>
    </row>
    <row r="385" spans="1:17" x14ac:dyDescent="0.2">
      <c r="A385">
        <v>10631</v>
      </c>
      <c r="B385" t="s">
        <v>262</v>
      </c>
      <c r="C385">
        <v>8</v>
      </c>
      <c r="D385" s="1">
        <v>35656</v>
      </c>
      <c r="E385" s="1">
        <v>35684</v>
      </c>
      <c r="F385" s="1">
        <v>35657</v>
      </c>
      <c r="G385">
        <v>1</v>
      </c>
      <c r="H385" s="2">
        <v>0.87</v>
      </c>
      <c r="I385" t="s">
        <v>263</v>
      </c>
      <c r="J385" t="s">
        <v>264</v>
      </c>
      <c r="K385" t="s">
        <v>265</v>
      </c>
      <c r="L385" t="s">
        <v>18</v>
      </c>
      <c r="M385">
        <v>31000</v>
      </c>
      <c r="N385" t="s">
        <v>19</v>
      </c>
      <c r="O385">
        <f>Orders[[#This Row],[requiredDate]]-Orders[[#This Row],[orderDate]]</f>
        <v>28</v>
      </c>
      <c r="P385">
        <f>Orders[[#This Row],[shippedDate]]-Orders[[#This Row],[orderDate]]</f>
        <v>1</v>
      </c>
      <c r="Q385">
        <f>Orders[[#This Row],[requiredDate]]-Orders[[#This Row],[shippedDate]]</f>
        <v>27</v>
      </c>
    </row>
    <row r="386" spans="1:17" x14ac:dyDescent="0.2">
      <c r="A386">
        <v>10632</v>
      </c>
      <c r="B386" t="s">
        <v>185</v>
      </c>
      <c r="C386">
        <v>8</v>
      </c>
      <c r="D386" s="1">
        <v>35656</v>
      </c>
      <c r="E386" s="1">
        <v>35684</v>
      </c>
      <c r="F386" s="1">
        <v>35661</v>
      </c>
      <c r="G386">
        <v>1</v>
      </c>
      <c r="H386" s="2">
        <v>41.38</v>
      </c>
      <c r="I386" t="s">
        <v>186</v>
      </c>
      <c r="J386" t="s">
        <v>187</v>
      </c>
      <c r="K386" t="s">
        <v>188</v>
      </c>
      <c r="L386" t="s">
        <v>18</v>
      </c>
      <c r="M386">
        <v>70563</v>
      </c>
      <c r="N386" t="s">
        <v>24</v>
      </c>
      <c r="O386">
        <f>Orders[[#This Row],[requiredDate]]-Orders[[#This Row],[orderDate]]</f>
        <v>28</v>
      </c>
      <c r="P386">
        <f>Orders[[#This Row],[shippedDate]]-Orders[[#This Row],[orderDate]]</f>
        <v>5</v>
      </c>
      <c r="Q386">
        <f>Orders[[#This Row],[requiredDate]]-Orders[[#This Row],[shippedDate]]</f>
        <v>23</v>
      </c>
    </row>
    <row r="387" spans="1:17" x14ac:dyDescent="0.2">
      <c r="A387">
        <v>10633</v>
      </c>
      <c r="B387" t="s">
        <v>63</v>
      </c>
      <c r="C387">
        <v>7</v>
      </c>
      <c r="D387" s="1">
        <v>35657</v>
      </c>
      <c r="E387" s="1">
        <v>35685</v>
      </c>
      <c r="F387" s="1">
        <v>35660</v>
      </c>
      <c r="G387">
        <v>3</v>
      </c>
      <c r="H387" s="2">
        <v>477.9</v>
      </c>
      <c r="I387" t="s">
        <v>64</v>
      </c>
      <c r="J387" t="s">
        <v>65</v>
      </c>
      <c r="K387" t="s">
        <v>66</v>
      </c>
      <c r="L387" t="s">
        <v>18</v>
      </c>
      <c r="M387">
        <v>8010</v>
      </c>
      <c r="N387" t="s">
        <v>67</v>
      </c>
      <c r="O387">
        <f>Orders[[#This Row],[requiredDate]]-Orders[[#This Row],[orderDate]]</f>
        <v>28</v>
      </c>
      <c r="P387">
        <f>Orders[[#This Row],[shippedDate]]-Orders[[#This Row],[orderDate]]</f>
        <v>3</v>
      </c>
      <c r="Q387">
        <f>Orders[[#This Row],[requiredDate]]-Orders[[#This Row],[shippedDate]]</f>
        <v>25</v>
      </c>
    </row>
    <row r="388" spans="1:17" x14ac:dyDescent="0.2">
      <c r="A388">
        <v>10634</v>
      </c>
      <c r="B388" t="s">
        <v>329</v>
      </c>
      <c r="C388">
        <v>4</v>
      </c>
      <c r="D388" s="1">
        <v>35657</v>
      </c>
      <c r="E388" s="1">
        <v>35685</v>
      </c>
      <c r="F388" s="1">
        <v>35663</v>
      </c>
      <c r="G388">
        <v>3</v>
      </c>
      <c r="H388" s="2">
        <v>487.38</v>
      </c>
      <c r="I388" t="s">
        <v>330</v>
      </c>
      <c r="J388" t="s">
        <v>331</v>
      </c>
      <c r="K388" t="s">
        <v>332</v>
      </c>
      <c r="L388" t="s">
        <v>18</v>
      </c>
      <c r="M388">
        <v>59000</v>
      </c>
      <c r="N388" t="s">
        <v>19</v>
      </c>
      <c r="O388">
        <f>Orders[[#This Row],[requiredDate]]-Orders[[#This Row],[orderDate]]</f>
        <v>28</v>
      </c>
      <c r="P388">
        <f>Orders[[#This Row],[shippedDate]]-Orders[[#This Row],[orderDate]]</f>
        <v>6</v>
      </c>
      <c r="Q388">
        <f>Orders[[#This Row],[requiredDate]]-Orders[[#This Row],[shippedDate]]</f>
        <v>22</v>
      </c>
    </row>
    <row r="389" spans="1:17" x14ac:dyDescent="0.2">
      <c r="A389">
        <v>10635</v>
      </c>
      <c r="B389" t="s">
        <v>125</v>
      </c>
      <c r="C389">
        <v>8</v>
      </c>
      <c r="D389" s="1">
        <v>35660</v>
      </c>
      <c r="E389" s="1">
        <v>35688</v>
      </c>
      <c r="F389" s="1">
        <v>35663</v>
      </c>
      <c r="G389">
        <v>3</v>
      </c>
      <c r="H389" s="2">
        <v>47.46</v>
      </c>
      <c r="I389" t="s">
        <v>126</v>
      </c>
      <c r="J389" t="s">
        <v>127</v>
      </c>
      <c r="K389" t="s">
        <v>128</v>
      </c>
      <c r="L389" t="s">
        <v>18</v>
      </c>
      <c r="M389">
        <v>24100</v>
      </c>
      <c r="N389" t="s">
        <v>129</v>
      </c>
      <c r="O389">
        <f>Orders[[#This Row],[requiredDate]]-Orders[[#This Row],[orderDate]]</f>
        <v>28</v>
      </c>
      <c r="P389">
        <f>Orders[[#This Row],[shippedDate]]-Orders[[#This Row],[orderDate]]</f>
        <v>3</v>
      </c>
      <c r="Q389">
        <f>Orders[[#This Row],[requiredDate]]-Orders[[#This Row],[shippedDate]]</f>
        <v>25</v>
      </c>
    </row>
    <row r="390" spans="1:17" x14ac:dyDescent="0.2">
      <c r="A390">
        <v>10636</v>
      </c>
      <c r="B390" t="s">
        <v>97</v>
      </c>
      <c r="C390">
        <v>4</v>
      </c>
      <c r="D390" s="1">
        <v>35661</v>
      </c>
      <c r="E390" s="1">
        <v>35689</v>
      </c>
      <c r="F390" s="1">
        <v>35668</v>
      </c>
      <c r="G390">
        <v>1</v>
      </c>
      <c r="H390" s="2">
        <v>1.1499999999999999</v>
      </c>
      <c r="I390" t="s">
        <v>98</v>
      </c>
      <c r="J390" t="s">
        <v>99</v>
      </c>
      <c r="K390" t="s">
        <v>100</v>
      </c>
      <c r="L390" t="s">
        <v>18</v>
      </c>
      <c r="M390">
        <v>90110</v>
      </c>
      <c r="N390" t="s">
        <v>101</v>
      </c>
      <c r="O390">
        <f>Orders[[#This Row],[requiredDate]]-Orders[[#This Row],[orderDate]]</f>
        <v>28</v>
      </c>
      <c r="P390">
        <f>Orders[[#This Row],[shippedDate]]-Orders[[#This Row],[orderDate]]</f>
        <v>7</v>
      </c>
      <c r="Q390">
        <f>Orders[[#This Row],[requiredDate]]-Orders[[#This Row],[shippedDate]]</f>
        <v>21</v>
      </c>
    </row>
    <row r="391" spans="1:17" x14ac:dyDescent="0.2">
      <c r="A391">
        <v>10637</v>
      </c>
      <c r="B391" t="s">
        <v>299</v>
      </c>
      <c r="C391">
        <v>6</v>
      </c>
      <c r="D391" s="1">
        <v>35661</v>
      </c>
      <c r="E391" s="1">
        <v>35689</v>
      </c>
      <c r="F391" s="1">
        <v>35668</v>
      </c>
      <c r="G391">
        <v>1</v>
      </c>
      <c r="H391" s="2">
        <v>201.29</v>
      </c>
      <c r="I391" t="s">
        <v>300</v>
      </c>
      <c r="J391" t="s">
        <v>301</v>
      </c>
      <c r="K391" t="s">
        <v>173</v>
      </c>
      <c r="L391" t="s">
        <v>55</v>
      </c>
      <c r="M391" t="s">
        <v>302</v>
      </c>
      <c r="N391" t="s">
        <v>31</v>
      </c>
      <c r="O391">
        <f>Orders[[#This Row],[requiredDate]]-Orders[[#This Row],[orderDate]]</f>
        <v>28</v>
      </c>
      <c r="P391">
        <f>Orders[[#This Row],[shippedDate]]-Orders[[#This Row],[orderDate]]</f>
        <v>7</v>
      </c>
      <c r="Q391">
        <f>Orders[[#This Row],[requiredDate]]-Orders[[#This Row],[shippedDate]]</f>
        <v>21</v>
      </c>
    </row>
    <row r="392" spans="1:17" x14ac:dyDescent="0.2">
      <c r="A392">
        <v>10638</v>
      </c>
      <c r="B392" t="s">
        <v>324</v>
      </c>
      <c r="C392">
        <v>3</v>
      </c>
      <c r="D392" s="1">
        <v>35662</v>
      </c>
      <c r="E392" s="1">
        <v>35690</v>
      </c>
      <c r="F392" s="1">
        <v>35674</v>
      </c>
      <c r="G392">
        <v>1</v>
      </c>
      <c r="H392" s="2">
        <v>158.44</v>
      </c>
      <c r="I392" t="s">
        <v>325</v>
      </c>
      <c r="J392" t="s">
        <v>326</v>
      </c>
      <c r="K392" t="s">
        <v>327</v>
      </c>
      <c r="L392" t="s">
        <v>328</v>
      </c>
      <c r="M392">
        <v>4980</v>
      </c>
      <c r="N392" t="s">
        <v>62</v>
      </c>
      <c r="O392">
        <f>Orders[[#This Row],[requiredDate]]-Orders[[#This Row],[orderDate]]</f>
        <v>28</v>
      </c>
      <c r="P392">
        <f>Orders[[#This Row],[shippedDate]]-Orders[[#This Row],[orderDate]]</f>
        <v>12</v>
      </c>
      <c r="Q392">
        <f>Orders[[#This Row],[requiredDate]]-Orders[[#This Row],[shippedDate]]</f>
        <v>16</v>
      </c>
    </row>
    <row r="393" spans="1:17" x14ac:dyDescent="0.2">
      <c r="A393">
        <v>10639</v>
      </c>
      <c r="B393" t="s">
        <v>313</v>
      </c>
      <c r="C393">
        <v>7</v>
      </c>
      <c r="D393" s="1">
        <v>35662</v>
      </c>
      <c r="E393" s="1">
        <v>35690</v>
      </c>
      <c r="F393" s="1">
        <v>35669</v>
      </c>
      <c r="G393">
        <v>3</v>
      </c>
      <c r="H393" s="2">
        <v>38.64</v>
      </c>
      <c r="I393" t="s">
        <v>314</v>
      </c>
      <c r="J393" t="s">
        <v>315</v>
      </c>
      <c r="K393" t="s">
        <v>316</v>
      </c>
      <c r="L393" t="s">
        <v>18</v>
      </c>
      <c r="M393">
        <v>4110</v>
      </c>
      <c r="N393" t="s">
        <v>317</v>
      </c>
      <c r="O393">
        <f>Orders[[#This Row],[requiredDate]]-Orders[[#This Row],[orderDate]]</f>
        <v>28</v>
      </c>
      <c r="P393">
        <f>Orders[[#This Row],[shippedDate]]-Orders[[#This Row],[orderDate]]</f>
        <v>7</v>
      </c>
      <c r="Q393">
        <f>Orders[[#This Row],[requiredDate]]-Orders[[#This Row],[shippedDate]]</f>
        <v>21</v>
      </c>
    </row>
    <row r="394" spans="1:17" x14ac:dyDescent="0.2">
      <c r="A394">
        <v>10640</v>
      </c>
      <c r="B394" t="s">
        <v>185</v>
      </c>
      <c r="C394">
        <v>4</v>
      </c>
      <c r="D394" s="1">
        <v>35663</v>
      </c>
      <c r="E394" s="1">
        <v>35691</v>
      </c>
      <c r="F394" s="1">
        <v>35670</v>
      </c>
      <c r="G394">
        <v>1</v>
      </c>
      <c r="H394" s="2">
        <v>23.55</v>
      </c>
      <c r="I394" t="s">
        <v>186</v>
      </c>
      <c r="J394" t="s">
        <v>187</v>
      </c>
      <c r="K394" t="s">
        <v>188</v>
      </c>
      <c r="L394" t="s">
        <v>18</v>
      </c>
      <c r="M394">
        <v>70563</v>
      </c>
      <c r="N394" t="s">
        <v>24</v>
      </c>
      <c r="O394">
        <f>Orders[[#This Row],[requiredDate]]-Orders[[#This Row],[orderDate]]</f>
        <v>28</v>
      </c>
      <c r="P394">
        <f>Orders[[#This Row],[shippedDate]]-Orders[[#This Row],[orderDate]]</f>
        <v>7</v>
      </c>
      <c r="Q394">
        <f>Orders[[#This Row],[requiredDate]]-Orders[[#This Row],[shippedDate]]</f>
        <v>21</v>
      </c>
    </row>
    <row r="395" spans="1:17" x14ac:dyDescent="0.2">
      <c r="A395">
        <v>10641</v>
      </c>
      <c r="B395" t="s">
        <v>57</v>
      </c>
      <c r="C395">
        <v>4</v>
      </c>
      <c r="D395" s="1">
        <v>35664</v>
      </c>
      <c r="E395" s="1">
        <v>35692</v>
      </c>
      <c r="F395" s="1">
        <v>35668</v>
      </c>
      <c r="G395">
        <v>2</v>
      </c>
      <c r="H395" s="2">
        <v>179.61</v>
      </c>
      <c r="I395" t="s">
        <v>58</v>
      </c>
      <c r="J395" t="s">
        <v>59</v>
      </c>
      <c r="K395" t="s">
        <v>60</v>
      </c>
      <c r="L395" t="s">
        <v>61</v>
      </c>
      <c r="M395">
        <v>5022</v>
      </c>
      <c r="N395" t="s">
        <v>62</v>
      </c>
      <c r="O395">
        <f>Orders[[#This Row],[requiredDate]]-Orders[[#This Row],[orderDate]]</f>
        <v>28</v>
      </c>
      <c r="P395">
        <f>Orders[[#This Row],[shippedDate]]-Orders[[#This Row],[orderDate]]</f>
        <v>4</v>
      </c>
      <c r="Q395">
        <f>Orders[[#This Row],[requiredDate]]-Orders[[#This Row],[shippedDate]]</f>
        <v>24</v>
      </c>
    </row>
    <row r="396" spans="1:17" x14ac:dyDescent="0.2">
      <c r="A396">
        <v>10642</v>
      </c>
      <c r="B396" t="s">
        <v>253</v>
      </c>
      <c r="C396">
        <v>7</v>
      </c>
      <c r="D396" s="1">
        <v>35664</v>
      </c>
      <c r="E396" s="1">
        <v>35692</v>
      </c>
      <c r="F396" s="1">
        <v>35678</v>
      </c>
      <c r="G396">
        <v>3</v>
      </c>
      <c r="H396" s="2">
        <v>41.89</v>
      </c>
      <c r="I396" t="s">
        <v>254</v>
      </c>
      <c r="J396" t="s">
        <v>255</v>
      </c>
      <c r="K396" t="s">
        <v>256</v>
      </c>
      <c r="L396" t="s">
        <v>18</v>
      </c>
      <c r="M396">
        <v>1734</v>
      </c>
      <c r="N396" t="s">
        <v>257</v>
      </c>
      <c r="O396">
        <f>Orders[[#This Row],[requiredDate]]-Orders[[#This Row],[orderDate]]</f>
        <v>28</v>
      </c>
      <c r="P396">
        <f>Orders[[#This Row],[shippedDate]]-Orders[[#This Row],[orderDate]]</f>
        <v>14</v>
      </c>
      <c r="Q396">
        <f>Orders[[#This Row],[requiredDate]]-Orders[[#This Row],[shippedDate]]</f>
        <v>14</v>
      </c>
    </row>
    <row r="397" spans="1:17" x14ac:dyDescent="0.2">
      <c r="A397">
        <v>10643</v>
      </c>
      <c r="B397" t="s">
        <v>401</v>
      </c>
      <c r="C397">
        <v>6</v>
      </c>
      <c r="D397" s="1">
        <v>35667</v>
      </c>
      <c r="E397" s="1">
        <v>35695</v>
      </c>
      <c r="F397" s="1">
        <v>35675</v>
      </c>
      <c r="G397">
        <v>1</v>
      </c>
      <c r="H397" s="2">
        <v>29.46</v>
      </c>
      <c r="I397" t="s">
        <v>402</v>
      </c>
      <c r="J397" t="s">
        <v>403</v>
      </c>
      <c r="K397" t="s">
        <v>404</v>
      </c>
      <c r="L397" t="s">
        <v>18</v>
      </c>
      <c r="M397">
        <v>12209</v>
      </c>
      <c r="N397" t="s">
        <v>24</v>
      </c>
      <c r="O397">
        <f>Orders[[#This Row],[requiredDate]]-Orders[[#This Row],[orderDate]]</f>
        <v>28</v>
      </c>
      <c r="P397">
        <f>Orders[[#This Row],[shippedDate]]-Orders[[#This Row],[orderDate]]</f>
        <v>8</v>
      </c>
      <c r="Q397">
        <f>Orders[[#This Row],[requiredDate]]-Orders[[#This Row],[shippedDate]]</f>
        <v>20</v>
      </c>
    </row>
    <row r="398" spans="1:17" x14ac:dyDescent="0.2">
      <c r="A398">
        <v>10644</v>
      </c>
      <c r="B398" t="s">
        <v>51</v>
      </c>
      <c r="C398">
        <v>3</v>
      </c>
      <c r="D398" s="1">
        <v>35667</v>
      </c>
      <c r="E398" s="1">
        <v>35695</v>
      </c>
      <c r="F398" s="1">
        <v>35674</v>
      </c>
      <c r="G398">
        <v>2</v>
      </c>
      <c r="H398" s="2">
        <v>0.14000000000000001</v>
      </c>
      <c r="I398" t="s">
        <v>52</v>
      </c>
      <c r="J398" t="s">
        <v>53</v>
      </c>
      <c r="K398" t="s">
        <v>54</v>
      </c>
      <c r="L398" t="s">
        <v>55</v>
      </c>
      <c r="M398" t="s">
        <v>56</v>
      </c>
      <c r="N398" t="s">
        <v>31</v>
      </c>
      <c r="O398">
        <f>Orders[[#This Row],[requiredDate]]-Orders[[#This Row],[orderDate]]</f>
        <v>28</v>
      </c>
      <c r="P398">
        <f>Orders[[#This Row],[shippedDate]]-Orders[[#This Row],[orderDate]]</f>
        <v>7</v>
      </c>
      <c r="Q398">
        <f>Orders[[#This Row],[requiredDate]]-Orders[[#This Row],[shippedDate]]</f>
        <v>21</v>
      </c>
    </row>
    <row r="399" spans="1:17" x14ac:dyDescent="0.2">
      <c r="A399">
        <v>10645</v>
      </c>
      <c r="B399" t="s">
        <v>25</v>
      </c>
      <c r="C399">
        <v>4</v>
      </c>
      <c r="D399" s="1">
        <v>35668</v>
      </c>
      <c r="E399" s="1">
        <v>35696</v>
      </c>
      <c r="F399" s="1">
        <v>35675</v>
      </c>
      <c r="G399">
        <v>1</v>
      </c>
      <c r="H399" s="2">
        <v>12.41</v>
      </c>
      <c r="I399" t="s">
        <v>26</v>
      </c>
      <c r="J399" t="s">
        <v>27</v>
      </c>
      <c r="K399" t="s">
        <v>28</v>
      </c>
      <c r="L399" t="s">
        <v>29</v>
      </c>
      <c r="M399" t="s">
        <v>30</v>
      </c>
      <c r="N399" t="s">
        <v>31</v>
      </c>
      <c r="O399">
        <f>Orders[[#This Row],[requiredDate]]-Orders[[#This Row],[orderDate]]</f>
        <v>28</v>
      </c>
      <c r="P399">
        <f>Orders[[#This Row],[shippedDate]]-Orders[[#This Row],[orderDate]]</f>
        <v>7</v>
      </c>
      <c r="Q399">
        <f>Orders[[#This Row],[requiredDate]]-Orders[[#This Row],[shippedDate]]</f>
        <v>21</v>
      </c>
    </row>
    <row r="400" spans="1:17" x14ac:dyDescent="0.2">
      <c r="A400">
        <v>10646</v>
      </c>
      <c r="B400" t="s">
        <v>179</v>
      </c>
      <c r="C400">
        <v>9</v>
      </c>
      <c r="D400" s="1">
        <v>35669</v>
      </c>
      <c r="E400" s="1">
        <v>35711</v>
      </c>
      <c r="F400" s="1">
        <v>35676</v>
      </c>
      <c r="G400">
        <v>3</v>
      </c>
      <c r="H400" s="2">
        <v>142.33000000000001</v>
      </c>
      <c r="I400" t="s">
        <v>180</v>
      </c>
      <c r="J400" t="s">
        <v>181</v>
      </c>
      <c r="K400" t="s">
        <v>182</v>
      </c>
      <c r="L400" t="s">
        <v>183</v>
      </c>
      <c r="M400" t="s">
        <v>18</v>
      </c>
      <c r="N400" t="s">
        <v>184</v>
      </c>
      <c r="O400">
        <f>Orders[[#This Row],[requiredDate]]-Orders[[#This Row],[orderDate]]</f>
        <v>42</v>
      </c>
      <c r="P400">
        <f>Orders[[#This Row],[shippedDate]]-Orders[[#This Row],[orderDate]]</f>
        <v>7</v>
      </c>
      <c r="Q400">
        <f>Orders[[#This Row],[requiredDate]]-Orders[[#This Row],[shippedDate]]</f>
        <v>35</v>
      </c>
    </row>
    <row r="401" spans="1:17" x14ac:dyDescent="0.2">
      <c r="A401">
        <v>10647</v>
      </c>
      <c r="B401" t="s">
        <v>77</v>
      </c>
      <c r="C401">
        <v>4</v>
      </c>
      <c r="D401" s="1">
        <v>35669</v>
      </c>
      <c r="E401" s="1">
        <v>35683</v>
      </c>
      <c r="F401" s="1">
        <v>35676</v>
      </c>
      <c r="G401">
        <v>2</v>
      </c>
      <c r="H401" s="2">
        <v>45.54</v>
      </c>
      <c r="I401" t="s">
        <v>78</v>
      </c>
      <c r="J401" t="s">
        <v>79</v>
      </c>
      <c r="K401" t="s">
        <v>28</v>
      </c>
      <c r="L401" t="s">
        <v>29</v>
      </c>
      <c r="M401" t="s">
        <v>80</v>
      </c>
      <c r="N401" t="s">
        <v>31</v>
      </c>
      <c r="O401">
        <f>Orders[[#This Row],[requiredDate]]-Orders[[#This Row],[orderDate]]</f>
        <v>14</v>
      </c>
      <c r="P401">
        <f>Orders[[#This Row],[shippedDate]]-Orders[[#This Row],[orderDate]]</f>
        <v>7</v>
      </c>
      <c r="Q401">
        <f>Orders[[#This Row],[requiredDate]]-Orders[[#This Row],[shippedDate]]</f>
        <v>7</v>
      </c>
    </row>
    <row r="402" spans="1:17" x14ac:dyDescent="0.2">
      <c r="A402">
        <v>10648</v>
      </c>
      <c r="B402" t="s">
        <v>156</v>
      </c>
      <c r="C402">
        <v>5</v>
      </c>
      <c r="D402" s="1">
        <v>35670</v>
      </c>
      <c r="E402" s="1">
        <v>35712</v>
      </c>
      <c r="F402" s="1">
        <v>35682</v>
      </c>
      <c r="G402">
        <v>2</v>
      </c>
      <c r="H402" s="2">
        <v>14.25</v>
      </c>
      <c r="I402" t="s">
        <v>157</v>
      </c>
      <c r="J402" t="s">
        <v>158</v>
      </c>
      <c r="K402" t="s">
        <v>28</v>
      </c>
      <c r="L402" t="s">
        <v>29</v>
      </c>
      <c r="M402" t="s">
        <v>159</v>
      </c>
      <c r="N402" t="s">
        <v>31</v>
      </c>
      <c r="O402">
        <f>Orders[[#This Row],[requiredDate]]-Orders[[#This Row],[orderDate]]</f>
        <v>42</v>
      </c>
      <c r="P402">
        <f>Orders[[#This Row],[shippedDate]]-Orders[[#This Row],[orderDate]]</f>
        <v>12</v>
      </c>
      <c r="Q402">
        <f>Orders[[#This Row],[requiredDate]]-Orders[[#This Row],[shippedDate]]</f>
        <v>30</v>
      </c>
    </row>
    <row r="403" spans="1:17" x14ac:dyDescent="0.2">
      <c r="A403">
        <v>10649</v>
      </c>
      <c r="B403" t="s">
        <v>378</v>
      </c>
      <c r="C403">
        <v>5</v>
      </c>
      <c r="D403" s="1">
        <v>35670</v>
      </c>
      <c r="E403" s="1">
        <v>35698</v>
      </c>
      <c r="F403" s="1">
        <v>35671</v>
      </c>
      <c r="G403">
        <v>3</v>
      </c>
      <c r="H403" s="2">
        <v>6.2</v>
      </c>
      <c r="I403" t="s">
        <v>379</v>
      </c>
      <c r="J403" t="s">
        <v>380</v>
      </c>
      <c r="K403" t="s">
        <v>381</v>
      </c>
      <c r="L403" t="s">
        <v>18</v>
      </c>
      <c r="M403" t="s">
        <v>382</v>
      </c>
      <c r="N403" t="s">
        <v>41</v>
      </c>
      <c r="O403">
        <f>Orders[[#This Row],[requiredDate]]-Orders[[#This Row],[orderDate]]</f>
        <v>28</v>
      </c>
      <c r="P403">
        <f>Orders[[#This Row],[shippedDate]]-Orders[[#This Row],[orderDate]]</f>
        <v>1</v>
      </c>
      <c r="Q403">
        <f>Orders[[#This Row],[requiredDate]]-Orders[[#This Row],[shippedDate]]</f>
        <v>27</v>
      </c>
    </row>
    <row r="404" spans="1:17" x14ac:dyDescent="0.2">
      <c r="A404">
        <v>10650</v>
      </c>
      <c r="B404" t="s">
        <v>258</v>
      </c>
      <c r="C404">
        <v>5</v>
      </c>
      <c r="D404" s="1">
        <v>35671</v>
      </c>
      <c r="E404" s="1">
        <v>35699</v>
      </c>
      <c r="F404" s="1">
        <v>35676</v>
      </c>
      <c r="G404">
        <v>3</v>
      </c>
      <c r="H404" s="2">
        <v>176.81</v>
      </c>
      <c r="I404" t="s">
        <v>259</v>
      </c>
      <c r="J404" t="s">
        <v>260</v>
      </c>
      <c r="K404" t="s">
        <v>173</v>
      </c>
      <c r="L404" t="s">
        <v>55</v>
      </c>
      <c r="M404" t="s">
        <v>261</v>
      </c>
      <c r="N404" t="s">
        <v>31</v>
      </c>
      <c r="O404">
        <f>Orders[[#This Row],[requiredDate]]-Orders[[#This Row],[orderDate]]</f>
        <v>28</v>
      </c>
      <c r="P404">
        <f>Orders[[#This Row],[shippedDate]]-Orders[[#This Row],[orderDate]]</f>
        <v>5</v>
      </c>
      <c r="Q404">
        <f>Orders[[#This Row],[requiredDate]]-Orders[[#This Row],[shippedDate]]</f>
        <v>23</v>
      </c>
    </row>
    <row r="405" spans="1:17" x14ac:dyDescent="0.2">
      <c r="A405">
        <v>10651</v>
      </c>
      <c r="B405" t="s">
        <v>185</v>
      </c>
      <c r="C405">
        <v>8</v>
      </c>
      <c r="D405" s="1">
        <v>35674</v>
      </c>
      <c r="E405" s="1">
        <v>35702</v>
      </c>
      <c r="F405" s="1">
        <v>35684</v>
      </c>
      <c r="G405">
        <v>2</v>
      </c>
      <c r="H405" s="2">
        <v>20.6</v>
      </c>
      <c r="I405" t="s">
        <v>186</v>
      </c>
      <c r="J405" t="s">
        <v>187</v>
      </c>
      <c r="K405" t="s">
        <v>188</v>
      </c>
      <c r="L405" t="s">
        <v>18</v>
      </c>
      <c r="M405">
        <v>70563</v>
      </c>
      <c r="N405" t="s">
        <v>24</v>
      </c>
      <c r="O405">
        <f>Orders[[#This Row],[requiredDate]]-Orders[[#This Row],[orderDate]]</f>
        <v>28</v>
      </c>
      <c r="P405">
        <f>Orders[[#This Row],[shippedDate]]-Orders[[#This Row],[orderDate]]</f>
        <v>10</v>
      </c>
      <c r="Q405">
        <f>Orders[[#This Row],[requiredDate]]-Orders[[#This Row],[shippedDate]]</f>
        <v>18</v>
      </c>
    </row>
    <row r="406" spans="1:17" x14ac:dyDescent="0.2">
      <c r="A406">
        <v>10652</v>
      </c>
      <c r="B406" t="s">
        <v>342</v>
      </c>
      <c r="C406">
        <v>4</v>
      </c>
      <c r="D406" s="1">
        <v>35674</v>
      </c>
      <c r="E406" s="1">
        <v>35702</v>
      </c>
      <c r="F406" s="1">
        <v>35681</v>
      </c>
      <c r="G406">
        <v>2</v>
      </c>
      <c r="H406" s="2">
        <v>7.14</v>
      </c>
      <c r="I406" t="s">
        <v>343</v>
      </c>
      <c r="J406" t="s">
        <v>344</v>
      </c>
      <c r="K406" t="s">
        <v>345</v>
      </c>
      <c r="L406" t="s">
        <v>55</v>
      </c>
      <c r="M406" t="s">
        <v>346</v>
      </c>
      <c r="N406" t="s">
        <v>31</v>
      </c>
      <c r="O406">
        <f>Orders[[#This Row],[requiredDate]]-Orders[[#This Row],[orderDate]]</f>
        <v>28</v>
      </c>
      <c r="P406">
        <f>Orders[[#This Row],[shippedDate]]-Orders[[#This Row],[orderDate]]</f>
        <v>7</v>
      </c>
      <c r="Q406">
        <f>Orders[[#This Row],[requiredDate]]-Orders[[#This Row],[shippedDate]]</f>
        <v>21</v>
      </c>
    </row>
    <row r="407" spans="1:17" x14ac:dyDescent="0.2">
      <c r="A407">
        <v>10653</v>
      </c>
      <c r="B407" t="s">
        <v>102</v>
      </c>
      <c r="C407">
        <v>1</v>
      </c>
      <c r="D407" s="1">
        <v>35675</v>
      </c>
      <c r="E407" s="1">
        <v>35703</v>
      </c>
      <c r="F407" s="1">
        <v>35692</v>
      </c>
      <c r="G407">
        <v>1</v>
      </c>
      <c r="H407" s="2">
        <v>93.25</v>
      </c>
      <c r="I407" t="s">
        <v>103</v>
      </c>
      <c r="J407" t="s">
        <v>104</v>
      </c>
      <c r="K407" t="s">
        <v>105</v>
      </c>
      <c r="L407" t="s">
        <v>18</v>
      </c>
      <c r="M407">
        <v>80805</v>
      </c>
      <c r="N407" t="s">
        <v>24</v>
      </c>
      <c r="O407">
        <f>Orders[[#This Row],[requiredDate]]-Orders[[#This Row],[orderDate]]</f>
        <v>28</v>
      </c>
      <c r="P407">
        <f>Orders[[#This Row],[shippedDate]]-Orders[[#This Row],[orderDate]]</f>
        <v>17</v>
      </c>
      <c r="Q407">
        <f>Orders[[#This Row],[requiredDate]]-Orders[[#This Row],[shippedDate]]</f>
        <v>11</v>
      </c>
    </row>
    <row r="408" spans="1:17" x14ac:dyDescent="0.2">
      <c r="A408">
        <v>10654</v>
      </c>
      <c r="B408" t="s">
        <v>137</v>
      </c>
      <c r="C408">
        <v>5</v>
      </c>
      <c r="D408" s="1">
        <v>35675</v>
      </c>
      <c r="E408" s="1">
        <v>35703</v>
      </c>
      <c r="F408" s="1">
        <v>35684</v>
      </c>
      <c r="G408">
        <v>1</v>
      </c>
      <c r="H408" s="2">
        <v>55.26</v>
      </c>
      <c r="I408" t="s">
        <v>138</v>
      </c>
      <c r="J408" t="s">
        <v>139</v>
      </c>
      <c r="K408" t="s">
        <v>140</v>
      </c>
      <c r="L408" t="s">
        <v>18</v>
      </c>
      <c r="M408" t="s">
        <v>141</v>
      </c>
      <c r="N408" t="s">
        <v>92</v>
      </c>
      <c r="O408">
        <f>Orders[[#This Row],[requiredDate]]-Orders[[#This Row],[orderDate]]</f>
        <v>28</v>
      </c>
      <c r="P408">
        <f>Orders[[#This Row],[shippedDate]]-Orders[[#This Row],[orderDate]]</f>
        <v>9</v>
      </c>
      <c r="Q408">
        <f>Orders[[#This Row],[requiredDate]]-Orders[[#This Row],[shippedDate]]</f>
        <v>19</v>
      </c>
    </row>
    <row r="409" spans="1:17" x14ac:dyDescent="0.2">
      <c r="A409">
        <v>10655</v>
      </c>
      <c r="B409" t="s">
        <v>160</v>
      </c>
      <c r="C409">
        <v>1</v>
      </c>
      <c r="D409" s="1">
        <v>35676</v>
      </c>
      <c r="E409" s="1">
        <v>35704</v>
      </c>
      <c r="F409" s="1">
        <v>35684</v>
      </c>
      <c r="G409">
        <v>2</v>
      </c>
      <c r="H409" s="2">
        <v>4.41</v>
      </c>
      <c r="I409" t="s">
        <v>161</v>
      </c>
      <c r="J409" t="s">
        <v>162</v>
      </c>
      <c r="K409" t="s">
        <v>163</v>
      </c>
      <c r="L409" t="s">
        <v>18</v>
      </c>
      <c r="M409">
        <v>42100</v>
      </c>
      <c r="N409" t="s">
        <v>129</v>
      </c>
      <c r="O409">
        <f>Orders[[#This Row],[requiredDate]]-Orders[[#This Row],[orderDate]]</f>
        <v>28</v>
      </c>
      <c r="P409">
        <f>Orders[[#This Row],[shippedDate]]-Orders[[#This Row],[orderDate]]</f>
        <v>8</v>
      </c>
      <c r="Q409">
        <f>Orders[[#This Row],[requiredDate]]-Orders[[#This Row],[shippedDate]]</f>
        <v>20</v>
      </c>
    </row>
    <row r="410" spans="1:17" x14ac:dyDescent="0.2">
      <c r="A410">
        <v>10656</v>
      </c>
      <c r="B410" t="s">
        <v>374</v>
      </c>
      <c r="C410">
        <v>6</v>
      </c>
      <c r="D410" s="1">
        <v>35677</v>
      </c>
      <c r="E410" s="1">
        <v>35705</v>
      </c>
      <c r="F410" s="1">
        <v>35683</v>
      </c>
      <c r="G410">
        <v>1</v>
      </c>
      <c r="H410" s="2">
        <v>57.15</v>
      </c>
      <c r="I410" t="s">
        <v>375</v>
      </c>
      <c r="J410" t="s">
        <v>376</v>
      </c>
      <c r="K410" t="s">
        <v>377</v>
      </c>
      <c r="L410" t="s">
        <v>202</v>
      </c>
      <c r="M410">
        <v>97403</v>
      </c>
      <c r="N410" t="s">
        <v>86</v>
      </c>
      <c r="O410">
        <f>Orders[[#This Row],[requiredDate]]-Orders[[#This Row],[orderDate]]</f>
        <v>28</v>
      </c>
      <c r="P410">
        <f>Orders[[#This Row],[shippedDate]]-Orders[[#This Row],[orderDate]]</f>
        <v>6</v>
      </c>
      <c r="Q410">
        <f>Orders[[#This Row],[requiredDate]]-Orders[[#This Row],[shippedDate]]</f>
        <v>22</v>
      </c>
    </row>
    <row r="411" spans="1:17" x14ac:dyDescent="0.2">
      <c r="A411">
        <v>10657</v>
      </c>
      <c r="B411" t="s">
        <v>226</v>
      </c>
      <c r="C411">
        <v>2</v>
      </c>
      <c r="D411" s="1">
        <v>35677</v>
      </c>
      <c r="E411" s="1">
        <v>35705</v>
      </c>
      <c r="F411" s="1">
        <v>35688</v>
      </c>
      <c r="G411">
        <v>2</v>
      </c>
      <c r="H411" s="2">
        <v>352.69</v>
      </c>
      <c r="I411" t="s">
        <v>227</v>
      </c>
      <c r="J411" t="s">
        <v>228</v>
      </c>
      <c r="K411" t="s">
        <v>229</v>
      </c>
      <c r="L411" t="s">
        <v>230</v>
      </c>
      <c r="M411">
        <v>83720</v>
      </c>
      <c r="N411" t="s">
        <v>86</v>
      </c>
      <c r="O411">
        <f>Orders[[#This Row],[requiredDate]]-Orders[[#This Row],[orderDate]]</f>
        <v>28</v>
      </c>
      <c r="P411">
        <f>Orders[[#This Row],[shippedDate]]-Orders[[#This Row],[orderDate]]</f>
        <v>11</v>
      </c>
      <c r="Q411">
        <f>Orders[[#This Row],[requiredDate]]-Orders[[#This Row],[shippedDate]]</f>
        <v>17</v>
      </c>
    </row>
    <row r="412" spans="1:17" x14ac:dyDescent="0.2">
      <c r="A412">
        <v>10658</v>
      </c>
      <c r="B412" t="s">
        <v>121</v>
      </c>
      <c r="C412">
        <v>4</v>
      </c>
      <c r="D412" s="1">
        <v>35678</v>
      </c>
      <c r="E412" s="1">
        <v>35706</v>
      </c>
      <c r="F412" s="1">
        <v>35681</v>
      </c>
      <c r="G412">
        <v>1</v>
      </c>
      <c r="H412" s="2">
        <v>364.15</v>
      </c>
      <c r="I412" t="s">
        <v>122</v>
      </c>
      <c r="J412" t="s">
        <v>123</v>
      </c>
      <c r="K412" t="s">
        <v>124</v>
      </c>
      <c r="L412" t="s">
        <v>18</v>
      </c>
      <c r="M412">
        <v>1307</v>
      </c>
      <c r="N412" t="s">
        <v>24</v>
      </c>
      <c r="O412">
        <f>Orders[[#This Row],[requiredDate]]-Orders[[#This Row],[orderDate]]</f>
        <v>28</v>
      </c>
      <c r="P412">
        <f>Orders[[#This Row],[shippedDate]]-Orders[[#This Row],[orderDate]]</f>
        <v>3</v>
      </c>
      <c r="Q412">
        <f>Orders[[#This Row],[requiredDate]]-Orders[[#This Row],[shippedDate]]</f>
        <v>25</v>
      </c>
    </row>
    <row r="413" spans="1:17" x14ac:dyDescent="0.2">
      <c r="A413">
        <v>10659</v>
      </c>
      <c r="B413" t="s">
        <v>299</v>
      </c>
      <c r="C413">
        <v>7</v>
      </c>
      <c r="D413" s="1">
        <v>35678</v>
      </c>
      <c r="E413" s="1">
        <v>35706</v>
      </c>
      <c r="F413" s="1">
        <v>35683</v>
      </c>
      <c r="G413">
        <v>2</v>
      </c>
      <c r="H413" s="2">
        <v>105.81</v>
      </c>
      <c r="I413" t="s">
        <v>300</v>
      </c>
      <c r="J413" t="s">
        <v>301</v>
      </c>
      <c r="K413" t="s">
        <v>173</v>
      </c>
      <c r="L413" t="s">
        <v>55</v>
      </c>
      <c r="M413" t="s">
        <v>302</v>
      </c>
      <c r="N413" t="s">
        <v>31</v>
      </c>
      <c r="O413">
        <f>Orders[[#This Row],[requiredDate]]-Orders[[#This Row],[orderDate]]</f>
        <v>28</v>
      </c>
      <c r="P413">
        <f>Orders[[#This Row],[shippedDate]]-Orders[[#This Row],[orderDate]]</f>
        <v>5</v>
      </c>
      <c r="Q413">
        <f>Orders[[#This Row],[requiredDate]]-Orders[[#This Row],[shippedDate]]</f>
        <v>23</v>
      </c>
    </row>
    <row r="414" spans="1:17" x14ac:dyDescent="0.2">
      <c r="A414">
        <v>10660</v>
      </c>
      <c r="B414" t="s">
        <v>309</v>
      </c>
      <c r="C414">
        <v>8</v>
      </c>
      <c r="D414" s="1">
        <v>35681</v>
      </c>
      <c r="E414" s="1">
        <v>35709</v>
      </c>
      <c r="F414" s="1">
        <v>35718</v>
      </c>
      <c r="G414">
        <v>1</v>
      </c>
      <c r="H414" s="2">
        <v>111.29</v>
      </c>
      <c r="I414" t="s">
        <v>310</v>
      </c>
      <c r="J414" t="s">
        <v>311</v>
      </c>
      <c r="K414" t="s">
        <v>312</v>
      </c>
      <c r="L414" t="s">
        <v>202</v>
      </c>
      <c r="M414">
        <v>97827</v>
      </c>
      <c r="N414" t="s">
        <v>86</v>
      </c>
      <c r="O414">
        <f>Orders[[#This Row],[requiredDate]]-Orders[[#This Row],[orderDate]]</f>
        <v>28</v>
      </c>
      <c r="P414">
        <f>Orders[[#This Row],[shippedDate]]-Orders[[#This Row],[orderDate]]</f>
        <v>37</v>
      </c>
      <c r="Q414">
        <f>Orders[[#This Row],[requiredDate]]-Orders[[#This Row],[shippedDate]]</f>
        <v>-9</v>
      </c>
    </row>
    <row r="415" spans="1:17" x14ac:dyDescent="0.2">
      <c r="A415">
        <v>10661</v>
      </c>
      <c r="B415" t="s">
        <v>179</v>
      </c>
      <c r="C415">
        <v>7</v>
      </c>
      <c r="D415" s="1">
        <v>35682</v>
      </c>
      <c r="E415" s="1">
        <v>35710</v>
      </c>
      <c r="F415" s="1">
        <v>35688</v>
      </c>
      <c r="G415">
        <v>3</v>
      </c>
      <c r="H415" s="2">
        <v>17.55</v>
      </c>
      <c r="I415" t="s">
        <v>180</v>
      </c>
      <c r="J415" t="s">
        <v>181</v>
      </c>
      <c r="K415" t="s">
        <v>182</v>
      </c>
      <c r="L415" t="s">
        <v>183</v>
      </c>
      <c r="M415" t="s">
        <v>18</v>
      </c>
      <c r="N415" t="s">
        <v>184</v>
      </c>
      <c r="O415">
        <f>Orders[[#This Row],[requiredDate]]-Orders[[#This Row],[orderDate]]</f>
        <v>28</v>
      </c>
      <c r="P415">
        <f>Orders[[#This Row],[shippedDate]]-Orders[[#This Row],[orderDate]]</f>
        <v>6</v>
      </c>
      <c r="Q415">
        <f>Orders[[#This Row],[requiredDate]]-Orders[[#This Row],[shippedDate]]</f>
        <v>22</v>
      </c>
    </row>
    <row r="416" spans="1:17" x14ac:dyDescent="0.2">
      <c r="A416">
        <v>10662</v>
      </c>
      <c r="B416" t="s">
        <v>198</v>
      </c>
      <c r="C416">
        <v>3</v>
      </c>
      <c r="D416" s="1">
        <v>35682</v>
      </c>
      <c r="E416" s="1">
        <v>35710</v>
      </c>
      <c r="F416" s="1">
        <v>35691</v>
      </c>
      <c r="G416">
        <v>2</v>
      </c>
      <c r="H416" s="2">
        <v>1.28</v>
      </c>
      <c r="I416" t="s">
        <v>199</v>
      </c>
      <c r="J416" t="s">
        <v>200</v>
      </c>
      <c r="K416" t="s">
        <v>201</v>
      </c>
      <c r="L416" t="s">
        <v>202</v>
      </c>
      <c r="M416">
        <v>97219</v>
      </c>
      <c r="N416" t="s">
        <v>86</v>
      </c>
      <c r="O416">
        <f>Orders[[#This Row],[requiredDate]]-Orders[[#This Row],[orderDate]]</f>
        <v>28</v>
      </c>
      <c r="P416">
        <f>Orders[[#This Row],[shippedDate]]-Orders[[#This Row],[orderDate]]</f>
        <v>9</v>
      </c>
      <c r="Q416">
        <f>Orders[[#This Row],[requiredDate]]-Orders[[#This Row],[shippedDate]]</f>
        <v>19</v>
      </c>
    </row>
    <row r="417" spans="1:17" x14ac:dyDescent="0.2">
      <c r="A417">
        <v>10663</v>
      </c>
      <c r="B417" t="s">
        <v>239</v>
      </c>
      <c r="C417">
        <v>2</v>
      </c>
      <c r="D417" s="1">
        <v>35683</v>
      </c>
      <c r="E417" s="1">
        <v>35697</v>
      </c>
      <c r="F417" s="1">
        <v>35706</v>
      </c>
      <c r="G417">
        <v>2</v>
      </c>
      <c r="H417" s="2">
        <v>113.15</v>
      </c>
      <c r="I417" t="s">
        <v>240</v>
      </c>
      <c r="J417" t="s">
        <v>241</v>
      </c>
      <c r="K417" t="s">
        <v>242</v>
      </c>
      <c r="L417" t="s">
        <v>18</v>
      </c>
      <c r="M417">
        <v>13008</v>
      </c>
      <c r="N417" t="s">
        <v>19</v>
      </c>
      <c r="O417">
        <f>Orders[[#This Row],[requiredDate]]-Orders[[#This Row],[orderDate]]</f>
        <v>14</v>
      </c>
      <c r="P417">
        <f>Orders[[#This Row],[shippedDate]]-Orders[[#This Row],[orderDate]]</f>
        <v>23</v>
      </c>
      <c r="Q417">
        <f>Orders[[#This Row],[requiredDate]]-Orders[[#This Row],[shippedDate]]</f>
        <v>-9</v>
      </c>
    </row>
    <row r="418" spans="1:17" x14ac:dyDescent="0.2">
      <c r="A418">
        <v>10664</v>
      </c>
      <c r="B418" t="s">
        <v>234</v>
      </c>
      <c r="C418">
        <v>1</v>
      </c>
      <c r="D418" s="1">
        <v>35683</v>
      </c>
      <c r="E418" s="1">
        <v>35711</v>
      </c>
      <c r="F418" s="1">
        <v>35692</v>
      </c>
      <c r="G418">
        <v>3</v>
      </c>
      <c r="H418" s="2">
        <v>1.27</v>
      </c>
      <c r="I418" t="s">
        <v>235</v>
      </c>
      <c r="J418" t="s">
        <v>236</v>
      </c>
      <c r="K418" t="s">
        <v>237</v>
      </c>
      <c r="L418" t="s">
        <v>18</v>
      </c>
      <c r="M418">
        <v>1675</v>
      </c>
      <c r="N418" t="s">
        <v>238</v>
      </c>
      <c r="O418">
        <f>Orders[[#This Row],[requiredDate]]-Orders[[#This Row],[orderDate]]</f>
        <v>28</v>
      </c>
      <c r="P418">
        <f>Orders[[#This Row],[shippedDate]]-Orders[[#This Row],[orderDate]]</f>
        <v>9</v>
      </c>
      <c r="Q418">
        <f>Orders[[#This Row],[requiredDate]]-Orders[[#This Row],[shippedDate]]</f>
        <v>19</v>
      </c>
    </row>
    <row r="419" spans="1:17" x14ac:dyDescent="0.2">
      <c r="A419">
        <v>10665</v>
      </c>
      <c r="B419" t="s">
        <v>198</v>
      </c>
      <c r="C419">
        <v>1</v>
      </c>
      <c r="D419" s="1">
        <v>35684</v>
      </c>
      <c r="E419" s="1">
        <v>35712</v>
      </c>
      <c r="F419" s="1">
        <v>35690</v>
      </c>
      <c r="G419">
        <v>2</v>
      </c>
      <c r="H419" s="2">
        <v>26.31</v>
      </c>
      <c r="I419" t="s">
        <v>199</v>
      </c>
      <c r="J419" t="s">
        <v>200</v>
      </c>
      <c r="K419" t="s">
        <v>201</v>
      </c>
      <c r="L419" t="s">
        <v>202</v>
      </c>
      <c r="M419">
        <v>97219</v>
      </c>
      <c r="N419" t="s">
        <v>86</v>
      </c>
      <c r="O419">
        <f>Orders[[#This Row],[requiredDate]]-Orders[[#This Row],[orderDate]]</f>
        <v>28</v>
      </c>
      <c r="P419">
        <f>Orders[[#This Row],[shippedDate]]-Orders[[#This Row],[orderDate]]</f>
        <v>6</v>
      </c>
      <c r="Q419">
        <f>Orders[[#This Row],[requiredDate]]-Orders[[#This Row],[shippedDate]]</f>
        <v>22</v>
      </c>
    </row>
    <row r="420" spans="1:17" x14ac:dyDescent="0.2">
      <c r="A420">
        <v>10666</v>
      </c>
      <c r="B420" t="s">
        <v>47</v>
      </c>
      <c r="C420">
        <v>7</v>
      </c>
      <c r="D420" s="1">
        <v>35685</v>
      </c>
      <c r="E420" s="1">
        <v>35713</v>
      </c>
      <c r="F420" s="1">
        <v>35695</v>
      </c>
      <c r="G420">
        <v>2</v>
      </c>
      <c r="H420" s="2">
        <v>232.42</v>
      </c>
      <c r="I420" t="s">
        <v>48</v>
      </c>
      <c r="J420" t="s">
        <v>49</v>
      </c>
      <c r="K420" t="s">
        <v>50</v>
      </c>
      <c r="L420" t="s">
        <v>18</v>
      </c>
      <c r="M420">
        <v>1204</v>
      </c>
      <c r="N420" t="s">
        <v>46</v>
      </c>
      <c r="O420">
        <f>Orders[[#This Row],[requiredDate]]-Orders[[#This Row],[orderDate]]</f>
        <v>28</v>
      </c>
      <c r="P420">
        <f>Orders[[#This Row],[shippedDate]]-Orders[[#This Row],[orderDate]]</f>
        <v>10</v>
      </c>
      <c r="Q420">
        <f>Orders[[#This Row],[requiredDate]]-Orders[[#This Row],[shippedDate]]</f>
        <v>18</v>
      </c>
    </row>
    <row r="421" spans="1:17" x14ac:dyDescent="0.2">
      <c r="A421">
        <v>10667</v>
      </c>
      <c r="B421" t="s">
        <v>63</v>
      </c>
      <c r="C421">
        <v>7</v>
      </c>
      <c r="D421" s="1">
        <v>35685</v>
      </c>
      <c r="E421" s="1">
        <v>35713</v>
      </c>
      <c r="F421" s="1">
        <v>35692</v>
      </c>
      <c r="G421">
        <v>1</v>
      </c>
      <c r="H421" s="2">
        <v>78.09</v>
      </c>
      <c r="I421" t="s">
        <v>64</v>
      </c>
      <c r="J421" t="s">
        <v>65</v>
      </c>
      <c r="K421" t="s">
        <v>66</v>
      </c>
      <c r="L421" t="s">
        <v>18</v>
      </c>
      <c r="M421">
        <v>8010</v>
      </c>
      <c r="N421" t="s">
        <v>67</v>
      </c>
      <c r="O421">
        <f>Orders[[#This Row],[requiredDate]]-Orders[[#This Row],[orderDate]]</f>
        <v>28</v>
      </c>
      <c r="P421">
        <f>Orders[[#This Row],[shippedDate]]-Orders[[#This Row],[orderDate]]</f>
        <v>7</v>
      </c>
      <c r="Q421">
        <f>Orders[[#This Row],[requiredDate]]-Orders[[#This Row],[shippedDate]]</f>
        <v>21</v>
      </c>
    </row>
    <row r="422" spans="1:17" x14ac:dyDescent="0.2">
      <c r="A422">
        <v>10668</v>
      </c>
      <c r="B422" t="s">
        <v>185</v>
      </c>
      <c r="C422">
        <v>1</v>
      </c>
      <c r="D422" s="1">
        <v>35688</v>
      </c>
      <c r="E422" s="1">
        <v>35716</v>
      </c>
      <c r="F422" s="1">
        <v>35696</v>
      </c>
      <c r="G422">
        <v>2</v>
      </c>
      <c r="H422" s="2">
        <v>47.22</v>
      </c>
      <c r="I422" t="s">
        <v>186</v>
      </c>
      <c r="J422" t="s">
        <v>187</v>
      </c>
      <c r="K422" t="s">
        <v>188</v>
      </c>
      <c r="L422" t="s">
        <v>18</v>
      </c>
      <c r="M422">
        <v>70563</v>
      </c>
      <c r="N422" t="s">
        <v>24</v>
      </c>
      <c r="O422">
        <f>Orders[[#This Row],[requiredDate]]-Orders[[#This Row],[orderDate]]</f>
        <v>28</v>
      </c>
      <c r="P422">
        <f>Orders[[#This Row],[shippedDate]]-Orders[[#This Row],[orderDate]]</f>
        <v>8</v>
      </c>
      <c r="Q422">
        <f>Orders[[#This Row],[requiredDate]]-Orders[[#This Row],[shippedDate]]</f>
        <v>20</v>
      </c>
    </row>
    <row r="423" spans="1:17" x14ac:dyDescent="0.2">
      <c r="A423">
        <v>10669</v>
      </c>
      <c r="B423" t="s">
        <v>253</v>
      </c>
      <c r="C423">
        <v>2</v>
      </c>
      <c r="D423" s="1">
        <v>35688</v>
      </c>
      <c r="E423" s="1">
        <v>35716</v>
      </c>
      <c r="F423" s="1">
        <v>35695</v>
      </c>
      <c r="G423">
        <v>1</v>
      </c>
      <c r="H423" s="2">
        <v>24.39</v>
      </c>
      <c r="I423" t="s">
        <v>254</v>
      </c>
      <c r="J423" t="s">
        <v>255</v>
      </c>
      <c r="K423" t="s">
        <v>256</v>
      </c>
      <c r="L423" t="s">
        <v>18</v>
      </c>
      <c r="M423">
        <v>1734</v>
      </c>
      <c r="N423" t="s">
        <v>257</v>
      </c>
      <c r="O423">
        <f>Orders[[#This Row],[requiredDate]]-Orders[[#This Row],[orderDate]]</f>
        <v>28</v>
      </c>
      <c r="P423">
        <f>Orders[[#This Row],[shippedDate]]-Orders[[#This Row],[orderDate]]</f>
        <v>7</v>
      </c>
      <c r="Q423">
        <f>Orders[[#This Row],[requiredDate]]-Orders[[#This Row],[shippedDate]]</f>
        <v>21</v>
      </c>
    </row>
    <row r="424" spans="1:17" x14ac:dyDescent="0.2">
      <c r="A424">
        <v>10670</v>
      </c>
      <c r="B424" t="s">
        <v>102</v>
      </c>
      <c r="C424">
        <v>4</v>
      </c>
      <c r="D424" s="1">
        <v>35689</v>
      </c>
      <c r="E424" s="1">
        <v>35717</v>
      </c>
      <c r="F424" s="1">
        <v>35691</v>
      </c>
      <c r="G424">
        <v>1</v>
      </c>
      <c r="H424" s="2">
        <v>203.48</v>
      </c>
      <c r="I424" t="s">
        <v>103</v>
      </c>
      <c r="J424" t="s">
        <v>104</v>
      </c>
      <c r="K424" t="s">
        <v>105</v>
      </c>
      <c r="L424" t="s">
        <v>18</v>
      </c>
      <c r="M424">
        <v>80805</v>
      </c>
      <c r="N424" t="s">
        <v>24</v>
      </c>
      <c r="O424">
        <f>Orders[[#This Row],[requiredDate]]-Orders[[#This Row],[orderDate]]</f>
        <v>28</v>
      </c>
      <c r="P424">
        <f>Orders[[#This Row],[shippedDate]]-Orders[[#This Row],[orderDate]]</f>
        <v>2</v>
      </c>
      <c r="Q424">
        <f>Orders[[#This Row],[requiredDate]]-Orders[[#This Row],[shippedDate]]</f>
        <v>26</v>
      </c>
    </row>
    <row r="425" spans="1:17" x14ac:dyDescent="0.2">
      <c r="A425">
        <v>10671</v>
      </c>
      <c r="B425" t="s">
        <v>405</v>
      </c>
      <c r="C425">
        <v>1</v>
      </c>
      <c r="D425" s="1">
        <v>35690</v>
      </c>
      <c r="E425" s="1">
        <v>35718</v>
      </c>
      <c r="F425" s="1">
        <v>35697</v>
      </c>
      <c r="G425">
        <v>1</v>
      </c>
      <c r="H425" s="2">
        <v>30.34</v>
      </c>
      <c r="I425" t="s">
        <v>406</v>
      </c>
      <c r="J425" t="s">
        <v>407</v>
      </c>
      <c r="K425" t="s">
        <v>212</v>
      </c>
      <c r="L425" t="s">
        <v>18</v>
      </c>
      <c r="M425">
        <v>44000</v>
      </c>
      <c r="N425" t="s">
        <v>19</v>
      </c>
      <c r="O425">
        <f>Orders[[#This Row],[requiredDate]]-Orders[[#This Row],[orderDate]]</f>
        <v>28</v>
      </c>
      <c r="P425">
        <f>Orders[[#This Row],[shippedDate]]-Orders[[#This Row],[orderDate]]</f>
        <v>7</v>
      </c>
      <c r="Q425">
        <f>Orders[[#This Row],[requiredDate]]-Orders[[#This Row],[shippedDate]]</f>
        <v>21</v>
      </c>
    </row>
    <row r="426" spans="1:17" x14ac:dyDescent="0.2">
      <c r="A426">
        <v>10672</v>
      </c>
      <c r="B426" t="s">
        <v>137</v>
      </c>
      <c r="C426">
        <v>9</v>
      </c>
      <c r="D426" s="1">
        <v>35690</v>
      </c>
      <c r="E426" s="1">
        <v>35704</v>
      </c>
      <c r="F426" s="1">
        <v>35699</v>
      </c>
      <c r="G426">
        <v>2</v>
      </c>
      <c r="H426" s="2">
        <v>95.75</v>
      </c>
      <c r="I426" t="s">
        <v>138</v>
      </c>
      <c r="J426" t="s">
        <v>139</v>
      </c>
      <c r="K426" t="s">
        <v>140</v>
      </c>
      <c r="L426" t="s">
        <v>18</v>
      </c>
      <c r="M426" t="s">
        <v>141</v>
      </c>
      <c r="N426" t="s">
        <v>92</v>
      </c>
      <c r="O426">
        <f>Orders[[#This Row],[requiredDate]]-Orders[[#This Row],[orderDate]]</f>
        <v>14</v>
      </c>
      <c r="P426">
        <f>Orders[[#This Row],[shippedDate]]-Orders[[#This Row],[orderDate]]</f>
        <v>9</v>
      </c>
      <c r="Q426">
        <f>Orders[[#This Row],[requiredDate]]-Orders[[#This Row],[shippedDate]]</f>
        <v>5</v>
      </c>
    </row>
    <row r="427" spans="1:17" x14ac:dyDescent="0.2">
      <c r="A427">
        <v>10673</v>
      </c>
      <c r="B427" t="s">
        <v>392</v>
      </c>
      <c r="C427">
        <v>2</v>
      </c>
      <c r="D427" s="1">
        <v>35691</v>
      </c>
      <c r="E427" s="1">
        <v>35719</v>
      </c>
      <c r="F427" s="1">
        <v>35692</v>
      </c>
      <c r="G427">
        <v>1</v>
      </c>
      <c r="H427" s="2">
        <v>22.76</v>
      </c>
      <c r="I427" t="s">
        <v>393</v>
      </c>
      <c r="J427" t="s">
        <v>394</v>
      </c>
      <c r="K427" t="s">
        <v>395</v>
      </c>
      <c r="L427" t="s">
        <v>18</v>
      </c>
      <c r="M427">
        <v>21240</v>
      </c>
      <c r="N427" t="s">
        <v>101</v>
      </c>
      <c r="O427">
        <f>Orders[[#This Row],[requiredDate]]-Orders[[#This Row],[orderDate]]</f>
        <v>28</v>
      </c>
      <c r="P427">
        <f>Orders[[#This Row],[shippedDate]]-Orders[[#This Row],[orderDate]]</f>
        <v>1</v>
      </c>
      <c r="Q427">
        <f>Orders[[#This Row],[requiredDate]]-Orders[[#This Row],[shippedDate]]</f>
        <v>27</v>
      </c>
    </row>
    <row r="428" spans="1:17" x14ac:dyDescent="0.2">
      <c r="A428">
        <v>10674</v>
      </c>
      <c r="B428" t="s">
        <v>213</v>
      </c>
      <c r="C428">
        <v>4</v>
      </c>
      <c r="D428" s="1">
        <v>35691</v>
      </c>
      <c r="E428" s="1">
        <v>35719</v>
      </c>
      <c r="F428" s="1">
        <v>35703</v>
      </c>
      <c r="G428">
        <v>2</v>
      </c>
      <c r="H428" s="2">
        <v>0.9</v>
      </c>
      <c r="I428" t="s">
        <v>214</v>
      </c>
      <c r="J428" t="s">
        <v>215</v>
      </c>
      <c r="K428" t="s">
        <v>216</v>
      </c>
      <c r="L428" t="s">
        <v>217</v>
      </c>
      <c r="M428" t="s">
        <v>218</v>
      </c>
      <c r="N428" t="s">
        <v>169</v>
      </c>
      <c r="O428">
        <f>Orders[[#This Row],[requiredDate]]-Orders[[#This Row],[orderDate]]</f>
        <v>28</v>
      </c>
      <c r="P428">
        <f>Orders[[#This Row],[shippedDate]]-Orders[[#This Row],[orderDate]]</f>
        <v>12</v>
      </c>
      <c r="Q428">
        <f>Orders[[#This Row],[requiredDate]]-Orders[[#This Row],[shippedDate]]</f>
        <v>16</v>
      </c>
    </row>
    <row r="429" spans="1:17" x14ac:dyDescent="0.2">
      <c r="A429">
        <v>10675</v>
      </c>
      <c r="B429" t="s">
        <v>102</v>
      </c>
      <c r="C429">
        <v>5</v>
      </c>
      <c r="D429" s="1">
        <v>35692</v>
      </c>
      <c r="E429" s="1">
        <v>35720</v>
      </c>
      <c r="F429" s="1">
        <v>35696</v>
      </c>
      <c r="G429">
        <v>2</v>
      </c>
      <c r="H429" s="2">
        <v>31.85</v>
      </c>
      <c r="I429" t="s">
        <v>103</v>
      </c>
      <c r="J429" t="s">
        <v>104</v>
      </c>
      <c r="K429" t="s">
        <v>105</v>
      </c>
      <c r="L429" t="s">
        <v>18</v>
      </c>
      <c r="M429">
        <v>80805</v>
      </c>
      <c r="N429" t="s">
        <v>24</v>
      </c>
      <c r="O429">
        <f>Orders[[#This Row],[requiredDate]]-Orders[[#This Row],[orderDate]]</f>
        <v>28</v>
      </c>
      <c r="P429">
        <f>Orders[[#This Row],[shippedDate]]-Orders[[#This Row],[orderDate]]</f>
        <v>4</v>
      </c>
      <c r="Q429">
        <f>Orders[[#This Row],[requiredDate]]-Orders[[#This Row],[shippedDate]]</f>
        <v>24</v>
      </c>
    </row>
    <row r="430" spans="1:17" x14ac:dyDescent="0.2">
      <c r="A430">
        <v>10676</v>
      </c>
      <c r="B430" t="s">
        <v>130</v>
      </c>
      <c r="C430">
        <v>2</v>
      </c>
      <c r="D430" s="1">
        <v>35695</v>
      </c>
      <c r="E430" s="1">
        <v>35723</v>
      </c>
      <c r="F430" s="1">
        <v>35702</v>
      </c>
      <c r="G430">
        <v>2</v>
      </c>
      <c r="H430" s="2">
        <v>2.0099999999999998</v>
      </c>
      <c r="I430" t="s">
        <v>131</v>
      </c>
      <c r="J430" t="s">
        <v>132</v>
      </c>
      <c r="K430" t="s">
        <v>71</v>
      </c>
      <c r="L430" t="s">
        <v>18</v>
      </c>
      <c r="M430">
        <v>5033</v>
      </c>
      <c r="N430" t="s">
        <v>72</v>
      </c>
      <c r="O430">
        <f>Orders[[#This Row],[requiredDate]]-Orders[[#This Row],[orderDate]]</f>
        <v>28</v>
      </c>
      <c r="P430">
        <f>Orders[[#This Row],[shippedDate]]-Orders[[#This Row],[orderDate]]</f>
        <v>7</v>
      </c>
      <c r="Q430">
        <f>Orders[[#This Row],[requiredDate]]-Orders[[#This Row],[shippedDate]]</f>
        <v>21</v>
      </c>
    </row>
    <row r="431" spans="1:17" x14ac:dyDescent="0.2">
      <c r="A431">
        <v>10677</v>
      </c>
      <c r="B431" t="s">
        <v>288</v>
      </c>
      <c r="C431">
        <v>1</v>
      </c>
      <c r="D431" s="1">
        <v>35695</v>
      </c>
      <c r="E431" s="1">
        <v>35723</v>
      </c>
      <c r="F431" s="1">
        <v>35699</v>
      </c>
      <c r="G431">
        <v>3</v>
      </c>
      <c r="H431" s="2">
        <v>4.03</v>
      </c>
      <c r="I431" t="s">
        <v>289</v>
      </c>
      <c r="J431" t="s">
        <v>290</v>
      </c>
      <c r="K431" t="s">
        <v>71</v>
      </c>
      <c r="L431" t="s">
        <v>18</v>
      </c>
      <c r="M431">
        <v>5023</v>
      </c>
      <c r="N431" t="s">
        <v>72</v>
      </c>
      <c r="O431">
        <f>Orders[[#This Row],[requiredDate]]-Orders[[#This Row],[orderDate]]</f>
        <v>28</v>
      </c>
      <c r="P431">
        <f>Orders[[#This Row],[shippedDate]]-Orders[[#This Row],[orderDate]]</f>
        <v>4</v>
      </c>
      <c r="Q431">
        <f>Orders[[#This Row],[requiredDate]]-Orders[[#This Row],[shippedDate]]</f>
        <v>24</v>
      </c>
    </row>
    <row r="432" spans="1:17" x14ac:dyDescent="0.2">
      <c r="A432">
        <v>10678</v>
      </c>
      <c r="B432" t="s">
        <v>226</v>
      </c>
      <c r="C432">
        <v>7</v>
      </c>
      <c r="D432" s="1">
        <v>35696</v>
      </c>
      <c r="E432" s="1">
        <v>35724</v>
      </c>
      <c r="F432" s="1">
        <v>35719</v>
      </c>
      <c r="G432">
        <v>3</v>
      </c>
      <c r="H432" s="2">
        <v>388.98</v>
      </c>
      <c r="I432" t="s">
        <v>227</v>
      </c>
      <c r="J432" t="s">
        <v>228</v>
      </c>
      <c r="K432" t="s">
        <v>229</v>
      </c>
      <c r="L432" t="s">
        <v>230</v>
      </c>
      <c r="M432">
        <v>83720</v>
      </c>
      <c r="N432" t="s">
        <v>86</v>
      </c>
      <c r="O432">
        <f>Orders[[#This Row],[requiredDate]]-Orders[[#This Row],[orderDate]]</f>
        <v>28</v>
      </c>
      <c r="P432">
        <f>Orders[[#This Row],[shippedDate]]-Orders[[#This Row],[orderDate]]</f>
        <v>23</v>
      </c>
      <c r="Q432">
        <f>Orders[[#This Row],[requiredDate]]-Orders[[#This Row],[shippedDate]]</f>
        <v>5</v>
      </c>
    </row>
    <row r="433" spans="1:17" x14ac:dyDescent="0.2">
      <c r="A433">
        <v>10679</v>
      </c>
      <c r="B433" t="s">
        <v>93</v>
      </c>
      <c r="C433">
        <v>8</v>
      </c>
      <c r="D433" s="1">
        <v>35696</v>
      </c>
      <c r="E433" s="1">
        <v>35724</v>
      </c>
      <c r="F433" s="1">
        <v>35703</v>
      </c>
      <c r="G433">
        <v>3</v>
      </c>
      <c r="H433" s="2">
        <v>27.94</v>
      </c>
      <c r="I433" t="s">
        <v>94</v>
      </c>
      <c r="J433" t="s">
        <v>95</v>
      </c>
      <c r="K433" t="s">
        <v>96</v>
      </c>
      <c r="L433" t="s">
        <v>18</v>
      </c>
      <c r="M433">
        <v>67000</v>
      </c>
      <c r="N433" t="s">
        <v>19</v>
      </c>
      <c r="O433">
        <f>Orders[[#This Row],[requiredDate]]-Orders[[#This Row],[orderDate]]</f>
        <v>28</v>
      </c>
      <c r="P433">
        <f>Orders[[#This Row],[shippedDate]]-Orders[[#This Row],[orderDate]]</f>
        <v>7</v>
      </c>
      <c r="Q433">
        <f>Orders[[#This Row],[requiredDate]]-Orders[[#This Row],[shippedDate]]</f>
        <v>21</v>
      </c>
    </row>
    <row r="434" spans="1:17" x14ac:dyDescent="0.2">
      <c r="A434">
        <v>10680</v>
      </c>
      <c r="B434" t="s">
        <v>193</v>
      </c>
      <c r="C434">
        <v>1</v>
      </c>
      <c r="D434" s="1">
        <v>35697</v>
      </c>
      <c r="E434" s="1">
        <v>35725</v>
      </c>
      <c r="F434" s="1">
        <v>35699</v>
      </c>
      <c r="G434">
        <v>1</v>
      </c>
      <c r="H434" s="2">
        <v>26.61</v>
      </c>
      <c r="I434" t="s">
        <v>194</v>
      </c>
      <c r="J434" t="s">
        <v>195</v>
      </c>
      <c r="K434" t="s">
        <v>196</v>
      </c>
      <c r="L434" t="s">
        <v>197</v>
      </c>
      <c r="M434">
        <v>99508</v>
      </c>
      <c r="N434" t="s">
        <v>86</v>
      </c>
      <c r="O434">
        <f>Orders[[#This Row],[requiredDate]]-Orders[[#This Row],[orderDate]]</f>
        <v>28</v>
      </c>
      <c r="P434">
        <f>Orders[[#This Row],[shippedDate]]-Orders[[#This Row],[orderDate]]</f>
        <v>2</v>
      </c>
      <c r="Q434">
        <f>Orders[[#This Row],[requiredDate]]-Orders[[#This Row],[shippedDate]]</f>
        <v>26</v>
      </c>
    </row>
    <row r="435" spans="1:17" x14ac:dyDescent="0.2">
      <c r="A435">
        <v>10681</v>
      </c>
      <c r="B435" t="s">
        <v>374</v>
      </c>
      <c r="C435">
        <v>3</v>
      </c>
      <c r="D435" s="1">
        <v>35698</v>
      </c>
      <c r="E435" s="1">
        <v>35726</v>
      </c>
      <c r="F435" s="1">
        <v>35703</v>
      </c>
      <c r="G435">
        <v>3</v>
      </c>
      <c r="H435" s="2">
        <v>76.13</v>
      </c>
      <c r="I435" t="s">
        <v>375</v>
      </c>
      <c r="J435" t="s">
        <v>376</v>
      </c>
      <c r="K435" t="s">
        <v>377</v>
      </c>
      <c r="L435" t="s">
        <v>202</v>
      </c>
      <c r="M435">
        <v>97403</v>
      </c>
      <c r="N435" t="s">
        <v>86</v>
      </c>
      <c r="O435">
        <f>Orders[[#This Row],[requiredDate]]-Orders[[#This Row],[orderDate]]</f>
        <v>28</v>
      </c>
      <c r="P435">
        <f>Orders[[#This Row],[shippedDate]]-Orders[[#This Row],[orderDate]]</f>
        <v>5</v>
      </c>
      <c r="Q435">
        <f>Orders[[#This Row],[requiredDate]]-Orders[[#This Row],[shippedDate]]</f>
        <v>23</v>
      </c>
    </row>
    <row r="436" spans="1:17" x14ac:dyDescent="0.2">
      <c r="A436">
        <v>10682</v>
      </c>
      <c r="B436" t="s">
        <v>288</v>
      </c>
      <c r="C436">
        <v>3</v>
      </c>
      <c r="D436" s="1">
        <v>35698</v>
      </c>
      <c r="E436" s="1">
        <v>35726</v>
      </c>
      <c r="F436" s="1">
        <v>35704</v>
      </c>
      <c r="G436">
        <v>2</v>
      </c>
      <c r="H436" s="2">
        <v>36.130000000000003</v>
      </c>
      <c r="I436" t="s">
        <v>289</v>
      </c>
      <c r="J436" t="s">
        <v>290</v>
      </c>
      <c r="K436" t="s">
        <v>71</v>
      </c>
      <c r="L436" t="s">
        <v>18</v>
      </c>
      <c r="M436">
        <v>5023</v>
      </c>
      <c r="N436" t="s">
        <v>72</v>
      </c>
      <c r="O436">
        <f>Orders[[#This Row],[requiredDate]]-Orders[[#This Row],[orderDate]]</f>
        <v>28</v>
      </c>
      <c r="P436">
        <f>Orders[[#This Row],[shippedDate]]-Orders[[#This Row],[orderDate]]</f>
        <v>6</v>
      </c>
      <c r="Q436">
        <f>Orders[[#This Row],[requiredDate]]-Orders[[#This Row],[shippedDate]]</f>
        <v>22</v>
      </c>
    </row>
    <row r="437" spans="1:17" x14ac:dyDescent="0.2">
      <c r="A437">
        <v>10683</v>
      </c>
      <c r="B437" t="s">
        <v>209</v>
      </c>
      <c r="C437">
        <v>2</v>
      </c>
      <c r="D437" s="1">
        <v>35699</v>
      </c>
      <c r="E437" s="1">
        <v>35727</v>
      </c>
      <c r="F437" s="1">
        <v>35704</v>
      </c>
      <c r="G437">
        <v>1</v>
      </c>
      <c r="H437" s="2">
        <v>4.4000000000000004</v>
      </c>
      <c r="I437" t="s">
        <v>210</v>
      </c>
      <c r="J437" t="s">
        <v>211</v>
      </c>
      <c r="K437" t="s">
        <v>212</v>
      </c>
      <c r="L437" t="s">
        <v>18</v>
      </c>
      <c r="M437">
        <v>44000</v>
      </c>
      <c r="N437" t="s">
        <v>19</v>
      </c>
      <c r="O437">
        <f>Orders[[#This Row],[requiredDate]]-Orders[[#This Row],[orderDate]]</f>
        <v>28</v>
      </c>
      <c r="P437">
        <f>Orders[[#This Row],[shippedDate]]-Orders[[#This Row],[orderDate]]</f>
        <v>5</v>
      </c>
      <c r="Q437">
        <f>Orders[[#This Row],[requiredDate]]-Orders[[#This Row],[shippedDate]]</f>
        <v>23</v>
      </c>
    </row>
    <row r="438" spans="1:17" x14ac:dyDescent="0.2">
      <c r="A438">
        <v>10684</v>
      </c>
      <c r="B438" t="s">
        <v>73</v>
      </c>
      <c r="C438">
        <v>3</v>
      </c>
      <c r="D438" s="1">
        <v>35699</v>
      </c>
      <c r="E438" s="1">
        <v>35727</v>
      </c>
      <c r="F438" s="1">
        <v>35703</v>
      </c>
      <c r="G438">
        <v>1</v>
      </c>
      <c r="H438" s="2">
        <v>145.63</v>
      </c>
      <c r="I438" t="s">
        <v>74</v>
      </c>
      <c r="J438" t="s">
        <v>75</v>
      </c>
      <c r="K438" t="s">
        <v>76</v>
      </c>
      <c r="L438" t="s">
        <v>18</v>
      </c>
      <c r="M438">
        <v>50739</v>
      </c>
      <c r="N438" t="s">
        <v>24</v>
      </c>
      <c r="O438">
        <f>Orders[[#This Row],[requiredDate]]-Orders[[#This Row],[orderDate]]</f>
        <v>28</v>
      </c>
      <c r="P438">
        <f>Orders[[#This Row],[shippedDate]]-Orders[[#This Row],[orderDate]]</f>
        <v>4</v>
      </c>
      <c r="Q438">
        <f>Orders[[#This Row],[requiredDate]]-Orders[[#This Row],[shippedDate]]</f>
        <v>24</v>
      </c>
    </row>
    <row r="439" spans="1:17" x14ac:dyDescent="0.2">
      <c r="A439">
        <v>10685</v>
      </c>
      <c r="B439" t="s">
        <v>342</v>
      </c>
      <c r="C439">
        <v>4</v>
      </c>
      <c r="D439" s="1">
        <v>35702</v>
      </c>
      <c r="E439" s="1">
        <v>35716</v>
      </c>
      <c r="F439" s="1">
        <v>35706</v>
      </c>
      <c r="G439">
        <v>2</v>
      </c>
      <c r="H439" s="2">
        <v>33.75</v>
      </c>
      <c r="I439" t="s">
        <v>343</v>
      </c>
      <c r="J439" t="s">
        <v>344</v>
      </c>
      <c r="K439" t="s">
        <v>345</v>
      </c>
      <c r="L439" t="s">
        <v>55</v>
      </c>
      <c r="M439" t="s">
        <v>346</v>
      </c>
      <c r="N439" t="s">
        <v>31</v>
      </c>
      <c r="O439">
        <f>Orders[[#This Row],[requiredDate]]-Orders[[#This Row],[orderDate]]</f>
        <v>14</v>
      </c>
      <c r="P439">
        <f>Orders[[#This Row],[shippedDate]]-Orders[[#This Row],[orderDate]]</f>
        <v>4</v>
      </c>
      <c r="Q439">
        <f>Orders[[#This Row],[requiredDate]]-Orders[[#This Row],[shippedDate]]</f>
        <v>10</v>
      </c>
    </row>
    <row r="440" spans="1:17" x14ac:dyDescent="0.2">
      <c r="A440">
        <v>10686</v>
      </c>
      <c r="B440" t="s">
        <v>266</v>
      </c>
      <c r="C440">
        <v>2</v>
      </c>
      <c r="D440" s="1">
        <v>35703</v>
      </c>
      <c r="E440" s="1">
        <v>35731</v>
      </c>
      <c r="F440" s="1">
        <v>35711</v>
      </c>
      <c r="G440">
        <v>1</v>
      </c>
      <c r="H440" s="2">
        <v>96.5</v>
      </c>
      <c r="I440" t="s">
        <v>267</v>
      </c>
      <c r="J440" t="s">
        <v>268</v>
      </c>
      <c r="K440" t="s">
        <v>269</v>
      </c>
      <c r="L440" t="s">
        <v>18</v>
      </c>
      <c r="M440">
        <v>5020</v>
      </c>
      <c r="N440" t="s">
        <v>67</v>
      </c>
      <c r="O440">
        <f>Orders[[#This Row],[requiredDate]]-Orders[[#This Row],[orderDate]]</f>
        <v>28</v>
      </c>
      <c r="P440">
        <f>Orders[[#This Row],[shippedDate]]-Orders[[#This Row],[orderDate]]</f>
        <v>8</v>
      </c>
      <c r="Q440">
        <f>Orders[[#This Row],[requiredDate]]-Orders[[#This Row],[shippedDate]]</f>
        <v>20</v>
      </c>
    </row>
    <row r="441" spans="1:17" x14ac:dyDescent="0.2">
      <c r="A441">
        <v>10687</v>
      </c>
      <c r="B441" t="s">
        <v>179</v>
      </c>
      <c r="C441">
        <v>9</v>
      </c>
      <c r="D441" s="1">
        <v>35703</v>
      </c>
      <c r="E441" s="1">
        <v>35731</v>
      </c>
      <c r="F441" s="1">
        <v>35733</v>
      </c>
      <c r="G441">
        <v>2</v>
      </c>
      <c r="H441" s="2">
        <v>296.43</v>
      </c>
      <c r="I441" t="s">
        <v>180</v>
      </c>
      <c r="J441" t="s">
        <v>181</v>
      </c>
      <c r="K441" t="s">
        <v>182</v>
      </c>
      <c r="L441" t="s">
        <v>183</v>
      </c>
      <c r="M441" t="s">
        <v>18</v>
      </c>
      <c r="N441" t="s">
        <v>184</v>
      </c>
      <c r="O441">
        <f>Orders[[#This Row],[requiredDate]]-Orders[[#This Row],[orderDate]]</f>
        <v>28</v>
      </c>
      <c r="P441">
        <f>Orders[[#This Row],[shippedDate]]-Orders[[#This Row],[orderDate]]</f>
        <v>30</v>
      </c>
      <c r="Q441">
        <f>Orders[[#This Row],[requiredDate]]-Orders[[#This Row],[shippedDate]]</f>
        <v>-2</v>
      </c>
    </row>
    <row r="442" spans="1:17" x14ac:dyDescent="0.2">
      <c r="A442">
        <v>10688</v>
      </c>
      <c r="B442" t="s">
        <v>295</v>
      </c>
      <c r="C442">
        <v>4</v>
      </c>
      <c r="D442" s="1">
        <v>35704</v>
      </c>
      <c r="E442" s="1">
        <v>35718</v>
      </c>
      <c r="F442" s="1">
        <v>35710</v>
      </c>
      <c r="G442">
        <v>2</v>
      </c>
      <c r="H442" s="2">
        <v>299.08999999999997</v>
      </c>
      <c r="I442" t="s">
        <v>296</v>
      </c>
      <c r="J442" t="s">
        <v>297</v>
      </c>
      <c r="K442" t="s">
        <v>298</v>
      </c>
      <c r="L442" t="s">
        <v>18</v>
      </c>
      <c r="M442">
        <v>8200</v>
      </c>
      <c r="N442" t="s">
        <v>257</v>
      </c>
      <c r="O442">
        <f>Orders[[#This Row],[requiredDate]]-Orders[[#This Row],[orderDate]]</f>
        <v>14</v>
      </c>
      <c r="P442">
        <f>Orders[[#This Row],[shippedDate]]-Orders[[#This Row],[orderDate]]</f>
        <v>6</v>
      </c>
      <c r="Q442">
        <f>Orders[[#This Row],[requiredDate]]-Orders[[#This Row],[shippedDate]]</f>
        <v>8</v>
      </c>
    </row>
    <row r="443" spans="1:17" x14ac:dyDescent="0.2">
      <c r="A443">
        <v>10689</v>
      </c>
      <c r="B443" t="s">
        <v>137</v>
      </c>
      <c r="C443">
        <v>1</v>
      </c>
      <c r="D443" s="1">
        <v>35704</v>
      </c>
      <c r="E443" s="1">
        <v>35732</v>
      </c>
      <c r="F443" s="1">
        <v>35710</v>
      </c>
      <c r="G443">
        <v>2</v>
      </c>
      <c r="H443" s="2">
        <v>13.42</v>
      </c>
      <c r="I443" t="s">
        <v>138</v>
      </c>
      <c r="J443" t="s">
        <v>139</v>
      </c>
      <c r="K443" t="s">
        <v>140</v>
      </c>
      <c r="L443" t="s">
        <v>18</v>
      </c>
      <c r="M443" t="s">
        <v>141</v>
      </c>
      <c r="N443" t="s">
        <v>92</v>
      </c>
      <c r="O443">
        <f>Orders[[#This Row],[requiredDate]]-Orders[[#This Row],[orderDate]]</f>
        <v>28</v>
      </c>
      <c r="P443">
        <f>Orders[[#This Row],[shippedDate]]-Orders[[#This Row],[orderDate]]</f>
        <v>6</v>
      </c>
      <c r="Q443">
        <f>Orders[[#This Row],[requiredDate]]-Orders[[#This Row],[shippedDate]]</f>
        <v>22</v>
      </c>
    </row>
    <row r="444" spans="1:17" x14ac:dyDescent="0.2">
      <c r="A444">
        <v>10690</v>
      </c>
      <c r="B444" t="s">
        <v>25</v>
      </c>
      <c r="C444">
        <v>1</v>
      </c>
      <c r="D444" s="1">
        <v>35705</v>
      </c>
      <c r="E444" s="1">
        <v>35733</v>
      </c>
      <c r="F444" s="1">
        <v>35706</v>
      </c>
      <c r="G444">
        <v>1</v>
      </c>
      <c r="H444" s="2">
        <v>15.8</v>
      </c>
      <c r="I444" t="s">
        <v>26</v>
      </c>
      <c r="J444" t="s">
        <v>27</v>
      </c>
      <c r="K444" t="s">
        <v>28</v>
      </c>
      <c r="L444" t="s">
        <v>29</v>
      </c>
      <c r="M444" t="s">
        <v>30</v>
      </c>
      <c r="N444" t="s">
        <v>31</v>
      </c>
      <c r="O444">
        <f>Orders[[#This Row],[requiredDate]]-Orders[[#This Row],[orderDate]]</f>
        <v>28</v>
      </c>
      <c r="P444">
        <f>Orders[[#This Row],[shippedDate]]-Orders[[#This Row],[orderDate]]</f>
        <v>1</v>
      </c>
      <c r="Q444">
        <f>Orders[[#This Row],[requiredDate]]-Orders[[#This Row],[shippedDate]]</f>
        <v>27</v>
      </c>
    </row>
    <row r="445" spans="1:17" x14ac:dyDescent="0.2">
      <c r="A445">
        <v>10691</v>
      </c>
      <c r="B445" t="s">
        <v>121</v>
      </c>
      <c r="C445">
        <v>2</v>
      </c>
      <c r="D445" s="1">
        <v>35706</v>
      </c>
      <c r="E445" s="1">
        <v>35748</v>
      </c>
      <c r="F445" s="1">
        <v>35725</v>
      </c>
      <c r="G445">
        <v>2</v>
      </c>
      <c r="H445" s="2">
        <v>810.05</v>
      </c>
      <c r="I445" t="s">
        <v>122</v>
      </c>
      <c r="J445" t="s">
        <v>123</v>
      </c>
      <c r="K445" t="s">
        <v>124</v>
      </c>
      <c r="L445" t="s">
        <v>18</v>
      </c>
      <c r="M445">
        <v>1307</v>
      </c>
      <c r="N445" t="s">
        <v>24</v>
      </c>
      <c r="O445">
        <f>Orders[[#This Row],[requiredDate]]-Orders[[#This Row],[orderDate]]</f>
        <v>42</v>
      </c>
      <c r="P445">
        <f>Orders[[#This Row],[shippedDate]]-Orders[[#This Row],[orderDate]]</f>
        <v>19</v>
      </c>
      <c r="Q445">
        <f>Orders[[#This Row],[requiredDate]]-Orders[[#This Row],[shippedDate]]</f>
        <v>23</v>
      </c>
    </row>
    <row r="446" spans="1:17" x14ac:dyDescent="0.2">
      <c r="A446">
        <v>10692</v>
      </c>
      <c r="B446" t="s">
        <v>401</v>
      </c>
      <c r="C446">
        <v>4</v>
      </c>
      <c r="D446" s="1">
        <v>35706</v>
      </c>
      <c r="E446" s="1">
        <v>35734</v>
      </c>
      <c r="F446" s="1">
        <v>35716</v>
      </c>
      <c r="G446">
        <v>2</v>
      </c>
      <c r="H446" s="2">
        <v>61.02</v>
      </c>
      <c r="I446" t="s">
        <v>408</v>
      </c>
      <c r="J446" t="s">
        <v>403</v>
      </c>
      <c r="K446" t="s">
        <v>404</v>
      </c>
      <c r="L446" t="s">
        <v>18</v>
      </c>
      <c r="M446">
        <v>12209</v>
      </c>
      <c r="N446" t="s">
        <v>24</v>
      </c>
      <c r="O446">
        <f>Orders[[#This Row],[requiredDate]]-Orders[[#This Row],[orderDate]]</f>
        <v>28</v>
      </c>
      <c r="P446">
        <f>Orders[[#This Row],[shippedDate]]-Orders[[#This Row],[orderDate]]</f>
        <v>10</v>
      </c>
      <c r="Q446">
        <f>Orders[[#This Row],[requiredDate]]-Orders[[#This Row],[shippedDate]]</f>
        <v>18</v>
      </c>
    </row>
    <row r="447" spans="1:17" x14ac:dyDescent="0.2">
      <c r="A447">
        <v>10693</v>
      </c>
      <c r="B447" t="s">
        <v>111</v>
      </c>
      <c r="C447">
        <v>3</v>
      </c>
      <c r="D447" s="1">
        <v>35709</v>
      </c>
      <c r="E447" s="1">
        <v>35723</v>
      </c>
      <c r="F447" s="1">
        <v>35713</v>
      </c>
      <c r="G447">
        <v>3</v>
      </c>
      <c r="H447" s="2">
        <v>139.34</v>
      </c>
      <c r="I447" t="s">
        <v>112</v>
      </c>
      <c r="J447" t="s">
        <v>113</v>
      </c>
      <c r="K447" t="s">
        <v>114</v>
      </c>
      <c r="L447" t="s">
        <v>115</v>
      </c>
      <c r="M447">
        <v>98124</v>
      </c>
      <c r="N447" t="s">
        <v>86</v>
      </c>
      <c r="O447">
        <f>Orders[[#This Row],[requiredDate]]-Orders[[#This Row],[orderDate]]</f>
        <v>14</v>
      </c>
      <c r="P447">
        <f>Orders[[#This Row],[shippedDate]]-Orders[[#This Row],[orderDate]]</f>
        <v>4</v>
      </c>
      <c r="Q447">
        <f>Orders[[#This Row],[requiredDate]]-Orders[[#This Row],[shippedDate]]</f>
        <v>10</v>
      </c>
    </row>
    <row r="448" spans="1:17" x14ac:dyDescent="0.2">
      <c r="A448">
        <v>10694</v>
      </c>
      <c r="B448" t="s">
        <v>121</v>
      </c>
      <c r="C448">
        <v>8</v>
      </c>
      <c r="D448" s="1">
        <v>35709</v>
      </c>
      <c r="E448" s="1">
        <v>35737</v>
      </c>
      <c r="F448" s="1">
        <v>35712</v>
      </c>
      <c r="G448">
        <v>3</v>
      </c>
      <c r="H448" s="2">
        <v>398.36</v>
      </c>
      <c r="I448" t="s">
        <v>122</v>
      </c>
      <c r="J448" t="s">
        <v>123</v>
      </c>
      <c r="K448" t="s">
        <v>124</v>
      </c>
      <c r="L448" t="s">
        <v>18</v>
      </c>
      <c r="M448">
        <v>1307</v>
      </c>
      <c r="N448" t="s">
        <v>24</v>
      </c>
      <c r="O448">
        <f>Orders[[#This Row],[requiredDate]]-Orders[[#This Row],[orderDate]]</f>
        <v>28</v>
      </c>
      <c r="P448">
        <f>Orders[[#This Row],[shippedDate]]-Orders[[#This Row],[orderDate]]</f>
        <v>3</v>
      </c>
      <c r="Q448">
        <f>Orders[[#This Row],[requiredDate]]-Orders[[#This Row],[shippedDate]]</f>
        <v>25</v>
      </c>
    </row>
    <row r="449" spans="1:17" x14ac:dyDescent="0.2">
      <c r="A449">
        <v>10695</v>
      </c>
      <c r="B449" t="s">
        <v>392</v>
      </c>
      <c r="C449">
        <v>7</v>
      </c>
      <c r="D449" s="1">
        <v>35710</v>
      </c>
      <c r="E449" s="1">
        <v>35752</v>
      </c>
      <c r="F449" s="1">
        <v>35717</v>
      </c>
      <c r="G449">
        <v>1</v>
      </c>
      <c r="H449" s="2">
        <v>16.72</v>
      </c>
      <c r="I449" t="s">
        <v>393</v>
      </c>
      <c r="J449" t="s">
        <v>394</v>
      </c>
      <c r="K449" t="s">
        <v>395</v>
      </c>
      <c r="L449" t="s">
        <v>18</v>
      </c>
      <c r="M449">
        <v>21240</v>
      </c>
      <c r="N449" t="s">
        <v>101</v>
      </c>
      <c r="O449">
        <f>Orders[[#This Row],[requiredDate]]-Orders[[#This Row],[orderDate]]</f>
        <v>42</v>
      </c>
      <c r="P449">
        <f>Orders[[#This Row],[shippedDate]]-Orders[[#This Row],[orderDate]]</f>
        <v>7</v>
      </c>
      <c r="Q449">
        <f>Orders[[#This Row],[requiredDate]]-Orders[[#This Row],[shippedDate]]</f>
        <v>35</v>
      </c>
    </row>
    <row r="450" spans="1:17" x14ac:dyDescent="0.2">
      <c r="A450">
        <v>10696</v>
      </c>
      <c r="B450" t="s">
        <v>111</v>
      </c>
      <c r="C450">
        <v>8</v>
      </c>
      <c r="D450" s="1">
        <v>35711</v>
      </c>
      <c r="E450" s="1">
        <v>35753</v>
      </c>
      <c r="F450" s="1">
        <v>35717</v>
      </c>
      <c r="G450">
        <v>3</v>
      </c>
      <c r="H450" s="2">
        <v>102.55</v>
      </c>
      <c r="I450" t="s">
        <v>112</v>
      </c>
      <c r="J450" t="s">
        <v>113</v>
      </c>
      <c r="K450" t="s">
        <v>114</v>
      </c>
      <c r="L450" t="s">
        <v>115</v>
      </c>
      <c r="M450">
        <v>98124</v>
      </c>
      <c r="N450" t="s">
        <v>86</v>
      </c>
      <c r="O450">
        <f>Orders[[#This Row],[requiredDate]]-Orders[[#This Row],[orderDate]]</f>
        <v>42</v>
      </c>
      <c r="P450">
        <f>Orders[[#This Row],[shippedDate]]-Orders[[#This Row],[orderDate]]</f>
        <v>6</v>
      </c>
      <c r="Q450">
        <f>Orders[[#This Row],[requiredDate]]-Orders[[#This Row],[shippedDate]]</f>
        <v>36</v>
      </c>
    </row>
    <row r="451" spans="1:17" x14ac:dyDescent="0.2">
      <c r="A451">
        <v>10697</v>
      </c>
      <c r="B451" t="s">
        <v>324</v>
      </c>
      <c r="C451">
        <v>3</v>
      </c>
      <c r="D451" s="1">
        <v>35711</v>
      </c>
      <c r="E451" s="1">
        <v>35739</v>
      </c>
      <c r="F451" s="1">
        <v>35717</v>
      </c>
      <c r="G451">
        <v>1</v>
      </c>
      <c r="H451" s="2">
        <v>45.52</v>
      </c>
      <c r="I451" t="s">
        <v>325</v>
      </c>
      <c r="J451" t="s">
        <v>326</v>
      </c>
      <c r="K451" t="s">
        <v>327</v>
      </c>
      <c r="L451" t="s">
        <v>328</v>
      </c>
      <c r="M451">
        <v>4980</v>
      </c>
      <c r="N451" t="s">
        <v>62</v>
      </c>
      <c r="O451">
        <f>Orders[[#This Row],[requiredDate]]-Orders[[#This Row],[orderDate]]</f>
        <v>28</v>
      </c>
      <c r="P451">
        <f>Orders[[#This Row],[shippedDate]]-Orders[[#This Row],[orderDate]]</f>
        <v>6</v>
      </c>
      <c r="Q451">
        <f>Orders[[#This Row],[requiredDate]]-Orders[[#This Row],[shippedDate]]</f>
        <v>22</v>
      </c>
    </row>
    <row r="452" spans="1:17" x14ac:dyDescent="0.2">
      <c r="A452">
        <v>10698</v>
      </c>
      <c r="B452" t="s">
        <v>63</v>
      </c>
      <c r="C452">
        <v>4</v>
      </c>
      <c r="D452" s="1">
        <v>35712</v>
      </c>
      <c r="E452" s="1">
        <v>35740</v>
      </c>
      <c r="F452" s="1">
        <v>35720</v>
      </c>
      <c r="G452">
        <v>1</v>
      </c>
      <c r="H452" s="2">
        <v>272.47000000000003</v>
      </c>
      <c r="I452" t="s">
        <v>64</v>
      </c>
      <c r="J452" t="s">
        <v>65</v>
      </c>
      <c r="K452" t="s">
        <v>66</v>
      </c>
      <c r="L452" t="s">
        <v>18</v>
      </c>
      <c r="M452">
        <v>8010</v>
      </c>
      <c r="N452" t="s">
        <v>67</v>
      </c>
      <c r="O452">
        <f>Orders[[#This Row],[requiredDate]]-Orders[[#This Row],[orderDate]]</f>
        <v>28</v>
      </c>
      <c r="P452">
        <f>Orders[[#This Row],[shippedDate]]-Orders[[#This Row],[orderDate]]</f>
        <v>8</v>
      </c>
      <c r="Q452">
        <f>Orders[[#This Row],[requiredDate]]-Orders[[#This Row],[shippedDate]]</f>
        <v>20</v>
      </c>
    </row>
    <row r="453" spans="1:17" x14ac:dyDescent="0.2">
      <c r="A453">
        <v>10699</v>
      </c>
      <c r="B453" t="s">
        <v>133</v>
      </c>
      <c r="C453">
        <v>3</v>
      </c>
      <c r="D453" s="1">
        <v>35712</v>
      </c>
      <c r="E453" s="1">
        <v>35740</v>
      </c>
      <c r="F453" s="1">
        <v>35716</v>
      </c>
      <c r="G453">
        <v>3</v>
      </c>
      <c r="H453" s="2">
        <v>0.57999999999999996</v>
      </c>
      <c r="I453" t="s">
        <v>134</v>
      </c>
      <c r="J453" t="s">
        <v>135</v>
      </c>
      <c r="K453" t="s">
        <v>136</v>
      </c>
      <c r="L453" t="s">
        <v>18</v>
      </c>
      <c r="M453">
        <v>4179</v>
      </c>
      <c r="N453" t="s">
        <v>24</v>
      </c>
      <c r="O453">
        <f>Orders[[#This Row],[requiredDate]]-Orders[[#This Row],[orderDate]]</f>
        <v>28</v>
      </c>
      <c r="P453">
        <f>Orders[[#This Row],[shippedDate]]-Orders[[#This Row],[orderDate]]</f>
        <v>4</v>
      </c>
      <c r="Q453">
        <f>Orders[[#This Row],[requiredDate]]-Orders[[#This Row],[shippedDate]]</f>
        <v>24</v>
      </c>
    </row>
    <row r="454" spans="1:17" x14ac:dyDescent="0.2">
      <c r="A454">
        <v>10700</v>
      </c>
      <c r="B454" t="s">
        <v>226</v>
      </c>
      <c r="C454">
        <v>3</v>
      </c>
      <c r="D454" s="1">
        <v>35713</v>
      </c>
      <c r="E454" s="1">
        <v>35741</v>
      </c>
      <c r="F454" s="1">
        <v>35719</v>
      </c>
      <c r="G454">
        <v>1</v>
      </c>
      <c r="H454" s="2">
        <v>65.099999999999994</v>
      </c>
      <c r="I454" t="s">
        <v>227</v>
      </c>
      <c r="J454" t="s">
        <v>228</v>
      </c>
      <c r="K454" t="s">
        <v>229</v>
      </c>
      <c r="L454" t="s">
        <v>230</v>
      </c>
      <c r="M454">
        <v>83720</v>
      </c>
      <c r="N454" t="s">
        <v>86</v>
      </c>
      <c r="O454">
        <f>Orders[[#This Row],[requiredDate]]-Orders[[#This Row],[orderDate]]</f>
        <v>28</v>
      </c>
      <c r="P454">
        <f>Orders[[#This Row],[shippedDate]]-Orders[[#This Row],[orderDate]]</f>
        <v>6</v>
      </c>
      <c r="Q454">
        <f>Orders[[#This Row],[requiredDate]]-Orders[[#This Row],[shippedDate]]</f>
        <v>22</v>
      </c>
    </row>
    <row r="455" spans="1:17" x14ac:dyDescent="0.2">
      <c r="A455">
        <v>10701</v>
      </c>
      <c r="B455" t="s">
        <v>179</v>
      </c>
      <c r="C455">
        <v>6</v>
      </c>
      <c r="D455" s="1">
        <v>35716</v>
      </c>
      <c r="E455" s="1">
        <v>35730</v>
      </c>
      <c r="F455" s="1">
        <v>35718</v>
      </c>
      <c r="G455">
        <v>3</v>
      </c>
      <c r="H455" s="2">
        <v>220.31</v>
      </c>
      <c r="I455" t="s">
        <v>180</v>
      </c>
      <c r="J455" t="s">
        <v>181</v>
      </c>
      <c r="K455" t="s">
        <v>182</v>
      </c>
      <c r="L455" t="s">
        <v>183</v>
      </c>
      <c r="M455" t="s">
        <v>18</v>
      </c>
      <c r="N455" t="s">
        <v>184</v>
      </c>
      <c r="O455">
        <f>Orders[[#This Row],[requiredDate]]-Orders[[#This Row],[orderDate]]</f>
        <v>14</v>
      </c>
      <c r="P455">
        <f>Orders[[#This Row],[shippedDate]]-Orders[[#This Row],[orderDate]]</f>
        <v>2</v>
      </c>
      <c r="Q455">
        <f>Orders[[#This Row],[requiredDate]]-Orders[[#This Row],[shippedDate]]</f>
        <v>12</v>
      </c>
    </row>
    <row r="456" spans="1:17" x14ac:dyDescent="0.2">
      <c r="A456">
        <v>10702</v>
      </c>
      <c r="B456" t="s">
        <v>401</v>
      </c>
      <c r="C456">
        <v>4</v>
      </c>
      <c r="D456" s="1">
        <v>35716</v>
      </c>
      <c r="E456" s="1">
        <v>35758</v>
      </c>
      <c r="F456" s="1">
        <v>35724</v>
      </c>
      <c r="G456">
        <v>1</v>
      </c>
      <c r="H456" s="2">
        <v>23.94</v>
      </c>
      <c r="I456" t="s">
        <v>408</v>
      </c>
      <c r="J456" t="s">
        <v>403</v>
      </c>
      <c r="K456" t="s">
        <v>404</v>
      </c>
      <c r="L456" t="s">
        <v>18</v>
      </c>
      <c r="M456">
        <v>12209</v>
      </c>
      <c r="N456" t="s">
        <v>24</v>
      </c>
      <c r="O456">
        <f>Orders[[#This Row],[requiredDate]]-Orders[[#This Row],[orderDate]]</f>
        <v>42</v>
      </c>
      <c r="P456">
        <f>Orders[[#This Row],[shippedDate]]-Orders[[#This Row],[orderDate]]</f>
        <v>8</v>
      </c>
      <c r="Q456">
        <f>Orders[[#This Row],[requiredDate]]-Orders[[#This Row],[shippedDate]]</f>
        <v>34</v>
      </c>
    </row>
    <row r="457" spans="1:17" x14ac:dyDescent="0.2">
      <c r="A457">
        <v>10703</v>
      </c>
      <c r="B457" t="s">
        <v>87</v>
      </c>
      <c r="C457">
        <v>6</v>
      </c>
      <c r="D457" s="1">
        <v>35717</v>
      </c>
      <c r="E457" s="1">
        <v>35745</v>
      </c>
      <c r="F457" s="1">
        <v>35723</v>
      </c>
      <c r="G457">
        <v>2</v>
      </c>
      <c r="H457" s="2">
        <v>152.30000000000001</v>
      </c>
      <c r="I457" t="s">
        <v>88</v>
      </c>
      <c r="J457" t="s">
        <v>89</v>
      </c>
      <c r="K457" t="s">
        <v>90</v>
      </c>
      <c r="L457" t="s">
        <v>18</v>
      </c>
      <c r="M457" t="s">
        <v>91</v>
      </c>
      <c r="N457" t="s">
        <v>92</v>
      </c>
      <c r="O457">
        <f>Orders[[#This Row],[requiredDate]]-Orders[[#This Row],[orderDate]]</f>
        <v>28</v>
      </c>
      <c r="P457">
        <f>Orders[[#This Row],[shippedDate]]-Orders[[#This Row],[orderDate]]</f>
        <v>6</v>
      </c>
      <c r="Q457">
        <f>Orders[[#This Row],[requiredDate]]-Orders[[#This Row],[shippedDate]]</f>
        <v>22</v>
      </c>
    </row>
    <row r="458" spans="1:17" x14ac:dyDescent="0.2">
      <c r="A458">
        <v>10704</v>
      </c>
      <c r="B458" t="s">
        <v>299</v>
      </c>
      <c r="C458">
        <v>6</v>
      </c>
      <c r="D458" s="1">
        <v>35717</v>
      </c>
      <c r="E458" s="1">
        <v>35745</v>
      </c>
      <c r="F458" s="1">
        <v>35741</v>
      </c>
      <c r="G458">
        <v>1</v>
      </c>
      <c r="H458" s="2">
        <v>4.78</v>
      </c>
      <c r="I458" t="s">
        <v>300</v>
      </c>
      <c r="J458" t="s">
        <v>301</v>
      </c>
      <c r="K458" t="s">
        <v>173</v>
      </c>
      <c r="L458" t="s">
        <v>55</v>
      </c>
      <c r="M458" t="s">
        <v>302</v>
      </c>
      <c r="N458" t="s">
        <v>31</v>
      </c>
      <c r="O458">
        <f>Orders[[#This Row],[requiredDate]]-Orders[[#This Row],[orderDate]]</f>
        <v>28</v>
      </c>
      <c r="P458">
        <f>Orders[[#This Row],[shippedDate]]-Orders[[#This Row],[orderDate]]</f>
        <v>24</v>
      </c>
      <c r="Q458">
        <f>Orders[[#This Row],[requiredDate]]-Orders[[#This Row],[shippedDate]]</f>
        <v>4</v>
      </c>
    </row>
    <row r="459" spans="1:17" x14ac:dyDescent="0.2">
      <c r="A459">
        <v>10705</v>
      </c>
      <c r="B459" t="s">
        <v>57</v>
      </c>
      <c r="C459">
        <v>9</v>
      </c>
      <c r="D459" s="1">
        <v>35718</v>
      </c>
      <c r="E459" s="1">
        <v>35746</v>
      </c>
      <c r="F459" s="1">
        <v>35752</v>
      </c>
      <c r="G459">
        <v>2</v>
      </c>
      <c r="H459" s="2">
        <v>3.52</v>
      </c>
      <c r="I459" t="s">
        <v>58</v>
      </c>
      <c r="J459" t="s">
        <v>59</v>
      </c>
      <c r="K459" t="s">
        <v>60</v>
      </c>
      <c r="L459" t="s">
        <v>61</v>
      </c>
      <c r="M459">
        <v>5022</v>
      </c>
      <c r="N459" t="s">
        <v>62</v>
      </c>
      <c r="O459">
        <f>Orders[[#This Row],[requiredDate]]-Orders[[#This Row],[orderDate]]</f>
        <v>28</v>
      </c>
      <c r="P459">
        <f>Orders[[#This Row],[shippedDate]]-Orders[[#This Row],[orderDate]]</f>
        <v>34</v>
      </c>
      <c r="Q459">
        <f>Orders[[#This Row],[requiredDate]]-Orders[[#This Row],[shippedDate]]</f>
        <v>-6</v>
      </c>
    </row>
    <row r="460" spans="1:17" x14ac:dyDescent="0.2">
      <c r="A460">
        <v>10706</v>
      </c>
      <c r="B460" t="s">
        <v>193</v>
      </c>
      <c r="C460">
        <v>8</v>
      </c>
      <c r="D460" s="1">
        <v>35719</v>
      </c>
      <c r="E460" s="1">
        <v>35747</v>
      </c>
      <c r="F460" s="1">
        <v>35724</v>
      </c>
      <c r="G460">
        <v>3</v>
      </c>
      <c r="H460" s="2">
        <v>135.63</v>
      </c>
      <c r="I460" t="s">
        <v>194</v>
      </c>
      <c r="J460" t="s">
        <v>195</v>
      </c>
      <c r="K460" t="s">
        <v>196</v>
      </c>
      <c r="L460" t="s">
        <v>197</v>
      </c>
      <c r="M460">
        <v>99508</v>
      </c>
      <c r="N460" t="s">
        <v>86</v>
      </c>
      <c r="O460">
        <f>Orders[[#This Row],[requiredDate]]-Orders[[#This Row],[orderDate]]</f>
        <v>28</v>
      </c>
      <c r="P460">
        <f>Orders[[#This Row],[shippedDate]]-Orders[[#This Row],[orderDate]]</f>
        <v>5</v>
      </c>
      <c r="Q460">
        <f>Orders[[#This Row],[requiredDate]]-Orders[[#This Row],[shippedDate]]</f>
        <v>23</v>
      </c>
    </row>
    <row r="461" spans="1:17" x14ac:dyDescent="0.2">
      <c r="A461">
        <v>10707</v>
      </c>
      <c r="B461" t="s">
        <v>270</v>
      </c>
      <c r="C461">
        <v>4</v>
      </c>
      <c r="D461" s="1">
        <v>35719</v>
      </c>
      <c r="E461" s="1">
        <v>35733</v>
      </c>
      <c r="F461" s="1">
        <v>35726</v>
      </c>
      <c r="G461">
        <v>3</v>
      </c>
      <c r="H461" s="2">
        <v>21.74</v>
      </c>
      <c r="I461" t="s">
        <v>271</v>
      </c>
      <c r="J461" t="s">
        <v>272</v>
      </c>
      <c r="K461" t="s">
        <v>273</v>
      </c>
      <c r="L461" t="s">
        <v>274</v>
      </c>
      <c r="M461" t="s">
        <v>275</v>
      </c>
      <c r="N461" t="s">
        <v>169</v>
      </c>
      <c r="O461">
        <f>Orders[[#This Row],[requiredDate]]-Orders[[#This Row],[orderDate]]</f>
        <v>14</v>
      </c>
      <c r="P461">
        <f>Orders[[#This Row],[shippedDate]]-Orders[[#This Row],[orderDate]]</f>
        <v>7</v>
      </c>
      <c r="Q461">
        <f>Orders[[#This Row],[requiredDate]]-Orders[[#This Row],[shippedDate]]</f>
        <v>7</v>
      </c>
    </row>
    <row r="462" spans="1:17" x14ac:dyDescent="0.2">
      <c r="A462">
        <v>10708</v>
      </c>
      <c r="B462" t="s">
        <v>206</v>
      </c>
      <c r="C462">
        <v>6</v>
      </c>
      <c r="D462" s="1">
        <v>35720</v>
      </c>
      <c r="E462" s="1">
        <v>35762</v>
      </c>
      <c r="F462" s="1">
        <v>35739</v>
      </c>
      <c r="G462">
        <v>2</v>
      </c>
      <c r="H462" s="2">
        <v>2.96</v>
      </c>
      <c r="I462" t="s">
        <v>207</v>
      </c>
      <c r="J462" t="s">
        <v>208</v>
      </c>
      <c r="K462" t="s">
        <v>201</v>
      </c>
      <c r="L462" t="s">
        <v>202</v>
      </c>
      <c r="M462">
        <v>97201</v>
      </c>
      <c r="N462" t="s">
        <v>86</v>
      </c>
      <c r="O462">
        <f>Orders[[#This Row],[requiredDate]]-Orders[[#This Row],[orderDate]]</f>
        <v>42</v>
      </c>
      <c r="P462">
        <f>Orders[[#This Row],[shippedDate]]-Orders[[#This Row],[orderDate]]</f>
        <v>19</v>
      </c>
      <c r="Q462">
        <f>Orders[[#This Row],[requiredDate]]-Orders[[#This Row],[shippedDate]]</f>
        <v>23</v>
      </c>
    </row>
    <row r="463" spans="1:17" x14ac:dyDescent="0.2">
      <c r="A463">
        <v>10709</v>
      </c>
      <c r="B463" t="s">
        <v>342</v>
      </c>
      <c r="C463">
        <v>1</v>
      </c>
      <c r="D463" s="1">
        <v>35720</v>
      </c>
      <c r="E463" s="1">
        <v>35748</v>
      </c>
      <c r="F463" s="1">
        <v>35754</v>
      </c>
      <c r="G463">
        <v>3</v>
      </c>
      <c r="H463" s="2">
        <v>210.8</v>
      </c>
      <c r="I463" t="s">
        <v>343</v>
      </c>
      <c r="J463" t="s">
        <v>344</v>
      </c>
      <c r="K463" t="s">
        <v>345</v>
      </c>
      <c r="L463" t="s">
        <v>55</v>
      </c>
      <c r="M463" t="s">
        <v>346</v>
      </c>
      <c r="N463" t="s">
        <v>31</v>
      </c>
      <c r="O463">
        <f>Orders[[#This Row],[requiredDate]]-Orders[[#This Row],[orderDate]]</f>
        <v>28</v>
      </c>
      <c r="P463">
        <f>Orders[[#This Row],[shippedDate]]-Orders[[#This Row],[orderDate]]</f>
        <v>34</v>
      </c>
      <c r="Q463">
        <f>Orders[[#This Row],[requiredDate]]-Orders[[#This Row],[shippedDate]]</f>
        <v>-6</v>
      </c>
    </row>
    <row r="464" spans="1:17" x14ac:dyDescent="0.2">
      <c r="A464">
        <v>10710</v>
      </c>
      <c r="B464" t="s">
        <v>338</v>
      </c>
      <c r="C464">
        <v>1</v>
      </c>
      <c r="D464" s="1">
        <v>35723</v>
      </c>
      <c r="E464" s="1">
        <v>35751</v>
      </c>
      <c r="F464" s="1">
        <v>35726</v>
      </c>
      <c r="G464">
        <v>1</v>
      </c>
      <c r="H464" s="2">
        <v>4.9800000000000004</v>
      </c>
      <c r="I464" t="s">
        <v>339</v>
      </c>
      <c r="J464" t="s">
        <v>340</v>
      </c>
      <c r="K464" t="s">
        <v>341</v>
      </c>
      <c r="L464" t="s">
        <v>18</v>
      </c>
      <c r="M464">
        <v>10100</v>
      </c>
      <c r="N464" t="s">
        <v>129</v>
      </c>
      <c r="O464">
        <f>Orders[[#This Row],[requiredDate]]-Orders[[#This Row],[orderDate]]</f>
        <v>28</v>
      </c>
      <c r="P464">
        <f>Orders[[#This Row],[shippedDate]]-Orders[[#This Row],[orderDate]]</f>
        <v>3</v>
      </c>
      <c r="Q464">
        <f>Orders[[#This Row],[requiredDate]]-Orders[[#This Row],[shippedDate]]</f>
        <v>25</v>
      </c>
    </row>
    <row r="465" spans="1:17" x14ac:dyDescent="0.2">
      <c r="A465">
        <v>10711</v>
      </c>
      <c r="B465" t="s">
        <v>226</v>
      </c>
      <c r="C465">
        <v>5</v>
      </c>
      <c r="D465" s="1">
        <v>35724</v>
      </c>
      <c r="E465" s="1">
        <v>35766</v>
      </c>
      <c r="F465" s="1">
        <v>35732</v>
      </c>
      <c r="G465">
        <v>2</v>
      </c>
      <c r="H465" s="2">
        <v>52.41</v>
      </c>
      <c r="I465" t="s">
        <v>227</v>
      </c>
      <c r="J465" t="s">
        <v>228</v>
      </c>
      <c r="K465" t="s">
        <v>229</v>
      </c>
      <c r="L465" t="s">
        <v>230</v>
      </c>
      <c r="M465">
        <v>83720</v>
      </c>
      <c r="N465" t="s">
        <v>86</v>
      </c>
      <c r="O465">
        <f>Orders[[#This Row],[requiredDate]]-Orders[[#This Row],[orderDate]]</f>
        <v>42</v>
      </c>
      <c r="P465">
        <f>Orders[[#This Row],[shippedDate]]-Orders[[#This Row],[orderDate]]</f>
        <v>8</v>
      </c>
      <c r="Q465">
        <f>Orders[[#This Row],[requiredDate]]-Orders[[#This Row],[shippedDate]]</f>
        <v>34</v>
      </c>
    </row>
    <row r="466" spans="1:17" x14ac:dyDescent="0.2">
      <c r="A466">
        <v>10712</v>
      </c>
      <c r="B466" t="s">
        <v>179</v>
      </c>
      <c r="C466">
        <v>3</v>
      </c>
      <c r="D466" s="1">
        <v>35724</v>
      </c>
      <c r="E466" s="1">
        <v>35752</v>
      </c>
      <c r="F466" s="1">
        <v>35734</v>
      </c>
      <c r="G466">
        <v>1</v>
      </c>
      <c r="H466" s="2">
        <v>89.93</v>
      </c>
      <c r="I466" t="s">
        <v>180</v>
      </c>
      <c r="J466" t="s">
        <v>181</v>
      </c>
      <c r="K466" t="s">
        <v>182</v>
      </c>
      <c r="L466" t="s">
        <v>183</v>
      </c>
      <c r="M466" t="s">
        <v>18</v>
      </c>
      <c r="N466" t="s">
        <v>184</v>
      </c>
      <c r="O466">
        <f>Orders[[#This Row],[requiredDate]]-Orders[[#This Row],[orderDate]]</f>
        <v>28</v>
      </c>
      <c r="P466">
        <f>Orders[[#This Row],[shippedDate]]-Orders[[#This Row],[orderDate]]</f>
        <v>10</v>
      </c>
      <c r="Q466">
        <f>Orders[[#This Row],[requiredDate]]-Orders[[#This Row],[shippedDate]]</f>
        <v>18</v>
      </c>
    </row>
    <row r="467" spans="1:17" x14ac:dyDescent="0.2">
      <c r="A467">
        <v>10713</v>
      </c>
      <c r="B467" t="s">
        <v>226</v>
      </c>
      <c r="C467">
        <v>1</v>
      </c>
      <c r="D467" s="1">
        <v>35725</v>
      </c>
      <c r="E467" s="1">
        <v>35753</v>
      </c>
      <c r="F467" s="1">
        <v>35727</v>
      </c>
      <c r="G467">
        <v>1</v>
      </c>
      <c r="H467" s="2">
        <v>167.05</v>
      </c>
      <c r="I467" t="s">
        <v>227</v>
      </c>
      <c r="J467" t="s">
        <v>228</v>
      </c>
      <c r="K467" t="s">
        <v>229</v>
      </c>
      <c r="L467" t="s">
        <v>230</v>
      </c>
      <c r="M467">
        <v>83720</v>
      </c>
      <c r="N467" t="s">
        <v>86</v>
      </c>
      <c r="O467">
        <f>Orders[[#This Row],[requiredDate]]-Orders[[#This Row],[orderDate]]</f>
        <v>28</v>
      </c>
      <c r="P467">
        <f>Orders[[#This Row],[shippedDate]]-Orders[[#This Row],[orderDate]]</f>
        <v>2</v>
      </c>
      <c r="Q467">
        <f>Orders[[#This Row],[requiredDate]]-Orders[[#This Row],[shippedDate]]</f>
        <v>26</v>
      </c>
    </row>
    <row r="468" spans="1:17" x14ac:dyDescent="0.2">
      <c r="A468">
        <v>10714</v>
      </c>
      <c r="B468" t="s">
        <v>226</v>
      </c>
      <c r="C468">
        <v>5</v>
      </c>
      <c r="D468" s="1">
        <v>35725</v>
      </c>
      <c r="E468" s="1">
        <v>35753</v>
      </c>
      <c r="F468" s="1">
        <v>35730</v>
      </c>
      <c r="G468">
        <v>3</v>
      </c>
      <c r="H468" s="2">
        <v>24.49</v>
      </c>
      <c r="I468" t="s">
        <v>227</v>
      </c>
      <c r="J468" t="s">
        <v>228</v>
      </c>
      <c r="K468" t="s">
        <v>229</v>
      </c>
      <c r="L468" t="s">
        <v>230</v>
      </c>
      <c r="M468">
        <v>83720</v>
      </c>
      <c r="N468" t="s">
        <v>86</v>
      </c>
      <c r="O468">
        <f>Orders[[#This Row],[requiredDate]]-Orders[[#This Row],[orderDate]]</f>
        <v>28</v>
      </c>
      <c r="P468">
        <f>Orders[[#This Row],[shippedDate]]-Orders[[#This Row],[orderDate]]</f>
        <v>5</v>
      </c>
      <c r="Q468">
        <f>Orders[[#This Row],[requiredDate]]-Orders[[#This Row],[shippedDate]]</f>
        <v>23</v>
      </c>
    </row>
    <row r="469" spans="1:17" x14ac:dyDescent="0.2">
      <c r="A469">
        <v>10715</v>
      </c>
      <c r="B469" t="s">
        <v>239</v>
      </c>
      <c r="C469">
        <v>3</v>
      </c>
      <c r="D469" s="1">
        <v>35726</v>
      </c>
      <c r="E469" s="1">
        <v>35740</v>
      </c>
      <c r="F469" s="1">
        <v>35732</v>
      </c>
      <c r="G469">
        <v>1</v>
      </c>
      <c r="H469" s="2">
        <v>63.2</v>
      </c>
      <c r="I469" t="s">
        <v>240</v>
      </c>
      <c r="J469" t="s">
        <v>241</v>
      </c>
      <c r="K469" t="s">
        <v>242</v>
      </c>
      <c r="L469" t="s">
        <v>18</v>
      </c>
      <c r="M469">
        <v>13008</v>
      </c>
      <c r="N469" t="s">
        <v>19</v>
      </c>
      <c r="O469">
        <f>Orders[[#This Row],[requiredDate]]-Orders[[#This Row],[orderDate]]</f>
        <v>14</v>
      </c>
      <c r="P469">
        <f>Orders[[#This Row],[shippedDate]]-Orders[[#This Row],[orderDate]]</f>
        <v>6</v>
      </c>
      <c r="Q469">
        <f>Orders[[#This Row],[requiredDate]]-Orders[[#This Row],[shippedDate]]</f>
        <v>8</v>
      </c>
    </row>
    <row r="470" spans="1:17" x14ac:dyDescent="0.2">
      <c r="A470">
        <v>10716</v>
      </c>
      <c r="B470" t="s">
        <v>351</v>
      </c>
      <c r="C470">
        <v>4</v>
      </c>
      <c r="D470" s="1">
        <v>35727</v>
      </c>
      <c r="E470" s="1">
        <v>35755</v>
      </c>
      <c r="F470" s="1">
        <v>35730</v>
      </c>
      <c r="G470">
        <v>2</v>
      </c>
      <c r="H470" s="2">
        <v>22.57</v>
      </c>
      <c r="I470" t="s">
        <v>352</v>
      </c>
      <c r="J470" t="s">
        <v>353</v>
      </c>
      <c r="K470" t="s">
        <v>336</v>
      </c>
      <c r="L470" t="s">
        <v>18</v>
      </c>
      <c r="M470">
        <v>1010</v>
      </c>
      <c r="N470" t="s">
        <v>337</v>
      </c>
      <c r="O470">
        <f>Orders[[#This Row],[requiredDate]]-Orders[[#This Row],[orderDate]]</f>
        <v>28</v>
      </c>
      <c r="P470">
        <f>Orders[[#This Row],[shippedDate]]-Orders[[#This Row],[orderDate]]</f>
        <v>3</v>
      </c>
      <c r="Q470">
        <f>Orders[[#This Row],[requiredDate]]-Orders[[#This Row],[shippedDate]]</f>
        <v>25</v>
      </c>
    </row>
    <row r="471" spans="1:17" x14ac:dyDescent="0.2">
      <c r="A471">
        <v>10717</v>
      </c>
      <c r="B471" t="s">
        <v>102</v>
      </c>
      <c r="C471">
        <v>1</v>
      </c>
      <c r="D471" s="1">
        <v>35727</v>
      </c>
      <c r="E471" s="1">
        <v>35755</v>
      </c>
      <c r="F471" s="1">
        <v>35732</v>
      </c>
      <c r="G471">
        <v>2</v>
      </c>
      <c r="H471" s="2">
        <v>59.25</v>
      </c>
      <c r="I471" t="s">
        <v>103</v>
      </c>
      <c r="J471" t="s">
        <v>104</v>
      </c>
      <c r="K471" t="s">
        <v>105</v>
      </c>
      <c r="L471" t="s">
        <v>18</v>
      </c>
      <c r="M471">
        <v>80805</v>
      </c>
      <c r="N471" t="s">
        <v>24</v>
      </c>
      <c r="O471">
        <f>Orders[[#This Row],[requiredDate]]-Orders[[#This Row],[orderDate]]</f>
        <v>28</v>
      </c>
      <c r="P471">
        <f>Orders[[#This Row],[shippedDate]]-Orders[[#This Row],[orderDate]]</f>
        <v>5</v>
      </c>
      <c r="Q471">
        <f>Orders[[#This Row],[requiredDate]]-Orders[[#This Row],[shippedDate]]</f>
        <v>23</v>
      </c>
    </row>
    <row r="472" spans="1:17" x14ac:dyDescent="0.2">
      <c r="A472">
        <v>10718</v>
      </c>
      <c r="B472" t="s">
        <v>222</v>
      </c>
      <c r="C472">
        <v>1</v>
      </c>
      <c r="D472" s="1">
        <v>35730</v>
      </c>
      <c r="E472" s="1">
        <v>35758</v>
      </c>
      <c r="F472" s="1">
        <v>35732</v>
      </c>
      <c r="G472">
        <v>3</v>
      </c>
      <c r="H472" s="2">
        <v>170.88</v>
      </c>
      <c r="I472" t="s">
        <v>223</v>
      </c>
      <c r="J472" t="s">
        <v>224</v>
      </c>
      <c r="K472" t="s">
        <v>225</v>
      </c>
      <c r="L472" t="s">
        <v>18</v>
      </c>
      <c r="M472">
        <v>14776</v>
      </c>
      <c r="N472" t="s">
        <v>24</v>
      </c>
      <c r="O472">
        <f>Orders[[#This Row],[requiredDate]]-Orders[[#This Row],[orderDate]]</f>
        <v>28</v>
      </c>
      <c r="P472">
        <f>Orders[[#This Row],[shippedDate]]-Orders[[#This Row],[orderDate]]</f>
        <v>2</v>
      </c>
      <c r="Q472">
        <f>Orders[[#This Row],[requiredDate]]-Orders[[#This Row],[shippedDate]]</f>
        <v>26</v>
      </c>
    </row>
    <row r="473" spans="1:17" x14ac:dyDescent="0.2">
      <c r="A473">
        <v>10719</v>
      </c>
      <c r="B473" t="s">
        <v>387</v>
      </c>
      <c r="C473">
        <v>8</v>
      </c>
      <c r="D473" s="1">
        <v>35730</v>
      </c>
      <c r="E473" s="1">
        <v>35758</v>
      </c>
      <c r="F473" s="1">
        <v>35739</v>
      </c>
      <c r="G473">
        <v>2</v>
      </c>
      <c r="H473" s="2">
        <v>51.44</v>
      </c>
      <c r="I473" t="s">
        <v>388</v>
      </c>
      <c r="J473" t="s">
        <v>389</v>
      </c>
      <c r="K473" t="s">
        <v>390</v>
      </c>
      <c r="L473" t="s">
        <v>391</v>
      </c>
      <c r="M473">
        <v>94117</v>
      </c>
      <c r="N473" t="s">
        <v>86</v>
      </c>
      <c r="O473">
        <f>Orders[[#This Row],[requiredDate]]-Orders[[#This Row],[orderDate]]</f>
        <v>28</v>
      </c>
      <c r="P473">
        <f>Orders[[#This Row],[shippedDate]]-Orders[[#This Row],[orderDate]]</f>
        <v>9</v>
      </c>
      <c r="Q473">
        <f>Orders[[#This Row],[requiredDate]]-Orders[[#This Row],[shippedDate]]</f>
        <v>19</v>
      </c>
    </row>
    <row r="474" spans="1:17" x14ac:dyDescent="0.2">
      <c r="A474">
        <v>10720</v>
      </c>
      <c r="B474" t="s">
        <v>77</v>
      </c>
      <c r="C474">
        <v>8</v>
      </c>
      <c r="D474" s="1">
        <v>35731</v>
      </c>
      <c r="E474" s="1">
        <v>35745</v>
      </c>
      <c r="F474" s="1">
        <v>35739</v>
      </c>
      <c r="G474">
        <v>2</v>
      </c>
      <c r="H474" s="2">
        <v>9.5299999999999994</v>
      </c>
      <c r="I474" t="s">
        <v>78</v>
      </c>
      <c r="J474" t="s">
        <v>79</v>
      </c>
      <c r="K474" t="s">
        <v>28</v>
      </c>
      <c r="L474" t="s">
        <v>29</v>
      </c>
      <c r="M474" t="s">
        <v>80</v>
      </c>
      <c r="N474" t="s">
        <v>31</v>
      </c>
      <c r="O474">
        <f>Orders[[#This Row],[requiredDate]]-Orders[[#This Row],[orderDate]]</f>
        <v>14</v>
      </c>
      <c r="P474">
        <f>Orders[[#This Row],[shippedDate]]-Orders[[#This Row],[orderDate]]</f>
        <v>8</v>
      </c>
      <c r="Q474">
        <f>Orders[[#This Row],[requiredDate]]-Orders[[#This Row],[shippedDate]]</f>
        <v>6</v>
      </c>
    </row>
    <row r="475" spans="1:17" x14ac:dyDescent="0.2">
      <c r="A475">
        <v>10721</v>
      </c>
      <c r="B475" t="s">
        <v>121</v>
      </c>
      <c r="C475">
        <v>5</v>
      </c>
      <c r="D475" s="1">
        <v>35732</v>
      </c>
      <c r="E475" s="1">
        <v>35760</v>
      </c>
      <c r="F475" s="1">
        <v>35734</v>
      </c>
      <c r="G475">
        <v>3</v>
      </c>
      <c r="H475" s="2">
        <v>48.92</v>
      </c>
      <c r="I475" t="s">
        <v>122</v>
      </c>
      <c r="J475" t="s">
        <v>123</v>
      </c>
      <c r="K475" t="s">
        <v>124</v>
      </c>
      <c r="L475" t="s">
        <v>18</v>
      </c>
      <c r="M475">
        <v>1307</v>
      </c>
      <c r="N475" t="s">
        <v>24</v>
      </c>
      <c r="O475">
        <f>Orders[[#This Row],[requiredDate]]-Orders[[#This Row],[orderDate]]</f>
        <v>28</v>
      </c>
      <c r="P475">
        <f>Orders[[#This Row],[shippedDate]]-Orders[[#This Row],[orderDate]]</f>
        <v>2</v>
      </c>
      <c r="Q475">
        <f>Orders[[#This Row],[requiredDate]]-Orders[[#This Row],[shippedDate]]</f>
        <v>26</v>
      </c>
    </row>
    <row r="476" spans="1:17" x14ac:dyDescent="0.2">
      <c r="A476">
        <v>10722</v>
      </c>
      <c r="B476" t="s">
        <v>226</v>
      </c>
      <c r="C476">
        <v>8</v>
      </c>
      <c r="D476" s="1">
        <v>35732</v>
      </c>
      <c r="E476" s="1">
        <v>35774</v>
      </c>
      <c r="F476" s="1">
        <v>35738</v>
      </c>
      <c r="G476">
        <v>1</v>
      </c>
      <c r="H476" s="2">
        <v>74.58</v>
      </c>
      <c r="I476" t="s">
        <v>227</v>
      </c>
      <c r="J476" t="s">
        <v>228</v>
      </c>
      <c r="K476" t="s">
        <v>229</v>
      </c>
      <c r="L476" t="s">
        <v>230</v>
      </c>
      <c r="M476">
        <v>83720</v>
      </c>
      <c r="N476" t="s">
        <v>86</v>
      </c>
      <c r="O476">
        <f>Orders[[#This Row],[requiredDate]]-Orders[[#This Row],[orderDate]]</f>
        <v>42</v>
      </c>
      <c r="P476">
        <f>Orders[[#This Row],[shippedDate]]-Orders[[#This Row],[orderDate]]</f>
        <v>6</v>
      </c>
      <c r="Q476">
        <f>Orders[[#This Row],[requiredDate]]-Orders[[#This Row],[shippedDate]]</f>
        <v>36</v>
      </c>
    </row>
    <row r="477" spans="1:17" x14ac:dyDescent="0.2">
      <c r="A477">
        <v>10723</v>
      </c>
      <c r="B477" t="s">
        <v>111</v>
      </c>
      <c r="C477">
        <v>3</v>
      </c>
      <c r="D477" s="1">
        <v>35733</v>
      </c>
      <c r="E477" s="1">
        <v>35761</v>
      </c>
      <c r="F477" s="1">
        <v>35759</v>
      </c>
      <c r="G477">
        <v>1</v>
      </c>
      <c r="H477" s="2">
        <v>21.72</v>
      </c>
      <c r="I477" t="s">
        <v>112</v>
      </c>
      <c r="J477" t="s">
        <v>113</v>
      </c>
      <c r="K477" t="s">
        <v>114</v>
      </c>
      <c r="L477" t="s">
        <v>115</v>
      </c>
      <c r="M477">
        <v>98124</v>
      </c>
      <c r="N477" t="s">
        <v>86</v>
      </c>
      <c r="O477">
        <f>Orders[[#This Row],[requiredDate]]-Orders[[#This Row],[orderDate]]</f>
        <v>28</v>
      </c>
      <c r="P477">
        <f>Orders[[#This Row],[shippedDate]]-Orders[[#This Row],[orderDate]]</f>
        <v>26</v>
      </c>
      <c r="Q477">
        <f>Orders[[#This Row],[requiredDate]]-Orders[[#This Row],[shippedDate]]</f>
        <v>2</v>
      </c>
    </row>
    <row r="478" spans="1:17" x14ac:dyDescent="0.2">
      <c r="A478">
        <v>10724</v>
      </c>
      <c r="B478" t="s">
        <v>243</v>
      </c>
      <c r="C478">
        <v>8</v>
      </c>
      <c r="D478" s="1">
        <v>35733</v>
      </c>
      <c r="E478" s="1">
        <v>35775</v>
      </c>
      <c r="F478" s="1">
        <v>35739</v>
      </c>
      <c r="G478">
        <v>2</v>
      </c>
      <c r="H478" s="2">
        <v>57.75</v>
      </c>
      <c r="I478" t="s">
        <v>244</v>
      </c>
      <c r="J478" t="s">
        <v>245</v>
      </c>
      <c r="K478" t="s">
        <v>246</v>
      </c>
      <c r="L478" t="s">
        <v>247</v>
      </c>
      <c r="M478" t="s">
        <v>248</v>
      </c>
      <c r="N478" t="s">
        <v>249</v>
      </c>
      <c r="O478">
        <f>Orders[[#This Row],[requiredDate]]-Orders[[#This Row],[orderDate]]</f>
        <v>42</v>
      </c>
      <c r="P478">
        <f>Orders[[#This Row],[shippedDate]]-Orders[[#This Row],[orderDate]]</f>
        <v>6</v>
      </c>
      <c r="Q478">
        <f>Orders[[#This Row],[requiredDate]]-Orders[[#This Row],[shippedDate]]</f>
        <v>36</v>
      </c>
    </row>
    <row r="479" spans="1:17" x14ac:dyDescent="0.2">
      <c r="A479">
        <v>10725</v>
      </c>
      <c r="B479" t="s">
        <v>258</v>
      </c>
      <c r="C479">
        <v>4</v>
      </c>
      <c r="D479" s="1">
        <v>35734</v>
      </c>
      <c r="E479" s="1">
        <v>35762</v>
      </c>
      <c r="F479" s="1">
        <v>35739</v>
      </c>
      <c r="G479">
        <v>3</v>
      </c>
      <c r="H479" s="2">
        <v>10.83</v>
      </c>
      <c r="I479" t="s">
        <v>259</v>
      </c>
      <c r="J479" t="s">
        <v>260</v>
      </c>
      <c r="K479" t="s">
        <v>173</v>
      </c>
      <c r="L479" t="s">
        <v>55</v>
      </c>
      <c r="M479" t="s">
        <v>261</v>
      </c>
      <c r="N479" t="s">
        <v>31</v>
      </c>
      <c r="O479">
        <f>Orders[[#This Row],[requiredDate]]-Orders[[#This Row],[orderDate]]</f>
        <v>28</v>
      </c>
      <c r="P479">
        <f>Orders[[#This Row],[shippedDate]]-Orders[[#This Row],[orderDate]]</f>
        <v>5</v>
      </c>
      <c r="Q479">
        <f>Orders[[#This Row],[requiredDate]]-Orders[[#This Row],[shippedDate]]</f>
        <v>23</v>
      </c>
    </row>
    <row r="480" spans="1:17" x14ac:dyDescent="0.2">
      <c r="A480">
        <v>10726</v>
      </c>
      <c r="B480" t="s">
        <v>284</v>
      </c>
      <c r="C480">
        <v>4</v>
      </c>
      <c r="D480" s="1">
        <v>35737</v>
      </c>
      <c r="E480" s="1">
        <v>35751</v>
      </c>
      <c r="F480" s="1">
        <v>35769</v>
      </c>
      <c r="G480">
        <v>1</v>
      </c>
      <c r="H480" s="2">
        <v>16.559999999999999</v>
      </c>
      <c r="I480" t="s">
        <v>285</v>
      </c>
      <c r="J480" t="s">
        <v>286</v>
      </c>
      <c r="K480" t="s">
        <v>167</v>
      </c>
      <c r="L480" t="s">
        <v>18</v>
      </c>
      <c r="M480" t="s">
        <v>287</v>
      </c>
      <c r="N480" t="s">
        <v>169</v>
      </c>
      <c r="O480">
        <f>Orders[[#This Row],[requiredDate]]-Orders[[#This Row],[orderDate]]</f>
        <v>14</v>
      </c>
      <c r="P480">
        <f>Orders[[#This Row],[shippedDate]]-Orders[[#This Row],[orderDate]]</f>
        <v>32</v>
      </c>
      <c r="Q480">
        <f>Orders[[#This Row],[requiredDate]]-Orders[[#This Row],[shippedDate]]</f>
        <v>-18</v>
      </c>
    </row>
    <row r="481" spans="1:17" x14ac:dyDescent="0.2">
      <c r="A481">
        <v>10727</v>
      </c>
      <c r="B481" t="s">
        <v>160</v>
      </c>
      <c r="C481">
        <v>2</v>
      </c>
      <c r="D481" s="1">
        <v>35737</v>
      </c>
      <c r="E481" s="1">
        <v>35765</v>
      </c>
      <c r="F481" s="1">
        <v>35769</v>
      </c>
      <c r="G481">
        <v>1</v>
      </c>
      <c r="H481" s="2">
        <v>89.9</v>
      </c>
      <c r="I481" t="s">
        <v>161</v>
      </c>
      <c r="J481" t="s">
        <v>162</v>
      </c>
      <c r="K481" t="s">
        <v>163</v>
      </c>
      <c r="L481" t="s">
        <v>18</v>
      </c>
      <c r="M481">
        <v>42100</v>
      </c>
      <c r="N481" t="s">
        <v>129</v>
      </c>
      <c r="O481">
        <f>Orders[[#This Row],[requiredDate]]-Orders[[#This Row],[orderDate]]</f>
        <v>28</v>
      </c>
      <c r="P481">
        <f>Orders[[#This Row],[shippedDate]]-Orders[[#This Row],[orderDate]]</f>
        <v>32</v>
      </c>
      <c r="Q481">
        <f>Orders[[#This Row],[requiredDate]]-Orders[[#This Row],[shippedDate]]</f>
        <v>-4</v>
      </c>
    </row>
    <row r="482" spans="1:17" x14ac:dyDescent="0.2">
      <c r="A482">
        <v>10728</v>
      </c>
      <c r="B482" t="s">
        <v>299</v>
      </c>
      <c r="C482">
        <v>4</v>
      </c>
      <c r="D482" s="1">
        <v>35738</v>
      </c>
      <c r="E482" s="1">
        <v>35766</v>
      </c>
      <c r="F482" s="1">
        <v>35745</v>
      </c>
      <c r="G482">
        <v>2</v>
      </c>
      <c r="H482" s="2">
        <v>58.33</v>
      </c>
      <c r="I482" t="s">
        <v>300</v>
      </c>
      <c r="J482" t="s">
        <v>301</v>
      </c>
      <c r="K482" t="s">
        <v>173</v>
      </c>
      <c r="L482" t="s">
        <v>55</v>
      </c>
      <c r="M482" t="s">
        <v>302</v>
      </c>
      <c r="N482" t="s">
        <v>31</v>
      </c>
      <c r="O482">
        <f>Orders[[#This Row],[requiredDate]]-Orders[[#This Row],[orderDate]]</f>
        <v>28</v>
      </c>
      <c r="P482">
        <f>Orders[[#This Row],[shippedDate]]-Orders[[#This Row],[orderDate]]</f>
        <v>7</v>
      </c>
      <c r="Q482">
        <f>Orders[[#This Row],[requiredDate]]-Orders[[#This Row],[shippedDate]]</f>
        <v>21</v>
      </c>
    </row>
    <row r="483" spans="1:17" x14ac:dyDescent="0.2">
      <c r="A483">
        <v>10729</v>
      </c>
      <c r="B483" t="s">
        <v>324</v>
      </c>
      <c r="C483">
        <v>8</v>
      </c>
      <c r="D483" s="1">
        <v>35738</v>
      </c>
      <c r="E483" s="1">
        <v>35780</v>
      </c>
      <c r="F483" s="1">
        <v>35748</v>
      </c>
      <c r="G483">
        <v>3</v>
      </c>
      <c r="H483" s="2">
        <v>141.06</v>
      </c>
      <c r="I483" t="s">
        <v>325</v>
      </c>
      <c r="J483" t="s">
        <v>326</v>
      </c>
      <c r="K483" t="s">
        <v>327</v>
      </c>
      <c r="L483" t="s">
        <v>328</v>
      </c>
      <c r="M483">
        <v>4980</v>
      </c>
      <c r="N483" t="s">
        <v>62</v>
      </c>
      <c r="O483">
        <f>Orders[[#This Row],[requiredDate]]-Orders[[#This Row],[orderDate]]</f>
        <v>42</v>
      </c>
      <c r="P483">
        <f>Orders[[#This Row],[shippedDate]]-Orders[[#This Row],[orderDate]]</f>
        <v>10</v>
      </c>
      <c r="Q483">
        <f>Orders[[#This Row],[requiredDate]]-Orders[[#This Row],[shippedDate]]</f>
        <v>32</v>
      </c>
    </row>
    <row r="484" spans="1:17" x14ac:dyDescent="0.2">
      <c r="A484">
        <v>10730</v>
      </c>
      <c r="B484" t="s">
        <v>239</v>
      </c>
      <c r="C484">
        <v>5</v>
      </c>
      <c r="D484" s="1">
        <v>35739</v>
      </c>
      <c r="E484" s="1">
        <v>35767</v>
      </c>
      <c r="F484" s="1">
        <v>35748</v>
      </c>
      <c r="G484">
        <v>1</v>
      </c>
      <c r="H484" s="2">
        <v>20.12</v>
      </c>
      <c r="I484" t="s">
        <v>240</v>
      </c>
      <c r="J484" t="s">
        <v>241</v>
      </c>
      <c r="K484" t="s">
        <v>242</v>
      </c>
      <c r="L484" t="s">
        <v>18</v>
      </c>
      <c r="M484">
        <v>13008</v>
      </c>
      <c r="N484" t="s">
        <v>19</v>
      </c>
      <c r="O484">
        <f>Orders[[#This Row],[requiredDate]]-Orders[[#This Row],[orderDate]]</f>
        <v>28</v>
      </c>
      <c r="P484">
        <f>Orders[[#This Row],[shippedDate]]-Orders[[#This Row],[orderDate]]</f>
        <v>9</v>
      </c>
      <c r="Q484">
        <f>Orders[[#This Row],[requiredDate]]-Orders[[#This Row],[shippedDate]]</f>
        <v>19</v>
      </c>
    </row>
    <row r="485" spans="1:17" x14ac:dyDescent="0.2">
      <c r="A485">
        <v>10731</v>
      </c>
      <c r="B485" t="s">
        <v>42</v>
      </c>
      <c r="C485">
        <v>7</v>
      </c>
      <c r="D485" s="1">
        <v>35740</v>
      </c>
      <c r="E485" s="1">
        <v>35768</v>
      </c>
      <c r="F485" s="1">
        <v>35748</v>
      </c>
      <c r="G485">
        <v>1</v>
      </c>
      <c r="H485" s="2">
        <v>96.65</v>
      </c>
      <c r="I485" t="s">
        <v>43</v>
      </c>
      <c r="J485" t="s">
        <v>44</v>
      </c>
      <c r="K485" t="s">
        <v>45</v>
      </c>
      <c r="L485" t="s">
        <v>18</v>
      </c>
      <c r="M485">
        <v>3012</v>
      </c>
      <c r="N485" t="s">
        <v>46</v>
      </c>
      <c r="O485">
        <f>Orders[[#This Row],[requiredDate]]-Orders[[#This Row],[orderDate]]</f>
        <v>28</v>
      </c>
      <c r="P485">
        <f>Orders[[#This Row],[shippedDate]]-Orders[[#This Row],[orderDate]]</f>
        <v>8</v>
      </c>
      <c r="Q485">
        <f>Orders[[#This Row],[requiredDate]]-Orders[[#This Row],[shippedDate]]</f>
        <v>20</v>
      </c>
    </row>
    <row r="486" spans="1:17" x14ac:dyDescent="0.2">
      <c r="A486">
        <v>10732</v>
      </c>
      <c r="B486" t="s">
        <v>239</v>
      </c>
      <c r="C486">
        <v>3</v>
      </c>
      <c r="D486" s="1">
        <v>35740</v>
      </c>
      <c r="E486" s="1">
        <v>35768</v>
      </c>
      <c r="F486" s="1">
        <v>35741</v>
      </c>
      <c r="G486">
        <v>1</v>
      </c>
      <c r="H486" s="2">
        <v>16.97</v>
      </c>
      <c r="I486" t="s">
        <v>240</v>
      </c>
      <c r="J486" t="s">
        <v>241</v>
      </c>
      <c r="K486" t="s">
        <v>242</v>
      </c>
      <c r="L486" t="s">
        <v>18</v>
      </c>
      <c r="M486">
        <v>13008</v>
      </c>
      <c r="N486" t="s">
        <v>19</v>
      </c>
      <c r="O486">
        <f>Orders[[#This Row],[requiredDate]]-Orders[[#This Row],[orderDate]]</f>
        <v>28</v>
      </c>
      <c r="P486">
        <f>Orders[[#This Row],[shippedDate]]-Orders[[#This Row],[orderDate]]</f>
        <v>1</v>
      </c>
      <c r="Q486">
        <f>Orders[[#This Row],[requiredDate]]-Orders[[#This Row],[shippedDate]]</f>
        <v>27</v>
      </c>
    </row>
    <row r="487" spans="1:17" x14ac:dyDescent="0.2">
      <c r="A487">
        <v>10733</v>
      </c>
      <c r="B487" t="s">
        <v>137</v>
      </c>
      <c r="C487">
        <v>1</v>
      </c>
      <c r="D487" s="1">
        <v>35741</v>
      </c>
      <c r="E487" s="1">
        <v>35769</v>
      </c>
      <c r="F487" s="1">
        <v>35744</v>
      </c>
      <c r="G487">
        <v>3</v>
      </c>
      <c r="H487" s="2">
        <v>110.11</v>
      </c>
      <c r="I487" t="s">
        <v>138</v>
      </c>
      <c r="J487" t="s">
        <v>139</v>
      </c>
      <c r="K487" t="s">
        <v>140</v>
      </c>
      <c r="L487" t="s">
        <v>18</v>
      </c>
      <c r="M487" t="s">
        <v>141</v>
      </c>
      <c r="N487" t="s">
        <v>92</v>
      </c>
      <c r="O487">
        <f>Orders[[#This Row],[requiredDate]]-Orders[[#This Row],[orderDate]]</f>
        <v>28</v>
      </c>
      <c r="P487">
        <f>Orders[[#This Row],[shippedDate]]-Orders[[#This Row],[orderDate]]</f>
        <v>3</v>
      </c>
      <c r="Q487">
        <f>Orders[[#This Row],[requiredDate]]-Orders[[#This Row],[shippedDate]]</f>
        <v>25</v>
      </c>
    </row>
    <row r="488" spans="1:17" x14ac:dyDescent="0.2">
      <c r="A488">
        <v>10734</v>
      </c>
      <c r="B488" t="s">
        <v>342</v>
      </c>
      <c r="C488">
        <v>2</v>
      </c>
      <c r="D488" s="1">
        <v>35741</v>
      </c>
      <c r="E488" s="1">
        <v>35769</v>
      </c>
      <c r="F488" s="1">
        <v>35746</v>
      </c>
      <c r="G488">
        <v>3</v>
      </c>
      <c r="H488" s="2">
        <v>1.63</v>
      </c>
      <c r="I488" t="s">
        <v>343</v>
      </c>
      <c r="J488" t="s">
        <v>344</v>
      </c>
      <c r="K488" t="s">
        <v>345</v>
      </c>
      <c r="L488" t="s">
        <v>55</v>
      </c>
      <c r="M488" t="s">
        <v>346</v>
      </c>
      <c r="N488" t="s">
        <v>31</v>
      </c>
      <c r="O488">
        <f>Orders[[#This Row],[requiredDate]]-Orders[[#This Row],[orderDate]]</f>
        <v>28</v>
      </c>
      <c r="P488">
        <f>Orders[[#This Row],[shippedDate]]-Orders[[#This Row],[orderDate]]</f>
        <v>5</v>
      </c>
      <c r="Q488">
        <f>Orders[[#This Row],[requiredDate]]-Orders[[#This Row],[shippedDate]]</f>
        <v>23</v>
      </c>
    </row>
    <row r="489" spans="1:17" x14ac:dyDescent="0.2">
      <c r="A489">
        <v>10735</v>
      </c>
      <c r="B489" t="s">
        <v>387</v>
      </c>
      <c r="C489">
        <v>6</v>
      </c>
      <c r="D489" s="1">
        <v>35744</v>
      </c>
      <c r="E489" s="1">
        <v>35772</v>
      </c>
      <c r="F489" s="1">
        <v>35755</v>
      </c>
      <c r="G489">
        <v>2</v>
      </c>
      <c r="H489" s="2">
        <v>45.97</v>
      </c>
      <c r="I489" t="s">
        <v>388</v>
      </c>
      <c r="J489" t="s">
        <v>389</v>
      </c>
      <c r="K489" t="s">
        <v>390</v>
      </c>
      <c r="L489" t="s">
        <v>391</v>
      </c>
      <c r="M489">
        <v>94117</v>
      </c>
      <c r="N489" t="s">
        <v>86</v>
      </c>
      <c r="O489">
        <f>Orders[[#This Row],[requiredDate]]-Orders[[#This Row],[orderDate]]</f>
        <v>28</v>
      </c>
      <c r="P489">
        <f>Orders[[#This Row],[shippedDate]]-Orders[[#This Row],[orderDate]]</f>
        <v>11</v>
      </c>
      <c r="Q489">
        <f>Orders[[#This Row],[requiredDate]]-Orders[[#This Row],[shippedDate]]</f>
        <v>17</v>
      </c>
    </row>
    <row r="490" spans="1:17" x14ac:dyDescent="0.2">
      <c r="A490">
        <v>10736</v>
      </c>
      <c r="B490" t="s">
        <v>179</v>
      </c>
      <c r="C490">
        <v>9</v>
      </c>
      <c r="D490" s="1">
        <v>35745</v>
      </c>
      <c r="E490" s="1">
        <v>35773</v>
      </c>
      <c r="F490" s="1">
        <v>35755</v>
      </c>
      <c r="G490">
        <v>2</v>
      </c>
      <c r="H490" s="2">
        <v>44.1</v>
      </c>
      <c r="I490" t="s">
        <v>180</v>
      </c>
      <c r="J490" t="s">
        <v>181</v>
      </c>
      <c r="K490" t="s">
        <v>182</v>
      </c>
      <c r="L490" t="s">
        <v>183</v>
      </c>
      <c r="M490" t="s">
        <v>18</v>
      </c>
      <c r="N490" t="s">
        <v>184</v>
      </c>
      <c r="O490">
        <f>Orders[[#This Row],[requiredDate]]-Orders[[#This Row],[orderDate]]</f>
        <v>28</v>
      </c>
      <c r="P490">
        <f>Orders[[#This Row],[shippedDate]]-Orders[[#This Row],[orderDate]]</f>
        <v>10</v>
      </c>
      <c r="Q490">
        <f>Orders[[#This Row],[requiredDate]]-Orders[[#This Row],[shippedDate]]</f>
        <v>18</v>
      </c>
    </row>
    <row r="491" spans="1:17" x14ac:dyDescent="0.2">
      <c r="A491">
        <v>10737</v>
      </c>
      <c r="B491" t="s">
        <v>14</v>
      </c>
      <c r="C491">
        <v>2</v>
      </c>
      <c r="D491" s="1">
        <v>35745</v>
      </c>
      <c r="E491" s="1">
        <v>35773</v>
      </c>
      <c r="F491" s="1">
        <v>35752</v>
      </c>
      <c r="G491">
        <v>2</v>
      </c>
      <c r="H491" s="2">
        <v>7.79</v>
      </c>
      <c r="I491" t="s">
        <v>15</v>
      </c>
      <c r="J491" t="s">
        <v>16</v>
      </c>
      <c r="K491" t="s">
        <v>17</v>
      </c>
      <c r="L491" t="s">
        <v>18</v>
      </c>
      <c r="M491">
        <v>51100</v>
      </c>
      <c r="N491" t="s">
        <v>19</v>
      </c>
      <c r="O491">
        <f>Orders[[#This Row],[requiredDate]]-Orders[[#This Row],[orderDate]]</f>
        <v>28</v>
      </c>
      <c r="P491">
        <f>Orders[[#This Row],[shippedDate]]-Orders[[#This Row],[orderDate]]</f>
        <v>7</v>
      </c>
      <c r="Q491">
        <f>Orders[[#This Row],[requiredDate]]-Orders[[#This Row],[shippedDate]]</f>
        <v>21</v>
      </c>
    </row>
    <row r="492" spans="1:17" x14ac:dyDescent="0.2">
      <c r="A492">
        <v>10738</v>
      </c>
      <c r="B492" t="s">
        <v>409</v>
      </c>
      <c r="C492">
        <v>2</v>
      </c>
      <c r="D492" s="1">
        <v>35746</v>
      </c>
      <c r="E492" s="1">
        <v>35774</v>
      </c>
      <c r="F492" s="1">
        <v>35752</v>
      </c>
      <c r="G492">
        <v>1</v>
      </c>
      <c r="H492" s="2">
        <v>2.91</v>
      </c>
      <c r="I492" t="s">
        <v>410</v>
      </c>
      <c r="J492" t="s">
        <v>411</v>
      </c>
      <c r="K492" t="s">
        <v>412</v>
      </c>
      <c r="L492" t="s">
        <v>18</v>
      </c>
      <c r="M492">
        <v>75016</v>
      </c>
      <c r="N492" t="s">
        <v>19</v>
      </c>
      <c r="O492">
        <f>Orders[[#This Row],[requiredDate]]-Orders[[#This Row],[orderDate]]</f>
        <v>28</v>
      </c>
      <c r="P492">
        <f>Orders[[#This Row],[shippedDate]]-Orders[[#This Row],[orderDate]]</f>
        <v>6</v>
      </c>
      <c r="Q492">
        <f>Orders[[#This Row],[requiredDate]]-Orders[[#This Row],[shippedDate]]</f>
        <v>22</v>
      </c>
    </row>
    <row r="493" spans="1:17" x14ac:dyDescent="0.2">
      <c r="A493">
        <v>10739</v>
      </c>
      <c r="B493" t="s">
        <v>14</v>
      </c>
      <c r="C493">
        <v>3</v>
      </c>
      <c r="D493" s="1">
        <v>35746</v>
      </c>
      <c r="E493" s="1">
        <v>35774</v>
      </c>
      <c r="F493" s="1">
        <v>35751</v>
      </c>
      <c r="G493">
        <v>3</v>
      </c>
      <c r="H493" s="2">
        <v>11.08</v>
      </c>
      <c r="I493" t="s">
        <v>15</v>
      </c>
      <c r="J493" t="s">
        <v>16</v>
      </c>
      <c r="K493" t="s">
        <v>17</v>
      </c>
      <c r="L493" t="s">
        <v>18</v>
      </c>
      <c r="M493">
        <v>51100</v>
      </c>
      <c r="N493" t="s">
        <v>19</v>
      </c>
      <c r="O493">
        <f>Orders[[#This Row],[requiredDate]]-Orders[[#This Row],[orderDate]]</f>
        <v>28</v>
      </c>
      <c r="P493">
        <f>Orders[[#This Row],[shippedDate]]-Orders[[#This Row],[orderDate]]</f>
        <v>5</v>
      </c>
      <c r="Q493">
        <f>Orders[[#This Row],[requiredDate]]-Orders[[#This Row],[shippedDate]]</f>
        <v>23</v>
      </c>
    </row>
    <row r="494" spans="1:17" x14ac:dyDescent="0.2">
      <c r="A494">
        <v>10740</v>
      </c>
      <c r="B494" t="s">
        <v>111</v>
      </c>
      <c r="C494">
        <v>4</v>
      </c>
      <c r="D494" s="1">
        <v>35747</v>
      </c>
      <c r="E494" s="1">
        <v>35775</v>
      </c>
      <c r="F494" s="1">
        <v>35759</v>
      </c>
      <c r="G494">
        <v>2</v>
      </c>
      <c r="H494" s="2">
        <v>81.88</v>
      </c>
      <c r="I494" t="s">
        <v>112</v>
      </c>
      <c r="J494" t="s">
        <v>113</v>
      </c>
      <c r="K494" t="s">
        <v>114</v>
      </c>
      <c r="L494" t="s">
        <v>115</v>
      </c>
      <c r="M494">
        <v>98124</v>
      </c>
      <c r="N494" t="s">
        <v>86</v>
      </c>
      <c r="O494">
        <f>Orders[[#This Row],[requiredDate]]-Orders[[#This Row],[orderDate]]</f>
        <v>28</v>
      </c>
      <c r="P494">
        <f>Orders[[#This Row],[shippedDate]]-Orders[[#This Row],[orderDate]]</f>
        <v>12</v>
      </c>
      <c r="Q494">
        <f>Orders[[#This Row],[requiredDate]]-Orders[[#This Row],[shippedDate]]</f>
        <v>16</v>
      </c>
    </row>
    <row r="495" spans="1:17" x14ac:dyDescent="0.2">
      <c r="A495">
        <v>10741</v>
      </c>
      <c r="B495" t="s">
        <v>270</v>
      </c>
      <c r="C495">
        <v>4</v>
      </c>
      <c r="D495" s="1">
        <v>35748</v>
      </c>
      <c r="E495" s="1">
        <v>35762</v>
      </c>
      <c r="F495" s="1">
        <v>35752</v>
      </c>
      <c r="G495">
        <v>3</v>
      </c>
      <c r="H495" s="2">
        <v>10.96</v>
      </c>
      <c r="I495" t="s">
        <v>271</v>
      </c>
      <c r="J495" t="s">
        <v>272</v>
      </c>
      <c r="K495" t="s">
        <v>273</v>
      </c>
      <c r="L495" t="s">
        <v>274</v>
      </c>
      <c r="M495" t="s">
        <v>275</v>
      </c>
      <c r="N495" t="s">
        <v>169</v>
      </c>
      <c r="O495">
        <f>Orders[[#This Row],[requiredDate]]-Orders[[#This Row],[orderDate]]</f>
        <v>14</v>
      </c>
      <c r="P495">
        <f>Orders[[#This Row],[shippedDate]]-Orders[[#This Row],[orderDate]]</f>
        <v>4</v>
      </c>
      <c r="Q495">
        <f>Orders[[#This Row],[requiredDate]]-Orders[[#This Row],[shippedDate]]</f>
        <v>10</v>
      </c>
    </row>
    <row r="496" spans="1:17" x14ac:dyDescent="0.2">
      <c r="A496">
        <v>10742</v>
      </c>
      <c r="B496" t="s">
        <v>318</v>
      </c>
      <c r="C496">
        <v>3</v>
      </c>
      <c r="D496" s="1">
        <v>35748</v>
      </c>
      <c r="E496" s="1">
        <v>35776</v>
      </c>
      <c r="F496" s="1">
        <v>35752</v>
      </c>
      <c r="G496">
        <v>3</v>
      </c>
      <c r="H496" s="2">
        <v>243.73</v>
      </c>
      <c r="I496" t="s">
        <v>319</v>
      </c>
      <c r="J496" t="s">
        <v>320</v>
      </c>
      <c r="K496" t="s">
        <v>321</v>
      </c>
      <c r="L496" t="s">
        <v>322</v>
      </c>
      <c r="M496" t="s">
        <v>323</v>
      </c>
      <c r="N496" t="s">
        <v>249</v>
      </c>
      <c r="O496">
        <f>Orders[[#This Row],[requiredDate]]-Orders[[#This Row],[orderDate]]</f>
        <v>28</v>
      </c>
      <c r="P496">
        <f>Orders[[#This Row],[shippedDate]]-Orders[[#This Row],[orderDate]]</f>
        <v>4</v>
      </c>
      <c r="Q496">
        <f>Orders[[#This Row],[requiredDate]]-Orders[[#This Row],[shippedDate]]</f>
        <v>24</v>
      </c>
    </row>
    <row r="497" spans="1:17" x14ac:dyDescent="0.2">
      <c r="A497">
        <v>10743</v>
      </c>
      <c r="B497" t="s">
        <v>270</v>
      </c>
      <c r="C497">
        <v>1</v>
      </c>
      <c r="D497" s="1">
        <v>35751</v>
      </c>
      <c r="E497" s="1">
        <v>35779</v>
      </c>
      <c r="F497" s="1">
        <v>35755</v>
      </c>
      <c r="G497">
        <v>2</v>
      </c>
      <c r="H497" s="2">
        <v>23.72</v>
      </c>
      <c r="I497" t="s">
        <v>271</v>
      </c>
      <c r="J497" t="s">
        <v>272</v>
      </c>
      <c r="K497" t="s">
        <v>273</v>
      </c>
      <c r="L497" t="s">
        <v>274</v>
      </c>
      <c r="M497" t="s">
        <v>275</v>
      </c>
      <c r="N497" t="s">
        <v>169</v>
      </c>
      <c r="O497">
        <f>Orders[[#This Row],[requiredDate]]-Orders[[#This Row],[orderDate]]</f>
        <v>28</v>
      </c>
      <c r="P497">
        <f>Orders[[#This Row],[shippedDate]]-Orders[[#This Row],[orderDate]]</f>
        <v>4</v>
      </c>
      <c r="Q497">
        <f>Orders[[#This Row],[requiredDate]]-Orders[[#This Row],[shippedDate]]</f>
        <v>24</v>
      </c>
    </row>
    <row r="498" spans="1:17" x14ac:dyDescent="0.2">
      <c r="A498">
        <v>10744</v>
      </c>
      <c r="B498" t="s">
        <v>295</v>
      </c>
      <c r="C498">
        <v>6</v>
      </c>
      <c r="D498" s="1">
        <v>35751</v>
      </c>
      <c r="E498" s="1">
        <v>35779</v>
      </c>
      <c r="F498" s="1">
        <v>35758</v>
      </c>
      <c r="G498">
        <v>1</v>
      </c>
      <c r="H498" s="2">
        <v>69.19</v>
      </c>
      <c r="I498" t="s">
        <v>296</v>
      </c>
      <c r="J498" t="s">
        <v>297</v>
      </c>
      <c r="K498" t="s">
        <v>298</v>
      </c>
      <c r="L498" t="s">
        <v>18</v>
      </c>
      <c r="M498">
        <v>8200</v>
      </c>
      <c r="N498" t="s">
        <v>257</v>
      </c>
      <c r="O498">
        <f>Orders[[#This Row],[requiredDate]]-Orders[[#This Row],[orderDate]]</f>
        <v>28</v>
      </c>
      <c r="P498">
        <f>Orders[[#This Row],[shippedDate]]-Orders[[#This Row],[orderDate]]</f>
        <v>7</v>
      </c>
      <c r="Q498">
        <f>Orders[[#This Row],[requiredDate]]-Orders[[#This Row],[shippedDate]]</f>
        <v>21</v>
      </c>
    </row>
    <row r="499" spans="1:17" x14ac:dyDescent="0.2">
      <c r="A499">
        <v>10745</v>
      </c>
      <c r="B499" t="s">
        <v>121</v>
      </c>
      <c r="C499">
        <v>9</v>
      </c>
      <c r="D499" s="1">
        <v>35752</v>
      </c>
      <c r="E499" s="1">
        <v>35780</v>
      </c>
      <c r="F499" s="1">
        <v>35761</v>
      </c>
      <c r="G499">
        <v>1</v>
      </c>
      <c r="H499" s="2">
        <v>3.52</v>
      </c>
      <c r="I499" t="s">
        <v>122</v>
      </c>
      <c r="J499" t="s">
        <v>123</v>
      </c>
      <c r="K499" t="s">
        <v>124</v>
      </c>
      <c r="L499" t="s">
        <v>18</v>
      </c>
      <c r="M499">
        <v>1307</v>
      </c>
      <c r="N499" t="s">
        <v>24</v>
      </c>
      <c r="O499">
        <f>Orders[[#This Row],[requiredDate]]-Orders[[#This Row],[orderDate]]</f>
        <v>28</v>
      </c>
      <c r="P499">
        <f>Orders[[#This Row],[shippedDate]]-Orders[[#This Row],[orderDate]]</f>
        <v>9</v>
      </c>
      <c r="Q499">
        <f>Orders[[#This Row],[requiredDate]]-Orders[[#This Row],[shippedDate]]</f>
        <v>19</v>
      </c>
    </row>
    <row r="500" spans="1:17" x14ac:dyDescent="0.2">
      <c r="A500">
        <v>10746</v>
      </c>
      <c r="B500" t="s">
        <v>42</v>
      </c>
      <c r="C500">
        <v>1</v>
      </c>
      <c r="D500" s="1">
        <v>35753</v>
      </c>
      <c r="E500" s="1">
        <v>35781</v>
      </c>
      <c r="F500" s="1">
        <v>35755</v>
      </c>
      <c r="G500">
        <v>3</v>
      </c>
      <c r="H500" s="2">
        <v>31.43</v>
      </c>
      <c r="I500" t="s">
        <v>43</v>
      </c>
      <c r="J500" t="s">
        <v>44</v>
      </c>
      <c r="K500" t="s">
        <v>45</v>
      </c>
      <c r="L500" t="s">
        <v>18</v>
      </c>
      <c r="M500">
        <v>3012</v>
      </c>
      <c r="N500" t="s">
        <v>46</v>
      </c>
      <c r="O500">
        <f>Orders[[#This Row],[requiredDate]]-Orders[[#This Row],[orderDate]]</f>
        <v>28</v>
      </c>
      <c r="P500">
        <f>Orders[[#This Row],[shippedDate]]-Orders[[#This Row],[orderDate]]</f>
        <v>2</v>
      </c>
      <c r="Q500">
        <f>Orders[[#This Row],[requiredDate]]-Orders[[#This Row],[shippedDate]]</f>
        <v>26</v>
      </c>
    </row>
    <row r="501" spans="1:17" x14ac:dyDescent="0.2">
      <c r="A501">
        <v>10747</v>
      </c>
      <c r="B501" t="s">
        <v>266</v>
      </c>
      <c r="C501">
        <v>6</v>
      </c>
      <c r="D501" s="1">
        <v>35753</v>
      </c>
      <c r="E501" s="1">
        <v>35781</v>
      </c>
      <c r="F501" s="1">
        <v>35760</v>
      </c>
      <c r="G501">
        <v>1</v>
      </c>
      <c r="H501" s="2">
        <v>117.33</v>
      </c>
      <c r="I501" t="s">
        <v>267</v>
      </c>
      <c r="J501" t="s">
        <v>268</v>
      </c>
      <c r="K501" t="s">
        <v>269</v>
      </c>
      <c r="L501" t="s">
        <v>18</v>
      </c>
      <c r="M501">
        <v>5020</v>
      </c>
      <c r="N501" t="s">
        <v>67</v>
      </c>
      <c r="O501">
        <f>Orders[[#This Row],[requiredDate]]-Orders[[#This Row],[orderDate]]</f>
        <v>28</v>
      </c>
      <c r="P501">
        <f>Orders[[#This Row],[shippedDate]]-Orders[[#This Row],[orderDate]]</f>
        <v>7</v>
      </c>
      <c r="Q501">
        <f>Orders[[#This Row],[requiredDate]]-Orders[[#This Row],[shippedDate]]</f>
        <v>21</v>
      </c>
    </row>
    <row r="502" spans="1:17" x14ac:dyDescent="0.2">
      <c r="A502">
        <v>10748</v>
      </c>
      <c r="B502" t="s">
        <v>226</v>
      </c>
      <c r="C502">
        <v>3</v>
      </c>
      <c r="D502" s="1">
        <v>35754</v>
      </c>
      <c r="E502" s="1">
        <v>35782</v>
      </c>
      <c r="F502" s="1">
        <v>35762</v>
      </c>
      <c r="G502">
        <v>1</v>
      </c>
      <c r="H502" s="2">
        <v>232.55</v>
      </c>
      <c r="I502" t="s">
        <v>227</v>
      </c>
      <c r="J502" t="s">
        <v>228</v>
      </c>
      <c r="K502" t="s">
        <v>229</v>
      </c>
      <c r="L502" t="s">
        <v>230</v>
      </c>
      <c r="M502">
        <v>83720</v>
      </c>
      <c r="N502" t="s">
        <v>86</v>
      </c>
      <c r="O502">
        <f>Orders[[#This Row],[requiredDate]]-Orders[[#This Row],[orderDate]]</f>
        <v>28</v>
      </c>
      <c r="P502">
        <f>Orders[[#This Row],[shippedDate]]-Orders[[#This Row],[orderDate]]</f>
        <v>8</v>
      </c>
      <c r="Q502">
        <f>Orders[[#This Row],[requiredDate]]-Orders[[#This Row],[shippedDate]]</f>
        <v>20</v>
      </c>
    </row>
    <row r="503" spans="1:17" x14ac:dyDescent="0.2">
      <c r="A503">
        <v>10749</v>
      </c>
      <c r="B503" t="s">
        <v>213</v>
      </c>
      <c r="C503">
        <v>4</v>
      </c>
      <c r="D503" s="1">
        <v>35754</v>
      </c>
      <c r="E503" s="1">
        <v>35782</v>
      </c>
      <c r="F503" s="1">
        <v>35783</v>
      </c>
      <c r="G503">
        <v>2</v>
      </c>
      <c r="H503" s="2">
        <v>61.53</v>
      </c>
      <c r="I503" t="s">
        <v>214</v>
      </c>
      <c r="J503" t="s">
        <v>215</v>
      </c>
      <c r="K503" t="s">
        <v>216</v>
      </c>
      <c r="L503" t="s">
        <v>217</v>
      </c>
      <c r="M503" t="s">
        <v>218</v>
      </c>
      <c r="N503" t="s">
        <v>169</v>
      </c>
      <c r="O503">
        <f>Orders[[#This Row],[requiredDate]]-Orders[[#This Row],[orderDate]]</f>
        <v>28</v>
      </c>
      <c r="P503">
        <f>Orders[[#This Row],[shippedDate]]-Orders[[#This Row],[orderDate]]</f>
        <v>29</v>
      </c>
      <c r="Q503">
        <f>Orders[[#This Row],[requiredDate]]-Orders[[#This Row],[shippedDate]]</f>
        <v>-1</v>
      </c>
    </row>
    <row r="504" spans="1:17" x14ac:dyDescent="0.2">
      <c r="A504">
        <v>10750</v>
      </c>
      <c r="B504" t="s">
        <v>97</v>
      </c>
      <c r="C504">
        <v>9</v>
      </c>
      <c r="D504" s="1">
        <v>35755</v>
      </c>
      <c r="E504" s="1">
        <v>35783</v>
      </c>
      <c r="F504" s="1">
        <v>35758</v>
      </c>
      <c r="G504">
        <v>1</v>
      </c>
      <c r="H504" s="2">
        <v>79.3</v>
      </c>
      <c r="I504" t="s">
        <v>98</v>
      </c>
      <c r="J504" t="s">
        <v>99</v>
      </c>
      <c r="K504" t="s">
        <v>100</v>
      </c>
      <c r="L504" t="s">
        <v>18</v>
      </c>
      <c r="M504">
        <v>90110</v>
      </c>
      <c r="N504" t="s">
        <v>101</v>
      </c>
      <c r="O504">
        <f>Orders[[#This Row],[requiredDate]]-Orders[[#This Row],[orderDate]]</f>
        <v>28</v>
      </c>
      <c r="P504">
        <f>Orders[[#This Row],[shippedDate]]-Orders[[#This Row],[orderDate]]</f>
        <v>3</v>
      </c>
      <c r="Q504">
        <f>Orders[[#This Row],[requiredDate]]-Orders[[#This Row],[shippedDate]]</f>
        <v>25</v>
      </c>
    </row>
    <row r="505" spans="1:17" x14ac:dyDescent="0.2">
      <c r="A505">
        <v>10751</v>
      </c>
      <c r="B505" t="s">
        <v>47</v>
      </c>
      <c r="C505">
        <v>3</v>
      </c>
      <c r="D505" s="1">
        <v>35758</v>
      </c>
      <c r="E505" s="1">
        <v>35786</v>
      </c>
      <c r="F505" s="1">
        <v>35767</v>
      </c>
      <c r="G505">
        <v>3</v>
      </c>
      <c r="H505" s="2">
        <v>130.79</v>
      </c>
      <c r="I505" t="s">
        <v>48</v>
      </c>
      <c r="J505" t="s">
        <v>49</v>
      </c>
      <c r="K505" t="s">
        <v>50</v>
      </c>
      <c r="L505" t="s">
        <v>18</v>
      </c>
      <c r="M505">
        <v>1204</v>
      </c>
      <c r="N505" t="s">
        <v>46</v>
      </c>
      <c r="O505">
        <f>Orders[[#This Row],[requiredDate]]-Orders[[#This Row],[orderDate]]</f>
        <v>28</v>
      </c>
      <c r="P505">
        <f>Orders[[#This Row],[shippedDate]]-Orders[[#This Row],[orderDate]]</f>
        <v>9</v>
      </c>
      <c r="Q505">
        <f>Orders[[#This Row],[requiredDate]]-Orders[[#This Row],[shippedDate]]</f>
        <v>19</v>
      </c>
    </row>
    <row r="506" spans="1:17" x14ac:dyDescent="0.2">
      <c r="A506">
        <v>10752</v>
      </c>
      <c r="B506" t="s">
        <v>367</v>
      </c>
      <c r="C506">
        <v>2</v>
      </c>
      <c r="D506" s="1">
        <v>35758</v>
      </c>
      <c r="E506" s="1">
        <v>35786</v>
      </c>
      <c r="F506" s="1">
        <v>35762</v>
      </c>
      <c r="G506">
        <v>3</v>
      </c>
      <c r="H506" s="2">
        <v>1.39</v>
      </c>
      <c r="I506" t="s">
        <v>368</v>
      </c>
      <c r="J506" t="s">
        <v>369</v>
      </c>
      <c r="K506" t="s">
        <v>167</v>
      </c>
      <c r="L506" t="s">
        <v>18</v>
      </c>
      <c r="M506" t="s">
        <v>370</v>
      </c>
      <c r="N506" t="s">
        <v>169</v>
      </c>
      <c r="O506">
        <f>Orders[[#This Row],[requiredDate]]-Orders[[#This Row],[orderDate]]</f>
        <v>28</v>
      </c>
      <c r="P506">
        <f>Orders[[#This Row],[shippedDate]]-Orders[[#This Row],[orderDate]]</f>
        <v>4</v>
      </c>
      <c r="Q506">
        <f>Orders[[#This Row],[requiredDate]]-Orders[[#This Row],[shippedDate]]</f>
        <v>24</v>
      </c>
    </row>
    <row r="507" spans="1:17" x14ac:dyDescent="0.2">
      <c r="A507">
        <v>10753</v>
      </c>
      <c r="B507" t="s">
        <v>338</v>
      </c>
      <c r="C507">
        <v>3</v>
      </c>
      <c r="D507" s="1">
        <v>35759</v>
      </c>
      <c r="E507" s="1">
        <v>35787</v>
      </c>
      <c r="F507" s="1">
        <v>35761</v>
      </c>
      <c r="G507">
        <v>1</v>
      </c>
      <c r="H507" s="2">
        <v>7.7</v>
      </c>
      <c r="I507" t="s">
        <v>339</v>
      </c>
      <c r="J507" t="s">
        <v>340</v>
      </c>
      <c r="K507" t="s">
        <v>341</v>
      </c>
      <c r="L507" t="s">
        <v>18</v>
      </c>
      <c r="M507">
        <v>10100</v>
      </c>
      <c r="N507" t="s">
        <v>129</v>
      </c>
      <c r="O507">
        <f>Orders[[#This Row],[requiredDate]]-Orders[[#This Row],[orderDate]]</f>
        <v>28</v>
      </c>
      <c r="P507">
        <f>Orders[[#This Row],[shippedDate]]-Orders[[#This Row],[orderDate]]</f>
        <v>2</v>
      </c>
      <c r="Q507">
        <f>Orders[[#This Row],[requiredDate]]-Orders[[#This Row],[shippedDate]]</f>
        <v>26</v>
      </c>
    </row>
    <row r="508" spans="1:17" x14ac:dyDescent="0.2">
      <c r="A508">
        <v>10754</v>
      </c>
      <c r="B508" t="s">
        <v>125</v>
      </c>
      <c r="C508">
        <v>6</v>
      </c>
      <c r="D508" s="1">
        <v>35759</v>
      </c>
      <c r="E508" s="1">
        <v>35787</v>
      </c>
      <c r="F508" s="1">
        <v>35761</v>
      </c>
      <c r="G508">
        <v>3</v>
      </c>
      <c r="H508" s="2">
        <v>2.38</v>
      </c>
      <c r="I508" t="s">
        <v>126</v>
      </c>
      <c r="J508" t="s">
        <v>127</v>
      </c>
      <c r="K508" t="s">
        <v>128</v>
      </c>
      <c r="L508" t="s">
        <v>18</v>
      </c>
      <c r="M508">
        <v>24100</v>
      </c>
      <c r="N508" t="s">
        <v>129</v>
      </c>
      <c r="O508">
        <f>Orders[[#This Row],[requiredDate]]-Orders[[#This Row],[orderDate]]</f>
        <v>28</v>
      </c>
      <c r="P508">
        <f>Orders[[#This Row],[shippedDate]]-Orders[[#This Row],[orderDate]]</f>
        <v>2</v>
      </c>
      <c r="Q508">
        <f>Orders[[#This Row],[requiredDate]]-Orders[[#This Row],[shippedDate]]</f>
        <v>26</v>
      </c>
    </row>
    <row r="509" spans="1:17" x14ac:dyDescent="0.2">
      <c r="A509">
        <v>10755</v>
      </c>
      <c r="B509" t="s">
        <v>239</v>
      </c>
      <c r="C509">
        <v>4</v>
      </c>
      <c r="D509" s="1">
        <v>35760</v>
      </c>
      <c r="E509" s="1">
        <v>35788</v>
      </c>
      <c r="F509" s="1">
        <v>35762</v>
      </c>
      <c r="G509">
        <v>2</v>
      </c>
      <c r="H509" s="2">
        <v>16.71</v>
      </c>
      <c r="I509" t="s">
        <v>240</v>
      </c>
      <c r="J509" t="s">
        <v>241</v>
      </c>
      <c r="K509" t="s">
        <v>242</v>
      </c>
      <c r="L509" t="s">
        <v>18</v>
      </c>
      <c r="M509">
        <v>13008</v>
      </c>
      <c r="N509" t="s">
        <v>19</v>
      </c>
      <c r="O509">
        <f>Orders[[#This Row],[requiredDate]]-Orders[[#This Row],[orderDate]]</f>
        <v>28</v>
      </c>
      <c r="P509">
        <f>Orders[[#This Row],[shippedDate]]-Orders[[#This Row],[orderDate]]</f>
        <v>2</v>
      </c>
      <c r="Q509">
        <f>Orders[[#This Row],[requiredDate]]-Orders[[#This Row],[shippedDate]]</f>
        <v>26</v>
      </c>
    </row>
    <row r="510" spans="1:17" x14ac:dyDescent="0.2">
      <c r="A510">
        <v>10756</v>
      </c>
      <c r="B510" t="s">
        <v>116</v>
      </c>
      <c r="C510">
        <v>8</v>
      </c>
      <c r="D510" s="1">
        <v>35761</v>
      </c>
      <c r="E510" s="1">
        <v>35789</v>
      </c>
      <c r="F510" s="1">
        <v>35766</v>
      </c>
      <c r="G510">
        <v>2</v>
      </c>
      <c r="H510" s="2">
        <v>73.209999999999994</v>
      </c>
      <c r="I510" t="s">
        <v>117</v>
      </c>
      <c r="J510" t="s">
        <v>118</v>
      </c>
      <c r="K510" t="s">
        <v>119</v>
      </c>
      <c r="L510" t="s">
        <v>120</v>
      </c>
      <c r="M510">
        <v>82520</v>
      </c>
      <c r="N510" t="s">
        <v>86</v>
      </c>
      <c r="O510">
        <f>Orders[[#This Row],[requiredDate]]-Orders[[#This Row],[orderDate]]</f>
        <v>28</v>
      </c>
      <c r="P510">
        <f>Orders[[#This Row],[shippedDate]]-Orders[[#This Row],[orderDate]]</f>
        <v>5</v>
      </c>
      <c r="Q510">
        <f>Orders[[#This Row],[requiredDate]]-Orders[[#This Row],[shippedDate]]</f>
        <v>23</v>
      </c>
    </row>
    <row r="511" spans="1:17" x14ac:dyDescent="0.2">
      <c r="A511">
        <v>10757</v>
      </c>
      <c r="B511" t="s">
        <v>226</v>
      </c>
      <c r="C511">
        <v>6</v>
      </c>
      <c r="D511" s="1">
        <v>35761</v>
      </c>
      <c r="E511" s="1">
        <v>35789</v>
      </c>
      <c r="F511" s="1">
        <v>35779</v>
      </c>
      <c r="G511">
        <v>1</v>
      </c>
      <c r="H511" s="2">
        <v>8.19</v>
      </c>
      <c r="I511" t="s">
        <v>227</v>
      </c>
      <c r="J511" t="s">
        <v>228</v>
      </c>
      <c r="K511" t="s">
        <v>229</v>
      </c>
      <c r="L511" t="s">
        <v>230</v>
      </c>
      <c r="M511">
        <v>83720</v>
      </c>
      <c r="N511" t="s">
        <v>86</v>
      </c>
      <c r="O511">
        <f>Orders[[#This Row],[requiredDate]]-Orders[[#This Row],[orderDate]]</f>
        <v>28</v>
      </c>
      <c r="P511">
        <f>Orders[[#This Row],[shippedDate]]-Orders[[#This Row],[orderDate]]</f>
        <v>18</v>
      </c>
      <c r="Q511">
        <f>Orders[[#This Row],[requiredDate]]-Orders[[#This Row],[shippedDate]]</f>
        <v>10</v>
      </c>
    </row>
    <row r="512" spans="1:17" x14ac:dyDescent="0.2">
      <c r="A512">
        <v>10758</v>
      </c>
      <c r="B512" t="s">
        <v>47</v>
      </c>
      <c r="C512">
        <v>3</v>
      </c>
      <c r="D512" s="1">
        <v>35762</v>
      </c>
      <c r="E512" s="1">
        <v>35790</v>
      </c>
      <c r="F512" s="1">
        <v>35768</v>
      </c>
      <c r="G512">
        <v>3</v>
      </c>
      <c r="H512" s="2">
        <v>138.16999999999999</v>
      </c>
      <c r="I512" t="s">
        <v>48</v>
      </c>
      <c r="J512" t="s">
        <v>49</v>
      </c>
      <c r="K512" t="s">
        <v>50</v>
      </c>
      <c r="L512" t="s">
        <v>18</v>
      </c>
      <c r="M512">
        <v>1204</v>
      </c>
      <c r="N512" t="s">
        <v>46</v>
      </c>
      <c r="O512">
        <f>Orders[[#This Row],[requiredDate]]-Orders[[#This Row],[orderDate]]</f>
        <v>28</v>
      </c>
      <c r="P512">
        <f>Orders[[#This Row],[shippedDate]]-Orders[[#This Row],[orderDate]]</f>
        <v>6</v>
      </c>
      <c r="Q512">
        <f>Orders[[#This Row],[requiredDate]]-Orders[[#This Row],[shippedDate]]</f>
        <v>22</v>
      </c>
    </row>
    <row r="513" spans="1:17" x14ac:dyDescent="0.2">
      <c r="A513">
        <v>10759</v>
      </c>
      <c r="B513" t="s">
        <v>203</v>
      </c>
      <c r="C513">
        <v>3</v>
      </c>
      <c r="D513" s="1">
        <v>35762</v>
      </c>
      <c r="E513" s="1">
        <v>35790</v>
      </c>
      <c r="F513" s="1">
        <v>35776</v>
      </c>
      <c r="G513">
        <v>3</v>
      </c>
      <c r="H513" s="2">
        <v>11.99</v>
      </c>
      <c r="I513" t="s">
        <v>204</v>
      </c>
      <c r="J513" t="s">
        <v>205</v>
      </c>
      <c r="K513" t="s">
        <v>71</v>
      </c>
      <c r="L513" t="s">
        <v>18</v>
      </c>
      <c r="M513">
        <v>5021</v>
      </c>
      <c r="N513" t="s">
        <v>72</v>
      </c>
      <c r="O513">
        <f>Orders[[#This Row],[requiredDate]]-Orders[[#This Row],[orderDate]]</f>
        <v>28</v>
      </c>
      <c r="P513">
        <f>Orders[[#This Row],[shippedDate]]-Orders[[#This Row],[orderDate]]</f>
        <v>14</v>
      </c>
      <c r="Q513">
        <f>Orders[[#This Row],[requiredDate]]-Orders[[#This Row],[shippedDate]]</f>
        <v>14</v>
      </c>
    </row>
    <row r="514" spans="1:17" x14ac:dyDescent="0.2">
      <c r="A514">
        <v>10760</v>
      </c>
      <c r="B514" t="s">
        <v>378</v>
      </c>
      <c r="C514">
        <v>4</v>
      </c>
      <c r="D514" s="1">
        <v>35765</v>
      </c>
      <c r="E514" s="1">
        <v>35793</v>
      </c>
      <c r="F514" s="1">
        <v>35774</v>
      </c>
      <c r="G514">
        <v>1</v>
      </c>
      <c r="H514" s="2">
        <v>155.63999999999999</v>
      </c>
      <c r="I514" t="s">
        <v>379</v>
      </c>
      <c r="J514" t="s">
        <v>380</v>
      </c>
      <c r="K514" t="s">
        <v>381</v>
      </c>
      <c r="L514" t="s">
        <v>18</v>
      </c>
      <c r="M514" t="s">
        <v>382</v>
      </c>
      <c r="N514" t="s">
        <v>41</v>
      </c>
      <c r="O514">
        <f>Orders[[#This Row],[requiredDate]]-Orders[[#This Row],[orderDate]]</f>
        <v>28</v>
      </c>
      <c r="P514">
        <f>Orders[[#This Row],[shippedDate]]-Orders[[#This Row],[orderDate]]</f>
        <v>9</v>
      </c>
      <c r="Q514">
        <f>Orders[[#This Row],[requiredDate]]-Orders[[#This Row],[shippedDate]]</f>
        <v>19</v>
      </c>
    </row>
    <row r="515" spans="1:17" x14ac:dyDescent="0.2">
      <c r="A515">
        <v>10761</v>
      </c>
      <c r="B515" t="s">
        <v>81</v>
      </c>
      <c r="C515">
        <v>5</v>
      </c>
      <c r="D515" s="1">
        <v>35766</v>
      </c>
      <c r="E515" s="1">
        <v>35794</v>
      </c>
      <c r="F515" s="1">
        <v>35772</v>
      </c>
      <c r="G515">
        <v>2</v>
      </c>
      <c r="H515" s="2">
        <v>18.66</v>
      </c>
      <c r="I515" t="s">
        <v>82</v>
      </c>
      <c r="J515" t="s">
        <v>83</v>
      </c>
      <c r="K515" t="s">
        <v>84</v>
      </c>
      <c r="L515" t="s">
        <v>85</v>
      </c>
      <c r="M515">
        <v>87110</v>
      </c>
      <c r="N515" t="s">
        <v>86</v>
      </c>
      <c r="O515">
        <f>Orders[[#This Row],[requiredDate]]-Orders[[#This Row],[orderDate]]</f>
        <v>28</v>
      </c>
      <c r="P515">
        <f>Orders[[#This Row],[shippedDate]]-Orders[[#This Row],[orderDate]]</f>
        <v>6</v>
      </c>
      <c r="Q515">
        <f>Orders[[#This Row],[requiredDate]]-Orders[[#This Row],[shippedDate]]</f>
        <v>22</v>
      </c>
    </row>
    <row r="516" spans="1:17" x14ac:dyDescent="0.2">
      <c r="A516">
        <v>10762</v>
      </c>
      <c r="B516" t="s">
        <v>87</v>
      </c>
      <c r="C516">
        <v>3</v>
      </c>
      <c r="D516" s="1">
        <v>35766</v>
      </c>
      <c r="E516" s="1">
        <v>35794</v>
      </c>
      <c r="F516" s="1">
        <v>35773</v>
      </c>
      <c r="G516">
        <v>1</v>
      </c>
      <c r="H516" s="2">
        <v>328.74</v>
      </c>
      <c r="I516" t="s">
        <v>88</v>
      </c>
      <c r="J516" t="s">
        <v>89</v>
      </c>
      <c r="K516" t="s">
        <v>90</v>
      </c>
      <c r="L516" t="s">
        <v>18</v>
      </c>
      <c r="M516" t="s">
        <v>91</v>
      </c>
      <c r="N516" t="s">
        <v>92</v>
      </c>
      <c r="O516">
        <f>Orders[[#This Row],[requiredDate]]-Orders[[#This Row],[orderDate]]</f>
        <v>28</v>
      </c>
      <c r="P516">
        <f>Orders[[#This Row],[shippedDate]]-Orders[[#This Row],[orderDate]]</f>
        <v>7</v>
      </c>
      <c r="Q516">
        <f>Orders[[#This Row],[requiredDate]]-Orders[[#This Row],[shippedDate]]</f>
        <v>21</v>
      </c>
    </row>
    <row r="517" spans="1:17" x14ac:dyDescent="0.2">
      <c r="A517">
        <v>10763</v>
      </c>
      <c r="B517" t="s">
        <v>329</v>
      </c>
      <c r="C517">
        <v>3</v>
      </c>
      <c r="D517" s="1">
        <v>35767</v>
      </c>
      <c r="E517" s="1">
        <v>35795</v>
      </c>
      <c r="F517" s="1">
        <v>35772</v>
      </c>
      <c r="G517">
        <v>3</v>
      </c>
      <c r="H517" s="2">
        <v>37.35</v>
      </c>
      <c r="I517" t="s">
        <v>330</v>
      </c>
      <c r="J517" t="s">
        <v>331</v>
      </c>
      <c r="K517" t="s">
        <v>332</v>
      </c>
      <c r="L517" t="s">
        <v>18</v>
      </c>
      <c r="M517">
        <v>59000</v>
      </c>
      <c r="N517" t="s">
        <v>19</v>
      </c>
      <c r="O517">
        <f>Orders[[#This Row],[requiredDate]]-Orders[[#This Row],[orderDate]]</f>
        <v>28</v>
      </c>
      <c r="P517">
        <f>Orders[[#This Row],[shippedDate]]-Orders[[#This Row],[orderDate]]</f>
        <v>5</v>
      </c>
      <c r="Q517">
        <f>Orders[[#This Row],[requiredDate]]-Orders[[#This Row],[shippedDate]]</f>
        <v>23</v>
      </c>
    </row>
    <row r="518" spans="1:17" x14ac:dyDescent="0.2">
      <c r="A518">
        <v>10764</v>
      </c>
      <c r="B518" t="s">
        <v>63</v>
      </c>
      <c r="C518">
        <v>6</v>
      </c>
      <c r="D518" s="1">
        <v>35767</v>
      </c>
      <c r="E518" s="1">
        <v>35795</v>
      </c>
      <c r="F518" s="1">
        <v>35772</v>
      </c>
      <c r="G518">
        <v>3</v>
      </c>
      <c r="H518" s="2">
        <v>145.44999999999999</v>
      </c>
      <c r="I518" t="s">
        <v>64</v>
      </c>
      <c r="J518" t="s">
        <v>65</v>
      </c>
      <c r="K518" t="s">
        <v>66</v>
      </c>
      <c r="L518" t="s">
        <v>18</v>
      </c>
      <c r="M518">
        <v>8010</v>
      </c>
      <c r="N518" t="s">
        <v>67</v>
      </c>
      <c r="O518">
        <f>Orders[[#This Row],[requiredDate]]-Orders[[#This Row],[orderDate]]</f>
        <v>28</v>
      </c>
      <c r="P518">
        <f>Orders[[#This Row],[shippedDate]]-Orders[[#This Row],[orderDate]]</f>
        <v>5</v>
      </c>
      <c r="Q518">
        <f>Orders[[#This Row],[requiredDate]]-Orders[[#This Row],[shippedDate]]</f>
        <v>23</v>
      </c>
    </row>
    <row r="519" spans="1:17" x14ac:dyDescent="0.2">
      <c r="A519">
        <v>10765</v>
      </c>
      <c r="B519" t="s">
        <v>121</v>
      </c>
      <c r="C519">
        <v>3</v>
      </c>
      <c r="D519" s="1">
        <v>35768</v>
      </c>
      <c r="E519" s="1">
        <v>35796</v>
      </c>
      <c r="F519" s="1">
        <v>35773</v>
      </c>
      <c r="G519">
        <v>3</v>
      </c>
      <c r="H519" s="2">
        <v>42.74</v>
      </c>
      <c r="I519" t="s">
        <v>122</v>
      </c>
      <c r="J519" t="s">
        <v>123</v>
      </c>
      <c r="K519" t="s">
        <v>124</v>
      </c>
      <c r="L519" t="s">
        <v>18</v>
      </c>
      <c r="M519">
        <v>1307</v>
      </c>
      <c r="N519" t="s">
        <v>24</v>
      </c>
      <c r="O519">
        <f>Orders[[#This Row],[requiredDate]]-Orders[[#This Row],[orderDate]]</f>
        <v>28</v>
      </c>
      <c r="P519">
        <f>Orders[[#This Row],[shippedDate]]-Orders[[#This Row],[orderDate]]</f>
        <v>5</v>
      </c>
      <c r="Q519">
        <f>Orders[[#This Row],[requiredDate]]-Orders[[#This Row],[shippedDate]]</f>
        <v>23</v>
      </c>
    </row>
    <row r="520" spans="1:17" x14ac:dyDescent="0.2">
      <c r="A520">
        <v>10766</v>
      </c>
      <c r="B520" t="s">
        <v>73</v>
      </c>
      <c r="C520">
        <v>4</v>
      </c>
      <c r="D520" s="1">
        <v>35769</v>
      </c>
      <c r="E520" s="1">
        <v>35797</v>
      </c>
      <c r="F520" s="1">
        <v>35773</v>
      </c>
      <c r="G520">
        <v>1</v>
      </c>
      <c r="H520" s="2">
        <v>157.55000000000001</v>
      </c>
      <c r="I520" t="s">
        <v>74</v>
      </c>
      <c r="J520" t="s">
        <v>75</v>
      </c>
      <c r="K520" t="s">
        <v>76</v>
      </c>
      <c r="L520" t="s">
        <v>18</v>
      </c>
      <c r="M520">
        <v>50739</v>
      </c>
      <c r="N520" t="s">
        <v>24</v>
      </c>
      <c r="O520">
        <f>Orders[[#This Row],[requiredDate]]-Orders[[#This Row],[orderDate]]</f>
        <v>28</v>
      </c>
      <c r="P520">
        <f>Orders[[#This Row],[shippedDate]]-Orders[[#This Row],[orderDate]]</f>
        <v>4</v>
      </c>
      <c r="Q520">
        <f>Orders[[#This Row],[requiredDate]]-Orders[[#This Row],[shippedDate]]</f>
        <v>24</v>
      </c>
    </row>
    <row r="521" spans="1:17" x14ac:dyDescent="0.2">
      <c r="A521">
        <v>10767</v>
      </c>
      <c r="B521" t="s">
        <v>36</v>
      </c>
      <c r="C521">
        <v>4</v>
      </c>
      <c r="D521" s="1">
        <v>35769</v>
      </c>
      <c r="E521" s="1">
        <v>35797</v>
      </c>
      <c r="F521" s="1">
        <v>35779</v>
      </c>
      <c r="G521">
        <v>3</v>
      </c>
      <c r="H521" s="2">
        <v>1.59</v>
      </c>
      <c r="I521" t="s">
        <v>37</v>
      </c>
      <c r="J521" t="s">
        <v>38</v>
      </c>
      <c r="K521" t="s">
        <v>39</v>
      </c>
      <c r="L521" t="s">
        <v>18</v>
      </c>
      <c r="M521" t="s">
        <v>40</v>
      </c>
      <c r="N521" t="s">
        <v>41</v>
      </c>
      <c r="O521">
        <f>Orders[[#This Row],[requiredDate]]-Orders[[#This Row],[orderDate]]</f>
        <v>28</v>
      </c>
      <c r="P521">
        <f>Orders[[#This Row],[shippedDate]]-Orders[[#This Row],[orderDate]]</f>
        <v>10</v>
      </c>
      <c r="Q521">
        <f>Orders[[#This Row],[requiredDate]]-Orders[[#This Row],[shippedDate]]</f>
        <v>18</v>
      </c>
    </row>
    <row r="522" spans="1:17" x14ac:dyDescent="0.2">
      <c r="A522">
        <v>10768</v>
      </c>
      <c r="B522" t="s">
        <v>270</v>
      </c>
      <c r="C522">
        <v>3</v>
      </c>
      <c r="D522" s="1">
        <v>35772</v>
      </c>
      <c r="E522" s="1">
        <v>35800</v>
      </c>
      <c r="F522" s="1">
        <v>35779</v>
      </c>
      <c r="G522">
        <v>2</v>
      </c>
      <c r="H522" s="2">
        <v>146.32</v>
      </c>
      <c r="I522" t="s">
        <v>271</v>
      </c>
      <c r="J522" t="s">
        <v>272</v>
      </c>
      <c r="K522" t="s">
        <v>273</v>
      </c>
      <c r="L522" t="s">
        <v>274</v>
      </c>
      <c r="M522" t="s">
        <v>275</v>
      </c>
      <c r="N522" t="s">
        <v>169</v>
      </c>
      <c r="O522">
        <f>Orders[[#This Row],[requiredDate]]-Orders[[#This Row],[orderDate]]</f>
        <v>28</v>
      </c>
      <c r="P522">
        <f>Orders[[#This Row],[shippedDate]]-Orders[[#This Row],[orderDate]]</f>
        <v>7</v>
      </c>
      <c r="Q522">
        <f>Orders[[#This Row],[requiredDate]]-Orders[[#This Row],[shippedDate]]</f>
        <v>21</v>
      </c>
    </row>
    <row r="523" spans="1:17" x14ac:dyDescent="0.2">
      <c r="A523">
        <v>10769</v>
      </c>
      <c r="B523" t="s">
        <v>295</v>
      </c>
      <c r="C523">
        <v>3</v>
      </c>
      <c r="D523" s="1">
        <v>35772</v>
      </c>
      <c r="E523" s="1">
        <v>35800</v>
      </c>
      <c r="F523" s="1">
        <v>35776</v>
      </c>
      <c r="G523">
        <v>1</v>
      </c>
      <c r="H523" s="2">
        <v>65.06</v>
      </c>
      <c r="I523" t="s">
        <v>296</v>
      </c>
      <c r="J523" t="s">
        <v>297</v>
      </c>
      <c r="K523" t="s">
        <v>298</v>
      </c>
      <c r="L523" t="s">
        <v>18</v>
      </c>
      <c r="M523">
        <v>8200</v>
      </c>
      <c r="N523" t="s">
        <v>257</v>
      </c>
      <c r="O523">
        <f>Orders[[#This Row],[requiredDate]]-Orders[[#This Row],[orderDate]]</f>
        <v>28</v>
      </c>
      <c r="P523">
        <f>Orders[[#This Row],[shippedDate]]-Orders[[#This Row],[orderDate]]</f>
        <v>4</v>
      </c>
      <c r="Q523">
        <f>Orders[[#This Row],[requiredDate]]-Orders[[#This Row],[shippedDate]]</f>
        <v>24</v>
      </c>
    </row>
    <row r="524" spans="1:17" x14ac:dyDescent="0.2">
      <c r="A524">
        <v>10770</v>
      </c>
      <c r="B524" t="s">
        <v>25</v>
      </c>
      <c r="C524">
        <v>8</v>
      </c>
      <c r="D524" s="1">
        <v>35773</v>
      </c>
      <c r="E524" s="1">
        <v>35801</v>
      </c>
      <c r="F524" s="1">
        <v>35781</v>
      </c>
      <c r="G524">
        <v>3</v>
      </c>
      <c r="H524" s="2">
        <v>5.32</v>
      </c>
      <c r="I524" t="s">
        <v>26</v>
      </c>
      <c r="J524" t="s">
        <v>27</v>
      </c>
      <c r="K524" t="s">
        <v>28</v>
      </c>
      <c r="L524" t="s">
        <v>29</v>
      </c>
      <c r="M524" t="s">
        <v>30</v>
      </c>
      <c r="N524" t="s">
        <v>31</v>
      </c>
      <c r="O524">
        <f>Orders[[#This Row],[requiredDate]]-Orders[[#This Row],[orderDate]]</f>
        <v>28</v>
      </c>
      <c r="P524">
        <f>Orders[[#This Row],[shippedDate]]-Orders[[#This Row],[orderDate]]</f>
        <v>8</v>
      </c>
      <c r="Q524">
        <f>Orders[[#This Row],[requiredDate]]-Orders[[#This Row],[shippedDate]]</f>
        <v>20</v>
      </c>
    </row>
    <row r="525" spans="1:17" x14ac:dyDescent="0.2">
      <c r="A525">
        <v>10771</v>
      </c>
      <c r="B525" t="s">
        <v>63</v>
      </c>
      <c r="C525">
        <v>9</v>
      </c>
      <c r="D525" s="1">
        <v>35774</v>
      </c>
      <c r="E525" s="1">
        <v>35802</v>
      </c>
      <c r="F525" s="1">
        <v>35797</v>
      </c>
      <c r="G525">
        <v>2</v>
      </c>
      <c r="H525" s="2">
        <v>11.19</v>
      </c>
      <c r="I525" t="s">
        <v>64</v>
      </c>
      <c r="J525" t="s">
        <v>65</v>
      </c>
      <c r="K525" t="s">
        <v>66</v>
      </c>
      <c r="L525" t="s">
        <v>18</v>
      </c>
      <c r="M525">
        <v>8010</v>
      </c>
      <c r="N525" t="s">
        <v>67</v>
      </c>
      <c r="O525">
        <f>Orders[[#This Row],[requiredDate]]-Orders[[#This Row],[orderDate]]</f>
        <v>28</v>
      </c>
      <c r="P525">
        <f>Orders[[#This Row],[shippedDate]]-Orders[[#This Row],[orderDate]]</f>
        <v>23</v>
      </c>
      <c r="Q525">
        <f>Orders[[#This Row],[requiredDate]]-Orders[[#This Row],[shippedDate]]</f>
        <v>5</v>
      </c>
    </row>
    <row r="526" spans="1:17" x14ac:dyDescent="0.2">
      <c r="A526">
        <v>10772</v>
      </c>
      <c r="B526" t="s">
        <v>142</v>
      </c>
      <c r="C526">
        <v>3</v>
      </c>
      <c r="D526" s="1">
        <v>35774</v>
      </c>
      <c r="E526" s="1">
        <v>35802</v>
      </c>
      <c r="F526" s="1">
        <v>35783</v>
      </c>
      <c r="G526">
        <v>2</v>
      </c>
      <c r="H526" s="2">
        <v>91.28</v>
      </c>
      <c r="I526" t="s">
        <v>143</v>
      </c>
      <c r="J526" t="s">
        <v>144</v>
      </c>
      <c r="K526" t="s">
        <v>145</v>
      </c>
      <c r="L526" t="s">
        <v>18</v>
      </c>
      <c r="M526">
        <v>60528</v>
      </c>
      <c r="N526" t="s">
        <v>24</v>
      </c>
      <c r="O526">
        <f>Orders[[#This Row],[requiredDate]]-Orders[[#This Row],[orderDate]]</f>
        <v>28</v>
      </c>
      <c r="P526">
        <f>Orders[[#This Row],[shippedDate]]-Orders[[#This Row],[orderDate]]</f>
        <v>9</v>
      </c>
      <c r="Q526">
        <f>Orders[[#This Row],[requiredDate]]-Orders[[#This Row],[shippedDate]]</f>
        <v>19</v>
      </c>
    </row>
    <row r="527" spans="1:17" x14ac:dyDescent="0.2">
      <c r="A527">
        <v>10773</v>
      </c>
      <c r="B527" t="s">
        <v>63</v>
      </c>
      <c r="C527">
        <v>1</v>
      </c>
      <c r="D527" s="1">
        <v>35775</v>
      </c>
      <c r="E527" s="1">
        <v>35803</v>
      </c>
      <c r="F527" s="1">
        <v>35780</v>
      </c>
      <c r="G527">
        <v>3</v>
      </c>
      <c r="H527" s="2">
        <v>96.43</v>
      </c>
      <c r="I527" t="s">
        <v>64</v>
      </c>
      <c r="J527" t="s">
        <v>65</v>
      </c>
      <c r="K527" t="s">
        <v>66</v>
      </c>
      <c r="L527" t="s">
        <v>18</v>
      </c>
      <c r="M527">
        <v>8010</v>
      </c>
      <c r="N527" t="s">
        <v>67</v>
      </c>
      <c r="O527">
        <f>Orders[[#This Row],[requiredDate]]-Orders[[#This Row],[orderDate]]</f>
        <v>28</v>
      </c>
      <c r="P527">
        <f>Orders[[#This Row],[shippedDate]]-Orders[[#This Row],[orderDate]]</f>
        <v>5</v>
      </c>
      <c r="Q527">
        <f>Orders[[#This Row],[requiredDate]]-Orders[[#This Row],[shippedDate]]</f>
        <v>23</v>
      </c>
    </row>
    <row r="528" spans="1:17" x14ac:dyDescent="0.2">
      <c r="A528">
        <v>10774</v>
      </c>
      <c r="B528" t="s">
        <v>87</v>
      </c>
      <c r="C528">
        <v>4</v>
      </c>
      <c r="D528" s="1">
        <v>35775</v>
      </c>
      <c r="E528" s="1">
        <v>35789</v>
      </c>
      <c r="F528" s="1">
        <v>35776</v>
      </c>
      <c r="G528">
        <v>1</v>
      </c>
      <c r="H528" s="2">
        <v>48.2</v>
      </c>
      <c r="I528" t="s">
        <v>88</v>
      </c>
      <c r="J528" t="s">
        <v>89</v>
      </c>
      <c r="K528" t="s">
        <v>90</v>
      </c>
      <c r="L528" t="s">
        <v>18</v>
      </c>
      <c r="M528" t="s">
        <v>91</v>
      </c>
      <c r="N528" t="s">
        <v>92</v>
      </c>
      <c r="O528">
        <f>Orders[[#This Row],[requiredDate]]-Orders[[#This Row],[orderDate]]</f>
        <v>14</v>
      </c>
      <c r="P528">
        <f>Orders[[#This Row],[shippedDate]]-Orders[[#This Row],[orderDate]]</f>
        <v>1</v>
      </c>
      <c r="Q528">
        <f>Orders[[#This Row],[requiredDate]]-Orders[[#This Row],[shippedDate]]</f>
        <v>13</v>
      </c>
    </row>
    <row r="529" spans="1:17" x14ac:dyDescent="0.2">
      <c r="A529">
        <v>10775</v>
      </c>
      <c r="B529" t="s">
        <v>396</v>
      </c>
      <c r="C529">
        <v>7</v>
      </c>
      <c r="D529" s="1">
        <v>35776</v>
      </c>
      <c r="E529" s="1">
        <v>35804</v>
      </c>
      <c r="F529" s="1">
        <v>35790</v>
      </c>
      <c r="G529">
        <v>1</v>
      </c>
      <c r="H529" s="2">
        <v>20.25</v>
      </c>
      <c r="I529" t="s">
        <v>397</v>
      </c>
      <c r="J529" t="s">
        <v>398</v>
      </c>
      <c r="K529" t="s">
        <v>399</v>
      </c>
      <c r="L529" t="s">
        <v>400</v>
      </c>
      <c r="M529">
        <v>59801</v>
      </c>
      <c r="N529" t="s">
        <v>86</v>
      </c>
      <c r="O529">
        <f>Orders[[#This Row],[requiredDate]]-Orders[[#This Row],[orderDate]]</f>
        <v>28</v>
      </c>
      <c r="P529">
        <f>Orders[[#This Row],[shippedDate]]-Orders[[#This Row],[orderDate]]</f>
        <v>14</v>
      </c>
      <c r="Q529">
        <f>Orders[[#This Row],[requiredDate]]-Orders[[#This Row],[shippedDate]]</f>
        <v>14</v>
      </c>
    </row>
    <row r="530" spans="1:17" x14ac:dyDescent="0.2">
      <c r="A530">
        <v>10776</v>
      </c>
      <c r="B530" t="s">
        <v>63</v>
      </c>
      <c r="C530">
        <v>1</v>
      </c>
      <c r="D530" s="1">
        <v>35779</v>
      </c>
      <c r="E530" s="1">
        <v>35807</v>
      </c>
      <c r="F530" s="1">
        <v>35782</v>
      </c>
      <c r="G530">
        <v>3</v>
      </c>
      <c r="H530" s="2">
        <v>351.53</v>
      </c>
      <c r="I530" t="s">
        <v>64</v>
      </c>
      <c r="J530" t="s">
        <v>65</v>
      </c>
      <c r="K530" t="s">
        <v>66</v>
      </c>
      <c r="L530" t="s">
        <v>18</v>
      </c>
      <c r="M530">
        <v>8010</v>
      </c>
      <c r="N530" t="s">
        <v>67</v>
      </c>
      <c r="O530">
        <f>Orders[[#This Row],[requiredDate]]-Orders[[#This Row],[orderDate]]</f>
        <v>28</v>
      </c>
      <c r="P530">
        <f>Orders[[#This Row],[shippedDate]]-Orders[[#This Row],[orderDate]]</f>
        <v>3</v>
      </c>
      <c r="Q530">
        <f>Orders[[#This Row],[requiredDate]]-Orders[[#This Row],[shippedDate]]</f>
        <v>25</v>
      </c>
    </row>
    <row r="531" spans="1:17" x14ac:dyDescent="0.2">
      <c r="A531">
        <v>10777</v>
      </c>
      <c r="B531" t="s">
        <v>342</v>
      </c>
      <c r="C531">
        <v>7</v>
      </c>
      <c r="D531" s="1">
        <v>35779</v>
      </c>
      <c r="E531" s="1">
        <v>35793</v>
      </c>
      <c r="F531" s="1">
        <v>35816</v>
      </c>
      <c r="G531">
        <v>2</v>
      </c>
      <c r="H531" s="2">
        <v>3.01</v>
      </c>
      <c r="I531" t="s">
        <v>343</v>
      </c>
      <c r="J531" t="s">
        <v>344</v>
      </c>
      <c r="K531" t="s">
        <v>345</v>
      </c>
      <c r="L531" t="s">
        <v>55</v>
      </c>
      <c r="M531" t="s">
        <v>346</v>
      </c>
      <c r="N531" t="s">
        <v>31</v>
      </c>
      <c r="O531">
        <f>Orders[[#This Row],[requiredDate]]-Orders[[#This Row],[orderDate]]</f>
        <v>14</v>
      </c>
      <c r="P531">
        <f>Orders[[#This Row],[shippedDate]]-Orders[[#This Row],[orderDate]]</f>
        <v>37</v>
      </c>
      <c r="Q531">
        <f>Orders[[#This Row],[requiredDate]]-Orders[[#This Row],[shippedDate]]</f>
        <v>-23</v>
      </c>
    </row>
    <row r="532" spans="1:17" x14ac:dyDescent="0.2">
      <c r="A532">
        <v>10778</v>
      </c>
      <c r="B532" t="s">
        <v>137</v>
      </c>
      <c r="C532">
        <v>3</v>
      </c>
      <c r="D532" s="1">
        <v>35780</v>
      </c>
      <c r="E532" s="1">
        <v>35808</v>
      </c>
      <c r="F532" s="1">
        <v>35788</v>
      </c>
      <c r="G532">
        <v>1</v>
      </c>
      <c r="H532" s="2">
        <v>6.79</v>
      </c>
      <c r="I532" t="s">
        <v>138</v>
      </c>
      <c r="J532" t="s">
        <v>139</v>
      </c>
      <c r="K532" t="s">
        <v>140</v>
      </c>
      <c r="L532" t="s">
        <v>18</v>
      </c>
      <c r="M532" t="s">
        <v>141</v>
      </c>
      <c r="N532" t="s">
        <v>92</v>
      </c>
      <c r="O532">
        <f>Orders[[#This Row],[requiredDate]]-Orders[[#This Row],[orderDate]]</f>
        <v>28</v>
      </c>
      <c r="P532">
        <f>Orders[[#This Row],[shippedDate]]-Orders[[#This Row],[orderDate]]</f>
        <v>8</v>
      </c>
      <c r="Q532">
        <f>Orders[[#This Row],[requiredDate]]-Orders[[#This Row],[shippedDate]]</f>
        <v>20</v>
      </c>
    </row>
    <row r="533" spans="1:17" x14ac:dyDescent="0.2">
      <c r="A533">
        <v>10779</v>
      </c>
      <c r="B533" t="s">
        <v>133</v>
      </c>
      <c r="C533">
        <v>3</v>
      </c>
      <c r="D533" s="1">
        <v>35780</v>
      </c>
      <c r="E533" s="1">
        <v>35808</v>
      </c>
      <c r="F533" s="1">
        <v>35809</v>
      </c>
      <c r="G533">
        <v>2</v>
      </c>
      <c r="H533" s="2">
        <v>58.13</v>
      </c>
      <c r="I533" t="s">
        <v>134</v>
      </c>
      <c r="J533" t="s">
        <v>135</v>
      </c>
      <c r="K533" t="s">
        <v>136</v>
      </c>
      <c r="L533" t="s">
        <v>18</v>
      </c>
      <c r="M533">
        <v>4179</v>
      </c>
      <c r="N533" t="s">
        <v>24</v>
      </c>
      <c r="O533">
        <f>Orders[[#This Row],[requiredDate]]-Orders[[#This Row],[orderDate]]</f>
        <v>28</v>
      </c>
      <c r="P533">
        <f>Orders[[#This Row],[shippedDate]]-Orders[[#This Row],[orderDate]]</f>
        <v>29</v>
      </c>
      <c r="Q533">
        <f>Orders[[#This Row],[requiredDate]]-Orders[[#This Row],[shippedDate]]</f>
        <v>-1</v>
      </c>
    </row>
    <row r="534" spans="1:17" x14ac:dyDescent="0.2">
      <c r="A534">
        <v>10780</v>
      </c>
      <c r="B534" t="s">
        <v>151</v>
      </c>
      <c r="C534">
        <v>2</v>
      </c>
      <c r="D534" s="1">
        <v>35780</v>
      </c>
      <c r="E534" s="1">
        <v>35794</v>
      </c>
      <c r="F534" s="1">
        <v>35789</v>
      </c>
      <c r="G534">
        <v>1</v>
      </c>
      <c r="H534" s="2">
        <v>42.13</v>
      </c>
      <c r="I534" t="s">
        <v>152</v>
      </c>
      <c r="J534" t="s">
        <v>153</v>
      </c>
      <c r="K534" t="s">
        <v>154</v>
      </c>
      <c r="L534" t="s">
        <v>155</v>
      </c>
      <c r="M534">
        <v>3508</v>
      </c>
      <c r="N534" t="s">
        <v>62</v>
      </c>
      <c r="O534">
        <f>Orders[[#This Row],[requiredDate]]-Orders[[#This Row],[orderDate]]</f>
        <v>14</v>
      </c>
      <c r="P534">
        <f>Orders[[#This Row],[shippedDate]]-Orders[[#This Row],[orderDate]]</f>
        <v>9</v>
      </c>
      <c r="Q534">
        <f>Orders[[#This Row],[requiredDate]]-Orders[[#This Row],[shippedDate]]</f>
        <v>5</v>
      </c>
    </row>
    <row r="535" spans="1:17" x14ac:dyDescent="0.2">
      <c r="A535">
        <v>10781</v>
      </c>
      <c r="B535" t="s">
        <v>97</v>
      </c>
      <c r="C535">
        <v>2</v>
      </c>
      <c r="D535" s="1">
        <v>35781</v>
      </c>
      <c r="E535" s="1">
        <v>35809</v>
      </c>
      <c r="F535" s="1">
        <v>35783</v>
      </c>
      <c r="G535">
        <v>3</v>
      </c>
      <c r="H535" s="2">
        <v>73.16</v>
      </c>
      <c r="I535" t="s">
        <v>98</v>
      </c>
      <c r="J535" t="s">
        <v>99</v>
      </c>
      <c r="K535" t="s">
        <v>100</v>
      </c>
      <c r="L535" t="s">
        <v>18</v>
      </c>
      <c r="M535">
        <v>90110</v>
      </c>
      <c r="N535" t="s">
        <v>101</v>
      </c>
      <c r="O535">
        <f>Orders[[#This Row],[requiredDate]]-Orders[[#This Row],[orderDate]]</f>
        <v>28</v>
      </c>
      <c r="P535">
        <f>Orders[[#This Row],[shippedDate]]-Orders[[#This Row],[orderDate]]</f>
        <v>2</v>
      </c>
      <c r="Q535">
        <f>Orders[[#This Row],[requiredDate]]-Orders[[#This Row],[shippedDate]]</f>
        <v>26</v>
      </c>
    </row>
    <row r="536" spans="1:17" x14ac:dyDescent="0.2">
      <c r="A536">
        <v>10782</v>
      </c>
      <c r="B536" t="s">
        <v>371</v>
      </c>
      <c r="C536">
        <v>9</v>
      </c>
      <c r="D536" s="1">
        <v>35781</v>
      </c>
      <c r="E536" s="1">
        <v>35809</v>
      </c>
      <c r="F536" s="1">
        <v>35786</v>
      </c>
      <c r="G536">
        <v>3</v>
      </c>
      <c r="H536" s="2">
        <v>1.1000000000000001</v>
      </c>
      <c r="I536" t="s">
        <v>372</v>
      </c>
      <c r="J536" t="s">
        <v>373</v>
      </c>
      <c r="K536" t="s">
        <v>336</v>
      </c>
      <c r="L536" t="s">
        <v>18</v>
      </c>
      <c r="M536">
        <v>1010</v>
      </c>
      <c r="N536" t="s">
        <v>337</v>
      </c>
      <c r="O536">
        <f>Orders[[#This Row],[requiredDate]]-Orders[[#This Row],[orderDate]]</f>
        <v>28</v>
      </c>
      <c r="P536">
        <f>Orders[[#This Row],[shippedDate]]-Orders[[#This Row],[orderDate]]</f>
        <v>5</v>
      </c>
      <c r="Q536">
        <f>Orders[[#This Row],[requiredDate]]-Orders[[#This Row],[shippedDate]]</f>
        <v>23</v>
      </c>
    </row>
    <row r="537" spans="1:17" x14ac:dyDescent="0.2">
      <c r="A537">
        <v>10783</v>
      </c>
      <c r="B537" t="s">
        <v>25</v>
      </c>
      <c r="C537">
        <v>4</v>
      </c>
      <c r="D537" s="1">
        <v>35782</v>
      </c>
      <c r="E537" s="1">
        <v>35810</v>
      </c>
      <c r="F537" s="1">
        <v>35783</v>
      </c>
      <c r="G537">
        <v>2</v>
      </c>
      <c r="H537" s="2">
        <v>124.98</v>
      </c>
      <c r="I537" t="s">
        <v>26</v>
      </c>
      <c r="J537" t="s">
        <v>27</v>
      </c>
      <c r="K537" t="s">
        <v>28</v>
      </c>
      <c r="L537" t="s">
        <v>29</v>
      </c>
      <c r="M537" t="s">
        <v>30</v>
      </c>
      <c r="N537" t="s">
        <v>31</v>
      </c>
      <c r="O537">
        <f>Orders[[#This Row],[requiredDate]]-Orders[[#This Row],[orderDate]]</f>
        <v>28</v>
      </c>
      <c r="P537">
        <f>Orders[[#This Row],[shippedDate]]-Orders[[#This Row],[orderDate]]</f>
        <v>1</v>
      </c>
      <c r="Q537">
        <f>Orders[[#This Row],[requiredDate]]-Orders[[#This Row],[shippedDate]]</f>
        <v>27</v>
      </c>
    </row>
    <row r="538" spans="1:17" x14ac:dyDescent="0.2">
      <c r="A538">
        <v>10784</v>
      </c>
      <c r="B538" t="s">
        <v>125</v>
      </c>
      <c r="C538">
        <v>4</v>
      </c>
      <c r="D538" s="1">
        <v>35782</v>
      </c>
      <c r="E538" s="1">
        <v>35810</v>
      </c>
      <c r="F538" s="1">
        <v>35786</v>
      </c>
      <c r="G538">
        <v>3</v>
      </c>
      <c r="H538" s="2">
        <v>70.09</v>
      </c>
      <c r="I538" t="s">
        <v>126</v>
      </c>
      <c r="J538" t="s">
        <v>127</v>
      </c>
      <c r="K538" t="s">
        <v>128</v>
      </c>
      <c r="L538" t="s">
        <v>18</v>
      </c>
      <c r="M538">
        <v>24100</v>
      </c>
      <c r="N538" t="s">
        <v>129</v>
      </c>
      <c r="O538">
        <f>Orders[[#This Row],[requiredDate]]-Orders[[#This Row],[orderDate]]</f>
        <v>28</v>
      </c>
      <c r="P538">
        <f>Orders[[#This Row],[shippedDate]]-Orders[[#This Row],[orderDate]]</f>
        <v>4</v>
      </c>
      <c r="Q538">
        <f>Orders[[#This Row],[requiredDate]]-Orders[[#This Row],[shippedDate]]</f>
        <v>24</v>
      </c>
    </row>
    <row r="539" spans="1:17" x14ac:dyDescent="0.2">
      <c r="A539">
        <v>10785</v>
      </c>
      <c r="B539" t="s">
        <v>106</v>
      </c>
      <c r="C539">
        <v>1</v>
      </c>
      <c r="D539" s="1">
        <v>35782</v>
      </c>
      <c r="E539" s="1">
        <v>35810</v>
      </c>
      <c r="F539" s="1">
        <v>35788</v>
      </c>
      <c r="G539">
        <v>3</v>
      </c>
      <c r="H539" s="2">
        <v>1.51</v>
      </c>
      <c r="I539" t="s">
        <v>107</v>
      </c>
      <c r="J539" t="s">
        <v>108</v>
      </c>
      <c r="K539" t="s">
        <v>109</v>
      </c>
      <c r="L539" t="s">
        <v>110</v>
      </c>
      <c r="M539">
        <v>1081</v>
      </c>
      <c r="N539" t="s">
        <v>62</v>
      </c>
      <c r="O539">
        <f>Orders[[#This Row],[requiredDate]]-Orders[[#This Row],[orderDate]]</f>
        <v>28</v>
      </c>
      <c r="P539">
        <f>Orders[[#This Row],[shippedDate]]-Orders[[#This Row],[orderDate]]</f>
        <v>6</v>
      </c>
      <c r="Q539">
        <f>Orders[[#This Row],[requiredDate]]-Orders[[#This Row],[shippedDate]]</f>
        <v>22</v>
      </c>
    </row>
    <row r="540" spans="1:17" x14ac:dyDescent="0.2">
      <c r="A540">
        <v>10786</v>
      </c>
      <c r="B540" t="s">
        <v>299</v>
      </c>
      <c r="C540">
        <v>8</v>
      </c>
      <c r="D540" s="1">
        <v>35783</v>
      </c>
      <c r="E540" s="1">
        <v>35811</v>
      </c>
      <c r="F540" s="1">
        <v>35787</v>
      </c>
      <c r="G540">
        <v>1</v>
      </c>
      <c r="H540" s="2">
        <v>110.87</v>
      </c>
      <c r="I540" t="s">
        <v>300</v>
      </c>
      <c r="J540" t="s">
        <v>301</v>
      </c>
      <c r="K540" t="s">
        <v>173</v>
      </c>
      <c r="L540" t="s">
        <v>55</v>
      </c>
      <c r="M540" t="s">
        <v>302</v>
      </c>
      <c r="N540" t="s">
        <v>31</v>
      </c>
      <c r="O540">
        <f>Orders[[#This Row],[requiredDate]]-Orders[[#This Row],[orderDate]]</f>
        <v>28</v>
      </c>
      <c r="P540">
        <f>Orders[[#This Row],[shippedDate]]-Orders[[#This Row],[orderDate]]</f>
        <v>4</v>
      </c>
      <c r="Q540">
        <f>Orders[[#This Row],[requiredDate]]-Orders[[#This Row],[shippedDate]]</f>
        <v>24</v>
      </c>
    </row>
    <row r="541" spans="1:17" x14ac:dyDescent="0.2">
      <c r="A541">
        <v>10787</v>
      </c>
      <c r="B541" t="s">
        <v>262</v>
      </c>
      <c r="C541">
        <v>2</v>
      </c>
      <c r="D541" s="1">
        <v>35783</v>
      </c>
      <c r="E541" s="1">
        <v>35797</v>
      </c>
      <c r="F541" s="1">
        <v>35790</v>
      </c>
      <c r="G541">
        <v>1</v>
      </c>
      <c r="H541" s="2">
        <v>249.93</v>
      </c>
      <c r="I541" t="s">
        <v>263</v>
      </c>
      <c r="J541" t="s">
        <v>264</v>
      </c>
      <c r="K541" t="s">
        <v>265</v>
      </c>
      <c r="L541" t="s">
        <v>18</v>
      </c>
      <c r="M541">
        <v>31000</v>
      </c>
      <c r="N541" t="s">
        <v>19</v>
      </c>
      <c r="O541">
        <f>Orders[[#This Row],[requiredDate]]-Orders[[#This Row],[orderDate]]</f>
        <v>14</v>
      </c>
      <c r="P541">
        <f>Orders[[#This Row],[shippedDate]]-Orders[[#This Row],[orderDate]]</f>
        <v>7</v>
      </c>
      <c r="Q541">
        <f>Orders[[#This Row],[requiredDate]]-Orders[[#This Row],[shippedDate]]</f>
        <v>7</v>
      </c>
    </row>
    <row r="542" spans="1:17" x14ac:dyDescent="0.2">
      <c r="A542">
        <v>10788</v>
      </c>
      <c r="B542" t="s">
        <v>121</v>
      </c>
      <c r="C542">
        <v>1</v>
      </c>
      <c r="D542" s="1">
        <v>35786</v>
      </c>
      <c r="E542" s="1">
        <v>35814</v>
      </c>
      <c r="F542" s="1">
        <v>35814</v>
      </c>
      <c r="G542">
        <v>2</v>
      </c>
      <c r="H542" s="2">
        <v>42.7</v>
      </c>
      <c r="I542" t="s">
        <v>122</v>
      </c>
      <c r="J542" t="s">
        <v>123</v>
      </c>
      <c r="K542" t="s">
        <v>124</v>
      </c>
      <c r="L542" t="s">
        <v>18</v>
      </c>
      <c r="M542">
        <v>1307</v>
      </c>
      <c r="N542" t="s">
        <v>24</v>
      </c>
      <c r="O542">
        <f>Orders[[#This Row],[requiredDate]]-Orders[[#This Row],[orderDate]]</f>
        <v>28</v>
      </c>
      <c r="P542">
        <f>Orders[[#This Row],[shippedDate]]-Orders[[#This Row],[orderDate]]</f>
        <v>28</v>
      </c>
      <c r="Q542">
        <f>Orders[[#This Row],[requiredDate]]-Orders[[#This Row],[shippedDate]]</f>
        <v>0</v>
      </c>
    </row>
    <row r="543" spans="1:17" x14ac:dyDescent="0.2">
      <c r="A543">
        <v>10789</v>
      </c>
      <c r="B543" t="s">
        <v>329</v>
      </c>
      <c r="C543">
        <v>1</v>
      </c>
      <c r="D543" s="1">
        <v>35786</v>
      </c>
      <c r="E543" s="1">
        <v>35814</v>
      </c>
      <c r="F543" s="1">
        <v>35795</v>
      </c>
      <c r="G543">
        <v>2</v>
      </c>
      <c r="H543" s="2">
        <v>100.6</v>
      </c>
      <c r="I543" t="s">
        <v>330</v>
      </c>
      <c r="J543" t="s">
        <v>331</v>
      </c>
      <c r="K543" t="s">
        <v>332</v>
      </c>
      <c r="L543" t="s">
        <v>18</v>
      </c>
      <c r="M543">
        <v>59000</v>
      </c>
      <c r="N543" t="s">
        <v>19</v>
      </c>
      <c r="O543">
        <f>Orders[[#This Row],[requiredDate]]-Orders[[#This Row],[orderDate]]</f>
        <v>28</v>
      </c>
      <c r="P543">
        <f>Orders[[#This Row],[shippedDate]]-Orders[[#This Row],[orderDate]]</f>
        <v>9</v>
      </c>
      <c r="Q543">
        <f>Orders[[#This Row],[requiredDate]]-Orders[[#This Row],[shippedDate]]</f>
        <v>19</v>
      </c>
    </row>
    <row r="544" spans="1:17" x14ac:dyDescent="0.2">
      <c r="A544">
        <v>10790</v>
      </c>
      <c r="B544" t="s">
        <v>342</v>
      </c>
      <c r="C544">
        <v>6</v>
      </c>
      <c r="D544" s="1">
        <v>35786</v>
      </c>
      <c r="E544" s="1">
        <v>35814</v>
      </c>
      <c r="F544" s="1">
        <v>35790</v>
      </c>
      <c r="G544">
        <v>1</v>
      </c>
      <c r="H544" s="2">
        <v>28.23</v>
      </c>
      <c r="I544" t="s">
        <v>343</v>
      </c>
      <c r="J544" t="s">
        <v>344</v>
      </c>
      <c r="K544" t="s">
        <v>345</v>
      </c>
      <c r="L544" t="s">
        <v>55</v>
      </c>
      <c r="M544" t="s">
        <v>346</v>
      </c>
      <c r="N544" t="s">
        <v>31</v>
      </c>
      <c r="O544">
        <f>Orders[[#This Row],[requiredDate]]-Orders[[#This Row],[orderDate]]</f>
        <v>28</v>
      </c>
      <c r="P544">
        <f>Orders[[#This Row],[shippedDate]]-Orders[[#This Row],[orderDate]]</f>
        <v>4</v>
      </c>
      <c r="Q544">
        <f>Orders[[#This Row],[requiredDate]]-Orders[[#This Row],[shippedDate]]</f>
        <v>24</v>
      </c>
    </row>
    <row r="545" spans="1:17" x14ac:dyDescent="0.2">
      <c r="A545">
        <v>10791</v>
      </c>
      <c r="B545" t="s">
        <v>102</v>
      </c>
      <c r="C545">
        <v>6</v>
      </c>
      <c r="D545" s="1">
        <v>35787</v>
      </c>
      <c r="E545" s="1">
        <v>35815</v>
      </c>
      <c r="F545" s="1">
        <v>35796</v>
      </c>
      <c r="G545">
        <v>2</v>
      </c>
      <c r="H545" s="2">
        <v>16.850000000000001</v>
      </c>
      <c r="I545" t="s">
        <v>103</v>
      </c>
      <c r="J545" t="s">
        <v>104</v>
      </c>
      <c r="K545" t="s">
        <v>105</v>
      </c>
      <c r="L545" t="s">
        <v>18</v>
      </c>
      <c r="M545">
        <v>80805</v>
      </c>
      <c r="N545" t="s">
        <v>24</v>
      </c>
      <c r="O545">
        <f>Orders[[#This Row],[requiredDate]]-Orders[[#This Row],[orderDate]]</f>
        <v>28</v>
      </c>
      <c r="P545">
        <f>Orders[[#This Row],[shippedDate]]-Orders[[#This Row],[orderDate]]</f>
        <v>9</v>
      </c>
      <c r="Q545">
        <f>Orders[[#This Row],[requiredDate]]-Orders[[#This Row],[shippedDate]]</f>
        <v>19</v>
      </c>
    </row>
    <row r="546" spans="1:17" x14ac:dyDescent="0.2">
      <c r="A546">
        <v>10792</v>
      </c>
      <c r="B546" t="s">
        <v>303</v>
      </c>
      <c r="C546">
        <v>1</v>
      </c>
      <c r="D546" s="1">
        <v>35787</v>
      </c>
      <c r="E546" s="1">
        <v>35815</v>
      </c>
      <c r="F546" s="1">
        <v>35795</v>
      </c>
      <c r="G546">
        <v>3</v>
      </c>
      <c r="H546" s="2">
        <v>23.79</v>
      </c>
      <c r="I546" t="s">
        <v>304</v>
      </c>
      <c r="J546" t="s">
        <v>305</v>
      </c>
      <c r="K546" t="s">
        <v>306</v>
      </c>
      <c r="L546" t="s">
        <v>18</v>
      </c>
      <c r="M546" t="s">
        <v>307</v>
      </c>
      <c r="N546" t="s">
        <v>308</v>
      </c>
      <c r="O546">
        <f>Orders[[#This Row],[requiredDate]]-Orders[[#This Row],[orderDate]]</f>
        <v>28</v>
      </c>
      <c r="P546">
        <f>Orders[[#This Row],[shippedDate]]-Orders[[#This Row],[orderDate]]</f>
        <v>8</v>
      </c>
      <c r="Q546">
        <f>Orders[[#This Row],[requiredDate]]-Orders[[#This Row],[shippedDate]]</f>
        <v>20</v>
      </c>
    </row>
    <row r="547" spans="1:17" x14ac:dyDescent="0.2">
      <c r="A547">
        <v>10793</v>
      </c>
      <c r="B547" t="s">
        <v>270</v>
      </c>
      <c r="C547">
        <v>3</v>
      </c>
      <c r="D547" s="1">
        <v>35788</v>
      </c>
      <c r="E547" s="1">
        <v>35816</v>
      </c>
      <c r="F547" s="1">
        <v>35803</v>
      </c>
      <c r="G547">
        <v>3</v>
      </c>
      <c r="H547" s="2">
        <v>4.5199999999999996</v>
      </c>
      <c r="I547" t="s">
        <v>271</v>
      </c>
      <c r="J547" t="s">
        <v>272</v>
      </c>
      <c r="K547" t="s">
        <v>273</v>
      </c>
      <c r="L547" t="s">
        <v>274</v>
      </c>
      <c r="M547" t="s">
        <v>275</v>
      </c>
      <c r="N547" t="s">
        <v>169</v>
      </c>
      <c r="O547">
        <f>Orders[[#This Row],[requiredDate]]-Orders[[#This Row],[orderDate]]</f>
        <v>28</v>
      </c>
      <c r="P547">
        <f>Orders[[#This Row],[shippedDate]]-Orders[[#This Row],[orderDate]]</f>
        <v>15</v>
      </c>
      <c r="Q547">
        <f>Orders[[#This Row],[requiredDate]]-Orders[[#This Row],[shippedDate]]</f>
        <v>13</v>
      </c>
    </row>
    <row r="548" spans="1:17" x14ac:dyDescent="0.2">
      <c r="A548">
        <v>10794</v>
      </c>
      <c r="B548" t="s">
        <v>77</v>
      </c>
      <c r="C548">
        <v>6</v>
      </c>
      <c r="D548" s="1">
        <v>35788</v>
      </c>
      <c r="E548" s="1">
        <v>35816</v>
      </c>
      <c r="F548" s="1">
        <v>35797</v>
      </c>
      <c r="G548">
        <v>1</v>
      </c>
      <c r="H548" s="2">
        <v>21.49</v>
      </c>
      <c r="I548" t="s">
        <v>78</v>
      </c>
      <c r="J548" t="s">
        <v>79</v>
      </c>
      <c r="K548" t="s">
        <v>28</v>
      </c>
      <c r="L548" t="s">
        <v>29</v>
      </c>
      <c r="M548" t="s">
        <v>80</v>
      </c>
      <c r="N548" t="s">
        <v>31</v>
      </c>
      <c r="O548">
        <f>Orders[[#This Row],[requiredDate]]-Orders[[#This Row],[orderDate]]</f>
        <v>28</v>
      </c>
      <c r="P548">
        <f>Orders[[#This Row],[shippedDate]]-Orders[[#This Row],[orderDate]]</f>
        <v>9</v>
      </c>
      <c r="Q548">
        <f>Orders[[#This Row],[requiredDate]]-Orders[[#This Row],[shippedDate]]</f>
        <v>19</v>
      </c>
    </row>
    <row r="549" spans="1:17" x14ac:dyDescent="0.2">
      <c r="A549">
        <v>10795</v>
      </c>
      <c r="B549" t="s">
        <v>63</v>
      </c>
      <c r="C549">
        <v>8</v>
      </c>
      <c r="D549" s="1">
        <v>35788</v>
      </c>
      <c r="E549" s="1">
        <v>35816</v>
      </c>
      <c r="F549" s="1">
        <v>35815</v>
      </c>
      <c r="G549">
        <v>2</v>
      </c>
      <c r="H549" s="2">
        <v>126.66</v>
      </c>
      <c r="I549" t="s">
        <v>64</v>
      </c>
      <c r="J549" t="s">
        <v>65</v>
      </c>
      <c r="K549" t="s">
        <v>66</v>
      </c>
      <c r="L549" t="s">
        <v>18</v>
      </c>
      <c r="M549">
        <v>8010</v>
      </c>
      <c r="N549" t="s">
        <v>67</v>
      </c>
      <c r="O549">
        <f>Orders[[#This Row],[requiredDate]]-Orders[[#This Row],[orderDate]]</f>
        <v>28</v>
      </c>
      <c r="P549">
        <f>Orders[[#This Row],[shippedDate]]-Orders[[#This Row],[orderDate]]</f>
        <v>27</v>
      </c>
      <c r="Q549">
        <f>Orders[[#This Row],[requiredDate]]-Orders[[#This Row],[shippedDate]]</f>
        <v>1</v>
      </c>
    </row>
    <row r="550" spans="1:17" x14ac:dyDescent="0.2">
      <c r="A550">
        <v>10796</v>
      </c>
      <c r="B550" t="s">
        <v>57</v>
      </c>
      <c r="C550">
        <v>3</v>
      </c>
      <c r="D550" s="1">
        <v>35789</v>
      </c>
      <c r="E550" s="1">
        <v>35817</v>
      </c>
      <c r="F550" s="1">
        <v>35809</v>
      </c>
      <c r="G550">
        <v>1</v>
      </c>
      <c r="H550" s="2">
        <v>26.52</v>
      </c>
      <c r="I550" t="s">
        <v>58</v>
      </c>
      <c r="J550" t="s">
        <v>59</v>
      </c>
      <c r="K550" t="s">
        <v>60</v>
      </c>
      <c r="L550" t="s">
        <v>61</v>
      </c>
      <c r="M550">
        <v>5022</v>
      </c>
      <c r="N550" t="s">
        <v>62</v>
      </c>
      <c r="O550">
        <f>Orders[[#This Row],[requiredDate]]-Orders[[#This Row],[orderDate]]</f>
        <v>28</v>
      </c>
      <c r="P550">
        <f>Orders[[#This Row],[shippedDate]]-Orders[[#This Row],[orderDate]]</f>
        <v>20</v>
      </c>
      <c r="Q550">
        <f>Orders[[#This Row],[requiredDate]]-Orders[[#This Row],[shippedDate]]</f>
        <v>8</v>
      </c>
    </row>
    <row r="551" spans="1:17" x14ac:dyDescent="0.2">
      <c r="A551">
        <v>10797</v>
      </c>
      <c r="B551" t="s">
        <v>280</v>
      </c>
      <c r="C551">
        <v>7</v>
      </c>
      <c r="D551" s="1">
        <v>35789</v>
      </c>
      <c r="E551" s="1">
        <v>35817</v>
      </c>
      <c r="F551" s="1">
        <v>35800</v>
      </c>
      <c r="G551">
        <v>2</v>
      </c>
      <c r="H551" s="2">
        <v>33.35</v>
      </c>
      <c r="I551" t="s">
        <v>281</v>
      </c>
      <c r="J551" t="s">
        <v>282</v>
      </c>
      <c r="K551" t="s">
        <v>283</v>
      </c>
      <c r="L551" t="s">
        <v>18</v>
      </c>
      <c r="M551">
        <v>52066</v>
      </c>
      <c r="N551" t="s">
        <v>24</v>
      </c>
      <c r="O551">
        <f>Orders[[#This Row],[requiredDate]]-Orders[[#This Row],[orderDate]]</f>
        <v>28</v>
      </c>
      <c r="P551">
        <f>Orders[[#This Row],[shippedDate]]-Orders[[#This Row],[orderDate]]</f>
        <v>11</v>
      </c>
      <c r="Q551">
        <f>Orders[[#This Row],[requiredDate]]-Orders[[#This Row],[shippedDate]]</f>
        <v>17</v>
      </c>
    </row>
    <row r="552" spans="1:17" x14ac:dyDescent="0.2">
      <c r="A552">
        <v>10798</v>
      </c>
      <c r="B552" t="s">
        <v>213</v>
      </c>
      <c r="C552">
        <v>2</v>
      </c>
      <c r="D552" s="1">
        <v>35790</v>
      </c>
      <c r="E552" s="1">
        <v>35818</v>
      </c>
      <c r="F552" s="1">
        <v>35800</v>
      </c>
      <c r="G552">
        <v>1</v>
      </c>
      <c r="H552" s="2">
        <v>2.33</v>
      </c>
      <c r="I552" t="s">
        <v>214</v>
      </c>
      <c r="J552" t="s">
        <v>215</v>
      </c>
      <c r="K552" t="s">
        <v>216</v>
      </c>
      <c r="L552" t="s">
        <v>217</v>
      </c>
      <c r="M552" t="s">
        <v>218</v>
      </c>
      <c r="N552" t="s">
        <v>169</v>
      </c>
      <c r="O552">
        <f>Orders[[#This Row],[requiredDate]]-Orders[[#This Row],[orderDate]]</f>
        <v>28</v>
      </c>
      <c r="P552">
        <f>Orders[[#This Row],[shippedDate]]-Orders[[#This Row],[orderDate]]</f>
        <v>10</v>
      </c>
      <c r="Q552">
        <f>Orders[[#This Row],[requiredDate]]-Orders[[#This Row],[shippedDate]]</f>
        <v>18</v>
      </c>
    </row>
    <row r="553" spans="1:17" x14ac:dyDescent="0.2">
      <c r="A553">
        <v>10799</v>
      </c>
      <c r="B553" t="s">
        <v>222</v>
      </c>
      <c r="C553">
        <v>9</v>
      </c>
      <c r="D553" s="1">
        <v>35790</v>
      </c>
      <c r="E553" s="1">
        <v>35832</v>
      </c>
      <c r="F553" s="1">
        <v>35800</v>
      </c>
      <c r="G553">
        <v>3</v>
      </c>
      <c r="H553" s="2">
        <v>30.76</v>
      </c>
      <c r="I553" t="s">
        <v>223</v>
      </c>
      <c r="J553" t="s">
        <v>224</v>
      </c>
      <c r="K553" t="s">
        <v>225</v>
      </c>
      <c r="L553" t="s">
        <v>18</v>
      </c>
      <c r="M553">
        <v>14776</v>
      </c>
      <c r="N553" t="s">
        <v>24</v>
      </c>
      <c r="O553">
        <f>Orders[[#This Row],[requiredDate]]-Orders[[#This Row],[orderDate]]</f>
        <v>42</v>
      </c>
      <c r="P553">
        <f>Orders[[#This Row],[shippedDate]]-Orders[[#This Row],[orderDate]]</f>
        <v>10</v>
      </c>
      <c r="Q553">
        <f>Orders[[#This Row],[requiredDate]]-Orders[[#This Row],[shippedDate]]</f>
        <v>32</v>
      </c>
    </row>
    <row r="554" spans="1:17" x14ac:dyDescent="0.2">
      <c r="A554">
        <v>10800</v>
      </c>
      <c r="B554" t="s">
        <v>276</v>
      </c>
      <c r="C554">
        <v>1</v>
      </c>
      <c r="D554" s="1">
        <v>35790</v>
      </c>
      <c r="E554" s="1">
        <v>35818</v>
      </c>
      <c r="F554" s="1">
        <v>35800</v>
      </c>
      <c r="G554">
        <v>3</v>
      </c>
      <c r="H554" s="2">
        <v>137.44</v>
      </c>
      <c r="I554" t="s">
        <v>277</v>
      </c>
      <c r="J554" t="s">
        <v>278</v>
      </c>
      <c r="K554" t="s">
        <v>167</v>
      </c>
      <c r="L554" t="s">
        <v>18</v>
      </c>
      <c r="M554" t="s">
        <v>279</v>
      </c>
      <c r="N554" t="s">
        <v>169</v>
      </c>
      <c r="O554">
        <f>Orders[[#This Row],[requiredDate]]-Orders[[#This Row],[orderDate]]</f>
        <v>28</v>
      </c>
      <c r="P554">
        <f>Orders[[#This Row],[shippedDate]]-Orders[[#This Row],[orderDate]]</f>
        <v>10</v>
      </c>
      <c r="Q554">
        <f>Orders[[#This Row],[requiredDate]]-Orders[[#This Row],[shippedDate]]</f>
        <v>18</v>
      </c>
    </row>
    <row r="555" spans="1:17" x14ac:dyDescent="0.2">
      <c r="A555">
        <v>10801</v>
      </c>
      <c r="B555" t="s">
        <v>231</v>
      </c>
      <c r="C555">
        <v>4</v>
      </c>
      <c r="D555" s="1">
        <v>35793</v>
      </c>
      <c r="E555" s="1">
        <v>35821</v>
      </c>
      <c r="F555" s="1">
        <v>35795</v>
      </c>
      <c r="G555">
        <v>2</v>
      </c>
      <c r="H555" s="2">
        <v>97.09</v>
      </c>
      <c r="I555" t="s">
        <v>232</v>
      </c>
      <c r="J555" t="s">
        <v>233</v>
      </c>
      <c r="K555" t="s">
        <v>149</v>
      </c>
      <c r="L555" t="s">
        <v>18</v>
      </c>
      <c r="M555">
        <v>28023</v>
      </c>
      <c r="N555" t="s">
        <v>150</v>
      </c>
      <c r="O555">
        <f>Orders[[#This Row],[requiredDate]]-Orders[[#This Row],[orderDate]]</f>
        <v>28</v>
      </c>
      <c r="P555">
        <f>Orders[[#This Row],[shippedDate]]-Orders[[#This Row],[orderDate]]</f>
        <v>2</v>
      </c>
      <c r="Q555">
        <f>Orders[[#This Row],[requiredDate]]-Orders[[#This Row],[shippedDate]]</f>
        <v>26</v>
      </c>
    </row>
    <row r="556" spans="1:17" x14ac:dyDescent="0.2">
      <c r="A556">
        <v>10802</v>
      </c>
      <c r="B556" t="s">
        <v>253</v>
      </c>
      <c r="C556">
        <v>4</v>
      </c>
      <c r="D556" s="1">
        <v>35793</v>
      </c>
      <c r="E556" s="1">
        <v>35821</v>
      </c>
      <c r="F556" s="1">
        <v>35797</v>
      </c>
      <c r="G556">
        <v>2</v>
      </c>
      <c r="H556" s="2">
        <v>257.26</v>
      </c>
      <c r="I556" t="s">
        <v>254</v>
      </c>
      <c r="J556" t="s">
        <v>255</v>
      </c>
      <c r="K556" t="s">
        <v>256</v>
      </c>
      <c r="L556" t="s">
        <v>18</v>
      </c>
      <c r="M556">
        <v>1734</v>
      </c>
      <c r="N556" t="s">
        <v>257</v>
      </c>
      <c r="O556">
        <f>Orders[[#This Row],[requiredDate]]-Orders[[#This Row],[orderDate]]</f>
        <v>28</v>
      </c>
      <c r="P556">
        <f>Orders[[#This Row],[shippedDate]]-Orders[[#This Row],[orderDate]]</f>
        <v>4</v>
      </c>
      <c r="Q556">
        <f>Orders[[#This Row],[requiredDate]]-Orders[[#This Row],[shippedDate]]</f>
        <v>24</v>
      </c>
    </row>
    <row r="557" spans="1:17" x14ac:dyDescent="0.2">
      <c r="A557">
        <v>10803</v>
      </c>
      <c r="B557" t="s">
        <v>51</v>
      </c>
      <c r="C557">
        <v>4</v>
      </c>
      <c r="D557" s="1">
        <v>35794</v>
      </c>
      <c r="E557" s="1">
        <v>35822</v>
      </c>
      <c r="F557" s="1">
        <v>35801</v>
      </c>
      <c r="G557">
        <v>1</v>
      </c>
      <c r="H557" s="2">
        <v>55.23</v>
      </c>
      <c r="I557" t="s">
        <v>52</v>
      </c>
      <c r="J557" t="s">
        <v>53</v>
      </c>
      <c r="K557" t="s">
        <v>54</v>
      </c>
      <c r="L557" t="s">
        <v>55</v>
      </c>
      <c r="M557" t="s">
        <v>56</v>
      </c>
      <c r="N557" t="s">
        <v>31</v>
      </c>
      <c r="O557">
        <f>Orders[[#This Row],[requiredDate]]-Orders[[#This Row],[orderDate]]</f>
        <v>28</v>
      </c>
      <c r="P557">
        <f>Orders[[#This Row],[shippedDate]]-Orders[[#This Row],[orderDate]]</f>
        <v>7</v>
      </c>
      <c r="Q557">
        <f>Orders[[#This Row],[requiredDate]]-Orders[[#This Row],[shippedDate]]</f>
        <v>21</v>
      </c>
    </row>
    <row r="558" spans="1:17" x14ac:dyDescent="0.2">
      <c r="A558">
        <v>10804</v>
      </c>
      <c r="B558" t="s">
        <v>276</v>
      </c>
      <c r="C558">
        <v>6</v>
      </c>
      <c r="D558" s="1">
        <v>35794</v>
      </c>
      <c r="E558" s="1">
        <v>35822</v>
      </c>
      <c r="F558" s="1">
        <v>35802</v>
      </c>
      <c r="G558">
        <v>2</v>
      </c>
      <c r="H558" s="2">
        <v>27.33</v>
      </c>
      <c r="I558" t="s">
        <v>277</v>
      </c>
      <c r="J558" t="s">
        <v>278</v>
      </c>
      <c r="K558" t="s">
        <v>167</v>
      </c>
      <c r="L558" t="s">
        <v>18</v>
      </c>
      <c r="M558" t="s">
        <v>279</v>
      </c>
      <c r="N558" t="s">
        <v>169</v>
      </c>
      <c r="O558">
        <f>Orders[[#This Row],[requiredDate]]-Orders[[#This Row],[orderDate]]</f>
        <v>28</v>
      </c>
      <c r="P558">
        <f>Orders[[#This Row],[shippedDate]]-Orders[[#This Row],[orderDate]]</f>
        <v>8</v>
      </c>
      <c r="Q558">
        <f>Orders[[#This Row],[requiredDate]]-Orders[[#This Row],[shippedDate]]</f>
        <v>20</v>
      </c>
    </row>
    <row r="559" spans="1:17" x14ac:dyDescent="0.2">
      <c r="A559">
        <v>10805</v>
      </c>
      <c r="B559" t="s">
        <v>206</v>
      </c>
      <c r="C559">
        <v>2</v>
      </c>
      <c r="D559" s="1">
        <v>35794</v>
      </c>
      <c r="E559" s="1">
        <v>35822</v>
      </c>
      <c r="F559" s="1">
        <v>35804</v>
      </c>
      <c r="G559">
        <v>3</v>
      </c>
      <c r="H559" s="2">
        <v>237.34</v>
      </c>
      <c r="I559" t="s">
        <v>207</v>
      </c>
      <c r="J559" t="s">
        <v>208</v>
      </c>
      <c r="K559" t="s">
        <v>201</v>
      </c>
      <c r="L559" t="s">
        <v>202</v>
      </c>
      <c r="M559">
        <v>97201</v>
      </c>
      <c r="N559" t="s">
        <v>86</v>
      </c>
      <c r="O559">
        <f>Orders[[#This Row],[requiredDate]]-Orders[[#This Row],[orderDate]]</f>
        <v>28</v>
      </c>
      <c r="P559">
        <f>Orders[[#This Row],[shippedDate]]-Orders[[#This Row],[orderDate]]</f>
        <v>10</v>
      </c>
      <c r="Q559">
        <f>Orders[[#This Row],[requiredDate]]-Orders[[#This Row],[shippedDate]]</f>
        <v>18</v>
      </c>
    </row>
    <row r="560" spans="1:17" x14ac:dyDescent="0.2">
      <c r="A560">
        <v>10806</v>
      </c>
      <c r="B560" t="s">
        <v>32</v>
      </c>
      <c r="C560">
        <v>3</v>
      </c>
      <c r="D560" s="1">
        <v>35795</v>
      </c>
      <c r="E560" s="1">
        <v>35823</v>
      </c>
      <c r="F560" s="1">
        <v>35800</v>
      </c>
      <c r="G560">
        <v>2</v>
      </c>
      <c r="H560" s="2">
        <v>22.11</v>
      </c>
      <c r="I560" t="s">
        <v>33</v>
      </c>
      <c r="J560" t="s">
        <v>34</v>
      </c>
      <c r="K560" t="s">
        <v>35</v>
      </c>
      <c r="L560" t="s">
        <v>18</v>
      </c>
      <c r="M560">
        <v>69004</v>
      </c>
      <c r="N560" t="s">
        <v>19</v>
      </c>
      <c r="O560">
        <f>Orders[[#This Row],[requiredDate]]-Orders[[#This Row],[orderDate]]</f>
        <v>28</v>
      </c>
      <c r="P560">
        <f>Orders[[#This Row],[shippedDate]]-Orders[[#This Row],[orderDate]]</f>
        <v>5</v>
      </c>
      <c r="Q560">
        <f>Orders[[#This Row],[requiredDate]]-Orders[[#This Row],[shippedDate]]</f>
        <v>23</v>
      </c>
    </row>
    <row r="561" spans="1:17" x14ac:dyDescent="0.2">
      <c r="A561">
        <v>10807</v>
      </c>
      <c r="B561" t="s">
        <v>338</v>
      </c>
      <c r="C561">
        <v>4</v>
      </c>
      <c r="D561" s="1">
        <v>35795</v>
      </c>
      <c r="E561" s="1">
        <v>35823</v>
      </c>
      <c r="F561" s="1">
        <v>35825</v>
      </c>
      <c r="G561">
        <v>1</v>
      </c>
      <c r="H561" s="2">
        <v>1.36</v>
      </c>
      <c r="I561" t="s">
        <v>339</v>
      </c>
      <c r="J561" t="s">
        <v>340</v>
      </c>
      <c r="K561" t="s">
        <v>341</v>
      </c>
      <c r="L561" t="s">
        <v>18</v>
      </c>
      <c r="M561">
        <v>10100</v>
      </c>
      <c r="N561" t="s">
        <v>129</v>
      </c>
      <c r="O561">
        <f>Orders[[#This Row],[requiredDate]]-Orders[[#This Row],[orderDate]]</f>
        <v>28</v>
      </c>
      <c r="P561">
        <f>Orders[[#This Row],[shippedDate]]-Orders[[#This Row],[orderDate]]</f>
        <v>30</v>
      </c>
      <c r="Q561">
        <f>Orders[[#This Row],[requiredDate]]-Orders[[#This Row],[shippedDate]]</f>
        <v>-2</v>
      </c>
    </row>
    <row r="562" spans="1:17" x14ac:dyDescent="0.2">
      <c r="A562">
        <v>10808</v>
      </c>
      <c r="B562" t="s">
        <v>193</v>
      </c>
      <c r="C562">
        <v>2</v>
      </c>
      <c r="D562" s="1">
        <v>35796</v>
      </c>
      <c r="E562" s="1">
        <v>35824</v>
      </c>
      <c r="F562" s="1">
        <v>35804</v>
      </c>
      <c r="G562">
        <v>3</v>
      </c>
      <c r="H562" s="2">
        <v>45.53</v>
      </c>
      <c r="I562" t="s">
        <v>194</v>
      </c>
      <c r="J562" t="s">
        <v>195</v>
      </c>
      <c r="K562" t="s">
        <v>196</v>
      </c>
      <c r="L562" t="s">
        <v>197</v>
      </c>
      <c r="M562">
        <v>99508</v>
      </c>
      <c r="N562" t="s">
        <v>86</v>
      </c>
      <c r="O562">
        <f>Orders[[#This Row],[requiredDate]]-Orders[[#This Row],[orderDate]]</f>
        <v>28</v>
      </c>
      <c r="P562">
        <f>Orders[[#This Row],[shippedDate]]-Orders[[#This Row],[orderDate]]</f>
        <v>8</v>
      </c>
      <c r="Q562">
        <f>Orders[[#This Row],[requiredDate]]-Orders[[#This Row],[shippedDate]]</f>
        <v>20</v>
      </c>
    </row>
    <row r="563" spans="1:17" x14ac:dyDescent="0.2">
      <c r="A563">
        <v>10809</v>
      </c>
      <c r="B563" t="s">
        <v>51</v>
      </c>
      <c r="C563">
        <v>7</v>
      </c>
      <c r="D563" s="1">
        <v>35796</v>
      </c>
      <c r="E563" s="1">
        <v>35824</v>
      </c>
      <c r="F563" s="1">
        <v>35802</v>
      </c>
      <c r="G563">
        <v>1</v>
      </c>
      <c r="H563" s="2">
        <v>4.87</v>
      </c>
      <c r="I563" t="s">
        <v>52</v>
      </c>
      <c r="J563" t="s">
        <v>53</v>
      </c>
      <c r="K563" t="s">
        <v>54</v>
      </c>
      <c r="L563" t="s">
        <v>55</v>
      </c>
      <c r="M563" t="s">
        <v>56</v>
      </c>
      <c r="N563" t="s">
        <v>31</v>
      </c>
      <c r="O563">
        <f>Orders[[#This Row],[requiredDate]]-Orders[[#This Row],[orderDate]]</f>
        <v>28</v>
      </c>
      <c r="P563">
        <f>Orders[[#This Row],[shippedDate]]-Orders[[#This Row],[orderDate]]</f>
        <v>6</v>
      </c>
      <c r="Q563">
        <f>Orders[[#This Row],[requiredDate]]-Orders[[#This Row],[shippedDate]]</f>
        <v>22</v>
      </c>
    </row>
    <row r="564" spans="1:17" x14ac:dyDescent="0.2">
      <c r="A564">
        <v>10810</v>
      </c>
      <c r="B564" t="s">
        <v>358</v>
      </c>
      <c r="C564">
        <v>2</v>
      </c>
      <c r="D564" s="1">
        <v>35796</v>
      </c>
      <c r="E564" s="1">
        <v>35824</v>
      </c>
      <c r="F564" s="1">
        <v>35802</v>
      </c>
      <c r="G564">
        <v>3</v>
      </c>
      <c r="H564" s="2">
        <v>4.33</v>
      </c>
      <c r="I564" t="s">
        <v>359</v>
      </c>
      <c r="J564" t="s">
        <v>360</v>
      </c>
      <c r="K564" t="s">
        <v>361</v>
      </c>
      <c r="L564" t="s">
        <v>322</v>
      </c>
      <c r="M564" t="s">
        <v>362</v>
      </c>
      <c r="N564" t="s">
        <v>249</v>
      </c>
      <c r="O564">
        <f>Orders[[#This Row],[requiredDate]]-Orders[[#This Row],[orderDate]]</f>
        <v>28</v>
      </c>
      <c r="P564">
        <f>Orders[[#This Row],[shippedDate]]-Orders[[#This Row],[orderDate]]</f>
        <v>6</v>
      </c>
      <c r="Q564">
        <f>Orders[[#This Row],[requiredDate]]-Orders[[#This Row],[shippedDate]]</f>
        <v>22</v>
      </c>
    </row>
    <row r="565" spans="1:17" x14ac:dyDescent="0.2">
      <c r="A565">
        <v>10811</v>
      </c>
      <c r="B565" t="s">
        <v>324</v>
      </c>
      <c r="C565">
        <v>8</v>
      </c>
      <c r="D565" s="1">
        <v>35797</v>
      </c>
      <c r="E565" s="1">
        <v>35825</v>
      </c>
      <c r="F565" s="1">
        <v>35803</v>
      </c>
      <c r="G565">
        <v>1</v>
      </c>
      <c r="H565" s="2">
        <v>31.22</v>
      </c>
      <c r="I565" t="s">
        <v>325</v>
      </c>
      <c r="J565" t="s">
        <v>326</v>
      </c>
      <c r="K565" t="s">
        <v>327</v>
      </c>
      <c r="L565" t="s">
        <v>328</v>
      </c>
      <c r="M565">
        <v>4980</v>
      </c>
      <c r="N565" t="s">
        <v>62</v>
      </c>
      <c r="O565">
        <f>Orders[[#This Row],[requiredDate]]-Orders[[#This Row],[orderDate]]</f>
        <v>28</v>
      </c>
      <c r="P565">
        <f>Orders[[#This Row],[shippedDate]]-Orders[[#This Row],[orderDate]]</f>
        <v>6</v>
      </c>
      <c r="Q565">
        <f>Orders[[#This Row],[requiredDate]]-Orders[[#This Row],[shippedDate]]</f>
        <v>22</v>
      </c>
    </row>
    <row r="566" spans="1:17" x14ac:dyDescent="0.2">
      <c r="A566">
        <v>10812</v>
      </c>
      <c r="B566" t="s">
        <v>160</v>
      </c>
      <c r="C566">
        <v>5</v>
      </c>
      <c r="D566" s="1">
        <v>35797</v>
      </c>
      <c r="E566" s="1">
        <v>35825</v>
      </c>
      <c r="F566" s="1">
        <v>35807</v>
      </c>
      <c r="G566">
        <v>1</v>
      </c>
      <c r="H566" s="2">
        <v>59.78</v>
      </c>
      <c r="I566" t="s">
        <v>161</v>
      </c>
      <c r="J566" t="s">
        <v>162</v>
      </c>
      <c r="K566" t="s">
        <v>163</v>
      </c>
      <c r="L566" t="s">
        <v>18</v>
      </c>
      <c r="M566">
        <v>42100</v>
      </c>
      <c r="N566" t="s">
        <v>129</v>
      </c>
      <c r="O566">
        <f>Orders[[#This Row],[requiredDate]]-Orders[[#This Row],[orderDate]]</f>
        <v>28</v>
      </c>
      <c r="P566">
        <f>Orders[[#This Row],[shippedDate]]-Orders[[#This Row],[orderDate]]</f>
        <v>10</v>
      </c>
      <c r="Q566">
        <f>Orders[[#This Row],[requiredDate]]-Orders[[#This Row],[shippedDate]]</f>
        <v>18</v>
      </c>
    </row>
    <row r="567" spans="1:17" x14ac:dyDescent="0.2">
      <c r="A567">
        <v>10813</v>
      </c>
      <c r="B567" t="s">
        <v>156</v>
      </c>
      <c r="C567">
        <v>1</v>
      </c>
      <c r="D567" s="1">
        <v>35800</v>
      </c>
      <c r="E567" s="1">
        <v>35828</v>
      </c>
      <c r="F567" s="1">
        <v>35804</v>
      </c>
      <c r="G567">
        <v>1</v>
      </c>
      <c r="H567" s="2">
        <v>47.38</v>
      </c>
      <c r="I567" t="s">
        <v>157</v>
      </c>
      <c r="J567" t="s">
        <v>158</v>
      </c>
      <c r="K567" t="s">
        <v>28</v>
      </c>
      <c r="L567" t="s">
        <v>29</v>
      </c>
      <c r="M567" t="s">
        <v>159</v>
      </c>
      <c r="N567" t="s">
        <v>31</v>
      </c>
      <c r="O567">
        <f>Orders[[#This Row],[requiredDate]]-Orders[[#This Row],[orderDate]]</f>
        <v>28</v>
      </c>
      <c r="P567">
        <f>Orders[[#This Row],[shippedDate]]-Orders[[#This Row],[orderDate]]</f>
        <v>4</v>
      </c>
      <c r="Q567">
        <f>Orders[[#This Row],[requiredDate]]-Orders[[#This Row],[shippedDate]]</f>
        <v>24</v>
      </c>
    </row>
    <row r="568" spans="1:17" x14ac:dyDescent="0.2">
      <c r="A568">
        <v>10814</v>
      </c>
      <c r="B568" t="s">
        <v>32</v>
      </c>
      <c r="C568">
        <v>3</v>
      </c>
      <c r="D568" s="1">
        <v>35800</v>
      </c>
      <c r="E568" s="1">
        <v>35828</v>
      </c>
      <c r="F568" s="1">
        <v>35809</v>
      </c>
      <c r="G568">
        <v>3</v>
      </c>
      <c r="H568" s="2">
        <v>130.94</v>
      </c>
      <c r="I568" t="s">
        <v>33</v>
      </c>
      <c r="J568" t="s">
        <v>34</v>
      </c>
      <c r="K568" t="s">
        <v>35</v>
      </c>
      <c r="L568" t="s">
        <v>18</v>
      </c>
      <c r="M568">
        <v>69004</v>
      </c>
      <c r="N568" t="s">
        <v>19</v>
      </c>
      <c r="O568">
        <f>Orders[[#This Row],[requiredDate]]-Orders[[#This Row],[orderDate]]</f>
        <v>28</v>
      </c>
      <c r="P568">
        <f>Orders[[#This Row],[shippedDate]]-Orders[[#This Row],[orderDate]]</f>
        <v>9</v>
      </c>
      <c r="Q568">
        <f>Orders[[#This Row],[requiredDate]]-Orders[[#This Row],[shippedDate]]</f>
        <v>19</v>
      </c>
    </row>
    <row r="569" spans="1:17" x14ac:dyDescent="0.2">
      <c r="A569">
        <v>10815</v>
      </c>
      <c r="B569" t="s">
        <v>226</v>
      </c>
      <c r="C569">
        <v>2</v>
      </c>
      <c r="D569" s="1">
        <v>35800</v>
      </c>
      <c r="E569" s="1">
        <v>35828</v>
      </c>
      <c r="F569" s="1">
        <v>35809</v>
      </c>
      <c r="G569">
        <v>3</v>
      </c>
      <c r="H569" s="2">
        <v>14.62</v>
      </c>
      <c r="I569" t="s">
        <v>227</v>
      </c>
      <c r="J569" t="s">
        <v>228</v>
      </c>
      <c r="K569" t="s">
        <v>229</v>
      </c>
      <c r="L569" t="s">
        <v>230</v>
      </c>
      <c r="M569">
        <v>83720</v>
      </c>
      <c r="N569" t="s">
        <v>86</v>
      </c>
      <c r="O569">
        <f>Orders[[#This Row],[requiredDate]]-Orders[[#This Row],[orderDate]]</f>
        <v>28</v>
      </c>
      <c r="P569">
        <f>Orders[[#This Row],[shippedDate]]-Orders[[#This Row],[orderDate]]</f>
        <v>9</v>
      </c>
      <c r="Q569">
        <f>Orders[[#This Row],[requiredDate]]-Orders[[#This Row],[shippedDate]]</f>
        <v>19</v>
      </c>
    </row>
    <row r="570" spans="1:17" x14ac:dyDescent="0.2">
      <c r="A570">
        <v>10816</v>
      </c>
      <c r="B570" t="s">
        <v>374</v>
      </c>
      <c r="C570">
        <v>4</v>
      </c>
      <c r="D570" s="1">
        <v>35801</v>
      </c>
      <c r="E570" s="1">
        <v>35829</v>
      </c>
      <c r="F570" s="1">
        <v>35830</v>
      </c>
      <c r="G570">
        <v>2</v>
      </c>
      <c r="H570" s="2">
        <v>719.78</v>
      </c>
      <c r="I570" t="s">
        <v>375</v>
      </c>
      <c r="J570" t="s">
        <v>376</v>
      </c>
      <c r="K570" t="s">
        <v>377</v>
      </c>
      <c r="L570" t="s">
        <v>202</v>
      </c>
      <c r="M570">
        <v>97403</v>
      </c>
      <c r="N570" t="s">
        <v>86</v>
      </c>
      <c r="O570">
        <f>Orders[[#This Row],[requiredDate]]-Orders[[#This Row],[orderDate]]</f>
        <v>28</v>
      </c>
      <c r="P570">
        <f>Orders[[#This Row],[shippedDate]]-Orders[[#This Row],[orderDate]]</f>
        <v>29</v>
      </c>
      <c r="Q570">
        <f>Orders[[#This Row],[requiredDate]]-Orders[[#This Row],[shippedDate]]</f>
        <v>-1</v>
      </c>
    </row>
    <row r="571" spans="1:17" x14ac:dyDescent="0.2">
      <c r="A571">
        <v>10817</v>
      </c>
      <c r="B571" t="s">
        <v>222</v>
      </c>
      <c r="C571">
        <v>3</v>
      </c>
      <c r="D571" s="1">
        <v>35801</v>
      </c>
      <c r="E571" s="1">
        <v>35815</v>
      </c>
      <c r="F571" s="1">
        <v>35808</v>
      </c>
      <c r="G571">
        <v>2</v>
      </c>
      <c r="H571" s="2">
        <v>306.07</v>
      </c>
      <c r="I571" t="s">
        <v>223</v>
      </c>
      <c r="J571" t="s">
        <v>224</v>
      </c>
      <c r="K571" t="s">
        <v>225</v>
      </c>
      <c r="L571" t="s">
        <v>18</v>
      </c>
      <c r="M571">
        <v>14776</v>
      </c>
      <c r="N571" t="s">
        <v>24</v>
      </c>
      <c r="O571">
        <f>Orders[[#This Row],[requiredDate]]-Orders[[#This Row],[orderDate]]</f>
        <v>14</v>
      </c>
      <c r="P571">
        <f>Orders[[#This Row],[shippedDate]]-Orders[[#This Row],[orderDate]]</f>
        <v>7</v>
      </c>
      <c r="Q571">
        <f>Orders[[#This Row],[requiredDate]]-Orders[[#This Row],[shippedDate]]</f>
        <v>7</v>
      </c>
    </row>
    <row r="572" spans="1:17" x14ac:dyDescent="0.2">
      <c r="A572">
        <v>10818</v>
      </c>
      <c r="B572" t="s">
        <v>125</v>
      </c>
      <c r="C572">
        <v>7</v>
      </c>
      <c r="D572" s="1">
        <v>35802</v>
      </c>
      <c r="E572" s="1">
        <v>35830</v>
      </c>
      <c r="F572" s="1">
        <v>35807</v>
      </c>
      <c r="G572">
        <v>3</v>
      </c>
      <c r="H572" s="2">
        <v>65.48</v>
      </c>
      <c r="I572" t="s">
        <v>126</v>
      </c>
      <c r="J572" t="s">
        <v>127</v>
      </c>
      <c r="K572" t="s">
        <v>128</v>
      </c>
      <c r="L572" t="s">
        <v>18</v>
      </c>
      <c r="M572">
        <v>24100</v>
      </c>
      <c r="N572" t="s">
        <v>129</v>
      </c>
      <c r="O572">
        <f>Orders[[#This Row],[requiredDate]]-Orders[[#This Row],[orderDate]]</f>
        <v>28</v>
      </c>
      <c r="P572">
        <f>Orders[[#This Row],[shippedDate]]-Orders[[#This Row],[orderDate]]</f>
        <v>5</v>
      </c>
      <c r="Q572">
        <f>Orders[[#This Row],[requiredDate]]-Orders[[#This Row],[shippedDate]]</f>
        <v>23</v>
      </c>
    </row>
    <row r="573" spans="1:17" x14ac:dyDescent="0.2">
      <c r="A573">
        <v>10819</v>
      </c>
      <c r="B573" t="s">
        <v>371</v>
      </c>
      <c r="C573">
        <v>2</v>
      </c>
      <c r="D573" s="1">
        <v>35802</v>
      </c>
      <c r="E573" s="1">
        <v>35830</v>
      </c>
      <c r="F573" s="1">
        <v>35811</v>
      </c>
      <c r="G573">
        <v>3</v>
      </c>
      <c r="H573" s="2">
        <v>19.760000000000002</v>
      </c>
      <c r="I573" t="s">
        <v>372</v>
      </c>
      <c r="J573" t="s">
        <v>373</v>
      </c>
      <c r="K573" t="s">
        <v>336</v>
      </c>
      <c r="L573" t="s">
        <v>18</v>
      </c>
      <c r="M573">
        <v>1010</v>
      </c>
      <c r="N573" t="s">
        <v>337</v>
      </c>
      <c r="O573">
        <f>Orders[[#This Row],[requiredDate]]-Orders[[#This Row],[orderDate]]</f>
        <v>28</v>
      </c>
      <c r="P573">
        <f>Orders[[#This Row],[shippedDate]]-Orders[[#This Row],[orderDate]]</f>
        <v>9</v>
      </c>
      <c r="Q573">
        <f>Orders[[#This Row],[requiredDate]]-Orders[[#This Row],[shippedDate]]</f>
        <v>19</v>
      </c>
    </row>
    <row r="574" spans="1:17" x14ac:dyDescent="0.2">
      <c r="A574">
        <v>10820</v>
      </c>
      <c r="B574" t="s">
        <v>81</v>
      </c>
      <c r="C574">
        <v>3</v>
      </c>
      <c r="D574" s="1">
        <v>35802</v>
      </c>
      <c r="E574" s="1">
        <v>35830</v>
      </c>
      <c r="F574" s="1">
        <v>35808</v>
      </c>
      <c r="G574">
        <v>2</v>
      </c>
      <c r="H574" s="2">
        <v>37.520000000000003</v>
      </c>
      <c r="I574" t="s">
        <v>82</v>
      </c>
      <c r="J574" t="s">
        <v>83</v>
      </c>
      <c r="K574" t="s">
        <v>84</v>
      </c>
      <c r="L574" t="s">
        <v>85</v>
      </c>
      <c r="M574">
        <v>87110</v>
      </c>
      <c r="N574" t="s">
        <v>86</v>
      </c>
      <c r="O574">
        <f>Orders[[#This Row],[requiredDate]]-Orders[[#This Row],[orderDate]]</f>
        <v>28</v>
      </c>
      <c r="P574">
        <f>Orders[[#This Row],[shippedDate]]-Orders[[#This Row],[orderDate]]</f>
        <v>6</v>
      </c>
      <c r="Q574">
        <f>Orders[[#This Row],[requiredDate]]-Orders[[#This Row],[shippedDate]]</f>
        <v>22</v>
      </c>
    </row>
    <row r="575" spans="1:17" x14ac:dyDescent="0.2">
      <c r="A575">
        <v>10821</v>
      </c>
      <c r="B575" t="s">
        <v>116</v>
      </c>
      <c r="C575">
        <v>1</v>
      </c>
      <c r="D575" s="1">
        <v>35803</v>
      </c>
      <c r="E575" s="1">
        <v>35831</v>
      </c>
      <c r="F575" s="1">
        <v>35810</v>
      </c>
      <c r="G575">
        <v>1</v>
      </c>
      <c r="H575" s="2">
        <v>36.68</v>
      </c>
      <c r="I575" t="s">
        <v>117</v>
      </c>
      <c r="J575" t="s">
        <v>118</v>
      </c>
      <c r="K575" t="s">
        <v>119</v>
      </c>
      <c r="L575" t="s">
        <v>120</v>
      </c>
      <c r="M575">
        <v>82520</v>
      </c>
      <c r="N575" t="s">
        <v>86</v>
      </c>
      <c r="O575">
        <f>Orders[[#This Row],[requiredDate]]-Orders[[#This Row],[orderDate]]</f>
        <v>28</v>
      </c>
      <c r="P575">
        <f>Orders[[#This Row],[shippedDate]]-Orders[[#This Row],[orderDate]]</f>
        <v>7</v>
      </c>
      <c r="Q575">
        <f>Orders[[#This Row],[requiredDate]]-Orders[[#This Row],[shippedDate]]</f>
        <v>21</v>
      </c>
    </row>
    <row r="576" spans="1:17" x14ac:dyDescent="0.2">
      <c r="A576">
        <v>10822</v>
      </c>
      <c r="B576" t="s">
        <v>383</v>
      </c>
      <c r="C576">
        <v>6</v>
      </c>
      <c r="D576" s="1">
        <v>35803</v>
      </c>
      <c r="E576" s="1">
        <v>35831</v>
      </c>
      <c r="F576" s="1">
        <v>35811</v>
      </c>
      <c r="G576">
        <v>3</v>
      </c>
      <c r="H576" s="2">
        <v>7</v>
      </c>
      <c r="I576" t="s">
        <v>384</v>
      </c>
      <c r="J576" t="s">
        <v>385</v>
      </c>
      <c r="K576" t="s">
        <v>386</v>
      </c>
      <c r="L576" t="s">
        <v>115</v>
      </c>
      <c r="M576">
        <v>98034</v>
      </c>
      <c r="N576" t="s">
        <v>86</v>
      </c>
      <c r="O576">
        <f>Orders[[#This Row],[requiredDate]]-Orders[[#This Row],[orderDate]]</f>
        <v>28</v>
      </c>
      <c r="P576">
        <f>Orders[[#This Row],[shippedDate]]-Orders[[#This Row],[orderDate]]</f>
        <v>8</v>
      </c>
      <c r="Q576">
        <f>Orders[[#This Row],[requiredDate]]-Orders[[#This Row],[shippedDate]]</f>
        <v>20</v>
      </c>
    </row>
    <row r="577" spans="1:17" x14ac:dyDescent="0.2">
      <c r="A577">
        <v>10823</v>
      </c>
      <c r="B577" t="s">
        <v>151</v>
      </c>
      <c r="C577">
        <v>5</v>
      </c>
      <c r="D577" s="1">
        <v>35804</v>
      </c>
      <c r="E577" s="1">
        <v>35832</v>
      </c>
      <c r="F577" s="1">
        <v>35808</v>
      </c>
      <c r="G577">
        <v>2</v>
      </c>
      <c r="H577" s="2">
        <v>163.97</v>
      </c>
      <c r="I577" t="s">
        <v>152</v>
      </c>
      <c r="J577" t="s">
        <v>153</v>
      </c>
      <c r="K577" t="s">
        <v>154</v>
      </c>
      <c r="L577" t="s">
        <v>155</v>
      </c>
      <c r="M577">
        <v>3508</v>
      </c>
      <c r="N577" t="s">
        <v>62</v>
      </c>
      <c r="O577">
        <f>Orders[[#This Row],[requiredDate]]-Orders[[#This Row],[orderDate]]</f>
        <v>28</v>
      </c>
      <c r="P577">
        <f>Orders[[#This Row],[shippedDate]]-Orders[[#This Row],[orderDate]]</f>
        <v>4</v>
      </c>
      <c r="Q577">
        <f>Orders[[#This Row],[requiredDate]]-Orders[[#This Row],[shippedDate]]</f>
        <v>24</v>
      </c>
    </row>
    <row r="578" spans="1:17" x14ac:dyDescent="0.2">
      <c r="A578">
        <v>10824</v>
      </c>
      <c r="B578" t="s">
        <v>87</v>
      </c>
      <c r="C578">
        <v>8</v>
      </c>
      <c r="D578" s="1">
        <v>35804</v>
      </c>
      <c r="E578" s="1">
        <v>35832</v>
      </c>
      <c r="F578" s="1">
        <v>35825</v>
      </c>
      <c r="G578">
        <v>1</v>
      </c>
      <c r="H578" s="2">
        <v>1.23</v>
      </c>
      <c r="I578" t="s">
        <v>88</v>
      </c>
      <c r="J578" t="s">
        <v>89</v>
      </c>
      <c r="K578" t="s">
        <v>90</v>
      </c>
      <c r="L578" t="s">
        <v>18</v>
      </c>
      <c r="M578" t="s">
        <v>91</v>
      </c>
      <c r="N578" t="s">
        <v>92</v>
      </c>
      <c r="O578">
        <f>Orders[[#This Row],[requiredDate]]-Orders[[#This Row],[orderDate]]</f>
        <v>28</v>
      </c>
      <c r="P578">
        <f>Orders[[#This Row],[shippedDate]]-Orders[[#This Row],[orderDate]]</f>
        <v>21</v>
      </c>
      <c r="Q578">
        <f>Orders[[#This Row],[requiredDate]]-Orders[[#This Row],[shippedDate]]</f>
        <v>7</v>
      </c>
    </row>
    <row r="579" spans="1:17" x14ac:dyDescent="0.2">
      <c r="A579">
        <v>10825</v>
      </c>
      <c r="B579" t="s">
        <v>280</v>
      </c>
      <c r="C579">
        <v>1</v>
      </c>
      <c r="D579" s="1">
        <v>35804</v>
      </c>
      <c r="E579" s="1">
        <v>35832</v>
      </c>
      <c r="F579" s="1">
        <v>35809</v>
      </c>
      <c r="G579">
        <v>1</v>
      </c>
      <c r="H579" s="2">
        <v>79.25</v>
      </c>
      <c r="I579" t="s">
        <v>281</v>
      </c>
      <c r="J579" t="s">
        <v>282</v>
      </c>
      <c r="K579" t="s">
        <v>283</v>
      </c>
      <c r="L579" t="s">
        <v>18</v>
      </c>
      <c r="M579">
        <v>52066</v>
      </c>
      <c r="N579" t="s">
        <v>24</v>
      </c>
      <c r="O579">
        <f>Orders[[#This Row],[requiredDate]]-Orders[[#This Row],[orderDate]]</f>
        <v>28</v>
      </c>
      <c r="P579">
        <f>Orders[[#This Row],[shippedDate]]-Orders[[#This Row],[orderDate]]</f>
        <v>5</v>
      </c>
      <c r="Q579">
        <f>Orders[[#This Row],[requiredDate]]-Orders[[#This Row],[shippedDate]]</f>
        <v>23</v>
      </c>
    </row>
    <row r="580" spans="1:17" x14ac:dyDescent="0.2">
      <c r="A580">
        <v>10826</v>
      </c>
      <c r="B580" t="s">
        <v>93</v>
      </c>
      <c r="C580">
        <v>6</v>
      </c>
      <c r="D580" s="1">
        <v>35807</v>
      </c>
      <c r="E580" s="1">
        <v>35835</v>
      </c>
      <c r="F580" s="1">
        <v>35832</v>
      </c>
      <c r="G580">
        <v>1</v>
      </c>
      <c r="H580" s="2">
        <v>7.09</v>
      </c>
      <c r="I580" t="s">
        <v>94</v>
      </c>
      <c r="J580" t="s">
        <v>95</v>
      </c>
      <c r="K580" t="s">
        <v>96</v>
      </c>
      <c r="L580" t="s">
        <v>18</v>
      </c>
      <c r="M580">
        <v>67000</v>
      </c>
      <c r="N580" t="s">
        <v>19</v>
      </c>
      <c r="O580">
        <f>Orders[[#This Row],[requiredDate]]-Orders[[#This Row],[orderDate]]</f>
        <v>28</v>
      </c>
      <c r="P580">
        <f>Orders[[#This Row],[shippedDate]]-Orders[[#This Row],[orderDate]]</f>
        <v>25</v>
      </c>
      <c r="Q580">
        <f>Orders[[#This Row],[requiredDate]]-Orders[[#This Row],[shippedDate]]</f>
        <v>3</v>
      </c>
    </row>
    <row r="581" spans="1:17" x14ac:dyDescent="0.2">
      <c r="A581">
        <v>10827</v>
      </c>
      <c r="B581" t="s">
        <v>239</v>
      </c>
      <c r="C581">
        <v>1</v>
      </c>
      <c r="D581" s="1">
        <v>35807</v>
      </c>
      <c r="E581" s="1">
        <v>35821</v>
      </c>
      <c r="F581" s="1">
        <v>35832</v>
      </c>
      <c r="G581">
        <v>2</v>
      </c>
      <c r="H581" s="2">
        <v>63.54</v>
      </c>
      <c r="I581" t="s">
        <v>240</v>
      </c>
      <c r="J581" t="s">
        <v>241</v>
      </c>
      <c r="K581" t="s">
        <v>242</v>
      </c>
      <c r="L581" t="s">
        <v>18</v>
      </c>
      <c r="M581">
        <v>13008</v>
      </c>
      <c r="N581" t="s">
        <v>19</v>
      </c>
      <c r="O581">
        <f>Orders[[#This Row],[requiredDate]]-Orders[[#This Row],[orderDate]]</f>
        <v>14</v>
      </c>
      <c r="P581">
        <f>Orders[[#This Row],[shippedDate]]-Orders[[#This Row],[orderDate]]</f>
        <v>25</v>
      </c>
      <c r="Q581">
        <f>Orders[[#This Row],[requiredDate]]-Orders[[#This Row],[shippedDate]]</f>
        <v>-11</v>
      </c>
    </row>
    <row r="582" spans="1:17" x14ac:dyDescent="0.2">
      <c r="A582">
        <v>10828</v>
      </c>
      <c r="B582" t="s">
        <v>351</v>
      </c>
      <c r="C582">
        <v>9</v>
      </c>
      <c r="D582" s="1">
        <v>35808</v>
      </c>
      <c r="E582" s="1">
        <v>35822</v>
      </c>
      <c r="F582" s="1">
        <v>35830</v>
      </c>
      <c r="G582">
        <v>1</v>
      </c>
      <c r="H582" s="2">
        <v>90.85</v>
      </c>
      <c r="I582" t="s">
        <v>352</v>
      </c>
      <c r="J582" t="s">
        <v>353</v>
      </c>
      <c r="K582" t="s">
        <v>336</v>
      </c>
      <c r="L582" t="s">
        <v>18</v>
      </c>
      <c r="M582">
        <v>1010</v>
      </c>
      <c r="N582" t="s">
        <v>337</v>
      </c>
      <c r="O582">
        <f>Orders[[#This Row],[requiredDate]]-Orders[[#This Row],[orderDate]]</f>
        <v>14</v>
      </c>
      <c r="P582">
        <f>Orders[[#This Row],[shippedDate]]-Orders[[#This Row],[orderDate]]</f>
        <v>22</v>
      </c>
      <c r="Q582">
        <f>Orders[[#This Row],[requiredDate]]-Orders[[#This Row],[shippedDate]]</f>
        <v>-8</v>
      </c>
    </row>
    <row r="583" spans="1:17" x14ac:dyDescent="0.2">
      <c r="A583">
        <v>10829</v>
      </c>
      <c r="B583" t="s">
        <v>213</v>
      </c>
      <c r="C583">
        <v>9</v>
      </c>
      <c r="D583" s="1">
        <v>35808</v>
      </c>
      <c r="E583" s="1">
        <v>35836</v>
      </c>
      <c r="F583" s="1">
        <v>35818</v>
      </c>
      <c r="G583">
        <v>1</v>
      </c>
      <c r="H583" s="2">
        <v>154.72</v>
      </c>
      <c r="I583" t="s">
        <v>214</v>
      </c>
      <c r="J583" t="s">
        <v>215</v>
      </c>
      <c r="K583" t="s">
        <v>216</v>
      </c>
      <c r="L583" t="s">
        <v>217</v>
      </c>
      <c r="M583" t="s">
        <v>218</v>
      </c>
      <c r="N583" t="s">
        <v>169</v>
      </c>
      <c r="O583">
        <f>Orders[[#This Row],[requiredDate]]-Orders[[#This Row],[orderDate]]</f>
        <v>28</v>
      </c>
      <c r="P583">
        <f>Orders[[#This Row],[shippedDate]]-Orders[[#This Row],[orderDate]]</f>
        <v>10</v>
      </c>
      <c r="Q583">
        <f>Orders[[#This Row],[requiredDate]]-Orders[[#This Row],[shippedDate]]</f>
        <v>18</v>
      </c>
    </row>
    <row r="584" spans="1:17" x14ac:dyDescent="0.2">
      <c r="A584">
        <v>10830</v>
      </c>
      <c r="B584" t="s">
        <v>175</v>
      </c>
      <c r="C584">
        <v>4</v>
      </c>
      <c r="D584" s="1">
        <v>35808</v>
      </c>
      <c r="E584" s="1">
        <v>35850</v>
      </c>
      <c r="F584" s="1">
        <v>35816</v>
      </c>
      <c r="G584">
        <v>2</v>
      </c>
      <c r="H584" s="2">
        <v>81.83</v>
      </c>
      <c r="I584" t="s">
        <v>176</v>
      </c>
      <c r="J584" t="s">
        <v>177</v>
      </c>
      <c r="K584" t="s">
        <v>173</v>
      </c>
      <c r="L584" t="s">
        <v>55</v>
      </c>
      <c r="M584" t="s">
        <v>178</v>
      </c>
      <c r="N584" t="s">
        <v>31</v>
      </c>
      <c r="O584">
        <f>Orders[[#This Row],[requiredDate]]-Orders[[#This Row],[orderDate]]</f>
        <v>42</v>
      </c>
      <c r="P584">
        <f>Orders[[#This Row],[shippedDate]]-Orders[[#This Row],[orderDate]]</f>
        <v>8</v>
      </c>
      <c r="Q584">
        <f>Orders[[#This Row],[requiredDate]]-Orders[[#This Row],[shippedDate]]</f>
        <v>34</v>
      </c>
    </row>
    <row r="585" spans="1:17" x14ac:dyDescent="0.2">
      <c r="A585">
        <v>10831</v>
      </c>
      <c r="B585" t="s">
        <v>313</v>
      </c>
      <c r="C585">
        <v>3</v>
      </c>
      <c r="D585" s="1">
        <v>35809</v>
      </c>
      <c r="E585" s="1">
        <v>35837</v>
      </c>
      <c r="F585" s="1">
        <v>35818</v>
      </c>
      <c r="G585">
        <v>2</v>
      </c>
      <c r="H585" s="2">
        <v>72.19</v>
      </c>
      <c r="I585" t="s">
        <v>314</v>
      </c>
      <c r="J585" t="s">
        <v>315</v>
      </c>
      <c r="K585" t="s">
        <v>316</v>
      </c>
      <c r="L585" t="s">
        <v>18</v>
      </c>
      <c r="M585">
        <v>4110</v>
      </c>
      <c r="N585" t="s">
        <v>317</v>
      </c>
      <c r="O585">
        <f>Orders[[#This Row],[requiredDate]]-Orders[[#This Row],[orderDate]]</f>
        <v>28</v>
      </c>
      <c r="P585">
        <f>Orders[[#This Row],[shippedDate]]-Orders[[#This Row],[orderDate]]</f>
        <v>9</v>
      </c>
      <c r="Q585">
        <f>Orders[[#This Row],[requiredDate]]-Orders[[#This Row],[shippedDate]]</f>
        <v>19</v>
      </c>
    </row>
    <row r="586" spans="1:17" x14ac:dyDescent="0.2">
      <c r="A586">
        <v>10832</v>
      </c>
      <c r="B586" t="s">
        <v>262</v>
      </c>
      <c r="C586">
        <v>2</v>
      </c>
      <c r="D586" s="1">
        <v>35809</v>
      </c>
      <c r="E586" s="1">
        <v>35837</v>
      </c>
      <c r="F586" s="1">
        <v>35814</v>
      </c>
      <c r="G586">
        <v>2</v>
      </c>
      <c r="H586" s="2">
        <v>43.26</v>
      </c>
      <c r="I586" t="s">
        <v>263</v>
      </c>
      <c r="J586" t="s">
        <v>264</v>
      </c>
      <c r="K586" t="s">
        <v>265</v>
      </c>
      <c r="L586" t="s">
        <v>18</v>
      </c>
      <c r="M586">
        <v>31000</v>
      </c>
      <c r="N586" t="s">
        <v>19</v>
      </c>
      <c r="O586">
        <f>Orders[[#This Row],[requiredDate]]-Orders[[#This Row],[orderDate]]</f>
        <v>28</v>
      </c>
      <c r="P586">
        <f>Orders[[#This Row],[shippedDate]]-Orders[[#This Row],[orderDate]]</f>
        <v>5</v>
      </c>
      <c r="Q586">
        <f>Orders[[#This Row],[requiredDate]]-Orders[[#This Row],[shippedDate]]</f>
        <v>23</v>
      </c>
    </row>
    <row r="587" spans="1:17" x14ac:dyDescent="0.2">
      <c r="A587">
        <v>10833</v>
      </c>
      <c r="B587" t="s">
        <v>73</v>
      </c>
      <c r="C587">
        <v>6</v>
      </c>
      <c r="D587" s="1">
        <v>35810</v>
      </c>
      <c r="E587" s="1">
        <v>35838</v>
      </c>
      <c r="F587" s="1">
        <v>35818</v>
      </c>
      <c r="G587">
        <v>2</v>
      </c>
      <c r="H587" s="2">
        <v>71.489999999999995</v>
      </c>
      <c r="I587" t="s">
        <v>74</v>
      </c>
      <c r="J587" t="s">
        <v>75</v>
      </c>
      <c r="K587" t="s">
        <v>76</v>
      </c>
      <c r="L587" t="s">
        <v>18</v>
      </c>
      <c r="M587">
        <v>50739</v>
      </c>
      <c r="N587" t="s">
        <v>24</v>
      </c>
      <c r="O587">
        <f>Orders[[#This Row],[requiredDate]]-Orders[[#This Row],[orderDate]]</f>
        <v>28</v>
      </c>
      <c r="P587">
        <f>Orders[[#This Row],[shippedDate]]-Orders[[#This Row],[orderDate]]</f>
        <v>8</v>
      </c>
      <c r="Q587">
        <f>Orders[[#This Row],[requiredDate]]-Orders[[#This Row],[shippedDate]]</f>
        <v>20</v>
      </c>
    </row>
    <row r="588" spans="1:17" x14ac:dyDescent="0.2">
      <c r="A588">
        <v>10834</v>
      </c>
      <c r="B588" t="s">
        <v>175</v>
      </c>
      <c r="C588">
        <v>1</v>
      </c>
      <c r="D588" s="1">
        <v>35810</v>
      </c>
      <c r="E588" s="1">
        <v>35838</v>
      </c>
      <c r="F588" s="1">
        <v>35814</v>
      </c>
      <c r="G588">
        <v>3</v>
      </c>
      <c r="H588" s="2">
        <v>29.78</v>
      </c>
      <c r="I588" t="s">
        <v>176</v>
      </c>
      <c r="J588" t="s">
        <v>177</v>
      </c>
      <c r="K588" t="s">
        <v>173</v>
      </c>
      <c r="L588" t="s">
        <v>55</v>
      </c>
      <c r="M588" t="s">
        <v>178</v>
      </c>
      <c r="N588" t="s">
        <v>31</v>
      </c>
      <c r="O588">
        <f>Orders[[#This Row],[requiredDate]]-Orders[[#This Row],[orderDate]]</f>
        <v>28</v>
      </c>
      <c r="P588">
        <f>Orders[[#This Row],[shippedDate]]-Orders[[#This Row],[orderDate]]</f>
        <v>4</v>
      </c>
      <c r="Q588">
        <f>Orders[[#This Row],[requiredDate]]-Orders[[#This Row],[shippedDate]]</f>
        <v>24</v>
      </c>
    </row>
    <row r="589" spans="1:17" x14ac:dyDescent="0.2">
      <c r="A589">
        <v>10835</v>
      </c>
      <c r="B589" t="s">
        <v>401</v>
      </c>
      <c r="C589">
        <v>1</v>
      </c>
      <c r="D589" s="1">
        <v>35810</v>
      </c>
      <c r="E589" s="1">
        <v>35838</v>
      </c>
      <c r="F589" s="1">
        <v>35816</v>
      </c>
      <c r="G589">
        <v>3</v>
      </c>
      <c r="H589" s="2">
        <v>69.53</v>
      </c>
      <c r="I589" t="s">
        <v>408</v>
      </c>
      <c r="J589" t="s">
        <v>403</v>
      </c>
      <c r="K589" t="s">
        <v>404</v>
      </c>
      <c r="L589" t="s">
        <v>18</v>
      </c>
      <c r="M589">
        <v>12209</v>
      </c>
      <c r="N589" t="s">
        <v>24</v>
      </c>
      <c r="O589">
        <f>Orders[[#This Row],[requiredDate]]-Orders[[#This Row],[orderDate]]</f>
        <v>28</v>
      </c>
      <c r="P589">
        <f>Orders[[#This Row],[shippedDate]]-Orders[[#This Row],[orderDate]]</f>
        <v>6</v>
      </c>
      <c r="Q589">
        <f>Orders[[#This Row],[requiredDate]]-Orders[[#This Row],[shippedDate]]</f>
        <v>22</v>
      </c>
    </row>
    <row r="590" spans="1:17" x14ac:dyDescent="0.2">
      <c r="A590">
        <v>10836</v>
      </c>
      <c r="B590" t="s">
        <v>63</v>
      </c>
      <c r="C590">
        <v>7</v>
      </c>
      <c r="D590" s="1">
        <v>35811</v>
      </c>
      <c r="E590" s="1">
        <v>35839</v>
      </c>
      <c r="F590" s="1">
        <v>35816</v>
      </c>
      <c r="G590">
        <v>1</v>
      </c>
      <c r="H590" s="2">
        <v>411.88</v>
      </c>
      <c r="I590" t="s">
        <v>64</v>
      </c>
      <c r="J590" t="s">
        <v>65</v>
      </c>
      <c r="K590" t="s">
        <v>66</v>
      </c>
      <c r="L590" t="s">
        <v>18</v>
      </c>
      <c r="M590">
        <v>8010</v>
      </c>
      <c r="N590" t="s">
        <v>67</v>
      </c>
      <c r="O590">
        <f>Orders[[#This Row],[requiredDate]]-Orders[[#This Row],[orderDate]]</f>
        <v>28</v>
      </c>
      <c r="P590">
        <f>Orders[[#This Row],[shippedDate]]-Orders[[#This Row],[orderDate]]</f>
        <v>5</v>
      </c>
      <c r="Q590">
        <f>Orders[[#This Row],[requiredDate]]-Orders[[#This Row],[shippedDate]]</f>
        <v>23</v>
      </c>
    </row>
    <row r="591" spans="1:17" x14ac:dyDescent="0.2">
      <c r="A591">
        <v>10837</v>
      </c>
      <c r="B591" t="s">
        <v>137</v>
      </c>
      <c r="C591">
        <v>9</v>
      </c>
      <c r="D591" s="1">
        <v>35811</v>
      </c>
      <c r="E591" s="1">
        <v>35839</v>
      </c>
      <c r="F591" s="1">
        <v>35818</v>
      </c>
      <c r="G591">
        <v>3</v>
      </c>
      <c r="H591" s="2">
        <v>13.32</v>
      </c>
      <c r="I591" t="s">
        <v>138</v>
      </c>
      <c r="J591" t="s">
        <v>139</v>
      </c>
      <c r="K591" t="s">
        <v>140</v>
      </c>
      <c r="L591" t="s">
        <v>18</v>
      </c>
      <c r="M591" t="s">
        <v>141</v>
      </c>
      <c r="N591" t="s">
        <v>92</v>
      </c>
      <c r="O591">
        <f>Orders[[#This Row],[requiredDate]]-Orders[[#This Row],[orderDate]]</f>
        <v>28</v>
      </c>
      <c r="P591">
        <f>Orders[[#This Row],[shippedDate]]-Orders[[#This Row],[orderDate]]</f>
        <v>7</v>
      </c>
      <c r="Q591">
        <f>Orders[[#This Row],[requiredDate]]-Orders[[#This Row],[shippedDate]]</f>
        <v>21</v>
      </c>
    </row>
    <row r="592" spans="1:17" x14ac:dyDescent="0.2">
      <c r="A592">
        <v>10838</v>
      </c>
      <c r="B592" t="s">
        <v>324</v>
      </c>
      <c r="C592">
        <v>3</v>
      </c>
      <c r="D592" s="1">
        <v>35814</v>
      </c>
      <c r="E592" s="1">
        <v>35842</v>
      </c>
      <c r="F592" s="1">
        <v>35818</v>
      </c>
      <c r="G592">
        <v>3</v>
      </c>
      <c r="H592" s="2">
        <v>59.28</v>
      </c>
      <c r="I592" t="s">
        <v>325</v>
      </c>
      <c r="J592" t="s">
        <v>326</v>
      </c>
      <c r="K592" t="s">
        <v>327</v>
      </c>
      <c r="L592" t="s">
        <v>328</v>
      </c>
      <c r="M592">
        <v>4980</v>
      </c>
      <c r="N592" t="s">
        <v>62</v>
      </c>
      <c r="O592">
        <f>Orders[[#This Row],[requiredDate]]-Orders[[#This Row],[orderDate]]</f>
        <v>28</v>
      </c>
      <c r="P592">
        <f>Orders[[#This Row],[shippedDate]]-Orders[[#This Row],[orderDate]]</f>
        <v>4</v>
      </c>
      <c r="Q592">
        <f>Orders[[#This Row],[requiredDate]]-Orders[[#This Row],[shippedDate]]</f>
        <v>24</v>
      </c>
    </row>
    <row r="593" spans="1:17" x14ac:dyDescent="0.2">
      <c r="A593">
        <v>10839</v>
      </c>
      <c r="B593" t="s">
        <v>175</v>
      </c>
      <c r="C593">
        <v>3</v>
      </c>
      <c r="D593" s="1">
        <v>35814</v>
      </c>
      <c r="E593" s="1">
        <v>35842</v>
      </c>
      <c r="F593" s="1">
        <v>35817</v>
      </c>
      <c r="G593">
        <v>3</v>
      </c>
      <c r="H593" s="2">
        <v>35.43</v>
      </c>
      <c r="I593" t="s">
        <v>176</v>
      </c>
      <c r="J593" t="s">
        <v>177</v>
      </c>
      <c r="K593" t="s">
        <v>173</v>
      </c>
      <c r="L593" t="s">
        <v>55</v>
      </c>
      <c r="M593" t="s">
        <v>178</v>
      </c>
      <c r="N593" t="s">
        <v>31</v>
      </c>
      <c r="O593">
        <f>Orders[[#This Row],[requiredDate]]-Orders[[#This Row],[orderDate]]</f>
        <v>28</v>
      </c>
      <c r="P593">
        <f>Orders[[#This Row],[shippedDate]]-Orders[[#This Row],[orderDate]]</f>
        <v>3</v>
      </c>
      <c r="Q593">
        <f>Orders[[#This Row],[requiredDate]]-Orders[[#This Row],[shippedDate]]</f>
        <v>25</v>
      </c>
    </row>
    <row r="594" spans="1:17" x14ac:dyDescent="0.2">
      <c r="A594">
        <v>10840</v>
      </c>
      <c r="B594" t="s">
        <v>324</v>
      </c>
      <c r="C594">
        <v>4</v>
      </c>
      <c r="D594" s="1">
        <v>35814</v>
      </c>
      <c r="E594" s="1">
        <v>35856</v>
      </c>
      <c r="F594" s="1">
        <v>35842</v>
      </c>
      <c r="G594">
        <v>2</v>
      </c>
      <c r="H594" s="2">
        <v>2.71</v>
      </c>
      <c r="I594" t="s">
        <v>325</v>
      </c>
      <c r="J594" t="s">
        <v>326</v>
      </c>
      <c r="K594" t="s">
        <v>327</v>
      </c>
      <c r="L594" t="s">
        <v>328</v>
      </c>
      <c r="M594">
        <v>4980</v>
      </c>
      <c r="N594" t="s">
        <v>62</v>
      </c>
      <c r="O594">
        <f>Orders[[#This Row],[requiredDate]]-Orders[[#This Row],[orderDate]]</f>
        <v>42</v>
      </c>
      <c r="P594">
        <f>Orders[[#This Row],[shippedDate]]-Orders[[#This Row],[orderDate]]</f>
        <v>28</v>
      </c>
      <c r="Q594">
        <f>Orders[[#This Row],[requiredDate]]-Orders[[#This Row],[shippedDate]]</f>
        <v>14</v>
      </c>
    </row>
    <row r="595" spans="1:17" x14ac:dyDescent="0.2">
      <c r="A595">
        <v>10841</v>
      </c>
      <c r="B595" t="s">
        <v>36</v>
      </c>
      <c r="C595">
        <v>5</v>
      </c>
      <c r="D595" s="1">
        <v>35815</v>
      </c>
      <c r="E595" s="1">
        <v>35843</v>
      </c>
      <c r="F595" s="1">
        <v>35824</v>
      </c>
      <c r="G595">
        <v>2</v>
      </c>
      <c r="H595" s="2">
        <v>424.3</v>
      </c>
      <c r="I595" t="s">
        <v>37</v>
      </c>
      <c r="J595" t="s">
        <v>38</v>
      </c>
      <c r="K595" t="s">
        <v>39</v>
      </c>
      <c r="L595" t="s">
        <v>18</v>
      </c>
      <c r="M595" t="s">
        <v>40</v>
      </c>
      <c r="N595" t="s">
        <v>41</v>
      </c>
      <c r="O595">
        <f>Orders[[#This Row],[requiredDate]]-Orders[[#This Row],[orderDate]]</f>
        <v>28</v>
      </c>
      <c r="P595">
        <f>Orders[[#This Row],[shippedDate]]-Orders[[#This Row],[orderDate]]</f>
        <v>9</v>
      </c>
      <c r="Q595">
        <f>Orders[[#This Row],[requiredDate]]-Orders[[#This Row],[shippedDate]]</f>
        <v>19</v>
      </c>
    </row>
    <row r="596" spans="1:17" x14ac:dyDescent="0.2">
      <c r="A596">
        <v>10842</v>
      </c>
      <c r="B596" t="s">
        <v>130</v>
      </c>
      <c r="C596">
        <v>1</v>
      </c>
      <c r="D596" s="1">
        <v>35815</v>
      </c>
      <c r="E596" s="1">
        <v>35843</v>
      </c>
      <c r="F596" s="1">
        <v>35824</v>
      </c>
      <c r="G596">
        <v>3</v>
      </c>
      <c r="H596" s="2">
        <v>54.42</v>
      </c>
      <c r="I596" t="s">
        <v>131</v>
      </c>
      <c r="J596" t="s">
        <v>132</v>
      </c>
      <c r="K596" t="s">
        <v>71</v>
      </c>
      <c r="L596" t="s">
        <v>18</v>
      </c>
      <c r="M596">
        <v>5033</v>
      </c>
      <c r="N596" t="s">
        <v>72</v>
      </c>
      <c r="O596">
        <f>Orders[[#This Row],[requiredDate]]-Orders[[#This Row],[orderDate]]</f>
        <v>28</v>
      </c>
      <c r="P596">
        <f>Orders[[#This Row],[shippedDate]]-Orders[[#This Row],[orderDate]]</f>
        <v>9</v>
      </c>
      <c r="Q596">
        <f>Orders[[#This Row],[requiredDate]]-Orders[[#This Row],[shippedDate]]</f>
        <v>19</v>
      </c>
    </row>
    <row r="597" spans="1:17" x14ac:dyDescent="0.2">
      <c r="A597">
        <v>10843</v>
      </c>
      <c r="B597" t="s">
        <v>32</v>
      </c>
      <c r="C597">
        <v>4</v>
      </c>
      <c r="D597" s="1">
        <v>35816</v>
      </c>
      <c r="E597" s="1">
        <v>35844</v>
      </c>
      <c r="F597" s="1">
        <v>35821</v>
      </c>
      <c r="G597">
        <v>2</v>
      </c>
      <c r="H597" s="2">
        <v>9.26</v>
      </c>
      <c r="I597" t="s">
        <v>33</v>
      </c>
      <c r="J597" t="s">
        <v>34</v>
      </c>
      <c r="K597" t="s">
        <v>35</v>
      </c>
      <c r="L597" t="s">
        <v>18</v>
      </c>
      <c r="M597">
        <v>69004</v>
      </c>
      <c r="N597" t="s">
        <v>19</v>
      </c>
      <c r="O597">
        <f>Orders[[#This Row],[requiredDate]]-Orders[[#This Row],[orderDate]]</f>
        <v>28</v>
      </c>
      <c r="P597">
        <f>Orders[[#This Row],[shippedDate]]-Orders[[#This Row],[orderDate]]</f>
        <v>5</v>
      </c>
      <c r="Q597">
        <f>Orders[[#This Row],[requiredDate]]-Orders[[#This Row],[shippedDate]]</f>
        <v>23</v>
      </c>
    </row>
    <row r="598" spans="1:17" x14ac:dyDescent="0.2">
      <c r="A598">
        <v>10844</v>
      </c>
      <c r="B598" t="s">
        <v>266</v>
      </c>
      <c r="C598">
        <v>8</v>
      </c>
      <c r="D598" s="1">
        <v>35816</v>
      </c>
      <c r="E598" s="1">
        <v>35844</v>
      </c>
      <c r="F598" s="1">
        <v>35821</v>
      </c>
      <c r="G598">
        <v>2</v>
      </c>
      <c r="H598" s="2">
        <v>25.22</v>
      </c>
      <c r="I598" t="s">
        <v>267</v>
      </c>
      <c r="J598" t="s">
        <v>268</v>
      </c>
      <c r="K598" t="s">
        <v>269</v>
      </c>
      <c r="L598" t="s">
        <v>18</v>
      </c>
      <c r="M598">
        <v>5020</v>
      </c>
      <c r="N598" t="s">
        <v>67</v>
      </c>
      <c r="O598">
        <f>Orders[[#This Row],[requiredDate]]-Orders[[#This Row],[orderDate]]</f>
        <v>28</v>
      </c>
      <c r="P598">
        <f>Orders[[#This Row],[shippedDate]]-Orders[[#This Row],[orderDate]]</f>
        <v>5</v>
      </c>
      <c r="Q598">
        <f>Orders[[#This Row],[requiredDate]]-Orders[[#This Row],[shippedDate]]</f>
        <v>23</v>
      </c>
    </row>
    <row r="599" spans="1:17" x14ac:dyDescent="0.2">
      <c r="A599">
        <v>10845</v>
      </c>
      <c r="B599" t="s">
        <v>121</v>
      </c>
      <c r="C599">
        <v>8</v>
      </c>
      <c r="D599" s="1">
        <v>35816</v>
      </c>
      <c r="E599" s="1">
        <v>35830</v>
      </c>
      <c r="F599" s="1">
        <v>35825</v>
      </c>
      <c r="G599">
        <v>1</v>
      </c>
      <c r="H599" s="2">
        <v>212.98</v>
      </c>
      <c r="I599" t="s">
        <v>122</v>
      </c>
      <c r="J599" t="s">
        <v>123</v>
      </c>
      <c r="K599" t="s">
        <v>124</v>
      </c>
      <c r="L599" t="s">
        <v>18</v>
      </c>
      <c r="M599">
        <v>1307</v>
      </c>
      <c r="N599" t="s">
        <v>24</v>
      </c>
      <c r="O599">
        <f>Orders[[#This Row],[requiredDate]]-Orders[[#This Row],[orderDate]]</f>
        <v>14</v>
      </c>
      <c r="P599">
        <f>Orders[[#This Row],[shippedDate]]-Orders[[#This Row],[orderDate]]</f>
        <v>9</v>
      </c>
      <c r="Q599">
        <f>Orders[[#This Row],[requiredDate]]-Orders[[#This Row],[shippedDate]]</f>
        <v>5</v>
      </c>
    </row>
    <row r="600" spans="1:17" x14ac:dyDescent="0.2">
      <c r="A600">
        <v>10846</v>
      </c>
      <c r="B600" t="s">
        <v>36</v>
      </c>
      <c r="C600">
        <v>2</v>
      </c>
      <c r="D600" s="1">
        <v>35817</v>
      </c>
      <c r="E600" s="1">
        <v>35859</v>
      </c>
      <c r="F600" s="1">
        <v>35818</v>
      </c>
      <c r="G600">
        <v>3</v>
      </c>
      <c r="H600" s="2">
        <v>56.46</v>
      </c>
      <c r="I600" t="s">
        <v>37</v>
      </c>
      <c r="J600" t="s">
        <v>38</v>
      </c>
      <c r="K600" t="s">
        <v>39</v>
      </c>
      <c r="L600" t="s">
        <v>18</v>
      </c>
      <c r="M600" t="s">
        <v>40</v>
      </c>
      <c r="N600" t="s">
        <v>41</v>
      </c>
      <c r="O600">
        <f>Orders[[#This Row],[requiredDate]]-Orders[[#This Row],[orderDate]]</f>
        <v>42</v>
      </c>
      <c r="P600">
        <f>Orders[[#This Row],[shippedDate]]-Orders[[#This Row],[orderDate]]</f>
        <v>1</v>
      </c>
      <c r="Q600">
        <f>Orders[[#This Row],[requiredDate]]-Orders[[#This Row],[shippedDate]]</f>
        <v>41</v>
      </c>
    </row>
    <row r="601" spans="1:17" x14ac:dyDescent="0.2">
      <c r="A601">
        <v>10847</v>
      </c>
      <c r="B601" t="s">
        <v>226</v>
      </c>
      <c r="C601">
        <v>4</v>
      </c>
      <c r="D601" s="1">
        <v>35817</v>
      </c>
      <c r="E601" s="1">
        <v>35831</v>
      </c>
      <c r="F601" s="1">
        <v>35836</v>
      </c>
      <c r="G601">
        <v>3</v>
      </c>
      <c r="H601" s="2">
        <v>487.57</v>
      </c>
      <c r="I601" t="s">
        <v>227</v>
      </c>
      <c r="J601" t="s">
        <v>228</v>
      </c>
      <c r="K601" t="s">
        <v>229</v>
      </c>
      <c r="L601" t="s">
        <v>230</v>
      </c>
      <c r="M601">
        <v>83720</v>
      </c>
      <c r="N601" t="s">
        <v>86</v>
      </c>
      <c r="O601">
        <f>Orders[[#This Row],[requiredDate]]-Orders[[#This Row],[orderDate]]</f>
        <v>14</v>
      </c>
      <c r="P601">
        <f>Orders[[#This Row],[shippedDate]]-Orders[[#This Row],[orderDate]]</f>
        <v>19</v>
      </c>
      <c r="Q601">
        <f>Orders[[#This Row],[requiredDate]]-Orders[[#This Row],[shippedDate]]</f>
        <v>-5</v>
      </c>
    </row>
    <row r="602" spans="1:17" x14ac:dyDescent="0.2">
      <c r="A602">
        <v>10848</v>
      </c>
      <c r="B602" t="s">
        <v>347</v>
      </c>
      <c r="C602">
        <v>7</v>
      </c>
      <c r="D602" s="1">
        <v>35818</v>
      </c>
      <c r="E602" s="1">
        <v>35846</v>
      </c>
      <c r="F602" s="1">
        <v>35824</v>
      </c>
      <c r="G602">
        <v>2</v>
      </c>
      <c r="H602" s="2">
        <v>38.24</v>
      </c>
      <c r="I602" t="s">
        <v>348</v>
      </c>
      <c r="J602" t="s">
        <v>349</v>
      </c>
      <c r="K602" t="s">
        <v>167</v>
      </c>
      <c r="L602" t="s">
        <v>18</v>
      </c>
      <c r="M602" t="s">
        <v>350</v>
      </c>
      <c r="N602" t="s">
        <v>169</v>
      </c>
      <c r="O602">
        <f>Orders[[#This Row],[requiredDate]]-Orders[[#This Row],[orderDate]]</f>
        <v>28</v>
      </c>
      <c r="P602">
        <f>Orders[[#This Row],[shippedDate]]-Orders[[#This Row],[orderDate]]</f>
        <v>6</v>
      </c>
      <c r="Q602">
        <f>Orders[[#This Row],[requiredDate]]-Orders[[#This Row],[shippedDate]]</f>
        <v>22</v>
      </c>
    </row>
    <row r="603" spans="1:17" x14ac:dyDescent="0.2">
      <c r="A603">
        <v>10849</v>
      </c>
      <c r="B603" t="s">
        <v>222</v>
      </c>
      <c r="C603">
        <v>9</v>
      </c>
      <c r="D603" s="1">
        <v>35818</v>
      </c>
      <c r="E603" s="1">
        <v>35846</v>
      </c>
      <c r="F603" s="1">
        <v>35825</v>
      </c>
      <c r="G603">
        <v>2</v>
      </c>
      <c r="H603" s="2">
        <v>0.56000000000000005</v>
      </c>
      <c r="I603" t="s">
        <v>223</v>
      </c>
      <c r="J603" t="s">
        <v>224</v>
      </c>
      <c r="K603" t="s">
        <v>225</v>
      </c>
      <c r="L603" t="s">
        <v>18</v>
      </c>
      <c r="M603">
        <v>14776</v>
      </c>
      <c r="N603" t="s">
        <v>24</v>
      </c>
      <c r="O603">
        <f>Orders[[#This Row],[requiredDate]]-Orders[[#This Row],[orderDate]]</f>
        <v>28</v>
      </c>
      <c r="P603">
        <f>Orders[[#This Row],[shippedDate]]-Orders[[#This Row],[orderDate]]</f>
        <v>7</v>
      </c>
      <c r="Q603">
        <f>Orders[[#This Row],[requiredDate]]-Orders[[#This Row],[shippedDate]]</f>
        <v>21</v>
      </c>
    </row>
    <row r="604" spans="1:17" x14ac:dyDescent="0.2">
      <c r="A604">
        <v>10850</v>
      </c>
      <c r="B604" t="s">
        <v>32</v>
      </c>
      <c r="C604">
        <v>1</v>
      </c>
      <c r="D604" s="1">
        <v>35818</v>
      </c>
      <c r="E604" s="1">
        <v>35860</v>
      </c>
      <c r="F604" s="1">
        <v>35825</v>
      </c>
      <c r="G604">
        <v>1</v>
      </c>
      <c r="H604" s="2">
        <v>49.19</v>
      </c>
      <c r="I604" t="s">
        <v>33</v>
      </c>
      <c r="J604" t="s">
        <v>34</v>
      </c>
      <c r="K604" t="s">
        <v>35</v>
      </c>
      <c r="L604" t="s">
        <v>18</v>
      </c>
      <c r="M604">
        <v>69004</v>
      </c>
      <c r="N604" t="s">
        <v>19</v>
      </c>
      <c r="O604">
        <f>Orders[[#This Row],[requiredDate]]-Orders[[#This Row],[orderDate]]</f>
        <v>42</v>
      </c>
      <c r="P604">
        <f>Orders[[#This Row],[shippedDate]]-Orders[[#This Row],[orderDate]]</f>
        <v>7</v>
      </c>
      <c r="Q604">
        <f>Orders[[#This Row],[requiredDate]]-Orders[[#This Row],[shippedDate]]</f>
        <v>35</v>
      </c>
    </row>
    <row r="605" spans="1:17" x14ac:dyDescent="0.2">
      <c r="A605">
        <v>10851</v>
      </c>
      <c r="B605" t="s">
        <v>156</v>
      </c>
      <c r="C605">
        <v>5</v>
      </c>
      <c r="D605" s="1">
        <v>35821</v>
      </c>
      <c r="E605" s="1">
        <v>35849</v>
      </c>
      <c r="F605" s="1">
        <v>35828</v>
      </c>
      <c r="G605">
        <v>1</v>
      </c>
      <c r="H605" s="2">
        <v>160.55000000000001</v>
      </c>
      <c r="I605" t="s">
        <v>157</v>
      </c>
      <c r="J605" t="s">
        <v>158</v>
      </c>
      <c r="K605" t="s">
        <v>28</v>
      </c>
      <c r="L605" t="s">
        <v>29</v>
      </c>
      <c r="M605" t="s">
        <v>159</v>
      </c>
      <c r="N605" t="s">
        <v>31</v>
      </c>
      <c r="O605">
        <f>Orders[[#This Row],[requiredDate]]-Orders[[#This Row],[orderDate]]</f>
        <v>28</v>
      </c>
      <c r="P605">
        <f>Orders[[#This Row],[shippedDate]]-Orders[[#This Row],[orderDate]]</f>
        <v>7</v>
      </c>
      <c r="Q605">
        <f>Orders[[#This Row],[requiredDate]]-Orders[[#This Row],[shippedDate]]</f>
        <v>21</v>
      </c>
    </row>
    <row r="606" spans="1:17" x14ac:dyDescent="0.2">
      <c r="A606">
        <v>10852</v>
      </c>
      <c r="B606" t="s">
        <v>81</v>
      </c>
      <c r="C606">
        <v>8</v>
      </c>
      <c r="D606" s="1">
        <v>35821</v>
      </c>
      <c r="E606" s="1">
        <v>35835</v>
      </c>
      <c r="F606" s="1">
        <v>35825</v>
      </c>
      <c r="G606">
        <v>1</v>
      </c>
      <c r="H606" s="2">
        <v>174.05</v>
      </c>
      <c r="I606" t="s">
        <v>82</v>
      </c>
      <c r="J606" t="s">
        <v>83</v>
      </c>
      <c r="K606" t="s">
        <v>84</v>
      </c>
      <c r="L606" t="s">
        <v>85</v>
      </c>
      <c r="M606">
        <v>87110</v>
      </c>
      <c r="N606" t="s">
        <v>86</v>
      </c>
      <c r="O606">
        <f>Orders[[#This Row],[requiredDate]]-Orders[[#This Row],[orderDate]]</f>
        <v>14</v>
      </c>
      <c r="P606">
        <f>Orders[[#This Row],[shippedDate]]-Orders[[#This Row],[orderDate]]</f>
        <v>4</v>
      </c>
      <c r="Q606">
        <f>Orders[[#This Row],[requiredDate]]-Orders[[#This Row],[shippedDate]]</f>
        <v>10</v>
      </c>
    </row>
    <row r="607" spans="1:17" x14ac:dyDescent="0.2">
      <c r="A607">
        <v>10853</v>
      </c>
      <c r="B607" t="s">
        <v>363</v>
      </c>
      <c r="C607">
        <v>9</v>
      </c>
      <c r="D607" s="1">
        <v>35822</v>
      </c>
      <c r="E607" s="1">
        <v>35850</v>
      </c>
      <c r="F607" s="1">
        <v>35829</v>
      </c>
      <c r="G607">
        <v>2</v>
      </c>
      <c r="H607" s="2">
        <v>53.83</v>
      </c>
      <c r="I607" t="s">
        <v>364</v>
      </c>
      <c r="J607" t="s">
        <v>365</v>
      </c>
      <c r="K607" t="s">
        <v>366</v>
      </c>
      <c r="L607" t="s">
        <v>18</v>
      </c>
      <c r="M607">
        <v>68306</v>
      </c>
      <c r="N607" t="s">
        <v>24</v>
      </c>
      <c r="O607">
        <f>Orders[[#This Row],[requiredDate]]-Orders[[#This Row],[orderDate]]</f>
        <v>28</v>
      </c>
      <c r="P607">
        <f>Orders[[#This Row],[shippedDate]]-Orders[[#This Row],[orderDate]]</f>
        <v>7</v>
      </c>
      <c r="Q607">
        <f>Orders[[#This Row],[requiredDate]]-Orders[[#This Row],[shippedDate]]</f>
        <v>21</v>
      </c>
    </row>
    <row r="608" spans="1:17" x14ac:dyDescent="0.2">
      <c r="A608">
        <v>10854</v>
      </c>
      <c r="B608" t="s">
        <v>63</v>
      </c>
      <c r="C608">
        <v>3</v>
      </c>
      <c r="D608" s="1">
        <v>35822</v>
      </c>
      <c r="E608" s="1">
        <v>35850</v>
      </c>
      <c r="F608" s="1">
        <v>35831</v>
      </c>
      <c r="G608">
        <v>2</v>
      </c>
      <c r="H608" s="2">
        <v>100.22</v>
      </c>
      <c r="I608" t="s">
        <v>64</v>
      </c>
      <c r="J608" t="s">
        <v>65</v>
      </c>
      <c r="K608" t="s">
        <v>66</v>
      </c>
      <c r="L608" t="s">
        <v>18</v>
      </c>
      <c r="M608">
        <v>8010</v>
      </c>
      <c r="N608" t="s">
        <v>67</v>
      </c>
      <c r="O608">
        <f>Orders[[#This Row],[requiredDate]]-Orders[[#This Row],[orderDate]]</f>
        <v>28</v>
      </c>
      <c r="P608">
        <f>Orders[[#This Row],[shippedDate]]-Orders[[#This Row],[orderDate]]</f>
        <v>9</v>
      </c>
      <c r="Q608">
        <f>Orders[[#This Row],[requiredDate]]-Orders[[#This Row],[shippedDate]]</f>
        <v>19</v>
      </c>
    </row>
    <row r="609" spans="1:17" x14ac:dyDescent="0.2">
      <c r="A609">
        <v>10855</v>
      </c>
      <c r="B609" t="s">
        <v>193</v>
      </c>
      <c r="C609">
        <v>3</v>
      </c>
      <c r="D609" s="1">
        <v>35822</v>
      </c>
      <c r="E609" s="1">
        <v>35850</v>
      </c>
      <c r="F609" s="1">
        <v>35830</v>
      </c>
      <c r="G609">
        <v>1</v>
      </c>
      <c r="H609" s="2">
        <v>170.97</v>
      </c>
      <c r="I609" t="s">
        <v>194</v>
      </c>
      <c r="J609" t="s">
        <v>195</v>
      </c>
      <c r="K609" t="s">
        <v>196</v>
      </c>
      <c r="L609" t="s">
        <v>197</v>
      </c>
      <c r="M609">
        <v>99508</v>
      </c>
      <c r="N609" t="s">
        <v>86</v>
      </c>
      <c r="O609">
        <f>Orders[[#This Row],[requiredDate]]-Orders[[#This Row],[orderDate]]</f>
        <v>28</v>
      </c>
      <c r="P609">
        <f>Orders[[#This Row],[shippedDate]]-Orders[[#This Row],[orderDate]]</f>
        <v>8</v>
      </c>
      <c r="Q609">
        <f>Orders[[#This Row],[requiredDate]]-Orders[[#This Row],[shippedDate]]</f>
        <v>20</v>
      </c>
    </row>
    <row r="610" spans="1:17" x14ac:dyDescent="0.2">
      <c r="A610">
        <v>10856</v>
      </c>
      <c r="B610" t="s">
        <v>288</v>
      </c>
      <c r="C610">
        <v>3</v>
      </c>
      <c r="D610" s="1">
        <v>35823</v>
      </c>
      <c r="E610" s="1">
        <v>35851</v>
      </c>
      <c r="F610" s="1">
        <v>35836</v>
      </c>
      <c r="G610">
        <v>2</v>
      </c>
      <c r="H610" s="2">
        <v>58.43</v>
      </c>
      <c r="I610" t="s">
        <v>289</v>
      </c>
      <c r="J610" t="s">
        <v>290</v>
      </c>
      <c r="K610" t="s">
        <v>71</v>
      </c>
      <c r="L610" t="s">
        <v>18</v>
      </c>
      <c r="M610">
        <v>5023</v>
      </c>
      <c r="N610" t="s">
        <v>72</v>
      </c>
      <c r="O610">
        <f>Orders[[#This Row],[requiredDate]]-Orders[[#This Row],[orderDate]]</f>
        <v>28</v>
      </c>
      <c r="P610">
        <f>Orders[[#This Row],[shippedDate]]-Orders[[#This Row],[orderDate]]</f>
        <v>13</v>
      </c>
      <c r="Q610">
        <f>Orders[[#This Row],[requiredDate]]-Orders[[#This Row],[shippedDate]]</f>
        <v>15</v>
      </c>
    </row>
    <row r="611" spans="1:17" x14ac:dyDescent="0.2">
      <c r="A611">
        <v>10857</v>
      </c>
      <c r="B611" t="s">
        <v>137</v>
      </c>
      <c r="C611">
        <v>8</v>
      </c>
      <c r="D611" s="1">
        <v>35823</v>
      </c>
      <c r="E611" s="1">
        <v>35851</v>
      </c>
      <c r="F611" s="1">
        <v>35832</v>
      </c>
      <c r="G611">
        <v>2</v>
      </c>
      <c r="H611" s="2">
        <v>188.85</v>
      </c>
      <c r="I611" t="s">
        <v>138</v>
      </c>
      <c r="J611" t="s">
        <v>139</v>
      </c>
      <c r="K611" t="s">
        <v>140</v>
      </c>
      <c r="L611" t="s">
        <v>18</v>
      </c>
      <c r="M611" t="s">
        <v>141</v>
      </c>
      <c r="N611" t="s">
        <v>92</v>
      </c>
      <c r="O611">
        <f>Orders[[#This Row],[requiredDate]]-Orders[[#This Row],[orderDate]]</f>
        <v>28</v>
      </c>
      <c r="P611">
        <f>Orders[[#This Row],[shippedDate]]-Orders[[#This Row],[orderDate]]</f>
        <v>9</v>
      </c>
      <c r="Q611">
        <f>Orders[[#This Row],[requiredDate]]-Orders[[#This Row],[shippedDate]]</f>
        <v>19</v>
      </c>
    </row>
    <row r="612" spans="1:17" x14ac:dyDescent="0.2">
      <c r="A612">
        <v>10858</v>
      </c>
      <c r="B612" t="s">
        <v>413</v>
      </c>
      <c r="C612">
        <v>2</v>
      </c>
      <c r="D612" s="1">
        <v>35824</v>
      </c>
      <c r="E612" s="1">
        <v>35852</v>
      </c>
      <c r="F612" s="1">
        <v>35829</v>
      </c>
      <c r="G612">
        <v>1</v>
      </c>
      <c r="H612" s="2">
        <v>52.51</v>
      </c>
      <c r="I612" t="s">
        <v>414</v>
      </c>
      <c r="J612" t="s">
        <v>415</v>
      </c>
      <c r="K612" t="s">
        <v>416</v>
      </c>
      <c r="L612" t="s">
        <v>18</v>
      </c>
      <c r="M612">
        <v>78000</v>
      </c>
      <c r="N612" t="s">
        <v>19</v>
      </c>
      <c r="O612">
        <f>Orders[[#This Row],[requiredDate]]-Orders[[#This Row],[orderDate]]</f>
        <v>28</v>
      </c>
      <c r="P612">
        <f>Orders[[#This Row],[shippedDate]]-Orders[[#This Row],[orderDate]]</f>
        <v>5</v>
      </c>
      <c r="Q612">
        <f>Orders[[#This Row],[requiredDate]]-Orders[[#This Row],[shippedDate]]</f>
        <v>23</v>
      </c>
    </row>
    <row r="613" spans="1:17" x14ac:dyDescent="0.2">
      <c r="A613">
        <v>10859</v>
      </c>
      <c r="B613" t="s">
        <v>102</v>
      </c>
      <c r="C613">
        <v>1</v>
      </c>
      <c r="D613" s="1">
        <v>35824</v>
      </c>
      <c r="E613" s="1">
        <v>35852</v>
      </c>
      <c r="F613" s="1">
        <v>35828</v>
      </c>
      <c r="G613">
        <v>2</v>
      </c>
      <c r="H613" s="2">
        <v>76.099999999999994</v>
      </c>
      <c r="I613" t="s">
        <v>103</v>
      </c>
      <c r="J613" t="s">
        <v>104</v>
      </c>
      <c r="K613" t="s">
        <v>105</v>
      </c>
      <c r="L613" t="s">
        <v>18</v>
      </c>
      <c r="M613">
        <v>80805</v>
      </c>
      <c r="N613" t="s">
        <v>24</v>
      </c>
      <c r="O613">
        <f>Orders[[#This Row],[requiredDate]]-Orders[[#This Row],[orderDate]]</f>
        <v>28</v>
      </c>
      <c r="P613">
        <f>Orders[[#This Row],[shippedDate]]-Orders[[#This Row],[orderDate]]</f>
        <v>4</v>
      </c>
      <c r="Q613">
        <f>Orders[[#This Row],[requiredDate]]-Orders[[#This Row],[shippedDate]]</f>
        <v>24</v>
      </c>
    </row>
    <row r="614" spans="1:17" x14ac:dyDescent="0.2">
      <c r="A614">
        <v>10860</v>
      </c>
      <c r="B614" t="s">
        <v>405</v>
      </c>
      <c r="C614">
        <v>3</v>
      </c>
      <c r="D614" s="1">
        <v>35824</v>
      </c>
      <c r="E614" s="1">
        <v>35852</v>
      </c>
      <c r="F614" s="1">
        <v>35830</v>
      </c>
      <c r="G614">
        <v>3</v>
      </c>
      <c r="H614" s="2">
        <v>19.260000000000002</v>
      </c>
      <c r="I614" t="s">
        <v>406</v>
      </c>
      <c r="J614" t="s">
        <v>407</v>
      </c>
      <c r="K614" t="s">
        <v>212</v>
      </c>
      <c r="L614" t="s">
        <v>18</v>
      </c>
      <c r="M614">
        <v>44000</v>
      </c>
      <c r="N614" t="s">
        <v>19</v>
      </c>
      <c r="O614">
        <f>Orders[[#This Row],[requiredDate]]-Orders[[#This Row],[orderDate]]</f>
        <v>28</v>
      </c>
      <c r="P614">
        <f>Orders[[#This Row],[shippedDate]]-Orders[[#This Row],[orderDate]]</f>
        <v>6</v>
      </c>
      <c r="Q614">
        <f>Orders[[#This Row],[requiredDate]]-Orders[[#This Row],[shippedDate]]</f>
        <v>22</v>
      </c>
    </row>
    <row r="615" spans="1:17" x14ac:dyDescent="0.2">
      <c r="A615">
        <v>10861</v>
      </c>
      <c r="B615" t="s">
        <v>111</v>
      </c>
      <c r="C615">
        <v>4</v>
      </c>
      <c r="D615" s="1">
        <v>35825</v>
      </c>
      <c r="E615" s="1">
        <v>35853</v>
      </c>
      <c r="F615" s="1">
        <v>35843</v>
      </c>
      <c r="G615">
        <v>2</v>
      </c>
      <c r="H615" s="2">
        <v>14.93</v>
      </c>
      <c r="I615" t="s">
        <v>112</v>
      </c>
      <c r="J615" t="s">
        <v>113</v>
      </c>
      <c r="K615" t="s">
        <v>114</v>
      </c>
      <c r="L615" t="s">
        <v>115</v>
      </c>
      <c r="M615">
        <v>98124</v>
      </c>
      <c r="N615" t="s">
        <v>86</v>
      </c>
      <c r="O615">
        <f>Orders[[#This Row],[requiredDate]]-Orders[[#This Row],[orderDate]]</f>
        <v>28</v>
      </c>
      <c r="P615">
        <f>Orders[[#This Row],[shippedDate]]-Orders[[#This Row],[orderDate]]</f>
        <v>18</v>
      </c>
      <c r="Q615">
        <f>Orders[[#This Row],[requiredDate]]-Orders[[#This Row],[shippedDate]]</f>
        <v>10</v>
      </c>
    </row>
    <row r="616" spans="1:17" x14ac:dyDescent="0.2">
      <c r="A616">
        <v>10862</v>
      </c>
      <c r="B616" t="s">
        <v>142</v>
      </c>
      <c r="C616">
        <v>8</v>
      </c>
      <c r="D616" s="1">
        <v>35825</v>
      </c>
      <c r="E616" s="1">
        <v>35867</v>
      </c>
      <c r="F616" s="1">
        <v>35828</v>
      </c>
      <c r="G616">
        <v>2</v>
      </c>
      <c r="H616" s="2">
        <v>53.23</v>
      </c>
      <c r="I616" t="s">
        <v>143</v>
      </c>
      <c r="J616" t="s">
        <v>144</v>
      </c>
      <c r="K616" t="s">
        <v>145</v>
      </c>
      <c r="L616" t="s">
        <v>18</v>
      </c>
      <c r="M616">
        <v>60528</v>
      </c>
      <c r="N616" t="s">
        <v>24</v>
      </c>
      <c r="O616">
        <f>Orders[[#This Row],[requiredDate]]-Orders[[#This Row],[orderDate]]</f>
        <v>42</v>
      </c>
      <c r="P616">
        <f>Orders[[#This Row],[shippedDate]]-Orders[[#This Row],[orderDate]]</f>
        <v>3</v>
      </c>
      <c r="Q616">
        <f>Orders[[#This Row],[requiredDate]]-Orders[[#This Row],[shippedDate]]</f>
        <v>39</v>
      </c>
    </row>
    <row r="617" spans="1:17" x14ac:dyDescent="0.2">
      <c r="A617">
        <v>10863</v>
      </c>
      <c r="B617" t="s">
        <v>57</v>
      </c>
      <c r="C617">
        <v>4</v>
      </c>
      <c r="D617" s="1">
        <v>35828</v>
      </c>
      <c r="E617" s="1">
        <v>35856</v>
      </c>
      <c r="F617" s="1">
        <v>35843</v>
      </c>
      <c r="G617">
        <v>2</v>
      </c>
      <c r="H617" s="2">
        <v>30.26</v>
      </c>
      <c r="I617" t="s">
        <v>58</v>
      </c>
      <c r="J617" t="s">
        <v>59</v>
      </c>
      <c r="K617" t="s">
        <v>60</v>
      </c>
      <c r="L617" t="s">
        <v>61</v>
      </c>
      <c r="M617">
        <v>5022</v>
      </c>
      <c r="N617" t="s">
        <v>62</v>
      </c>
      <c r="O617">
        <f>Orders[[#This Row],[requiredDate]]-Orders[[#This Row],[orderDate]]</f>
        <v>28</v>
      </c>
      <c r="P617">
        <f>Orders[[#This Row],[shippedDate]]-Orders[[#This Row],[orderDate]]</f>
        <v>15</v>
      </c>
      <c r="Q617">
        <f>Orders[[#This Row],[requiredDate]]-Orders[[#This Row],[shippedDate]]</f>
        <v>13</v>
      </c>
    </row>
    <row r="618" spans="1:17" x14ac:dyDescent="0.2">
      <c r="A618">
        <v>10864</v>
      </c>
      <c r="B618" t="s">
        <v>270</v>
      </c>
      <c r="C618">
        <v>4</v>
      </c>
      <c r="D618" s="1">
        <v>35828</v>
      </c>
      <c r="E618" s="1">
        <v>35856</v>
      </c>
      <c r="F618" s="1">
        <v>35835</v>
      </c>
      <c r="G618">
        <v>2</v>
      </c>
      <c r="H618" s="2">
        <v>3.04</v>
      </c>
      <c r="I618" t="s">
        <v>271</v>
      </c>
      <c r="J618" t="s">
        <v>272</v>
      </c>
      <c r="K618" t="s">
        <v>273</v>
      </c>
      <c r="L618" t="s">
        <v>274</v>
      </c>
      <c r="M618" t="s">
        <v>275</v>
      </c>
      <c r="N618" t="s">
        <v>169</v>
      </c>
      <c r="O618">
        <f>Orders[[#This Row],[requiredDate]]-Orders[[#This Row],[orderDate]]</f>
        <v>28</v>
      </c>
      <c r="P618">
        <f>Orders[[#This Row],[shippedDate]]-Orders[[#This Row],[orderDate]]</f>
        <v>7</v>
      </c>
      <c r="Q618">
        <f>Orders[[#This Row],[requiredDate]]-Orders[[#This Row],[shippedDate]]</f>
        <v>21</v>
      </c>
    </row>
    <row r="619" spans="1:17" x14ac:dyDescent="0.2">
      <c r="A619">
        <v>10865</v>
      </c>
      <c r="B619" t="s">
        <v>121</v>
      </c>
      <c r="C619">
        <v>2</v>
      </c>
      <c r="D619" s="1">
        <v>35828</v>
      </c>
      <c r="E619" s="1">
        <v>35842</v>
      </c>
      <c r="F619" s="1">
        <v>35838</v>
      </c>
      <c r="G619">
        <v>1</v>
      </c>
      <c r="H619" s="2">
        <v>348.14</v>
      </c>
      <c r="I619" t="s">
        <v>122</v>
      </c>
      <c r="J619" t="s">
        <v>123</v>
      </c>
      <c r="K619" t="s">
        <v>124</v>
      </c>
      <c r="L619" t="s">
        <v>18</v>
      </c>
      <c r="M619">
        <v>1307</v>
      </c>
      <c r="N619" t="s">
        <v>24</v>
      </c>
      <c r="O619">
        <f>Orders[[#This Row],[requiredDate]]-Orders[[#This Row],[orderDate]]</f>
        <v>14</v>
      </c>
      <c r="P619">
        <f>Orders[[#This Row],[shippedDate]]-Orders[[#This Row],[orderDate]]</f>
        <v>10</v>
      </c>
      <c r="Q619">
        <f>Orders[[#This Row],[requiredDate]]-Orders[[#This Row],[shippedDate]]</f>
        <v>4</v>
      </c>
    </row>
    <row r="620" spans="1:17" x14ac:dyDescent="0.2">
      <c r="A620">
        <v>10866</v>
      </c>
      <c r="B620" t="s">
        <v>137</v>
      </c>
      <c r="C620">
        <v>5</v>
      </c>
      <c r="D620" s="1">
        <v>35829</v>
      </c>
      <c r="E620" s="1">
        <v>35857</v>
      </c>
      <c r="F620" s="1">
        <v>35838</v>
      </c>
      <c r="G620">
        <v>1</v>
      </c>
      <c r="H620" s="2">
        <v>109.11</v>
      </c>
      <c r="I620" t="s">
        <v>138</v>
      </c>
      <c r="J620" t="s">
        <v>139</v>
      </c>
      <c r="K620" t="s">
        <v>140</v>
      </c>
      <c r="L620" t="s">
        <v>18</v>
      </c>
      <c r="M620" t="s">
        <v>141</v>
      </c>
      <c r="N620" t="s">
        <v>92</v>
      </c>
      <c r="O620">
        <f>Orders[[#This Row],[requiredDate]]-Orders[[#This Row],[orderDate]]</f>
        <v>28</v>
      </c>
      <c r="P620">
        <f>Orders[[#This Row],[shippedDate]]-Orders[[#This Row],[orderDate]]</f>
        <v>9</v>
      </c>
      <c r="Q620">
        <f>Orders[[#This Row],[requiredDate]]-Orders[[#This Row],[shippedDate]]</f>
        <v>19</v>
      </c>
    </row>
    <row r="621" spans="1:17" x14ac:dyDescent="0.2">
      <c r="A621">
        <v>10867</v>
      </c>
      <c r="B621" t="s">
        <v>198</v>
      </c>
      <c r="C621">
        <v>6</v>
      </c>
      <c r="D621" s="1">
        <v>35829</v>
      </c>
      <c r="E621" s="1">
        <v>35871</v>
      </c>
      <c r="F621" s="1">
        <v>35837</v>
      </c>
      <c r="G621">
        <v>1</v>
      </c>
      <c r="H621" s="2">
        <v>1.93</v>
      </c>
      <c r="I621" t="s">
        <v>199</v>
      </c>
      <c r="J621" t="s">
        <v>200</v>
      </c>
      <c r="K621" t="s">
        <v>201</v>
      </c>
      <c r="L621" t="s">
        <v>202</v>
      </c>
      <c r="M621">
        <v>97219</v>
      </c>
      <c r="N621" t="s">
        <v>86</v>
      </c>
      <c r="O621">
        <f>Orders[[#This Row],[requiredDate]]-Orders[[#This Row],[orderDate]]</f>
        <v>42</v>
      </c>
      <c r="P621">
        <f>Orders[[#This Row],[shippedDate]]-Orders[[#This Row],[orderDate]]</f>
        <v>8</v>
      </c>
      <c r="Q621">
        <f>Orders[[#This Row],[requiredDate]]-Orders[[#This Row],[shippedDate]]</f>
        <v>34</v>
      </c>
    </row>
    <row r="622" spans="1:17" x14ac:dyDescent="0.2">
      <c r="A622">
        <v>10868</v>
      </c>
      <c r="B622" t="s">
        <v>299</v>
      </c>
      <c r="C622">
        <v>7</v>
      </c>
      <c r="D622" s="1">
        <v>35830</v>
      </c>
      <c r="E622" s="1">
        <v>35858</v>
      </c>
      <c r="F622" s="1">
        <v>35849</v>
      </c>
      <c r="G622">
        <v>2</v>
      </c>
      <c r="H622" s="2">
        <v>191.27</v>
      </c>
      <c r="I622" t="s">
        <v>300</v>
      </c>
      <c r="J622" t="s">
        <v>301</v>
      </c>
      <c r="K622" t="s">
        <v>173</v>
      </c>
      <c r="L622" t="s">
        <v>55</v>
      </c>
      <c r="M622" t="s">
        <v>302</v>
      </c>
      <c r="N622" t="s">
        <v>31</v>
      </c>
      <c r="O622">
        <f>Orders[[#This Row],[requiredDate]]-Orders[[#This Row],[orderDate]]</f>
        <v>28</v>
      </c>
      <c r="P622">
        <f>Orders[[#This Row],[shippedDate]]-Orders[[#This Row],[orderDate]]</f>
        <v>19</v>
      </c>
      <c r="Q622">
        <f>Orders[[#This Row],[requiredDate]]-Orders[[#This Row],[shippedDate]]</f>
        <v>9</v>
      </c>
    </row>
    <row r="623" spans="1:17" x14ac:dyDescent="0.2">
      <c r="A623">
        <v>10869</v>
      </c>
      <c r="B623" t="s">
        <v>276</v>
      </c>
      <c r="C623">
        <v>5</v>
      </c>
      <c r="D623" s="1">
        <v>35830</v>
      </c>
      <c r="E623" s="1">
        <v>35858</v>
      </c>
      <c r="F623" s="1">
        <v>35835</v>
      </c>
      <c r="G623">
        <v>1</v>
      </c>
      <c r="H623" s="2">
        <v>143.28</v>
      </c>
      <c r="I623" t="s">
        <v>277</v>
      </c>
      <c r="J623" t="s">
        <v>278</v>
      </c>
      <c r="K623" t="s">
        <v>167</v>
      </c>
      <c r="L623" t="s">
        <v>18</v>
      </c>
      <c r="M623" t="s">
        <v>279</v>
      </c>
      <c r="N623" t="s">
        <v>169</v>
      </c>
      <c r="O623">
        <f>Orders[[#This Row],[requiredDate]]-Orders[[#This Row],[orderDate]]</f>
        <v>28</v>
      </c>
      <c r="P623">
        <f>Orders[[#This Row],[shippedDate]]-Orders[[#This Row],[orderDate]]</f>
        <v>5</v>
      </c>
      <c r="Q623">
        <f>Orders[[#This Row],[requiredDate]]-Orders[[#This Row],[shippedDate]]</f>
        <v>23</v>
      </c>
    </row>
    <row r="624" spans="1:17" x14ac:dyDescent="0.2">
      <c r="A624">
        <v>10870</v>
      </c>
      <c r="B624" t="s">
        <v>303</v>
      </c>
      <c r="C624">
        <v>5</v>
      </c>
      <c r="D624" s="1">
        <v>35830</v>
      </c>
      <c r="E624" s="1">
        <v>35858</v>
      </c>
      <c r="F624" s="1">
        <v>35839</v>
      </c>
      <c r="G624">
        <v>3</v>
      </c>
      <c r="H624" s="2">
        <v>12.04</v>
      </c>
      <c r="I624" t="s">
        <v>304</v>
      </c>
      <c r="J624" t="s">
        <v>305</v>
      </c>
      <c r="K624" t="s">
        <v>306</v>
      </c>
      <c r="L624" t="s">
        <v>18</v>
      </c>
      <c r="M624" t="s">
        <v>307</v>
      </c>
      <c r="N624" t="s">
        <v>308</v>
      </c>
      <c r="O624">
        <f>Orders[[#This Row],[requiredDate]]-Orders[[#This Row],[orderDate]]</f>
        <v>28</v>
      </c>
      <c r="P624">
        <f>Orders[[#This Row],[shippedDate]]-Orders[[#This Row],[orderDate]]</f>
        <v>9</v>
      </c>
      <c r="Q624">
        <f>Orders[[#This Row],[requiredDate]]-Orders[[#This Row],[shippedDate]]</f>
        <v>19</v>
      </c>
    </row>
    <row r="625" spans="1:17" x14ac:dyDescent="0.2">
      <c r="A625">
        <v>10871</v>
      </c>
      <c r="B625" t="s">
        <v>239</v>
      </c>
      <c r="C625">
        <v>9</v>
      </c>
      <c r="D625" s="1">
        <v>35831</v>
      </c>
      <c r="E625" s="1">
        <v>35859</v>
      </c>
      <c r="F625" s="1">
        <v>35836</v>
      </c>
      <c r="G625">
        <v>2</v>
      </c>
      <c r="H625" s="2">
        <v>112.27</v>
      </c>
      <c r="I625" t="s">
        <v>240</v>
      </c>
      <c r="J625" t="s">
        <v>241</v>
      </c>
      <c r="K625" t="s">
        <v>242</v>
      </c>
      <c r="L625" t="s">
        <v>18</v>
      </c>
      <c r="M625">
        <v>13008</v>
      </c>
      <c r="N625" t="s">
        <v>19</v>
      </c>
      <c r="O625">
        <f>Orders[[#This Row],[requiredDate]]-Orders[[#This Row],[orderDate]]</f>
        <v>28</v>
      </c>
      <c r="P625">
        <f>Orders[[#This Row],[shippedDate]]-Orders[[#This Row],[orderDate]]</f>
        <v>5</v>
      </c>
      <c r="Q625">
        <f>Orders[[#This Row],[requiredDate]]-Orders[[#This Row],[shippedDate]]</f>
        <v>23</v>
      </c>
    </row>
    <row r="626" spans="1:17" x14ac:dyDescent="0.2">
      <c r="A626">
        <v>10872</v>
      </c>
      <c r="B626" t="s">
        <v>189</v>
      </c>
      <c r="C626">
        <v>5</v>
      </c>
      <c r="D626" s="1">
        <v>35831</v>
      </c>
      <c r="E626" s="1">
        <v>35859</v>
      </c>
      <c r="F626" s="1">
        <v>35835</v>
      </c>
      <c r="G626">
        <v>2</v>
      </c>
      <c r="H626" s="2">
        <v>175.32</v>
      </c>
      <c r="I626" t="s">
        <v>190</v>
      </c>
      <c r="J626" t="s">
        <v>191</v>
      </c>
      <c r="K626" t="s">
        <v>192</v>
      </c>
      <c r="L626" t="s">
        <v>18</v>
      </c>
      <c r="M626">
        <v>41101</v>
      </c>
      <c r="N626" t="s">
        <v>150</v>
      </c>
      <c r="O626">
        <f>Orders[[#This Row],[requiredDate]]-Orders[[#This Row],[orderDate]]</f>
        <v>28</v>
      </c>
      <c r="P626">
        <f>Orders[[#This Row],[shippedDate]]-Orders[[#This Row],[orderDate]]</f>
        <v>4</v>
      </c>
      <c r="Q626">
        <f>Orders[[#This Row],[requiredDate]]-Orders[[#This Row],[shippedDate]]</f>
        <v>24</v>
      </c>
    </row>
    <row r="627" spans="1:17" x14ac:dyDescent="0.2">
      <c r="A627">
        <v>10873</v>
      </c>
      <c r="B627" t="s">
        <v>392</v>
      </c>
      <c r="C627">
        <v>4</v>
      </c>
      <c r="D627" s="1">
        <v>35832</v>
      </c>
      <c r="E627" s="1">
        <v>35860</v>
      </c>
      <c r="F627" s="1">
        <v>35835</v>
      </c>
      <c r="G627">
        <v>1</v>
      </c>
      <c r="H627" s="2">
        <v>0.82</v>
      </c>
      <c r="I627" t="s">
        <v>393</v>
      </c>
      <c r="J627" t="s">
        <v>394</v>
      </c>
      <c r="K627" t="s">
        <v>395</v>
      </c>
      <c r="L627" t="s">
        <v>18</v>
      </c>
      <c r="M627">
        <v>21240</v>
      </c>
      <c r="N627" t="s">
        <v>101</v>
      </c>
      <c r="O627">
        <f>Orders[[#This Row],[requiredDate]]-Orders[[#This Row],[orderDate]]</f>
        <v>28</v>
      </c>
      <c r="P627">
        <f>Orders[[#This Row],[shippedDate]]-Orders[[#This Row],[orderDate]]</f>
        <v>3</v>
      </c>
      <c r="Q627">
        <f>Orders[[#This Row],[requiredDate]]-Orders[[#This Row],[shippedDate]]</f>
        <v>25</v>
      </c>
    </row>
    <row r="628" spans="1:17" x14ac:dyDescent="0.2">
      <c r="A628">
        <v>10874</v>
      </c>
      <c r="B628" t="s">
        <v>189</v>
      </c>
      <c r="C628">
        <v>5</v>
      </c>
      <c r="D628" s="1">
        <v>35832</v>
      </c>
      <c r="E628" s="1">
        <v>35860</v>
      </c>
      <c r="F628" s="1">
        <v>35837</v>
      </c>
      <c r="G628">
        <v>2</v>
      </c>
      <c r="H628" s="2">
        <v>19.579999999999998</v>
      </c>
      <c r="I628" t="s">
        <v>190</v>
      </c>
      <c r="J628" t="s">
        <v>191</v>
      </c>
      <c r="K628" t="s">
        <v>192</v>
      </c>
      <c r="L628" t="s">
        <v>18</v>
      </c>
      <c r="M628">
        <v>41101</v>
      </c>
      <c r="N628" t="s">
        <v>150</v>
      </c>
      <c r="O628">
        <f>Orders[[#This Row],[requiredDate]]-Orders[[#This Row],[orderDate]]</f>
        <v>28</v>
      </c>
      <c r="P628">
        <f>Orders[[#This Row],[shippedDate]]-Orders[[#This Row],[orderDate]]</f>
        <v>5</v>
      </c>
      <c r="Q628">
        <f>Orders[[#This Row],[requiredDate]]-Orders[[#This Row],[shippedDate]]</f>
        <v>23</v>
      </c>
    </row>
    <row r="629" spans="1:17" x14ac:dyDescent="0.2">
      <c r="A629">
        <v>10875</v>
      </c>
      <c r="B629" t="s">
        <v>137</v>
      </c>
      <c r="C629">
        <v>4</v>
      </c>
      <c r="D629" s="1">
        <v>35832</v>
      </c>
      <c r="E629" s="1">
        <v>35860</v>
      </c>
      <c r="F629" s="1">
        <v>35857</v>
      </c>
      <c r="G629">
        <v>2</v>
      </c>
      <c r="H629" s="2">
        <v>32.369999999999997</v>
      </c>
      <c r="I629" t="s">
        <v>138</v>
      </c>
      <c r="J629" t="s">
        <v>139</v>
      </c>
      <c r="K629" t="s">
        <v>140</v>
      </c>
      <c r="L629" t="s">
        <v>18</v>
      </c>
      <c r="M629" t="s">
        <v>141</v>
      </c>
      <c r="N629" t="s">
        <v>92</v>
      </c>
      <c r="O629">
        <f>Orders[[#This Row],[requiredDate]]-Orders[[#This Row],[orderDate]]</f>
        <v>28</v>
      </c>
      <c r="P629">
        <f>Orders[[#This Row],[shippedDate]]-Orders[[#This Row],[orderDate]]</f>
        <v>25</v>
      </c>
      <c r="Q629">
        <f>Orders[[#This Row],[requiredDate]]-Orders[[#This Row],[shippedDate]]</f>
        <v>3</v>
      </c>
    </row>
    <row r="630" spans="1:17" x14ac:dyDescent="0.2">
      <c r="A630">
        <v>10876</v>
      </c>
      <c r="B630" t="s">
        <v>239</v>
      </c>
      <c r="C630">
        <v>7</v>
      </c>
      <c r="D630" s="1">
        <v>35835</v>
      </c>
      <c r="E630" s="1">
        <v>35863</v>
      </c>
      <c r="F630" s="1">
        <v>35838</v>
      </c>
      <c r="G630">
        <v>3</v>
      </c>
      <c r="H630" s="2">
        <v>60.42</v>
      </c>
      <c r="I630" t="s">
        <v>240</v>
      </c>
      <c r="J630" t="s">
        <v>241</v>
      </c>
      <c r="K630" t="s">
        <v>242</v>
      </c>
      <c r="L630" t="s">
        <v>18</v>
      </c>
      <c r="M630">
        <v>13008</v>
      </c>
      <c r="N630" t="s">
        <v>19</v>
      </c>
      <c r="O630">
        <f>Orders[[#This Row],[requiredDate]]-Orders[[#This Row],[orderDate]]</f>
        <v>28</v>
      </c>
      <c r="P630">
        <f>Orders[[#This Row],[shippedDate]]-Orders[[#This Row],[orderDate]]</f>
        <v>3</v>
      </c>
      <c r="Q630">
        <f>Orders[[#This Row],[requiredDate]]-Orders[[#This Row],[shippedDate]]</f>
        <v>25</v>
      </c>
    </row>
    <row r="631" spans="1:17" x14ac:dyDescent="0.2">
      <c r="A631">
        <v>10877</v>
      </c>
      <c r="B631" t="s">
        <v>156</v>
      </c>
      <c r="C631">
        <v>1</v>
      </c>
      <c r="D631" s="1">
        <v>35835</v>
      </c>
      <c r="E631" s="1">
        <v>35863</v>
      </c>
      <c r="F631" s="1">
        <v>35845</v>
      </c>
      <c r="G631">
        <v>1</v>
      </c>
      <c r="H631" s="2">
        <v>38.06</v>
      </c>
      <c r="I631" t="s">
        <v>157</v>
      </c>
      <c r="J631" t="s">
        <v>158</v>
      </c>
      <c r="K631" t="s">
        <v>28</v>
      </c>
      <c r="L631" t="s">
        <v>29</v>
      </c>
      <c r="M631" t="s">
        <v>159</v>
      </c>
      <c r="N631" t="s">
        <v>31</v>
      </c>
      <c r="O631">
        <f>Orders[[#This Row],[requiredDate]]-Orders[[#This Row],[orderDate]]</f>
        <v>28</v>
      </c>
      <c r="P631">
        <f>Orders[[#This Row],[shippedDate]]-Orders[[#This Row],[orderDate]]</f>
        <v>10</v>
      </c>
      <c r="Q631">
        <f>Orders[[#This Row],[requiredDate]]-Orders[[#This Row],[shippedDate]]</f>
        <v>18</v>
      </c>
    </row>
    <row r="632" spans="1:17" x14ac:dyDescent="0.2">
      <c r="A632">
        <v>10878</v>
      </c>
      <c r="B632" t="s">
        <v>121</v>
      </c>
      <c r="C632">
        <v>4</v>
      </c>
      <c r="D632" s="1">
        <v>35836</v>
      </c>
      <c r="E632" s="1">
        <v>35864</v>
      </c>
      <c r="F632" s="1">
        <v>35838</v>
      </c>
      <c r="G632">
        <v>1</v>
      </c>
      <c r="H632" s="2">
        <v>46.69</v>
      </c>
      <c r="I632" t="s">
        <v>122</v>
      </c>
      <c r="J632" t="s">
        <v>123</v>
      </c>
      <c r="K632" t="s">
        <v>124</v>
      </c>
      <c r="L632" t="s">
        <v>18</v>
      </c>
      <c r="M632">
        <v>1307</v>
      </c>
      <c r="N632" t="s">
        <v>24</v>
      </c>
      <c r="O632">
        <f>Orders[[#This Row],[requiredDate]]-Orders[[#This Row],[orderDate]]</f>
        <v>28</v>
      </c>
      <c r="P632">
        <f>Orders[[#This Row],[shippedDate]]-Orders[[#This Row],[orderDate]]</f>
        <v>2</v>
      </c>
      <c r="Q632">
        <f>Orders[[#This Row],[requiredDate]]-Orders[[#This Row],[shippedDate]]</f>
        <v>26</v>
      </c>
    </row>
    <row r="633" spans="1:17" x14ac:dyDescent="0.2">
      <c r="A633">
        <v>10879</v>
      </c>
      <c r="B633" t="s">
        <v>392</v>
      </c>
      <c r="C633">
        <v>3</v>
      </c>
      <c r="D633" s="1">
        <v>35836</v>
      </c>
      <c r="E633" s="1">
        <v>35864</v>
      </c>
      <c r="F633" s="1">
        <v>35838</v>
      </c>
      <c r="G633">
        <v>3</v>
      </c>
      <c r="H633" s="2">
        <v>8.5</v>
      </c>
      <c r="I633" t="s">
        <v>393</v>
      </c>
      <c r="J633" t="s">
        <v>394</v>
      </c>
      <c r="K633" t="s">
        <v>395</v>
      </c>
      <c r="L633" t="s">
        <v>18</v>
      </c>
      <c r="M633">
        <v>21240</v>
      </c>
      <c r="N633" t="s">
        <v>101</v>
      </c>
      <c r="O633">
        <f>Orders[[#This Row],[requiredDate]]-Orders[[#This Row],[orderDate]]</f>
        <v>28</v>
      </c>
      <c r="P633">
        <f>Orders[[#This Row],[shippedDate]]-Orders[[#This Row],[orderDate]]</f>
        <v>2</v>
      </c>
      <c r="Q633">
        <f>Orders[[#This Row],[requiredDate]]-Orders[[#This Row],[shippedDate]]</f>
        <v>26</v>
      </c>
    </row>
    <row r="634" spans="1:17" x14ac:dyDescent="0.2">
      <c r="A634">
        <v>10880</v>
      </c>
      <c r="B634" t="s">
        <v>87</v>
      </c>
      <c r="C634">
        <v>7</v>
      </c>
      <c r="D634" s="1">
        <v>35836</v>
      </c>
      <c r="E634" s="1">
        <v>35878</v>
      </c>
      <c r="F634" s="1">
        <v>35844</v>
      </c>
      <c r="G634">
        <v>1</v>
      </c>
      <c r="H634" s="2">
        <v>88.01</v>
      </c>
      <c r="I634" t="s">
        <v>88</v>
      </c>
      <c r="J634" t="s">
        <v>89</v>
      </c>
      <c r="K634" t="s">
        <v>90</v>
      </c>
      <c r="L634" t="s">
        <v>18</v>
      </c>
      <c r="M634" t="s">
        <v>91</v>
      </c>
      <c r="N634" t="s">
        <v>92</v>
      </c>
      <c r="O634">
        <f>Orders[[#This Row],[requiredDate]]-Orders[[#This Row],[orderDate]]</f>
        <v>42</v>
      </c>
      <c r="P634">
        <f>Orders[[#This Row],[shippedDate]]-Orders[[#This Row],[orderDate]]</f>
        <v>8</v>
      </c>
      <c r="Q634">
        <f>Orders[[#This Row],[requiredDate]]-Orders[[#This Row],[shippedDate]]</f>
        <v>34</v>
      </c>
    </row>
    <row r="635" spans="1:17" x14ac:dyDescent="0.2">
      <c r="A635">
        <v>10881</v>
      </c>
      <c r="B635" t="s">
        <v>371</v>
      </c>
      <c r="C635">
        <v>4</v>
      </c>
      <c r="D635" s="1">
        <v>35837</v>
      </c>
      <c r="E635" s="1">
        <v>35865</v>
      </c>
      <c r="F635" s="1">
        <v>35844</v>
      </c>
      <c r="G635">
        <v>1</v>
      </c>
      <c r="H635" s="2">
        <v>2.84</v>
      </c>
      <c r="I635" t="s">
        <v>372</v>
      </c>
      <c r="J635" t="s">
        <v>373</v>
      </c>
      <c r="K635" t="s">
        <v>336</v>
      </c>
      <c r="L635" t="s">
        <v>18</v>
      </c>
      <c r="M635">
        <v>1010</v>
      </c>
      <c r="N635" t="s">
        <v>337</v>
      </c>
      <c r="O635">
        <f>Orders[[#This Row],[requiredDate]]-Orders[[#This Row],[orderDate]]</f>
        <v>28</v>
      </c>
      <c r="P635">
        <f>Orders[[#This Row],[shippedDate]]-Orders[[#This Row],[orderDate]]</f>
        <v>7</v>
      </c>
      <c r="Q635">
        <f>Orders[[#This Row],[requiredDate]]-Orders[[#This Row],[shippedDate]]</f>
        <v>21</v>
      </c>
    </row>
    <row r="636" spans="1:17" x14ac:dyDescent="0.2">
      <c r="A636">
        <v>10882</v>
      </c>
      <c r="B636" t="s">
        <v>226</v>
      </c>
      <c r="C636">
        <v>4</v>
      </c>
      <c r="D636" s="1">
        <v>35837</v>
      </c>
      <c r="E636" s="1">
        <v>35865</v>
      </c>
      <c r="F636" s="1">
        <v>35846</v>
      </c>
      <c r="G636">
        <v>3</v>
      </c>
      <c r="H636" s="2">
        <v>23.1</v>
      </c>
      <c r="I636" t="s">
        <v>227</v>
      </c>
      <c r="J636" t="s">
        <v>228</v>
      </c>
      <c r="K636" t="s">
        <v>229</v>
      </c>
      <c r="L636" t="s">
        <v>230</v>
      </c>
      <c r="M636">
        <v>83720</v>
      </c>
      <c r="N636" t="s">
        <v>86</v>
      </c>
      <c r="O636">
        <f>Orders[[#This Row],[requiredDate]]-Orders[[#This Row],[orderDate]]</f>
        <v>28</v>
      </c>
      <c r="P636">
        <f>Orders[[#This Row],[shippedDate]]-Orders[[#This Row],[orderDate]]</f>
        <v>9</v>
      </c>
      <c r="Q636">
        <f>Orders[[#This Row],[requiredDate]]-Orders[[#This Row],[shippedDate]]</f>
        <v>19</v>
      </c>
    </row>
    <row r="637" spans="1:17" x14ac:dyDescent="0.2">
      <c r="A637">
        <v>10883</v>
      </c>
      <c r="B637" t="s">
        <v>198</v>
      </c>
      <c r="C637">
        <v>8</v>
      </c>
      <c r="D637" s="1">
        <v>35838</v>
      </c>
      <c r="E637" s="1">
        <v>35866</v>
      </c>
      <c r="F637" s="1">
        <v>35846</v>
      </c>
      <c r="G637">
        <v>3</v>
      </c>
      <c r="H637" s="2">
        <v>0.53</v>
      </c>
      <c r="I637" t="s">
        <v>199</v>
      </c>
      <c r="J637" t="s">
        <v>200</v>
      </c>
      <c r="K637" t="s">
        <v>201</v>
      </c>
      <c r="L637" t="s">
        <v>202</v>
      </c>
      <c r="M637">
        <v>97219</v>
      </c>
      <c r="N637" t="s">
        <v>86</v>
      </c>
      <c r="O637">
        <f>Orders[[#This Row],[requiredDate]]-Orders[[#This Row],[orderDate]]</f>
        <v>28</v>
      </c>
      <c r="P637">
        <f>Orders[[#This Row],[shippedDate]]-Orders[[#This Row],[orderDate]]</f>
        <v>8</v>
      </c>
      <c r="Q637">
        <f>Orders[[#This Row],[requiredDate]]-Orders[[#This Row],[shippedDate]]</f>
        <v>20</v>
      </c>
    </row>
    <row r="638" spans="1:17" x14ac:dyDescent="0.2">
      <c r="A638">
        <v>10884</v>
      </c>
      <c r="B638" t="s">
        <v>387</v>
      </c>
      <c r="C638">
        <v>4</v>
      </c>
      <c r="D638" s="1">
        <v>35838</v>
      </c>
      <c r="E638" s="1">
        <v>35866</v>
      </c>
      <c r="F638" s="1">
        <v>35839</v>
      </c>
      <c r="G638">
        <v>2</v>
      </c>
      <c r="H638" s="2">
        <v>90.97</v>
      </c>
      <c r="I638" t="s">
        <v>388</v>
      </c>
      <c r="J638" t="s">
        <v>389</v>
      </c>
      <c r="K638" t="s">
        <v>390</v>
      </c>
      <c r="L638" t="s">
        <v>391</v>
      </c>
      <c r="M638">
        <v>94117</v>
      </c>
      <c r="N638" t="s">
        <v>86</v>
      </c>
      <c r="O638">
        <f>Orders[[#This Row],[requiredDate]]-Orders[[#This Row],[orderDate]]</f>
        <v>28</v>
      </c>
      <c r="P638">
        <f>Orders[[#This Row],[shippedDate]]-Orders[[#This Row],[orderDate]]</f>
        <v>1</v>
      </c>
      <c r="Q638">
        <f>Orders[[#This Row],[requiredDate]]-Orders[[#This Row],[shippedDate]]</f>
        <v>27</v>
      </c>
    </row>
    <row r="639" spans="1:17" x14ac:dyDescent="0.2">
      <c r="A639">
        <v>10885</v>
      </c>
      <c r="B639" t="s">
        <v>36</v>
      </c>
      <c r="C639">
        <v>6</v>
      </c>
      <c r="D639" s="1">
        <v>35838</v>
      </c>
      <c r="E639" s="1">
        <v>35866</v>
      </c>
      <c r="F639" s="1">
        <v>35844</v>
      </c>
      <c r="G639">
        <v>3</v>
      </c>
      <c r="H639" s="2">
        <v>5.64</v>
      </c>
      <c r="I639" t="s">
        <v>37</v>
      </c>
      <c r="J639" t="s">
        <v>38</v>
      </c>
      <c r="K639" t="s">
        <v>39</v>
      </c>
      <c r="L639" t="s">
        <v>18</v>
      </c>
      <c r="M639" t="s">
        <v>40</v>
      </c>
      <c r="N639" t="s">
        <v>41</v>
      </c>
      <c r="O639">
        <f>Orders[[#This Row],[requiredDate]]-Orders[[#This Row],[orderDate]]</f>
        <v>28</v>
      </c>
      <c r="P639">
        <f>Orders[[#This Row],[shippedDate]]-Orders[[#This Row],[orderDate]]</f>
        <v>6</v>
      </c>
      <c r="Q639">
        <f>Orders[[#This Row],[requiredDate]]-Orders[[#This Row],[shippedDate]]</f>
        <v>22</v>
      </c>
    </row>
    <row r="640" spans="1:17" x14ac:dyDescent="0.2">
      <c r="A640">
        <v>10886</v>
      </c>
      <c r="B640" t="s">
        <v>25</v>
      </c>
      <c r="C640">
        <v>1</v>
      </c>
      <c r="D640" s="1">
        <v>35839</v>
      </c>
      <c r="E640" s="1">
        <v>35867</v>
      </c>
      <c r="F640" s="1">
        <v>35856</v>
      </c>
      <c r="G640">
        <v>1</v>
      </c>
      <c r="H640" s="2">
        <v>4.99</v>
      </c>
      <c r="I640" t="s">
        <v>26</v>
      </c>
      <c r="J640" t="s">
        <v>27</v>
      </c>
      <c r="K640" t="s">
        <v>28</v>
      </c>
      <c r="L640" t="s">
        <v>29</v>
      </c>
      <c r="M640" t="s">
        <v>30</v>
      </c>
      <c r="N640" t="s">
        <v>31</v>
      </c>
      <c r="O640">
        <f>Orders[[#This Row],[requiredDate]]-Orders[[#This Row],[orderDate]]</f>
        <v>28</v>
      </c>
      <c r="P640">
        <f>Orders[[#This Row],[shippedDate]]-Orders[[#This Row],[orderDate]]</f>
        <v>17</v>
      </c>
      <c r="Q640">
        <f>Orders[[#This Row],[requiredDate]]-Orders[[#This Row],[shippedDate]]</f>
        <v>11</v>
      </c>
    </row>
    <row r="641" spans="1:17" x14ac:dyDescent="0.2">
      <c r="A641">
        <v>10887</v>
      </c>
      <c r="B641" t="s">
        <v>291</v>
      </c>
      <c r="C641">
        <v>8</v>
      </c>
      <c r="D641" s="1">
        <v>35839</v>
      </c>
      <c r="E641" s="1">
        <v>35867</v>
      </c>
      <c r="F641" s="1">
        <v>35842</v>
      </c>
      <c r="G641">
        <v>3</v>
      </c>
      <c r="H641" s="2">
        <v>1.25</v>
      </c>
      <c r="I641" t="s">
        <v>292</v>
      </c>
      <c r="J641" t="s">
        <v>293</v>
      </c>
      <c r="K641" t="s">
        <v>294</v>
      </c>
      <c r="L641" t="s">
        <v>18</v>
      </c>
      <c r="M641">
        <v>8022</v>
      </c>
      <c r="N641" t="s">
        <v>150</v>
      </c>
      <c r="O641">
        <f>Orders[[#This Row],[requiredDate]]-Orders[[#This Row],[orderDate]]</f>
        <v>28</v>
      </c>
      <c r="P641">
        <f>Orders[[#This Row],[shippedDate]]-Orders[[#This Row],[orderDate]]</f>
        <v>3</v>
      </c>
      <c r="Q641">
        <f>Orders[[#This Row],[requiredDate]]-Orders[[#This Row],[shippedDate]]</f>
        <v>25</v>
      </c>
    </row>
    <row r="642" spans="1:17" x14ac:dyDescent="0.2">
      <c r="A642">
        <v>10888</v>
      </c>
      <c r="B642" t="s">
        <v>189</v>
      </c>
      <c r="C642">
        <v>1</v>
      </c>
      <c r="D642" s="1">
        <v>35842</v>
      </c>
      <c r="E642" s="1">
        <v>35870</v>
      </c>
      <c r="F642" s="1">
        <v>35849</v>
      </c>
      <c r="G642">
        <v>2</v>
      </c>
      <c r="H642" s="2">
        <v>51.87</v>
      </c>
      <c r="I642" t="s">
        <v>190</v>
      </c>
      <c r="J642" t="s">
        <v>191</v>
      </c>
      <c r="K642" t="s">
        <v>192</v>
      </c>
      <c r="L642" t="s">
        <v>18</v>
      </c>
      <c r="M642">
        <v>41101</v>
      </c>
      <c r="N642" t="s">
        <v>150</v>
      </c>
      <c r="O642">
        <f>Orders[[#This Row],[requiredDate]]-Orders[[#This Row],[orderDate]]</f>
        <v>28</v>
      </c>
      <c r="P642">
        <f>Orders[[#This Row],[shippedDate]]-Orders[[#This Row],[orderDate]]</f>
        <v>7</v>
      </c>
      <c r="Q642">
        <f>Orders[[#This Row],[requiredDate]]-Orders[[#This Row],[shippedDate]]</f>
        <v>21</v>
      </c>
    </row>
    <row r="643" spans="1:17" x14ac:dyDescent="0.2">
      <c r="A643">
        <v>10889</v>
      </c>
      <c r="B643" t="s">
        <v>81</v>
      </c>
      <c r="C643">
        <v>9</v>
      </c>
      <c r="D643" s="1">
        <v>35842</v>
      </c>
      <c r="E643" s="1">
        <v>35870</v>
      </c>
      <c r="F643" s="1">
        <v>35849</v>
      </c>
      <c r="G643">
        <v>3</v>
      </c>
      <c r="H643" s="2">
        <v>280.61</v>
      </c>
      <c r="I643" t="s">
        <v>82</v>
      </c>
      <c r="J643" t="s">
        <v>83</v>
      </c>
      <c r="K643" t="s">
        <v>84</v>
      </c>
      <c r="L643" t="s">
        <v>85</v>
      </c>
      <c r="M643">
        <v>87110</v>
      </c>
      <c r="N643" t="s">
        <v>86</v>
      </c>
      <c r="O643">
        <f>Orders[[#This Row],[requiredDate]]-Orders[[#This Row],[orderDate]]</f>
        <v>28</v>
      </c>
      <c r="P643">
        <f>Orders[[#This Row],[shippedDate]]-Orders[[#This Row],[orderDate]]</f>
        <v>7</v>
      </c>
      <c r="Q643">
        <f>Orders[[#This Row],[requiredDate]]-Orders[[#This Row],[shippedDate]]</f>
        <v>21</v>
      </c>
    </row>
    <row r="644" spans="1:17" x14ac:dyDescent="0.2">
      <c r="A644">
        <v>10890</v>
      </c>
      <c r="B644" t="s">
        <v>209</v>
      </c>
      <c r="C644">
        <v>7</v>
      </c>
      <c r="D644" s="1">
        <v>35842</v>
      </c>
      <c r="E644" s="1">
        <v>35870</v>
      </c>
      <c r="F644" s="1">
        <v>35844</v>
      </c>
      <c r="G644">
        <v>1</v>
      </c>
      <c r="H644" s="2">
        <v>32.76</v>
      </c>
      <c r="I644" t="s">
        <v>210</v>
      </c>
      <c r="J644" t="s">
        <v>211</v>
      </c>
      <c r="K644" t="s">
        <v>212</v>
      </c>
      <c r="L644" t="s">
        <v>18</v>
      </c>
      <c r="M644">
        <v>44000</v>
      </c>
      <c r="N644" t="s">
        <v>19</v>
      </c>
      <c r="O644">
        <f>Orders[[#This Row],[requiredDate]]-Orders[[#This Row],[orderDate]]</f>
        <v>28</v>
      </c>
      <c r="P644">
        <f>Orders[[#This Row],[shippedDate]]-Orders[[#This Row],[orderDate]]</f>
        <v>2</v>
      </c>
      <c r="Q644">
        <f>Orders[[#This Row],[requiredDate]]-Orders[[#This Row],[shippedDate]]</f>
        <v>26</v>
      </c>
    </row>
    <row r="645" spans="1:17" x14ac:dyDescent="0.2">
      <c r="A645">
        <v>10891</v>
      </c>
      <c r="B645" t="s">
        <v>142</v>
      </c>
      <c r="C645">
        <v>7</v>
      </c>
      <c r="D645" s="1">
        <v>35843</v>
      </c>
      <c r="E645" s="1">
        <v>35871</v>
      </c>
      <c r="F645" s="1">
        <v>35845</v>
      </c>
      <c r="G645">
        <v>2</v>
      </c>
      <c r="H645" s="2">
        <v>20.37</v>
      </c>
      <c r="I645" t="s">
        <v>143</v>
      </c>
      <c r="J645" t="s">
        <v>144</v>
      </c>
      <c r="K645" t="s">
        <v>145</v>
      </c>
      <c r="L645" t="s">
        <v>18</v>
      </c>
      <c r="M645">
        <v>60528</v>
      </c>
      <c r="N645" t="s">
        <v>24</v>
      </c>
      <c r="O645">
        <f>Orders[[#This Row],[requiredDate]]-Orders[[#This Row],[orderDate]]</f>
        <v>28</v>
      </c>
      <c r="P645">
        <f>Orders[[#This Row],[shippedDate]]-Orders[[#This Row],[orderDate]]</f>
        <v>2</v>
      </c>
      <c r="Q645">
        <f>Orders[[#This Row],[requiredDate]]-Orders[[#This Row],[shippedDate]]</f>
        <v>26</v>
      </c>
    </row>
    <row r="646" spans="1:17" x14ac:dyDescent="0.2">
      <c r="A646">
        <v>10892</v>
      </c>
      <c r="B646" t="s">
        <v>378</v>
      </c>
      <c r="C646">
        <v>4</v>
      </c>
      <c r="D646" s="1">
        <v>35843</v>
      </c>
      <c r="E646" s="1">
        <v>35871</v>
      </c>
      <c r="F646" s="1">
        <v>35845</v>
      </c>
      <c r="G646">
        <v>2</v>
      </c>
      <c r="H646" s="2">
        <v>120.27</v>
      </c>
      <c r="I646" t="s">
        <v>379</v>
      </c>
      <c r="J646" t="s">
        <v>380</v>
      </c>
      <c r="K646" t="s">
        <v>381</v>
      </c>
      <c r="L646" t="s">
        <v>18</v>
      </c>
      <c r="M646" t="s">
        <v>382</v>
      </c>
      <c r="N646" t="s">
        <v>41</v>
      </c>
      <c r="O646">
        <f>Orders[[#This Row],[requiredDate]]-Orders[[#This Row],[orderDate]]</f>
        <v>28</v>
      </c>
      <c r="P646">
        <f>Orders[[#This Row],[shippedDate]]-Orders[[#This Row],[orderDate]]</f>
        <v>2</v>
      </c>
      <c r="Q646">
        <f>Orders[[#This Row],[requiredDate]]-Orders[[#This Row],[shippedDate]]</f>
        <v>26</v>
      </c>
    </row>
    <row r="647" spans="1:17" x14ac:dyDescent="0.2">
      <c r="A647">
        <v>10893</v>
      </c>
      <c r="B647" t="s">
        <v>222</v>
      </c>
      <c r="C647">
        <v>9</v>
      </c>
      <c r="D647" s="1">
        <v>35844</v>
      </c>
      <c r="E647" s="1">
        <v>35872</v>
      </c>
      <c r="F647" s="1">
        <v>35846</v>
      </c>
      <c r="G647">
        <v>2</v>
      </c>
      <c r="H647" s="2">
        <v>77.78</v>
      </c>
      <c r="I647" t="s">
        <v>223</v>
      </c>
      <c r="J647" t="s">
        <v>224</v>
      </c>
      <c r="K647" t="s">
        <v>225</v>
      </c>
      <c r="L647" t="s">
        <v>18</v>
      </c>
      <c r="M647">
        <v>14776</v>
      </c>
      <c r="N647" t="s">
        <v>24</v>
      </c>
      <c r="O647">
        <f>Orders[[#This Row],[requiredDate]]-Orders[[#This Row],[orderDate]]</f>
        <v>28</v>
      </c>
      <c r="P647">
        <f>Orders[[#This Row],[shippedDate]]-Orders[[#This Row],[orderDate]]</f>
        <v>2</v>
      </c>
      <c r="Q647">
        <f>Orders[[#This Row],[requiredDate]]-Orders[[#This Row],[shippedDate]]</f>
        <v>26</v>
      </c>
    </row>
    <row r="648" spans="1:17" x14ac:dyDescent="0.2">
      <c r="A648">
        <v>10894</v>
      </c>
      <c r="B648" t="s">
        <v>226</v>
      </c>
      <c r="C648">
        <v>1</v>
      </c>
      <c r="D648" s="1">
        <v>35844</v>
      </c>
      <c r="E648" s="1">
        <v>35872</v>
      </c>
      <c r="F648" s="1">
        <v>35846</v>
      </c>
      <c r="G648">
        <v>1</v>
      </c>
      <c r="H648" s="2">
        <v>116.13</v>
      </c>
      <c r="I648" t="s">
        <v>227</v>
      </c>
      <c r="J648" t="s">
        <v>228</v>
      </c>
      <c r="K648" t="s">
        <v>229</v>
      </c>
      <c r="L648" t="s">
        <v>230</v>
      </c>
      <c r="M648">
        <v>83720</v>
      </c>
      <c r="N648" t="s">
        <v>86</v>
      </c>
      <c r="O648">
        <f>Orders[[#This Row],[requiredDate]]-Orders[[#This Row],[orderDate]]</f>
        <v>28</v>
      </c>
      <c r="P648">
        <f>Orders[[#This Row],[shippedDate]]-Orders[[#This Row],[orderDate]]</f>
        <v>2</v>
      </c>
      <c r="Q648">
        <f>Orders[[#This Row],[requiredDate]]-Orders[[#This Row],[shippedDate]]</f>
        <v>26</v>
      </c>
    </row>
    <row r="649" spans="1:17" x14ac:dyDescent="0.2">
      <c r="A649">
        <v>10895</v>
      </c>
      <c r="B649" t="s">
        <v>63</v>
      </c>
      <c r="C649">
        <v>3</v>
      </c>
      <c r="D649" s="1">
        <v>35844</v>
      </c>
      <c r="E649" s="1">
        <v>35872</v>
      </c>
      <c r="F649" s="1">
        <v>35849</v>
      </c>
      <c r="G649">
        <v>1</v>
      </c>
      <c r="H649" s="2">
        <v>162.75</v>
      </c>
      <c r="I649" t="s">
        <v>64</v>
      </c>
      <c r="J649" t="s">
        <v>65</v>
      </c>
      <c r="K649" t="s">
        <v>66</v>
      </c>
      <c r="L649" t="s">
        <v>18</v>
      </c>
      <c r="M649">
        <v>8010</v>
      </c>
      <c r="N649" t="s">
        <v>67</v>
      </c>
      <c r="O649">
        <f>Orders[[#This Row],[requiredDate]]-Orders[[#This Row],[orderDate]]</f>
        <v>28</v>
      </c>
      <c r="P649">
        <f>Orders[[#This Row],[shippedDate]]-Orders[[#This Row],[orderDate]]</f>
        <v>5</v>
      </c>
      <c r="Q649">
        <f>Orders[[#This Row],[requiredDate]]-Orders[[#This Row],[shippedDate]]</f>
        <v>23</v>
      </c>
    </row>
    <row r="650" spans="1:17" x14ac:dyDescent="0.2">
      <c r="A650">
        <v>10896</v>
      </c>
      <c r="B650" t="s">
        <v>378</v>
      </c>
      <c r="C650">
        <v>7</v>
      </c>
      <c r="D650" s="1">
        <v>35845</v>
      </c>
      <c r="E650" s="1">
        <v>35873</v>
      </c>
      <c r="F650" s="1">
        <v>35853</v>
      </c>
      <c r="G650">
        <v>3</v>
      </c>
      <c r="H650" s="2">
        <v>32.450000000000003</v>
      </c>
      <c r="I650" t="s">
        <v>379</v>
      </c>
      <c r="J650" t="s">
        <v>380</v>
      </c>
      <c r="K650" t="s">
        <v>381</v>
      </c>
      <c r="L650" t="s">
        <v>18</v>
      </c>
      <c r="M650" t="s">
        <v>382</v>
      </c>
      <c r="N650" t="s">
        <v>41</v>
      </c>
      <c r="O650">
        <f>Orders[[#This Row],[requiredDate]]-Orders[[#This Row],[orderDate]]</f>
        <v>28</v>
      </c>
      <c r="P650">
        <f>Orders[[#This Row],[shippedDate]]-Orders[[#This Row],[orderDate]]</f>
        <v>8</v>
      </c>
      <c r="Q650">
        <f>Orders[[#This Row],[requiredDate]]-Orders[[#This Row],[shippedDate]]</f>
        <v>20</v>
      </c>
    </row>
    <row r="651" spans="1:17" x14ac:dyDescent="0.2">
      <c r="A651">
        <v>10897</v>
      </c>
      <c r="B651" t="s">
        <v>179</v>
      </c>
      <c r="C651">
        <v>3</v>
      </c>
      <c r="D651" s="1">
        <v>35845</v>
      </c>
      <c r="E651" s="1">
        <v>35873</v>
      </c>
      <c r="F651" s="1">
        <v>35851</v>
      </c>
      <c r="G651">
        <v>2</v>
      </c>
      <c r="H651" s="2">
        <v>603.54</v>
      </c>
      <c r="I651" t="s">
        <v>180</v>
      </c>
      <c r="J651" t="s">
        <v>181</v>
      </c>
      <c r="K651" t="s">
        <v>182</v>
      </c>
      <c r="L651" t="s">
        <v>183</v>
      </c>
      <c r="M651" t="s">
        <v>18</v>
      </c>
      <c r="N651" t="s">
        <v>184</v>
      </c>
      <c r="O651">
        <f>Orders[[#This Row],[requiredDate]]-Orders[[#This Row],[orderDate]]</f>
        <v>28</v>
      </c>
      <c r="P651">
        <f>Orders[[#This Row],[shippedDate]]-Orders[[#This Row],[orderDate]]</f>
        <v>6</v>
      </c>
      <c r="Q651">
        <f>Orders[[#This Row],[requiredDate]]-Orders[[#This Row],[shippedDate]]</f>
        <v>22</v>
      </c>
    </row>
    <row r="652" spans="1:17" x14ac:dyDescent="0.2">
      <c r="A652">
        <v>10898</v>
      </c>
      <c r="B652" t="s">
        <v>333</v>
      </c>
      <c r="C652">
        <v>4</v>
      </c>
      <c r="D652" s="1">
        <v>35846</v>
      </c>
      <c r="E652" s="1">
        <v>35874</v>
      </c>
      <c r="F652" s="1">
        <v>35860</v>
      </c>
      <c r="G652">
        <v>2</v>
      </c>
      <c r="H652" s="2">
        <v>1.27</v>
      </c>
      <c r="I652" t="s">
        <v>334</v>
      </c>
      <c r="J652" t="s">
        <v>335</v>
      </c>
      <c r="K652" t="s">
        <v>336</v>
      </c>
      <c r="L652" t="s">
        <v>18</v>
      </c>
      <c r="M652">
        <v>1010</v>
      </c>
      <c r="N652" t="s">
        <v>337</v>
      </c>
      <c r="O652">
        <f>Orders[[#This Row],[requiredDate]]-Orders[[#This Row],[orderDate]]</f>
        <v>28</v>
      </c>
      <c r="P652">
        <f>Orders[[#This Row],[shippedDate]]-Orders[[#This Row],[orderDate]]</f>
        <v>14</v>
      </c>
      <c r="Q652">
        <f>Orders[[#This Row],[requiredDate]]-Orders[[#This Row],[shippedDate]]</f>
        <v>14</v>
      </c>
    </row>
    <row r="653" spans="1:17" x14ac:dyDescent="0.2">
      <c r="A653">
        <v>10899</v>
      </c>
      <c r="B653" t="s">
        <v>151</v>
      </c>
      <c r="C653">
        <v>5</v>
      </c>
      <c r="D653" s="1">
        <v>35846</v>
      </c>
      <c r="E653" s="1">
        <v>35874</v>
      </c>
      <c r="F653" s="1">
        <v>35852</v>
      </c>
      <c r="G653">
        <v>3</v>
      </c>
      <c r="H653" s="2">
        <v>1.21</v>
      </c>
      <c r="I653" t="s">
        <v>152</v>
      </c>
      <c r="J653" t="s">
        <v>153</v>
      </c>
      <c r="K653" t="s">
        <v>154</v>
      </c>
      <c r="L653" t="s">
        <v>155</v>
      </c>
      <c r="M653">
        <v>3508</v>
      </c>
      <c r="N653" t="s">
        <v>62</v>
      </c>
      <c r="O653">
        <f>Orders[[#This Row],[requiredDate]]-Orders[[#This Row],[orderDate]]</f>
        <v>28</v>
      </c>
      <c r="P653">
        <f>Orders[[#This Row],[shippedDate]]-Orders[[#This Row],[orderDate]]</f>
        <v>6</v>
      </c>
      <c r="Q653">
        <f>Orders[[#This Row],[requiredDate]]-Orders[[#This Row],[shippedDate]]</f>
        <v>22</v>
      </c>
    </row>
    <row r="654" spans="1:17" x14ac:dyDescent="0.2">
      <c r="A654">
        <v>10900</v>
      </c>
      <c r="B654" t="s">
        <v>51</v>
      </c>
      <c r="C654">
        <v>1</v>
      </c>
      <c r="D654" s="1">
        <v>35846</v>
      </c>
      <c r="E654" s="1">
        <v>35874</v>
      </c>
      <c r="F654" s="1">
        <v>35858</v>
      </c>
      <c r="G654">
        <v>2</v>
      </c>
      <c r="H654" s="2">
        <v>1.66</v>
      </c>
      <c r="I654" t="s">
        <v>52</v>
      </c>
      <c r="J654" t="s">
        <v>53</v>
      </c>
      <c r="K654" t="s">
        <v>54</v>
      </c>
      <c r="L654" t="s">
        <v>55</v>
      </c>
      <c r="M654" t="s">
        <v>56</v>
      </c>
      <c r="N654" t="s">
        <v>31</v>
      </c>
      <c r="O654">
        <f>Orders[[#This Row],[requiredDate]]-Orders[[#This Row],[orderDate]]</f>
        <v>28</v>
      </c>
      <c r="P654">
        <f>Orders[[#This Row],[shippedDate]]-Orders[[#This Row],[orderDate]]</f>
        <v>12</v>
      </c>
      <c r="Q654">
        <f>Orders[[#This Row],[requiredDate]]-Orders[[#This Row],[shippedDate]]</f>
        <v>16</v>
      </c>
    </row>
    <row r="655" spans="1:17" x14ac:dyDescent="0.2">
      <c r="A655">
        <v>10901</v>
      </c>
      <c r="B655" t="s">
        <v>57</v>
      </c>
      <c r="C655">
        <v>4</v>
      </c>
      <c r="D655" s="1">
        <v>35849</v>
      </c>
      <c r="E655" s="1">
        <v>35877</v>
      </c>
      <c r="F655" s="1">
        <v>35852</v>
      </c>
      <c r="G655">
        <v>1</v>
      </c>
      <c r="H655" s="2">
        <v>62.09</v>
      </c>
      <c r="I655" t="s">
        <v>58</v>
      </c>
      <c r="J655" t="s">
        <v>59</v>
      </c>
      <c r="K655" t="s">
        <v>60</v>
      </c>
      <c r="L655" t="s">
        <v>61</v>
      </c>
      <c r="M655">
        <v>5022</v>
      </c>
      <c r="N655" t="s">
        <v>62</v>
      </c>
      <c r="O655">
        <f>Orders[[#This Row],[requiredDate]]-Orders[[#This Row],[orderDate]]</f>
        <v>28</v>
      </c>
      <c r="P655">
        <f>Orders[[#This Row],[shippedDate]]-Orders[[#This Row],[orderDate]]</f>
        <v>3</v>
      </c>
      <c r="Q655">
        <f>Orders[[#This Row],[requiredDate]]-Orders[[#This Row],[shippedDate]]</f>
        <v>25</v>
      </c>
    </row>
    <row r="656" spans="1:17" x14ac:dyDescent="0.2">
      <c r="A656">
        <v>10902</v>
      </c>
      <c r="B656" t="s">
        <v>87</v>
      </c>
      <c r="C656">
        <v>1</v>
      </c>
      <c r="D656" s="1">
        <v>35849</v>
      </c>
      <c r="E656" s="1">
        <v>35877</v>
      </c>
      <c r="F656" s="1">
        <v>35857</v>
      </c>
      <c r="G656">
        <v>1</v>
      </c>
      <c r="H656" s="2">
        <v>44.15</v>
      </c>
      <c r="I656" t="s">
        <v>88</v>
      </c>
      <c r="J656" t="s">
        <v>89</v>
      </c>
      <c r="K656" t="s">
        <v>90</v>
      </c>
      <c r="L656" t="s">
        <v>18</v>
      </c>
      <c r="M656" t="s">
        <v>91</v>
      </c>
      <c r="N656" t="s">
        <v>92</v>
      </c>
      <c r="O656">
        <f>Orders[[#This Row],[requiredDate]]-Orders[[#This Row],[orderDate]]</f>
        <v>28</v>
      </c>
      <c r="P656">
        <f>Orders[[#This Row],[shippedDate]]-Orders[[#This Row],[orderDate]]</f>
        <v>8</v>
      </c>
      <c r="Q656">
        <f>Orders[[#This Row],[requiredDate]]-Orders[[#This Row],[shippedDate]]</f>
        <v>20</v>
      </c>
    </row>
    <row r="657" spans="1:17" x14ac:dyDescent="0.2">
      <c r="A657">
        <v>10903</v>
      </c>
      <c r="B657" t="s">
        <v>25</v>
      </c>
      <c r="C657">
        <v>3</v>
      </c>
      <c r="D657" s="1">
        <v>35850</v>
      </c>
      <c r="E657" s="1">
        <v>35878</v>
      </c>
      <c r="F657" s="1">
        <v>35858</v>
      </c>
      <c r="G657">
        <v>3</v>
      </c>
      <c r="H657" s="2">
        <v>36.71</v>
      </c>
      <c r="I657" t="s">
        <v>26</v>
      </c>
      <c r="J657" t="s">
        <v>27</v>
      </c>
      <c r="K657" t="s">
        <v>28</v>
      </c>
      <c r="L657" t="s">
        <v>29</v>
      </c>
      <c r="M657" t="s">
        <v>30</v>
      </c>
      <c r="N657" t="s">
        <v>31</v>
      </c>
      <c r="O657">
        <f>Orders[[#This Row],[requiredDate]]-Orders[[#This Row],[orderDate]]</f>
        <v>28</v>
      </c>
      <c r="P657">
        <f>Orders[[#This Row],[shippedDate]]-Orders[[#This Row],[orderDate]]</f>
        <v>8</v>
      </c>
      <c r="Q657">
        <f>Orders[[#This Row],[requiredDate]]-Orders[[#This Row],[shippedDate]]</f>
        <v>20</v>
      </c>
    </row>
    <row r="658" spans="1:17" x14ac:dyDescent="0.2">
      <c r="A658">
        <v>10904</v>
      </c>
      <c r="B658" t="s">
        <v>111</v>
      </c>
      <c r="C658">
        <v>3</v>
      </c>
      <c r="D658" s="1">
        <v>35850</v>
      </c>
      <c r="E658" s="1">
        <v>35878</v>
      </c>
      <c r="F658" s="1">
        <v>35853</v>
      </c>
      <c r="G658">
        <v>3</v>
      </c>
      <c r="H658" s="2">
        <v>162.94999999999999</v>
      </c>
      <c r="I658" t="s">
        <v>112</v>
      </c>
      <c r="J658" t="s">
        <v>113</v>
      </c>
      <c r="K658" t="s">
        <v>114</v>
      </c>
      <c r="L658" t="s">
        <v>115</v>
      </c>
      <c r="M658">
        <v>98124</v>
      </c>
      <c r="N658" t="s">
        <v>86</v>
      </c>
      <c r="O658">
        <f>Orders[[#This Row],[requiredDate]]-Orders[[#This Row],[orderDate]]</f>
        <v>28</v>
      </c>
      <c r="P658">
        <f>Orders[[#This Row],[shippedDate]]-Orders[[#This Row],[orderDate]]</f>
        <v>3</v>
      </c>
      <c r="Q658">
        <f>Orders[[#This Row],[requiredDate]]-Orders[[#This Row],[shippedDate]]</f>
        <v>25</v>
      </c>
    </row>
    <row r="659" spans="1:17" x14ac:dyDescent="0.2">
      <c r="A659">
        <v>10905</v>
      </c>
      <c r="B659" t="s">
        <v>51</v>
      </c>
      <c r="C659">
        <v>9</v>
      </c>
      <c r="D659" s="1">
        <v>35850</v>
      </c>
      <c r="E659" s="1">
        <v>35878</v>
      </c>
      <c r="F659" s="1">
        <v>35860</v>
      </c>
      <c r="G659">
        <v>2</v>
      </c>
      <c r="H659" s="2">
        <v>13.72</v>
      </c>
      <c r="I659" t="s">
        <v>52</v>
      </c>
      <c r="J659" t="s">
        <v>53</v>
      </c>
      <c r="K659" t="s">
        <v>54</v>
      </c>
      <c r="L659" t="s">
        <v>55</v>
      </c>
      <c r="M659" t="s">
        <v>56</v>
      </c>
      <c r="N659" t="s">
        <v>31</v>
      </c>
      <c r="O659">
        <f>Orders[[#This Row],[requiredDate]]-Orders[[#This Row],[orderDate]]</f>
        <v>28</v>
      </c>
      <c r="P659">
        <f>Orders[[#This Row],[shippedDate]]-Orders[[#This Row],[orderDate]]</f>
        <v>10</v>
      </c>
      <c r="Q659">
        <f>Orders[[#This Row],[requiredDate]]-Orders[[#This Row],[shippedDate]]</f>
        <v>18</v>
      </c>
    </row>
    <row r="660" spans="1:17" x14ac:dyDescent="0.2">
      <c r="A660">
        <v>10906</v>
      </c>
      <c r="B660" t="s">
        <v>303</v>
      </c>
      <c r="C660">
        <v>4</v>
      </c>
      <c r="D660" s="1">
        <v>35851</v>
      </c>
      <c r="E660" s="1">
        <v>35865</v>
      </c>
      <c r="F660" s="1">
        <v>35857</v>
      </c>
      <c r="G660">
        <v>3</v>
      </c>
      <c r="H660" s="2">
        <v>26.29</v>
      </c>
      <c r="I660" t="s">
        <v>304</v>
      </c>
      <c r="J660" t="s">
        <v>305</v>
      </c>
      <c r="K660" t="s">
        <v>306</v>
      </c>
      <c r="L660" t="s">
        <v>18</v>
      </c>
      <c r="M660" t="s">
        <v>307</v>
      </c>
      <c r="N660" t="s">
        <v>308</v>
      </c>
      <c r="O660">
        <f>Orders[[#This Row],[requiredDate]]-Orders[[#This Row],[orderDate]]</f>
        <v>14</v>
      </c>
      <c r="P660">
        <f>Orders[[#This Row],[shippedDate]]-Orders[[#This Row],[orderDate]]</f>
        <v>6</v>
      </c>
      <c r="Q660">
        <f>Orders[[#This Row],[requiredDate]]-Orders[[#This Row],[shippedDate]]</f>
        <v>8</v>
      </c>
    </row>
    <row r="661" spans="1:17" x14ac:dyDescent="0.2">
      <c r="A661">
        <v>10907</v>
      </c>
      <c r="B661" t="s">
        <v>409</v>
      </c>
      <c r="C661">
        <v>6</v>
      </c>
      <c r="D661" s="1">
        <v>35851</v>
      </c>
      <c r="E661" s="1">
        <v>35879</v>
      </c>
      <c r="F661" s="1">
        <v>35853</v>
      </c>
      <c r="G661">
        <v>3</v>
      </c>
      <c r="H661" s="2">
        <v>9.19</v>
      </c>
      <c r="I661" t="s">
        <v>410</v>
      </c>
      <c r="J661" t="s">
        <v>411</v>
      </c>
      <c r="K661" t="s">
        <v>412</v>
      </c>
      <c r="L661" t="s">
        <v>18</v>
      </c>
      <c r="M661">
        <v>75016</v>
      </c>
      <c r="N661" t="s">
        <v>19</v>
      </c>
      <c r="O661">
        <f>Orders[[#This Row],[requiredDate]]-Orders[[#This Row],[orderDate]]</f>
        <v>28</v>
      </c>
      <c r="P661">
        <f>Orders[[#This Row],[shippedDate]]-Orders[[#This Row],[orderDate]]</f>
        <v>2</v>
      </c>
      <c r="Q661">
        <f>Orders[[#This Row],[requiredDate]]-Orders[[#This Row],[shippedDate]]</f>
        <v>26</v>
      </c>
    </row>
    <row r="662" spans="1:17" x14ac:dyDescent="0.2">
      <c r="A662">
        <v>10908</v>
      </c>
      <c r="B662" t="s">
        <v>160</v>
      </c>
      <c r="C662">
        <v>4</v>
      </c>
      <c r="D662" s="1">
        <v>35852</v>
      </c>
      <c r="E662" s="1">
        <v>35880</v>
      </c>
      <c r="F662" s="1">
        <v>35860</v>
      </c>
      <c r="G662">
        <v>2</v>
      </c>
      <c r="H662" s="2">
        <v>32.96</v>
      </c>
      <c r="I662" t="s">
        <v>161</v>
      </c>
      <c r="J662" t="s">
        <v>162</v>
      </c>
      <c r="K662" t="s">
        <v>163</v>
      </c>
      <c r="L662" t="s">
        <v>18</v>
      </c>
      <c r="M662">
        <v>42100</v>
      </c>
      <c r="N662" t="s">
        <v>129</v>
      </c>
      <c r="O662">
        <f>Orders[[#This Row],[requiredDate]]-Orders[[#This Row],[orderDate]]</f>
        <v>28</v>
      </c>
      <c r="P662">
        <f>Orders[[#This Row],[shippedDate]]-Orders[[#This Row],[orderDate]]</f>
        <v>8</v>
      </c>
      <c r="Q662">
        <f>Orders[[#This Row],[requiredDate]]-Orders[[#This Row],[shippedDate]]</f>
        <v>20</v>
      </c>
    </row>
    <row r="663" spans="1:17" x14ac:dyDescent="0.2">
      <c r="A663">
        <v>10909</v>
      </c>
      <c r="B663" t="s">
        <v>313</v>
      </c>
      <c r="C663">
        <v>1</v>
      </c>
      <c r="D663" s="1">
        <v>35852</v>
      </c>
      <c r="E663" s="1">
        <v>35880</v>
      </c>
      <c r="F663" s="1">
        <v>35864</v>
      </c>
      <c r="G663">
        <v>2</v>
      </c>
      <c r="H663" s="2">
        <v>53.05</v>
      </c>
      <c r="I663" t="s">
        <v>314</v>
      </c>
      <c r="J663" t="s">
        <v>315</v>
      </c>
      <c r="K663" t="s">
        <v>316</v>
      </c>
      <c r="L663" t="s">
        <v>18</v>
      </c>
      <c r="M663">
        <v>4110</v>
      </c>
      <c r="N663" t="s">
        <v>317</v>
      </c>
      <c r="O663">
        <f>Orders[[#This Row],[requiredDate]]-Orders[[#This Row],[orderDate]]</f>
        <v>28</v>
      </c>
      <c r="P663">
        <f>Orders[[#This Row],[shippedDate]]-Orders[[#This Row],[orderDate]]</f>
        <v>12</v>
      </c>
      <c r="Q663">
        <f>Orders[[#This Row],[requiredDate]]-Orders[[#This Row],[shippedDate]]</f>
        <v>16</v>
      </c>
    </row>
    <row r="664" spans="1:17" x14ac:dyDescent="0.2">
      <c r="A664">
        <v>10910</v>
      </c>
      <c r="B664" t="s">
        <v>392</v>
      </c>
      <c r="C664">
        <v>1</v>
      </c>
      <c r="D664" s="1">
        <v>35852</v>
      </c>
      <c r="E664" s="1">
        <v>35880</v>
      </c>
      <c r="F664" s="1">
        <v>35858</v>
      </c>
      <c r="G664">
        <v>3</v>
      </c>
      <c r="H664" s="2">
        <v>38.11</v>
      </c>
      <c r="I664" t="s">
        <v>393</v>
      </c>
      <c r="J664" t="s">
        <v>394</v>
      </c>
      <c r="K664" t="s">
        <v>395</v>
      </c>
      <c r="L664" t="s">
        <v>18</v>
      </c>
      <c r="M664">
        <v>21240</v>
      </c>
      <c r="N664" t="s">
        <v>101</v>
      </c>
      <c r="O664">
        <f>Orders[[#This Row],[requiredDate]]-Orders[[#This Row],[orderDate]]</f>
        <v>28</v>
      </c>
      <c r="P664">
        <f>Orders[[#This Row],[shippedDate]]-Orders[[#This Row],[orderDate]]</f>
        <v>6</v>
      </c>
      <c r="Q664">
        <f>Orders[[#This Row],[requiredDate]]-Orders[[#This Row],[shippedDate]]</f>
        <v>22</v>
      </c>
    </row>
    <row r="665" spans="1:17" x14ac:dyDescent="0.2">
      <c r="A665">
        <v>10911</v>
      </c>
      <c r="B665" t="s">
        <v>189</v>
      </c>
      <c r="C665">
        <v>3</v>
      </c>
      <c r="D665" s="1">
        <v>35852</v>
      </c>
      <c r="E665" s="1">
        <v>35880</v>
      </c>
      <c r="F665" s="1">
        <v>35859</v>
      </c>
      <c r="G665">
        <v>1</v>
      </c>
      <c r="H665" s="2">
        <v>38.19</v>
      </c>
      <c r="I665" t="s">
        <v>190</v>
      </c>
      <c r="J665" t="s">
        <v>191</v>
      </c>
      <c r="K665" t="s">
        <v>192</v>
      </c>
      <c r="L665" t="s">
        <v>18</v>
      </c>
      <c r="M665">
        <v>41101</v>
      </c>
      <c r="N665" t="s">
        <v>150</v>
      </c>
      <c r="O665">
        <f>Orders[[#This Row],[requiredDate]]-Orders[[#This Row],[orderDate]]</f>
        <v>28</v>
      </c>
      <c r="P665">
        <f>Orders[[#This Row],[shippedDate]]-Orders[[#This Row],[orderDate]]</f>
        <v>7</v>
      </c>
      <c r="Q665">
        <f>Orders[[#This Row],[requiredDate]]-Orders[[#This Row],[shippedDate]]</f>
        <v>21</v>
      </c>
    </row>
    <row r="666" spans="1:17" x14ac:dyDescent="0.2">
      <c r="A666">
        <v>10912</v>
      </c>
      <c r="B666" t="s">
        <v>179</v>
      </c>
      <c r="C666">
        <v>2</v>
      </c>
      <c r="D666" s="1">
        <v>35852</v>
      </c>
      <c r="E666" s="1">
        <v>35880</v>
      </c>
      <c r="F666" s="1">
        <v>35872</v>
      </c>
      <c r="G666">
        <v>2</v>
      </c>
      <c r="H666" s="2">
        <v>580.91</v>
      </c>
      <c r="I666" t="s">
        <v>180</v>
      </c>
      <c r="J666" t="s">
        <v>181</v>
      </c>
      <c r="K666" t="s">
        <v>182</v>
      </c>
      <c r="L666" t="s">
        <v>183</v>
      </c>
      <c r="M666" t="s">
        <v>18</v>
      </c>
      <c r="N666" t="s">
        <v>184</v>
      </c>
      <c r="O666">
        <f>Orders[[#This Row],[requiredDate]]-Orders[[#This Row],[orderDate]]</f>
        <v>28</v>
      </c>
      <c r="P666">
        <f>Orders[[#This Row],[shippedDate]]-Orders[[#This Row],[orderDate]]</f>
        <v>20</v>
      </c>
      <c r="Q666">
        <f>Orders[[#This Row],[requiredDate]]-Orders[[#This Row],[shippedDate]]</f>
        <v>8</v>
      </c>
    </row>
    <row r="667" spans="1:17" x14ac:dyDescent="0.2">
      <c r="A667">
        <v>10913</v>
      </c>
      <c r="B667" t="s">
        <v>299</v>
      </c>
      <c r="C667">
        <v>4</v>
      </c>
      <c r="D667" s="1">
        <v>35852</v>
      </c>
      <c r="E667" s="1">
        <v>35880</v>
      </c>
      <c r="F667" s="1">
        <v>35858</v>
      </c>
      <c r="G667">
        <v>1</v>
      </c>
      <c r="H667" s="2">
        <v>33.049999999999997</v>
      </c>
      <c r="I667" t="s">
        <v>300</v>
      </c>
      <c r="J667" t="s">
        <v>301</v>
      </c>
      <c r="K667" t="s">
        <v>173</v>
      </c>
      <c r="L667" t="s">
        <v>55</v>
      </c>
      <c r="M667" t="s">
        <v>302</v>
      </c>
      <c r="N667" t="s">
        <v>31</v>
      </c>
      <c r="O667">
        <f>Orders[[#This Row],[requiredDate]]-Orders[[#This Row],[orderDate]]</f>
        <v>28</v>
      </c>
      <c r="P667">
        <f>Orders[[#This Row],[shippedDate]]-Orders[[#This Row],[orderDate]]</f>
        <v>6</v>
      </c>
      <c r="Q667">
        <f>Orders[[#This Row],[requiredDate]]-Orders[[#This Row],[shippedDate]]</f>
        <v>22</v>
      </c>
    </row>
    <row r="668" spans="1:17" x14ac:dyDescent="0.2">
      <c r="A668">
        <v>10914</v>
      </c>
      <c r="B668" t="s">
        <v>299</v>
      </c>
      <c r="C668">
        <v>6</v>
      </c>
      <c r="D668" s="1">
        <v>35853</v>
      </c>
      <c r="E668" s="1">
        <v>35881</v>
      </c>
      <c r="F668" s="1">
        <v>35856</v>
      </c>
      <c r="G668">
        <v>1</v>
      </c>
      <c r="H668" s="2">
        <v>21.19</v>
      </c>
      <c r="I668" t="s">
        <v>300</v>
      </c>
      <c r="J668" t="s">
        <v>301</v>
      </c>
      <c r="K668" t="s">
        <v>173</v>
      </c>
      <c r="L668" t="s">
        <v>55</v>
      </c>
      <c r="M668" t="s">
        <v>302</v>
      </c>
      <c r="N668" t="s">
        <v>31</v>
      </c>
      <c r="O668">
        <f>Orders[[#This Row],[requiredDate]]-Orders[[#This Row],[orderDate]]</f>
        <v>28</v>
      </c>
      <c r="P668">
        <f>Orders[[#This Row],[shippedDate]]-Orders[[#This Row],[orderDate]]</f>
        <v>3</v>
      </c>
      <c r="Q668">
        <f>Orders[[#This Row],[requiredDate]]-Orders[[#This Row],[shippedDate]]</f>
        <v>25</v>
      </c>
    </row>
    <row r="669" spans="1:17" x14ac:dyDescent="0.2">
      <c r="A669">
        <v>10915</v>
      </c>
      <c r="B669" t="s">
        <v>130</v>
      </c>
      <c r="C669">
        <v>2</v>
      </c>
      <c r="D669" s="1">
        <v>35853</v>
      </c>
      <c r="E669" s="1">
        <v>35881</v>
      </c>
      <c r="F669" s="1">
        <v>35856</v>
      </c>
      <c r="G669">
        <v>2</v>
      </c>
      <c r="H669" s="2">
        <v>3.51</v>
      </c>
      <c r="I669" t="s">
        <v>131</v>
      </c>
      <c r="J669" t="s">
        <v>132</v>
      </c>
      <c r="K669" t="s">
        <v>71</v>
      </c>
      <c r="L669" t="s">
        <v>18</v>
      </c>
      <c r="M669">
        <v>5033</v>
      </c>
      <c r="N669" t="s">
        <v>72</v>
      </c>
      <c r="O669">
        <f>Orders[[#This Row],[requiredDate]]-Orders[[#This Row],[orderDate]]</f>
        <v>28</v>
      </c>
      <c r="P669">
        <f>Orders[[#This Row],[shippedDate]]-Orders[[#This Row],[orderDate]]</f>
        <v>3</v>
      </c>
      <c r="Q669">
        <f>Orders[[#This Row],[requiredDate]]-Orders[[#This Row],[shippedDate]]</f>
        <v>25</v>
      </c>
    </row>
    <row r="670" spans="1:17" x14ac:dyDescent="0.2">
      <c r="A670">
        <v>10916</v>
      </c>
      <c r="B670" t="s">
        <v>351</v>
      </c>
      <c r="C670">
        <v>1</v>
      </c>
      <c r="D670" s="1">
        <v>35853</v>
      </c>
      <c r="E670" s="1">
        <v>35881</v>
      </c>
      <c r="F670" s="1">
        <v>35863</v>
      </c>
      <c r="G670">
        <v>2</v>
      </c>
      <c r="H670" s="2">
        <v>63.77</v>
      </c>
      <c r="I670" t="s">
        <v>352</v>
      </c>
      <c r="J670" t="s">
        <v>353</v>
      </c>
      <c r="K670" t="s">
        <v>336</v>
      </c>
      <c r="L670" t="s">
        <v>18</v>
      </c>
      <c r="M670">
        <v>1010</v>
      </c>
      <c r="N670" t="s">
        <v>337</v>
      </c>
      <c r="O670">
        <f>Orders[[#This Row],[requiredDate]]-Orders[[#This Row],[orderDate]]</f>
        <v>28</v>
      </c>
      <c r="P670">
        <f>Orders[[#This Row],[shippedDate]]-Orders[[#This Row],[orderDate]]</f>
        <v>10</v>
      </c>
      <c r="Q670">
        <f>Orders[[#This Row],[requiredDate]]-Orders[[#This Row],[shippedDate]]</f>
        <v>18</v>
      </c>
    </row>
    <row r="671" spans="1:17" x14ac:dyDescent="0.2">
      <c r="A671">
        <v>10917</v>
      </c>
      <c r="B671" t="s">
        <v>146</v>
      </c>
      <c r="C671">
        <v>4</v>
      </c>
      <c r="D671" s="1">
        <v>35856</v>
      </c>
      <c r="E671" s="1">
        <v>35884</v>
      </c>
      <c r="F671" s="1">
        <v>35865</v>
      </c>
      <c r="G671">
        <v>2</v>
      </c>
      <c r="H671" s="2">
        <v>8.2899999999999991</v>
      </c>
      <c r="I671" t="s">
        <v>147</v>
      </c>
      <c r="J671" t="s">
        <v>148</v>
      </c>
      <c r="K671" t="s">
        <v>149</v>
      </c>
      <c r="L671" t="s">
        <v>18</v>
      </c>
      <c r="M671">
        <v>28001</v>
      </c>
      <c r="N671" t="s">
        <v>150</v>
      </c>
      <c r="O671">
        <f>Orders[[#This Row],[requiredDate]]-Orders[[#This Row],[orderDate]]</f>
        <v>28</v>
      </c>
      <c r="P671">
        <f>Orders[[#This Row],[shippedDate]]-Orders[[#This Row],[orderDate]]</f>
        <v>9</v>
      </c>
      <c r="Q671">
        <f>Orders[[#This Row],[requiredDate]]-Orders[[#This Row],[shippedDate]]</f>
        <v>19</v>
      </c>
    </row>
    <row r="672" spans="1:17" x14ac:dyDescent="0.2">
      <c r="A672">
        <v>10918</v>
      </c>
      <c r="B672" t="s">
        <v>318</v>
      </c>
      <c r="C672">
        <v>3</v>
      </c>
      <c r="D672" s="1">
        <v>35856</v>
      </c>
      <c r="E672" s="1">
        <v>35884</v>
      </c>
      <c r="F672" s="1">
        <v>35865</v>
      </c>
      <c r="G672">
        <v>3</v>
      </c>
      <c r="H672" s="2">
        <v>48.83</v>
      </c>
      <c r="I672" t="s">
        <v>319</v>
      </c>
      <c r="J672" t="s">
        <v>320</v>
      </c>
      <c r="K672" t="s">
        <v>321</v>
      </c>
      <c r="L672" t="s">
        <v>322</v>
      </c>
      <c r="M672" t="s">
        <v>323</v>
      </c>
      <c r="N672" t="s">
        <v>249</v>
      </c>
      <c r="O672">
        <f>Orders[[#This Row],[requiredDate]]-Orders[[#This Row],[orderDate]]</f>
        <v>28</v>
      </c>
      <c r="P672">
        <f>Orders[[#This Row],[shippedDate]]-Orders[[#This Row],[orderDate]]</f>
        <v>9</v>
      </c>
      <c r="Q672">
        <f>Orders[[#This Row],[requiredDate]]-Orders[[#This Row],[shippedDate]]</f>
        <v>19</v>
      </c>
    </row>
    <row r="673" spans="1:17" x14ac:dyDescent="0.2">
      <c r="A673">
        <v>10919</v>
      </c>
      <c r="B673" t="s">
        <v>324</v>
      </c>
      <c r="C673">
        <v>2</v>
      </c>
      <c r="D673" s="1">
        <v>35856</v>
      </c>
      <c r="E673" s="1">
        <v>35884</v>
      </c>
      <c r="F673" s="1">
        <v>35858</v>
      </c>
      <c r="G673">
        <v>2</v>
      </c>
      <c r="H673" s="2">
        <v>19.8</v>
      </c>
      <c r="I673" t="s">
        <v>325</v>
      </c>
      <c r="J673" t="s">
        <v>326</v>
      </c>
      <c r="K673" t="s">
        <v>327</v>
      </c>
      <c r="L673" t="s">
        <v>328</v>
      </c>
      <c r="M673">
        <v>4980</v>
      </c>
      <c r="N673" t="s">
        <v>62</v>
      </c>
      <c r="O673">
        <f>Orders[[#This Row],[requiredDate]]-Orders[[#This Row],[orderDate]]</f>
        <v>28</v>
      </c>
      <c r="P673">
        <f>Orders[[#This Row],[shippedDate]]-Orders[[#This Row],[orderDate]]</f>
        <v>2</v>
      </c>
      <c r="Q673">
        <f>Orders[[#This Row],[requiredDate]]-Orders[[#This Row],[shippedDate]]</f>
        <v>26</v>
      </c>
    </row>
    <row r="674" spans="1:17" x14ac:dyDescent="0.2">
      <c r="A674">
        <v>10920</v>
      </c>
      <c r="B674" t="s">
        <v>270</v>
      </c>
      <c r="C674">
        <v>4</v>
      </c>
      <c r="D674" s="1">
        <v>35857</v>
      </c>
      <c r="E674" s="1">
        <v>35885</v>
      </c>
      <c r="F674" s="1">
        <v>35863</v>
      </c>
      <c r="G674">
        <v>2</v>
      </c>
      <c r="H674" s="2">
        <v>29.61</v>
      </c>
      <c r="I674" t="s">
        <v>271</v>
      </c>
      <c r="J674" t="s">
        <v>272</v>
      </c>
      <c r="K674" t="s">
        <v>273</v>
      </c>
      <c r="L674" t="s">
        <v>274</v>
      </c>
      <c r="M674" t="s">
        <v>275</v>
      </c>
      <c r="N674" t="s">
        <v>169</v>
      </c>
      <c r="O674">
        <f>Orders[[#This Row],[requiredDate]]-Orders[[#This Row],[orderDate]]</f>
        <v>28</v>
      </c>
      <c r="P674">
        <f>Orders[[#This Row],[shippedDate]]-Orders[[#This Row],[orderDate]]</f>
        <v>6</v>
      </c>
      <c r="Q674">
        <f>Orders[[#This Row],[requiredDate]]-Orders[[#This Row],[shippedDate]]</f>
        <v>22</v>
      </c>
    </row>
    <row r="675" spans="1:17" x14ac:dyDescent="0.2">
      <c r="A675">
        <v>10921</v>
      </c>
      <c r="B675" t="s">
        <v>295</v>
      </c>
      <c r="C675">
        <v>1</v>
      </c>
      <c r="D675" s="1">
        <v>35857</v>
      </c>
      <c r="E675" s="1">
        <v>35899</v>
      </c>
      <c r="F675" s="1">
        <v>35863</v>
      </c>
      <c r="G675">
        <v>1</v>
      </c>
      <c r="H675" s="2">
        <v>176.48</v>
      </c>
      <c r="I675" t="s">
        <v>296</v>
      </c>
      <c r="J675" t="s">
        <v>297</v>
      </c>
      <c r="K675" t="s">
        <v>298</v>
      </c>
      <c r="L675" t="s">
        <v>18</v>
      </c>
      <c r="M675">
        <v>8200</v>
      </c>
      <c r="N675" t="s">
        <v>257</v>
      </c>
      <c r="O675">
        <f>Orders[[#This Row],[requiredDate]]-Orders[[#This Row],[orderDate]]</f>
        <v>42</v>
      </c>
      <c r="P675">
        <f>Orders[[#This Row],[shippedDate]]-Orders[[#This Row],[orderDate]]</f>
        <v>6</v>
      </c>
      <c r="Q675">
        <f>Orders[[#This Row],[requiredDate]]-Orders[[#This Row],[shippedDate]]</f>
        <v>36</v>
      </c>
    </row>
    <row r="676" spans="1:17" x14ac:dyDescent="0.2">
      <c r="A676">
        <v>10922</v>
      </c>
      <c r="B676" t="s">
        <v>25</v>
      </c>
      <c r="C676">
        <v>5</v>
      </c>
      <c r="D676" s="1">
        <v>35857</v>
      </c>
      <c r="E676" s="1">
        <v>35885</v>
      </c>
      <c r="F676" s="1">
        <v>35859</v>
      </c>
      <c r="G676">
        <v>3</v>
      </c>
      <c r="H676" s="2">
        <v>62.74</v>
      </c>
      <c r="I676" t="s">
        <v>26</v>
      </c>
      <c r="J676" t="s">
        <v>27</v>
      </c>
      <c r="K676" t="s">
        <v>28</v>
      </c>
      <c r="L676" t="s">
        <v>29</v>
      </c>
      <c r="M676" t="s">
        <v>30</v>
      </c>
      <c r="N676" t="s">
        <v>31</v>
      </c>
      <c r="O676">
        <f>Orders[[#This Row],[requiredDate]]-Orders[[#This Row],[orderDate]]</f>
        <v>28</v>
      </c>
      <c r="P676">
        <f>Orders[[#This Row],[shippedDate]]-Orders[[#This Row],[orderDate]]</f>
        <v>2</v>
      </c>
      <c r="Q676">
        <f>Orders[[#This Row],[requiredDate]]-Orders[[#This Row],[shippedDate]]</f>
        <v>26</v>
      </c>
    </row>
    <row r="677" spans="1:17" x14ac:dyDescent="0.2">
      <c r="A677">
        <v>10923</v>
      </c>
      <c r="B677" t="s">
        <v>262</v>
      </c>
      <c r="C677">
        <v>7</v>
      </c>
      <c r="D677" s="1">
        <v>35857</v>
      </c>
      <c r="E677" s="1">
        <v>35899</v>
      </c>
      <c r="F677" s="1">
        <v>35867</v>
      </c>
      <c r="G677">
        <v>3</v>
      </c>
      <c r="H677" s="2">
        <v>68.260000000000005</v>
      </c>
      <c r="I677" t="s">
        <v>263</v>
      </c>
      <c r="J677" t="s">
        <v>264</v>
      </c>
      <c r="K677" t="s">
        <v>265</v>
      </c>
      <c r="L677" t="s">
        <v>18</v>
      </c>
      <c r="M677">
        <v>31000</v>
      </c>
      <c r="N677" t="s">
        <v>19</v>
      </c>
      <c r="O677">
        <f>Orders[[#This Row],[requiredDate]]-Orders[[#This Row],[orderDate]]</f>
        <v>42</v>
      </c>
      <c r="P677">
        <f>Orders[[#This Row],[shippedDate]]-Orders[[#This Row],[orderDate]]</f>
        <v>10</v>
      </c>
      <c r="Q677">
        <f>Orders[[#This Row],[requiredDate]]-Orders[[#This Row],[shippedDate]]</f>
        <v>32</v>
      </c>
    </row>
    <row r="678" spans="1:17" x14ac:dyDescent="0.2">
      <c r="A678">
        <v>10924</v>
      </c>
      <c r="B678" t="s">
        <v>137</v>
      </c>
      <c r="C678">
        <v>3</v>
      </c>
      <c r="D678" s="1">
        <v>35858</v>
      </c>
      <c r="E678" s="1">
        <v>35886</v>
      </c>
      <c r="F678" s="1">
        <v>35893</v>
      </c>
      <c r="G678">
        <v>2</v>
      </c>
      <c r="H678" s="2">
        <v>151.52000000000001</v>
      </c>
      <c r="I678" t="s">
        <v>138</v>
      </c>
      <c r="J678" t="s">
        <v>139</v>
      </c>
      <c r="K678" t="s">
        <v>140</v>
      </c>
      <c r="L678" t="s">
        <v>18</v>
      </c>
      <c r="M678" t="s">
        <v>141</v>
      </c>
      <c r="N678" t="s">
        <v>92</v>
      </c>
      <c r="O678">
        <f>Orders[[#This Row],[requiredDate]]-Orders[[#This Row],[orderDate]]</f>
        <v>28</v>
      </c>
      <c r="P678">
        <f>Orders[[#This Row],[shippedDate]]-Orders[[#This Row],[orderDate]]</f>
        <v>35</v>
      </c>
      <c r="Q678">
        <f>Orders[[#This Row],[requiredDate]]-Orders[[#This Row],[shippedDate]]</f>
        <v>-7</v>
      </c>
    </row>
    <row r="679" spans="1:17" x14ac:dyDescent="0.2">
      <c r="A679">
        <v>10925</v>
      </c>
      <c r="B679" t="s">
        <v>25</v>
      </c>
      <c r="C679">
        <v>3</v>
      </c>
      <c r="D679" s="1">
        <v>35858</v>
      </c>
      <c r="E679" s="1">
        <v>35886</v>
      </c>
      <c r="F679" s="1">
        <v>35867</v>
      </c>
      <c r="G679">
        <v>1</v>
      </c>
      <c r="H679" s="2">
        <v>2.27</v>
      </c>
      <c r="I679" t="s">
        <v>26</v>
      </c>
      <c r="J679" t="s">
        <v>27</v>
      </c>
      <c r="K679" t="s">
        <v>28</v>
      </c>
      <c r="L679" t="s">
        <v>29</v>
      </c>
      <c r="M679" t="s">
        <v>30</v>
      </c>
      <c r="N679" t="s">
        <v>31</v>
      </c>
      <c r="O679">
        <f>Orders[[#This Row],[requiredDate]]-Orders[[#This Row],[orderDate]]</f>
        <v>28</v>
      </c>
      <c r="P679">
        <f>Orders[[#This Row],[shippedDate]]-Orders[[#This Row],[orderDate]]</f>
        <v>9</v>
      </c>
      <c r="Q679">
        <f>Orders[[#This Row],[requiredDate]]-Orders[[#This Row],[shippedDate]]</f>
        <v>19</v>
      </c>
    </row>
    <row r="680" spans="1:17" x14ac:dyDescent="0.2">
      <c r="A680">
        <v>10926</v>
      </c>
      <c r="B680" t="s">
        <v>203</v>
      </c>
      <c r="C680">
        <v>4</v>
      </c>
      <c r="D680" s="1">
        <v>35858</v>
      </c>
      <c r="E680" s="1">
        <v>35886</v>
      </c>
      <c r="F680" s="1">
        <v>35865</v>
      </c>
      <c r="G680">
        <v>3</v>
      </c>
      <c r="H680" s="2">
        <v>39.92</v>
      </c>
      <c r="I680" t="s">
        <v>204</v>
      </c>
      <c r="J680" t="s">
        <v>205</v>
      </c>
      <c r="K680" t="s">
        <v>71</v>
      </c>
      <c r="L680" t="s">
        <v>18</v>
      </c>
      <c r="M680">
        <v>5021</v>
      </c>
      <c r="N680" t="s">
        <v>72</v>
      </c>
      <c r="O680">
        <f>Orders[[#This Row],[requiredDate]]-Orders[[#This Row],[orderDate]]</f>
        <v>28</v>
      </c>
      <c r="P680">
        <f>Orders[[#This Row],[shippedDate]]-Orders[[#This Row],[orderDate]]</f>
        <v>7</v>
      </c>
      <c r="Q680">
        <f>Orders[[#This Row],[requiredDate]]-Orders[[#This Row],[shippedDate]]</f>
        <v>21</v>
      </c>
    </row>
    <row r="681" spans="1:17" x14ac:dyDescent="0.2">
      <c r="A681">
        <v>10927</v>
      </c>
      <c r="B681" t="s">
        <v>413</v>
      </c>
      <c r="C681">
        <v>4</v>
      </c>
      <c r="D681" s="1">
        <v>35859</v>
      </c>
      <c r="E681" s="1">
        <v>35887</v>
      </c>
      <c r="F681" s="1">
        <v>35893</v>
      </c>
      <c r="G681">
        <v>1</v>
      </c>
      <c r="H681" s="2">
        <v>19.79</v>
      </c>
      <c r="I681" t="s">
        <v>414</v>
      </c>
      <c r="J681" t="s">
        <v>415</v>
      </c>
      <c r="K681" t="s">
        <v>416</v>
      </c>
      <c r="L681" t="s">
        <v>18</v>
      </c>
      <c r="M681">
        <v>78000</v>
      </c>
      <c r="N681" t="s">
        <v>19</v>
      </c>
      <c r="O681">
        <f>Orders[[#This Row],[requiredDate]]-Orders[[#This Row],[orderDate]]</f>
        <v>28</v>
      </c>
      <c r="P681">
        <f>Orders[[#This Row],[shippedDate]]-Orders[[#This Row],[orderDate]]</f>
        <v>34</v>
      </c>
      <c r="Q681">
        <f>Orders[[#This Row],[requiredDate]]-Orders[[#This Row],[shippedDate]]</f>
        <v>-6</v>
      </c>
    </row>
    <row r="682" spans="1:17" x14ac:dyDescent="0.2">
      <c r="A682">
        <v>10928</v>
      </c>
      <c r="B682" t="s">
        <v>291</v>
      </c>
      <c r="C682">
        <v>1</v>
      </c>
      <c r="D682" s="1">
        <v>35859</v>
      </c>
      <c r="E682" s="1">
        <v>35887</v>
      </c>
      <c r="F682" s="1">
        <v>35872</v>
      </c>
      <c r="G682">
        <v>1</v>
      </c>
      <c r="H682" s="2">
        <v>1.36</v>
      </c>
      <c r="I682" t="s">
        <v>292</v>
      </c>
      <c r="J682" t="s">
        <v>293</v>
      </c>
      <c r="K682" t="s">
        <v>294</v>
      </c>
      <c r="L682" t="s">
        <v>18</v>
      </c>
      <c r="M682">
        <v>8022</v>
      </c>
      <c r="N682" t="s">
        <v>150</v>
      </c>
      <c r="O682">
        <f>Orders[[#This Row],[requiredDate]]-Orders[[#This Row],[orderDate]]</f>
        <v>28</v>
      </c>
      <c r="P682">
        <f>Orders[[#This Row],[shippedDate]]-Orders[[#This Row],[orderDate]]</f>
        <v>13</v>
      </c>
      <c r="Q682">
        <f>Orders[[#This Row],[requiredDate]]-Orders[[#This Row],[shippedDate]]</f>
        <v>15</v>
      </c>
    </row>
    <row r="683" spans="1:17" x14ac:dyDescent="0.2">
      <c r="A683">
        <v>10929</v>
      </c>
      <c r="B683" t="s">
        <v>102</v>
      </c>
      <c r="C683">
        <v>6</v>
      </c>
      <c r="D683" s="1">
        <v>35859</v>
      </c>
      <c r="E683" s="1">
        <v>35887</v>
      </c>
      <c r="F683" s="1">
        <v>35866</v>
      </c>
      <c r="G683">
        <v>1</v>
      </c>
      <c r="H683" s="2">
        <v>33.93</v>
      </c>
      <c r="I683" t="s">
        <v>103</v>
      </c>
      <c r="J683" t="s">
        <v>104</v>
      </c>
      <c r="K683" t="s">
        <v>105</v>
      </c>
      <c r="L683" t="s">
        <v>18</v>
      </c>
      <c r="M683">
        <v>80805</v>
      </c>
      <c r="N683" t="s">
        <v>24</v>
      </c>
      <c r="O683">
        <f>Orders[[#This Row],[requiredDate]]-Orders[[#This Row],[orderDate]]</f>
        <v>28</v>
      </c>
      <c r="P683">
        <f>Orders[[#This Row],[shippedDate]]-Orders[[#This Row],[orderDate]]</f>
        <v>7</v>
      </c>
      <c r="Q683">
        <f>Orders[[#This Row],[requiredDate]]-Orders[[#This Row],[shippedDate]]</f>
        <v>21</v>
      </c>
    </row>
    <row r="684" spans="1:17" x14ac:dyDescent="0.2">
      <c r="A684">
        <v>10930</v>
      </c>
      <c r="B684" t="s">
        <v>36</v>
      </c>
      <c r="C684">
        <v>4</v>
      </c>
      <c r="D684" s="1">
        <v>35860</v>
      </c>
      <c r="E684" s="1">
        <v>35902</v>
      </c>
      <c r="F684" s="1">
        <v>35872</v>
      </c>
      <c r="G684">
        <v>3</v>
      </c>
      <c r="H684" s="2">
        <v>15.55</v>
      </c>
      <c r="I684" t="s">
        <v>37</v>
      </c>
      <c r="J684" t="s">
        <v>38</v>
      </c>
      <c r="K684" t="s">
        <v>39</v>
      </c>
      <c r="L684" t="s">
        <v>18</v>
      </c>
      <c r="M684" t="s">
        <v>40</v>
      </c>
      <c r="N684" t="s">
        <v>41</v>
      </c>
      <c r="O684">
        <f>Orders[[#This Row],[requiredDate]]-Orders[[#This Row],[orderDate]]</f>
        <v>42</v>
      </c>
      <c r="P684">
        <f>Orders[[#This Row],[shippedDate]]-Orders[[#This Row],[orderDate]]</f>
        <v>12</v>
      </c>
      <c r="Q684">
        <f>Orders[[#This Row],[requiredDate]]-Orders[[#This Row],[shippedDate]]</f>
        <v>30</v>
      </c>
    </row>
    <row r="685" spans="1:17" x14ac:dyDescent="0.2">
      <c r="A685">
        <v>10931</v>
      </c>
      <c r="B685" t="s">
        <v>47</v>
      </c>
      <c r="C685">
        <v>4</v>
      </c>
      <c r="D685" s="1">
        <v>35860</v>
      </c>
      <c r="E685" s="1">
        <v>35874</v>
      </c>
      <c r="F685" s="1">
        <v>35873</v>
      </c>
      <c r="G685">
        <v>2</v>
      </c>
      <c r="H685" s="2">
        <v>13.6</v>
      </c>
      <c r="I685" t="s">
        <v>48</v>
      </c>
      <c r="J685" t="s">
        <v>49</v>
      </c>
      <c r="K685" t="s">
        <v>50</v>
      </c>
      <c r="L685" t="s">
        <v>18</v>
      </c>
      <c r="M685">
        <v>1204</v>
      </c>
      <c r="N685" t="s">
        <v>46</v>
      </c>
      <c r="O685">
        <f>Orders[[#This Row],[requiredDate]]-Orders[[#This Row],[orderDate]]</f>
        <v>14</v>
      </c>
      <c r="P685">
        <f>Orders[[#This Row],[shippedDate]]-Orders[[#This Row],[orderDate]]</f>
        <v>13</v>
      </c>
      <c r="Q685">
        <f>Orders[[#This Row],[requiredDate]]-Orders[[#This Row],[shippedDate]]</f>
        <v>1</v>
      </c>
    </row>
    <row r="686" spans="1:17" x14ac:dyDescent="0.2">
      <c r="A686">
        <v>10932</v>
      </c>
      <c r="B686" t="s">
        <v>239</v>
      </c>
      <c r="C686">
        <v>8</v>
      </c>
      <c r="D686" s="1">
        <v>35860</v>
      </c>
      <c r="E686" s="1">
        <v>35888</v>
      </c>
      <c r="F686" s="1">
        <v>35878</v>
      </c>
      <c r="G686">
        <v>1</v>
      </c>
      <c r="H686" s="2">
        <v>134.63999999999999</v>
      </c>
      <c r="I686" t="s">
        <v>240</v>
      </c>
      <c r="J686" t="s">
        <v>241</v>
      </c>
      <c r="K686" t="s">
        <v>242</v>
      </c>
      <c r="L686" t="s">
        <v>18</v>
      </c>
      <c r="M686">
        <v>13008</v>
      </c>
      <c r="N686" t="s">
        <v>19</v>
      </c>
      <c r="O686">
        <f>Orders[[#This Row],[requiredDate]]-Orders[[#This Row],[orderDate]]</f>
        <v>28</v>
      </c>
      <c r="P686">
        <f>Orders[[#This Row],[shippedDate]]-Orders[[#This Row],[orderDate]]</f>
        <v>18</v>
      </c>
      <c r="Q686">
        <f>Orders[[#This Row],[requiredDate]]-Orders[[#This Row],[shippedDate]]</f>
        <v>10</v>
      </c>
    </row>
    <row r="687" spans="1:17" x14ac:dyDescent="0.2">
      <c r="A687">
        <v>10933</v>
      </c>
      <c r="B687" t="s">
        <v>213</v>
      </c>
      <c r="C687">
        <v>6</v>
      </c>
      <c r="D687" s="1">
        <v>35860</v>
      </c>
      <c r="E687" s="1">
        <v>35888</v>
      </c>
      <c r="F687" s="1">
        <v>35870</v>
      </c>
      <c r="G687">
        <v>3</v>
      </c>
      <c r="H687" s="2">
        <v>54.15</v>
      </c>
      <c r="I687" t="s">
        <v>214</v>
      </c>
      <c r="J687" t="s">
        <v>215</v>
      </c>
      <c r="K687" t="s">
        <v>216</v>
      </c>
      <c r="L687" t="s">
        <v>217</v>
      </c>
      <c r="M687" t="s">
        <v>218</v>
      </c>
      <c r="N687" t="s">
        <v>169</v>
      </c>
      <c r="O687">
        <f>Orders[[#This Row],[requiredDate]]-Orders[[#This Row],[orderDate]]</f>
        <v>28</v>
      </c>
      <c r="P687">
        <f>Orders[[#This Row],[shippedDate]]-Orders[[#This Row],[orderDate]]</f>
        <v>10</v>
      </c>
      <c r="Q687">
        <f>Orders[[#This Row],[requiredDate]]-Orders[[#This Row],[shippedDate]]</f>
        <v>18</v>
      </c>
    </row>
    <row r="688" spans="1:17" x14ac:dyDescent="0.2">
      <c r="A688">
        <v>10934</v>
      </c>
      <c r="B688" t="s">
        <v>142</v>
      </c>
      <c r="C688">
        <v>3</v>
      </c>
      <c r="D688" s="1">
        <v>35863</v>
      </c>
      <c r="E688" s="1">
        <v>35891</v>
      </c>
      <c r="F688" s="1">
        <v>35866</v>
      </c>
      <c r="G688">
        <v>3</v>
      </c>
      <c r="H688" s="2">
        <v>32.01</v>
      </c>
      <c r="I688" t="s">
        <v>143</v>
      </c>
      <c r="J688" t="s">
        <v>144</v>
      </c>
      <c r="K688" t="s">
        <v>145</v>
      </c>
      <c r="L688" t="s">
        <v>18</v>
      </c>
      <c r="M688">
        <v>60528</v>
      </c>
      <c r="N688" t="s">
        <v>24</v>
      </c>
      <c r="O688">
        <f>Orders[[#This Row],[requiredDate]]-Orders[[#This Row],[orderDate]]</f>
        <v>28</v>
      </c>
      <c r="P688">
        <f>Orders[[#This Row],[shippedDate]]-Orders[[#This Row],[orderDate]]</f>
        <v>3</v>
      </c>
      <c r="Q688">
        <f>Orders[[#This Row],[requiredDate]]-Orders[[#This Row],[shippedDate]]</f>
        <v>25</v>
      </c>
    </row>
    <row r="689" spans="1:17" x14ac:dyDescent="0.2">
      <c r="A689">
        <v>10935</v>
      </c>
      <c r="B689" t="s">
        <v>51</v>
      </c>
      <c r="C689">
        <v>4</v>
      </c>
      <c r="D689" s="1">
        <v>35863</v>
      </c>
      <c r="E689" s="1">
        <v>35891</v>
      </c>
      <c r="F689" s="1">
        <v>35872</v>
      </c>
      <c r="G689">
        <v>3</v>
      </c>
      <c r="H689" s="2">
        <v>47.59</v>
      </c>
      <c r="I689" t="s">
        <v>52</v>
      </c>
      <c r="J689" t="s">
        <v>53</v>
      </c>
      <c r="K689" t="s">
        <v>54</v>
      </c>
      <c r="L689" t="s">
        <v>55</v>
      </c>
      <c r="M689" t="s">
        <v>56</v>
      </c>
      <c r="N689" t="s">
        <v>31</v>
      </c>
      <c r="O689">
        <f>Orders[[#This Row],[requiredDate]]-Orders[[#This Row],[orderDate]]</f>
        <v>28</v>
      </c>
      <c r="P689">
        <f>Orders[[#This Row],[shippedDate]]-Orders[[#This Row],[orderDate]]</f>
        <v>9</v>
      </c>
      <c r="Q689">
        <f>Orders[[#This Row],[requiredDate]]-Orders[[#This Row],[shippedDate]]</f>
        <v>19</v>
      </c>
    </row>
    <row r="690" spans="1:17" x14ac:dyDescent="0.2">
      <c r="A690">
        <v>10936</v>
      </c>
      <c r="B690" t="s">
        <v>374</v>
      </c>
      <c r="C690">
        <v>3</v>
      </c>
      <c r="D690" s="1">
        <v>35863</v>
      </c>
      <c r="E690" s="1">
        <v>35891</v>
      </c>
      <c r="F690" s="1">
        <v>35872</v>
      </c>
      <c r="G690">
        <v>2</v>
      </c>
      <c r="H690" s="2">
        <v>33.68</v>
      </c>
      <c r="I690" t="s">
        <v>375</v>
      </c>
      <c r="J690" t="s">
        <v>376</v>
      </c>
      <c r="K690" t="s">
        <v>377</v>
      </c>
      <c r="L690" t="s">
        <v>202</v>
      </c>
      <c r="M690">
        <v>97403</v>
      </c>
      <c r="N690" t="s">
        <v>86</v>
      </c>
      <c r="O690">
        <f>Orders[[#This Row],[requiredDate]]-Orders[[#This Row],[orderDate]]</f>
        <v>28</v>
      </c>
      <c r="P690">
        <f>Orders[[#This Row],[shippedDate]]-Orders[[#This Row],[orderDate]]</f>
        <v>9</v>
      </c>
      <c r="Q690">
        <f>Orders[[#This Row],[requiredDate]]-Orders[[#This Row],[shippedDate]]</f>
        <v>19</v>
      </c>
    </row>
    <row r="691" spans="1:17" x14ac:dyDescent="0.2">
      <c r="A691">
        <v>10937</v>
      </c>
      <c r="B691" t="s">
        <v>371</v>
      </c>
      <c r="C691">
        <v>7</v>
      </c>
      <c r="D691" s="1">
        <v>35864</v>
      </c>
      <c r="E691" s="1">
        <v>35878</v>
      </c>
      <c r="F691" s="1">
        <v>35867</v>
      </c>
      <c r="G691">
        <v>3</v>
      </c>
      <c r="H691" s="2">
        <v>31.51</v>
      </c>
      <c r="I691" t="s">
        <v>372</v>
      </c>
      <c r="J691" t="s">
        <v>373</v>
      </c>
      <c r="K691" t="s">
        <v>336</v>
      </c>
      <c r="L691" t="s">
        <v>18</v>
      </c>
      <c r="M691">
        <v>1010</v>
      </c>
      <c r="N691" t="s">
        <v>337</v>
      </c>
      <c r="O691">
        <f>Orders[[#This Row],[requiredDate]]-Orders[[#This Row],[orderDate]]</f>
        <v>14</v>
      </c>
      <c r="P691">
        <f>Orders[[#This Row],[shippedDate]]-Orders[[#This Row],[orderDate]]</f>
        <v>3</v>
      </c>
      <c r="Q691">
        <f>Orders[[#This Row],[requiredDate]]-Orders[[#This Row],[shippedDate]]</f>
        <v>11</v>
      </c>
    </row>
    <row r="692" spans="1:17" x14ac:dyDescent="0.2">
      <c r="A692">
        <v>10938</v>
      </c>
      <c r="B692" t="s">
        <v>121</v>
      </c>
      <c r="C692">
        <v>3</v>
      </c>
      <c r="D692" s="1">
        <v>35864</v>
      </c>
      <c r="E692" s="1">
        <v>35892</v>
      </c>
      <c r="F692" s="1">
        <v>35870</v>
      </c>
      <c r="G692">
        <v>2</v>
      </c>
      <c r="H692" s="2">
        <v>31.89</v>
      </c>
      <c r="I692" t="s">
        <v>122</v>
      </c>
      <c r="J692" t="s">
        <v>123</v>
      </c>
      <c r="K692" t="s">
        <v>124</v>
      </c>
      <c r="L692" t="s">
        <v>18</v>
      </c>
      <c r="M692">
        <v>1307</v>
      </c>
      <c r="N692" t="s">
        <v>24</v>
      </c>
      <c r="O692">
        <f>Orders[[#This Row],[requiredDate]]-Orders[[#This Row],[orderDate]]</f>
        <v>28</v>
      </c>
      <c r="P692">
        <f>Orders[[#This Row],[shippedDate]]-Orders[[#This Row],[orderDate]]</f>
        <v>6</v>
      </c>
      <c r="Q692">
        <f>Orders[[#This Row],[requiredDate]]-Orders[[#This Row],[shippedDate]]</f>
        <v>22</v>
      </c>
    </row>
    <row r="693" spans="1:17" x14ac:dyDescent="0.2">
      <c r="A693">
        <v>10939</v>
      </c>
      <c r="B693" t="s">
        <v>125</v>
      </c>
      <c r="C693">
        <v>2</v>
      </c>
      <c r="D693" s="1">
        <v>35864</v>
      </c>
      <c r="E693" s="1">
        <v>35892</v>
      </c>
      <c r="F693" s="1">
        <v>35867</v>
      </c>
      <c r="G693">
        <v>2</v>
      </c>
      <c r="H693" s="2">
        <v>76.33</v>
      </c>
      <c r="I693" t="s">
        <v>126</v>
      </c>
      <c r="J693" t="s">
        <v>127</v>
      </c>
      <c r="K693" t="s">
        <v>128</v>
      </c>
      <c r="L693" t="s">
        <v>18</v>
      </c>
      <c r="M693">
        <v>24100</v>
      </c>
      <c r="N693" t="s">
        <v>129</v>
      </c>
      <c r="O693">
        <f>Orders[[#This Row],[requiredDate]]-Orders[[#This Row],[orderDate]]</f>
        <v>28</v>
      </c>
      <c r="P693">
        <f>Orders[[#This Row],[shippedDate]]-Orders[[#This Row],[orderDate]]</f>
        <v>3</v>
      </c>
      <c r="Q693">
        <f>Orders[[#This Row],[requiredDate]]-Orders[[#This Row],[shippedDate]]</f>
        <v>25</v>
      </c>
    </row>
    <row r="694" spans="1:17" x14ac:dyDescent="0.2">
      <c r="A694">
        <v>10940</v>
      </c>
      <c r="B694" t="s">
        <v>239</v>
      </c>
      <c r="C694">
        <v>8</v>
      </c>
      <c r="D694" s="1">
        <v>35865</v>
      </c>
      <c r="E694" s="1">
        <v>35893</v>
      </c>
      <c r="F694" s="1">
        <v>35877</v>
      </c>
      <c r="G694">
        <v>3</v>
      </c>
      <c r="H694" s="2">
        <v>19.77</v>
      </c>
      <c r="I694" t="s">
        <v>240</v>
      </c>
      <c r="J694" t="s">
        <v>241</v>
      </c>
      <c r="K694" t="s">
        <v>242</v>
      </c>
      <c r="L694" t="s">
        <v>18</v>
      </c>
      <c r="M694">
        <v>13008</v>
      </c>
      <c r="N694" t="s">
        <v>19</v>
      </c>
      <c r="O694">
        <f>Orders[[#This Row],[requiredDate]]-Orders[[#This Row],[orderDate]]</f>
        <v>28</v>
      </c>
      <c r="P694">
        <f>Orders[[#This Row],[shippedDate]]-Orders[[#This Row],[orderDate]]</f>
        <v>12</v>
      </c>
      <c r="Q694">
        <f>Orders[[#This Row],[requiredDate]]-Orders[[#This Row],[shippedDate]]</f>
        <v>16</v>
      </c>
    </row>
    <row r="695" spans="1:17" x14ac:dyDescent="0.2">
      <c r="A695">
        <v>10941</v>
      </c>
      <c r="B695" t="s">
        <v>226</v>
      </c>
      <c r="C695">
        <v>7</v>
      </c>
      <c r="D695" s="1">
        <v>35865</v>
      </c>
      <c r="E695" s="1">
        <v>35893</v>
      </c>
      <c r="F695" s="1">
        <v>35874</v>
      </c>
      <c r="G695">
        <v>2</v>
      </c>
      <c r="H695" s="2">
        <v>400.81</v>
      </c>
      <c r="I695" t="s">
        <v>227</v>
      </c>
      <c r="J695" t="s">
        <v>228</v>
      </c>
      <c r="K695" t="s">
        <v>229</v>
      </c>
      <c r="L695" t="s">
        <v>230</v>
      </c>
      <c r="M695">
        <v>83720</v>
      </c>
      <c r="N695" t="s">
        <v>86</v>
      </c>
      <c r="O695">
        <f>Orders[[#This Row],[requiredDate]]-Orders[[#This Row],[orderDate]]</f>
        <v>28</v>
      </c>
      <c r="P695">
        <f>Orders[[#This Row],[shippedDate]]-Orders[[#This Row],[orderDate]]</f>
        <v>9</v>
      </c>
      <c r="Q695">
        <f>Orders[[#This Row],[requiredDate]]-Orders[[#This Row],[shippedDate]]</f>
        <v>19</v>
      </c>
    </row>
    <row r="696" spans="1:17" x14ac:dyDescent="0.2">
      <c r="A696">
        <v>10942</v>
      </c>
      <c r="B696" t="s">
        <v>160</v>
      </c>
      <c r="C696">
        <v>9</v>
      </c>
      <c r="D696" s="1">
        <v>35865</v>
      </c>
      <c r="E696" s="1">
        <v>35893</v>
      </c>
      <c r="F696" s="1">
        <v>35872</v>
      </c>
      <c r="G696">
        <v>3</v>
      </c>
      <c r="H696" s="2">
        <v>17.95</v>
      </c>
      <c r="I696" t="s">
        <v>161</v>
      </c>
      <c r="J696" t="s">
        <v>162</v>
      </c>
      <c r="K696" t="s">
        <v>163</v>
      </c>
      <c r="L696" t="s">
        <v>18</v>
      </c>
      <c r="M696">
        <v>42100</v>
      </c>
      <c r="N696" t="s">
        <v>129</v>
      </c>
      <c r="O696">
        <f>Orders[[#This Row],[requiredDate]]-Orders[[#This Row],[orderDate]]</f>
        <v>28</v>
      </c>
      <c r="P696">
        <f>Orders[[#This Row],[shippedDate]]-Orders[[#This Row],[orderDate]]</f>
        <v>7</v>
      </c>
      <c r="Q696">
        <f>Orders[[#This Row],[requiredDate]]-Orders[[#This Row],[shippedDate]]</f>
        <v>21</v>
      </c>
    </row>
    <row r="697" spans="1:17" x14ac:dyDescent="0.2">
      <c r="A697">
        <v>10943</v>
      </c>
      <c r="B697" t="s">
        <v>164</v>
      </c>
      <c r="C697">
        <v>4</v>
      </c>
      <c r="D697" s="1">
        <v>35865</v>
      </c>
      <c r="E697" s="1">
        <v>35893</v>
      </c>
      <c r="F697" s="1">
        <v>35873</v>
      </c>
      <c r="G697">
        <v>2</v>
      </c>
      <c r="H697" s="2">
        <v>2.17</v>
      </c>
      <c r="I697" t="s">
        <v>165</v>
      </c>
      <c r="J697" t="s">
        <v>166</v>
      </c>
      <c r="K697" t="s">
        <v>167</v>
      </c>
      <c r="L697" t="s">
        <v>18</v>
      </c>
      <c r="M697" t="s">
        <v>168</v>
      </c>
      <c r="N697" t="s">
        <v>169</v>
      </c>
      <c r="O697">
        <f>Orders[[#This Row],[requiredDate]]-Orders[[#This Row],[orderDate]]</f>
        <v>28</v>
      </c>
      <c r="P697">
        <f>Orders[[#This Row],[shippedDate]]-Orders[[#This Row],[orderDate]]</f>
        <v>8</v>
      </c>
      <c r="Q697">
        <f>Orders[[#This Row],[requiredDate]]-Orders[[#This Row],[shippedDate]]</f>
        <v>20</v>
      </c>
    </row>
    <row r="698" spans="1:17" x14ac:dyDescent="0.2">
      <c r="A698">
        <v>10944</v>
      </c>
      <c r="B698" t="s">
        <v>318</v>
      </c>
      <c r="C698">
        <v>6</v>
      </c>
      <c r="D698" s="1">
        <v>35866</v>
      </c>
      <c r="E698" s="1">
        <v>35880</v>
      </c>
      <c r="F698" s="1">
        <v>35867</v>
      </c>
      <c r="G698">
        <v>3</v>
      </c>
      <c r="H698" s="2">
        <v>52.92</v>
      </c>
      <c r="I698" t="s">
        <v>319</v>
      </c>
      <c r="J698" t="s">
        <v>320</v>
      </c>
      <c r="K698" t="s">
        <v>321</v>
      </c>
      <c r="L698" t="s">
        <v>322</v>
      </c>
      <c r="M698" t="s">
        <v>323</v>
      </c>
      <c r="N698" t="s">
        <v>249</v>
      </c>
      <c r="O698">
        <f>Orders[[#This Row],[requiredDate]]-Orders[[#This Row],[orderDate]]</f>
        <v>14</v>
      </c>
      <c r="P698">
        <f>Orders[[#This Row],[shippedDate]]-Orders[[#This Row],[orderDate]]</f>
        <v>1</v>
      </c>
      <c r="Q698">
        <f>Orders[[#This Row],[requiredDate]]-Orders[[#This Row],[shippedDate]]</f>
        <v>13</v>
      </c>
    </row>
    <row r="699" spans="1:17" x14ac:dyDescent="0.2">
      <c r="A699">
        <v>10945</v>
      </c>
      <c r="B699" t="s">
        <v>133</v>
      </c>
      <c r="C699">
        <v>4</v>
      </c>
      <c r="D699" s="1">
        <v>35866</v>
      </c>
      <c r="E699" s="1">
        <v>35894</v>
      </c>
      <c r="F699" s="1">
        <v>35872</v>
      </c>
      <c r="G699">
        <v>1</v>
      </c>
      <c r="H699" s="2">
        <v>10.220000000000001</v>
      </c>
      <c r="I699" t="s">
        <v>134</v>
      </c>
      <c r="J699" t="s">
        <v>135</v>
      </c>
      <c r="K699" t="s">
        <v>136</v>
      </c>
      <c r="L699" t="s">
        <v>18</v>
      </c>
      <c r="M699">
        <v>4179</v>
      </c>
      <c r="N699" t="s">
        <v>24</v>
      </c>
      <c r="O699">
        <f>Orders[[#This Row],[requiredDate]]-Orders[[#This Row],[orderDate]]</f>
        <v>28</v>
      </c>
      <c r="P699">
        <f>Orders[[#This Row],[shippedDate]]-Orders[[#This Row],[orderDate]]</f>
        <v>6</v>
      </c>
      <c r="Q699">
        <f>Orders[[#This Row],[requiredDate]]-Orders[[#This Row],[shippedDate]]</f>
        <v>22</v>
      </c>
    </row>
    <row r="700" spans="1:17" x14ac:dyDescent="0.2">
      <c r="A700">
        <v>10946</v>
      </c>
      <c r="B700" t="s">
        <v>295</v>
      </c>
      <c r="C700">
        <v>1</v>
      </c>
      <c r="D700" s="1">
        <v>35866</v>
      </c>
      <c r="E700" s="1">
        <v>35894</v>
      </c>
      <c r="F700" s="1">
        <v>35873</v>
      </c>
      <c r="G700">
        <v>2</v>
      </c>
      <c r="H700" s="2">
        <v>27.2</v>
      </c>
      <c r="I700" t="s">
        <v>296</v>
      </c>
      <c r="J700" t="s">
        <v>297</v>
      </c>
      <c r="K700" t="s">
        <v>298</v>
      </c>
      <c r="L700" t="s">
        <v>18</v>
      </c>
      <c r="M700">
        <v>8200</v>
      </c>
      <c r="N700" t="s">
        <v>257</v>
      </c>
      <c r="O700">
        <f>Orders[[#This Row],[requiredDate]]-Orders[[#This Row],[orderDate]]</f>
        <v>28</v>
      </c>
      <c r="P700">
        <f>Orders[[#This Row],[shippedDate]]-Orders[[#This Row],[orderDate]]</f>
        <v>7</v>
      </c>
      <c r="Q700">
        <f>Orders[[#This Row],[requiredDate]]-Orders[[#This Row],[shippedDate]]</f>
        <v>21</v>
      </c>
    </row>
    <row r="701" spans="1:17" x14ac:dyDescent="0.2">
      <c r="A701">
        <v>10947</v>
      </c>
      <c r="B701" t="s">
        <v>164</v>
      </c>
      <c r="C701">
        <v>3</v>
      </c>
      <c r="D701" s="1">
        <v>35867</v>
      </c>
      <c r="E701" s="1">
        <v>35895</v>
      </c>
      <c r="F701" s="1">
        <v>35870</v>
      </c>
      <c r="G701">
        <v>2</v>
      </c>
      <c r="H701" s="2">
        <v>3.26</v>
      </c>
      <c r="I701" t="s">
        <v>165</v>
      </c>
      <c r="J701" t="s">
        <v>166</v>
      </c>
      <c r="K701" t="s">
        <v>167</v>
      </c>
      <c r="L701" t="s">
        <v>18</v>
      </c>
      <c r="M701" t="s">
        <v>168</v>
      </c>
      <c r="N701" t="s">
        <v>169</v>
      </c>
      <c r="O701">
        <f>Orders[[#This Row],[requiredDate]]-Orders[[#This Row],[orderDate]]</f>
        <v>28</v>
      </c>
      <c r="P701">
        <f>Orders[[#This Row],[shippedDate]]-Orders[[#This Row],[orderDate]]</f>
        <v>3</v>
      </c>
      <c r="Q701">
        <f>Orders[[#This Row],[requiredDate]]-Orders[[#This Row],[shippedDate]]</f>
        <v>25</v>
      </c>
    </row>
    <row r="702" spans="1:17" x14ac:dyDescent="0.2">
      <c r="A702">
        <v>10948</v>
      </c>
      <c r="B702" t="s">
        <v>189</v>
      </c>
      <c r="C702">
        <v>3</v>
      </c>
      <c r="D702" s="1">
        <v>35867</v>
      </c>
      <c r="E702" s="1">
        <v>35895</v>
      </c>
      <c r="F702" s="1">
        <v>35873</v>
      </c>
      <c r="G702">
        <v>3</v>
      </c>
      <c r="H702" s="2">
        <v>23.39</v>
      </c>
      <c r="I702" t="s">
        <v>190</v>
      </c>
      <c r="J702" t="s">
        <v>191</v>
      </c>
      <c r="K702" t="s">
        <v>192</v>
      </c>
      <c r="L702" t="s">
        <v>18</v>
      </c>
      <c r="M702">
        <v>41101</v>
      </c>
      <c r="N702" t="s">
        <v>150</v>
      </c>
      <c r="O702">
        <f>Orders[[#This Row],[requiredDate]]-Orders[[#This Row],[orderDate]]</f>
        <v>28</v>
      </c>
      <c r="P702">
        <f>Orders[[#This Row],[shippedDate]]-Orders[[#This Row],[orderDate]]</f>
        <v>6</v>
      </c>
      <c r="Q702">
        <f>Orders[[#This Row],[requiredDate]]-Orders[[#This Row],[shippedDate]]</f>
        <v>22</v>
      </c>
    </row>
    <row r="703" spans="1:17" x14ac:dyDescent="0.2">
      <c r="A703">
        <v>10949</v>
      </c>
      <c r="B703" t="s">
        <v>318</v>
      </c>
      <c r="C703">
        <v>2</v>
      </c>
      <c r="D703" s="1">
        <v>35867</v>
      </c>
      <c r="E703" s="1">
        <v>35895</v>
      </c>
      <c r="F703" s="1">
        <v>35871</v>
      </c>
      <c r="G703">
        <v>3</v>
      </c>
      <c r="H703" s="2">
        <v>74.44</v>
      </c>
      <c r="I703" t="s">
        <v>319</v>
      </c>
      <c r="J703" t="s">
        <v>320</v>
      </c>
      <c r="K703" t="s">
        <v>321</v>
      </c>
      <c r="L703" t="s">
        <v>322</v>
      </c>
      <c r="M703" t="s">
        <v>323</v>
      </c>
      <c r="N703" t="s">
        <v>249</v>
      </c>
      <c r="O703">
        <f>Orders[[#This Row],[requiredDate]]-Orders[[#This Row],[orderDate]]</f>
        <v>28</v>
      </c>
      <c r="P703">
        <f>Orders[[#This Row],[shippedDate]]-Orders[[#This Row],[orderDate]]</f>
        <v>4</v>
      </c>
      <c r="Q703">
        <f>Orders[[#This Row],[requiredDate]]-Orders[[#This Row],[shippedDate]]</f>
        <v>24</v>
      </c>
    </row>
    <row r="704" spans="1:17" x14ac:dyDescent="0.2">
      <c r="A704">
        <v>10950</v>
      </c>
      <c r="B704" t="s">
        <v>125</v>
      </c>
      <c r="C704">
        <v>1</v>
      </c>
      <c r="D704" s="1">
        <v>35870</v>
      </c>
      <c r="E704" s="1">
        <v>35898</v>
      </c>
      <c r="F704" s="1">
        <v>35877</v>
      </c>
      <c r="G704">
        <v>2</v>
      </c>
      <c r="H704" s="2">
        <v>2.5</v>
      </c>
      <c r="I704" t="s">
        <v>126</v>
      </c>
      <c r="J704" t="s">
        <v>127</v>
      </c>
      <c r="K704" t="s">
        <v>128</v>
      </c>
      <c r="L704" t="s">
        <v>18</v>
      </c>
      <c r="M704">
        <v>24100</v>
      </c>
      <c r="N704" t="s">
        <v>129</v>
      </c>
      <c r="O704">
        <f>Orders[[#This Row],[requiredDate]]-Orders[[#This Row],[orderDate]]</f>
        <v>28</v>
      </c>
      <c r="P704">
        <f>Orders[[#This Row],[shippedDate]]-Orders[[#This Row],[orderDate]]</f>
        <v>7</v>
      </c>
      <c r="Q704">
        <f>Orders[[#This Row],[requiredDate]]-Orders[[#This Row],[shippedDate]]</f>
        <v>21</v>
      </c>
    </row>
    <row r="705" spans="1:17" x14ac:dyDescent="0.2">
      <c r="A705">
        <v>10951</v>
      </c>
      <c r="B705" t="s">
        <v>47</v>
      </c>
      <c r="C705">
        <v>9</v>
      </c>
      <c r="D705" s="1">
        <v>35870</v>
      </c>
      <c r="E705" s="1">
        <v>35912</v>
      </c>
      <c r="F705" s="1">
        <v>35892</v>
      </c>
      <c r="G705">
        <v>2</v>
      </c>
      <c r="H705" s="2">
        <v>30.85</v>
      </c>
      <c r="I705" t="s">
        <v>48</v>
      </c>
      <c r="J705" t="s">
        <v>49</v>
      </c>
      <c r="K705" t="s">
        <v>50</v>
      </c>
      <c r="L705" t="s">
        <v>18</v>
      </c>
      <c r="M705">
        <v>1204</v>
      </c>
      <c r="N705" t="s">
        <v>46</v>
      </c>
      <c r="O705">
        <f>Orders[[#This Row],[requiredDate]]-Orders[[#This Row],[orderDate]]</f>
        <v>42</v>
      </c>
      <c r="P705">
        <f>Orders[[#This Row],[shippedDate]]-Orders[[#This Row],[orderDate]]</f>
        <v>22</v>
      </c>
      <c r="Q705">
        <f>Orders[[#This Row],[requiredDate]]-Orders[[#This Row],[shippedDate]]</f>
        <v>20</v>
      </c>
    </row>
    <row r="706" spans="1:17" x14ac:dyDescent="0.2">
      <c r="A706">
        <v>10952</v>
      </c>
      <c r="B706" t="s">
        <v>401</v>
      </c>
      <c r="C706">
        <v>1</v>
      </c>
      <c r="D706" s="1">
        <v>35870</v>
      </c>
      <c r="E706" s="1">
        <v>35912</v>
      </c>
      <c r="F706" s="1">
        <v>35878</v>
      </c>
      <c r="G706">
        <v>1</v>
      </c>
      <c r="H706" s="2">
        <v>40.42</v>
      </c>
      <c r="I706" t="s">
        <v>408</v>
      </c>
      <c r="J706" t="s">
        <v>403</v>
      </c>
      <c r="K706" t="s">
        <v>404</v>
      </c>
      <c r="L706" t="s">
        <v>18</v>
      </c>
      <c r="M706">
        <v>12209</v>
      </c>
      <c r="N706" t="s">
        <v>24</v>
      </c>
      <c r="O706">
        <f>Orders[[#This Row],[requiredDate]]-Orders[[#This Row],[orderDate]]</f>
        <v>42</v>
      </c>
      <c r="P706">
        <f>Orders[[#This Row],[shippedDate]]-Orders[[#This Row],[orderDate]]</f>
        <v>8</v>
      </c>
      <c r="Q706">
        <f>Orders[[#This Row],[requiredDate]]-Orders[[#This Row],[shippedDate]]</f>
        <v>34</v>
      </c>
    </row>
    <row r="707" spans="1:17" x14ac:dyDescent="0.2">
      <c r="A707">
        <v>10953</v>
      </c>
      <c r="B707" t="s">
        <v>270</v>
      </c>
      <c r="C707">
        <v>9</v>
      </c>
      <c r="D707" s="1">
        <v>35870</v>
      </c>
      <c r="E707" s="1">
        <v>35884</v>
      </c>
      <c r="F707" s="1">
        <v>35879</v>
      </c>
      <c r="G707">
        <v>2</v>
      </c>
      <c r="H707" s="2">
        <v>23.72</v>
      </c>
      <c r="I707" t="s">
        <v>271</v>
      </c>
      <c r="J707" t="s">
        <v>272</v>
      </c>
      <c r="K707" t="s">
        <v>273</v>
      </c>
      <c r="L707" t="s">
        <v>274</v>
      </c>
      <c r="M707" t="s">
        <v>275</v>
      </c>
      <c r="N707" t="s">
        <v>169</v>
      </c>
      <c r="O707">
        <f>Orders[[#This Row],[requiredDate]]-Orders[[#This Row],[orderDate]]</f>
        <v>14</v>
      </c>
      <c r="P707">
        <f>Orders[[#This Row],[shippedDate]]-Orders[[#This Row],[orderDate]]</f>
        <v>9</v>
      </c>
      <c r="Q707">
        <f>Orders[[#This Row],[requiredDate]]-Orders[[#This Row],[shippedDate]]</f>
        <v>5</v>
      </c>
    </row>
    <row r="708" spans="1:17" x14ac:dyDescent="0.2">
      <c r="A708">
        <v>10954</v>
      </c>
      <c r="B708" t="s">
        <v>324</v>
      </c>
      <c r="C708">
        <v>5</v>
      </c>
      <c r="D708" s="1">
        <v>35871</v>
      </c>
      <c r="E708" s="1">
        <v>35913</v>
      </c>
      <c r="F708" s="1">
        <v>35874</v>
      </c>
      <c r="G708">
        <v>1</v>
      </c>
      <c r="H708" s="2">
        <v>27.91</v>
      </c>
      <c r="I708" t="s">
        <v>325</v>
      </c>
      <c r="J708" t="s">
        <v>326</v>
      </c>
      <c r="K708" t="s">
        <v>327</v>
      </c>
      <c r="L708" t="s">
        <v>328</v>
      </c>
      <c r="M708">
        <v>4980</v>
      </c>
      <c r="N708" t="s">
        <v>62</v>
      </c>
      <c r="O708">
        <f>Orders[[#This Row],[requiredDate]]-Orders[[#This Row],[orderDate]]</f>
        <v>42</v>
      </c>
      <c r="P708">
        <f>Orders[[#This Row],[shippedDate]]-Orders[[#This Row],[orderDate]]</f>
        <v>3</v>
      </c>
      <c r="Q708">
        <f>Orders[[#This Row],[requiredDate]]-Orders[[#This Row],[shippedDate]]</f>
        <v>39</v>
      </c>
    </row>
    <row r="709" spans="1:17" x14ac:dyDescent="0.2">
      <c r="A709">
        <v>10955</v>
      </c>
      <c r="B709" t="s">
        <v>87</v>
      </c>
      <c r="C709">
        <v>8</v>
      </c>
      <c r="D709" s="1">
        <v>35871</v>
      </c>
      <c r="E709" s="1">
        <v>35899</v>
      </c>
      <c r="F709" s="1">
        <v>35874</v>
      </c>
      <c r="G709">
        <v>2</v>
      </c>
      <c r="H709" s="2">
        <v>3.26</v>
      </c>
      <c r="I709" t="s">
        <v>88</v>
      </c>
      <c r="J709" t="s">
        <v>89</v>
      </c>
      <c r="K709" t="s">
        <v>90</v>
      </c>
      <c r="L709" t="s">
        <v>18</v>
      </c>
      <c r="M709" t="s">
        <v>91</v>
      </c>
      <c r="N709" t="s">
        <v>92</v>
      </c>
      <c r="O709">
        <f>Orders[[#This Row],[requiredDate]]-Orders[[#This Row],[orderDate]]</f>
        <v>28</v>
      </c>
      <c r="P709">
        <f>Orders[[#This Row],[shippedDate]]-Orders[[#This Row],[orderDate]]</f>
        <v>3</v>
      </c>
      <c r="Q709">
        <f>Orders[[#This Row],[requiredDate]]-Orders[[#This Row],[shippedDate]]</f>
        <v>25</v>
      </c>
    </row>
    <row r="710" spans="1:17" x14ac:dyDescent="0.2">
      <c r="A710">
        <v>10956</v>
      </c>
      <c r="B710" t="s">
        <v>363</v>
      </c>
      <c r="C710">
        <v>6</v>
      </c>
      <c r="D710" s="1">
        <v>35871</v>
      </c>
      <c r="E710" s="1">
        <v>35913</v>
      </c>
      <c r="F710" s="1">
        <v>35874</v>
      </c>
      <c r="G710">
        <v>2</v>
      </c>
      <c r="H710" s="2">
        <v>44.65</v>
      </c>
      <c r="I710" t="s">
        <v>364</v>
      </c>
      <c r="J710" t="s">
        <v>365</v>
      </c>
      <c r="K710" t="s">
        <v>366</v>
      </c>
      <c r="L710" t="s">
        <v>18</v>
      </c>
      <c r="M710">
        <v>68306</v>
      </c>
      <c r="N710" t="s">
        <v>24</v>
      </c>
      <c r="O710">
        <f>Orders[[#This Row],[requiredDate]]-Orders[[#This Row],[orderDate]]</f>
        <v>42</v>
      </c>
      <c r="P710">
        <f>Orders[[#This Row],[shippedDate]]-Orders[[#This Row],[orderDate]]</f>
        <v>3</v>
      </c>
      <c r="Q710">
        <f>Orders[[#This Row],[requiredDate]]-Orders[[#This Row],[shippedDate]]</f>
        <v>39</v>
      </c>
    </row>
    <row r="711" spans="1:17" x14ac:dyDescent="0.2">
      <c r="A711">
        <v>10957</v>
      </c>
      <c r="B711" t="s">
        <v>57</v>
      </c>
      <c r="C711">
        <v>8</v>
      </c>
      <c r="D711" s="1">
        <v>35872</v>
      </c>
      <c r="E711" s="1">
        <v>35900</v>
      </c>
      <c r="F711" s="1">
        <v>35881</v>
      </c>
      <c r="G711">
        <v>3</v>
      </c>
      <c r="H711" s="2">
        <v>105.36</v>
      </c>
      <c r="I711" t="s">
        <v>58</v>
      </c>
      <c r="J711" t="s">
        <v>59</v>
      </c>
      <c r="K711" t="s">
        <v>60</v>
      </c>
      <c r="L711" t="s">
        <v>61</v>
      </c>
      <c r="M711">
        <v>5022</v>
      </c>
      <c r="N711" t="s">
        <v>62</v>
      </c>
      <c r="O711">
        <f>Orders[[#This Row],[requiredDate]]-Orders[[#This Row],[orderDate]]</f>
        <v>28</v>
      </c>
      <c r="P711">
        <f>Orders[[#This Row],[shippedDate]]-Orders[[#This Row],[orderDate]]</f>
        <v>9</v>
      </c>
      <c r="Q711">
        <f>Orders[[#This Row],[requiredDate]]-Orders[[#This Row],[shippedDate]]</f>
        <v>19</v>
      </c>
    </row>
    <row r="712" spans="1:17" x14ac:dyDescent="0.2">
      <c r="A712">
        <v>10958</v>
      </c>
      <c r="B712" t="s">
        <v>333</v>
      </c>
      <c r="C712">
        <v>7</v>
      </c>
      <c r="D712" s="1">
        <v>35872</v>
      </c>
      <c r="E712" s="1">
        <v>35900</v>
      </c>
      <c r="F712" s="1">
        <v>35881</v>
      </c>
      <c r="G712">
        <v>2</v>
      </c>
      <c r="H712" s="2">
        <v>49.56</v>
      </c>
      <c r="I712" t="s">
        <v>334</v>
      </c>
      <c r="J712" t="s">
        <v>335</v>
      </c>
      <c r="K712" t="s">
        <v>336</v>
      </c>
      <c r="L712" t="s">
        <v>18</v>
      </c>
      <c r="M712">
        <v>1010</v>
      </c>
      <c r="N712" t="s">
        <v>337</v>
      </c>
      <c r="O712">
        <f>Orders[[#This Row],[requiredDate]]-Orders[[#This Row],[orderDate]]</f>
        <v>28</v>
      </c>
      <c r="P712">
        <f>Orders[[#This Row],[shippedDate]]-Orders[[#This Row],[orderDate]]</f>
        <v>9</v>
      </c>
      <c r="Q712">
        <f>Orders[[#This Row],[requiredDate]]-Orders[[#This Row],[shippedDate]]</f>
        <v>19</v>
      </c>
    </row>
    <row r="713" spans="1:17" x14ac:dyDescent="0.2">
      <c r="A713">
        <v>10959</v>
      </c>
      <c r="B713" t="s">
        <v>342</v>
      </c>
      <c r="C713">
        <v>6</v>
      </c>
      <c r="D713" s="1">
        <v>35872</v>
      </c>
      <c r="E713" s="1">
        <v>35914</v>
      </c>
      <c r="F713" s="1">
        <v>35877</v>
      </c>
      <c r="G713">
        <v>2</v>
      </c>
      <c r="H713" s="2">
        <v>4.9800000000000004</v>
      </c>
      <c r="I713" t="s">
        <v>343</v>
      </c>
      <c r="J713" t="s">
        <v>344</v>
      </c>
      <c r="K713" t="s">
        <v>345</v>
      </c>
      <c r="L713" t="s">
        <v>55</v>
      </c>
      <c r="M713" t="s">
        <v>346</v>
      </c>
      <c r="N713" t="s">
        <v>31</v>
      </c>
      <c r="O713">
        <f>Orders[[#This Row],[requiredDate]]-Orders[[#This Row],[orderDate]]</f>
        <v>42</v>
      </c>
      <c r="P713">
        <f>Orders[[#This Row],[shippedDate]]-Orders[[#This Row],[orderDate]]</f>
        <v>5</v>
      </c>
      <c r="Q713">
        <f>Orders[[#This Row],[requiredDate]]-Orders[[#This Row],[shippedDate]]</f>
        <v>37</v>
      </c>
    </row>
    <row r="714" spans="1:17" x14ac:dyDescent="0.2">
      <c r="A714">
        <v>10960</v>
      </c>
      <c r="B714" t="s">
        <v>57</v>
      </c>
      <c r="C714">
        <v>3</v>
      </c>
      <c r="D714" s="1">
        <v>35873</v>
      </c>
      <c r="E714" s="1">
        <v>35887</v>
      </c>
      <c r="F714" s="1">
        <v>35893</v>
      </c>
      <c r="G714">
        <v>1</v>
      </c>
      <c r="H714" s="2">
        <v>2.08</v>
      </c>
      <c r="I714" t="s">
        <v>58</v>
      </c>
      <c r="J714" t="s">
        <v>59</v>
      </c>
      <c r="K714" t="s">
        <v>60</v>
      </c>
      <c r="L714" t="s">
        <v>61</v>
      </c>
      <c r="M714">
        <v>5022</v>
      </c>
      <c r="N714" t="s">
        <v>62</v>
      </c>
      <c r="O714">
        <f>Orders[[#This Row],[requiredDate]]-Orders[[#This Row],[orderDate]]</f>
        <v>14</v>
      </c>
      <c r="P714">
        <f>Orders[[#This Row],[shippedDate]]-Orders[[#This Row],[orderDate]]</f>
        <v>20</v>
      </c>
      <c r="Q714">
        <f>Orders[[#This Row],[requiredDate]]-Orders[[#This Row],[shippedDate]]</f>
        <v>-6</v>
      </c>
    </row>
    <row r="715" spans="1:17" x14ac:dyDescent="0.2">
      <c r="A715">
        <v>10961</v>
      </c>
      <c r="B715" t="s">
        <v>299</v>
      </c>
      <c r="C715">
        <v>8</v>
      </c>
      <c r="D715" s="1">
        <v>35873</v>
      </c>
      <c r="E715" s="1">
        <v>35901</v>
      </c>
      <c r="F715" s="1">
        <v>35884</v>
      </c>
      <c r="G715">
        <v>1</v>
      </c>
      <c r="H715" s="2">
        <v>104.47</v>
      </c>
      <c r="I715" t="s">
        <v>300</v>
      </c>
      <c r="J715" t="s">
        <v>301</v>
      </c>
      <c r="K715" t="s">
        <v>173</v>
      </c>
      <c r="L715" t="s">
        <v>55</v>
      </c>
      <c r="M715" t="s">
        <v>302</v>
      </c>
      <c r="N715" t="s">
        <v>31</v>
      </c>
      <c r="O715">
        <f>Orders[[#This Row],[requiredDate]]-Orders[[#This Row],[orderDate]]</f>
        <v>28</v>
      </c>
      <c r="P715">
        <f>Orders[[#This Row],[shippedDate]]-Orders[[#This Row],[orderDate]]</f>
        <v>11</v>
      </c>
      <c r="Q715">
        <f>Orders[[#This Row],[requiredDate]]-Orders[[#This Row],[shippedDate]]</f>
        <v>17</v>
      </c>
    </row>
    <row r="716" spans="1:17" x14ac:dyDescent="0.2">
      <c r="A716">
        <v>10962</v>
      </c>
      <c r="B716" t="s">
        <v>121</v>
      </c>
      <c r="C716">
        <v>8</v>
      </c>
      <c r="D716" s="1">
        <v>35873</v>
      </c>
      <c r="E716" s="1">
        <v>35901</v>
      </c>
      <c r="F716" s="1">
        <v>35877</v>
      </c>
      <c r="G716">
        <v>2</v>
      </c>
      <c r="H716" s="2">
        <v>275.79000000000002</v>
      </c>
      <c r="I716" t="s">
        <v>122</v>
      </c>
      <c r="J716" t="s">
        <v>123</v>
      </c>
      <c r="K716" t="s">
        <v>124</v>
      </c>
      <c r="L716" t="s">
        <v>18</v>
      </c>
      <c r="M716">
        <v>1307</v>
      </c>
      <c r="N716" t="s">
        <v>24</v>
      </c>
      <c r="O716">
        <f>Orders[[#This Row],[requiredDate]]-Orders[[#This Row],[orderDate]]</f>
        <v>28</v>
      </c>
      <c r="P716">
        <f>Orders[[#This Row],[shippedDate]]-Orders[[#This Row],[orderDate]]</f>
        <v>4</v>
      </c>
      <c r="Q716">
        <f>Orders[[#This Row],[requiredDate]]-Orders[[#This Row],[shippedDate]]</f>
        <v>24</v>
      </c>
    </row>
    <row r="717" spans="1:17" x14ac:dyDescent="0.2">
      <c r="A717">
        <v>10963</v>
      </c>
      <c r="B717" t="s">
        <v>234</v>
      </c>
      <c r="C717">
        <v>9</v>
      </c>
      <c r="D717" s="1">
        <v>35873</v>
      </c>
      <c r="E717" s="1">
        <v>35901</v>
      </c>
      <c r="F717" s="1">
        <v>35880</v>
      </c>
      <c r="G717">
        <v>3</v>
      </c>
      <c r="H717" s="2">
        <v>2.7</v>
      </c>
      <c r="I717" t="s">
        <v>235</v>
      </c>
      <c r="J717" t="s">
        <v>236</v>
      </c>
      <c r="K717" t="s">
        <v>237</v>
      </c>
      <c r="L717" t="s">
        <v>18</v>
      </c>
      <c r="M717">
        <v>1675</v>
      </c>
      <c r="N717" t="s">
        <v>238</v>
      </c>
      <c r="O717">
        <f>Orders[[#This Row],[requiredDate]]-Orders[[#This Row],[orderDate]]</f>
        <v>28</v>
      </c>
      <c r="P717">
        <f>Orders[[#This Row],[shippedDate]]-Orders[[#This Row],[orderDate]]</f>
        <v>7</v>
      </c>
      <c r="Q717">
        <f>Orders[[#This Row],[requiredDate]]-Orders[[#This Row],[shippedDate]]</f>
        <v>21</v>
      </c>
    </row>
    <row r="718" spans="1:17" x14ac:dyDescent="0.2">
      <c r="A718">
        <v>10964</v>
      </c>
      <c r="B718" t="s">
        <v>409</v>
      </c>
      <c r="C718">
        <v>3</v>
      </c>
      <c r="D718" s="1">
        <v>35874</v>
      </c>
      <c r="E718" s="1">
        <v>35902</v>
      </c>
      <c r="F718" s="1">
        <v>35878</v>
      </c>
      <c r="G718">
        <v>2</v>
      </c>
      <c r="H718" s="2">
        <v>87.38</v>
      </c>
      <c r="I718" t="s">
        <v>410</v>
      </c>
      <c r="J718" t="s">
        <v>411</v>
      </c>
      <c r="K718" t="s">
        <v>412</v>
      </c>
      <c r="L718" t="s">
        <v>18</v>
      </c>
      <c r="M718">
        <v>75016</v>
      </c>
      <c r="N718" t="s">
        <v>19</v>
      </c>
      <c r="O718">
        <f>Orders[[#This Row],[requiredDate]]-Orders[[#This Row],[orderDate]]</f>
        <v>28</v>
      </c>
      <c r="P718">
        <f>Orders[[#This Row],[shippedDate]]-Orders[[#This Row],[orderDate]]</f>
        <v>4</v>
      </c>
      <c r="Q718">
        <f>Orders[[#This Row],[requiredDate]]-Orders[[#This Row],[shippedDate]]</f>
        <v>24</v>
      </c>
    </row>
    <row r="719" spans="1:17" x14ac:dyDescent="0.2">
      <c r="A719">
        <v>10965</v>
      </c>
      <c r="B719" t="s">
        <v>193</v>
      </c>
      <c r="C719">
        <v>6</v>
      </c>
      <c r="D719" s="1">
        <v>35874</v>
      </c>
      <c r="E719" s="1">
        <v>35902</v>
      </c>
      <c r="F719" s="1">
        <v>35884</v>
      </c>
      <c r="G719">
        <v>3</v>
      </c>
      <c r="H719" s="2">
        <v>144.38</v>
      </c>
      <c r="I719" t="s">
        <v>194</v>
      </c>
      <c r="J719" t="s">
        <v>195</v>
      </c>
      <c r="K719" t="s">
        <v>196</v>
      </c>
      <c r="L719" t="s">
        <v>197</v>
      </c>
      <c r="M719">
        <v>99508</v>
      </c>
      <c r="N719" t="s">
        <v>86</v>
      </c>
      <c r="O719">
        <f>Orders[[#This Row],[requiredDate]]-Orders[[#This Row],[orderDate]]</f>
        <v>28</v>
      </c>
      <c r="P719">
        <f>Orders[[#This Row],[shippedDate]]-Orders[[#This Row],[orderDate]]</f>
        <v>10</v>
      </c>
      <c r="Q719">
        <f>Orders[[#This Row],[requiredDate]]-Orders[[#This Row],[shippedDate]]</f>
        <v>18</v>
      </c>
    </row>
    <row r="720" spans="1:17" x14ac:dyDescent="0.2">
      <c r="A720">
        <v>10966</v>
      </c>
      <c r="B720" t="s">
        <v>42</v>
      </c>
      <c r="C720">
        <v>4</v>
      </c>
      <c r="D720" s="1">
        <v>35874</v>
      </c>
      <c r="E720" s="1">
        <v>35902</v>
      </c>
      <c r="F720" s="1">
        <v>35893</v>
      </c>
      <c r="G720">
        <v>1</v>
      </c>
      <c r="H720" s="2">
        <v>27.19</v>
      </c>
      <c r="I720" t="s">
        <v>43</v>
      </c>
      <c r="J720" t="s">
        <v>44</v>
      </c>
      <c r="K720" t="s">
        <v>45</v>
      </c>
      <c r="L720" t="s">
        <v>18</v>
      </c>
      <c r="M720">
        <v>3012</v>
      </c>
      <c r="N720" t="s">
        <v>46</v>
      </c>
      <c r="O720">
        <f>Orders[[#This Row],[requiredDate]]-Orders[[#This Row],[orderDate]]</f>
        <v>28</v>
      </c>
      <c r="P720">
        <f>Orders[[#This Row],[shippedDate]]-Orders[[#This Row],[orderDate]]</f>
        <v>19</v>
      </c>
      <c r="Q720">
        <f>Orders[[#This Row],[requiredDate]]-Orders[[#This Row],[shippedDate]]</f>
        <v>9</v>
      </c>
    </row>
    <row r="721" spans="1:17" x14ac:dyDescent="0.2">
      <c r="A721">
        <v>10967</v>
      </c>
      <c r="B721" t="s">
        <v>20</v>
      </c>
      <c r="C721">
        <v>2</v>
      </c>
      <c r="D721" s="1">
        <v>35877</v>
      </c>
      <c r="E721" s="1">
        <v>35905</v>
      </c>
      <c r="F721" s="1">
        <v>35887</v>
      </c>
      <c r="G721">
        <v>2</v>
      </c>
      <c r="H721" s="2">
        <v>62.22</v>
      </c>
      <c r="I721" t="s">
        <v>21</v>
      </c>
      <c r="J721" t="s">
        <v>22</v>
      </c>
      <c r="K721" t="s">
        <v>23</v>
      </c>
      <c r="L721" t="s">
        <v>18</v>
      </c>
      <c r="M721">
        <v>44087</v>
      </c>
      <c r="N721" t="s">
        <v>24</v>
      </c>
      <c r="O721">
        <f>Orders[[#This Row],[requiredDate]]-Orders[[#This Row],[orderDate]]</f>
        <v>28</v>
      </c>
      <c r="P721">
        <f>Orders[[#This Row],[shippedDate]]-Orders[[#This Row],[orderDate]]</f>
        <v>10</v>
      </c>
      <c r="Q721">
        <f>Orders[[#This Row],[requiredDate]]-Orders[[#This Row],[shippedDate]]</f>
        <v>18</v>
      </c>
    </row>
    <row r="722" spans="1:17" x14ac:dyDescent="0.2">
      <c r="A722">
        <v>10968</v>
      </c>
      <c r="B722" t="s">
        <v>63</v>
      </c>
      <c r="C722">
        <v>1</v>
      </c>
      <c r="D722" s="1">
        <v>35877</v>
      </c>
      <c r="E722" s="1">
        <v>35905</v>
      </c>
      <c r="F722" s="1">
        <v>35886</v>
      </c>
      <c r="G722">
        <v>3</v>
      </c>
      <c r="H722" s="2">
        <v>74.599999999999994</v>
      </c>
      <c r="I722" t="s">
        <v>64</v>
      </c>
      <c r="J722" t="s">
        <v>65</v>
      </c>
      <c r="K722" t="s">
        <v>66</v>
      </c>
      <c r="L722" t="s">
        <v>18</v>
      </c>
      <c r="M722">
        <v>8010</v>
      </c>
      <c r="N722" t="s">
        <v>67</v>
      </c>
      <c r="O722">
        <f>Orders[[#This Row],[requiredDate]]-Orders[[#This Row],[orderDate]]</f>
        <v>28</v>
      </c>
      <c r="P722">
        <f>Orders[[#This Row],[shippedDate]]-Orders[[#This Row],[orderDate]]</f>
        <v>9</v>
      </c>
      <c r="Q722">
        <f>Orders[[#This Row],[requiredDate]]-Orders[[#This Row],[shippedDate]]</f>
        <v>19</v>
      </c>
    </row>
    <row r="723" spans="1:17" x14ac:dyDescent="0.2">
      <c r="A723">
        <v>10969</v>
      </c>
      <c r="B723" t="s">
        <v>170</v>
      </c>
      <c r="C723">
        <v>1</v>
      </c>
      <c r="D723" s="1">
        <v>35877</v>
      </c>
      <c r="E723" s="1">
        <v>35905</v>
      </c>
      <c r="F723" s="1">
        <v>35884</v>
      </c>
      <c r="G723">
        <v>2</v>
      </c>
      <c r="H723" s="2">
        <v>0.21</v>
      </c>
      <c r="I723" t="s">
        <v>171</v>
      </c>
      <c r="J723" t="s">
        <v>172</v>
      </c>
      <c r="K723" t="s">
        <v>173</v>
      </c>
      <c r="L723" t="s">
        <v>55</v>
      </c>
      <c r="M723" t="s">
        <v>174</v>
      </c>
      <c r="N723" t="s">
        <v>31</v>
      </c>
      <c r="O723">
        <f>Orders[[#This Row],[requiredDate]]-Orders[[#This Row],[orderDate]]</f>
        <v>28</v>
      </c>
      <c r="P723">
        <f>Orders[[#This Row],[shippedDate]]-Orders[[#This Row],[orderDate]]</f>
        <v>7</v>
      </c>
      <c r="Q723">
        <f>Orders[[#This Row],[requiredDate]]-Orders[[#This Row],[shippedDate]]</f>
        <v>21</v>
      </c>
    </row>
    <row r="724" spans="1:17" x14ac:dyDescent="0.2">
      <c r="A724">
        <v>10970</v>
      </c>
      <c r="B724" t="s">
        <v>231</v>
      </c>
      <c r="C724">
        <v>9</v>
      </c>
      <c r="D724" s="1">
        <v>35878</v>
      </c>
      <c r="E724" s="1">
        <v>35892</v>
      </c>
      <c r="F724" s="1">
        <v>35909</v>
      </c>
      <c r="G724">
        <v>1</v>
      </c>
      <c r="H724" s="2">
        <v>16.16</v>
      </c>
      <c r="I724" t="s">
        <v>232</v>
      </c>
      <c r="J724" t="s">
        <v>233</v>
      </c>
      <c r="K724" t="s">
        <v>149</v>
      </c>
      <c r="L724" t="s">
        <v>18</v>
      </c>
      <c r="M724">
        <v>28023</v>
      </c>
      <c r="N724" t="s">
        <v>150</v>
      </c>
      <c r="O724">
        <f>Orders[[#This Row],[requiredDate]]-Orders[[#This Row],[orderDate]]</f>
        <v>14</v>
      </c>
      <c r="P724">
        <f>Orders[[#This Row],[shippedDate]]-Orders[[#This Row],[orderDate]]</f>
        <v>31</v>
      </c>
      <c r="Q724">
        <f>Orders[[#This Row],[requiredDate]]-Orders[[#This Row],[shippedDate]]</f>
        <v>-17</v>
      </c>
    </row>
    <row r="725" spans="1:17" x14ac:dyDescent="0.2">
      <c r="A725">
        <v>10971</v>
      </c>
      <c r="B725" t="s">
        <v>405</v>
      </c>
      <c r="C725">
        <v>2</v>
      </c>
      <c r="D725" s="1">
        <v>35878</v>
      </c>
      <c r="E725" s="1">
        <v>35906</v>
      </c>
      <c r="F725" s="1">
        <v>35887</v>
      </c>
      <c r="G725">
        <v>2</v>
      </c>
      <c r="H725" s="2">
        <v>121.82</v>
      </c>
      <c r="I725" t="s">
        <v>406</v>
      </c>
      <c r="J725" t="s">
        <v>407</v>
      </c>
      <c r="K725" t="s">
        <v>212</v>
      </c>
      <c r="L725" t="s">
        <v>18</v>
      </c>
      <c r="M725">
        <v>44000</v>
      </c>
      <c r="N725" t="s">
        <v>19</v>
      </c>
      <c r="O725">
        <f>Orders[[#This Row],[requiredDate]]-Orders[[#This Row],[orderDate]]</f>
        <v>28</v>
      </c>
      <c r="P725">
        <f>Orders[[#This Row],[shippedDate]]-Orders[[#This Row],[orderDate]]</f>
        <v>9</v>
      </c>
      <c r="Q725">
        <f>Orders[[#This Row],[requiredDate]]-Orders[[#This Row],[shippedDate]]</f>
        <v>19</v>
      </c>
    </row>
    <row r="726" spans="1:17" x14ac:dyDescent="0.2">
      <c r="A726">
        <v>10972</v>
      </c>
      <c r="B726" t="s">
        <v>413</v>
      </c>
      <c r="C726">
        <v>4</v>
      </c>
      <c r="D726" s="1">
        <v>35878</v>
      </c>
      <c r="E726" s="1">
        <v>35906</v>
      </c>
      <c r="F726" s="1">
        <v>35880</v>
      </c>
      <c r="G726">
        <v>2</v>
      </c>
      <c r="H726" s="2">
        <v>0.02</v>
      </c>
      <c r="I726" t="s">
        <v>414</v>
      </c>
      <c r="J726" t="s">
        <v>415</v>
      </c>
      <c r="K726" t="s">
        <v>416</v>
      </c>
      <c r="L726" t="s">
        <v>18</v>
      </c>
      <c r="M726">
        <v>78000</v>
      </c>
      <c r="N726" t="s">
        <v>19</v>
      </c>
      <c r="O726">
        <f>Orders[[#This Row],[requiredDate]]-Orders[[#This Row],[orderDate]]</f>
        <v>28</v>
      </c>
      <c r="P726">
        <f>Orders[[#This Row],[shippedDate]]-Orders[[#This Row],[orderDate]]</f>
        <v>2</v>
      </c>
      <c r="Q726">
        <f>Orders[[#This Row],[requiredDate]]-Orders[[#This Row],[shippedDate]]</f>
        <v>26</v>
      </c>
    </row>
    <row r="727" spans="1:17" x14ac:dyDescent="0.2">
      <c r="A727">
        <v>10973</v>
      </c>
      <c r="B727" t="s">
        <v>413</v>
      </c>
      <c r="C727">
        <v>6</v>
      </c>
      <c r="D727" s="1">
        <v>35878</v>
      </c>
      <c r="E727" s="1">
        <v>35906</v>
      </c>
      <c r="F727" s="1">
        <v>35881</v>
      </c>
      <c r="G727">
        <v>2</v>
      </c>
      <c r="H727" s="2">
        <v>15.17</v>
      </c>
      <c r="I727" t="s">
        <v>414</v>
      </c>
      <c r="J727" t="s">
        <v>415</v>
      </c>
      <c r="K727" t="s">
        <v>416</v>
      </c>
      <c r="L727" t="s">
        <v>18</v>
      </c>
      <c r="M727">
        <v>78000</v>
      </c>
      <c r="N727" t="s">
        <v>19</v>
      </c>
      <c r="O727">
        <f>Orders[[#This Row],[requiredDate]]-Orders[[#This Row],[orderDate]]</f>
        <v>28</v>
      </c>
      <c r="P727">
        <f>Orders[[#This Row],[shippedDate]]-Orders[[#This Row],[orderDate]]</f>
        <v>3</v>
      </c>
      <c r="Q727">
        <f>Orders[[#This Row],[requiredDate]]-Orders[[#This Row],[shippedDate]]</f>
        <v>25</v>
      </c>
    </row>
    <row r="728" spans="1:17" x14ac:dyDescent="0.2">
      <c r="A728">
        <v>10974</v>
      </c>
      <c r="B728" t="s">
        <v>116</v>
      </c>
      <c r="C728">
        <v>3</v>
      </c>
      <c r="D728" s="1">
        <v>35879</v>
      </c>
      <c r="E728" s="1">
        <v>35893</v>
      </c>
      <c r="F728" s="1">
        <v>35888</v>
      </c>
      <c r="G728">
        <v>3</v>
      </c>
      <c r="H728" s="2">
        <v>12.96</v>
      </c>
      <c r="I728" t="s">
        <v>117</v>
      </c>
      <c r="J728" t="s">
        <v>118</v>
      </c>
      <c r="K728" t="s">
        <v>119</v>
      </c>
      <c r="L728" t="s">
        <v>120</v>
      </c>
      <c r="M728">
        <v>82520</v>
      </c>
      <c r="N728" t="s">
        <v>86</v>
      </c>
      <c r="O728">
        <f>Orders[[#This Row],[requiredDate]]-Orders[[#This Row],[orderDate]]</f>
        <v>14</v>
      </c>
      <c r="P728">
        <f>Orders[[#This Row],[shippedDate]]-Orders[[#This Row],[orderDate]]</f>
        <v>9</v>
      </c>
      <c r="Q728">
        <f>Orders[[#This Row],[requiredDate]]-Orders[[#This Row],[shippedDate]]</f>
        <v>5</v>
      </c>
    </row>
    <row r="729" spans="1:17" x14ac:dyDescent="0.2">
      <c r="A729">
        <v>10975</v>
      </c>
      <c r="B729" t="s">
        <v>318</v>
      </c>
      <c r="C729">
        <v>1</v>
      </c>
      <c r="D729" s="1">
        <v>35879</v>
      </c>
      <c r="E729" s="1">
        <v>35907</v>
      </c>
      <c r="F729" s="1">
        <v>35881</v>
      </c>
      <c r="G729">
        <v>3</v>
      </c>
      <c r="H729" s="2">
        <v>32.270000000000003</v>
      </c>
      <c r="I729" t="s">
        <v>319</v>
      </c>
      <c r="J729" t="s">
        <v>320</v>
      </c>
      <c r="K729" t="s">
        <v>321</v>
      </c>
      <c r="L729" t="s">
        <v>322</v>
      </c>
      <c r="M729" t="s">
        <v>323</v>
      </c>
      <c r="N729" t="s">
        <v>249</v>
      </c>
      <c r="O729">
        <f>Orders[[#This Row],[requiredDate]]-Orders[[#This Row],[orderDate]]</f>
        <v>28</v>
      </c>
      <c r="P729">
        <f>Orders[[#This Row],[shippedDate]]-Orders[[#This Row],[orderDate]]</f>
        <v>2</v>
      </c>
      <c r="Q729">
        <f>Orders[[#This Row],[requiredDate]]-Orders[[#This Row],[shippedDate]]</f>
        <v>26</v>
      </c>
    </row>
    <row r="730" spans="1:17" x14ac:dyDescent="0.2">
      <c r="A730">
        <v>10976</v>
      </c>
      <c r="B730" t="s">
        <v>57</v>
      </c>
      <c r="C730">
        <v>1</v>
      </c>
      <c r="D730" s="1">
        <v>35879</v>
      </c>
      <c r="E730" s="1">
        <v>35921</v>
      </c>
      <c r="F730" s="1">
        <v>35888</v>
      </c>
      <c r="G730">
        <v>1</v>
      </c>
      <c r="H730" s="2">
        <v>37.97</v>
      </c>
      <c r="I730" t="s">
        <v>58</v>
      </c>
      <c r="J730" t="s">
        <v>59</v>
      </c>
      <c r="K730" t="s">
        <v>60</v>
      </c>
      <c r="L730" t="s">
        <v>61</v>
      </c>
      <c r="M730">
        <v>5022</v>
      </c>
      <c r="N730" t="s">
        <v>62</v>
      </c>
      <c r="O730">
        <f>Orders[[#This Row],[requiredDate]]-Orders[[#This Row],[orderDate]]</f>
        <v>42</v>
      </c>
      <c r="P730">
        <f>Orders[[#This Row],[shippedDate]]-Orders[[#This Row],[orderDate]]</f>
        <v>9</v>
      </c>
      <c r="Q730">
        <f>Orders[[#This Row],[requiredDate]]-Orders[[#This Row],[shippedDate]]</f>
        <v>33</v>
      </c>
    </row>
    <row r="731" spans="1:17" x14ac:dyDescent="0.2">
      <c r="A731">
        <v>10977</v>
      </c>
      <c r="B731" t="s">
        <v>87</v>
      </c>
      <c r="C731">
        <v>8</v>
      </c>
      <c r="D731" s="1">
        <v>35880</v>
      </c>
      <c r="E731" s="1">
        <v>35908</v>
      </c>
      <c r="F731" s="1">
        <v>35895</v>
      </c>
      <c r="G731">
        <v>3</v>
      </c>
      <c r="H731" s="2">
        <v>208.5</v>
      </c>
      <c r="I731" t="s">
        <v>88</v>
      </c>
      <c r="J731" t="s">
        <v>89</v>
      </c>
      <c r="K731" t="s">
        <v>90</v>
      </c>
      <c r="L731" t="s">
        <v>18</v>
      </c>
      <c r="M731" t="s">
        <v>91</v>
      </c>
      <c r="N731" t="s">
        <v>92</v>
      </c>
      <c r="O731">
        <f>Orders[[#This Row],[requiredDate]]-Orders[[#This Row],[orderDate]]</f>
        <v>28</v>
      </c>
      <c r="P731">
        <f>Orders[[#This Row],[shippedDate]]-Orders[[#This Row],[orderDate]]</f>
        <v>15</v>
      </c>
      <c r="Q731">
        <f>Orders[[#This Row],[requiredDate]]-Orders[[#This Row],[shippedDate]]</f>
        <v>13</v>
      </c>
    </row>
    <row r="732" spans="1:17" x14ac:dyDescent="0.2">
      <c r="A732">
        <v>10978</v>
      </c>
      <c r="B732" t="s">
        <v>378</v>
      </c>
      <c r="C732">
        <v>9</v>
      </c>
      <c r="D732" s="1">
        <v>35880</v>
      </c>
      <c r="E732" s="1">
        <v>35908</v>
      </c>
      <c r="F732" s="1">
        <v>35908</v>
      </c>
      <c r="G732">
        <v>2</v>
      </c>
      <c r="H732" s="2">
        <v>32.82</v>
      </c>
      <c r="I732" t="s">
        <v>379</v>
      </c>
      <c r="J732" t="s">
        <v>380</v>
      </c>
      <c r="K732" t="s">
        <v>381</v>
      </c>
      <c r="L732" t="s">
        <v>18</v>
      </c>
      <c r="M732" t="s">
        <v>382</v>
      </c>
      <c r="N732" t="s">
        <v>41</v>
      </c>
      <c r="O732">
        <f>Orders[[#This Row],[requiredDate]]-Orders[[#This Row],[orderDate]]</f>
        <v>28</v>
      </c>
      <c r="P732">
        <f>Orders[[#This Row],[shippedDate]]-Orders[[#This Row],[orderDate]]</f>
        <v>28</v>
      </c>
      <c r="Q732">
        <f>Orders[[#This Row],[requiredDate]]-Orders[[#This Row],[shippedDate]]</f>
        <v>0</v>
      </c>
    </row>
    <row r="733" spans="1:17" x14ac:dyDescent="0.2">
      <c r="A733">
        <v>10979</v>
      </c>
      <c r="B733" t="s">
        <v>63</v>
      </c>
      <c r="C733">
        <v>8</v>
      </c>
      <c r="D733" s="1">
        <v>35880</v>
      </c>
      <c r="E733" s="1">
        <v>35908</v>
      </c>
      <c r="F733" s="1">
        <v>35885</v>
      </c>
      <c r="G733">
        <v>2</v>
      </c>
      <c r="H733" s="2">
        <v>353.07</v>
      </c>
      <c r="I733" t="s">
        <v>64</v>
      </c>
      <c r="J733" t="s">
        <v>65</v>
      </c>
      <c r="K733" t="s">
        <v>66</v>
      </c>
      <c r="L733" t="s">
        <v>18</v>
      </c>
      <c r="M733">
        <v>8010</v>
      </c>
      <c r="N733" t="s">
        <v>67</v>
      </c>
      <c r="O733">
        <f>Orders[[#This Row],[requiredDate]]-Orders[[#This Row],[orderDate]]</f>
        <v>28</v>
      </c>
      <c r="P733">
        <f>Orders[[#This Row],[shippedDate]]-Orders[[#This Row],[orderDate]]</f>
        <v>5</v>
      </c>
      <c r="Q733">
        <f>Orders[[#This Row],[requiredDate]]-Orders[[#This Row],[shippedDate]]</f>
        <v>23</v>
      </c>
    </row>
    <row r="734" spans="1:17" x14ac:dyDescent="0.2">
      <c r="A734">
        <v>10980</v>
      </c>
      <c r="B734" t="s">
        <v>87</v>
      </c>
      <c r="C734">
        <v>4</v>
      </c>
      <c r="D734" s="1">
        <v>35881</v>
      </c>
      <c r="E734" s="1">
        <v>35923</v>
      </c>
      <c r="F734" s="1">
        <v>35902</v>
      </c>
      <c r="G734">
        <v>1</v>
      </c>
      <c r="H734" s="2">
        <v>1.26</v>
      </c>
      <c r="I734" t="s">
        <v>88</v>
      </c>
      <c r="J734" t="s">
        <v>89</v>
      </c>
      <c r="K734" t="s">
        <v>90</v>
      </c>
      <c r="L734" t="s">
        <v>18</v>
      </c>
      <c r="M734" t="s">
        <v>91</v>
      </c>
      <c r="N734" t="s">
        <v>92</v>
      </c>
      <c r="O734">
        <f>Orders[[#This Row],[requiredDate]]-Orders[[#This Row],[orderDate]]</f>
        <v>42</v>
      </c>
      <c r="P734">
        <f>Orders[[#This Row],[shippedDate]]-Orders[[#This Row],[orderDate]]</f>
        <v>21</v>
      </c>
      <c r="Q734">
        <f>Orders[[#This Row],[requiredDate]]-Orders[[#This Row],[shippedDate]]</f>
        <v>21</v>
      </c>
    </row>
    <row r="735" spans="1:17" x14ac:dyDescent="0.2">
      <c r="A735">
        <v>10981</v>
      </c>
      <c r="B735" t="s">
        <v>25</v>
      </c>
      <c r="C735">
        <v>1</v>
      </c>
      <c r="D735" s="1">
        <v>35881</v>
      </c>
      <c r="E735" s="1">
        <v>35909</v>
      </c>
      <c r="F735" s="1">
        <v>35887</v>
      </c>
      <c r="G735">
        <v>2</v>
      </c>
      <c r="H735" s="2">
        <v>193.37</v>
      </c>
      <c r="I735" t="s">
        <v>26</v>
      </c>
      <c r="J735" t="s">
        <v>27</v>
      </c>
      <c r="K735" t="s">
        <v>28</v>
      </c>
      <c r="L735" t="s">
        <v>29</v>
      </c>
      <c r="M735" t="s">
        <v>30</v>
      </c>
      <c r="N735" t="s">
        <v>31</v>
      </c>
      <c r="O735">
        <f>Orders[[#This Row],[requiredDate]]-Orders[[#This Row],[orderDate]]</f>
        <v>28</v>
      </c>
      <c r="P735">
        <f>Orders[[#This Row],[shippedDate]]-Orders[[#This Row],[orderDate]]</f>
        <v>6</v>
      </c>
      <c r="Q735">
        <f>Orders[[#This Row],[requiredDate]]-Orders[[#This Row],[shippedDate]]</f>
        <v>22</v>
      </c>
    </row>
    <row r="736" spans="1:17" x14ac:dyDescent="0.2">
      <c r="A736">
        <v>10982</v>
      </c>
      <c r="B736" t="s">
        <v>318</v>
      </c>
      <c r="C736">
        <v>2</v>
      </c>
      <c r="D736" s="1">
        <v>35881</v>
      </c>
      <c r="E736" s="1">
        <v>35909</v>
      </c>
      <c r="F736" s="1">
        <v>35893</v>
      </c>
      <c r="G736">
        <v>1</v>
      </c>
      <c r="H736" s="2">
        <v>14.01</v>
      </c>
      <c r="I736" t="s">
        <v>319</v>
      </c>
      <c r="J736" t="s">
        <v>320</v>
      </c>
      <c r="K736" t="s">
        <v>321</v>
      </c>
      <c r="L736" t="s">
        <v>322</v>
      </c>
      <c r="M736" t="s">
        <v>323</v>
      </c>
      <c r="N736" t="s">
        <v>249</v>
      </c>
      <c r="O736">
        <f>Orders[[#This Row],[requiredDate]]-Orders[[#This Row],[orderDate]]</f>
        <v>28</v>
      </c>
      <c r="P736">
        <f>Orders[[#This Row],[shippedDate]]-Orders[[#This Row],[orderDate]]</f>
        <v>12</v>
      </c>
      <c r="Q736">
        <f>Orders[[#This Row],[requiredDate]]-Orders[[#This Row],[shippedDate]]</f>
        <v>16</v>
      </c>
    </row>
    <row r="737" spans="1:17" x14ac:dyDescent="0.2">
      <c r="A737">
        <v>10983</v>
      </c>
      <c r="B737" t="s">
        <v>226</v>
      </c>
      <c r="C737">
        <v>2</v>
      </c>
      <c r="D737" s="1">
        <v>35881</v>
      </c>
      <c r="E737" s="1">
        <v>35909</v>
      </c>
      <c r="F737" s="1">
        <v>35891</v>
      </c>
      <c r="G737">
        <v>2</v>
      </c>
      <c r="H737" s="2">
        <v>657.54</v>
      </c>
      <c r="I737" t="s">
        <v>227</v>
      </c>
      <c r="J737" t="s">
        <v>228</v>
      </c>
      <c r="K737" t="s">
        <v>229</v>
      </c>
      <c r="L737" t="s">
        <v>230</v>
      </c>
      <c r="M737">
        <v>83720</v>
      </c>
      <c r="N737" t="s">
        <v>86</v>
      </c>
      <c r="O737">
        <f>Orders[[#This Row],[requiredDate]]-Orders[[#This Row],[orderDate]]</f>
        <v>28</v>
      </c>
      <c r="P737">
        <f>Orders[[#This Row],[shippedDate]]-Orders[[#This Row],[orderDate]]</f>
        <v>10</v>
      </c>
      <c r="Q737">
        <f>Orders[[#This Row],[requiredDate]]-Orders[[#This Row],[shippedDate]]</f>
        <v>18</v>
      </c>
    </row>
    <row r="738" spans="1:17" x14ac:dyDescent="0.2">
      <c r="A738">
        <v>10984</v>
      </c>
      <c r="B738" t="s">
        <v>226</v>
      </c>
      <c r="C738">
        <v>1</v>
      </c>
      <c r="D738" s="1">
        <v>35884</v>
      </c>
      <c r="E738" s="1">
        <v>35912</v>
      </c>
      <c r="F738" s="1">
        <v>35888</v>
      </c>
      <c r="G738">
        <v>3</v>
      </c>
      <c r="H738" s="2">
        <v>211.22</v>
      </c>
      <c r="I738" t="s">
        <v>227</v>
      </c>
      <c r="J738" t="s">
        <v>228</v>
      </c>
      <c r="K738" t="s">
        <v>229</v>
      </c>
      <c r="L738" t="s">
        <v>230</v>
      </c>
      <c r="M738">
        <v>83720</v>
      </c>
      <c r="N738" t="s">
        <v>86</v>
      </c>
      <c r="O738">
        <f>Orders[[#This Row],[requiredDate]]-Orders[[#This Row],[orderDate]]</f>
        <v>28</v>
      </c>
      <c r="P738">
        <f>Orders[[#This Row],[shippedDate]]-Orders[[#This Row],[orderDate]]</f>
        <v>4</v>
      </c>
      <c r="Q738">
        <f>Orders[[#This Row],[requiredDate]]-Orders[[#This Row],[shippedDate]]</f>
        <v>24</v>
      </c>
    </row>
    <row r="739" spans="1:17" x14ac:dyDescent="0.2">
      <c r="A739">
        <v>10985</v>
      </c>
      <c r="B739" t="s">
        <v>179</v>
      </c>
      <c r="C739">
        <v>2</v>
      </c>
      <c r="D739" s="1">
        <v>35884</v>
      </c>
      <c r="E739" s="1">
        <v>35912</v>
      </c>
      <c r="F739" s="1">
        <v>35887</v>
      </c>
      <c r="G739">
        <v>1</v>
      </c>
      <c r="H739" s="2">
        <v>91.51</v>
      </c>
      <c r="I739" t="s">
        <v>180</v>
      </c>
      <c r="J739" t="s">
        <v>181</v>
      </c>
      <c r="K739" t="s">
        <v>182</v>
      </c>
      <c r="L739" t="s">
        <v>183</v>
      </c>
      <c r="M739" t="s">
        <v>18</v>
      </c>
      <c r="N739" t="s">
        <v>184</v>
      </c>
      <c r="O739">
        <f>Orders[[#This Row],[requiredDate]]-Orders[[#This Row],[orderDate]]</f>
        <v>28</v>
      </c>
      <c r="P739">
        <f>Orders[[#This Row],[shippedDate]]-Orders[[#This Row],[orderDate]]</f>
        <v>3</v>
      </c>
      <c r="Q739">
        <f>Orders[[#This Row],[requiredDate]]-Orders[[#This Row],[shippedDate]]</f>
        <v>25</v>
      </c>
    </row>
    <row r="740" spans="1:17" x14ac:dyDescent="0.2">
      <c r="A740">
        <v>10986</v>
      </c>
      <c r="B740" t="s">
        <v>333</v>
      </c>
      <c r="C740">
        <v>8</v>
      </c>
      <c r="D740" s="1">
        <v>35884</v>
      </c>
      <c r="E740" s="1">
        <v>35912</v>
      </c>
      <c r="F740" s="1">
        <v>35906</v>
      </c>
      <c r="G740">
        <v>2</v>
      </c>
      <c r="H740" s="2">
        <v>217.86</v>
      </c>
      <c r="I740" t="s">
        <v>334</v>
      </c>
      <c r="J740" t="s">
        <v>335</v>
      </c>
      <c r="K740" t="s">
        <v>336</v>
      </c>
      <c r="L740" t="s">
        <v>18</v>
      </c>
      <c r="M740">
        <v>1010</v>
      </c>
      <c r="N740" t="s">
        <v>337</v>
      </c>
      <c r="O740">
        <f>Orders[[#This Row],[requiredDate]]-Orders[[#This Row],[orderDate]]</f>
        <v>28</v>
      </c>
      <c r="P740">
        <f>Orders[[#This Row],[shippedDate]]-Orders[[#This Row],[orderDate]]</f>
        <v>22</v>
      </c>
      <c r="Q740">
        <f>Orders[[#This Row],[requiredDate]]-Orders[[#This Row],[shippedDate]]</f>
        <v>6</v>
      </c>
    </row>
    <row r="741" spans="1:17" x14ac:dyDescent="0.2">
      <c r="A741">
        <v>10987</v>
      </c>
      <c r="B741" t="s">
        <v>284</v>
      </c>
      <c r="C741">
        <v>8</v>
      </c>
      <c r="D741" s="1">
        <v>35885</v>
      </c>
      <c r="E741" s="1">
        <v>35913</v>
      </c>
      <c r="F741" s="1">
        <v>35891</v>
      </c>
      <c r="G741">
        <v>1</v>
      </c>
      <c r="H741" s="2">
        <v>185.48</v>
      </c>
      <c r="I741" t="s">
        <v>285</v>
      </c>
      <c r="J741" t="s">
        <v>286</v>
      </c>
      <c r="K741" t="s">
        <v>167</v>
      </c>
      <c r="L741" t="s">
        <v>18</v>
      </c>
      <c r="M741" t="s">
        <v>287</v>
      </c>
      <c r="N741" t="s">
        <v>169</v>
      </c>
      <c r="O741">
        <f>Orders[[#This Row],[requiredDate]]-Orders[[#This Row],[orderDate]]</f>
        <v>28</v>
      </c>
      <c r="P741">
        <f>Orders[[#This Row],[shippedDate]]-Orders[[#This Row],[orderDate]]</f>
        <v>6</v>
      </c>
      <c r="Q741">
        <f>Orders[[#This Row],[requiredDate]]-Orders[[#This Row],[shippedDate]]</f>
        <v>22</v>
      </c>
    </row>
    <row r="742" spans="1:17" x14ac:dyDescent="0.2">
      <c r="A742">
        <v>10988</v>
      </c>
      <c r="B742" t="s">
        <v>81</v>
      </c>
      <c r="C742">
        <v>3</v>
      </c>
      <c r="D742" s="1">
        <v>35885</v>
      </c>
      <c r="E742" s="1">
        <v>35913</v>
      </c>
      <c r="F742" s="1">
        <v>35895</v>
      </c>
      <c r="G742">
        <v>2</v>
      </c>
      <c r="H742" s="2">
        <v>61.14</v>
      </c>
      <c r="I742" t="s">
        <v>82</v>
      </c>
      <c r="J742" t="s">
        <v>83</v>
      </c>
      <c r="K742" t="s">
        <v>84</v>
      </c>
      <c r="L742" t="s">
        <v>85</v>
      </c>
      <c r="M742">
        <v>87110</v>
      </c>
      <c r="N742" t="s">
        <v>86</v>
      </c>
      <c r="O742">
        <f>Orders[[#This Row],[requiredDate]]-Orders[[#This Row],[orderDate]]</f>
        <v>28</v>
      </c>
      <c r="P742">
        <f>Orders[[#This Row],[shippedDate]]-Orders[[#This Row],[orderDate]]</f>
        <v>10</v>
      </c>
      <c r="Q742">
        <f>Orders[[#This Row],[requiredDate]]-Orders[[#This Row],[shippedDate]]</f>
        <v>18</v>
      </c>
    </row>
    <row r="743" spans="1:17" x14ac:dyDescent="0.2">
      <c r="A743">
        <v>10989</v>
      </c>
      <c r="B743" t="s">
        <v>77</v>
      </c>
      <c r="C743">
        <v>2</v>
      </c>
      <c r="D743" s="1">
        <v>35885</v>
      </c>
      <c r="E743" s="1">
        <v>35913</v>
      </c>
      <c r="F743" s="1">
        <v>35887</v>
      </c>
      <c r="G743">
        <v>1</v>
      </c>
      <c r="H743" s="2">
        <v>34.76</v>
      </c>
      <c r="I743" t="s">
        <v>78</v>
      </c>
      <c r="J743" t="s">
        <v>79</v>
      </c>
      <c r="K743" t="s">
        <v>28</v>
      </c>
      <c r="L743" t="s">
        <v>29</v>
      </c>
      <c r="M743" t="s">
        <v>80</v>
      </c>
      <c r="N743" t="s">
        <v>31</v>
      </c>
      <c r="O743">
        <f>Orders[[#This Row],[requiredDate]]-Orders[[#This Row],[orderDate]]</f>
        <v>28</v>
      </c>
      <c r="P743">
        <f>Orders[[#This Row],[shippedDate]]-Orders[[#This Row],[orderDate]]</f>
        <v>2</v>
      </c>
      <c r="Q743">
        <f>Orders[[#This Row],[requiredDate]]-Orders[[#This Row],[shippedDate]]</f>
        <v>26</v>
      </c>
    </row>
    <row r="744" spans="1:17" x14ac:dyDescent="0.2">
      <c r="A744">
        <v>10990</v>
      </c>
      <c r="B744" t="s">
        <v>63</v>
      </c>
      <c r="C744">
        <v>2</v>
      </c>
      <c r="D744" s="1">
        <v>35886</v>
      </c>
      <c r="E744" s="1">
        <v>35928</v>
      </c>
      <c r="F744" s="1">
        <v>35892</v>
      </c>
      <c r="G744">
        <v>3</v>
      </c>
      <c r="H744" s="2">
        <v>117.61</v>
      </c>
      <c r="I744" t="s">
        <v>64</v>
      </c>
      <c r="J744" t="s">
        <v>65</v>
      </c>
      <c r="K744" t="s">
        <v>66</v>
      </c>
      <c r="L744" t="s">
        <v>18</v>
      </c>
      <c r="M744">
        <v>8010</v>
      </c>
      <c r="N744" t="s">
        <v>67</v>
      </c>
      <c r="O744">
        <f>Orders[[#This Row],[requiredDate]]-Orders[[#This Row],[orderDate]]</f>
        <v>42</v>
      </c>
      <c r="P744">
        <f>Orders[[#This Row],[shippedDate]]-Orders[[#This Row],[orderDate]]</f>
        <v>6</v>
      </c>
      <c r="Q744">
        <f>Orders[[#This Row],[requiredDate]]-Orders[[#This Row],[shippedDate]]</f>
        <v>36</v>
      </c>
    </row>
    <row r="745" spans="1:17" x14ac:dyDescent="0.2">
      <c r="A745">
        <v>10991</v>
      </c>
      <c r="B745" t="s">
        <v>121</v>
      </c>
      <c r="C745">
        <v>1</v>
      </c>
      <c r="D745" s="1">
        <v>35886</v>
      </c>
      <c r="E745" s="1">
        <v>35914</v>
      </c>
      <c r="F745" s="1">
        <v>35892</v>
      </c>
      <c r="G745">
        <v>1</v>
      </c>
      <c r="H745" s="2">
        <v>38.51</v>
      </c>
      <c r="I745" t="s">
        <v>122</v>
      </c>
      <c r="J745" t="s">
        <v>123</v>
      </c>
      <c r="K745" t="s">
        <v>124</v>
      </c>
      <c r="L745" t="s">
        <v>18</v>
      </c>
      <c r="M745">
        <v>1307</v>
      </c>
      <c r="N745" t="s">
        <v>24</v>
      </c>
      <c r="O745">
        <f>Orders[[#This Row],[requiredDate]]-Orders[[#This Row],[orderDate]]</f>
        <v>28</v>
      </c>
      <c r="P745">
        <f>Orders[[#This Row],[shippedDate]]-Orders[[#This Row],[orderDate]]</f>
        <v>6</v>
      </c>
      <c r="Q745">
        <f>Orders[[#This Row],[requiredDate]]-Orders[[#This Row],[shippedDate]]</f>
        <v>22</v>
      </c>
    </row>
    <row r="746" spans="1:17" x14ac:dyDescent="0.2">
      <c r="A746">
        <v>10992</v>
      </c>
      <c r="B746" t="s">
        <v>206</v>
      </c>
      <c r="C746">
        <v>1</v>
      </c>
      <c r="D746" s="1">
        <v>35886</v>
      </c>
      <c r="E746" s="1">
        <v>35914</v>
      </c>
      <c r="F746" s="1">
        <v>35888</v>
      </c>
      <c r="G746">
        <v>3</v>
      </c>
      <c r="H746" s="2">
        <v>4.2699999999999996</v>
      </c>
      <c r="I746" t="s">
        <v>207</v>
      </c>
      <c r="J746" t="s">
        <v>208</v>
      </c>
      <c r="K746" t="s">
        <v>201</v>
      </c>
      <c r="L746" t="s">
        <v>202</v>
      </c>
      <c r="M746">
        <v>97201</v>
      </c>
      <c r="N746" t="s">
        <v>86</v>
      </c>
      <c r="O746">
        <f>Orders[[#This Row],[requiredDate]]-Orders[[#This Row],[orderDate]]</f>
        <v>28</v>
      </c>
      <c r="P746">
        <f>Orders[[#This Row],[shippedDate]]-Orders[[#This Row],[orderDate]]</f>
        <v>2</v>
      </c>
      <c r="Q746">
        <f>Orders[[#This Row],[requiredDate]]-Orders[[#This Row],[shippedDate]]</f>
        <v>26</v>
      </c>
    </row>
    <row r="747" spans="1:17" x14ac:dyDescent="0.2">
      <c r="A747">
        <v>10993</v>
      </c>
      <c r="B747" t="s">
        <v>87</v>
      </c>
      <c r="C747">
        <v>7</v>
      </c>
      <c r="D747" s="1">
        <v>35886</v>
      </c>
      <c r="E747" s="1">
        <v>35914</v>
      </c>
      <c r="F747" s="1">
        <v>35895</v>
      </c>
      <c r="G747">
        <v>3</v>
      </c>
      <c r="H747" s="2">
        <v>8.81</v>
      </c>
      <c r="I747" t="s">
        <v>88</v>
      </c>
      <c r="J747" t="s">
        <v>89</v>
      </c>
      <c r="K747" t="s">
        <v>90</v>
      </c>
      <c r="L747" t="s">
        <v>18</v>
      </c>
      <c r="M747" t="s">
        <v>91</v>
      </c>
      <c r="N747" t="s">
        <v>92</v>
      </c>
      <c r="O747">
        <f>Orders[[#This Row],[requiredDate]]-Orders[[#This Row],[orderDate]]</f>
        <v>28</v>
      </c>
      <c r="P747">
        <f>Orders[[#This Row],[shippedDate]]-Orders[[#This Row],[orderDate]]</f>
        <v>9</v>
      </c>
      <c r="Q747">
        <f>Orders[[#This Row],[requiredDate]]-Orders[[#This Row],[shippedDate]]</f>
        <v>19</v>
      </c>
    </row>
    <row r="748" spans="1:17" x14ac:dyDescent="0.2">
      <c r="A748">
        <v>10994</v>
      </c>
      <c r="B748" t="s">
        <v>295</v>
      </c>
      <c r="C748">
        <v>2</v>
      </c>
      <c r="D748" s="1">
        <v>35887</v>
      </c>
      <c r="E748" s="1">
        <v>35901</v>
      </c>
      <c r="F748" s="1">
        <v>35894</v>
      </c>
      <c r="G748">
        <v>3</v>
      </c>
      <c r="H748" s="2">
        <v>65.53</v>
      </c>
      <c r="I748" t="s">
        <v>296</v>
      </c>
      <c r="J748" t="s">
        <v>297</v>
      </c>
      <c r="K748" t="s">
        <v>298</v>
      </c>
      <c r="L748" t="s">
        <v>18</v>
      </c>
      <c r="M748">
        <v>8200</v>
      </c>
      <c r="N748" t="s">
        <v>257</v>
      </c>
      <c r="O748">
        <f>Orders[[#This Row],[requiredDate]]-Orders[[#This Row],[orderDate]]</f>
        <v>14</v>
      </c>
      <c r="P748">
        <f>Orders[[#This Row],[shippedDate]]-Orders[[#This Row],[orderDate]]</f>
        <v>7</v>
      </c>
      <c r="Q748">
        <f>Orders[[#This Row],[requiredDate]]-Orders[[#This Row],[shippedDate]]</f>
        <v>7</v>
      </c>
    </row>
    <row r="749" spans="1:17" x14ac:dyDescent="0.2">
      <c r="A749">
        <v>10995</v>
      </c>
      <c r="B749" t="s">
        <v>219</v>
      </c>
      <c r="C749">
        <v>1</v>
      </c>
      <c r="D749" s="1">
        <v>35887</v>
      </c>
      <c r="E749" s="1">
        <v>35915</v>
      </c>
      <c r="F749" s="1">
        <v>35891</v>
      </c>
      <c r="G749">
        <v>3</v>
      </c>
      <c r="H749" s="2">
        <v>46</v>
      </c>
      <c r="I749" t="s">
        <v>220</v>
      </c>
      <c r="J749" t="s">
        <v>221</v>
      </c>
      <c r="K749" t="s">
        <v>71</v>
      </c>
      <c r="L749" t="s">
        <v>18</v>
      </c>
      <c r="M749">
        <v>5033</v>
      </c>
      <c r="N749" t="s">
        <v>72</v>
      </c>
      <c r="O749">
        <f>Orders[[#This Row],[requiredDate]]-Orders[[#This Row],[orderDate]]</f>
        <v>28</v>
      </c>
      <c r="P749">
        <f>Orders[[#This Row],[shippedDate]]-Orders[[#This Row],[orderDate]]</f>
        <v>4</v>
      </c>
      <c r="Q749">
        <f>Orders[[#This Row],[requiredDate]]-Orders[[#This Row],[shippedDate]]</f>
        <v>24</v>
      </c>
    </row>
    <row r="750" spans="1:17" x14ac:dyDescent="0.2">
      <c r="A750">
        <v>10996</v>
      </c>
      <c r="B750" t="s">
        <v>121</v>
      </c>
      <c r="C750">
        <v>4</v>
      </c>
      <c r="D750" s="1">
        <v>35887</v>
      </c>
      <c r="E750" s="1">
        <v>35915</v>
      </c>
      <c r="F750" s="1">
        <v>35895</v>
      </c>
      <c r="G750">
        <v>2</v>
      </c>
      <c r="H750" s="2">
        <v>1.1200000000000001</v>
      </c>
      <c r="I750" t="s">
        <v>122</v>
      </c>
      <c r="J750" t="s">
        <v>123</v>
      </c>
      <c r="K750" t="s">
        <v>124</v>
      </c>
      <c r="L750" t="s">
        <v>18</v>
      </c>
      <c r="M750">
        <v>1307</v>
      </c>
      <c r="N750" t="s">
        <v>24</v>
      </c>
      <c r="O750">
        <f>Orders[[#This Row],[requiredDate]]-Orders[[#This Row],[orderDate]]</f>
        <v>28</v>
      </c>
      <c r="P750">
        <f>Orders[[#This Row],[shippedDate]]-Orders[[#This Row],[orderDate]]</f>
        <v>8</v>
      </c>
      <c r="Q750">
        <f>Orders[[#This Row],[requiredDate]]-Orders[[#This Row],[shippedDate]]</f>
        <v>20</v>
      </c>
    </row>
    <row r="751" spans="1:17" x14ac:dyDescent="0.2">
      <c r="A751">
        <v>10997</v>
      </c>
      <c r="B751" t="s">
        <v>151</v>
      </c>
      <c r="C751">
        <v>8</v>
      </c>
      <c r="D751" s="1">
        <v>35888</v>
      </c>
      <c r="E751" s="1">
        <v>35930</v>
      </c>
      <c r="F751" s="1">
        <v>35898</v>
      </c>
      <c r="G751">
        <v>2</v>
      </c>
      <c r="H751" s="2">
        <v>73.91</v>
      </c>
      <c r="I751" t="s">
        <v>152</v>
      </c>
      <c r="J751" t="s">
        <v>153</v>
      </c>
      <c r="K751" t="s">
        <v>154</v>
      </c>
      <c r="L751" t="s">
        <v>155</v>
      </c>
      <c r="M751">
        <v>3508</v>
      </c>
      <c r="N751" t="s">
        <v>62</v>
      </c>
      <c r="O751">
        <f>Orders[[#This Row],[requiredDate]]-Orders[[#This Row],[orderDate]]</f>
        <v>42</v>
      </c>
      <c r="P751">
        <f>Orders[[#This Row],[shippedDate]]-Orders[[#This Row],[orderDate]]</f>
        <v>10</v>
      </c>
      <c r="Q751">
        <f>Orders[[#This Row],[requiredDate]]-Orders[[#This Row],[shippedDate]]</f>
        <v>32</v>
      </c>
    </row>
    <row r="752" spans="1:17" x14ac:dyDescent="0.2">
      <c r="A752">
        <v>10998</v>
      </c>
      <c r="B752" t="s">
        <v>303</v>
      </c>
      <c r="C752">
        <v>8</v>
      </c>
      <c r="D752" s="1">
        <v>35888</v>
      </c>
      <c r="E752" s="1">
        <v>35902</v>
      </c>
      <c r="F752" s="1">
        <v>35902</v>
      </c>
      <c r="G752">
        <v>2</v>
      </c>
      <c r="H752" s="2">
        <v>20.309999999999999</v>
      </c>
      <c r="I752" t="s">
        <v>304</v>
      </c>
      <c r="J752" t="s">
        <v>305</v>
      </c>
      <c r="K752" t="s">
        <v>306</v>
      </c>
      <c r="L752" t="s">
        <v>18</v>
      </c>
      <c r="M752" t="s">
        <v>307</v>
      </c>
      <c r="N752" t="s">
        <v>308</v>
      </c>
      <c r="O752">
        <f>Orders[[#This Row],[requiredDate]]-Orders[[#This Row],[orderDate]]</f>
        <v>14</v>
      </c>
      <c r="P752">
        <f>Orders[[#This Row],[shippedDate]]-Orders[[#This Row],[orderDate]]</f>
        <v>14</v>
      </c>
      <c r="Q752">
        <f>Orders[[#This Row],[requiredDate]]-Orders[[#This Row],[shippedDate]]</f>
        <v>0</v>
      </c>
    </row>
    <row r="753" spans="1:17" x14ac:dyDescent="0.2">
      <c r="A753">
        <v>10999</v>
      </c>
      <c r="B753" t="s">
        <v>73</v>
      </c>
      <c r="C753">
        <v>6</v>
      </c>
      <c r="D753" s="1">
        <v>35888</v>
      </c>
      <c r="E753" s="1">
        <v>35916</v>
      </c>
      <c r="F753" s="1">
        <v>35895</v>
      </c>
      <c r="G753">
        <v>2</v>
      </c>
      <c r="H753" s="2">
        <v>96.35</v>
      </c>
      <c r="I753" t="s">
        <v>74</v>
      </c>
      <c r="J753" t="s">
        <v>75</v>
      </c>
      <c r="K753" t="s">
        <v>76</v>
      </c>
      <c r="L753" t="s">
        <v>18</v>
      </c>
      <c r="M753">
        <v>50739</v>
      </c>
      <c r="N753" t="s">
        <v>24</v>
      </c>
      <c r="O753">
        <f>Orders[[#This Row],[requiredDate]]-Orders[[#This Row],[orderDate]]</f>
        <v>28</v>
      </c>
      <c r="P753">
        <f>Orders[[#This Row],[shippedDate]]-Orders[[#This Row],[orderDate]]</f>
        <v>7</v>
      </c>
      <c r="Q753">
        <f>Orders[[#This Row],[requiredDate]]-Orders[[#This Row],[shippedDate]]</f>
        <v>21</v>
      </c>
    </row>
    <row r="754" spans="1:17" x14ac:dyDescent="0.2">
      <c r="A754">
        <v>11000</v>
      </c>
      <c r="B754" t="s">
        <v>81</v>
      </c>
      <c r="C754">
        <v>2</v>
      </c>
      <c r="D754" s="1">
        <v>35891</v>
      </c>
      <c r="E754" s="1">
        <v>35919</v>
      </c>
      <c r="F754" s="1">
        <v>35899</v>
      </c>
      <c r="G754">
        <v>3</v>
      </c>
      <c r="H754" s="2">
        <v>55.12</v>
      </c>
      <c r="I754" t="s">
        <v>82</v>
      </c>
      <c r="J754" t="s">
        <v>83</v>
      </c>
      <c r="K754" t="s">
        <v>84</v>
      </c>
      <c r="L754" t="s">
        <v>85</v>
      </c>
      <c r="M754">
        <v>87110</v>
      </c>
      <c r="N754" t="s">
        <v>86</v>
      </c>
      <c r="O754">
        <f>Orders[[#This Row],[requiredDate]]-Orders[[#This Row],[orderDate]]</f>
        <v>28</v>
      </c>
      <c r="P754">
        <f>Orders[[#This Row],[shippedDate]]-Orders[[#This Row],[orderDate]]</f>
        <v>8</v>
      </c>
      <c r="Q754">
        <f>Orders[[#This Row],[requiredDate]]-Orders[[#This Row],[shippedDate]]</f>
        <v>20</v>
      </c>
    </row>
    <row r="755" spans="1:17" x14ac:dyDescent="0.2">
      <c r="A755">
        <v>11001</v>
      </c>
      <c r="B755" t="s">
        <v>87</v>
      </c>
      <c r="C755">
        <v>2</v>
      </c>
      <c r="D755" s="1">
        <v>35891</v>
      </c>
      <c r="E755" s="1">
        <v>35919</v>
      </c>
      <c r="F755" s="1">
        <v>35899</v>
      </c>
      <c r="G755">
        <v>2</v>
      </c>
      <c r="H755" s="2">
        <v>197.3</v>
      </c>
      <c r="I755" t="s">
        <v>88</v>
      </c>
      <c r="J755" t="s">
        <v>89</v>
      </c>
      <c r="K755" t="s">
        <v>90</v>
      </c>
      <c r="L755" t="s">
        <v>18</v>
      </c>
      <c r="M755" t="s">
        <v>91</v>
      </c>
      <c r="N755" t="s">
        <v>92</v>
      </c>
      <c r="O755">
        <f>Orders[[#This Row],[requiredDate]]-Orders[[#This Row],[orderDate]]</f>
        <v>28</v>
      </c>
      <c r="P755">
        <f>Orders[[#This Row],[shippedDate]]-Orders[[#This Row],[orderDate]]</f>
        <v>8</v>
      </c>
      <c r="Q755">
        <f>Orders[[#This Row],[requiredDate]]-Orders[[#This Row],[shippedDate]]</f>
        <v>20</v>
      </c>
    </row>
    <row r="756" spans="1:17" x14ac:dyDescent="0.2">
      <c r="A756">
        <v>11002</v>
      </c>
      <c r="B756" t="s">
        <v>226</v>
      </c>
      <c r="C756">
        <v>4</v>
      </c>
      <c r="D756" s="1">
        <v>35891</v>
      </c>
      <c r="E756" s="1">
        <v>35919</v>
      </c>
      <c r="F756" s="1">
        <v>35901</v>
      </c>
      <c r="G756">
        <v>1</v>
      </c>
      <c r="H756" s="2">
        <v>141.16</v>
      </c>
      <c r="I756" t="s">
        <v>227</v>
      </c>
      <c r="J756" t="s">
        <v>228</v>
      </c>
      <c r="K756" t="s">
        <v>229</v>
      </c>
      <c r="L756" t="s">
        <v>230</v>
      </c>
      <c r="M756">
        <v>83720</v>
      </c>
      <c r="N756" t="s">
        <v>86</v>
      </c>
      <c r="O756">
        <f>Orders[[#This Row],[requiredDate]]-Orders[[#This Row],[orderDate]]</f>
        <v>28</v>
      </c>
      <c r="P756">
        <f>Orders[[#This Row],[shippedDate]]-Orders[[#This Row],[orderDate]]</f>
        <v>10</v>
      </c>
      <c r="Q756">
        <f>Orders[[#This Row],[requiredDate]]-Orders[[#This Row],[shippedDate]]</f>
        <v>18</v>
      </c>
    </row>
    <row r="757" spans="1:17" x14ac:dyDescent="0.2">
      <c r="A757">
        <v>11003</v>
      </c>
      <c r="B757" t="s">
        <v>396</v>
      </c>
      <c r="C757">
        <v>3</v>
      </c>
      <c r="D757" s="1">
        <v>35891</v>
      </c>
      <c r="E757" s="1">
        <v>35919</v>
      </c>
      <c r="F757" s="1">
        <v>35893</v>
      </c>
      <c r="G757">
        <v>3</v>
      </c>
      <c r="H757" s="2">
        <v>14.91</v>
      </c>
      <c r="I757" t="s">
        <v>397</v>
      </c>
      <c r="J757" t="s">
        <v>398</v>
      </c>
      <c r="K757" t="s">
        <v>399</v>
      </c>
      <c r="L757" t="s">
        <v>400</v>
      </c>
      <c r="M757">
        <v>59801</v>
      </c>
      <c r="N757" t="s">
        <v>86</v>
      </c>
      <c r="O757">
        <f>Orders[[#This Row],[requiredDate]]-Orders[[#This Row],[orderDate]]</f>
        <v>28</v>
      </c>
      <c r="P757">
        <f>Orders[[#This Row],[shippedDate]]-Orders[[#This Row],[orderDate]]</f>
        <v>2</v>
      </c>
      <c r="Q757">
        <f>Orders[[#This Row],[requiredDate]]-Orders[[#This Row],[shippedDate]]</f>
        <v>26</v>
      </c>
    </row>
    <row r="758" spans="1:17" x14ac:dyDescent="0.2">
      <c r="A758">
        <v>11004</v>
      </c>
      <c r="B758" t="s">
        <v>378</v>
      </c>
      <c r="C758">
        <v>3</v>
      </c>
      <c r="D758" s="1">
        <v>35892</v>
      </c>
      <c r="E758" s="1">
        <v>35920</v>
      </c>
      <c r="F758" s="1">
        <v>35905</v>
      </c>
      <c r="G758">
        <v>1</v>
      </c>
      <c r="H758" s="2">
        <v>44.84</v>
      </c>
      <c r="I758" t="s">
        <v>379</v>
      </c>
      <c r="J758" t="s">
        <v>380</v>
      </c>
      <c r="K758" t="s">
        <v>381</v>
      </c>
      <c r="L758" t="s">
        <v>18</v>
      </c>
      <c r="M758" t="s">
        <v>382</v>
      </c>
      <c r="N758" t="s">
        <v>41</v>
      </c>
      <c r="O758">
        <f>Orders[[#This Row],[requiredDate]]-Orders[[#This Row],[orderDate]]</f>
        <v>28</v>
      </c>
      <c r="P758">
        <f>Orders[[#This Row],[shippedDate]]-Orders[[#This Row],[orderDate]]</f>
        <v>13</v>
      </c>
      <c r="Q758">
        <f>Orders[[#This Row],[requiredDate]]-Orders[[#This Row],[shippedDate]]</f>
        <v>15</v>
      </c>
    </row>
    <row r="759" spans="1:17" x14ac:dyDescent="0.2">
      <c r="A759">
        <v>11005</v>
      </c>
      <c r="B759" t="s">
        <v>392</v>
      </c>
      <c r="C759">
        <v>2</v>
      </c>
      <c r="D759" s="1">
        <v>35892</v>
      </c>
      <c r="E759" s="1">
        <v>35920</v>
      </c>
      <c r="F759" s="1">
        <v>35895</v>
      </c>
      <c r="G759">
        <v>1</v>
      </c>
      <c r="H759" s="2">
        <v>0.75</v>
      </c>
      <c r="I759" t="s">
        <v>393</v>
      </c>
      <c r="J759" t="s">
        <v>394</v>
      </c>
      <c r="K759" t="s">
        <v>395</v>
      </c>
      <c r="L759" t="s">
        <v>18</v>
      </c>
      <c r="M759">
        <v>21240</v>
      </c>
      <c r="N759" t="s">
        <v>101</v>
      </c>
      <c r="O759">
        <f>Orders[[#This Row],[requiredDate]]-Orders[[#This Row],[orderDate]]</f>
        <v>28</v>
      </c>
      <c r="P759">
        <f>Orders[[#This Row],[shippedDate]]-Orders[[#This Row],[orderDate]]</f>
        <v>3</v>
      </c>
      <c r="Q759">
        <f>Orders[[#This Row],[requiredDate]]-Orders[[#This Row],[shippedDate]]</f>
        <v>25</v>
      </c>
    </row>
    <row r="760" spans="1:17" x14ac:dyDescent="0.2">
      <c r="A760">
        <v>11006</v>
      </c>
      <c r="B760" t="s">
        <v>374</v>
      </c>
      <c r="C760">
        <v>3</v>
      </c>
      <c r="D760" s="1">
        <v>35892</v>
      </c>
      <c r="E760" s="1">
        <v>35920</v>
      </c>
      <c r="F760" s="1">
        <v>35900</v>
      </c>
      <c r="G760">
        <v>2</v>
      </c>
      <c r="H760" s="2">
        <v>25.19</v>
      </c>
      <c r="I760" t="s">
        <v>375</v>
      </c>
      <c r="J760" t="s">
        <v>376</v>
      </c>
      <c r="K760" t="s">
        <v>377</v>
      </c>
      <c r="L760" t="s">
        <v>202</v>
      </c>
      <c r="M760">
        <v>97403</v>
      </c>
      <c r="N760" t="s">
        <v>86</v>
      </c>
      <c r="O760">
        <f>Orders[[#This Row],[requiredDate]]-Orders[[#This Row],[orderDate]]</f>
        <v>28</v>
      </c>
      <c r="P760">
        <f>Orders[[#This Row],[shippedDate]]-Orders[[#This Row],[orderDate]]</f>
        <v>8</v>
      </c>
      <c r="Q760">
        <f>Orders[[#This Row],[requiredDate]]-Orders[[#This Row],[shippedDate]]</f>
        <v>20</v>
      </c>
    </row>
    <row r="761" spans="1:17" x14ac:dyDescent="0.2">
      <c r="A761">
        <v>11007</v>
      </c>
      <c r="B761" t="s">
        <v>250</v>
      </c>
      <c r="C761">
        <v>8</v>
      </c>
      <c r="D761" s="1">
        <v>35893</v>
      </c>
      <c r="E761" s="1">
        <v>35921</v>
      </c>
      <c r="F761" s="1">
        <v>35898</v>
      </c>
      <c r="G761">
        <v>2</v>
      </c>
      <c r="H761" s="2">
        <v>202.24</v>
      </c>
      <c r="I761" t="s">
        <v>251</v>
      </c>
      <c r="J761" t="s">
        <v>252</v>
      </c>
      <c r="K761" t="s">
        <v>237</v>
      </c>
      <c r="L761" t="s">
        <v>18</v>
      </c>
      <c r="M761">
        <v>1756</v>
      </c>
      <c r="N761" t="s">
        <v>238</v>
      </c>
      <c r="O761">
        <f>Orders[[#This Row],[requiredDate]]-Orders[[#This Row],[orderDate]]</f>
        <v>28</v>
      </c>
      <c r="P761">
        <f>Orders[[#This Row],[shippedDate]]-Orders[[#This Row],[orderDate]]</f>
        <v>5</v>
      </c>
      <c r="Q761">
        <f>Orders[[#This Row],[requiredDate]]-Orders[[#This Row],[shippedDate]]</f>
        <v>23</v>
      </c>
    </row>
    <row r="762" spans="1:17" x14ac:dyDescent="0.2">
      <c r="A762">
        <v>11008</v>
      </c>
      <c r="B762" t="s">
        <v>63</v>
      </c>
      <c r="C762">
        <v>7</v>
      </c>
      <c r="D762" s="1">
        <v>35893</v>
      </c>
      <c r="E762" s="1">
        <v>35921</v>
      </c>
      <c r="F762" t="s">
        <v>18</v>
      </c>
      <c r="G762">
        <v>3</v>
      </c>
      <c r="H762" s="2">
        <v>79.459999999999994</v>
      </c>
      <c r="I762" t="s">
        <v>64</v>
      </c>
      <c r="J762" t="s">
        <v>65</v>
      </c>
      <c r="K762" t="s">
        <v>66</v>
      </c>
      <c r="L762" t="s">
        <v>18</v>
      </c>
      <c r="M762">
        <v>8010</v>
      </c>
      <c r="N762" t="s">
        <v>67</v>
      </c>
      <c r="O762">
        <f>Orders[[#This Row],[requiredDate]]-Orders[[#This Row],[orderDate]]</f>
        <v>28</v>
      </c>
      <c r="P762" t="e">
        <f>Orders[[#This Row],[shippedDate]]-Orders[[#This Row],[orderDate]]</f>
        <v>#VALUE!</v>
      </c>
      <c r="Q762" t="e">
        <f>Orders[[#This Row],[requiredDate]]-Orders[[#This Row],[shippedDate]]</f>
        <v>#VALUE!</v>
      </c>
    </row>
    <row r="763" spans="1:17" x14ac:dyDescent="0.2">
      <c r="A763">
        <v>11009</v>
      </c>
      <c r="B763" t="s">
        <v>189</v>
      </c>
      <c r="C763">
        <v>2</v>
      </c>
      <c r="D763" s="1">
        <v>35893</v>
      </c>
      <c r="E763" s="1">
        <v>35921</v>
      </c>
      <c r="F763" s="1">
        <v>35895</v>
      </c>
      <c r="G763">
        <v>1</v>
      </c>
      <c r="H763" s="2">
        <v>59.11</v>
      </c>
      <c r="I763" t="s">
        <v>190</v>
      </c>
      <c r="J763" t="s">
        <v>191</v>
      </c>
      <c r="K763" t="s">
        <v>192</v>
      </c>
      <c r="L763" t="s">
        <v>18</v>
      </c>
      <c r="M763">
        <v>41101</v>
      </c>
      <c r="N763" t="s">
        <v>150</v>
      </c>
      <c r="O763">
        <f>Orders[[#This Row],[requiredDate]]-Orders[[#This Row],[orderDate]]</f>
        <v>28</v>
      </c>
      <c r="P763">
        <f>Orders[[#This Row],[shippedDate]]-Orders[[#This Row],[orderDate]]</f>
        <v>2</v>
      </c>
      <c r="Q763">
        <f>Orders[[#This Row],[requiredDate]]-Orders[[#This Row],[shippedDate]]</f>
        <v>26</v>
      </c>
    </row>
    <row r="764" spans="1:17" x14ac:dyDescent="0.2">
      <c r="A764">
        <v>11010</v>
      </c>
      <c r="B764" t="s">
        <v>160</v>
      </c>
      <c r="C764">
        <v>2</v>
      </c>
      <c r="D764" s="1">
        <v>35894</v>
      </c>
      <c r="E764" s="1">
        <v>35922</v>
      </c>
      <c r="F764" s="1">
        <v>35906</v>
      </c>
      <c r="G764">
        <v>2</v>
      </c>
      <c r="H764" s="2">
        <v>28.71</v>
      </c>
      <c r="I764" t="s">
        <v>161</v>
      </c>
      <c r="J764" t="s">
        <v>162</v>
      </c>
      <c r="K764" t="s">
        <v>163</v>
      </c>
      <c r="L764" t="s">
        <v>18</v>
      </c>
      <c r="M764">
        <v>42100</v>
      </c>
      <c r="N764" t="s">
        <v>129</v>
      </c>
      <c r="O764">
        <f>Orders[[#This Row],[requiredDate]]-Orders[[#This Row],[orderDate]]</f>
        <v>28</v>
      </c>
      <c r="P764">
        <f>Orders[[#This Row],[shippedDate]]-Orders[[#This Row],[orderDate]]</f>
        <v>12</v>
      </c>
      <c r="Q764">
        <f>Orders[[#This Row],[requiredDate]]-Orders[[#This Row],[shippedDate]]</f>
        <v>16</v>
      </c>
    </row>
    <row r="765" spans="1:17" x14ac:dyDescent="0.2">
      <c r="A765">
        <v>11011</v>
      </c>
      <c r="B765" t="s">
        <v>401</v>
      </c>
      <c r="C765">
        <v>3</v>
      </c>
      <c r="D765" s="1">
        <v>35894</v>
      </c>
      <c r="E765" s="1">
        <v>35922</v>
      </c>
      <c r="F765" s="1">
        <v>35898</v>
      </c>
      <c r="G765">
        <v>1</v>
      </c>
      <c r="H765" s="2">
        <v>1.21</v>
      </c>
      <c r="I765" t="s">
        <v>408</v>
      </c>
      <c r="J765" t="s">
        <v>403</v>
      </c>
      <c r="K765" t="s">
        <v>404</v>
      </c>
      <c r="L765" t="s">
        <v>18</v>
      </c>
      <c r="M765">
        <v>12209</v>
      </c>
      <c r="N765" t="s">
        <v>24</v>
      </c>
      <c r="O765">
        <f>Orders[[#This Row],[requiredDate]]-Orders[[#This Row],[orderDate]]</f>
        <v>28</v>
      </c>
      <c r="P765">
        <f>Orders[[#This Row],[shippedDate]]-Orders[[#This Row],[orderDate]]</f>
        <v>4</v>
      </c>
      <c r="Q765">
        <f>Orders[[#This Row],[requiredDate]]-Orders[[#This Row],[shippedDate]]</f>
        <v>24</v>
      </c>
    </row>
    <row r="766" spans="1:17" x14ac:dyDescent="0.2">
      <c r="A766">
        <v>11012</v>
      </c>
      <c r="B766" t="s">
        <v>102</v>
      </c>
      <c r="C766">
        <v>1</v>
      </c>
      <c r="D766" s="1">
        <v>35894</v>
      </c>
      <c r="E766" s="1">
        <v>35908</v>
      </c>
      <c r="F766" s="1">
        <v>35902</v>
      </c>
      <c r="G766">
        <v>3</v>
      </c>
      <c r="H766" s="2">
        <v>242.95</v>
      </c>
      <c r="I766" t="s">
        <v>103</v>
      </c>
      <c r="J766" t="s">
        <v>104</v>
      </c>
      <c r="K766" t="s">
        <v>105</v>
      </c>
      <c r="L766" t="s">
        <v>18</v>
      </c>
      <c r="M766">
        <v>80805</v>
      </c>
      <c r="N766" t="s">
        <v>24</v>
      </c>
      <c r="O766">
        <f>Orders[[#This Row],[requiredDate]]-Orders[[#This Row],[orderDate]]</f>
        <v>14</v>
      </c>
      <c r="P766">
        <f>Orders[[#This Row],[shippedDate]]-Orders[[#This Row],[orderDate]]</f>
        <v>8</v>
      </c>
      <c r="Q766">
        <f>Orders[[#This Row],[requiredDate]]-Orders[[#This Row],[shippedDate]]</f>
        <v>6</v>
      </c>
    </row>
    <row r="767" spans="1:17" x14ac:dyDescent="0.2">
      <c r="A767">
        <v>11013</v>
      </c>
      <c r="B767" t="s">
        <v>146</v>
      </c>
      <c r="C767">
        <v>2</v>
      </c>
      <c r="D767" s="1">
        <v>35894</v>
      </c>
      <c r="E767" s="1">
        <v>35922</v>
      </c>
      <c r="F767" s="1">
        <v>35895</v>
      </c>
      <c r="G767">
        <v>1</v>
      </c>
      <c r="H767" s="2">
        <v>32.99</v>
      </c>
      <c r="I767" t="s">
        <v>147</v>
      </c>
      <c r="J767" t="s">
        <v>148</v>
      </c>
      <c r="K767" t="s">
        <v>149</v>
      </c>
      <c r="L767" t="s">
        <v>18</v>
      </c>
      <c r="M767">
        <v>28001</v>
      </c>
      <c r="N767" t="s">
        <v>150</v>
      </c>
      <c r="O767">
        <f>Orders[[#This Row],[requiredDate]]-Orders[[#This Row],[orderDate]]</f>
        <v>28</v>
      </c>
      <c r="P767">
        <f>Orders[[#This Row],[shippedDate]]-Orders[[#This Row],[orderDate]]</f>
        <v>1</v>
      </c>
      <c r="Q767">
        <f>Orders[[#This Row],[requiredDate]]-Orders[[#This Row],[shippedDate]]</f>
        <v>27</v>
      </c>
    </row>
    <row r="768" spans="1:17" x14ac:dyDescent="0.2">
      <c r="A768">
        <v>11014</v>
      </c>
      <c r="B768" t="s">
        <v>324</v>
      </c>
      <c r="C768">
        <v>2</v>
      </c>
      <c r="D768" s="1">
        <v>35895</v>
      </c>
      <c r="E768" s="1">
        <v>35923</v>
      </c>
      <c r="F768" s="1">
        <v>35900</v>
      </c>
      <c r="G768">
        <v>3</v>
      </c>
      <c r="H768" s="2">
        <v>23.6</v>
      </c>
      <c r="I768" t="s">
        <v>325</v>
      </c>
      <c r="J768" t="s">
        <v>326</v>
      </c>
      <c r="K768" t="s">
        <v>327</v>
      </c>
      <c r="L768" t="s">
        <v>328</v>
      </c>
      <c r="M768">
        <v>4980</v>
      </c>
      <c r="N768" t="s">
        <v>62</v>
      </c>
      <c r="O768">
        <f>Orders[[#This Row],[requiredDate]]-Orders[[#This Row],[orderDate]]</f>
        <v>28</v>
      </c>
      <c r="P768">
        <f>Orders[[#This Row],[shippedDate]]-Orders[[#This Row],[orderDate]]</f>
        <v>5</v>
      </c>
      <c r="Q768">
        <f>Orders[[#This Row],[requiredDate]]-Orders[[#This Row],[shippedDate]]</f>
        <v>23</v>
      </c>
    </row>
    <row r="769" spans="1:17" x14ac:dyDescent="0.2">
      <c r="A769">
        <v>11015</v>
      </c>
      <c r="B769" t="s">
        <v>313</v>
      </c>
      <c r="C769">
        <v>2</v>
      </c>
      <c r="D769" s="1">
        <v>35895</v>
      </c>
      <c r="E769" s="1">
        <v>35909</v>
      </c>
      <c r="F769" s="1">
        <v>35905</v>
      </c>
      <c r="G769">
        <v>2</v>
      </c>
      <c r="H769" s="2">
        <v>4.62</v>
      </c>
      <c r="I769" t="s">
        <v>314</v>
      </c>
      <c r="J769" t="s">
        <v>315</v>
      </c>
      <c r="K769" t="s">
        <v>316</v>
      </c>
      <c r="L769" t="s">
        <v>18</v>
      </c>
      <c r="M769">
        <v>4110</v>
      </c>
      <c r="N769" t="s">
        <v>317</v>
      </c>
      <c r="O769">
        <f>Orders[[#This Row],[requiredDate]]-Orders[[#This Row],[orderDate]]</f>
        <v>14</v>
      </c>
      <c r="P769">
        <f>Orders[[#This Row],[shippedDate]]-Orders[[#This Row],[orderDate]]</f>
        <v>10</v>
      </c>
      <c r="Q769">
        <f>Orders[[#This Row],[requiredDate]]-Orders[[#This Row],[shippedDate]]</f>
        <v>4</v>
      </c>
    </row>
    <row r="770" spans="1:17" x14ac:dyDescent="0.2">
      <c r="A770">
        <v>11016</v>
      </c>
      <c r="B770" t="s">
        <v>270</v>
      </c>
      <c r="C770">
        <v>9</v>
      </c>
      <c r="D770" s="1">
        <v>35895</v>
      </c>
      <c r="E770" s="1">
        <v>35923</v>
      </c>
      <c r="F770" s="1">
        <v>35898</v>
      </c>
      <c r="G770">
        <v>2</v>
      </c>
      <c r="H770" s="2">
        <v>33.799999999999997</v>
      </c>
      <c r="I770" t="s">
        <v>271</v>
      </c>
      <c r="J770" t="s">
        <v>272</v>
      </c>
      <c r="K770" t="s">
        <v>273</v>
      </c>
      <c r="L770" t="s">
        <v>274</v>
      </c>
      <c r="M770" t="s">
        <v>275</v>
      </c>
      <c r="N770" t="s">
        <v>169</v>
      </c>
      <c r="O770">
        <f>Orders[[#This Row],[requiredDate]]-Orders[[#This Row],[orderDate]]</f>
        <v>28</v>
      </c>
      <c r="P770">
        <f>Orders[[#This Row],[shippedDate]]-Orders[[#This Row],[orderDate]]</f>
        <v>3</v>
      </c>
      <c r="Q770">
        <f>Orders[[#This Row],[requiredDate]]-Orders[[#This Row],[shippedDate]]</f>
        <v>25</v>
      </c>
    </row>
    <row r="771" spans="1:17" x14ac:dyDescent="0.2">
      <c r="A771">
        <v>11017</v>
      </c>
      <c r="B771" t="s">
        <v>63</v>
      </c>
      <c r="C771">
        <v>9</v>
      </c>
      <c r="D771" s="1">
        <v>35898</v>
      </c>
      <c r="E771" s="1">
        <v>35926</v>
      </c>
      <c r="F771" s="1">
        <v>35905</v>
      </c>
      <c r="G771">
        <v>2</v>
      </c>
      <c r="H771" s="2">
        <v>754.26</v>
      </c>
      <c r="I771" t="s">
        <v>64</v>
      </c>
      <c r="J771" t="s">
        <v>65</v>
      </c>
      <c r="K771" t="s">
        <v>66</v>
      </c>
      <c r="L771" t="s">
        <v>18</v>
      </c>
      <c r="M771">
        <v>8010</v>
      </c>
      <c r="N771" t="s">
        <v>67</v>
      </c>
      <c r="O771">
        <f>Orders[[#This Row],[requiredDate]]-Orders[[#This Row],[orderDate]]</f>
        <v>28</v>
      </c>
      <c r="P771">
        <f>Orders[[#This Row],[shippedDate]]-Orders[[#This Row],[orderDate]]</f>
        <v>7</v>
      </c>
      <c r="Q771">
        <f>Orders[[#This Row],[requiredDate]]-Orders[[#This Row],[shippedDate]]</f>
        <v>21</v>
      </c>
    </row>
    <row r="772" spans="1:17" x14ac:dyDescent="0.2">
      <c r="A772">
        <v>11018</v>
      </c>
      <c r="B772" t="s">
        <v>198</v>
      </c>
      <c r="C772">
        <v>4</v>
      </c>
      <c r="D772" s="1">
        <v>35898</v>
      </c>
      <c r="E772" s="1">
        <v>35926</v>
      </c>
      <c r="F772" s="1">
        <v>35901</v>
      </c>
      <c r="G772">
        <v>2</v>
      </c>
      <c r="H772" s="2">
        <v>11.65</v>
      </c>
      <c r="I772" t="s">
        <v>199</v>
      </c>
      <c r="J772" t="s">
        <v>200</v>
      </c>
      <c r="K772" t="s">
        <v>201</v>
      </c>
      <c r="L772" t="s">
        <v>202</v>
      </c>
      <c r="M772">
        <v>97219</v>
      </c>
      <c r="N772" t="s">
        <v>86</v>
      </c>
      <c r="O772">
        <f>Orders[[#This Row],[requiredDate]]-Orders[[#This Row],[orderDate]]</f>
        <v>28</v>
      </c>
      <c r="P772">
        <f>Orders[[#This Row],[shippedDate]]-Orders[[#This Row],[orderDate]]</f>
        <v>3</v>
      </c>
      <c r="Q772">
        <f>Orders[[#This Row],[requiredDate]]-Orders[[#This Row],[shippedDate]]</f>
        <v>25</v>
      </c>
    </row>
    <row r="773" spans="1:17" x14ac:dyDescent="0.2">
      <c r="A773">
        <v>11019</v>
      </c>
      <c r="B773" t="s">
        <v>351</v>
      </c>
      <c r="C773">
        <v>6</v>
      </c>
      <c r="D773" s="1">
        <v>35898</v>
      </c>
      <c r="E773" s="1">
        <v>35926</v>
      </c>
      <c r="F773" t="s">
        <v>18</v>
      </c>
      <c r="G773">
        <v>3</v>
      </c>
      <c r="H773" s="2">
        <v>3.17</v>
      </c>
      <c r="I773" t="s">
        <v>352</v>
      </c>
      <c r="J773" t="s">
        <v>353</v>
      </c>
      <c r="K773" t="s">
        <v>336</v>
      </c>
      <c r="L773" t="s">
        <v>18</v>
      </c>
      <c r="M773">
        <v>1010</v>
      </c>
      <c r="N773" t="s">
        <v>337</v>
      </c>
      <c r="O773">
        <f>Orders[[#This Row],[requiredDate]]-Orders[[#This Row],[orderDate]]</f>
        <v>28</v>
      </c>
      <c r="P773" t="e">
        <f>Orders[[#This Row],[shippedDate]]-Orders[[#This Row],[orderDate]]</f>
        <v>#VALUE!</v>
      </c>
      <c r="Q773" t="e">
        <f>Orders[[#This Row],[requiredDate]]-Orders[[#This Row],[shippedDate]]</f>
        <v>#VALUE!</v>
      </c>
    </row>
    <row r="774" spans="1:17" x14ac:dyDescent="0.2">
      <c r="A774">
        <v>11020</v>
      </c>
      <c r="B774" t="s">
        <v>73</v>
      </c>
      <c r="C774">
        <v>2</v>
      </c>
      <c r="D774" s="1">
        <v>35899</v>
      </c>
      <c r="E774" s="1">
        <v>35927</v>
      </c>
      <c r="F774" s="1">
        <v>35901</v>
      </c>
      <c r="G774">
        <v>2</v>
      </c>
      <c r="H774" s="2">
        <v>43.3</v>
      </c>
      <c r="I774" t="s">
        <v>74</v>
      </c>
      <c r="J774" t="s">
        <v>75</v>
      </c>
      <c r="K774" t="s">
        <v>76</v>
      </c>
      <c r="L774" t="s">
        <v>18</v>
      </c>
      <c r="M774">
        <v>50739</v>
      </c>
      <c r="N774" t="s">
        <v>24</v>
      </c>
      <c r="O774">
        <f>Orders[[#This Row],[requiredDate]]-Orders[[#This Row],[orderDate]]</f>
        <v>28</v>
      </c>
      <c r="P774">
        <f>Orders[[#This Row],[shippedDate]]-Orders[[#This Row],[orderDate]]</f>
        <v>2</v>
      </c>
      <c r="Q774">
        <f>Orders[[#This Row],[requiredDate]]-Orders[[#This Row],[shippedDate]]</f>
        <v>26</v>
      </c>
    </row>
    <row r="775" spans="1:17" x14ac:dyDescent="0.2">
      <c r="A775">
        <v>11021</v>
      </c>
      <c r="B775" t="s">
        <v>121</v>
      </c>
      <c r="C775">
        <v>3</v>
      </c>
      <c r="D775" s="1">
        <v>35899</v>
      </c>
      <c r="E775" s="1">
        <v>35927</v>
      </c>
      <c r="F775" s="1">
        <v>35906</v>
      </c>
      <c r="G775">
        <v>1</v>
      </c>
      <c r="H775" s="2">
        <v>297.18</v>
      </c>
      <c r="I775" t="s">
        <v>122</v>
      </c>
      <c r="J775" t="s">
        <v>123</v>
      </c>
      <c r="K775" t="s">
        <v>124</v>
      </c>
      <c r="L775" t="s">
        <v>18</v>
      </c>
      <c r="M775">
        <v>1307</v>
      </c>
      <c r="N775" t="s">
        <v>24</v>
      </c>
      <c r="O775">
        <f>Orders[[#This Row],[requiredDate]]-Orders[[#This Row],[orderDate]]</f>
        <v>28</v>
      </c>
      <c r="P775">
        <f>Orders[[#This Row],[shippedDate]]-Orders[[#This Row],[orderDate]]</f>
        <v>7</v>
      </c>
      <c r="Q775">
        <f>Orders[[#This Row],[requiredDate]]-Orders[[#This Row],[shippedDate]]</f>
        <v>21</v>
      </c>
    </row>
    <row r="776" spans="1:17" x14ac:dyDescent="0.2">
      <c r="A776">
        <v>11022</v>
      </c>
      <c r="B776" t="s">
        <v>25</v>
      </c>
      <c r="C776">
        <v>9</v>
      </c>
      <c r="D776" s="1">
        <v>35899</v>
      </c>
      <c r="E776" s="1">
        <v>35927</v>
      </c>
      <c r="F776" s="1">
        <v>35919</v>
      </c>
      <c r="G776">
        <v>2</v>
      </c>
      <c r="H776" s="2">
        <v>6.27</v>
      </c>
      <c r="I776" t="s">
        <v>26</v>
      </c>
      <c r="J776" t="s">
        <v>27</v>
      </c>
      <c r="K776" t="s">
        <v>28</v>
      </c>
      <c r="L776" t="s">
        <v>29</v>
      </c>
      <c r="M776" t="s">
        <v>30</v>
      </c>
      <c r="N776" t="s">
        <v>31</v>
      </c>
      <c r="O776">
        <f>Orders[[#This Row],[requiredDate]]-Orders[[#This Row],[orderDate]]</f>
        <v>28</v>
      </c>
      <c r="P776">
        <f>Orders[[#This Row],[shippedDate]]-Orders[[#This Row],[orderDate]]</f>
        <v>20</v>
      </c>
      <c r="Q776">
        <f>Orders[[#This Row],[requiredDate]]-Orders[[#This Row],[shippedDate]]</f>
        <v>8</v>
      </c>
    </row>
    <row r="777" spans="1:17" x14ac:dyDescent="0.2">
      <c r="A777">
        <v>11023</v>
      </c>
      <c r="B777" t="s">
        <v>164</v>
      </c>
      <c r="C777">
        <v>1</v>
      </c>
      <c r="D777" s="1">
        <v>35899</v>
      </c>
      <c r="E777" s="1">
        <v>35913</v>
      </c>
      <c r="F777" s="1">
        <v>35909</v>
      </c>
      <c r="G777">
        <v>2</v>
      </c>
      <c r="H777" s="2">
        <v>123.83</v>
      </c>
      <c r="I777" t="s">
        <v>165</v>
      </c>
      <c r="J777" t="s">
        <v>166</v>
      </c>
      <c r="K777" t="s">
        <v>167</v>
      </c>
      <c r="L777" t="s">
        <v>18</v>
      </c>
      <c r="M777" t="s">
        <v>168</v>
      </c>
      <c r="N777" t="s">
        <v>169</v>
      </c>
      <c r="O777">
        <f>Orders[[#This Row],[requiredDate]]-Orders[[#This Row],[orderDate]]</f>
        <v>14</v>
      </c>
      <c r="P777">
        <f>Orders[[#This Row],[shippedDate]]-Orders[[#This Row],[orderDate]]</f>
        <v>10</v>
      </c>
      <c r="Q777">
        <f>Orders[[#This Row],[requiredDate]]-Orders[[#This Row],[shippedDate]]</f>
        <v>4</v>
      </c>
    </row>
    <row r="778" spans="1:17" x14ac:dyDescent="0.2">
      <c r="A778">
        <v>11024</v>
      </c>
      <c r="B778" t="s">
        <v>284</v>
      </c>
      <c r="C778">
        <v>4</v>
      </c>
      <c r="D778" s="1">
        <v>35900</v>
      </c>
      <c r="E778" s="1">
        <v>35928</v>
      </c>
      <c r="F778" s="1">
        <v>35905</v>
      </c>
      <c r="G778">
        <v>1</v>
      </c>
      <c r="H778" s="2">
        <v>74.36</v>
      </c>
      <c r="I778" t="s">
        <v>285</v>
      </c>
      <c r="J778" t="s">
        <v>286</v>
      </c>
      <c r="K778" t="s">
        <v>167</v>
      </c>
      <c r="L778" t="s">
        <v>18</v>
      </c>
      <c r="M778" t="s">
        <v>287</v>
      </c>
      <c r="N778" t="s">
        <v>169</v>
      </c>
      <c r="O778">
        <f>Orders[[#This Row],[requiredDate]]-Orders[[#This Row],[orderDate]]</f>
        <v>28</v>
      </c>
      <c r="P778">
        <f>Orders[[#This Row],[shippedDate]]-Orders[[#This Row],[orderDate]]</f>
        <v>5</v>
      </c>
      <c r="Q778">
        <f>Orders[[#This Row],[requiredDate]]-Orders[[#This Row],[shippedDate]]</f>
        <v>23</v>
      </c>
    </row>
    <row r="779" spans="1:17" x14ac:dyDescent="0.2">
      <c r="A779">
        <v>11025</v>
      </c>
      <c r="B779" t="s">
        <v>97</v>
      </c>
      <c r="C779">
        <v>6</v>
      </c>
      <c r="D779" s="1">
        <v>35900</v>
      </c>
      <c r="E779" s="1">
        <v>35928</v>
      </c>
      <c r="F779" s="1">
        <v>35909</v>
      </c>
      <c r="G779">
        <v>3</v>
      </c>
      <c r="H779" s="2">
        <v>29.17</v>
      </c>
      <c r="I779" t="s">
        <v>98</v>
      </c>
      <c r="J779" t="s">
        <v>99</v>
      </c>
      <c r="K779" t="s">
        <v>100</v>
      </c>
      <c r="L779" t="s">
        <v>18</v>
      </c>
      <c r="M779">
        <v>90110</v>
      </c>
      <c r="N779" t="s">
        <v>101</v>
      </c>
      <c r="O779">
        <f>Orders[[#This Row],[requiredDate]]-Orders[[#This Row],[orderDate]]</f>
        <v>28</v>
      </c>
      <c r="P779">
        <f>Orders[[#This Row],[shippedDate]]-Orders[[#This Row],[orderDate]]</f>
        <v>9</v>
      </c>
      <c r="Q779">
        <f>Orders[[#This Row],[requiredDate]]-Orders[[#This Row],[shippedDate]]</f>
        <v>19</v>
      </c>
    </row>
    <row r="780" spans="1:17" x14ac:dyDescent="0.2">
      <c r="A780">
        <v>11026</v>
      </c>
      <c r="B780" t="s">
        <v>338</v>
      </c>
      <c r="C780">
        <v>4</v>
      </c>
      <c r="D780" s="1">
        <v>35900</v>
      </c>
      <c r="E780" s="1">
        <v>35928</v>
      </c>
      <c r="F780" s="1">
        <v>35913</v>
      </c>
      <c r="G780">
        <v>1</v>
      </c>
      <c r="H780" s="2">
        <v>47.09</v>
      </c>
      <c r="I780" t="s">
        <v>339</v>
      </c>
      <c r="J780" t="s">
        <v>340</v>
      </c>
      <c r="K780" t="s">
        <v>341</v>
      </c>
      <c r="L780" t="s">
        <v>18</v>
      </c>
      <c r="M780">
        <v>10100</v>
      </c>
      <c r="N780" t="s">
        <v>129</v>
      </c>
      <c r="O780">
        <f>Orders[[#This Row],[requiredDate]]-Orders[[#This Row],[orderDate]]</f>
        <v>28</v>
      </c>
      <c r="P780">
        <f>Orders[[#This Row],[shippedDate]]-Orders[[#This Row],[orderDate]]</f>
        <v>13</v>
      </c>
      <c r="Q780">
        <f>Orders[[#This Row],[requiredDate]]-Orders[[#This Row],[shippedDate]]</f>
        <v>15</v>
      </c>
    </row>
    <row r="781" spans="1:17" x14ac:dyDescent="0.2">
      <c r="A781">
        <v>11027</v>
      </c>
      <c r="B781" t="s">
        <v>318</v>
      </c>
      <c r="C781">
        <v>1</v>
      </c>
      <c r="D781" s="1">
        <v>35901</v>
      </c>
      <c r="E781" s="1">
        <v>35929</v>
      </c>
      <c r="F781" s="1">
        <v>35905</v>
      </c>
      <c r="G781">
        <v>1</v>
      </c>
      <c r="H781" s="2">
        <v>52.52</v>
      </c>
      <c r="I781" t="s">
        <v>319</v>
      </c>
      <c r="J781" t="s">
        <v>320</v>
      </c>
      <c r="K781" t="s">
        <v>321</v>
      </c>
      <c r="L781" t="s">
        <v>322</v>
      </c>
      <c r="M781" t="s">
        <v>323</v>
      </c>
      <c r="N781" t="s">
        <v>249</v>
      </c>
      <c r="O781">
        <f>Orders[[#This Row],[requiredDate]]-Orders[[#This Row],[orderDate]]</f>
        <v>28</v>
      </c>
      <c r="P781">
        <f>Orders[[#This Row],[shippedDate]]-Orders[[#This Row],[orderDate]]</f>
        <v>4</v>
      </c>
      <c r="Q781">
        <f>Orders[[#This Row],[requiredDate]]-Orders[[#This Row],[shippedDate]]</f>
        <v>24</v>
      </c>
    </row>
    <row r="782" spans="1:17" x14ac:dyDescent="0.2">
      <c r="A782">
        <v>11028</v>
      </c>
      <c r="B782" t="s">
        <v>222</v>
      </c>
      <c r="C782">
        <v>2</v>
      </c>
      <c r="D782" s="1">
        <v>35901</v>
      </c>
      <c r="E782" s="1">
        <v>35929</v>
      </c>
      <c r="F782" s="1">
        <v>35907</v>
      </c>
      <c r="G782">
        <v>1</v>
      </c>
      <c r="H782" s="2">
        <v>29.59</v>
      </c>
      <c r="I782" t="s">
        <v>223</v>
      </c>
      <c r="J782" t="s">
        <v>224</v>
      </c>
      <c r="K782" t="s">
        <v>225</v>
      </c>
      <c r="L782" t="s">
        <v>18</v>
      </c>
      <c r="M782">
        <v>14776</v>
      </c>
      <c r="N782" t="s">
        <v>24</v>
      </c>
      <c r="O782">
        <f>Orders[[#This Row],[requiredDate]]-Orders[[#This Row],[orderDate]]</f>
        <v>28</v>
      </c>
      <c r="P782">
        <f>Orders[[#This Row],[shippedDate]]-Orders[[#This Row],[orderDate]]</f>
        <v>6</v>
      </c>
      <c r="Q782">
        <f>Orders[[#This Row],[requiredDate]]-Orders[[#This Row],[shippedDate]]</f>
        <v>22</v>
      </c>
    </row>
    <row r="783" spans="1:17" x14ac:dyDescent="0.2">
      <c r="A783">
        <v>11029</v>
      </c>
      <c r="B783" t="s">
        <v>42</v>
      </c>
      <c r="C783">
        <v>4</v>
      </c>
      <c r="D783" s="1">
        <v>35901</v>
      </c>
      <c r="E783" s="1">
        <v>35929</v>
      </c>
      <c r="F783" s="1">
        <v>35912</v>
      </c>
      <c r="G783">
        <v>1</v>
      </c>
      <c r="H783" s="2">
        <v>47.84</v>
      </c>
      <c r="I783" t="s">
        <v>43</v>
      </c>
      <c r="J783" t="s">
        <v>44</v>
      </c>
      <c r="K783" t="s">
        <v>45</v>
      </c>
      <c r="L783" t="s">
        <v>18</v>
      </c>
      <c r="M783">
        <v>3012</v>
      </c>
      <c r="N783" t="s">
        <v>46</v>
      </c>
      <c r="O783">
        <f>Orders[[#This Row],[requiredDate]]-Orders[[#This Row],[orderDate]]</f>
        <v>28</v>
      </c>
      <c r="P783">
        <f>Orders[[#This Row],[shippedDate]]-Orders[[#This Row],[orderDate]]</f>
        <v>11</v>
      </c>
      <c r="Q783">
        <f>Orders[[#This Row],[requiredDate]]-Orders[[#This Row],[shippedDate]]</f>
        <v>17</v>
      </c>
    </row>
    <row r="784" spans="1:17" x14ac:dyDescent="0.2">
      <c r="A784">
        <v>11030</v>
      </c>
      <c r="B784" t="s">
        <v>226</v>
      </c>
      <c r="C784">
        <v>7</v>
      </c>
      <c r="D784" s="1">
        <v>35902</v>
      </c>
      <c r="E784" s="1">
        <v>35930</v>
      </c>
      <c r="F784" s="1">
        <v>35912</v>
      </c>
      <c r="G784">
        <v>2</v>
      </c>
      <c r="H784" s="2">
        <v>830.75</v>
      </c>
      <c r="I784" t="s">
        <v>227</v>
      </c>
      <c r="J784" t="s">
        <v>228</v>
      </c>
      <c r="K784" t="s">
        <v>229</v>
      </c>
      <c r="L784" t="s">
        <v>230</v>
      </c>
      <c r="M784">
        <v>83720</v>
      </c>
      <c r="N784" t="s">
        <v>86</v>
      </c>
      <c r="O784">
        <f>Orders[[#This Row],[requiredDate]]-Orders[[#This Row],[orderDate]]</f>
        <v>28</v>
      </c>
      <c r="P784">
        <f>Orders[[#This Row],[shippedDate]]-Orders[[#This Row],[orderDate]]</f>
        <v>10</v>
      </c>
      <c r="Q784">
        <f>Orders[[#This Row],[requiredDate]]-Orders[[#This Row],[shippedDate]]</f>
        <v>18</v>
      </c>
    </row>
    <row r="785" spans="1:17" x14ac:dyDescent="0.2">
      <c r="A785">
        <v>11031</v>
      </c>
      <c r="B785" t="s">
        <v>226</v>
      </c>
      <c r="C785">
        <v>6</v>
      </c>
      <c r="D785" s="1">
        <v>35902</v>
      </c>
      <c r="E785" s="1">
        <v>35930</v>
      </c>
      <c r="F785" s="1">
        <v>35909</v>
      </c>
      <c r="G785">
        <v>2</v>
      </c>
      <c r="H785" s="2">
        <v>227.22</v>
      </c>
      <c r="I785" t="s">
        <v>227</v>
      </c>
      <c r="J785" t="s">
        <v>228</v>
      </c>
      <c r="K785" t="s">
        <v>229</v>
      </c>
      <c r="L785" t="s">
        <v>230</v>
      </c>
      <c r="M785">
        <v>83720</v>
      </c>
      <c r="N785" t="s">
        <v>86</v>
      </c>
      <c r="O785">
        <f>Orders[[#This Row],[requiredDate]]-Orders[[#This Row],[orderDate]]</f>
        <v>28</v>
      </c>
      <c r="P785">
        <f>Orders[[#This Row],[shippedDate]]-Orders[[#This Row],[orderDate]]</f>
        <v>7</v>
      </c>
      <c r="Q785">
        <f>Orders[[#This Row],[requiredDate]]-Orders[[#This Row],[shippedDate]]</f>
        <v>21</v>
      </c>
    </row>
    <row r="786" spans="1:17" x14ac:dyDescent="0.2">
      <c r="A786">
        <v>11032</v>
      </c>
      <c r="B786" t="s">
        <v>111</v>
      </c>
      <c r="C786">
        <v>2</v>
      </c>
      <c r="D786" s="1">
        <v>35902</v>
      </c>
      <c r="E786" s="1">
        <v>35930</v>
      </c>
      <c r="F786" s="1">
        <v>35908</v>
      </c>
      <c r="G786">
        <v>3</v>
      </c>
      <c r="H786" s="2">
        <v>606.19000000000005</v>
      </c>
      <c r="I786" t="s">
        <v>112</v>
      </c>
      <c r="J786" t="s">
        <v>113</v>
      </c>
      <c r="K786" t="s">
        <v>114</v>
      </c>
      <c r="L786" t="s">
        <v>115</v>
      </c>
      <c r="M786">
        <v>98124</v>
      </c>
      <c r="N786" t="s">
        <v>86</v>
      </c>
      <c r="O786">
        <f>Orders[[#This Row],[requiredDate]]-Orders[[#This Row],[orderDate]]</f>
        <v>28</v>
      </c>
      <c r="P786">
        <f>Orders[[#This Row],[shippedDate]]-Orders[[#This Row],[orderDate]]</f>
        <v>6</v>
      </c>
      <c r="Q786">
        <f>Orders[[#This Row],[requiredDate]]-Orders[[#This Row],[shippedDate]]</f>
        <v>22</v>
      </c>
    </row>
    <row r="787" spans="1:17" x14ac:dyDescent="0.2">
      <c r="A787">
        <v>11033</v>
      </c>
      <c r="B787" t="s">
        <v>47</v>
      </c>
      <c r="C787">
        <v>7</v>
      </c>
      <c r="D787" s="1">
        <v>35902</v>
      </c>
      <c r="E787" s="1">
        <v>35930</v>
      </c>
      <c r="F787" s="1">
        <v>35908</v>
      </c>
      <c r="G787">
        <v>3</v>
      </c>
      <c r="H787" s="2">
        <v>84.74</v>
      </c>
      <c r="I787" t="s">
        <v>48</v>
      </c>
      <c r="J787" t="s">
        <v>49</v>
      </c>
      <c r="K787" t="s">
        <v>50</v>
      </c>
      <c r="L787" t="s">
        <v>18</v>
      </c>
      <c r="M787">
        <v>1204</v>
      </c>
      <c r="N787" t="s">
        <v>46</v>
      </c>
      <c r="O787">
        <f>Orders[[#This Row],[requiredDate]]-Orders[[#This Row],[orderDate]]</f>
        <v>28</v>
      </c>
      <c r="P787">
        <f>Orders[[#This Row],[shippedDate]]-Orders[[#This Row],[orderDate]]</f>
        <v>6</v>
      </c>
      <c r="Q787">
        <f>Orders[[#This Row],[requiredDate]]-Orders[[#This Row],[shippedDate]]</f>
        <v>22</v>
      </c>
    </row>
    <row r="788" spans="1:17" x14ac:dyDescent="0.2">
      <c r="A788">
        <v>11034</v>
      </c>
      <c r="B788" t="s">
        <v>193</v>
      </c>
      <c r="C788">
        <v>8</v>
      </c>
      <c r="D788" s="1">
        <v>35905</v>
      </c>
      <c r="E788" s="1">
        <v>35947</v>
      </c>
      <c r="F788" s="1">
        <v>35912</v>
      </c>
      <c r="G788">
        <v>1</v>
      </c>
      <c r="H788" s="2">
        <v>40.32</v>
      </c>
      <c r="I788" t="s">
        <v>194</v>
      </c>
      <c r="J788" t="s">
        <v>195</v>
      </c>
      <c r="K788" t="s">
        <v>196</v>
      </c>
      <c r="L788" t="s">
        <v>197</v>
      </c>
      <c r="M788">
        <v>99508</v>
      </c>
      <c r="N788" t="s">
        <v>86</v>
      </c>
      <c r="O788">
        <f>Orders[[#This Row],[requiredDate]]-Orders[[#This Row],[orderDate]]</f>
        <v>42</v>
      </c>
      <c r="P788">
        <f>Orders[[#This Row],[shippedDate]]-Orders[[#This Row],[orderDate]]</f>
        <v>7</v>
      </c>
      <c r="Q788">
        <f>Orders[[#This Row],[requiredDate]]-Orders[[#This Row],[shippedDate]]</f>
        <v>35</v>
      </c>
    </row>
    <row r="789" spans="1:17" x14ac:dyDescent="0.2">
      <c r="A789">
        <v>11035</v>
      </c>
      <c r="B789" t="s">
        <v>36</v>
      </c>
      <c r="C789">
        <v>2</v>
      </c>
      <c r="D789" s="1">
        <v>35905</v>
      </c>
      <c r="E789" s="1">
        <v>35933</v>
      </c>
      <c r="F789" s="1">
        <v>35909</v>
      </c>
      <c r="G789">
        <v>2</v>
      </c>
      <c r="H789" s="2">
        <v>0.17</v>
      </c>
      <c r="I789" t="s">
        <v>37</v>
      </c>
      <c r="J789" t="s">
        <v>38</v>
      </c>
      <c r="K789" t="s">
        <v>39</v>
      </c>
      <c r="L789" t="s">
        <v>18</v>
      </c>
      <c r="M789" t="s">
        <v>40</v>
      </c>
      <c r="N789" t="s">
        <v>41</v>
      </c>
      <c r="O789">
        <f>Orders[[#This Row],[requiredDate]]-Orders[[#This Row],[orderDate]]</f>
        <v>28</v>
      </c>
      <c r="P789">
        <f>Orders[[#This Row],[shippedDate]]-Orders[[#This Row],[orderDate]]</f>
        <v>4</v>
      </c>
      <c r="Q789">
        <f>Orders[[#This Row],[requiredDate]]-Orders[[#This Row],[shippedDate]]</f>
        <v>24</v>
      </c>
    </row>
    <row r="790" spans="1:17" x14ac:dyDescent="0.2">
      <c r="A790">
        <v>11036</v>
      </c>
      <c r="B790" t="s">
        <v>280</v>
      </c>
      <c r="C790">
        <v>8</v>
      </c>
      <c r="D790" s="1">
        <v>35905</v>
      </c>
      <c r="E790" s="1">
        <v>35933</v>
      </c>
      <c r="F790" s="1">
        <v>35907</v>
      </c>
      <c r="G790">
        <v>3</v>
      </c>
      <c r="H790" s="2">
        <v>149.47</v>
      </c>
      <c r="I790" t="s">
        <v>281</v>
      </c>
      <c r="J790" t="s">
        <v>282</v>
      </c>
      <c r="K790" t="s">
        <v>283</v>
      </c>
      <c r="L790" t="s">
        <v>18</v>
      </c>
      <c r="M790">
        <v>52066</v>
      </c>
      <c r="N790" t="s">
        <v>24</v>
      </c>
      <c r="O790">
        <f>Orders[[#This Row],[requiredDate]]-Orders[[#This Row],[orderDate]]</f>
        <v>28</v>
      </c>
      <c r="P790">
        <f>Orders[[#This Row],[shippedDate]]-Orders[[#This Row],[orderDate]]</f>
        <v>2</v>
      </c>
      <c r="Q790">
        <f>Orders[[#This Row],[requiredDate]]-Orders[[#This Row],[shippedDate]]</f>
        <v>26</v>
      </c>
    </row>
    <row r="791" spans="1:17" x14ac:dyDescent="0.2">
      <c r="A791">
        <v>11037</v>
      </c>
      <c r="B791" t="s">
        <v>189</v>
      </c>
      <c r="C791">
        <v>7</v>
      </c>
      <c r="D791" s="1">
        <v>35906</v>
      </c>
      <c r="E791" s="1">
        <v>35934</v>
      </c>
      <c r="F791" s="1">
        <v>35912</v>
      </c>
      <c r="G791">
        <v>1</v>
      </c>
      <c r="H791" s="2">
        <v>3.2</v>
      </c>
      <c r="I791" t="s">
        <v>190</v>
      </c>
      <c r="J791" t="s">
        <v>191</v>
      </c>
      <c r="K791" t="s">
        <v>192</v>
      </c>
      <c r="L791" t="s">
        <v>18</v>
      </c>
      <c r="M791">
        <v>41101</v>
      </c>
      <c r="N791" t="s">
        <v>150</v>
      </c>
      <c r="O791">
        <f>Orders[[#This Row],[requiredDate]]-Orders[[#This Row],[orderDate]]</f>
        <v>28</v>
      </c>
      <c r="P791">
        <f>Orders[[#This Row],[shippedDate]]-Orders[[#This Row],[orderDate]]</f>
        <v>6</v>
      </c>
      <c r="Q791">
        <f>Orders[[#This Row],[requiredDate]]-Orders[[#This Row],[shippedDate]]</f>
        <v>22</v>
      </c>
    </row>
    <row r="792" spans="1:17" x14ac:dyDescent="0.2">
      <c r="A792">
        <v>11038</v>
      </c>
      <c r="B792" t="s">
        <v>36</v>
      </c>
      <c r="C792">
        <v>1</v>
      </c>
      <c r="D792" s="1">
        <v>35906</v>
      </c>
      <c r="E792" s="1">
        <v>35934</v>
      </c>
      <c r="F792" s="1">
        <v>35915</v>
      </c>
      <c r="G792">
        <v>2</v>
      </c>
      <c r="H792" s="2">
        <v>29.59</v>
      </c>
      <c r="I792" t="s">
        <v>37</v>
      </c>
      <c r="J792" t="s">
        <v>38</v>
      </c>
      <c r="K792" t="s">
        <v>39</v>
      </c>
      <c r="L792" t="s">
        <v>18</v>
      </c>
      <c r="M792" t="s">
        <v>40</v>
      </c>
      <c r="N792" t="s">
        <v>41</v>
      </c>
      <c r="O792">
        <f>Orders[[#This Row],[requiredDate]]-Orders[[#This Row],[orderDate]]</f>
        <v>28</v>
      </c>
      <c r="P792">
        <f>Orders[[#This Row],[shippedDate]]-Orders[[#This Row],[orderDate]]</f>
        <v>9</v>
      </c>
      <c r="Q792">
        <f>Orders[[#This Row],[requiredDate]]-Orders[[#This Row],[shippedDate]]</f>
        <v>19</v>
      </c>
    </row>
    <row r="793" spans="1:17" x14ac:dyDescent="0.2">
      <c r="A793">
        <v>11039</v>
      </c>
      <c r="B793" t="s">
        <v>324</v>
      </c>
      <c r="C793">
        <v>1</v>
      </c>
      <c r="D793" s="1">
        <v>35906</v>
      </c>
      <c r="E793" s="1">
        <v>35934</v>
      </c>
      <c r="F793" t="s">
        <v>18</v>
      </c>
      <c r="G793">
        <v>2</v>
      </c>
      <c r="H793" s="2">
        <v>65</v>
      </c>
      <c r="I793" t="s">
        <v>325</v>
      </c>
      <c r="J793" t="s">
        <v>326</v>
      </c>
      <c r="K793" t="s">
        <v>327</v>
      </c>
      <c r="L793" t="s">
        <v>328</v>
      </c>
      <c r="M793">
        <v>4980</v>
      </c>
      <c r="N793" t="s">
        <v>62</v>
      </c>
      <c r="O793">
        <f>Orders[[#This Row],[requiredDate]]-Orders[[#This Row],[orderDate]]</f>
        <v>28</v>
      </c>
      <c r="P793" t="e">
        <f>Orders[[#This Row],[shippedDate]]-Orders[[#This Row],[orderDate]]</f>
        <v>#VALUE!</v>
      </c>
      <c r="Q793" t="e">
        <f>Orders[[#This Row],[requiredDate]]-Orders[[#This Row],[shippedDate]]</f>
        <v>#VALUE!</v>
      </c>
    </row>
    <row r="794" spans="1:17" x14ac:dyDescent="0.2">
      <c r="A794">
        <v>11040</v>
      </c>
      <c r="B794" t="s">
        <v>374</v>
      </c>
      <c r="C794">
        <v>4</v>
      </c>
      <c r="D794" s="1">
        <v>35907</v>
      </c>
      <c r="E794" s="1">
        <v>35935</v>
      </c>
      <c r="F794" t="s">
        <v>18</v>
      </c>
      <c r="G794">
        <v>3</v>
      </c>
      <c r="H794" s="2">
        <v>18.84</v>
      </c>
      <c r="I794" t="s">
        <v>375</v>
      </c>
      <c r="J794" t="s">
        <v>376</v>
      </c>
      <c r="K794" t="s">
        <v>377</v>
      </c>
      <c r="L794" t="s">
        <v>202</v>
      </c>
      <c r="M794">
        <v>97403</v>
      </c>
      <c r="N794" t="s">
        <v>86</v>
      </c>
      <c r="O794">
        <f>Orders[[#This Row],[requiredDate]]-Orders[[#This Row],[orderDate]]</f>
        <v>28</v>
      </c>
      <c r="P794" t="e">
        <f>Orders[[#This Row],[shippedDate]]-Orders[[#This Row],[orderDate]]</f>
        <v>#VALUE!</v>
      </c>
      <c r="Q794" t="e">
        <f>Orders[[#This Row],[requiredDate]]-Orders[[#This Row],[shippedDate]]</f>
        <v>#VALUE!</v>
      </c>
    </row>
    <row r="795" spans="1:17" x14ac:dyDescent="0.2">
      <c r="A795">
        <v>11041</v>
      </c>
      <c r="B795" t="s">
        <v>42</v>
      </c>
      <c r="C795">
        <v>3</v>
      </c>
      <c r="D795" s="1">
        <v>35907</v>
      </c>
      <c r="E795" s="1">
        <v>35935</v>
      </c>
      <c r="F795" s="1">
        <v>35913</v>
      </c>
      <c r="G795">
        <v>2</v>
      </c>
      <c r="H795" s="2">
        <v>48.22</v>
      </c>
      <c r="I795" t="s">
        <v>43</v>
      </c>
      <c r="J795" t="s">
        <v>44</v>
      </c>
      <c r="K795" t="s">
        <v>45</v>
      </c>
      <c r="L795" t="s">
        <v>18</v>
      </c>
      <c r="M795">
        <v>3012</v>
      </c>
      <c r="N795" t="s">
        <v>46</v>
      </c>
      <c r="O795">
        <f>Orders[[#This Row],[requiredDate]]-Orders[[#This Row],[orderDate]]</f>
        <v>28</v>
      </c>
      <c r="P795">
        <f>Orders[[#This Row],[shippedDate]]-Orders[[#This Row],[orderDate]]</f>
        <v>6</v>
      </c>
      <c r="Q795">
        <f>Orders[[#This Row],[requiredDate]]-Orders[[#This Row],[shippedDate]]</f>
        <v>22</v>
      </c>
    </row>
    <row r="796" spans="1:17" x14ac:dyDescent="0.2">
      <c r="A796">
        <v>11042</v>
      </c>
      <c r="B796" t="s">
        <v>170</v>
      </c>
      <c r="C796">
        <v>2</v>
      </c>
      <c r="D796" s="1">
        <v>35907</v>
      </c>
      <c r="E796" s="1">
        <v>35921</v>
      </c>
      <c r="F796" s="1">
        <v>35916</v>
      </c>
      <c r="G796">
        <v>1</v>
      </c>
      <c r="H796" s="2">
        <v>29.99</v>
      </c>
      <c r="I796" t="s">
        <v>171</v>
      </c>
      <c r="J796" t="s">
        <v>172</v>
      </c>
      <c r="K796" t="s">
        <v>173</v>
      </c>
      <c r="L796" t="s">
        <v>55</v>
      </c>
      <c r="M796" t="s">
        <v>174</v>
      </c>
      <c r="N796" t="s">
        <v>31</v>
      </c>
      <c r="O796">
        <f>Orders[[#This Row],[requiredDate]]-Orders[[#This Row],[orderDate]]</f>
        <v>14</v>
      </c>
      <c r="P796">
        <f>Orders[[#This Row],[shippedDate]]-Orders[[#This Row],[orderDate]]</f>
        <v>9</v>
      </c>
      <c r="Q796">
        <f>Orders[[#This Row],[requiredDate]]-Orders[[#This Row],[shippedDate]]</f>
        <v>5</v>
      </c>
    </row>
    <row r="797" spans="1:17" x14ac:dyDescent="0.2">
      <c r="A797">
        <v>11043</v>
      </c>
      <c r="B797" t="s">
        <v>409</v>
      </c>
      <c r="C797">
        <v>5</v>
      </c>
      <c r="D797" s="1">
        <v>35907</v>
      </c>
      <c r="E797" s="1">
        <v>35935</v>
      </c>
      <c r="F797" s="1">
        <v>35914</v>
      </c>
      <c r="G797">
        <v>2</v>
      </c>
      <c r="H797" s="2">
        <v>8.8000000000000007</v>
      </c>
      <c r="I797" t="s">
        <v>410</v>
      </c>
      <c r="J797" t="s">
        <v>411</v>
      </c>
      <c r="K797" t="s">
        <v>412</v>
      </c>
      <c r="L797" t="s">
        <v>18</v>
      </c>
      <c r="M797">
        <v>75016</v>
      </c>
      <c r="N797" t="s">
        <v>19</v>
      </c>
      <c r="O797">
        <f>Orders[[#This Row],[requiredDate]]-Orders[[#This Row],[orderDate]]</f>
        <v>28</v>
      </c>
      <c r="P797">
        <f>Orders[[#This Row],[shippedDate]]-Orders[[#This Row],[orderDate]]</f>
        <v>7</v>
      </c>
      <c r="Q797">
        <f>Orders[[#This Row],[requiredDate]]-Orders[[#This Row],[shippedDate]]</f>
        <v>21</v>
      </c>
    </row>
    <row r="798" spans="1:17" x14ac:dyDescent="0.2">
      <c r="A798">
        <v>11044</v>
      </c>
      <c r="B798" t="s">
        <v>303</v>
      </c>
      <c r="C798">
        <v>4</v>
      </c>
      <c r="D798" s="1">
        <v>35908</v>
      </c>
      <c r="E798" s="1">
        <v>35936</v>
      </c>
      <c r="F798" s="1">
        <v>35916</v>
      </c>
      <c r="G798">
        <v>1</v>
      </c>
      <c r="H798" s="2">
        <v>8.7200000000000006</v>
      </c>
      <c r="I798" t="s">
        <v>304</v>
      </c>
      <c r="J798" t="s">
        <v>305</v>
      </c>
      <c r="K798" t="s">
        <v>306</v>
      </c>
      <c r="L798" t="s">
        <v>18</v>
      </c>
      <c r="M798" t="s">
        <v>307</v>
      </c>
      <c r="N798" t="s">
        <v>308</v>
      </c>
      <c r="O798">
        <f>Orders[[#This Row],[requiredDate]]-Orders[[#This Row],[orderDate]]</f>
        <v>28</v>
      </c>
      <c r="P798">
        <f>Orders[[#This Row],[shippedDate]]-Orders[[#This Row],[orderDate]]</f>
        <v>8</v>
      </c>
      <c r="Q798">
        <f>Orders[[#This Row],[requiredDate]]-Orders[[#This Row],[shippedDate]]</f>
        <v>20</v>
      </c>
    </row>
    <row r="799" spans="1:17" x14ac:dyDescent="0.2">
      <c r="A799">
        <v>11045</v>
      </c>
      <c r="B799" t="s">
        <v>318</v>
      </c>
      <c r="C799">
        <v>6</v>
      </c>
      <c r="D799" s="1">
        <v>35908</v>
      </c>
      <c r="E799" s="1">
        <v>35936</v>
      </c>
      <c r="F799" t="s">
        <v>18</v>
      </c>
      <c r="G799">
        <v>2</v>
      </c>
      <c r="H799" s="2">
        <v>70.58</v>
      </c>
      <c r="I799" t="s">
        <v>319</v>
      </c>
      <c r="J799" t="s">
        <v>320</v>
      </c>
      <c r="K799" t="s">
        <v>321</v>
      </c>
      <c r="L799" t="s">
        <v>322</v>
      </c>
      <c r="M799" t="s">
        <v>323</v>
      </c>
      <c r="N799" t="s">
        <v>249</v>
      </c>
      <c r="O799">
        <f>Orders[[#This Row],[requiredDate]]-Orders[[#This Row],[orderDate]]</f>
        <v>28</v>
      </c>
      <c r="P799" t="e">
        <f>Orders[[#This Row],[shippedDate]]-Orders[[#This Row],[orderDate]]</f>
        <v>#VALUE!</v>
      </c>
      <c r="Q799" t="e">
        <f>Orders[[#This Row],[requiredDate]]-Orders[[#This Row],[shippedDate]]</f>
        <v>#VALUE!</v>
      </c>
    </row>
    <row r="800" spans="1:17" x14ac:dyDescent="0.2">
      <c r="A800">
        <v>11046</v>
      </c>
      <c r="B800" t="s">
        <v>185</v>
      </c>
      <c r="C800">
        <v>8</v>
      </c>
      <c r="D800" s="1">
        <v>35908</v>
      </c>
      <c r="E800" s="1">
        <v>35936</v>
      </c>
      <c r="F800" s="1">
        <v>35909</v>
      </c>
      <c r="G800">
        <v>2</v>
      </c>
      <c r="H800" s="2">
        <v>71.64</v>
      </c>
      <c r="I800" t="s">
        <v>186</v>
      </c>
      <c r="J800" t="s">
        <v>187</v>
      </c>
      <c r="K800" t="s">
        <v>188</v>
      </c>
      <c r="L800" t="s">
        <v>18</v>
      </c>
      <c r="M800">
        <v>70563</v>
      </c>
      <c r="N800" t="s">
        <v>24</v>
      </c>
      <c r="O800">
        <f>Orders[[#This Row],[requiredDate]]-Orders[[#This Row],[orderDate]]</f>
        <v>28</v>
      </c>
      <c r="P800">
        <f>Orders[[#This Row],[shippedDate]]-Orders[[#This Row],[orderDate]]</f>
        <v>1</v>
      </c>
      <c r="Q800">
        <f>Orders[[#This Row],[requiredDate]]-Orders[[#This Row],[shippedDate]]</f>
        <v>27</v>
      </c>
    </row>
    <row r="801" spans="1:17" x14ac:dyDescent="0.2">
      <c r="A801">
        <v>11047</v>
      </c>
      <c r="B801" t="s">
        <v>284</v>
      </c>
      <c r="C801">
        <v>7</v>
      </c>
      <c r="D801" s="1">
        <v>35909</v>
      </c>
      <c r="E801" s="1">
        <v>35937</v>
      </c>
      <c r="F801" s="1">
        <v>35916</v>
      </c>
      <c r="G801">
        <v>3</v>
      </c>
      <c r="H801" s="2">
        <v>46.62</v>
      </c>
      <c r="I801" t="s">
        <v>285</v>
      </c>
      <c r="J801" t="s">
        <v>286</v>
      </c>
      <c r="K801" t="s">
        <v>167</v>
      </c>
      <c r="L801" t="s">
        <v>18</v>
      </c>
      <c r="M801" t="s">
        <v>287</v>
      </c>
      <c r="N801" t="s">
        <v>169</v>
      </c>
      <c r="O801">
        <f>Orders[[#This Row],[requiredDate]]-Orders[[#This Row],[orderDate]]</f>
        <v>28</v>
      </c>
      <c r="P801">
        <f>Orders[[#This Row],[shippedDate]]-Orders[[#This Row],[orderDate]]</f>
        <v>7</v>
      </c>
      <c r="Q801">
        <f>Orders[[#This Row],[requiredDate]]-Orders[[#This Row],[shippedDate]]</f>
        <v>21</v>
      </c>
    </row>
    <row r="802" spans="1:17" x14ac:dyDescent="0.2">
      <c r="A802">
        <v>11048</v>
      </c>
      <c r="B802" t="s">
        <v>318</v>
      </c>
      <c r="C802">
        <v>7</v>
      </c>
      <c r="D802" s="1">
        <v>35909</v>
      </c>
      <c r="E802" s="1">
        <v>35937</v>
      </c>
      <c r="F802" s="1">
        <v>35915</v>
      </c>
      <c r="G802">
        <v>3</v>
      </c>
      <c r="H802" s="2">
        <v>24.12</v>
      </c>
      <c r="I802" t="s">
        <v>319</v>
      </c>
      <c r="J802" t="s">
        <v>320</v>
      </c>
      <c r="K802" t="s">
        <v>321</v>
      </c>
      <c r="L802" t="s">
        <v>322</v>
      </c>
      <c r="M802" t="s">
        <v>323</v>
      </c>
      <c r="N802" t="s">
        <v>249</v>
      </c>
      <c r="O802">
        <f>Orders[[#This Row],[requiredDate]]-Orders[[#This Row],[orderDate]]</f>
        <v>28</v>
      </c>
      <c r="P802">
        <f>Orders[[#This Row],[shippedDate]]-Orders[[#This Row],[orderDate]]</f>
        <v>6</v>
      </c>
      <c r="Q802">
        <f>Orders[[#This Row],[requiredDate]]-Orders[[#This Row],[shippedDate]]</f>
        <v>22</v>
      </c>
    </row>
    <row r="803" spans="1:17" x14ac:dyDescent="0.2">
      <c r="A803">
        <v>11049</v>
      </c>
      <c r="B803" t="s">
        <v>342</v>
      </c>
      <c r="C803">
        <v>3</v>
      </c>
      <c r="D803" s="1">
        <v>35909</v>
      </c>
      <c r="E803" s="1">
        <v>35937</v>
      </c>
      <c r="F803" s="1">
        <v>35919</v>
      </c>
      <c r="G803">
        <v>1</v>
      </c>
      <c r="H803" s="2">
        <v>8.34</v>
      </c>
      <c r="I803" t="s">
        <v>343</v>
      </c>
      <c r="J803" t="s">
        <v>344</v>
      </c>
      <c r="K803" t="s">
        <v>345</v>
      </c>
      <c r="L803" t="s">
        <v>55</v>
      </c>
      <c r="M803" t="s">
        <v>346</v>
      </c>
      <c r="N803" t="s">
        <v>31</v>
      </c>
      <c r="O803">
        <f>Orders[[#This Row],[requiredDate]]-Orders[[#This Row],[orderDate]]</f>
        <v>28</v>
      </c>
      <c r="P803">
        <f>Orders[[#This Row],[shippedDate]]-Orders[[#This Row],[orderDate]]</f>
        <v>10</v>
      </c>
      <c r="Q803">
        <f>Orders[[#This Row],[requiredDate]]-Orders[[#This Row],[shippedDate]]</f>
        <v>18</v>
      </c>
    </row>
    <row r="804" spans="1:17" x14ac:dyDescent="0.2">
      <c r="A804">
        <v>11050</v>
      </c>
      <c r="B804" t="s">
        <v>87</v>
      </c>
      <c r="C804">
        <v>8</v>
      </c>
      <c r="D804" s="1">
        <v>35912</v>
      </c>
      <c r="E804" s="1">
        <v>35940</v>
      </c>
      <c r="F804" s="1">
        <v>35920</v>
      </c>
      <c r="G804">
        <v>2</v>
      </c>
      <c r="H804" s="2">
        <v>59.41</v>
      </c>
      <c r="I804" t="s">
        <v>88</v>
      </c>
      <c r="J804" t="s">
        <v>89</v>
      </c>
      <c r="K804" t="s">
        <v>90</v>
      </c>
      <c r="L804" t="s">
        <v>18</v>
      </c>
      <c r="M804" t="s">
        <v>91</v>
      </c>
      <c r="N804" t="s">
        <v>92</v>
      </c>
      <c r="O804">
        <f>Orders[[#This Row],[requiredDate]]-Orders[[#This Row],[orderDate]]</f>
        <v>28</v>
      </c>
      <c r="P804">
        <f>Orders[[#This Row],[shippedDate]]-Orders[[#This Row],[orderDate]]</f>
        <v>8</v>
      </c>
      <c r="Q804">
        <f>Orders[[#This Row],[requiredDate]]-Orders[[#This Row],[shippedDate]]</f>
        <v>20</v>
      </c>
    </row>
    <row r="805" spans="1:17" x14ac:dyDescent="0.2">
      <c r="A805">
        <v>11051</v>
      </c>
      <c r="B805" t="s">
        <v>262</v>
      </c>
      <c r="C805">
        <v>7</v>
      </c>
      <c r="D805" s="1">
        <v>35912</v>
      </c>
      <c r="E805" s="1">
        <v>35940</v>
      </c>
      <c r="F805" t="s">
        <v>18</v>
      </c>
      <c r="G805">
        <v>3</v>
      </c>
      <c r="H805" s="2">
        <v>2.79</v>
      </c>
      <c r="I805" t="s">
        <v>263</v>
      </c>
      <c r="J805" t="s">
        <v>264</v>
      </c>
      <c r="K805" t="s">
        <v>265</v>
      </c>
      <c r="L805" t="s">
        <v>18</v>
      </c>
      <c r="M805">
        <v>31000</v>
      </c>
      <c r="N805" t="s">
        <v>19</v>
      </c>
      <c r="O805">
        <f>Orders[[#This Row],[requiredDate]]-Orders[[#This Row],[orderDate]]</f>
        <v>28</v>
      </c>
      <c r="P805" t="e">
        <f>Orders[[#This Row],[shippedDate]]-Orders[[#This Row],[orderDate]]</f>
        <v>#VALUE!</v>
      </c>
      <c r="Q805" t="e">
        <f>Orders[[#This Row],[requiredDate]]-Orders[[#This Row],[shippedDate]]</f>
        <v>#VALUE!</v>
      </c>
    </row>
    <row r="806" spans="1:17" x14ac:dyDescent="0.2">
      <c r="A806">
        <v>11052</v>
      </c>
      <c r="B806" t="s">
        <v>25</v>
      </c>
      <c r="C806">
        <v>3</v>
      </c>
      <c r="D806" s="1">
        <v>35912</v>
      </c>
      <c r="E806" s="1">
        <v>35940</v>
      </c>
      <c r="F806" s="1">
        <v>35916</v>
      </c>
      <c r="G806">
        <v>1</v>
      </c>
      <c r="H806" s="2">
        <v>67.260000000000005</v>
      </c>
      <c r="I806" t="s">
        <v>26</v>
      </c>
      <c r="J806" t="s">
        <v>27</v>
      </c>
      <c r="K806" t="s">
        <v>28</v>
      </c>
      <c r="L806" t="s">
        <v>29</v>
      </c>
      <c r="M806" t="s">
        <v>30</v>
      </c>
      <c r="N806" t="s">
        <v>31</v>
      </c>
      <c r="O806">
        <f>Orders[[#This Row],[requiredDate]]-Orders[[#This Row],[orderDate]]</f>
        <v>28</v>
      </c>
      <c r="P806">
        <f>Orders[[#This Row],[shippedDate]]-Orders[[#This Row],[orderDate]]</f>
        <v>4</v>
      </c>
      <c r="Q806">
        <f>Orders[[#This Row],[requiredDate]]-Orders[[#This Row],[shippedDate]]</f>
        <v>24</v>
      </c>
    </row>
    <row r="807" spans="1:17" x14ac:dyDescent="0.2">
      <c r="A807">
        <v>11053</v>
      </c>
      <c r="B807" t="s">
        <v>266</v>
      </c>
      <c r="C807">
        <v>2</v>
      </c>
      <c r="D807" s="1">
        <v>35912</v>
      </c>
      <c r="E807" s="1">
        <v>35940</v>
      </c>
      <c r="F807" s="1">
        <v>35914</v>
      </c>
      <c r="G807">
        <v>2</v>
      </c>
      <c r="H807" s="2">
        <v>53.05</v>
      </c>
      <c r="I807" t="s">
        <v>267</v>
      </c>
      <c r="J807" t="s">
        <v>268</v>
      </c>
      <c r="K807" t="s">
        <v>269</v>
      </c>
      <c r="L807" t="s">
        <v>18</v>
      </c>
      <c r="M807">
        <v>5020</v>
      </c>
      <c r="N807" t="s">
        <v>67</v>
      </c>
      <c r="O807">
        <f>Orders[[#This Row],[requiredDate]]-Orders[[#This Row],[orderDate]]</f>
        <v>28</v>
      </c>
      <c r="P807">
        <f>Orders[[#This Row],[shippedDate]]-Orders[[#This Row],[orderDate]]</f>
        <v>2</v>
      </c>
      <c r="Q807">
        <f>Orders[[#This Row],[requiredDate]]-Orders[[#This Row],[shippedDate]]</f>
        <v>26</v>
      </c>
    </row>
    <row r="808" spans="1:17" x14ac:dyDescent="0.2">
      <c r="A808">
        <v>11054</v>
      </c>
      <c r="B808" t="s">
        <v>371</v>
      </c>
      <c r="C808">
        <v>8</v>
      </c>
      <c r="D808" s="1">
        <v>35913</v>
      </c>
      <c r="E808" s="1">
        <v>35941</v>
      </c>
      <c r="F808" t="s">
        <v>18</v>
      </c>
      <c r="G808">
        <v>1</v>
      </c>
      <c r="H808" s="2">
        <v>0.33</v>
      </c>
      <c r="I808" t="s">
        <v>372</v>
      </c>
      <c r="J808" t="s">
        <v>373</v>
      </c>
      <c r="K808" t="s">
        <v>336</v>
      </c>
      <c r="L808" t="s">
        <v>18</v>
      </c>
      <c r="M808">
        <v>1010</v>
      </c>
      <c r="N808" t="s">
        <v>337</v>
      </c>
      <c r="O808">
        <f>Orders[[#This Row],[requiredDate]]-Orders[[#This Row],[orderDate]]</f>
        <v>28</v>
      </c>
      <c r="P808" t="e">
        <f>Orders[[#This Row],[shippedDate]]-Orders[[#This Row],[orderDate]]</f>
        <v>#VALUE!</v>
      </c>
      <c r="Q808" t="e">
        <f>Orders[[#This Row],[requiredDate]]-Orders[[#This Row],[shippedDate]]</f>
        <v>#VALUE!</v>
      </c>
    </row>
    <row r="809" spans="1:17" x14ac:dyDescent="0.2">
      <c r="A809">
        <v>11055</v>
      </c>
      <c r="B809" t="s">
        <v>57</v>
      </c>
      <c r="C809">
        <v>7</v>
      </c>
      <c r="D809" s="1">
        <v>35913</v>
      </c>
      <c r="E809" s="1">
        <v>35941</v>
      </c>
      <c r="F809" s="1">
        <v>35920</v>
      </c>
      <c r="G809">
        <v>2</v>
      </c>
      <c r="H809" s="2">
        <v>120.92</v>
      </c>
      <c r="I809" t="s">
        <v>58</v>
      </c>
      <c r="J809" t="s">
        <v>59</v>
      </c>
      <c r="K809" t="s">
        <v>60</v>
      </c>
      <c r="L809" t="s">
        <v>61</v>
      </c>
      <c r="M809">
        <v>5022</v>
      </c>
      <c r="N809" t="s">
        <v>62</v>
      </c>
      <c r="O809">
        <f>Orders[[#This Row],[requiredDate]]-Orders[[#This Row],[orderDate]]</f>
        <v>28</v>
      </c>
      <c r="P809">
        <f>Orders[[#This Row],[shippedDate]]-Orders[[#This Row],[orderDate]]</f>
        <v>7</v>
      </c>
      <c r="Q809">
        <f>Orders[[#This Row],[requiredDate]]-Orders[[#This Row],[shippedDate]]</f>
        <v>21</v>
      </c>
    </row>
    <row r="810" spans="1:17" x14ac:dyDescent="0.2">
      <c r="A810">
        <v>11056</v>
      </c>
      <c r="B810" t="s">
        <v>284</v>
      </c>
      <c r="C810">
        <v>8</v>
      </c>
      <c r="D810" s="1">
        <v>35913</v>
      </c>
      <c r="E810" s="1">
        <v>35927</v>
      </c>
      <c r="F810" s="1">
        <v>35916</v>
      </c>
      <c r="G810">
        <v>2</v>
      </c>
      <c r="H810" s="2">
        <v>278.95999999999998</v>
      </c>
      <c r="I810" t="s">
        <v>285</v>
      </c>
      <c r="J810" t="s">
        <v>286</v>
      </c>
      <c r="K810" t="s">
        <v>167</v>
      </c>
      <c r="L810" t="s">
        <v>18</v>
      </c>
      <c r="M810" t="s">
        <v>287</v>
      </c>
      <c r="N810" t="s">
        <v>169</v>
      </c>
      <c r="O810">
        <f>Orders[[#This Row],[requiredDate]]-Orders[[#This Row],[orderDate]]</f>
        <v>14</v>
      </c>
      <c r="P810">
        <f>Orders[[#This Row],[shippedDate]]-Orders[[#This Row],[orderDate]]</f>
        <v>3</v>
      </c>
      <c r="Q810">
        <f>Orders[[#This Row],[requiredDate]]-Orders[[#This Row],[shippedDate]]</f>
        <v>11</v>
      </c>
    </row>
    <row r="811" spans="1:17" x14ac:dyDescent="0.2">
      <c r="A811">
        <v>11057</v>
      </c>
      <c r="B811" t="s">
        <v>367</v>
      </c>
      <c r="C811">
        <v>3</v>
      </c>
      <c r="D811" s="1">
        <v>35914</v>
      </c>
      <c r="E811" s="1">
        <v>35942</v>
      </c>
      <c r="F811" s="1">
        <v>35916</v>
      </c>
      <c r="G811">
        <v>3</v>
      </c>
      <c r="H811" s="2">
        <v>4.13</v>
      </c>
      <c r="I811" t="s">
        <v>368</v>
      </c>
      <c r="J811" t="s">
        <v>369</v>
      </c>
      <c r="K811" t="s">
        <v>167</v>
      </c>
      <c r="L811" t="s">
        <v>18</v>
      </c>
      <c r="M811" t="s">
        <v>370</v>
      </c>
      <c r="N811" t="s">
        <v>169</v>
      </c>
      <c r="O811">
        <f>Orders[[#This Row],[requiredDate]]-Orders[[#This Row],[orderDate]]</f>
        <v>28</v>
      </c>
      <c r="P811">
        <f>Orders[[#This Row],[shippedDate]]-Orders[[#This Row],[orderDate]]</f>
        <v>2</v>
      </c>
      <c r="Q811">
        <f>Orders[[#This Row],[requiredDate]]-Orders[[#This Row],[shippedDate]]</f>
        <v>26</v>
      </c>
    </row>
    <row r="812" spans="1:17" x14ac:dyDescent="0.2">
      <c r="A812">
        <v>11058</v>
      </c>
      <c r="B812" t="s">
        <v>363</v>
      </c>
      <c r="C812">
        <v>9</v>
      </c>
      <c r="D812" s="1">
        <v>35914</v>
      </c>
      <c r="E812" s="1">
        <v>35942</v>
      </c>
      <c r="F812" t="s">
        <v>18</v>
      </c>
      <c r="G812">
        <v>3</v>
      </c>
      <c r="H812" s="2">
        <v>31.14</v>
      </c>
      <c r="I812" t="s">
        <v>364</v>
      </c>
      <c r="J812" t="s">
        <v>365</v>
      </c>
      <c r="K812" t="s">
        <v>366</v>
      </c>
      <c r="L812" t="s">
        <v>18</v>
      </c>
      <c r="M812">
        <v>68306</v>
      </c>
      <c r="N812" t="s">
        <v>24</v>
      </c>
      <c r="O812">
        <f>Orders[[#This Row],[requiredDate]]-Orders[[#This Row],[orderDate]]</f>
        <v>28</v>
      </c>
      <c r="P812" t="e">
        <f>Orders[[#This Row],[shippedDate]]-Orders[[#This Row],[orderDate]]</f>
        <v>#VALUE!</v>
      </c>
      <c r="Q812" t="e">
        <f>Orders[[#This Row],[requiredDate]]-Orders[[#This Row],[shippedDate]]</f>
        <v>#VALUE!</v>
      </c>
    </row>
    <row r="813" spans="1:17" x14ac:dyDescent="0.2">
      <c r="A813">
        <v>11059</v>
      </c>
      <c r="B813" t="s">
        <v>156</v>
      </c>
      <c r="C813">
        <v>2</v>
      </c>
      <c r="D813" s="1">
        <v>35914</v>
      </c>
      <c r="E813" s="1">
        <v>35956</v>
      </c>
      <c r="F813" t="s">
        <v>18</v>
      </c>
      <c r="G813">
        <v>2</v>
      </c>
      <c r="H813" s="2">
        <v>85.8</v>
      </c>
      <c r="I813" t="s">
        <v>157</v>
      </c>
      <c r="J813" t="s">
        <v>158</v>
      </c>
      <c r="K813" t="s">
        <v>28</v>
      </c>
      <c r="L813" t="s">
        <v>29</v>
      </c>
      <c r="M813" t="s">
        <v>159</v>
      </c>
      <c r="N813" t="s">
        <v>31</v>
      </c>
      <c r="O813">
        <f>Orders[[#This Row],[requiredDate]]-Orders[[#This Row],[orderDate]]</f>
        <v>42</v>
      </c>
      <c r="P813" t="e">
        <f>Orders[[#This Row],[shippedDate]]-Orders[[#This Row],[orderDate]]</f>
        <v>#VALUE!</v>
      </c>
      <c r="Q813" t="e">
        <f>Orders[[#This Row],[requiredDate]]-Orders[[#This Row],[shippedDate]]</f>
        <v>#VALUE!</v>
      </c>
    </row>
    <row r="814" spans="1:17" x14ac:dyDescent="0.2">
      <c r="A814">
        <v>11060</v>
      </c>
      <c r="B814" t="s">
        <v>338</v>
      </c>
      <c r="C814">
        <v>2</v>
      </c>
      <c r="D814" s="1">
        <v>35915</v>
      </c>
      <c r="E814" s="1">
        <v>35943</v>
      </c>
      <c r="F814" s="1">
        <v>35919</v>
      </c>
      <c r="G814">
        <v>2</v>
      </c>
      <c r="H814" s="2">
        <v>10.98</v>
      </c>
      <c r="I814" t="s">
        <v>339</v>
      </c>
      <c r="J814" t="s">
        <v>340</v>
      </c>
      <c r="K814" t="s">
        <v>341</v>
      </c>
      <c r="L814" t="s">
        <v>18</v>
      </c>
      <c r="M814">
        <v>10100</v>
      </c>
      <c r="N814" t="s">
        <v>129</v>
      </c>
      <c r="O814">
        <f>Orders[[#This Row],[requiredDate]]-Orders[[#This Row],[orderDate]]</f>
        <v>28</v>
      </c>
      <c r="P814">
        <f>Orders[[#This Row],[shippedDate]]-Orders[[#This Row],[orderDate]]</f>
        <v>4</v>
      </c>
      <c r="Q814">
        <f>Orders[[#This Row],[requiredDate]]-Orders[[#This Row],[shippedDate]]</f>
        <v>24</v>
      </c>
    </row>
    <row r="815" spans="1:17" x14ac:dyDescent="0.2">
      <c r="A815">
        <v>11061</v>
      </c>
      <c r="B815" t="s">
        <v>374</v>
      </c>
      <c r="C815">
        <v>4</v>
      </c>
      <c r="D815" s="1">
        <v>35915</v>
      </c>
      <c r="E815" s="1">
        <v>35957</v>
      </c>
      <c r="F815" t="s">
        <v>18</v>
      </c>
      <c r="G815">
        <v>3</v>
      </c>
      <c r="H815" s="2">
        <v>14.01</v>
      </c>
      <c r="I815" t="s">
        <v>375</v>
      </c>
      <c r="J815" t="s">
        <v>376</v>
      </c>
      <c r="K815" t="s">
        <v>377</v>
      </c>
      <c r="L815" t="s">
        <v>202</v>
      </c>
      <c r="M815">
        <v>97403</v>
      </c>
      <c r="N815" t="s">
        <v>86</v>
      </c>
      <c r="O815">
        <f>Orders[[#This Row],[requiredDate]]-Orders[[#This Row],[orderDate]]</f>
        <v>42</v>
      </c>
      <c r="P815" t="e">
        <f>Orders[[#This Row],[shippedDate]]-Orders[[#This Row],[orderDate]]</f>
        <v>#VALUE!</v>
      </c>
      <c r="Q815" t="e">
        <f>Orders[[#This Row],[requiredDate]]-Orders[[#This Row],[shippedDate]]</f>
        <v>#VALUE!</v>
      </c>
    </row>
    <row r="816" spans="1:17" x14ac:dyDescent="0.2">
      <c r="A816">
        <v>11062</v>
      </c>
      <c r="B816" t="s">
        <v>160</v>
      </c>
      <c r="C816">
        <v>4</v>
      </c>
      <c r="D816" s="1">
        <v>35915</v>
      </c>
      <c r="E816" s="1">
        <v>35943</v>
      </c>
      <c r="F816" t="s">
        <v>18</v>
      </c>
      <c r="G816">
        <v>2</v>
      </c>
      <c r="H816" s="2">
        <v>29.93</v>
      </c>
      <c r="I816" t="s">
        <v>161</v>
      </c>
      <c r="J816" t="s">
        <v>162</v>
      </c>
      <c r="K816" t="s">
        <v>163</v>
      </c>
      <c r="L816" t="s">
        <v>18</v>
      </c>
      <c r="M816">
        <v>42100</v>
      </c>
      <c r="N816" t="s">
        <v>129</v>
      </c>
      <c r="O816">
        <f>Orders[[#This Row],[requiredDate]]-Orders[[#This Row],[orderDate]]</f>
        <v>28</v>
      </c>
      <c r="P816" t="e">
        <f>Orders[[#This Row],[shippedDate]]-Orders[[#This Row],[orderDate]]</f>
        <v>#VALUE!</v>
      </c>
      <c r="Q816" t="e">
        <f>Orders[[#This Row],[requiredDate]]-Orders[[#This Row],[shippedDate]]</f>
        <v>#VALUE!</v>
      </c>
    </row>
    <row r="817" spans="1:17" x14ac:dyDescent="0.2">
      <c r="A817">
        <v>11063</v>
      </c>
      <c r="B817" t="s">
        <v>179</v>
      </c>
      <c r="C817">
        <v>3</v>
      </c>
      <c r="D817" s="1">
        <v>35915</v>
      </c>
      <c r="E817" s="1">
        <v>35943</v>
      </c>
      <c r="F817" s="1">
        <v>35921</v>
      </c>
      <c r="G817">
        <v>2</v>
      </c>
      <c r="H817" s="2">
        <v>81.73</v>
      </c>
      <c r="I817" t="s">
        <v>180</v>
      </c>
      <c r="J817" t="s">
        <v>181</v>
      </c>
      <c r="K817" t="s">
        <v>182</v>
      </c>
      <c r="L817" t="s">
        <v>183</v>
      </c>
      <c r="M817" t="s">
        <v>18</v>
      </c>
      <c r="N817" t="s">
        <v>184</v>
      </c>
      <c r="O817">
        <f>Orders[[#This Row],[requiredDate]]-Orders[[#This Row],[orderDate]]</f>
        <v>28</v>
      </c>
      <c r="P817">
        <f>Orders[[#This Row],[shippedDate]]-Orders[[#This Row],[orderDate]]</f>
        <v>6</v>
      </c>
      <c r="Q817">
        <f>Orders[[#This Row],[requiredDate]]-Orders[[#This Row],[shippedDate]]</f>
        <v>22</v>
      </c>
    </row>
    <row r="818" spans="1:17" x14ac:dyDescent="0.2">
      <c r="A818">
        <v>11064</v>
      </c>
      <c r="B818" t="s">
        <v>226</v>
      </c>
      <c r="C818">
        <v>1</v>
      </c>
      <c r="D818" s="1">
        <v>35916</v>
      </c>
      <c r="E818" s="1">
        <v>35944</v>
      </c>
      <c r="F818" s="1">
        <v>35919</v>
      </c>
      <c r="G818">
        <v>1</v>
      </c>
      <c r="H818" s="2">
        <v>30.09</v>
      </c>
      <c r="I818" t="s">
        <v>227</v>
      </c>
      <c r="J818" t="s">
        <v>228</v>
      </c>
      <c r="K818" t="s">
        <v>229</v>
      </c>
      <c r="L818" t="s">
        <v>230</v>
      </c>
      <c r="M818">
        <v>83720</v>
      </c>
      <c r="N818" t="s">
        <v>86</v>
      </c>
      <c r="O818">
        <f>Orders[[#This Row],[requiredDate]]-Orders[[#This Row],[orderDate]]</f>
        <v>28</v>
      </c>
      <c r="P818">
        <f>Orders[[#This Row],[shippedDate]]-Orders[[#This Row],[orderDate]]</f>
        <v>3</v>
      </c>
      <c r="Q818">
        <f>Orders[[#This Row],[requiredDate]]-Orders[[#This Row],[shippedDate]]</f>
        <v>25</v>
      </c>
    </row>
    <row r="819" spans="1:17" x14ac:dyDescent="0.2">
      <c r="A819">
        <v>11065</v>
      </c>
      <c r="B819" t="s">
        <v>151</v>
      </c>
      <c r="C819">
        <v>8</v>
      </c>
      <c r="D819" s="1">
        <v>35916</v>
      </c>
      <c r="E819" s="1">
        <v>35944</v>
      </c>
      <c r="F819" t="s">
        <v>18</v>
      </c>
      <c r="G819">
        <v>1</v>
      </c>
      <c r="H819" s="2">
        <v>12.91</v>
      </c>
      <c r="I819" t="s">
        <v>152</v>
      </c>
      <c r="J819" t="s">
        <v>153</v>
      </c>
      <c r="K819" t="s">
        <v>154</v>
      </c>
      <c r="L819" t="s">
        <v>155</v>
      </c>
      <c r="M819">
        <v>3508</v>
      </c>
      <c r="N819" t="s">
        <v>62</v>
      </c>
      <c r="O819">
        <f>Orders[[#This Row],[requiredDate]]-Orders[[#This Row],[orderDate]]</f>
        <v>28</v>
      </c>
      <c r="P819" t="e">
        <f>Orders[[#This Row],[shippedDate]]-Orders[[#This Row],[orderDate]]</f>
        <v>#VALUE!</v>
      </c>
      <c r="Q819" t="e">
        <f>Orders[[#This Row],[requiredDate]]-Orders[[#This Row],[shippedDate]]</f>
        <v>#VALUE!</v>
      </c>
    </row>
    <row r="820" spans="1:17" x14ac:dyDescent="0.2">
      <c r="A820">
        <v>11066</v>
      </c>
      <c r="B820" t="s">
        <v>111</v>
      </c>
      <c r="C820">
        <v>7</v>
      </c>
      <c r="D820" s="1">
        <v>35916</v>
      </c>
      <c r="E820" s="1">
        <v>35944</v>
      </c>
      <c r="F820" s="1">
        <v>35919</v>
      </c>
      <c r="G820">
        <v>2</v>
      </c>
      <c r="H820" s="2">
        <v>44.72</v>
      </c>
      <c r="I820" t="s">
        <v>112</v>
      </c>
      <c r="J820" t="s">
        <v>113</v>
      </c>
      <c r="K820" t="s">
        <v>114</v>
      </c>
      <c r="L820" t="s">
        <v>115</v>
      </c>
      <c r="M820">
        <v>98124</v>
      </c>
      <c r="N820" t="s">
        <v>86</v>
      </c>
      <c r="O820">
        <f>Orders[[#This Row],[requiredDate]]-Orders[[#This Row],[orderDate]]</f>
        <v>28</v>
      </c>
      <c r="P820">
        <f>Orders[[#This Row],[shippedDate]]-Orders[[#This Row],[orderDate]]</f>
        <v>3</v>
      </c>
      <c r="Q820">
        <f>Orders[[#This Row],[requiredDate]]-Orders[[#This Row],[shippedDate]]</f>
        <v>25</v>
      </c>
    </row>
    <row r="821" spans="1:17" x14ac:dyDescent="0.2">
      <c r="A821">
        <v>11067</v>
      </c>
      <c r="B821" t="s">
        <v>280</v>
      </c>
      <c r="C821">
        <v>1</v>
      </c>
      <c r="D821" s="1">
        <v>35919</v>
      </c>
      <c r="E821" s="1">
        <v>35933</v>
      </c>
      <c r="F821" s="1">
        <v>35921</v>
      </c>
      <c r="G821">
        <v>2</v>
      </c>
      <c r="H821" s="2">
        <v>7.98</v>
      </c>
      <c r="I821" t="s">
        <v>281</v>
      </c>
      <c r="J821" t="s">
        <v>282</v>
      </c>
      <c r="K821" t="s">
        <v>283</v>
      </c>
      <c r="L821" t="s">
        <v>18</v>
      </c>
      <c r="M821">
        <v>52066</v>
      </c>
      <c r="N821" t="s">
        <v>24</v>
      </c>
      <c r="O821">
        <f>Orders[[#This Row],[requiredDate]]-Orders[[#This Row],[orderDate]]</f>
        <v>14</v>
      </c>
      <c r="P821">
        <f>Orders[[#This Row],[shippedDate]]-Orders[[#This Row],[orderDate]]</f>
        <v>2</v>
      </c>
      <c r="Q821">
        <f>Orders[[#This Row],[requiredDate]]-Orders[[#This Row],[shippedDate]]</f>
        <v>12</v>
      </c>
    </row>
    <row r="822" spans="1:17" x14ac:dyDescent="0.2">
      <c r="A822">
        <v>11068</v>
      </c>
      <c r="B822" t="s">
        <v>299</v>
      </c>
      <c r="C822">
        <v>8</v>
      </c>
      <c r="D822" s="1">
        <v>35919</v>
      </c>
      <c r="E822" s="1">
        <v>35947</v>
      </c>
      <c r="F822" t="s">
        <v>18</v>
      </c>
      <c r="G822">
        <v>2</v>
      </c>
      <c r="H822" s="2">
        <v>81.75</v>
      </c>
      <c r="I822" t="s">
        <v>300</v>
      </c>
      <c r="J822" t="s">
        <v>301</v>
      </c>
      <c r="K822" t="s">
        <v>173</v>
      </c>
      <c r="L822" t="s">
        <v>55</v>
      </c>
      <c r="M822" t="s">
        <v>302</v>
      </c>
      <c r="N822" t="s">
        <v>31</v>
      </c>
      <c r="O822">
        <f>Orders[[#This Row],[requiredDate]]-Orders[[#This Row],[orderDate]]</f>
        <v>28</v>
      </c>
      <c r="P822" t="e">
        <f>Orders[[#This Row],[shippedDate]]-Orders[[#This Row],[orderDate]]</f>
        <v>#VALUE!</v>
      </c>
      <c r="Q822" t="e">
        <f>Orders[[#This Row],[requiredDate]]-Orders[[#This Row],[shippedDate]]</f>
        <v>#VALUE!</v>
      </c>
    </row>
    <row r="823" spans="1:17" x14ac:dyDescent="0.2">
      <c r="A823">
        <v>11069</v>
      </c>
      <c r="B823" t="s">
        <v>130</v>
      </c>
      <c r="C823">
        <v>1</v>
      </c>
      <c r="D823" s="1">
        <v>35919</v>
      </c>
      <c r="E823" s="1">
        <v>35947</v>
      </c>
      <c r="F823" s="1">
        <v>35921</v>
      </c>
      <c r="G823">
        <v>2</v>
      </c>
      <c r="H823" s="2">
        <v>15.67</v>
      </c>
      <c r="I823" t="s">
        <v>131</v>
      </c>
      <c r="J823" t="s">
        <v>132</v>
      </c>
      <c r="K823" t="s">
        <v>71</v>
      </c>
      <c r="L823" t="s">
        <v>18</v>
      </c>
      <c r="M823">
        <v>5033</v>
      </c>
      <c r="N823" t="s">
        <v>72</v>
      </c>
      <c r="O823">
        <f>Orders[[#This Row],[requiredDate]]-Orders[[#This Row],[orderDate]]</f>
        <v>28</v>
      </c>
      <c r="P823">
        <f>Orders[[#This Row],[shippedDate]]-Orders[[#This Row],[orderDate]]</f>
        <v>2</v>
      </c>
      <c r="Q823">
        <f>Orders[[#This Row],[requiredDate]]-Orders[[#This Row],[shippedDate]]</f>
        <v>26</v>
      </c>
    </row>
    <row r="824" spans="1:17" x14ac:dyDescent="0.2">
      <c r="A824">
        <v>11070</v>
      </c>
      <c r="B824" t="s">
        <v>142</v>
      </c>
      <c r="C824">
        <v>2</v>
      </c>
      <c r="D824" s="1">
        <v>35920</v>
      </c>
      <c r="E824" s="1">
        <v>35948</v>
      </c>
      <c r="F824" t="s">
        <v>18</v>
      </c>
      <c r="G824">
        <v>1</v>
      </c>
      <c r="H824" s="2">
        <v>136</v>
      </c>
      <c r="I824" t="s">
        <v>143</v>
      </c>
      <c r="J824" t="s">
        <v>144</v>
      </c>
      <c r="K824" t="s">
        <v>145</v>
      </c>
      <c r="L824" t="s">
        <v>18</v>
      </c>
      <c r="M824">
        <v>60528</v>
      </c>
      <c r="N824" t="s">
        <v>24</v>
      </c>
      <c r="O824">
        <f>Orders[[#This Row],[requiredDate]]-Orders[[#This Row],[orderDate]]</f>
        <v>28</v>
      </c>
      <c r="P824" t="e">
        <f>Orders[[#This Row],[shippedDate]]-Orders[[#This Row],[orderDate]]</f>
        <v>#VALUE!</v>
      </c>
      <c r="Q824" t="e">
        <f>Orders[[#This Row],[requiredDate]]-Orders[[#This Row],[shippedDate]]</f>
        <v>#VALUE!</v>
      </c>
    </row>
    <row r="825" spans="1:17" x14ac:dyDescent="0.2">
      <c r="A825">
        <v>11071</v>
      </c>
      <c r="B825" t="s">
        <v>151</v>
      </c>
      <c r="C825">
        <v>1</v>
      </c>
      <c r="D825" s="1">
        <v>35920</v>
      </c>
      <c r="E825" s="1">
        <v>35948</v>
      </c>
      <c r="F825" t="s">
        <v>18</v>
      </c>
      <c r="G825">
        <v>1</v>
      </c>
      <c r="H825" s="2">
        <v>0.93</v>
      </c>
      <c r="I825" t="s">
        <v>152</v>
      </c>
      <c r="J825" t="s">
        <v>153</v>
      </c>
      <c r="K825" t="s">
        <v>154</v>
      </c>
      <c r="L825" t="s">
        <v>155</v>
      </c>
      <c r="M825">
        <v>3508</v>
      </c>
      <c r="N825" t="s">
        <v>62</v>
      </c>
      <c r="O825">
        <f>Orders[[#This Row],[requiredDate]]-Orders[[#This Row],[orderDate]]</f>
        <v>28</v>
      </c>
      <c r="P825" t="e">
        <f>Orders[[#This Row],[shippedDate]]-Orders[[#This Row],[orderDate]]</f>
        <v>#VALUE!</v>
      </c>
      <c r="Q825" t="e">
        <f>Orders[[#This Row],[requiredDate]]-Orders[[#This Row],[shippedDate]]</f>
        <v>#VALUE!</v>
      </c>
    </row>
    <row r="826" spans="1:17" x14ac:dyDescent="0.2">
      <c r="A826">
        <v>11072</v>
      </c>
      <c r="B826" t="s">
        <v>63</v>
      </c>
      <c r="C826">
        <v>4</v>
      </c>
      <c r="D826" s="1">
        <v>35920</v>
      </c>
      <c r="E826" s="1">
        <v>35948</v>
      </c>
      <c r="F826" t="s">
        <v>18</v>
      </c>
      <c r="G826">
        <v>2</v>
      </c>
      <c r="H826" s="2">
        <v>258.64</v>
      </c>
      <c r="I826" t="s">
        <v>64</v>
      </c>
      <c r="J826" t="s">
        <v>65</v>
      </c>
      <c r="K826" t="s">
        <v>66</v>
      </c>
      <c r="L826" t="s">
        <v>18</v>
      </c>
      <c r="M826">
        <v>8010</v>
      </c>
      <c r="N826" t="s">
        <v>67</v>
      </c>
      <c r="O826">
        <f>Orders[[#This Row],[requiredDate]]-Orders[[#This Row],[orderDate]]</f>
        <v>28</v>
      </c>
      <c r="P826" t="e">
        <f>Orders[[#This Row],[shippedDate]]-Orders[[#This Row],[orderDate]]</f>
        <v>#VALUE!</v>
      </c>
      <c r="Q826" t="e">
        <f>Orders[[#This Row],[requiredDate]]-Orders[[#This Row],[shippedDate]]</f>
        <v>#VALUE!</v>
      </c>
    </row>
    <row r="827" spans="1:17" x14ac:dyDescent="0.2">
      <c r="A827">
        <v>11073</v>
      </c>
      <c r="B827" t="s">
        <v>219</v>
      </c>
      <c r="C827">
        <v>2</v>
      </c>
      <c r="D827" s="1">
        <v>35920</v>
      </c>
      <c r="E827" s="1">
        <v>35948</v>
      </c>
      <c r="F827" t="s">
        <v>18</v>
      </c>
      <c r="G827">
        <v>2</v>
      </c>
      <c r="H827" s="2">
        <v>24.95</v>
      </c>
      <c r="I827" t="s">
        <v>220</v>
      </c>
      <c r="J827" t="s">
        <v>221</v>
      </c>
      <c r="K827" t="s">
        <v>71</v>
      </c>
      <c r="L827" t="s">
        <v>18</v>
      </c>
      <c r="M827">
        <v>5033</v>
      </c>
      <c r="N827" t="s">
        <v>72</v>
      </c>
      <c r="O827">
        <f>Orders[[#This Row],[requiredDate]]-Orders[[#This Row],[orderDate]]</f>
        <v>28</v>
      </c>
      <c r="P827" t="e">
        <f>Orders[[#This Row],[shippedDate]]-Orders[[#This Row],[orderDate]]</f>
        <v>#VALUE!</v>
      </c>
      <c r="Q827" t="e">
        <f>Orders[[#This Row],[requiredDate]]-Orders[[#This Row],[shippedDate]]</f>
        <v>#VALUE!</v>
      </c>
    </row>
    <row r="828" spans="1:17" x14ac:dyDescent="0.2">
      <c r="A828">
        <v>11074</v>
      </c>
      <c r="B828" t="s">
        <v>253</v>
      </c>
      <c r="C828">
        <v>7</v>
      </c>
      <c r="D828" s="1">
        <v>35921</v>
      </c>
      <c r="E828" s="1">
        <v>35949</v>
      </c>
      <c r="F828" t="s">
        <v>18</v>
      </c>
      <c r="G828">
        <v>2</v>
      </c>
      <c r="H828" s="2">
        <v>18.440000000000001</v>
      </c>
      <c r="I828" t="s">
        <v>254</v>
      </c>
      <c r="J828" t="s">
        <v>255</v>
      </c>
      <c r="K828" t="s">
        <v>256</v>
      </c>
      <c r="L828" t="s">
        <v>18</v>
      </c>
      <c r="M828">
        <v>1734</v>
      </c>
      <c r="N828" t="s">
        <v>257</v>
      </c>
      <c r="O828">
        <f>Orders[[#This Row],[requiredDate]]-Orders[[#This Row],[orderDate]]</f>
        <v>28</v>
      </c>
      <c r="P828" t="e">
        <f>Orders[[#This Row],[shippedDate]]-Orders[[#This Row],[orderDate]]</f>
        <v>#VALUE!</v>
      </c>
      <c r="Q828" t="e">
        <f>Orders[[#This Row],[requiredDate]]-Orders[[#This Row],[shippedDate]]</f>
        <v>#VALUE!</v>
      </c>
    </row>
    <row r="829" spans="1:17" x14ac:dyDescent="0.2">
      <c r="A829">
        <v>11075</v>
      </c>
      <c r="B829" t="s">
        <v>47</v>
      </c>
      <c r="C829">
        <v>8</v>
      </c>
      <c r="D829" s="1">
        <v>35921</v>
      </c>
      <c r="E829" s="1">
        <v>35949</v>
      </c>
      <c r="F829" t="s">
        <v>18</v>
      </c>
      <c r="G829">
        <v>2</v>
      </c>
      <c r="H829" s="2">
        <v>6.19</v>
      </c>
      <c r="I829" t="s">
        <v>48</v>
      </c>
      <c r="J829" t="s">
        <v>49</v>
      </c>
      <c r="K829" t="s">
        <v>50</v>
      </c>
      <c r="L829" t="s">
        <v>18</v>
      </c>
      <c r="M829">
        <v>1204</v>
      </c>
      <c r="N829" t="s">
        <v>46</v>
      </c>
      <c r="O829">
        <f>Orders[[#This Row],[requiredDate]]-Orders[[#This Row],[orderDate]]</f>
        <v>28</v>
      </c>
      <c r="P829" t="e">
        <f>Orders[[#This Row],[shippedDate]]-Orders[[#This Row],[orderDate]]</f>
        <v>#VALUE!</v>
      </c>
      <c r="Q829" t="e">
        <f>Orders[[#This Row],[requiredDate]]-Orders[[#This Row],[shippedDate]]</f>
        <v>#VALUE!</v>
      </c>
    </row>
    <row r="830" spans="1:17" x14ac:dyDescent="0.2">
      <c r="A830">
        <v>11076</v>
      </c>
      <c r="B830" t="s">
        <v>239</v>
      </c>
      <c r="C830">
        <v>4</v>
      </c>
      <c r="D830" s="1">
        <v>35921</v>
      </c>
      <c r="E830" s="1">
        <v>35949</v>
      </c>
      <c r="F830" t="s">
        <v>18</v>
      </c>
      <c r="G830">
        <v>2</v>
      </c>
      <c r="H830" s="2">
        <v>38.28</v>
      </c>
      <c r="I830" t="s">
        <v>240</v>
      </c>
      <c r="J830" t="s">
        <v>241</v>
      </c>
      <c r="K830" t="s">
        <v>242</v>
      </c>
      <c r="L830" t="s">
        <v>18</v>
      </c>
      <c r="M830">
        <v>13008</v>
      </c>
      <c r="N830" t="s">
        <v>19</v>
      </c>
      <c r="O830">
        <f>Orders[[#This Row],[requiredDate]]-Orders[[#This Row],[orderDate]]</f>
        <v>28</v>
      </c>
      <c r="P830" t="e">
        <f>Orders[[#This Row],[shippedDate]]-Orders[[#This Row],[orderDate]]</f>
        <v>#VALUE!</v>
      </c>
      <c r="Q830" t="e">
        <f>Orders[[#This Row],[requiredDate]]-Orders[[#This Row],[shippedDate]]</f>
        <v>#VALUE!</v>
      </c>
    </row>
    <row r="831" spans="1:17" x14ac:dyDescent="0.2">
      <c r="A831">
        <v>11077</v>
      </c>
      <c r="B831" t="s">
        <v>81</v>
      </c>
      <c r="C831">
        <v>1</v>
      </c>
      <c r="D831" s="1">
        <v>35921</v>
      </c>
      <c r="E831" s="1">
        <v>35949</v>
      </c>
      <c r="F831" t="s">
        <v>18</v>
      </c>
      <c r="G831">
        <v>2</v>
      </c>
      <c r="H831" s="2">
        <v>8.5299999999999994</v>
      </c>
      <c r="I831" t="s">
        <v>82</v>
      </c>
      <c r="J831" t="s">
        <v>83</v>
      </c>
      <c r="K831" t="s">
        <v>84</v>
      </c>
      <c r="L831" t="s">
        <v>85</v>
      </c>
      <c r="M831">
        <v>87110</v>
      </c>
      <c r="N831" t="s">
        <v>86</v>
      </c>
      <c r="O831">
        <f>Orders[[#This Row],[requiredDate]]-Orders[[#This Row],[orderDate]]</f>
        <v>28</v>
      </c>
      <c r="P831" t="e">
        <f>Orders[[#This Row],[shippedDate]]-Orders[[#This Row],[orderDate]]</f>
        <v>#VALUE!</v>
      </c>
      <c r="Q831" t="e">
        <f>Orders[[#This Row],[requiredDate]]-Orders[[#This Row],[shippedDate]]</f>
        <v>#VALUE!</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ED745-8E91-634A-9BF7-0CD4884D9C80}">
  <sheetPr codeName="Hoja7"/>
  <dimension ref="A1:E2156"/>
  <sheetViews>
    <sheetView workbookViewId="0">
      <selection activeCell="H18" sqref="H18"/>
    </sheetView>
  </sheetViews>
  <sheetFormatPr baseColWidth="10" defaultRowHeight="16" x14ac:dyDescent="0.2"/>
  <cols>
    <col min="2" max="3" width="11.6640625" customWidth="1"/>
  </cols>
  <sheetData>
    <row r="1" spans="1:5" x14ac:dyDescent="0.2">
      <c r="A1" t="s">
        <v>0</v>
      </c>
      <c r="B1" t="s">
        <v>417</v>
      </c>
      <c r="C1" t="s">
        <v>418</v>
      </c>
      <c r="D1" t="s">
        <v>419</v>
      </c>
      <c r="E1" t="s">
        <v>420</v>
      </c>
    </row>
    <row r="2" spans="1:5" x14ac:dyDescent="0.2">
      <c r="A2">
        <v>10248</v>
      </c>
      <c r="B2">
        <v>11</v>
      </c>
      <c r="C2" s="2">
        <v>14</v>
      </c>
      <c r="D2" s="2">
        <v>12</v>
      </c>
      <c r="E2" s="3">
        <v>0</v>
      </c>
    </row>
    <row r="3" spans="1:5" x14ac:dyDescent="0.2">
      <c r="A3">
        <v>10248</v>
      </c>
      <c r="B3">
        <v>42</v>
      </c>
      <c r="C3" s="2">
        <v>9.8000000000000007</v>
      </c>
      <c r="D3" s="2">
        <v>10</v>
      </c>
      <c r="E3" s="3">
        <v>0</v>
      </c>
    </row>
    <row r="4" spans="1:5" x14ac:dyDescent="0.2">
      <c r="A4">
        <v>10248</v>
      </c>
      <c r="B4">
        <v>72</v>
      </c>
      <c r="C4" s="2">
        <v>34.799999999999997</v>
      </c>
      <c r="D4" s="2">
        <v>5</v>
      </c>
      <c r="E4" s="3">
        <v>0</v>
      </c>
    </row>
    <row r="5" spans="1:5" x14ac:dyDescent="0.2">
      <c r="A5">
        <v>10249</v>
      </c>
      <c r="B5">
        <v>14</v>
      </c>
      <c r="C5" s="2">
        <v>18.600000000000001</v>
      </c>
      <c r="D5" s="2">
        <v>9</v>
      </c>
      <c r="E5" s="3">
        <v>0</v>
      </c>
    </row>
    <row r="6" spans="1:5" x14ac:dyDescent="0.2">
      <c r="A6">
        <v>10249</v>
      </c>
      <c r="B6">
        <v>51</v>
      </c>
      <c r="C6" s="2">
        <v>42.4</v>
      </c>
      <c r="D6" s="2">
        <v>40</v>
      </c>
      <c r="E6" s="3">
        <v>0</v>
      </c>
    </row>
    <row r="7" spans="1:5" x14ac:dyDescent="0.2">
      <c r="A7">
        <v>10250</v>
      </c>
      <c r="B7">
        <v>41</v>
      </c>
      <c r="C7" s="2">
        <v>7.7</v>
      </c>
      <c r="D7" s="2">
        <v>10</v>
      </c>
      <c r="E7" s="3">
        <v>0</v>
      </c>
    </row>
    <row r="8" spans="1:5" x14ac:dyDescent="0.2">
      <c r="A8">
        <v>10250</v>
      </c>
      <c r="B8">
        <v>51</v>
      </c>
      <c r="C8" s="2">
        <v>42.4</v>
      </c>
      <c r="D8" s="2">
        <v>35</v>
      </c>
      <c r="E8" s="3">
        <v>0.15</v>
      </c>
    </row>
    <row r="9" spans="1:5" x14ac:dyDescent="0.2">
      <c r="A9">
        <v>10250</v>
      </c>
      <c r="B9">
        <v>65</v>
      </c>
      <c r="C9" s="2">
        <v>16.8</v>
      </c>
      <c r="D9" s="2">
        <v>15</v>
      </c>
      <c r="E9" s="3">
        <v>0.15</v>
      </c>
    </row>
    <row r="10" spans="1:5" x14ac:dyDescent="0.2">
      <c r="A10">
        <v>10251</v>
      </c>
      <c r="B10">
        <v>22</v>
      </c>
      <c r="C10" s="2">
        <v>16.8</v>
      </c>
      <c r="D10" s="2">
        <v>6</v>
      </c>
      <c r="E10" s="3">
        <v>0.05</v>
      </c>
    </row>
    <row r="11" spans="1:5" x14ac:dyDescent="0.2">
      <c r="A11">
        <v>10251</v>
      </c>
      <c r="B11">
        <v>57</v>
      </c>
      <c r="C11" s="2">
        <v>15.6</v>
      </c>
      <c r="D11" s="2">
        <v>15</v>
      </c>
      <c r="E11" s="3">
        <v>0.05</v>
      </c>
    </row>
    <row r="12" spans="1:5" x14ac:dyDescent="0.2">
      <c r="A12">
        <v>10251</v>
      </c>
      <c r="B12">
        <v>65</v>
      </c>
      <c r="C12" s="2">
        <v>16.8</v>
      </c>
      <c r="D12" s="2">
        <v>20</v>
      </c>
      <c r="E12" s="3">
        <v>0</v>
      </c>
    </row>
    <row r="13" spans="1:5" x14ac:dyDescent="0.2">
      <c r="A13">
        <v>10252</v>
      </c>
      <c r="B13">
        <v>20</v>
      </c>
      <c r="C13" s="2">
        <v>64.8</v>
      </c>
      <c r="D13" s="2">
        <v>40</v>
      </c>
      <c r="E13" s="3">
        <v>0.05</v>
      </c>
    </row>
    <row r="14" spans="1:5" x14ac:dyDescent="0.2">
      <c r="A14">
        <v>10252</v>
      </c>
      <c r="B14">
        <v>33</v>
      </c>
      <c r="C14" s="2">
        <v>2</v>
      </c>
      <c r="D14" s="2">
        <v>25</v>
      </c>
      <c r="E14" s="3">
        <v>0.05</v>
      </c>
    </row>
    <row r="15" spans="1:5" x14ac:dyDescent="0.2">
      <c r="A15">
        <v>10252</v>
      </c>
      <c r="B15">
        <v>60</v>
      </c>
      <c r="C15" s="2">
        <v>27.2</v>
      </c>
      <c r="D15" s="2">
        <v>40</v>
      </c>
      <c r="E15" s="3">
        <v>0</v>
      </c>
    </row>
    <row r="16" spans="1:5" x14ac:dyDescent="0.2">
      <c r="A16">
        <v>10253</v>
      </c>
      <c r="B16">
        <v>31</v>
      </c>
      <c r="C16" s="2">
        <v>10</v>
      </c>
      <c r="D16" s="2">
        <v>20</v>
      </c>
      <c r="E16" s="3">
        <v>0</v>
      </c>
    </row>
    <row r="17" spans="1:5" x14ac:dyDescent="0.2">
      <c r="A17">
        <v>10253</v>
      </c>
      <c r="B17">
        <v>39</v>
      </c>
      <c r="C17" s="2">
        <v>14.4</v>
      </c>
      <c r="D17" s="2">
        <v>42</v>
      </c>
      <c r="E17" s="3">
        <v>0</v>
      </c>
    </row>
    <row r="18" spans="1:5" x14ac:dyDescent="0.2">
      <c r="A18">
        <v>10253</v>
      </c>
      <c r="B18">
        <v>49</v>
      </c>
      <c r="C18" s="2">
        <v>16</v>
      </c>
      <c r="D18" s="2">
        <v>40</v>
      </c>
      <c r="E18" s="3">
        <v>0</v>
      </c>
    </row>
    <row r="19" spans="1:5" x14ac:dyDescent="0.2">
      <c r="A19">
        <v>10254</v>
      </c>
      <c r="B19">
        <v>24</v>
      </c>
      <c r="C19" s="2">
        <v>3.6</v>
      </c>
      <c r="D19" s="2">
        <v>15</v>
      </c>
      <c r="E19" s="3">
        <v>0.15</v>
      </c>
    </row>
    <row r="20" spans="1:5" x14ac:dyDescent="0.2">
      <c r="A20">
        <v>10254</v>
      </c>
      <c r="B20">
        <v>55</v>
      </c>
      <c r="C20" s="2">
        <v>19.2</v>
      </c>
      <c r="D20" s="2">
        <v>21</v>
      </c>
      <c r="E20" s="3">
        <v>0.15</v>
      </c>
    </row>
    <row r="21" spans="1:5" x14ac:dyDescent="0.2">
      <c r="A21">
        <v>10254</v>
      </c>
      <c r="B21">
        <v>74</v>
      </c>
      <c r="C21" s="2">
        <v>8</v>
      </c>
      <c r="D21" s="2">
        <v>21</v>
      </c>
      <c r="E21" s="3">
        <v>0</v>
      </c>
    </row>
    <row r="22" spans="1:5" x14ac:dyDescent="0.2">
      <c r="A22">
        <v>10255</v>
      </c>
      <c r="B22">
        <v>2</v>
      </c>
      <c r="C22" s="2">
        <v>15.2</v>
      </c>
      <c r="D22" s="2">
        <v>20</v>
      </c>
      <c r="E22" s="3">
        <v>0</v>
      </c>
    </row>
    <row r="23" spans="1:5" x14ac:dyDescent="0.2">
      <c r="A23">
        <v>10255</v>
      </c>
      <c r="B23">
        <v>16</v>
      </c>
      <c r="C23" s="2">
        <v>13.9</v>
      </c>
      <c r="D23" s="2">
        <v>35</v>
      </c>
      <c r="E23" s="3">
        <v>0</v>
      </c>
    </row>
    <row r="24" spans="1:5" x14ac:dyDescent="0.2">
      <c r="A24">
        <v>10255</v>
      </c>
      <c r="B24">
        <v>36</v>
      </c>
      <c r="C24" s="2">
        <v>15.2</v>
      </c>
      <c r="D24" s="2">
        <v>25</v>
      </c>
      <c r="E24" s="3">
        <v>0</v>
      </c>
    </row>
    <row r="25" spans="1:5" x14ac:dyDescent="0.2">
      <c r="A25">
        <v>10255</v>
      </c>
      <c r="B25">
        <v>59</v>
      </c>
      <c r="C25" s="2">
        <v>44</v>
      </c>
      <c r="D25" s="2">
        <v>30</v>
      </c>
      <c r="E25" s="3">
        <v>0</v>
      </c>
    </row>
    <row r="26" spans="1:5" x14ac:dyDescent="0.2">
      <c r="A26">
        <v>10256</v>
      </c>
      <c r="B26">
        <v>53</v>
      </c>
      <c r="C26" s="2">
        <v>26.2</v>
      </c>
      <c r="D26" s="2">
        <v>15</v>
      </c>
      <c r="E26" s="3">
        <v>0</v>
      </c>
    </row>
    <row r="27" spans="1:5" x14ac:dyDescent="0.2">
      <c r="A27">
        <v>10256</v>
      </c>
      <c r="B27">
        <v>77</v>
      </c>
      <c r="C27" s="2">
        <v>10.4</v>
      </c>
      <c r="D27" s="2">
        <v>12</v>
      </c>
      <c r="E27" s="3">
        <v>0</v>
      </c>
    </row>
    <row r="28" spans="1:5" x14ac:dyDescent="0.2">
      <c r="A28">
        <v>10257</v>
      </c>
      <c r="B28">
        <v>27</v>
      </c>
      <c r="C28" s="2">
        <v>35.1</v>
      </c>
      <c r="D28" s="2">
        <v>25</v>
      </c>
      <c r="E28" s="3">
        <v>0</v>
      </c>
    </row>
    <row r="29" spans="1:5" x14ac:dyDescent="0.2">
      <c r="A29">
        <v>10257</v>
      </c>
      <c r="B29">
        <v>39</v>
      </c>
      <c r="C29" s="2">
        <v>14.4</v>
      </c>
      <c r="D29" s="2">
        <v>6</v>
      </c>
      <c r="E29" s="3">
        <v>0</v>
      </c>
    </row>
    <row r="30" spans="1:5" x14ac:dyDescent="0.2">
      <c r="A30">
        <v>10257</v>
      </c>
      <c r="B30">
        <v>77</v>
      </c>
      <c r="C30" s="2">
        <v>10.4</v>
      </c>
      <c r="D30" s="2">
        <v>15</v>
      </c>
      <c r="E30" s="3">
        <v>0</v>
      </c>
    </row>
    <row r="31" spans="1:5" x14ac:dyDescent="0.2">
      <c r="A31">
        <v>10258</v>
      </c>
      <c r="B31">
        <v>2</v>
      </c>
      <c r="C31" s="2">
        <v>15.2</v>
      </c>
      <c r="D31" s="2">
        <v>50</v>
      </c>
      <c r="E31" s="3">
        <v>0.2</v>
      </c>
    </row>
    <row r="32" spans="1:5" x14ac:dyDescent="0.2">
      <c r="A32">
        <v>10258</v>
      </c>
      <c r="B32">
        <v>5</v>
      </c>
      <c r="C32" s="2">
        <v>17</v>
      </c>
      <c r="D32" s="2">
        <v>65</v>
      </c>
      <c r="E32" s="3">
        <v>0.2</v>
      </c>
    </row>
    <row r="33" spans="1:5" x14ac:dyDescent="0.2">
      <c r="A33">
        <v>10258</v>
      </c>
      <c r="B33">
        <v>32</v>
      </c>
      <c r="C33" s="2">
        <v>25.6</v>
      </c>
      <c r="D33" s="2">
        <v>6</v>
      </c>
      <c r="E33" s="3">
        <v>0.2</v>
      </c>
    </row>
    <row r="34" spans="1:5" x14ac:dyDescent="0.2">
      <c r="A34">
        <v>10259</v>
      </c>
      <c r="B34">
        <v>21</v>
      </c>
      <c r="C34" s="2">
        <v>8</v>
      </c>
      <c r="D34" s="2">
        <v>10</v>
      </c>
      <c r="E34" s="3">
        <v>0</v>
      </c>
    </row>
    <row r="35" spans="1:5" x14ac:dyDescent="0.2">
      <c r="A35">
        <v>10259</v>
      </c>
      <c r="B35">
        <v>37</v>
      </c>
      <c r="C35" s="2">
        <v>20.8</v>
      </c>
      <c r="D35" s="2">
        <v>1</v>
      </c>
      <c r="E35" s="3">
        <v>0</v>
      </c>
    </row>
    <row r="36" spans="1:5" x14ac:dyDescent="0.2">
      <c r="A36">
        <v>10260</v>
      </c>
      <c r="B36">
        <v>41</v>
      </c>
      <c r="C36" s="2">
        <v>7.7</v>
      </c>
      <c r="D36" s="2">
        <v>16</v>
      </c>
      <c r="E36" s="3">
        <v>0.25</v>
      </c>
    </row>
    <row r="37" spans="1:5" x14ac:dyDescent="0.2">
      <c r="A37">
        <v>10260</v>
      </c>
      <c r="B37">
        <v>57</v>
      </c>
      <c r="C37" s="2">
        <v>15.6</v>
      </c>
      <c r="D37" s="2">
        <v>50</v>
      </c>
      <c r="E37" s="3">
        <v>0</v>
      </c>
    </row>
    <row r="38" spans="1:5" x14ac:dyDescent="0.2">
      <c r="A38">
        <v>10260</v>
      </c>
      <c r="B38">
        <v>62</v>
      </c>
      <c r="C38" s="2">
        <v>39.4</v>
      </c>
      <c r="D38" s="2">
        <v>15</v>
      </c>
      <c r="E38" s="3">
        <v>0.25</v>
      </c>
    </row>
    <row r="39" spans="1:5" x14ac:dyDescent="0.2">
      <c r="A39">
        <v>10260</v>
      </c>
      <c r="B39">
        <v>70</v>
      </c>
      <c r="C39" s="2">
        <v>12</v>
      </c>
      <c r="D39" s="2">
        <v>21</v>
      </c>
      <c r="E39" s="3">
        <v>0.25</v>
      </c>
    </row>
    <row r="40" spans="1:5" x14ac:dyDescent="0.2">
      <c r="A40">
        <v>10261</v>
      </c>
      <c r="B40">
        <v>21</v>
      </c>
      <c r="C40" s="2">
        <v>8</v>
      </c>
      <c r="D40" s="2">
        <v>20</v>
      </c>
      <c r="E40" s="3">
        <v>0</v>
      </c>
    </row>
    <row r="41" spans="1:5" x14ac:dyDescent="0.2">
      <c r="A41">
        <v>10261</v>
      </c>
      <c r="B41">
        <v>35</v>
      </c>
      <c r="C41" s="2">
        <v>14.4</v>
      </c>
      <c r="D41" s="2">
        <v>20</v>
      </c>
      <c r="E41" s="3">
        <v>0</v>
      </c>
    </row>
    <row r="42" spans="1:5" x14ac:dyDescent="0.2">
      <c r="A42">
        <v>10262</v>
      </c>
      <c r="B42">
        <v>5</v>
      </c>
      <c r="C42" s="2">
        <v>17</v>
      </c>
      <c r="D42" s="2">
        <v>12</v>
      </c>
      <c r="E42" s="3">
        <v>0.2</v>
      </c>
    </row>
    <row r="43" spans="1:5" x14ac:dyDescent="0.2">
      <c r="A43">
        <v>10262</v>
      </c>
      <c r="B43">
        <v>7</v>
      </c>
      <c r="C43" s="2">
        <v>24</v>
      </c>
      <c r="D43" s="2">
        <v>15</v>
      </c>
      <c r="E43" s="3">
        <v>0</v>
      </c>
    </row>
    <row r="44" spans="1:5" x14ac:dyDescent="0.2">
      <c r="A44">
        <v>10262</v>
      </c>
      <c r="B44">
        <v>56</v>
      </c>
      <c r="C44" s="2">
        <v>30.4</v>
      </c>
      <c r="D44" s="2">
        <v>2</v>
      </c>
      <c r="E44" s="3">
        <v>0</v>
      </c>
    </row>
    <row r="45" spans="1:5" x14ac:dyDescent="0.2">
      <c r="A45">
        <v>10263</v>
      </c>
      <c r="B45">
        <v>16</v>
      </c>
      <c r="C45" s="2">
        <v>13.9</v>
      </c>
      <c r="D45" s="2">
        <v>60</v>
      </c>
      <c r="E45" s="3">
        <v>0.25</v>
      </c>
    </row>
    <row r="46" spans="1:5" x14ac:dyDescent="0.2">
      <c r="A46">
        <v>10263</v>
      </c>
      <c r="B46">
        <v>24</v>
      </c>
      <c r="C46" s="2">
        <v>3.6</v>
      </c>
      <c r="D46" s="2">
        <v>28</v>
      </c>
      <c r="E46" s="3">
        <v>0</v>
      </c>
    </row>
    <row r="47" spans="1:5" x14ac:dyDescent="0.2">
      <c r="A47">
        <v>10263</v>
      </c>
      <c r="B47">
        <v>30</v>
      </c>
      <c r="C47" s="2">
        <v>20.7</v>
      </c>
      <c r="D47" s="2">
        <v>60</v>
      </c>
      <c r="E47" s="3">
        <v>0.25</v>
      </c>
    </row>
    <row r="48" spans="1:5" x14ac:dyDescent="0.2">
      <c r="A48">
        <v>10263</v>
      </c>
      <c r="B48">
        <v>74</v>
      </c>
      <c r="C48" s="2">
        <v>8</v>
      </c>
      <c r="D48" s="2">
        <v>36</v>
      </c>
      <c r="E48" s="3">
        <v>0.25</v>
      </c>
    </row>
    <row r="49" spans="1:5" x14ac:dyDescent="0.2">
      <c r="A49">
        <v>10264</v>
      </c>
      <c r="B49">
        <v>2</v>
      </c>
      <c r="C49" s="2">
        <v>15.2</v>
      </c>
      <c r="D49" s="2">
        <v>35</v>
      </c>
      <c r="E49" s="3">
        <v>0</v>
      </c>
    </row>
    <row r="50" spans="1:5" x14ac:dyDescent="0.2">
      <c r="A50">
        <v>10264</v>
      </c>
      <c r="B50">
        <v>41</v>
      </c>
      <c r="C50" s="2">
        <v>7.7</v>
      </c>
      <c r="D50" s="2">
        <v>25</v>
      </c>
      <c r="E50" s="3">
        <v>0.15</v>
      </c>
    </row>
    <row r="51" spans="1:5" x14ac:dyDescent="0.2">
      <c r="A51">
        <v>10265</v>
      </c>
      <c r="B51">
        <v>17</v>
      </c>
      <c r="C51" s="2">
        <v>31.2</v>
      </c>
      <c r="D51" s="2">
        <v>30</v>
      </c>
      <c r="E51" s="3">
        <v>0</v>
      </c>
    </row>
    <row r="52" spans="1:5" x14ac:dyDescent="0.2">
      <c r="A52">
        <v>10265</v>
      </c>
      <c r="B52">
        <v>70</v>
      </c>
      <c r="C52" s="2">
        <v>12</v>
      </c>
      <c r="D52" s="2">
        <v>20</v>
      </c>
      <c r="E52" s="3">
        <v>0</v>
      </c>
    </row>
    <row r="53" spans="1:5" x14ac:dyDescent="0.2">
      <c r="A53">
        <v>10266</v>
      </c>
      <c r="B53">
        <v>12</v>
      </c>
      <c r="C53" s="2">
        <v>30.4</v>
      </c>
      <c r="D53" s="2">
        <v>12</v>
      </c>
      <c r="E53" s="3">
        <v>0.05</v>
      </c>
    </row>
    <row r="54" spans="1:5" x14ac:dyDescent="0.2">
      <c r="A54">
        <v>10267</v>
      </c>
      <c r="B54">
        <v>40</v>
      </c>
      <c r="C54" s="2">
        <v>14.7</v>
      </c>
      <c r="D54" s="2">
        <v>50</v>
      </c>
      <c r="E54" s="3">
        <v>0</v>
      </c>
    </row>
    <row r="55" spans="1:5" x14ac:dyDescent="0.2">
      <c r="A55">
        <v>10267</v>
      </c>
      <c r="B55">
        <v>59</v>
      </c>
      <c r="C55" s="2">
        <v>44</v>
      </c>
      <c r="D55" s="2">
        <v>70</v>
      </c>
      <c r="E55" s="3">
        <v>0.15</v>
      </c>
    </row>
    <row r="56" spans="1:5" x14ac:dyDescent="0.2">
      <c r="A56">
        <v>10267</v>
      </c>
      <c r="B56">
        <v>76</v>
      </c>
      <c r="C56" s="2">
        <v>14.4</v>
      </c>
      <c r="D56" s="2">
        <v>15</v>
      </c>
      <c r="E56" s="3">
        <v>0.15</v>
      </c>
    </row>
    <row r="57" spans="1:5" x14ac:dyDescent="0.2">
      <c r="A57">
        <v>10268</v>
      </c>
      <c r="B57">
        <v>29</v>
      </c>
      <c r="C57" s="2">
        <v>99</v>
      </c>
      <c r="D57" s="2">
        <v>10</v>
      </c>
      <c r="E57" s="3">
        <v>0</v>
      </c>
    </row>
    <row r="58" spans="1:5" x14ac:dyDescent="0.2">
      <c r="A58">
        <v>10268</v>
      </c>
      <c r="B58">
        <v>72</v>
      </c>
      <c r="C58" s="2">
        <v>27.8</v>
      </c>
      <c r="D58" s="2">
        <v>4</v>
      </c>
      <c r="E58" s="3">
        <v>0</v>
      </c>
    </row>
    <row r="59" spans="1:5" x14ac:dyDescent="0.2">
      <c r="A59">
        <v>10269</v>
      </c>
      <c r="B59">
        <v>33</v>
      </c>
      <c r="C59" s="2">
        <v>2</v>
      </c>
      <c r="D59" s="2">
        <v>60</v>
      </c>
      <c r="E59" s="3">
        <v>0.05</v>
      </c>
    </row>
    <row r="60" spans="1:5" x14ac:dyDescent="0.2">
      <c r="A60">
        <v>10269</v>
      </c>
      <c r="B60">
        <v>72</v>
      </c>
      <c r="C60" s="2">
        <v>27.8</v>
      </c>
      <c r="D60" s="2">
        <v>20</v>
      </c>
      <c r="E60" s="3">
        <v>0.05</v>
      </c>
    </row>
    <row r="61" spans="1:5" x14ac:dyDescent="0.2">
      <c r="A61">
        <v>10270</v>
      </c>
      <c r="B61">
        <v>36</v>
      </c>
      <c r="C61" s="2">
        <v>15.2</v>
      </c>
      <c r="D61" s="2">
        <v>30</v>
      </c>
      <c r="E61" s="3">
        <v>0</v>
      </c>
    </row>
    <row r="62" spans="1:5" x14ac:dyDescent="0.2">
      <c r="A62">
        <v>10270</v>
      </c>
      <c r="B62">
        <v>43</v>
      </c>
      <c r="C62" s="2">
        <v>36.799999999999997</v>
      </c>
      <c r="D62" s="2">
        <v>25</v>
      </c>
      <c r="E62" s="3">
        <v>0</v>
      </c>
    </row>
    <row r="63" spans="1:5" x14ac:dyDescent="0.2">
      <c r="A63">
        <v>10271</v>
      </c>
      <c r="B63">
        <v>33</v>
      </c>
      <c r="C63" s="2">
        <v>2</v>
      </c>
      <c r="D63" s="2">
        <v>24</v>
      </c>
      <c r="E63" s="3">
        <v>0</v>
      </c>
    </row>
    <row r="64" spans="1:5" x14ac:dyDescent="0.2">
      <c r="A64">
        <v>10272</v>
      </c>
      <c r="B64">
        <v>20</v>
      </c>
      <c r="C64" s="2">
        <v>64.8</v>
      </c>
      <c r="D64" s="2">
        <v>6</v>
      </c>
      <c r="E64" s="3">
        <v>0</v>
      </c>
    </row>
    <row r="65" spans="1:5" x14ac:dyDescent="0.2">
      <c r="A65">
        <v>10272</v>
      </c>
      <c r="B65">
        <v>31</v>
      </c>
      <c r="C65" s="2">
        <v>10</v>
      </c>
      <c r="D65" s="2">
        <v>40</v>
      </c>
      <c r="E65" s="3">
        <v>0</v>
      </c>
    </row>
    <row r="66" spans="1:5" x14ac:dyDescent="0.2">
      <c r="A66">
        <v>10272</v>
      </c>
      <c r="B66">
        <v>72</v>
      </c>
      <c r="C66" s="2">
        <v>27.8</v>
      </c>
      <c r="D66" s="2">
        <v>24</v>
      </c>
      <c r="E66" s="3">
        <v>0</v>
      </c>
    </row>
    <row r="67" spans="1:5" x14ac:dyDescent="0.2">
      <c r="A67">
        <v>10273</v>
      </c>
      <c r="B67">
        <v>10</v>
      </c>
      <c r="C67" s="2">
        <v>24.8</v>
      </c>
      <c r="D67" s="2">
        <v>24</v>
      </c>
      <c r="E67" s="3">
        <v>0.05</v>
      </c>
    </row>
    <row r="68" spans="1:5" x14ac:dyDescent="0.2">
      <c r="A68">
        <v>10273</v>
      </c>
      <c r="B68">
        <v>31</v>
      </c>
      <c r="C68" s="2">
        <v>10</v>
      </c>
      <c r="D68" s="2">
        <v>15</v>
      </c>
      <c r="E68" s="3">
        <v>0.05</v>
      </c>
    </row>
    <row r="69" spans="1:5" x14ac:dyDescent="0.2">
      <c r="A69">
        <v>10273</v>
      </c>
      <c r="B69">
        <v>33</v>
      </c>
      <c r="C69" s="2">
        <v>2</v>
      </c>
      <c r="D69" s="2">
        <v>20</v>
      </c>
      <c r="E69" s="3">
        <v>0</v>
      </c>
    </row>
    <row r="70" spans="1:5" x14ac:dyDescent="0.2">
      <c r="A70">
        <v>10273</v>
      </c>
      <c r="B70">
        <v>40</v>
      </c>
      <c r="C70" s="2">
        <v>14.7</v>
      </c>
      <c r="D70" s="2">
        <v>60</v>
      </c>
      <c r="E70" s="3">
        <v>0.05</v>
      </c>
    </row>
    <row r="71" spans="1:5" x14ac:dyDescent="0.2">
      <c r="A71">
        <v>10273</v>
      </c>
      <c r="B71">
        <v>76</v>
      </c>
      <c r="C71" s="2">
        <v>14.4</v>
      </c>
      <c r="D71" s="2">
        <v>33</v>
      </c>
      <c r="E71" s="3">
        <v>0.05</v>
      </c>
    </row>
    <row r="72" spans="1:5" x14ac:dyDescent="0.2">
      <c r="A72">
        <v>10274</v>
      </c>
      <c r="B72">
        <v>71</v>
      </c>
      <c r="C72" s="2">
        <v>17.2</v>
      </c>
      <c r="D72" s="2">
        <v>20</v>
      </c>
      <c r="E72" s="3">
        <v>0</v>
      </c>
    </row>
    <row r="73" spans="1:5" x14ac:dyDescent="0.2">
      <c r="A73">
        <v>10274</v>
      </c>
      <c r="B73">
        <v>72</v>
      </c>
      <c r="C73" s="2">
        <v>27.8</v>
      </c>
      <c r="D73" s="2">
        <v>7</v>
      </c>
      <c r="E73" s="3">
        <v>0</v>
      </c>
    </row>
    <row r="74" spans="1:5" x14ac:dyDescent="0.2">
      <c r="A74">
        <v>10275</v>
      </c>
      <c r="B74">
        <v>24</v>
      </c>
      <c r="C74" s="2">
        <v>3.6</v>
      </c>
      <c r="D74" s="2">
        <v>12</v>
      </c>
      <c r="E74" s="3">
        <v>0.05</v>
      </c>
    </row>
    <row r="75" spans="1:5" x14ac:dyDescent="0.2">
      <c r="A75">
        <v>10275</v>
      </c>
      <c r="B75">
        <v>59</v>
      </c>
      <c r="C75" s="2">
        <v>44</v>
      </c>
      <c r="D75" s="2">
        <v>6</v>
      </c>
      <c r="E75" s="3">
        <v>0.05</v>
      </c>
    </row>
    <row r="76" spans="1:5" x14ac:dyDescent="0.2">
      <c r="A76">
        <v>10276</v>
      </c>
      <c r="B76">
        <v>10</v>
      </c>
      <c r="C76" s="2">
        <v>24.8</v>
      </c>
      <c r="D76" s="2">
        <v>15</v>
      </c>
      <c r="E76" s="3">
        <v>0</v>
      </c>
    </row>
    <row r="77" spans="1:5" x14ac:dyDescent="0.2">
      <c r="A77">
        <v>10276</v>
      </c>
      <c r="B77">
        <v>13</v>
      </c>
      <c r="C77" s="2">
        <v>4.8</v>
      </c>
      <c r="D77" s="2">
        <v>10</v>
      </c>
      <c r="E77" s="3">
        <v>0</v>
      </c>
    </row>
    <row r="78" spans="1:5" x14ac:dyDescent="0.2">
      <c r="A78">
        <v>10277</v>
      </c>
      <c r="B78">
        <v>28</v>
      </c>
      <c r="C78" s="2">
        <v>36.4</v>
      </c>
      <c r="D78" s="2">
        <v>20</v>
      </c>
      <c r="E78" s="3">
        <v>0</v>
      </c>
    </row>
    <row r="79" spans="1:5" x14ac:dyDescent="0.2">
      <c r="A79">
        <v>10277</v>
      </c>
      <c r="B79">
        <v>62</v>
      </c>
      <c r="C79" s="2">
        <v>39.4</v>
      </c>
      <c r="D79" s="2">
        <v>12</v>
      </c>
      <c r="E79" s="3">
        <v>0</v>
      </c>
    </row>
    <row r="80" spans="1:5" x14ac:dyDescent="0.2">
      <c r="A80">
        <v>10278</v>
      </c>
      <c r="B80">
        <v>44</v>
      </c>
      <c r="C80" s="2">
        <v>15.5</v>
      </c>
      <c r="D80" s="2">
        <v>16</v>
      </c>
      <c r="E80" s="3">
        <v>0</v>
      </c>
    </row>
    <row r="81" spans="1:5" x14ac:dyDescent="0.2">
      <c r="A81">
        <v>10278</v>
      </c>
      <c r="B81">
        <v>59</v>
      </c>
      <c r="C81" s="2">
        <v>44</v>
      </c>
      <c r="D81" s="2">
        <v>15</v>
      </c>
      <c r="E81" s="3">
        <v>0</v>
      </c>
    </row>
    <row r="82" spans="1:5" x14ac:dyDescent="0.2">
      <c r="A82">
        <v>10278</v>
      </c>
      <c r="B82">
        <v>63</v>
      </c>
      <c r="C82" s="2">
        <v>35.1</v>
      </c>
      <c r="D82" s="2">
        <v>8</v>
      </c>
      <c r="E82" s="3">
        <v>0</v>
      </c>
    </row>
    <row r="83" spans="1:5" x14ac:dyDescent="0.2">
      <c r="A83">
        <v>10278</v>
      </c>
      <c r="B83">
        <v>73</v>
      </c>
      <c r="C83" s="2">
        <v>12</v>
      </c>
      <c r="D83" s="2">
        <v>25</v>
      </c>
      <c r="E83" s="3">
        <v>0</v>
      </c>
    </row>
    <row r="84" spans="1:5" x14ac:dyDescent="0.2">
      <c r="A84">
        <v>10279</v>
      </c>
      <c r="B84">
        <v>17</v>
      </c>
      <c r="C84" s="2">
        <v>31.2</v>
      </c>
      <c r="D84" s="2">
        <v>15</v>
      </c>
      <c r="E84" s="3">
        <v>0.25</v>
      </c>
    </row>
    <row r="85" spans="1:5" x14ac:dyDescent="0.2">
      <c r="A85">
        <v>10280</v>
      </c>
      <c r="B85">
        <v>24</v>
      </c>
      <c r="C85" s="2">
        <v>3.6</v>
      </c>
      <c r="D85" s="2">
        <v>12</v>
      </c>
      <c r="E85" s="3">
        <v>0</v>
      </c>
    </row>
    <row r="86" spans="1:5" x14ac:dyDescent="0.2">
      <c r="A86">
        <v>10280</v>
      </c>
      <c r="B86">
        <v>55</v>
      </c>
      <c r="C86" s="2">
        <v>19.2</v>
      </c>
      <c r="D86" s="2">
        <v>20</v>
      </c>
      <c r="E86" s="3">
        <v>0</v>
      </c>
    </row>
    <row r="87" spans="1:5" x14ac:dyDescent="0.2">
      <c r="A87">
        <v>10280</v>
      </c>
      <c r="B87">
        <v>75</v>
      </c>
      <c r="C87" s="2">
        <v>6.2</v>
      </c>
      <c r="D87" s="2">
        <v>30</v>
      </c>
      <c r="E87" s="3">
        <v>0</v>
      </c>
    </row>
    <row r="88" spans="1:5" x14ac:dyDescent="0.2">
      <c r="A88">
        <v>10281</v>
      </c>
      <c r="B88">
        <v>19</v>
      </c>
      <c r="C88" s="2">
        <v>7.3</v>
      </c>
      <c r="D88" s="2">
        <v>1</v>
      </c>
      <c r="E88" s="3">
        <v>0</v>
      </c>
    </row>
    <row r="89" spans="1:5" x14ac:dyDescent="0.2">
      <c r="A89">
        <v>10281</v>
      </c>
      <c r="B89">
        <v>24</v>
      </c>
      <c r="C89" s="2">
        <v>3.6</v>
      </c>
      <c r="D89" s="2">
        <v>6</v>
      </c>
      <c r="E89" s="3">
        <v>0</v>
      </c>
    </row>
    <row r="90" spans="1:5" x14ac:dyDescent="0.2">
      <c r="A90">
        <v>10281</v>
      </c>
      <c r="B90">
        <v>35</v>
      </c>
      <c r="C90" s="2">
        <v>14.4</v>
      </c>
      <c r="D90" s="2">
        <v>4</v>
      </c>
      <c r="E90" s="3">
        <v>0</v>
      </c>
    </row>
    <row r="91" spans="1:5" x14ac:dyDescent="0.2">
      <c r="A91">
        <v>10282</v>
      </c>
      <c r="B91">
        <v>30</v>
      </c>
      <c r="C91" s="2">
        <v>20.7</v>
      </c>
      <c r="D91" s="2">
        <v>6</v>
      </c>
      <c r="E91" s="3">
        <v>0</v>
      </c>
    </row>
    <row r="92" spans="1:5" x14ac:dyDescent="0.2">
      <c r="A92">
        <v>10282</v>
      </c>
      <c r="B92">
        <v>57</v>
      </c>
      <c r="C92" s="2">
        <v>15.6</v>
      </c>
      <c r="D92" s="2">
        <v>2</v>
      </c>
      <c r="E92" s="3">
        <v>0</v>
      </c>
    </row>
    <row r="93" spans="1:5" x14ac:dyDescent="0.2">
      <c r="A93">
        <v>10283</v>
      </c>
      <c r="B93">
        <v>15</v>
      </c>
      <c r="C93" s="2">
        <v>12.4</v>
      </c>
      <c r="D93" s="2">
        <v>20</v>
      </c>
      <c r="E93" s="3">
        <v>0</v>
      </c>
    </row>
    <row r="94" spans="1:5" x14ac:dyDescent="0.2">
      <c r="A94">
        <v>10283</v>
      </c>
      <c r="B94">
        <v>19</v>
      </c>
      <c r="C94" s="2">
        <v>7.3</v>
      </c>
      <c r="D94" s="2">
        <v>18</v>
      </c>
      <c r="E94" s="3">
        <v>0</v>
      </c>
    </row>
    <row r="95" spans="1:5" x14ac:dyDescent="0.2">
      <c r="A95">
        <v>10283</v>
      </c>
      <c r="B95">
        <v>60</v>
      </c>
      <c r="C95" s="2">
        <v>27.2</v>
      </c>
      <c r="D95" s="2">
        <v>35</v>
      </c>
      <c r="E95" s="3">
        <v>0</v>
      </c>
    </row>
    <row r="96" spans="1:5" x14ac:dyDescent="0.2">
      <c r="A96">
        <v>10283</v>
      </c>
      <c r="B96">
        <v>72</v>
      </c>
      <c r="C96" s="2">
        <v>27.8</v>
      </c>
      <c r="D96" s="2">
        <v>3</v>
      </c>
      <c r="E96" s="3">
        <v>0</v>
      </c>
    </row>
    <row r="97" spans="1:5" x14ac:dyDescent="0.2">
      <c r="A97">
        <v>10284</v>
      </c>
      <c r="B97">
        <v>27</v>
      </c>
      <c r="C97" s="2">
        <v>35.1</v>
      </c>
      <c r="D97" s="2">
        <v>15</v>
      </c>
      <c r="E97" s="3">
        <v>0.25</v>
      </c>
    </row>
    <row r="98" spans="1:5" x14ac:dyDescent="0.2">
      <c r="A98">
        <v>10284</v>
      </c>
      <c r="B98">
        <v>44</v>
      </c>
      <c r="C98" s="2">
        <v>15.5</v>
      </c>
      <c r="D98" s="2">
        <v>21</v>
      </c>
      <c r="E98" s="3">
        <v>0</v>
      </c>
    </row>
    <row r="99" spans="1:5" x14ac:dyDescent="0.2">
      <c r="A99">
        <v>10284</v>
      </c>
      <c r="B99">
        <v>60</v>
      </c>
      <c r="C99" s="2">
        <v>27.2</v>
      </c>
      <c r="D99" s="2">
        <v>20</v>
      </c>
      <c r="E99" s="3">
        <v>0.25</v>
      </c>
    </row>
    <row r="100" spans="1:5" x14ac:dyDescent="0.2">
      <c r="A100">
        <v>10284</v>
      </c>
      <c r="B100">
        <v>67</v>
      </c>
      <c r="C100" s="2">
        <v>11.2</v>
      </c>
      <c r="D100" s="2">
        <v>5</v>
      </c>
      <c r="E100" s="3">
        <v>0.25</v>
      </c>
    </row>
    <row r="101" spans="1:5" x14ac:dyDescent="0.2">
      <c r="A101">
        <v>10285</v>
      </c>
      <c r="B101">
        <v>1</v>
      </c>
      <c r="C101" s="2">
        <v>14.4</v>
      </c>
      <c r="D101" s="2">
        <v>45</v>
      </c>
      <c r="E101" s="3">
        <v>0.2</v>
      </c>
    </row>
    <row r="102" spans="1:5" x14ac:dyDescent="0.2">
      <c r="A102">
        <v>10285</v>
      </c>
      <c r="B102">
        <v>40</v>
      </c>
      <c r="C102" s="2">
        <v>14.7</v>
      </c>
      <c r="D102" s="2">
        <v>40</v>
      </c>
      <c r="E102" s="3">
        <v>0.2</v>
      </c>
    </row>
    <row r="103" spans="1:5" x14ac:dyDescent="0.2">
      <c r="A103">
        <v>10285</v>
      </c>
      <c r="B103">
        <v>53</v>
      </c>
      <c r="C103" s="2">
        <v>26.2</v>
      </c>
      <c r="D103" s="2">
        <v>36</v>
      </c>
      <c r="E103" s="3">
        <v>0.2</v>
      </c>
    </row>
    <row r="104" spans="1:5" x14ac:dyDescent="0.2">
      <c r="A104">
        <v>10286</v>
      </c>
      <c r="B104">
        <v>35</v>
      </c>
      <c r="C104" s="2">
        <v>14.4</v>
      </c>
      <c r="D104" s="2">
        <v>100</v>
      </c>
      <c r="E104" s="3">
        <v>0</v>
      </c>
    </row>
    <row r="105" spans="1:5" x14ac:dyDescent="0.2">
      <c r="A105">
        <v>10286</v>
      </c>
      <c r="B105">
        <v>62</v>
      </c>
      <c r="C105" s="2">
        <v>39.4</v>
      </c>
      <c r="D105" s="2">
        <v>40</v>
      </c>
      <c r="E105" s="3">
        <v>0</v>
      </c>
    </row>
    <row r="106" spans="1:5" x14ac:dyDescent="0.2">
      <c r="A106">
        <v>10287</v>
      </c>
      <c r="B106">
        <v>16</v>
      </c>
      <c r="C106" s="2">
        <v>13.9</v>
      </c>
      <c r="D106" s="2">
        <v>40</v>
      </c>
      <c r="E106" s="3">
        <v>0.15</v>
      </c>
    </row>
    <row r="107" spans="1:5" x14ac:dyDescent="0.2">
      <c r="A107">
        <v>10287</v>
      </c>
      <c r="B107">
        <v>34</v>
      </c>
      <c r="C107" s="2">
        <v>11.2</v>
      </c>
      <c r="D107" s="2">
        <v>20</v>
      </c>
      <c r="E107" s="3">
        <v>0</v>
      </c>
    </row>
    <row r="108" spans="1:5" x14ac:dyDescent="0.2">
      <c r="A108">
        <v>10287</v>
      </c>
      <c r="B108">
        <v>46</v>
      </c>
      <c r="C108" s="2">
        <v>9.6</v>
      </c>
      <c r="D108" s="2">
        <v>15</v>
      </c>
      <c r="E108" s="3">
        <v>0.15</v>
      </c>
    </row>
    <row r="109" spans="1:5" x14ac:dyDescent="0.2">
      <c r="A109">
        <v>10288</v>
      </c>
      <c r="B109">
        <v>54</v>
      </c>
      <c r="C109" s="2">
        <v>5.9</v>
      </c>
      <c r="D109" s="2">
        <v>10</v>
      </c>
      <c r="E109" s="3">
        <v>0.1</v>
      </c>
    </row>
    <row r="110" spans="1:5" x14ac:dyDescent="0.2">
      <c r="A110">
        <v>10288</v>
      </c>
      <c r="B110">
        <v>68</v>
      </c>
      <c r="C110" s="2">
        <v>10</v>
      </c>
      <c r="D110" s="2">
        <v>3</v>
      </c>
      <c r="E110" s="3">
        <v>0.1</v>
      </c>
    </row>
    <row r="111" spans="1:5" x14ac:dyDescent="0.2">
      <c r="A111">
        <v>10289</v>
      </c>
      <c r="B111">
        <v>3</v>
      </c>
      <c r="C111" s="2">
        <v>8</v>
      </c>
      <c r="D111" s="2">
        <v>30</v>
      </c>
      <c r="E111" s="3">
        <v>0</v>
      </c>
    </row>
    <row r="112" spans="1:5" x14ac:dyDescent="0.2">
      <c r="A112">
        <v>10289</v>
      </c>
      <c r="B112">
        <v>64</v>
      </c>
      <c r="C112" s="2">
        <v>26.6</v>
      </c>
      <c r="D112" s="2">
        <v>9</v>
      </c>
      <c r="E112" s="3">
        <v>0</v>
      </c>
    </row>
    <row r="113" spans="1:5" x14ac:dyDescent="0.2">
      <c r="A113">
        <v>10290</v>
      </c>
      <c r="B113">
        <v>5</v>
      </c>
      <c r="C113" s="2">
        <v>17</v>
      </c>
      <c r="D113" s="2">
        <v>20</v>
      </c>
      <c r="E113" s="3">
        <v>0</v>
      </c>
    </row>
    <row r="114" spans="1:5" x14ac:dyDescent="0.2">
      <c r="A114">
        <v>10290</v>
      </c>
      <c r="B114">
        <v>29</v>
      </c>
      <c r="C114" s="2">
        <v>99</v>
      </c>
      <c r="D114" s="2">
        <v>15</v>
      </c>
      <c r="E114" s="3">
        <v>0</v>
      </c>
    </row>
    <row r="115" spans="1:5" x14ac:dyDescent="0.2">
      <c r="A115">
        <v>10290</v>
      </c>
      <c r="B115">
        <v>49</v>
      </c>
      <c r="C115" s="2">
        <v>16</v>
      </c>
      <c r="D115" s="2">
        <v>15</v>
      </c>
      <c r="E115" s="3">
        <v>0</v>
      </c>
    </row>
    <row r="116" spans="1:5" x14ac:dyDescent="0.2">
      <c r="A116">
        <v>10290</v>
      </c>
      <c r="B116">
        <v>77</v>
      </c>
      <c r="C116" s="2">
        <v>10.4</v>
      </c>
      <c r="D116" s="2">
        <v>10</v>
      </c>
      <c r="E116" s="3">
        <v>0</v>
      </c>
    </row>
    <row r="117" spans="1:5" x14ac:dyDescent="0.2">
      <c r="A117">
        <v>10291</v>
      </c>
      <c r="B117">
        <v>13</v>
      </c>
      <c r="C117" s="2">
        <v>4.8</v>
      </c>
      <c r="D117" s="2">
        <v>20</v>
      </c>
      <c r="E117" s="3">
        <v>0.1</v>
      </c>
    </row>
    <row r="118" spans="1:5" x14ac:dyDescent="0.2">
      <c r="A118">
        <v>10291</v>
      </c>
      <c r="B118">
        <v>44</v>
      </c>
      <c r="C118" s="2">
        <v>15.5</v>
      </c>
      <c r="D118" s="2">
        <v>24</v>
      </c>
      <c r="E118" s="3">
        <v>0.1</v>
      </c>
    </row>
    <row r="119" spans="1:5" x14ac:dyDescent="0.2">
      <c r="A119">
        <v>10291</v>
      </c>
      <c r="B119">
        <v>51</v>
      </c>
      <c r="C119" s="2">
        <v>42.4</v>
      </c>
      <c r="D119" s="2">
        <v>2</v>
      </c>
      <c r="E119" s="3">
        <v>0.1</v>
      </c>
    </row>
    <row r="120" spans="1:5" x14ac:dyDescent="0.2">
      <c r="A120">
        <v>10292</v>
      </c>
      <c r="B120">
        <v>20</v>
      </c>
      <c r="C120" s="2">
        <v>64.8</v>
      </c>
      <c r="D120" s="2">
        <v>20</v>
      </c>
      <c r="E120" s="3">
        <v>0</v>
      </c>
    </row>
    <row r="121" spans="1:5" x14ac:dyDescent="0.2">
      <c r="A121">
        <v>10293</v>
      </c>
      <c r="B121">
        <v>18</v>
      </c>
      <c r="C121" s="2">
        <v>50</v>
      </c>
      <c r="D121" s="2">
        <v>12</v>
      </c>
      <c r="E121" s="3">
        <v>0</v>
      </c>
    </row>
    <row r="122" spans="1:5" x14ac:dyDescent="0.2">
      <c r="A122">
        <v>10293</v>
      </c>
      <c r="B122">
        <v>24</v>
      </c>
      <c r="C122" s="2">
        <v>3.6</v>
      </c>
      <c r="D122" s="2">
        <v>10</v>
      </c>
      <c r="E122" s="3">
        <v>0</v>
      </c>
    </row>
    <row r="123" spans="1:5" x14ac:dyDescent="0.2">
      <c r="A123">
        <v>10293</v>
      </c>
      <c r="B123">
        <v>63</v>
      </c>
      <c r="C123" s="2">
        <v>35.1</v>
      </c>
      <c r="D123" s="2">
        <v>5</v>
      </c>
      <c r="E123" s="3">
        <v>0</v>
      </c>
    </row>
    <row r="124" spans="1:5" x14ac:dyDescent="0.2">
      <c r="A124">
        <v>10293</v>
      </c>
      <c r="B124">
        <v>75</v>
      </c>
      <c r="C124" s="2">
        <v>6.2</v>
      </c>
      <c r="D124" s="2">
        <v>6</v>
      </c>
      <c r="E124" s="3">
        <v>0</v>
      </c>
    </row>
    <row r="125" spans="1:5" x14ac:dyDescent="0.2">
      <c r="A125">
        <v>10294</v>
      </c>
      <c r="B125">
        <v>1</v>
      </c>
      <c r="C125" s="2">
        <v>14.4</v>
      </c>
      <c r="D125" s="2">
        <v>18</v>
      </c>
      <c r="E125" s="3">
        <v>0</v>
      </c>
    </row>
    <row r="126" spans="1:5" x14ac:dyDescent="0.2">
      <c r="A126">
        <v>10294</v>
      </c>
      <c r="B126">
        <v>17</v>
      </c>
      <c r="C126" s="2">
        <v>31.2</v>
      </c>
      <c r="D126" s="2">
        <v>15</v>
      </c>
      <c r="E126" s="3">
        <v>0</v>
      </c>
    </row>
    <row r="127" spans="1:5" x14ac:dyDescent="0.2">
      <c r="A127">
        <v>10294</v>
      </c>
      <c r="B127">
        <v>43</v>
      </c>
      <c r="C127" s="2">
        <v>36.799999999999997</v>
      </c>
      <c r="D127" s="2">
        <v>15</v>
      </c>
      <c r="E127" s="3">
        <v>0</v>
      </c>
    </row>
    <row r="128" spans="1:5" x14ac:dyDescent="0.2">
      <c r="A128">
        <v>10294</v>
      </c>
      <c r="B128">
        <v>60</v>
      </c>
      <c r="C128" s="2">
        <v>27.2</v>
      </c>
      <c r="D128" s="2">
        <v>21</v>
      </c>
      <c r="E128" s="3">
        <v>0</v>
      </c>
    </row>
    <row r="129" spans="1:5" x14ac:dyDescent="0.2">
      <c r="A129">
        <v>10294</v>
      </c>
      <c r="B129">
        <v>75</v>
      </c>
      <c r="C129" s="2">
        <v>6.2</v>
      </c>
      <c r="D129" s="2">
        <v>6</v>
      </c>
      <c r="E129" s="3">
        <v>0</v>
      </c>
    </row>
    <row r="130" spans="1:5" x14ac:dyDescent="0.2">
      <c r="A130">
        <v>10295</v>
      </c>
      <c r="B130">
        <v>56</v>
      </c>
      <c r="C130" s="2">
        <v>30.4</v>
      </c>
      <c r="D130" s="2">
        <v>4</v>
      </c>
      <c r="E130" s="3">
        <v>0</v>
      </c>
    </row>
    <row r="131" spans="1:5" x14ac:dyDescent="0.2">
      <c r="A131">
        <v>10296</v>
      </c>
      <c r="B131">
        <v>11</v>
      </c>
      <c r="C131" s="2">
        <v>16.8</v>
      </c>
      <c r="D131" s="2">
        <v>12</v>
      </c>
      <c r="E131" s="3">
        <v>0</v>
      </c>
    </row>
    <row r="132" spans="1:5" x14ac:dyDescent="0.2">
      <c r="A132">
        <v>10296</v>
      </c>
      <c r="B132">
        <v>16</v>
      </c>
      <c r="C132" s="2">
        <v>13.9</v>
      </c>
      <c r="D132" s="2">
        <v>30</v>
      </c>
      <c r="E132" s="3">
        <v>0</v>
      </c>
    </row>
    <row r="133" spans="1:5" x14ac:dyDescent="0.2">
      <c r="A133">
        <v>10296</v>
      </c>
      <c r="B133">
        <v>69</v>
      </c>
      <c r="C133" s="2">
        <v>28.8</v>
      </c>
      <c r="D133" s="2">
        <v>15</v>
      </c>
      <c r="E133" s="3">
        <v>0</v>
      </c>
    </row>
    <row r="134" spans="1:5" x14ac:dyDescent="0.2">
      <c r="A134">
        <v>10297</v>
      </c>
      <c r="B134">
        <v>39</v>
      </c>
      <c r="C134" s="2">
        <v>14.4</v>
      </c>
      <c r="D134" s="2">
        <v>60</v>
      </c>
      <c r="E134" s="3">
        <v>0</v>
      </c>
    </row>
    <row r="135" spans="1:5" x14ac:dyDescent="0.2">
      <c r="A135">
        <v>10297</v>
      </c>
      <c r="B135">
        <v>72</v>
      </c>
      <c r="C135" s="2">
        <v>27.8</v>
      </c>
      <c r="D135" s="2">
        <v>20</v>
      </c>
      <c r="E135" s="3">
        <v>0</v>
      </c>
    </row>
    <row r="136" spans="1:5" x14ac:dyDescent="0.2">
      <c r="A136">
        <v>10298</v>
      </c>
      <c r="B136">
        <v>2</v>
      </c>
      <c r="C136" s="2">
        <v>15.2</v>
      </c>
      <c r="D136" s="2">
        <v>40</v>
      </c>
      <c r="E136" s="3">
        <v>0</v>
      </c>
    </row>
    <row r="137" spans="1:5" x14ac:dyDescent="0.2">
      <c r="A137">
        <v>10298</v>
      </c>
      <c r="B137">
        <v>36</v>
      </c>
      <c r="C137" s="2">
        <v>15.2</v>
      </c>
      <c r="D137" s="2">
        <v>40</v>
      </c>
      <c r="E137" s="3">
        <v>0.25</v>
      </c>
    </row>
    <row r="138" spans="1:5" x14ac:dyDescent="0.2">
      <c r="A138">
        <v>10298</v>
      </c>
      <c r="B138">
        <v>59</v>
      </c>
      <c r="C138" s="2">
        <v>44</v>
      </c>
      <c r="D138" s="2">
        <v>30</v>
      </c>
      <c r="E138" s="3">
        <v>0.25</v>
      </c>
    </row>
    <row r="139" spans="1:5" x14ac:dyDescent="0.2">
      <c r="A139">
        <v>10298</v>
      </c>
      <c r="B139">
        <v>62</v>
      </c>
      <c r="C139" s="2">
        <v>39.4</v>
      </c>
      <c r="D139" s="2">
        <v>15</v>
      </c>
      <c r="E139" s="3">
        <v>0</v>
      </c>
    </row>
    <row r="140" spans="1:5" x14ac:dyDescent="0.2">
      <c r="A140">
        <v>10299</v>
      </c>
      <c r="B140">
        <v>19</v>
      </c>
      <c r="C140" s="2">
        <v>7.3</v>
      </c>
      <c r="D140" s="2">
        <v>15</v>
      </c>
      <c r="E140" s="3">
        <v>0</v>
      </c>
    </row>
    <row r="141" spans="1:5" x14ac:dyDescent="0.2">
      <c r="A141">
        <v>10299</v>
      </c>
      <c r="B141">
        <v>70</v>
      </c>
      <c r="C141" s="2">
        <v>12</v>
      </c>
      <c r="D141" s="2">
        <v>20</v>
      </c>
      <c r="E141" s="3">
        <v>0</v>
      </c>
    </row>
    <row r="142" spans="1:5" x14ac:dyDescent="0.2">
      <c r="A142">
        <v>10300</v>
      </c>
      <c r="B142">
        <v>66</v>
      </c>
      <c r="C142" s="2">
        <v>13.6</v>
      </c>
      <c r="D142" s="2">
        <v>30</v>
      </c>
      <c r="E142" s="3">
        <v>0</v>
      </c>
    </row>
    <row r="143" spans="1:5" x14ac:dyDescent="0.2">
      <c r="A143">
        <v>10300</v>
      </c>
      <c r="B143">
        <v>68</v>
      </c>
      <c r="C143" s="2">
        <v>10</v>
      </c>
      <c r="D143" s="2">
        <v>20</v>
      </c>
      <c r="E143" s="3">
        <v>0</v>
      </c>
    </row>
    <row r="144" spans="1:5" x14ac:dyDescent="0.2">
      <c r="A144">
        <v>10301</v>
      </c>
      <c r="B144">
        <v>40</v>
      </c>
      <c r="C144" s="2">
        <v>14.7</v>
      </c>
      <c r="D144" s="2">
        <v>10</v>
      </c>
      <c r="E144" s="3">
        <v>0</v>
      </c>
    </row>
    <row r="145" spans="1:5" x14ac:dyDescent="0.2">
      <c r="A145">
        <v>10301</v>
      </c>
      <c r="B145">
        <v>56</v>
      </c>
      <c r="C145" s="2">
        <v>30.4</v>
      </c>
      <c r="D145" s="2">
        <v>20</v>
      </c>
      <c r="E145" s="3">
        <v>0</v>
      </c>
    </row>
    <row r="146" spans="1:5" x14ac:dyDescent="0.2">
      <c r="A146">
        <v>10302</v>
      </c>
      <c r="B146">
        <v>17</v>
      </c>
      <c r="C146" s="2">
        <v>31.2</v>
      </c>
      <c r="D146" s="2">
        <v>40</v>
      </c>
      <c r="E146" s="3">
        <v>0</v>
      </c>
    </row>
    <row r="147" spans="1:5" x14ac:dyDescent="0.2">
      <c r="A147">
        <v>10302</v>
      </c>
      <c r="B147">
        <v>28</v>
      </c>
      <c r="C147" s="2">
        <v>36.4</v>
      </c>
      <c r="D147" s="2">
        <v>28</v>
      </c>
      <c r="E147" s="3">
        <v>0</v>
      </c>
    </row>
    <row r="148" spans="1:5" x14ac:dyDescent="0.2">
      <c r="A148">
        <v>10302</v>
      </c>
      <c r="B148">
        <v>43</v>
      </c>
      <c r="C148" s="2">
        <v>36.799999999999997</v>
      </c>
      <c r="D148" s="2">
        <v>12</v>
      </c>
      <c r="E148" s="3">
        <v>0</v>
      </c>
    </row>
    <row r="149" spans="1:5" x14ac:dyDescent="0.2">
      <c r="A149">
        <v>10303</v>
      </c>
      <c r="B149">
        <v>40</v>
      </c>
      <c r="C149" s="2">
        <v>14.7</v>
      </c>
      <c r="D149" s="2">
        <v>40</v>
      </c>
      <c r="E149" s="3">
        <v>0.1</v>
      </c>
    </row>
    <row r="150" spans="1:5" x14ac:dyDescent="0.2">
      <c r="A150">
        <v>10303</v>
      </c>
      <c r="B150">
        <v>65</v>
      </c>
      <c r="C150" s="2">
        <v>16.8</v>
      </c>
      <c r="D150" s="2">
        <v>30</v>
      </c>
      <c r="E150" s="3">
        <v>0.1</v>
      </c>
    </row>
    <row r="151" spans="1:5" x14ac:dyDescent="0.2">
      <c r="A151">
        <v>10303</v>
      </c>
      <c r="B151">
        <v>68</v>
      </c>
      <c r="C151" s="2">
        <v>10</v>
      </c>
      <c r="D151" s="2">
        <v>15</v>
      </c>
      <c r="E151" s="3">
        <v>0.1</v>
      </c>
    </row>
    <row r="152" spans="1:5" x14ac:dyDescent="0.2">
      <c r="A152">
        <v>10304</v>
      </c>
      <c r="B152">
        <v>49</v>
      </c>
      <c r="C152" s="2">
        <v>16</v>
      </c>
      <c r="D152" s="2">
        <v>30</v>
      </c>
      <c r="E152" s="3">
        <v>0</v>
      </c>
    </row>
    <row r="153" spans="1:5" x14ac:dyDescent="0.2">
      <c r="A153">
        <v>10304</v>
      </c>
      <c r="B153">
        <v>59</v>
      </c>
      <c r="C153" s="2">
        <v>44</v>
      </c>
      <c r="D153" s="2">
        <v>10</v>
      </c>
      <c r="E153" s="3">
        <v>0</v>
      </c>
    </row>
    <row r="154" spans="1:5" x14ac:dyDescent="0.2">
      <c r="A154">
        <v>10304</v>
      </c>
      <c r="B154">
        <v>71</v>
      </c>
      <c r="C154" s="2">
        <v>17.2</v>
      </c>
      <c r="D154" s="2">
        <v>2</v>
      </c>
      <c r="E154" s="3">
        <v>0</v>
      </c>
    </row>
    <row r="155" spans="1:5" x14ac:dyDescent="0.2">
      <c r="A155">
        <v>10305</v>
      </c>
      <c r="B155">
        <v>18</v>
      </c>
      <c r="C155" s="2">
        <v>50</v>
      </c>
      <c r="D155" s="2">
        <v>25</v>
      </c>
      <c r="E155" s="3">
        <v>0.1</v>
      </c>
    </row>
    <row r="156" spans="1:5" x14ac:dyDescent="0.2">
      <c r="A156">
        <v>10305</v>
      </c>
      <c r="B156">
        <v>29</v>
      </c>
      <c r="C156" s="2">
        <v>99</v>
      </c>
      <c r="D156" s="2">
        <v>25</v>
      </c>
      <c r="E156" s="3">
        <v>0.1</v>
      </c>
    </row>
    <row r="157" spans="1:5" x14ac:dyDescent="0.2">
      <c r="A157">
        <v>10305</v>
      </c>
      <c r="B157">
        <v>39</v>
      </c>
      <c r="C157" s="2">
        <v>14.4</v>
      </c>
      <c r="D157" s="2">
        <v>30</v>
      </c>
      <c r="E157" s="3">
        <v>0.1</v>
      </c>
    </row>
    <row r="158" spans="1:5" x14ac:dyDescent="0.2">
      <c r="A158">
        <v>10306</v>
      </c>
      <c r="B158">
        <v>30</v>
      </c>
      <c r="C158" s="2">
        <v>20.7</v>
      </c>
      <c r="D158" s="2">
        <v>10</v>
      </c>
      <c r="E158" s="3">
        <v>0</v>
      </c>
    </row>
    <row r="159" spans="1:5" x14ac:dyDescent="0.2">
      <c r="A159">
        <v>10306</v>
      </c>
      <c r="B159">
        <v>53</v>
      </c>
      <c r="C159" s="2">
        <v>26.2</v>
      </c>
      <c r="D159" s="2">
        <v>10</v>
      </c>
      <c r="E159" s="3">
        <v>0</v>
      </c>
    </row>
    <row r="160" spans="1:5" x14ac:dyDescent="0.2">
      <c r="A160">
        <v>10306</v>
      </c>
      <c r="B160">
        <v>54</v>
      </c>
      <c r="C160" s="2">
        <v>5.9</v>
      </c>
      <c r="D160" s="2">
        <v>5</v>
      </c>
      <c r="E160" s="3">
        <v>0</v>
      </c>
    </row>
    <row r="161" spans="1:5" x14ac:dyDescent="0.2">
      <c r="A161">
        <v>10307</v>
      </c>
      <c r="B161">
        <v>62</v>
      </c>
      <c r="C161" s="2">
        <v>39.4</v>
      </c>
      <c r="D161" s="2">
        <v>10</v>
      </c>
      <c r="E161" s="3">
        <v>0</v>
      </c>
    </row>
    <row r="162" spans="1:5" x14ac:dyDescent="0.2">
      <c r="A162">
        <v>10307</v>
      </c>
      <c r="B162">
        <v>68</v>
      </c>
      <c r="C162" s="2">
        <v>10</v>
      </c>
      <c r="D162" s="2">
        <v>3</v>
      </c>
      <c r="E162" s="3">
        <v>0</v>
      </c>
    </row>
    <row r="163" spans="1:5" x14ac:dyDescent="0.2">
      <c r="A163">
        <v>10308</v>
      </c>
      <c r="B163">
        <v>69</v>
      </c>
      <c r="C163" s="2">
        <v>28.8</v>
      </c>
      <c r="D163" s="2">
        <v>1</v>
      </c>
      <c r="E163" s="3">
        <v>0</v>
      </c>
    </row>
    <row r="164" spans="1:5" x14ac:dyDescent="0.2">
      <c r="A164">
        <v>10308</v>
      </c>
      <c r="B164">
        <v>70</v>
      </c>
      <c r="C164" s="2">
        <v>12</v>
      </c>
      <c r="D164" s="2">
        <v>5</v>
      </c>
      <c r="E164" s="3">
        <v>0</v>
      </c>
    </row>
    <row r="165" spans="1:5" x14ac:dyDescent="0.2">
      <c r="A165">
        <v>10309</v>
      </c>
      <c r="B165">
        <v>4</v>
      </c>
      <c r="C165" s="2">
        <v>17.600000000000001</v>
      </c>
      <c r="D165" s="2">
        <v>20</v>
      </c>
      <c r="E165" s="3">
        <v>0</v>
      </c>
    </row>
    <row r="166" spans="1:5" x14ac:dyDescent="0.2">
      <c r="A166">
        <v>10309</v>
      </c>
      <c r="B166">
        <v>6</v>
      </c>
      <c r="C166" s="2">
        <v>20</v>
      </c>
      <c r="D166" s="2">
        <v>30</v>
      </c>
      <c r="E166" s="3">
        <v>0</v>
      </c>
    </row>
    <row r="167" spans="1:5" x14ac:dyDescent="0.2">
      <c r="A167">
        <v>10309</v>
      </c>
      <c r="B167">
        <v>42</v>
      </c>
      <c r="C167" s="2">
        <v>11.2</v>
      </c>
      <c r="D167" s="2">
        <v>2</v>
      </c>
      <c r="E167" s="3">
        <v>0</v>
      </c>
    </row>
    <row r="168" spans="1:5" x14ac:dyDescent="0.2">
      <c r="A168">
        <v>10309</v>
      </c>
      <c r="B168">
        <v>43</v>
      </c>
      <c r="C168" s="2">
        <v>36.799999999999997</v>
      </c>
      <c r="D168" s="2">
        <v>20</v>
      </c>
      <c r="E168" s="3">
        <v>0</v>
      </c>
    </row>
    <row r="169" spans="1:5" x14ac:dyDescent="0.2">
      <c r="A169">
        <v>10309</v>
      </c>
      <c r="B169">
        <v>71</v>
      </c>
      <c r="C169" s="2">
        <v>17.2</v>
      </c>
      <c r="D169" s="2">
        <v>3</v>
      </c>
      <c r="E169" s="3">
        <v>0</v>
      </c>
    </row>
    <row r="170" spans="1:5" x14ac:dyDescent="0.2">
      <c r="A170">
        <v>10310</v>
      </c>
      <c r="B170">
        <v>16</v>
      </c>
      <c r="C170" s="2">
        <v>13.9</v>
      </c>
      <c r="D170" s="2">
        <v>10</v>
      </c>
      <c r="E170" s="3">
        <v>0</v>
      </c>
    </row>
    <row r="171" spans="1:5" x14ac:dyDescent="0.2">
      <c r="A171">
        <v>10310</v>
      </c>
      <c r="B171">
        <v>62</v>
      </c>
      <c r="C171" s="2">
        <v>39.4</v>
      </c>
      <c r="D171" s="2">
        <v>5</v>
      </c>
      <c r="E171" s="3">
        <v>0</v>
      </c>
    </row>
    <row r="172" spans="1:5" x14ac:dyDescent="0.2">
      <c r="A172">
        <v>10311</v>
      </c>
      <c r="B172">
        <v>42</v>
      </c>
      <c r="C172" s="2">
        <v>11.2</v>
      </c>
      <c r="D172" s="2">
        <v>6</v>
      </c>
      <c r="E172" s="3">
        <v>0</v>
      </c>
    </row>
    <row r="173" spans="1:5" x14ac:dyDescent="0.2">
      <c r="A173">
        <v>10311</v>
      </c>
      <c r="B173">
        <v>69</v>
      </c>
      <c r="C173" s="2">
        <v>28.8</v>
      </c>
      <c r="D173" s="2">
        <v>7</v>
      </c>
      <c r="E173" s="3">
        <v>0</v>
      </c>
    </row>
    <row r="174" spans="1:5" x14ac:dyDescent="0.2">
      <c r="A174">
        <v>10312</v>
      </c>
      <c r="B174">
        <v>28</v>
      </c>
      <c r="C174" s="2">
        <v>36.4</v>
      </c>
      <c r="D174" s="2">
        <v>4</v>
      </c>
      <c r="E174" s="3">
        <v>0</v>
      </c>
    </row>
    <row r="175" spans="1:5" x14ac:dyDescent="0.2">
      <c r="A175">
        <v>10312</v>
      </c>
      <c r="B175">
        <v>43</v>
      </c>
      <c r="C175" s="2">
        <v>36.799999999999997</v>
      </c>
      <c r="D175" s="2">
        <v>24</v>
      </c>
      <c r="E175" s="3">
        <v>0</v>
      </c>
    </row>
    <row r="176" spans="1:5" x14ac:dyDescent="0.2">
      <c r="A176">
        <v>10312</v>
      </c>
      <c r="B176">
        <v>53</v>
      </c>
      <c r="C176" s="2">
        <v>26.2</v>
      </c>
      <c r="D176" s="2">
        <v>20</v>
      </c>
      <c r="E176" s="3">
        <v>0</v>
      </c>
    </row>
    <row r="177" spans="1:5" x14ac:dyDescent="0.2">
      <c r="A177">
        <v>10312</v>
      </c>
      <c r="B177">
        <v>75</v>
      </c>
      <c r="C177" s="2">
        <v>6.2</v>
      </c>
      <c r="D177" s="2">
        <v>10</v>
      </c>
      <c r="E177" s="3">
        <v>0</v>
      </c>
    </row>
    <row r="178" spans="1:5" x14ac:dyDescent="0.2">
      <c r="A178">
        <v>10313</v>
      </c>
      <c r="B178">
        <v>36</v>
      </c>
      <c r="C178" s="2">
        <v>15.2</v>
      </c>
      <c r="D178" s="2">
        <v>12</v>
      </c>
      <c r="E178" s="3">
        <v>0</v>
      </c>
    </row>
    <row r="179" spans="1:5" x14ac:dyDescent="0.2">
      <c r="A179">
        <v>10314</v>
      </c>
      <c r="B179">
        <v>32</v>
      </c>
      <c r="C179" s="2">
        <v>25.6</v>
      </c>
      <c r="D179" s="2">
        <v>40</v>
      </c>
      <c r="E179" s="3">
        <v>0.1</v>
      </c>
    </row>
    <row r="180" spans="1:5" x14ac:dyDescent="0.2">
      <c r="A180">
        <v>10314</v>
      </c>
      <c r="B180">
        <v>58</v>
      </c>
      <c r="C180" s="2">
        <v>10.6</v>
      </c>
      <c r="D180" s="2">
        <v>30</v>
      </c>
      <c r="E180" s="3">
        <v>0.1</v>
      </c>
    </row>
    <row r="181" spans="1:5" x14ac:dyDescent="0.2">
      <c r="A181">
        <v>10314</v>
      </c>
      <c r="B181">
        <v>62</v>
      </c>
      <c r="C181" s="2">
        <v>39.4</v>
      </c>
      <c r="D181" s="2">
        <v>25</v>
      </c>
      <c r="E181" s="3">
        <v>0.1</v>
      </c>
    </row>
    <row r="182" spans="1:5" x14ac:dyDescent="0.2">
      <c r="A182">
        <v>10315</v>
      </c>
      <c r="B182">
        <v>34</v>
      </c>
      <c r="C182" s="2">
        <v>11.2</v>
      </c>
      <c r="D182" s="2">
        <v>14</v>
      </c>
      <c r="E182" s="3">
        <v>0</v>
      </c>
    </row>
    <row r="183" spans="1:5" x14ac:dyDescent="0.2">
      <c r="A183">
        <v>10315</v>
      </c>
      <c r="B183">
        <v>70</v>
      </c>
      <c r="C183" s="2">
        <v>12</v>
      </c>
      <c r="D183" s="2">
        <v>30</v>
      </c>
      <c r="E183" s="3">
        <v>0</v>
      </c>
    </row>
    <row r="184" spans="1:5" x14ac:dyDescent="0.2">
      <c r="A184">
        <v>10316</v>
      </c>
      <c r="B184">
        <v>41</v>
      </c>
      <c r="C184" s="2">
        <v>7.7</v>
      </c>
      <c r="D184" s="2">
        <v>10</v>
      </c>
      <c r="E184" s="3">
        <v>0</v>
      </c>
    </row>
    <row r="185" spans="1:5" x14ac:dyDescent="0.2">
      <c r="A185">
        <v>10316</v>
      </c>
      <c r="B185">
        <v>62</v>
      </c>
      <c r="C185" s="2">
        <v>39.4</v>
      </c>
      <c r="D185" s="2">
        <v>70</v>
      </c>
      <c r="E185" s="3">
        <v>0</v>
      </c>
    </row>
    <row r="186" spans="1:5" x14ac:dyDescent="0.2">
      <c r="A186">
        <v>10317</v>
      </c>
      <c r="B186">
        <v>1</v>
      </c>
      <c r="C186" s="2">
        <v>14.4</v>
      </c>
      <c r="D186" s="2">
        <v>20</v>
      </c>
      <c r="E186" s="3">
        <v>0</v>
      </c>
    </row>
    <row r="187" spans="1:5" x14ac:dyDescent="0.2">
      <c r="A187">
        <v>10318</v>
      </c>
      <c r="B187">
        <v>41</v>
      </c>
      <c r="C187" s="2">
        <v>7.7</v>
      </c>
      <c r="D187" s="2">
        <v>20</v>
      </c>
      <c r="E187" s="3">
        <v>0</v>
      </c>
    </row>
    <row r="188" spans="1:5" x14ac:dyDescent="0.2">
      <c r="A188">
        <v>10318</v>
      </c>
      <c r="B188">
        <v>76</v>
      </c>
      <c r="C188" s="2">
        <v>14.4</v>
      </c>
      <c r="D188" s="2">
        <v>6</v>
      </c>
      <c r="E188" s="3">
        <v>0</v>
      </c>
    </row>
    <row r="189" spans="1:5" x14ac:dyDescent="0.2">
      <c r="A189">
        <v>10319</v>
      </c>
      <c r="B189">
        <v>17</v>
      </c>
      <c r="C189" s="2">
        <v>31.2</v>
      </c>
      <c r="D189" s="2">
        <v>8</v>
      </c>
      <c r="E189" s="3">
        <v>0</v>
      </c>
    </row>
    <row r="190" spans="1:5" x14ac:dyDescent="0.2">
      <c r="A190">
        <v>10319</v>
      </c>
      <c r="B190">
        <v>28</v>
      </c>
      <c r="C190" s="2">
        <v>36.4</v>
      </c>
      <c r="D190" s="2">
        <v>14</v>
      </c>
      <c r="E190" s="3">
        <v>0</v>
      </c>
    </row>
    <row r="191" spans="1:5" x14ac:dyDescent="0.2">
      <c r="A191">
        <v>10319</v>
      </c>
      <c r="B191">
        <v>76</v>
      </c>
      <c r="C191" s="2">
        <v>14.4</v>
      </c>
      <c r="D191" s="2">
        <v>30</v>
      </c>
      <c r="E191" s="3">
        <v>0</v>
      </c>
    </row>
    <row r="192" spans="1:5" x14ac:dyDescent="0.2">
      <c r="A192">
        <v>10320</v>
      </c>
      <c r="B192">
        <v>71</v>
      </c>
      <c r="C192" s="2">
        <v>17.2</v>
      </c>
      <c r="D192" s="2">
        <v>30</v>
      </c>
      <c r="E192" s="3">
        <v>0</v>
      </c>
    </row>
    <row r="193" spans="1:5" x14ac:dyDescent="0.2">
      <c r="A193">
        <v>10321</v>
      </c>
      <c r="B193">
        <v>35</v>
      </c>
      <c r="C193" s="2">
        <v>14.4</v>
      </c>
      <c r="D193" s="2">
        <v>10</v>
      </c>
      <c r="E193" s="3">
        <v>0</v>
      </c>
    </row>
    <row r="194" spans="1:5" x14ac:dyDescent="0.2">
      <c r="A194">
        <v>10322</v>
      </c>
      <c r="B194">
        <v>52</v>
      </c>
      <c r="C194" s="2">
        <v>5.6</v>
      </c>
      <c r="D194" s="2">
        <v>20</v>
      </c>
      <c r="E194" s="3">
        <v>0</v>
      </c>
    </row>
    <row r="195" spans="1:5" x14ac:dyDescent="0.2">
      <c r="A195">
        <v>10323</v>
      </c>
      <c r="B195">
        <v>15</v>
      </c>
      <c r="C195" s="2">
        <v>12.4</v>
      </c>
      <c r="D195" s="2">
        <v>5</v>
      </c>
      <c r="E195" s="3">
        <v>0</v>
      </c>
    </row>
    <row r="196" spans="1:5" x14ac:dyDescent="0.2">
      <c r="A196">
        <v>10323</v>
      </c>
      <c r="B196">
        <v>25</v>
      </c>
      <c r="C196" s="2">
        <v>11.2</v>
      </c>
      <c r="D196" s="2">
        <v>4</v>
      </c>
      <c r="E196" s="3">
        <v>0</v>
      </c>
    </row>
    <row r="197" spans="1:5" x14ac:dyDescent="0.2">
      <c r="A197">
        <v>10323</v>
      </c>
      <c r="B197">
        <v>39</v>
      </c>
      <c r="C197" s="2">
        <v>14.4</v>
      </c>
      <c r="D197" s="2">
        <v>4</v>
      </c>
      <c r="E197" s="3">
        <v>0</v>
      </c>
    </row>
    <row r="198" spans="1:5" x14ac:dyDescent="0.2">
      <c r="A198">
        <v>10324</v>
      </c>
      <c r="B198">
        <v>16</v>
      </c>
      <c r="C198" s="2">
        <v>13.9</v>
      </c>
      <c r="D198" s="2">
        <v>21</v>
      </c>
      <c r="E198" s="3">
        <v>0.15</v>
      </c>
    </row>
    <row r="199" spans="1:5" x14ac:dyDescent="0.2">
      <c r="A199">
        <v>10324</v>
      </c>
      <c r="B199">
        <v>35</v>
      </c>
      <c r="C199" s="2">
        <v>14.4</v>
      </c>
      <c r="D199" s="2">
        <v>70</v>
      </c>
      <c r="E199" s="3">
        <v>0.15</v>
      </c>
    </row>
    <row r="200" spans="1:5" x14ac:dyDescent="0.2">
      <c r="A200">
        <v>10324</v>
      </c>
      <c r="B200">
        <v>46</v>
      </c>
      <c r="C200" s="2">
        <v>9.6</v>
      </c>
      <c r="D200" s="2">
        <v>30</v>
      </c>
      <c r="E200" s="3">
        <v>0</v>
      </c>
    </row>
    <row r="201" spans="1:5" x14ac:dyDescent="0.2">
      <c r="A201">
        <v>10324</v>
      </c>
      <c r="B201">
        <v>59</v>
      </c>
      <c r="C201" s="2">
        <v>44</v>
      </c>
      <c r="D201" s="2">
        <v>40</v>
      </c>
      <c r="E201" s="3">
        <v>0.15</v>
      </c>
    </row>
    <row r="202" spans="1:5" x14ac:dyDescent="0.2">
      <c r="A202">
        <v>10324</v>
      </c>
      <c r="B202">
        <v>63</v>
      </c>
      <c r="C202" s="2">
        <v>35.1</v>
      </c>
      <c r="D202" s="2">
        <v>80</v>
      </c>
      <c r="E202" s="3">
        <v>0.15</v>
      </c>
    </row>
    <row r="203" spans="1:5" x14ac:dyDescent="0.2">
      <c r="A203">
        <v>10325</v>
      </c>
      <c r="B203">
        <v>6</v>
      </c>
      <c r="C203" s="2">
        <v>20</v>
      </c>
      <c r="D203" s="2">
        <v>6</v>
      </c>
      <c r="E203" s="3">
        <v>0</v>
      </c>
    </row>
    <row r="204" spans="1:5" x14ac:dyDescent="0.2">
      <c r="A204">
        <v>10325</v>
      </c>
      <c r="B204">
        <v>13</v>
      </c>
      <c r="C204" s="2">
        <v>4.8</v>
      </c>
      <c r="D204" s="2">
        <v>12</v>
      </c>
      <c r="E204" s="3">
        <v>0</v>
      </c>
    </row>
    <row r="205" spans="1:5" x14ac:dyDescent="0.2">
      <c r="A205">
        <v>10325</v>
      </c>
      <c r="B205">
        <v>14</v>
      </c>
      <c r="C205" s="2">
        <v>18.600000000000001</v>
      </c>
      <c r="D205" s="2">
        <v>9</v>
      </c>
      <c r="E205" s="3">
        <v>0</v>
      </c>
    </row>
    <row r="206" spans="1:5" x14ac:dyDescent="0.2">
      <c r="A206">
        <v>10325</v>
      </c>
      <c r="B206">
        <v>31</v>
      </c>
      <c r="C206" s="2">
        <v>10</v>
      </c>
      <c r="D206" s="2">
        <v>4</v>
      </c>
      <c r="E206" s="3">
        <v>0</v>
      </c>
    </row>
    <row r="207" spans="1:5" x14ac:dyDescent="0.2">
      <c r="A207">
        <v>10325</v>
      </c>
      <c r="B207">
        <v>72</v>
      </c>
      <c r="C207" s="2">
        <v>27.8</v>
      </c>
      <c r="D207" s="2">
        <v>40</v>
      </c>
      <c r="E207" s="3">
        <v>0</v>
      </c>
    </row>
    <row r="208" spans="1:5" x14ac:dyDescent="0.2">
      <c r="A208">
        <v>10326</v>
      </c>
      <c r="B208">
        <v>4</v>
      </c>
      <c r="C208" s="2">
        <v>17.600000000000001</v>
      </c>
      <c r="D208" s="2">
        <v>24</v>
      </c>
      <c r="E208" s="3">
        <v>0</v>
      </c>
    </row>
    <row r="209" spans="1:5" x14ac:dyDescent="0.2">
      <c r="A209">
        <v>10326</v>
      </c>
      <c r="B209">
        <v>57</v>
      </c>
      <c r="C209" s="2">
        <v>15.6</v>
      </c>
      <c r="D209" s="2">
        <v>16</v>
      </c>
      <c r="E209" s="3">
        <v>0</v>
      </c>
    </row>
    <row r="210" spans="1:5" x14ac:dyDescent="0.2">
      <c r="A210">
        <v>10326</v>
      </c>
      <c r="B210">
        <v>75</v>
      </c>
      <c r="C210" s="2">
        <v>6.2</v>
      </c>
      <c r="D210" s="2">
        <v>50</v>
      </c>
      <c r="E210" s="3">
        <v>0</v>
      </c>
    </row>
    <row r="211" spans="1:5" x14ac:dyDescent="0.2">
      <c r="A211">
        <v>10327</v>
      </c>
      <c r="B211">
        <v>2</v>
      </c>
      <c r="C211" s="2">
        <v>15.2</v>
      </c>
      <c r="D211" s="2">
        <v>25</v>
      </c>
      <c r="E211" s="3">
        <v>0.2</v>
      </c>
    </row>
    <row r="212" spans="1:5" x14ac:dyDescent="0.2">
      <c r="A212">
        <v>10327</v>
      </c>
      <c r="B212">
        <v>11</v>
      </c>
      <c r="C212" s="2">
        <v>16.8</v>
      </c>
      <c r="D212" s="2">
        <v>50</v>
      </c>
      <c r="E212" s="3">
        <v>0.2</v>
      </c>
    </row>
    <row r="213" spans="1:5" x14ac:dyDescent="0.2">
      <c r="A213">
        <v>10327</v>
      </c>
      <c r="B213">
        <v>30</v>
      </c>
      <c r="C213" s="2">
        <v>20.7</v>
      </c>
      <c r="D213" s="2">
        <v>35</v>
      </c>
      <c r="E213" s="3">
        <v>0.2</v>
      </c>
    </row>
    <row r="214" spans="1:5" x14ac:dyDescent="0.2">
      <c r="A214">
        <v>10327</v>
      </c>
      <c r="B214">
        <v>58</v>
      </c>
      <c r="C214" s="2">
        <v>10.6</v>
      </c>
      <c r="D214" s="2">
        <v>30</v>
      </c>
      <c r="E214" s="3">
        <v>0.2</v>
      </c>
    </row>
    <row r="215" spans="1:5" x14ac:dyDescent="0.2">
      <c r="A215">
        <v>10328</v>
      </c>
      <c r="B215">
        <v>59</v>
      </c>
      <c r="C215" s="2">
        <v>44</v>
      </c>
      <c r="D215" s="2">
        <v>9</v>
      </c>
      <c r="E215" s="3">
        <v>0</v>
      </c>
    </row>
    <row r="216" spans="1:5" x14ac:dyDescent="0.2">
      <c r="A216">
        <v>10328</v>
      </c>
      <c r="B216">
        <v>65</v>
      </c>
      <c r="C216" s="2">
        <v>16.8</v>
      </c>
      <c r="D216" s="2">
        <v>40</v>
      </c>
      <c r="E216" s="3">
        <v>0</v>
      </c>
    </row>
    <row r="217" spans="1:5" x14ac:dyDescent="0.2">
      <c r="A217">
        <v>10328</v>
      </c>
      <c r="B217">
        <v>68</v>
      </c>
      <c r="C217" s="2">
        <v>10</v>
      </c>
      <c r="D217" s="2">
        <v>10</v>
      </c>
      <c r="E217" s="3">
        <v>0</v>
      </c>
    </row>
    <row r="218" spans="1:5" x14ac:dyDescent="0.2">
      <c r="A218">
        <v>10329</v>
      </c>
      <c r="B218">
        <v>19</v>
      </c>
      <c r="C218" s="2">
        <v>7.3</v>
      </c>
      <c r="D218" s="2">
        <v>10</v>
      </c>
      <c r="E218" s="3">
        <v>0.05</v>
      </c>
    </row>
    <row r="219" spans="1:5" x14ac:dyDescent="0.2">
      <c r="A219">
        <v>10329</v>
      </c>
      <c r="B219">
        <v>30</v>
      </c>
      <c r="C219" s="2">
        <v>20.7</v>
      </c>
      <c r="D219" s="2">
        <v>8</v>
      </c>
      <c r="E219" s="3">
        <v>0.05</v>
      </c>
    </row>
    <row r="220" spans="1:5" x14ac:dyDescent="0.2">
      <c r="A220">
        <v>10329</v>
      </c>
      <c r="B220">
        <v>38</v>
      </c>
      <c r="C220" s="2">
        <v>210.8</v>
      </c>
      <c r="D220" s="2">
        <v>20</v>
      </c>
      <c r="E220" s="3">
        <v>0.05</v>
      </c>
    </row>
    <row r="221" spans="1:5" x14ac:dyDescent="0.2">
      <c r="A221">
        <v>10329</v>
      </c>
      <c r="B221">
        <v>56</v>
      </c>
      <c r="C221" s="2">
        <v>30.4</v>
      </c>
      <c r="D221" s="2">
        <v>12</v>
      </c>
      <c r="E221" s="3">
        <v>0.05</v>
      </c>
    </row>
    <row r="222" spans="1:5" x14ac:dyDescent="0.2">
      <c r="A222">
        <v>10330</v>
      </c>
      <c r="B222">
        <v>26</v>
      </c>
      <c r="C222" s="2">
        <v>24.9</v>
      </c>
      <c r="D222" s="2">
        <v>50</v>
      </c>
      <c r="E222" s="3">
        <v>0.15</v>
      </c>
    </row>
    <row r="223" spans="1:5" x14ac:dyDescent="0.2">
      <c r="A223">
        <v>10330</v>
      </c>
      <c r="B223">
        <v>72</v>
      </c>
      <c r="C223" s="2">
        <v>27.8</v>
      </c>
      <c r="D223" s="2">
        <v>25</v>
      </c>
      <c r="E223" s="3">
        <v>0.15</v>
      </c>
    </row>
    <row r="224" spans="1:5" x14ac:dyDescent="0.2">
      <c r="A224">
        <v>10331</v>
      </c>
      <c r="B224">
        <v>54</v>
      </c>
      <c r="C224" s="2">
        <v>5.9</v>
      </c>
      <c r="D224" s="2">
        <v>15</v>
      </c>
      <c r="E224" s="3">
        <v>0</v>
      </c>
    </row>
    <row r="225" spans="1:5" x14ac:dyDescent="0.2">
      <c r="A225">
        <v>10332</v>
      </c>
      <c r="B225">
        <v>18</v>
      </c>
      <c r="C225" s="2">
        <v>50</v>
      </c>
      <c r="D225" s="2">
        <v>40</v>
      </c>
      <c r="E225" s="3">
        <v>0.2</v>
      </c>
    </row>
    <row r="226" spans="1:5" x14ac:dyDescent="0.2">
      <c r="A226">
        <v>10332</v>
      </c>
      <c r="B226">
        <v>42</v>
      </c>
      <c r="C226" s="2">
        <v>11.2</v>
      </c>
      <c r="D226" s="2">
        <v>10</v>
      </c>
      <c r="E226" s="3">
        <v>0.2</v>
      </c>
    </row>
    <row r="227" spans="1:5" x14ac:dyDescent="0.2">
      <c r="A227">
        <v>10332</v>
      </c>
      <c r="B227">
        <v>47</v>
      </c>
      <c r="C227" s="2">
        <v>7.6</v>
      </c>
      <c r="D227" s="2">
        <v>16</v>
      </c>
      <c r="E227" s="3">
        <v>0.2</v>
      </c>
    </row>
    <row r="228" spans="1:5" x14ac:dyDescent="0.2">
      <c r="A228">
        <v>10333</v>
      </c>
      <c r="B228">
        <v>14</v>
      </c>
      <c r="C228" s="2">
        <v>18.600000000000001</v>
      </c>
      <c r="D228" s="2">
        <v>10</v>
      </c>
      <c r="E228" s="3">
        <v>0</v>
      </c>
    </row>
    <row r="229" spans="1:5" x14ac:dyDescent="0.2">
      <c r="A229">
        <v>10333</v>
      </c>
      <c r="B229">
        <v>21</v>
      </c>
      <c r="C229" s="2">
        <v>8</v>
      </c>
      <c r="D229" s="2">
        <v>10</v>
      </c>
      <c r="E229" s="3">
        <v>0.1</v>
      </c>
    </row>
    <row r="230" spans="1:5" x14ac:dyDescent="0.2">
      <c r="A230">
        <v>10333</v>
      </c>
      <c r="B230">
        <v>71</v>
      </c>
      <c r="C230" s="2">
        <v>17.2</v>
      </c>
      <c r="D230" s="2">
        <v>40</v>
      </c>
      <c r="E230" s="3">
        <v>0.1</v>
      </c>
    </row>
    <row r="231" spans="1:5" x14ac:dyDescent="0.2">
      <c r="A231">
        <v>10334</v>
      </c>
      <c r="B231">
        <v>52</v>
      </c>
      <c r="C231" s="2">
        <v>5.6</v>
      </c>
      <c r="D231" s="2">
        <v>8</v>
      </c>
      <c r="E231" s="3">
        <v>0</v>
      </c>
    </row>
    <row r="232" spans="1:5" x14ac:dyDescent="0.2">
      <c r="A232">
        <v>10334</v>
      </c>
      <c r="B232">
        <v>68</v>
      </c>
      <c r="C232" s="2">
        <v>10</v>
      </c>
      <c r="D232" s="2">
        <v>10</v>
      </c>
      <c r="E232" s="3">
        <v>0</v>
      </c>
    </row>
    <row r="233" spans="1:5" x14ac:dyDescent="0.2">
      <c r="A233">
        <v>10335</v>
      </c>
      <c r="B233">
        <v>2</v>
      </c>
      <c r="C233" s="2">
        <v>15.2</v>
      </c>
      <c r="D233" s="2">
        <v>7</v>
      </c>
      <c r="E233" s="3">
        <v>0.2</v>
      </c>
    </row>
    <row r="234" spans="1:5" x14ac:dyDescent="0.2">
      <c r="A234">
        <v>10335</v>
      </c>
      <c r="B234">
        <v>31</v>
      </c>
      <c r="C234" s="2">
        <v>10</v>
      </c>
      <c r="D234" s="2">
        <v>25</v>
      </c>
      <c r="E234" s="3">
        <v>0.2</v>
      </c>
    </row>
    <row r="235" spans="1:5" x14ac:dyDescent="0.2">
      <c r="A235">
        <v>10335</v>
      </c>
      <c r="B235">
        <v>32</v>
      </c>
      <c r="C235" s="2">
        <v>25.6</v>
      </c>
      <c r="D235" s="2">
        <v>6</v>
      </c>
      <c r="E235" s="3">
        <v>0.2</v>
      </c>
    </row>
    <row r="236" spans="1:5" x14ac:dyDescent="0.2">
      <c r="A236">
        <v>10335</v>
      </c>
      <c r="B236">
        <v>51</v>
      </c>
      <c r="C236" s="2">
        <v>42.4</v>
      </c>
      <c r="D236" s="2">
        <v>48</v>
      </c>
      <c r="E236" s="3">
        <v>0.2</v>
      </c>
    </row>
    <row r="237" spans="1:5" x14ac:dyDescent="0.2">
      <c r="A237">
        <v>10336</v>
      </c>
      <c r="B237">
        <v>4</v>
      </c>
      <c r="C237" s="2">
        <v>17.600000000000001</v>
      </c>
      <c r="D237" s="2">
        <v>18</v>
      </c>
      <c r="E237" s="3">
        <v>0.1</v>
      </c>
    </row>
    <row r="238" spans="1:5" x14ac:dyDescent="0.2">
      <c r="A238">
        <v>10337</v>
      </c>
      <c r="B238">
        <v>23</v>
      </c>
      <c r="C238" s="2">
        <v>7.2</v>
      </c>
      <c r="D238" s="2">
        <v>40</v>
      </c>
      <c r="E238" s="3">
        <v>0</v>
      </c>
    </row>
    <row r="239" spans="1:5" x14ac:dyDescent="0.2">
      <c r="A239">
        <v>10337</v>
      </c>
      <c r="B239">
        <v>26</v>
      </c>
      <c r="C239" s="2">
        <v>24.9</v>
      </c>
      <c r="D239" s="2">
        <v>24</v>
      </c>
      <c r="E239" s="3">
        <v>0</v>
      </c>
    </row>
    <row r="240" spans="1:5" x14ac:dyDescent="0.2">
      <c r="A240">
        <v>10337</v>
      </c>
      <c r="B240">
        <v>36</v>
      </c>
      <c r="C240" s="2">
        <v>15.2</v>
      </c>
      <c r="D240" s="2">
        <v>20</v>
      </c>
      <c r="E240" s="3">
        <v>0</v>
      </c>
    </row>
    <row r="241" spans="1:5" x14ac:dyDescent="0.2">
      <c r="A241">
        <v>10337</v>
      </c>
      <c r="B241">
        <v>37</v>
      </c>
      <c r="C241" s="2">
        <v>20.8</v>
      </c>
      <c r="D241" s="2">
        <v>28</v>
      </c>
      <c r="E241" s="3">
        <v>0</v>
      </c>
    </row>
    <row r="242" spans="1:5" x14ac:dyDescent="0.2">
      <c r="A242">
        <v>10337</v>
      </c>
      <c r="B242">
        <v>72</v>
      </c>
      <c r="C242" s="2">
        <v>27.8</v>
      </c>
      <c r="D242" s="2">
        <v>25</v>
      </c>
      <c r="E242" s="3">
        <v>0</v>
      </c>
    </row>
    <row r="243" spans="1:5" x14ac:dyDescent="0.2">
      <c r="A243">
        <v>10338</v>
      </c>
      <c r="B243">
        <v>17</v>
      </c>
      <c r="C243" s="2">
        <v>31.2</v>
      </c>
      <c r="D243" s="2">
        <v>20</v>
      </c>
      <c r="E243" s="3">
        <v>0</v>
      </c>
    </row>
    <row r="244" spans="1:5" x14ac:dyDescent="0.2">
      <c r="A244">
        <v>10338</v>
      </c>
      <c r="B244">
        <v>30</v>
      </c>
      <c r="C244" s="2">
        <v>20.7</v>
      </c>
      <c r="D244" s="2">
        <v>15</v>
      </c>
      <c r="E244" s="3">
        <v>0</v>
      </c>
    </row>
    <row r="245" spans="1:5" x14ac:dyDescent="0.2">
      <c r="A245">
        <v>10339</v>
      </c>
      <c r="B245">
        <v>4</v>
      </c>
      <c r="C245" s="2">
        <v>17.600000000000001</v>
      </c>
      <c r="D245" s="2">
        <v>10</v>
      </c>
      <c r="E245" s="3">
        <v>0</v>
      </c>
    </row>
    <row r="246" spans="1:5" x14ac:dyDescent="0.2">
      <c r="A246">
        <v>10339</v>
      </c>
      <c r="B246">
        <v>17</v>
      </c>
      <c r="C246" s="2">
        <v>31.2</v>
      </c>
      <c r="D246" s="2">
        <v>70</v>
      </c>
      <c r="E246" s="3">
        <v>0.05</v>
      </c>
    </row>
    <row r="247" spans="1:5" x14ac:dyDescent="0.2">
      <c r="A247">
        <v>10339</v>
      </c>
      <c r="B247">
        <v>62</v>
      </c>
      <c r="C247" s="2">
        <v>39.4</v>
      </c>
      <c r="D247" s="2">
        <v>28</v>
      </c>
      <c r="E247" s="3">
        <v>0</v>
      </c>
    </row>
    <row r="248" spans="1:5" x14ac:dyDescent="0.2">
      <c r="A248">
        <v>10340</v>
      </c>
      <c r="B248">
        <v>18</v>
      </c>
      <c r="C248" s="2">
        <v>50</v>
      </c>
      <c r="D248" s="2">
        <v>20</v>
      </c>
      <c r="E248" s="3">
        <v>0.05</v>
      </c>
    </row>
    <row r="249" spans="1:5" x14ac:dyDescent="0.2">
      <c r="A249">
        <v>10340</v>
      </c>
      <c r="B249">
        <v>41</v>
      </c>
      <c r="C249" s="2">
        <v>7.7</v>
      </c>
      <c r="D249" s="2">
        <v>12</v>
      </c>
      <c r="E249" s="3">
        <v>0.05</v>
      </c>
    </row>
    <row r="250" spans="1:5" x14ac:dyDescent="0.2">
      <c r="A250">
        <v>10340</v>
      </c>
      <c r="B250">
        <v>43</v>
      </c>
      <c r="C250" s="2">
        <v>36.799999999999997</v>
      </c>
      <c r="D250" s="2">
        <v>40</v>
      </c>
      <c r="E250" s="3">
        <v>0.05</v>
      </c>
    </row>
    <row r="251" spans="1:5" x14ac:dyDescent="0.2">
      <c r="A251">
        <v>10341</v>
      </c>
      <c r="B251">
        <v>33</v>
      </c>
      <c r="C251" s="2">
        <v>2</v>
      </c>
      <c r="D251" s="2">
        <v>8</v>
      </c>
      <c r="E251" s="3">
        <v>0</v>
      </c>
    </row>
    <row r="252" spans="1:5" x14ac:dyDescent="0.2">
      <c r="A252">
        <v>10341</v>
      </c>
      <c r="B252">
        <v>59</v>
      </c>
      <c r="C252" s="2">
        <v>44</v>
      </c>
      <c r="D252" s="2">
        <v>9</v>
      </c>
      <c r="E252" s="3">
        <v>0.15</v>
      </c>
    </row>
    <row r="253" spans="1:5" x14ac:dyDescent="0.2">
      <c r="A253">
        <v>10342</v>
      </c>
      <c r="B253">
        <v>2</v>
      </c>
      <c r="C253" s="2">
        <v>15.2</v>
      </c>
      <c r="D253" s="2">
        <v>24</v>
      </c>
      <c r="E253" s="3">
        <v>0.2</v>
      </c>
    </row>
    <row r="254" spans="1:5" x14ac:dyDescent="0.2">
      <c r="A254">
        <v>10342</v>
      </c>
      <c r="B254">
        <v>31</v>
      </c>
      <c r="C254" s="2">
        <v>10</v>
      </c>
      <c r="D254" s="2">
        <v>56</v>
      </c>
      <c r="E254" s="3">
        <v>0.2</v>
      </c>
    </row>
    <row r="255" spans="1:5" x14ac:dyDescent="0.2">
      <c r="A255">
        <v>10342</v>
      </c>
      <c r="B255">
        <v>36</v>
      </c>
      <c r="C255" s="2">
        <v>15.2</v>
      </c>
      <c r="D255" s="2">
        <v>40</v>
      </c>
      <c r="E255" s="3">
        <v>0.2</v>
      </c>
    </row>
    <row r="256" spans="1:5" x14ac:dyDescent="0.2">
      <c r="A256">
        <v>10342</v>
      </c>
      <c r="B256">
        <v>55</v>
      </c>
      <c r="C256" s="2">
        <v>19.2</v>
      </c>
      <c r="D256" s="2">
        <v>40</v>
      </c>
      <c r="E256" s="3">
        <v>0.2</v>
      </c>
    </row>
    <row r="257" spans="1:5" x14ac:dyDescent="0.2">
      <c r="A257">
        <v>10343</v>
      </c>
      <c r="B257">
        <v>64</v>
      </c>
      <c r="C257" s="2">
        <v>26.6</v>
      </c>
      <c r="D257" s="2">
        <v>50</v>
      </c>
      <c r="E257" s="3">
        <v>0</v>
      </c>
    </row>
    <row r="258" spans="1:5" x14ac:dyDescent="0.2">
      <c r="A258">
        <v>10343</v>
      </c>
      <c r="B258">
        <v>68</v>
      </c>
      <c r="C258" s="2">
        <v>10</v>
      </c>
      <c r="D258" s="2">
        <v>4</v>
      </c>
      <c r="E258" s="3">
        <v>0.05</v>
      </c>
    </row>
    <row r="259" spans="1:5" x14ac:dyDescent="0.2">
      <c r="A259">
        <v>10343</v>
      </c>
      <c r="B259">
        <v>76</v>
      </c>
      <c r="C259" s="2">
        <v>14.4</v>
      </c>
      <c r="D259" s="2">
        <v>15</v>
      </c>
      <c r="E259" s="3">
        <v>0</v>
      </c>
    </row>
    <row r="260" spans="1:5" x14ac:dyDescent="0.2">
      <c r="A260">
        <v>10344</v>
      </c>
      <c r="B260">
        <v>4</v>
      </c>
      <c r="C260" s="2">
        <v>17.600000000000001</v>
      </c>
      <c r="D260" s="2">
        <v>35</v>
      </c>
      <c r="E260" s="3">
        <v>0</v>
      </c>
    </row>
    <row r="261" spans="1:5" x14ac:dyDescent="0.2">
      <c r="A261">
        <v>10344</v>
      </c>
      <c r="B261">
        <v>8</v>
      </c>
      <c r="C261" s="2">
        <v>32</v>
      </c>
      <c r="D261" s="2">
        <v>70</v>
      </c>
      <c r="E261" s="3">
        <v>0.25</v>
      </c>
    </row>
    <row r="262" spans="1:5" x14ac:dyDescent="0.2">
      <c r="A262">
        <v>10345</v>
      </c>
      <c r="B262">
        <v>8</v>
      </c>
      <c r="C262" s="2">
        <v>32</v>
      </c>
      <c r="D262" s="2">
        <v>70</v>
      </c>
      <c r="E262" s="3">
        <v>0</v>
      </c>
    </row>
    <row r="263" spans="1:5" x14ac:dyDescent="0.2">
      <c r="A263">
        <v>10345</v>
      </c>
      <c r="B263">
        <v>19</v>
      </c>
      <c r="C263" s="2">
        <v>7.3</v>
      </c>
      <c r="D263" s="2">
        <v>80</v>
      </c>
      <c r="E263" s="3">
        <v>0</v>
      </c>
    </row>
    <row r="264" spans="1:5" x14ac:dyDescent="0.2">
      <c r="A264">
        <v>10345</v>
      </c>
      <c r="B264">
        <v>42</v>
      </c>
      <c r="C264" s="2">
        <v>11.2</v>
      </c>
      <c r="D264" s="2">
        <v>9</v>
      </c>
      <c r="E264" s="3">
        <v>0</v>
      </c>
    </row>
    <row r="265" spans="1:5" x14ac:dyDescent="0.2">
      <c r="A265">
        <v>10346</v>
      </c>
      <c r="B265">
        <v>17</v>
      </c>
      <c r="C265" s="2">
        <v>31.2</v>
      </c>
      <c r="D265" s="2">
        <v>36</v>
      </c>
      <c r="E265" s="3">
        <v>0.1</v>
      </c>
    </row>
    <row r="266" spans="1:5" x14ac:dyDescent="0.2">
      <c r="A266">
        <v>10346</v>
      </c>
      <c r="B266">
        <v>56</v>
      </c>
      <c r="C266" s="2">
        <v>30.4</v>
      </c>
      <c r="D266" s="2">
        <v>20</v>
      </c>
      <c r="E266" s="3">
        <v>0</v>
      </c>
    </row>
    <row r="267" spans="1:5" x14ac:dyDescent="0.2">
      <c r="A267">
        <v>10347</v>
      </c>
      <c r="B267">
        <v>25</v>
      </c>
      <c r="C267" s="2">
        <v>11.2</v>
      </c>
      <c r="D267" s="2">
        <v>10</v>
      </c>
      <c r="E267" s="3">
        <v>0</v>
      </c>
    </row>
    <row r="268" spans="1:5" x14ac:dyDescent="0.2">
      <c r="A268">
        <v>10347</v>
      </c>
      <c r="B268">
        <v>39</v>
      </c>
      <c r="C268" s="2">
        <v>14.4</v>
      </c>
      <c r="D268" s="2">
        <v>50</v>
      </c>
      <c r="E268" s="3">
        <v>0.15</v>
      </c>
    </row>
    <row r="269" spans="1:5" x14ac:dyDescent="0.2">
      <c r="A269">
        <v>10347</v>
      </c>
      <c r="B269">
        <v>40</v>
      </c>
      <c r="C269" s="2">
        <v>14.7</v>
      </c>
      <c r="D269" s="2">
        <v>4</v>
      </c>
      <c r="E269" s="3">
        <v>0</v>
      </c>
    </row>
    <row r="270" spans="1:5" x14ac:dyDescent="0.2">
      <c r="A270">
        <v>10347</v>
      </c>
      <c r="B270">
        <v>75</v>
      </c>
      <c r="C270" s="2">
        <v>6.2</v>
      </c>
      <c r="D270" s="2">
        <v>6</v>
      </c>
      <c r="E270" s="3">
        <v>0.15</v>
      </c>
    </row>
    <row r="271" spans="1:5" x14ac:dyDescent="0.2">
      <c r="A271">
        <v>10348</v>
      </c>
      <c r="B271">
        <v>1</v>
      </c>
      <c r="C271" s="2">
        <v>14.4</v>
      </c>
      <c r="D271" s="2">
        <v>15</v>
      </c>
      <c r="E271" s="3">
        <v>0.15</v>
      </c>
    </row>
    <row r="272" spans="1:5" x14ac:dyDescent="0.2">
      <c r="A272">
        <v>10348</v>
      </c>
      <c r="B272">
        <v>23</v>
      </c>
      <c r="C272" s="2">
        <v>7.2</v>
      </c>
      <c r="D272" s="2">
        <v>25</v>
      </c>
      <c r="E272" s="3">
        <v>0</v>
      </c>
    </row>
    <row r="273" spans="1:5" x14ac:dyDescent="0.2">
      <c r="A273">
        <v>10349</v>
      </c>
      <c r="B273">
        <v>54</v>
      </c>
      <c r="C273" s="2">
        <v>5.9</v>
      </c>
      <c r="D273" s="2">
        <v>24</v>
      </c>
      <c r="E273" s="3">
        <v>0</v>
      </c>
    </row>
    <row r="274" spans="1:5" x14ac:dyDescent="0.2">
      <c r="A274">
        <v>10350</v>
      </c>
      <c r="B274">
        <v>50</v>
      </c>
      <c r="C274" s="2">
        <v>13</v>
      </c>
      <c r="D274" s="2">
        <v>15</v>
      </c>
      <c r="E274" s="3">
        <v>0.1</v>
      </c>
    </row>
    <row r="275" spans="1:5" x14ac:dyDescent="0.2">
      <c r="A275">
        <v>10350</v>
      </c>
      <c r="B275">
        <v>69</v>
      </c>
      <c r="C275" s="2">
        <v>28.8</v>
      </c>
      <c r="D275" s="2">
        <v>18</v>
      </c>
      <c r="E275" s="3">
        <v>0.1</v>
      </c>
    </row>
    <row r="276" spans="1:5" x14ac:dyDescent="0.2">
      <c r="A276">
        <v>10351</v>
      </c>
      <c r="B276">
        <v>38</v>
      </c>
      <c r="C276" s="2">
        <v>210.8</v>
      </c>
      <c r="D276" s="2">
        <v>20</v>
      </c>
      <c r="E276" s="3">
        <v>0.05</v>
      </c>
    </row>
    <row r="277" spans="1:5" x14ac:dyDescent="0.2">
      <c r="A277">
        <v>10351</v>
      </c>
      <c r="B277">
        <v>41</v>
      </c>
      <c r="C277" s="2">
        <v>7.7</v>
      </c>
      <c r="D277" s="2">
        <v>13</v>
      </c>
      <c r="E277" s="3">
        <v>0</v>
      </c>
    </row>
    <row r="278" spans="1:5" x14ac:dyDescent="0.2">
      <c r="A278">
        <v>10351</v>
      </c>
      <c r="B278">
        <v>44</v>
      </c>
      <c r="C278" s="2">
        <v>15.5</v>
      </c>
      <c r="D278" s="2">
        <v>77</v>
      </c>
      <c r="E278" s="3">
        <v>0.05</v>
      </c>
    </row>
    <row r="279" spans="1:5" x14ac:dyDescent="0.2">
      <c r="A279">
        <v>10351</v>
      </c>
      <c r="B279">
        <v>65</v>
      </c>
      <c r="C279" s="2">
        <v>16.8</v>
      </c>
      <c r="D279" s="2">
        <v>10</v>
      </c>
      <c r="E279" s="3">
        <v>0.05</v>
      </c>
    </row>
    <row r="280" spans="1:5" x14ac:dyDescent="0.2">
      <c r="A280">
        <v>10352</v>
      </c>
      <c r="B280">
        <v>24</v>
      </c>
      <c r="C280" s="2">
        <v>3.6</v>
      </c>
      <c r="D280" s="2">
        <v>10</v>
      </c>
      <c r="E280" s="3">
        <v>0</v>
      </c>
    </row>
    <row r="281" spans="1:5" x14ac:dyDescent="0.2">
      <c r="A281">
        <v>10352</v>
      </c>
      <c r="B281">
        <v>54</v>
      </c>
      <c r="C281" s="2">
        <v>5.9</v>
      </c>
      <c r="D281" s="2">
        <v>20</v>
      </c>
      <c r="E281" s="3">
        <v>0.15</v>
      </c>
    </row>
    <row r="282" spans="1:5" x14ac:dyDescent="0.2">
      <c r="A282">
        <v>10353</v>
      </c>
      <c r="B282">
        <v>11</v>
      </c>
      <c r="C282" s="2">
        <v>16.8</v>
      </c>
      <c r="D282" s="2">
        <v>12</v>
      </c>
      <c r="E282" s="3">
        <v>0.2</v>
      </c>
    </row>
    <row r="283" spans="1:5" x14ac:dyDescent="0.2">
      <c r="A283">
        <v>10353</v>
      </c>
      <c r="B283">
        <v>38</v>
      </c>
      <c r="C283" s="2">
        <v>210.8</v>
      </c>
      <c r="D283" s="2">
        <v>50</v>
      </c>
      <c r="E283" s="3">
        <v>0.2</v>
      </c>
    </row>
    <row r="284" spans="1:5" x14ac:dyDescent="0.2">
      <c r="A284">
        <v>10354</v>
      </c>
      <c r="B284">
        <v>1</v>
      </c>
      <c r="C284" s="2">
        <v>14.4</v>
      </c>
      <c r="D284" s="2">
        <v>12</v>
      </c>
      <c r="E284" s="3">
        <v>0</v>
      </c>
    </row>
    <row r="285" spans="1:5" x14ac:dyDescent="0.2">
      <c r="A285">
        <v>10354</v>
      </c>
      <c r="B285">
        <v>29</v>
      </c>
      <c r="C285" s="2">
        <v>99</v>
      </c>
      <c r="D285" s="2">
        <v>4</v>
      </c>
      <c r="E285" s="3">
        <v>0</v>
      </c>
    </row>
    <row r="286" spans="1:5" x14ac:dyDescent="0.2">
      <c r="A286">
        <v>10355</v>
      </c>
      <c r="B286">
        <v>24</v>
      </c>
      <c r="C286" s="2">
        <v>3.6</v>
      </c>
      <c r="D286" s="2">
        <v>25</v>
      </c>
      <c r="E286" s="3">
        <v>0</v>
      </c>
    </row>
    <row r="287" spans="1:5" x14ac:dyDescent="0.2">
      <c r="A287">
        <v>10355</v>
      </c>
      <c r="B287">
        <v>57</v>
      </c>
      <c r="C287" s="2">
        <v>15.6</v>
      </c>
      <c r="D287" s="2">
        <v>25</v>
      </c>
      <c r="E287" s="3">
        <v>0</v>
      </c>
    </row>
    <row r="288" spans="1:5" x14ac:dyDescent="0.2">
      <c r="A288">
        <v>10356</v>
      </c>
      <c r="B288">
        <v>31</v>
      </c>
      <c r="C288" s="2">
        <v>10</v>
      </c>
      <c r="D288" s="2">
        <v>30</v>
      </c>
      <c r="E288" s="3">
        <v>0</v>
      </c>
    </row>
    <row r="289" spans="1:5" x14ac:dyDescent="0.2">
      <c r="A289">
        <v>10356</v>
      </c>
      <c r="B289">
        <v>55</v>
      </c>
      <c r="C289" s="2">
        <v>19.2</v>
      </c>
      <c r="D289" s="2">
        <v>12</v>
      </c>
      <c r="E289" s="3">
        <v>0</v>
      </c>
    </row>
    <row r="290" spans="1:5" x14ac:dyDescent="0.2">
      <c r="A290">
        <v>10356</v>
      </c>
      <c r="B290">
        <v>69</v>
      </c>
      <c r="C290" s="2">
        <v>28.8</v>
      </c>
      <c r="D290" s="2">
        <v>20</v>
      </c>
      <c r="E290" s="3">
        <v>0</v>
      </c>
    </row>
    <row r="291" spans="1:5" x14ac:dyDescent="0.2">
      <c r="A291">
        <v>10357</v>
      </c>
      <c r="B291">
        <v>10</v>
      </c>
      <c r="C291" s="2">
        <v>24.8</v>
      </c>
      <c r="D291" s="2">
        <v>30</v>
      </c>
      <c r="E291" s="3">
        <v>0.2</v>
      </c>
    </row>
    <row r="292" spans="1:5" x14ac:dyDescent="0.2">
      <c r="A292">
        <v>10357</v>
      </c>
      <c r="B292">
        <v>26</v>
      </c>
      <c r="C292" s="2">
        <v>24.9</v>
      </c>
      <c r="D292" s="2">
        <v>16</v>
      </c>
      <c r="E292" s="3">
        <v>0</v>
      </c>
    </row>
    <row r="293" spans="1:5" x14ac:dyDescent="0.2">
      <c r="A293">
        <v>10357</v>
      </c>
      <c r="B293">
        <v>60</v>
      </c>
      <c r="C293" s="2">
        <v>27.2</v>
      </c>
      <c r="D293" s="2">
        <v>8</v>
      </c>
      <c r="E293" s="3">
        <v>0.2</v>
      </c>
    </row>
    <row r="294" spans="1:5" x14ac:dyDescent="0.2">
      <c r="A294">
        <v>10358</v>
      </c>
      <c r="B294">
        <v>24</v>
      </c>
      <c r="C294" s="2">
        <v>3.6</v>
      </c>
      <c r="D294" s="2">
        <v>10</v>
      </c>
      <c r="E294" s="3">
        <v>0.05</v>
      </c>
    </row>
    <row r="295" spans="1:5" x14ac:dyDescent="0.2">
      <c r="A295">
        <v>10358</v>
      </c>
      <c r="B295">
        <v>34</v>
      </c>
      <c r="C295" s="2">
        <v>11.2</v>
      </c>
      <c r="D295" s="2">
        <v>10</v>
      </c>
      <c r="E295" s="3">
        <v>0.05</v>
      </c>
    </row>
    <row r="296" spans="1:5" x14ac:dyDescent="0.2">
      <c r="A296">
        <v>10358</v>
      </c>
      <c r="B296">
        <v>36</v>
      </c>
      <c r="C296" s="2">
        <v>15.2</v>
      </c>
      <c r="D296" s="2">
        <v>20</v>
      </c>
      <c r="E296" s="3">
        <v>0.05</v>
      </c>
    </row>
    <row r="297" spans="1:5" x14ac:dyDescent="0.2">
      <c r="A297">
        <v>10359</v>
      </c>
      <c r="B297">
        <v>16</v>
      </c>
      <c r="C297" s="2">
        <v>13.9</v>
      </c>
      <c r="D297" s="2">
        <v>56</v>
      </c>
      <c r="E297" s="3">
        <v>0.05</v>
      </c>
    </row>
    <row r="298" spans="1:5" x14ac:dyDescent="0.2">
      <c r="A298">
        <v>10359</v>
      </c>
      <c r="B298">
        <v>31</v>
      </c>
      <c r="C298" s="2">
        <v>10</v>
      </c>
      <c r="D298" s="2">
        <v>70</v>
      </c>
      <c r="E298" s="3">
        <v>0.05</v>
      </c>
    </row>
    <row r="299" spans="1:5" x14ac:dyDescent="0.2">
      <c r="A299">
        <v>10359</v>
      </c>
      <c r="B299">
        <v>60</v>
      </c>
      <c r="C299" s="2">
        <v>27.2</v>
      </c>
      <c r="D299" s="2">
        <v>80</v>
      </c>
      <c r="E299" s="3">
        <v>0.05</v>
      </c>
    </row>
    <row r="300" spans="1:5" x14ac:dyDescent="0.2">
      <c r="A300">
        <v>10360</v>
      </c>
      <c r="B300">
        <v>28</v>
      </c>
      <c r="C300" s="2">
        <v>36.4</v>
      </c>
      <c r="D300" s="2">
        <v>30</v>
      </c>
      <c r="E300" s="3">
        <v>0</v>
      </c>
    </row>
    <row r="301" spans="1:5" x14ac:dyDescent="0.2">
      <c r="A301">
        <v>10360</v>
      </c>
      <c r="B301">
        <v>29</v>
      </c>
      <c r="C301" s="2">
        <v>99</v>
      </c>
      <c r="D301" s="2">
        <v>35</v>
      </c>
      <c r="E301" s="3">
        <v>0</v>
      </c>
    </row>
    <row r="302" spans="1:5" x14ac:dyDescent="0.2">
      <c r="A302">
        <v>10360</v>
      </c>
      <c r="B302">
        <v>38</v>
      </c>
      <c r="C302" s="2">
        <v>210.8</v>
      </c>
      <c r="D302" s="2">
        <v>10</v>
      </c>
      <c r="E302" s="3">
        <v>0</v>
      </c>
    </row>
    <row r="303" spans="1:5" x14ac:dyDescent="0.2">
      <c r="A303">
        <v>10360</v>
      </c>
      <c r="B303">
        <v>49</v>
      </c>
      <c r="C303" s="2">
        <v>16</v>
      </c>
      <c r="D303" s="2">
        <v>35</v>
      </c>
      <c r="E303" s="3">
        <v>0</v>
      </c>
    </row>
    <row r="304" spans="1:5" x14ac:dyDescent="0.2">
      <c r="A304">
        <v>10360</v>
      </c>
      <c r="B304">
        <v>54</v>
      </c>
      <c r="C304" s="2">
        <v>5.9</v>
      </c>
      <c r="D304" s="2">
        <v>28</v>
      </c>
      <c r="E304" s="3">
        <v>0</v>
      </c>
    </row>
    <row r="305" spans="1:5" x14ac:dyDescent="0.2">
      <c r="A305">
        <v>10361</v>
      </c>
      <c r="B305">
        <v>39</v>
      </c>
      <c r="C305" s="2">
        <v>14.4</v>
      </c>
      <c r="D305" s="2">
        <v>54</v>
      </c>
      <c r="E305" s="3">
        <v>0.1</v>
      </c>
    </row>
    <row r="306" spans="1:5" x14ac:dyDescent="0.2">
      <c r="A306">
        <v>10361</v>
      </c>
      <c r="B306">
        <v>60</v>
      </c>
      <c r="C306" s="2">
        <v>27.2</v>
      </c>
      <c r="D306" s="2">
        <v>55</v>
      </c>
      <c r="E306" s="3">
        <v>0.1</v>
      </c>
    </row>
    <row r="307" spans="1:5" x14ac:dyDescent="0.2">
      <c r="A307">
        <v>10362</v>
      </c>
      <c r="B307">
        <v>25</v>
      </c>
      <c r="C307" s="2">
        <v>11.2</v>
      </c>
      <c r="D307" s="2">
        <v>50</v>
      </c>
      <c r="E307" s="3">
        <v>0</v>
      </c>
    </row>
    <row r="308" spans="1:5" x14ac:dyDescent="0.2">
      <c r="A308">
        <v>10362</v>
      </c>
      <c r="B308">
        <v>51</v>
      </c>
      <c r="C308" s="2">
        <v>42.4</v>
      </c>
      <c r="D308" s="2">
        <v>20</v>
      </c>
      <c r="E308" s="3">
        <v>0</v>
      </c>
    </row>
    <row r="309" spans="1:5" x14ac:dyDescent="0.2">
      <c r="A309">
        <v>10362</v>
      </c>
      <c r="B309">
        <v>54</v>
      </c>
      <c r="C309" s="2">
        <v>5.9</v>
      </c>
      <c r="D309" s="2">
        <v>24</v>
      </c>
      <c r="E309" s="3">
        <v>0</v>
      </c>
    </row>
    <row r="310" spans="1:5" x14ac:dyDescent="0.2">
      <c r="A310">
        <v>10363</v>
      </c>
      <c r="B310">
        <v>31</v>
      </c>
      <c r="C310" s="2">
        <v>10</v>
      </c>
      <c r="D310" s="2">
        <v>20</v>
      </c>
      <c r="E310" s="3">
        <v>0</v>
      </c>
    </row>
    <row r="311" spans="1:5" x14ac:dyDescent="0.2">
      <c r="A311">
        <v>10363</v>
      </c>
      <c r="B311">
        <v>75</v>
      </c>
      <c r="C311" s="2">
        <v>6.2</v>
      </c>
      <c r="D311" s="2">
        <v>12</v>
      </c>
      <c r="E311" s="3">
        <v>0</v>
      </c>
    </row>
    <row r="312" spans="1:5" x14ac:dyDescent="0.2">
      <c r="A312">
        <v>10363</v>
      </c>
      <c r="B312">
        <v>76</v>
      </c>
      <c r="C312" s="2">
        <v>14.4</v>
      </c>
      <c r="D312" s="2">
        <v>12</v>
      </c>
      <c r="E312" s="3">
        <v>0</v>
      </c>
    </row>
    <row r="313" spans="1:5" x14ac:dyDescent="0.2">
      <c r="A313">
        <v>10364</v>
      </c>
      <c r="B313">
        <v>69</v>
      </c>
      <c r="C313" s="2">
        <v>28.8</v>
      </c>
      <c r="D313" s="2">
        <v>30</v>
      </c>
      <c r="E313" s="3">
        <v>0</v>
      </c>
    </row>
    <row r="314" spans="1:5" x14ac:dyDescent="0.2">
      <c r="A314">
        <v>10364</v>
      </c>
      <c r="B314">
        <v>71</v>
      </c>
      <c r="C314" s="2">
        <v>17.2</v>
      </c>
      <c r="D314" s="2">
        <v>5</v>
      </c>
      <c r="E314" s="3">
        <v>0</v>
      </c>
    </row>
    <row r="315" spans="1:5" x14ac:dyDescent="0.2">
      <c r="A315">
        <v>10365</v>
      </c>
      <c r="B315">
        <v>11</v>
      </c>
      <c r="C315" s="2">
        <v>16.8</v>
      </c>
      <c r="D315" s="2">
        <v>24</v>
      </c>
      <c r="E315" s="3">
        <v>0</v>
      </c>
    </row>
    <row r="316" spans="1:5" x14ac:dyDescent="0.2">
      <c r="A316">
        <v>10366</v>
      </c>
      <c r="B316">
        <v>65</v>
      </c>
      <c r="C316" s="2">
        <v>16.8</v>
      </c>
      <c r="D316" s="2">
        <v>5</v>
      </c>
      <c r="E316" s="3">
        <v>0</v>
      </c>
    </row>
    <row r="317" spans="1:5" x14ac:dyDescent="0.2">
      <c r="A317">
        <v>10366</v>
      </c>
      <c r="B317">
        <v>77</v>
      </c>
      <c r="C317" s="2">
        <v>10.4</v>
      </c>
      <c r="D317" s="2">
        <v>5</v>
      </c>
      <c r="E317" s="3">
        <v>0</v>
      </c>
    </row>
    <row r="318" spans="1:5" x14ac:dyDescent="0.2">
      <c r="A318">
        <v>10367</v>
      </c>
      <c r="B318">
        <v>34</v>
      </c>
      <c r="C318" s="2">
        <v>11.2</v>
      </c>
      <c r="D318" s="2">
        <v>36</v>
      </c>
      <c r="E318" s="3">
        <v>0</v>
      </c>
    </row>
    <row r="319" spans="1:5" x14ac:dyDescent="0.2">
      <c r="A319">
        <v>10367</v>
      </c>
      <c r="B319">
        <v>54</v>
      </c>
      <c r="C319" s="2">
        <v>5.9</v>
      </c>
      <c r="D319" s="2">
        <v>18</v>
      </c>
      <c r="E319" s="3">
        <v>0</v>
      </c>
    </row>
    <row r="320" spans="1:5" x14ac:dyDescent="0.2">
      <c r="A320">
        <v>10367</v>
      </c>
      <c r="B320">
        <v>65</v>
      </c>
      <c r="C320" s="2">
        <v>16.8</v>
      </c>
      <c r="D320" s="2">
        <v>15</v>
      </c>
      <c r="E320" s="3">
        <v>0</v>
      </c>
    </row>
    <row r="321" spans="1:5" x14ac:dyDescent="0.2">
      <c r="A321">
        <v>10367</v>
      </c>
      <c r="B321">
        <v>77</v>
      </c>
      <c r="C321" s="2">
        <v>10.4</v>
      </c>
      <c r="D321" s="2">
        <v>7</v>
      </c>
      <c r="E321" s="3">
        <v>0</v>
      </c>
    </row>
    <row r="322" spans="1:5" x14ac:dyDescent="0.2">
      <c r="A322">
        <v>10368</v>
      </c>
      <c r="B322">
        <v>21</v>
      </c>
      <c r="C322" s="2">
        <v>8</v>
      </c>
      <c r="D322" s="2">
        <v>5</v>
      </c>
      <c r="E322" s="3">
        <v>0.1</v>
      </c>
    </row>
    <row r="323" spans="1:5" x14ac:dyDescent="0.2">
      <c r="A323">
        <v>10368</v>
      </c>
      <c r="B323">
        <v>28</v>
      </c>
      <c r="C323" s="2">
        <v>36.4</v>
      </c>
      <c r="D323" s="2">
        <v>13</v>
      </c>
      <c r="E323" s="3">
        <v>0.1</v>
      </c>
    </row>
    <row r="324" spans="1:5" x14ac:dyDescent="0.2">
      <c r="A324">
        <v>10368</v>
      </c>
      <c r="B324">
        <v>57</v>
      </c>
      <c r="C324" s="2">
        <v>15.6</v>
      </c>
      <c r="D324" s="2">
        <v>25</v>
      </c>
      <c r="E324" s="3">
        <v>0</v>
      </c>
    </row>
    <row r="325" spans="1:5" x14ac:dyDescent="0.2">
      <c r="A325">
        <v>10368</v>
      </c>
      <c r="B325">
        <v>64</v>
      </c>
      <c r="C325" s="2">
        <v>26.6</v>
      </c>
      <c r="D325" s="2">
        <v>35</v>
      </c>
      <c r="E325" s="3">
        <v>0.1</v>
      </c>
    </row>
    <row r="326" spans="1:5" x14ac:dyDescent="0.2">
      <c r="A326">
        <v>10369</v>
      </c>
      <c r="B326">
        <v>29</v>
      </c>
      <c r="C326" s="2">
        <v>99</v>
      </c>
      <c r="D326" s="2">
        <v>20</v>
      </c>
      <c r="E326" s="3">
        <v>0</v>
      </c>
    </row>
    <row r="327" spans="1:5" x14ac:dyDescent="0.2">
      <c r="A327">
        <v>10369</v>
      </c>
      <c r="B327">
        <v>56</v>
      </c>
      <c r="C327" s="2">
        <v>30.4</v>
      </c>
      <c r="D327" s="2">
        <v>18</v>
      </c>
      <c r="E327" s="3">
        <v>0.25</v>
      </c>
    </row>
    <row r="328" spans="1:5" x14ac:dyDescent="0.2">
      <c r="A328">
        <v>10370</v>
      </c>
      <c r="B328">
        <v>1</v>
      </c>
      <c r="C328" s="2">
        <v>14.4</v>
      </c>
      <c r="D328" s="2">
        <v>15</v>
      </c>
      <c r="E328" s="3">
        <v>0.15</v>
      </c>
    </row>
    <row r="329" spans="1:5" x14ac:dyDescent="0.2">
      <c r="A329">
        <v>10370</v>
      </c>
      <c r="B329">
        <v>64</v>
      </c>
      <c r="C329" s="2">
        <v>26.6</v>
      </c>
      <c r="D329" s="2">
        <v>30</v>
      </c>
      <c r="E329" s="3">
        <v>0</v>
      </c>
    </row>
    <row r="330" spans="1:5" x14ac:dyDescent="0.2">
      <c r="A330">
        <v>10370</v>
      </c>
      <c r="B330">
        <v>74</v>
      </c>
      <c r="C330" s="2">
        <v>8</v>
      </c>
      <c r="D330" s="2">
        <v>20</v>
      </c>
      <c r="E330" s="3">
        <v>0.15</v>
      </c>
    </row>
    <row r="331" spans="1:5" x14ac:dyDescent="0.2">
      <c r="A331">
        <v>10371</v>
      </c>
      <c r="B331">
        <v>36</v>
      </c>
      <c r="C331" s="2">
        <v>15.2</v>
      </c>
      <c r="D331" s="2">
        <v>6</v>
      </c>
      <c r="E331" s="3">
        <v>0.2</v>
      </c>
    </row>
    <row r="332" spans="1:5" x14ac:dyDescent="0.2">
      <c r="A332">
        <v>10372</v>
      </c>
      <c r="B332">
        <v>20</v>
      </c>
      <c r="C332" s="2">
        <v>64.8</v>
      </c>
      <c r="D332" s="2">
        <v>12</v>
      </c>
      <c r="E332" s="3">
        <v>0.25</v>
      </c>
    </row>
    <row r="333" spans="1:5" x14ac:dyDescent="0.2">
      <c r="A333">
        <v>10372</v>
      </c>
      <c r="B333">
        <v>38</v>
      </c>
      <c r="C333" s="2">
        <v>210.8</v>
      </c>
      <c r="D333" s="2">
        <v>40</v>
      </c>
      <c r="E333" s="3">
        <v>0.25</v>
      </c>
    </row>
    <row r="334" spans="1:5" x14ac:dyDescent="0.2">
      <c r="A334">
        <v>10372</v>
      </c>
      <c r="B334">
        <v>60</v>
      </c>
      <c r="C334" s="2">
        <v>27.2</v>
      </c>
      <c r="D334" s="2">
        <v>70</v>
      </c>
      <c r="E334" s="3">
        <v>0.25</v>
      </c>
    </row>
    <row r="335" spans="1:5" x14ac:dyDescent="0.2">
      <c r="A335">
        <v>10372</v>
      </c>
      <c r="B335">
        <v>72</v>
      </c>
      <c r="C335" s="2">
        <v>27.8</v>
      </c>
      <c r="D335" s="2">
        <v>42</v>
      </c>
      <c r="E335" s="3">
        <v>0.25</v>
      </c>
    </row>
    <row r="336" spans="1:5" x14ac:dyDescent="0.2">
      <c r="A336">
        <v>10373</v>
      </c>
      <c r="B336">
        <v>58</v>
      </c>
      <c r="C336" s="2">
        <v>10.6</v>
      </c>
      <c r="D336" s="2">
        <v>80</v>
      </c>
      <c r="E336" s="3">
        <v>0.2</v>
      </c>
    </row>
    <row r="337" spans="1:5" x14ac:dyDescent="0.2">
      <c r="A337">
        <v>10373</v>
      </c>
      <c r="B337">
        <v>71</v>
      </c>
      <c r="C337" s="2">
        <v>17.2</v>
      </c>
      <c r="D337" s="2">
        <v>50</v>
      </c>
      <c r="E337" s="3">
        <v>0.2</v>
      </c>
    </row>
    <row r="338" spans="1:5" x14ac:dyDescent="0.2">
      <c r="A338">
        <v>10374</v>
      </c>
      <c r="B338">
        <v>31</v>
      </c>
      <c r="C338" s="2">
        <v>10</v>
      </c>
      <c r="D338" s="2">
        <v>30</v>
      </c>
      <c r="E338" s="3">
        <v>0</v>
      </c>
    </row>
    <row r="339" spans="1:5" x14ac:dyDescent="0.2">
      <c r="A339">
        <v>10374</v>
      </c>
      <c r="B339">
        <v>58</v>
      </c>
      <c r="C339" s="2">
        <v>10.6</v>
      </c>
      <c r="D339" s="2">
        <v>15</v>
      </c>
      <c r="E339" s="3">
        <v>0</v>
      </c>
    </row>
    <row r="340" spans="1:5" x14ac:dyDescent="0.2">
      <c r="A340">
        <v>10375</v>
      </c>
      <c r="B340">
        <v>14</v>
      </c>
      <c r="C340" s="2">
        <v>18.600000000000001</v>
      </c>
      <c r="D340" s="2">
        <v>15</v>
      </c>
      <c r="E340" s="3">
        <v>0</v>
      </c>
    </row>
    <row r="341" spans="1:5" x14ac:dyDescent="0.2">
      <c r="A341">
        <v>10375</v>
      </c>
      <c r="B341">
        <v>54</v>
      </c>
      <c r="C341" s="2">
        <v>5.9</v>
      </c>
      <c r="D341" s="2">
        <v>10</v>
      </c>
      <c r="E341" s="3">
        <v>0</v>
      </c>
    </row>
    <row r="342" spans="1:5" x14ac:dyDescent="0.2">
      <c r="A342">
        <v>10376</v>
      </c>
      <c r="B342">
        <v>31</v>
      </c>
      <c r="C342" s="2">
        <v>10</v>
      </c>
      <c r="D342" s="2">
        <v>42</v>
      </c>
      <c r="E342" s="3">
        <v>0.05</v>
      </c>
    </row>
    <row r="343" spans="1:5" x14ac:dyDescent="0.2">
      <c r="A343">
        <v>10377</v>
      </c>
      <c r="B343">
        <v>28</v>
      </c>
      <c r="C343" s="2">
        <v>36.4</v>
      </c>
      <c r="D343" s="2">
        <v>20</v>
      </c>
      <c r="E343" s="3">
        <v>0.15</v>
      </c>
    </row>
    <row r="344" spans="1:5" x14ac:dyDescent="0.2">
      <c r="A344">
        <v>10377</v>
      </c>
      <c r="B344">
        <v>39</v>
      </c>
      <c r="C344" s="2">
        <v>14.4</v>
      </c>
      <c r="D344" s="2">
        <v>20</v>
      </c>
      <c r="E344" s="3">
        <v>0.15</v>
      </c>
    </row>
    <row r="345" spans="1:5" x14ac:dyDescent="0.2">
      <c r="A345">
        <v>10378</v>
      </c>
      <c r="B345">
        <v>71</v>
      </c>
      <c r="C345" s="2">
        <v>17.2</v>
      </c>
      <c r="D345" s="2">
        <v>6</v>
      </c>
      <c r="E345" s="3">
        <v>0</v>
      </c>
    </row>
    <row r="346" spans="1:5" x14ac:dyDescent="0.2">
      <c r="A346">
        <v>10379</v>
      </c>
      <c r="B346">
        <v>41</v>
      </c>
      <c r="C346" s="2">
        <v>7.7</v>
      </c>
      <c r="D346" s="2">
        <v>8</v>
      </c>
      <c r="E346" s="3">
        <v>0.1</v>
      </c>
    </row>
    <row r="347" spans="1:5" x14ac:dyDescent="0.2">
      <c r="A347">
        <v>10379</v>
      </c>
      <c r="B347">
        <v>63</v>
      </c>
      <c r="C347" s="2">
        <v>35.1</v>
      </c>
      <c r="D347" s="2">
        <v>16</v>
      </c>
      <c r="E347" s="3">
        <v>0.1</v>
      </c>
    </row>
    <row r="348" spans="1:5" x14ac:dyDescent="0.2">
      <c r="A348">
        <v>10379</v>
      </c>
      <c r="B348">
        <v>65</v>
      </c>
      <c r="C348" s="2">
        <v>16.8</v>
      </c>
      <c r="D348" s="2">
        <v>20</v>
      </c>
      <c r="E348" s="3">
        <v>0.1</v>
      </c>
    </row>
    <row r="349" spans="1:5" x14ac:dyDescent="0.2">
      <c r="A349">
        <v>10380</v>
      </c>
      <c r="B349">
        <v>30</v>
      </c>
      <c r="C349" s="2">
        <v>20.7</v>
      </c>
      <c r="D349" s="2">
        <v>18</v>
      </c>
      <c r="E349" s="3">
        <v>0.1</v>
      </c>
    </row>
    <row r="350" spans="1:5" x14ac:dyDescent="0.2">
      <c r="A350">
        <v>10380</v>
      </c>
      <c r="B350">
        <v>53</v>
      </c>
      <c r="C350" s="2">
        <v>26.2</v>
      </c>
      <c r="D350" s="2">
        <v>20</v>
      </c>
      <c r="E350" s="3">
        <v>0.1</v>
      </c>
    </row>
    <row r="351" spans="1:5" x14ac:dyDescent="0.2">
      <c r="A351">
        <v>10380</v>
      </c>
      <c r="B351">
        <v>60</v>
      </c>
      <c r="C351" s="2">
        <v>27.2</v>
      </c>
      <c r="D351" s="2">
        <v>6</v>
      </c>
      <c r="E351" s="3">
        <v>0.1</v>
      </c>
    </row>
    <row r="352" spans="1:5" x14ac:dyDescent="0.2">
      <c r="A352">
        <v>10380</v>
      </c>
      <c r="B352">
        <v>70</v>
      </c>
      <c r="C352" s="2">
        <v>12</v>
      </c>
      <c r="D352" s="2">
        <v>30</v>
      </c>
      <c r="E352" s="3">
        <v>0</v>
      </c>
    </row>
    <row r="353" spans="1:5" x14ac:dyDescent="0.2">
      <c r="A353">
        <v>10381</v>
      </c>
      <c r="B353">
        <v>74</v>
      </c>
      <c r="C353" s="2">
        <v>8</v>
      </c>
      <c r="D353" s="2">
        <v>14</v>
      </c>
      <c r="E353" s="3">
        <v>0</v>
      </c>
    </row>
    <row r="354" spans="1:5" x14ac:dyDescent="0.2">
      <c r="A354">
        <v>10382</v>
      </c>
      <c r="B354">
        <v>5</v>
      </c>
      <c r="C354" s="2">
        <v>17</v>
      </c>
      <c r="D354" s="2">
        <v>32</v>
      </c>
      <c r="E354" s="3">
        <v>0</v>
      </c>
    </row>
    <row r="355" spans="1:5" x14ac:dyDescent="0.2">
      <c r="A355">
        <v>10382</v>
      </c>
      <c r="B355">
        <v>18</v>
      </c>
      <c r="C355" s="2">
        <v>50</v>
      </c>
      <c r="D355" s="2">
        <v>9</v>
      </c>
      <c r="E355" s="3">
        <v>0</v>
      </c>
    </row>
    <row r="356" spans="1:5" x14ac:dyDescent="0.2">
      <c r="A356">
        <v>10382</v>
      </c>
      <c r="B356">
        <v>29</v>
      </c>
      <c r="C356" s="2">
        <v>99</v>
      </c>
      <c r="D356" s="2">
        <v>14</v>
      </c>
      <c r="E356" s="3">
        <v>0</v>
      </c>
    </row>
    <row r="357" spans="1:5" x14ac:dyDescent="0.2">
      <c r="A357">
        <v>10382</v>
      </c>
      <c r="B357">
        <v>33</v>
      </c>
      <c r="C357" s="2">
        <v>2</v>
      </c>
      <c r="D357" s="2">
        <v>60</v>
      </c>
      <c r="E357" s="3">
        <v>0</v>
      </c>
    </row>
    <row r="358" spans="1:5" x14ac:dyDescent="0.2">
      <c r="A358">
        <v>10382</v>
      </c>
      <c r="B358">
        <v>74</v>
      </c>
      <c r="C358" s="2">
        <v>8</v>
      </c>
      <c r="D358" s="2">
        <v>50</v>
      </c>
      <c r="E358" s="3">
        <v>0</v>
      </c>
    </row>
    <row r="359" spans="1:5" x14ac:dyDescent="0.2">
      <c r="A359">
        <v>10383</v>
      </c>
      <c r="B359">
        <v>13</v>
      </c>
      <c r="C359" s="2">
        <v>4.8</v>
      </c>
      <c r="D359" s="2">
        <v>20</v>
      </c>
      <c r="E359" s="3">
        <v>0</v>
      </c>
    </row>
    <row r="360" spans="1:5" x14ac:dyDescent="0.2">
      <c r="A360">
        <v>10383</v>
      </c>
      <c r="B360">
        <v>50</v>
      </c>
      <c r="C360" s="2">
        <v>13</v>
      </c>
      <c r="D360" s="2">
        <v>15</v>
      </c>
      <c r="E360" s="3">
        <v>0</v>
      </c>
    </row>
    <row r="361" spans="1:5" x14ac:dyDescent="0.2">
      <c r="A361">
        <v>10383</v>
      </c>
      <c r="B361">
        <v>56</v>
      </c>
      <c r="C361" s="2">
        <v>30.4</v>
      </c>
      <c r="D361" s="2">
        <v>20</v>
      </c>
      <c r="E361" s="3">
        <v>0</v>
      </c>
    </row>
    <row r="362" spans="1:5" x14ac:dyDescent="0.2">
      <c r="A362">
        <v>10384</v>
      </c>
      <c r="B362">
        <v>20</v>
      </c>
      <c r="C362" s="2">
        <v>64.8</v>
      </c>
      <c r="D362" s="2">
        <v>28</v>
      </c>
      <c r="E362" s="3">
        <v>0</v>
      </c>
    </row>
    <row r="363" spans="1:5" x14ac:dyDescent="0.2">
      <c r="A363">
        <v>10384</v>
      </c>
      <c r="B363">
        <v>60</v>
      </c>
      <c r="C363" s="2">
        <v>27.2</v>
      </c>
      <c r="D363" s="2">
        <v>15</v>
      </c>
      <c r="E363" s="3">
        <v>0</v>
      </c>
    </row>
    <row r="364" spans="1:5" x14ac:dyDescent="0.2">
      <c r="A364">
        <v>10385</v>
      </c>
      <c r="B364">
        <v>7</v>
      </c>
      <c r="C364" s="2">
        <v>24</v>
      </c>
      <c r="D364" s="2">
        <v>10</v>
      </c>
      <c r="E364" s="3">
        <v>0.2</v>
      </c>
    </row>
    <row r="365" spans="1:5" x14ac:dyDescent="0.2">
      <c r="A365">
        <v>10385</v>
      </c>
      <c r="B365">
        <v>60</v>
      </c>
      <c r="C365" s="2">
        <v>27.2</v>
      </c>
      <c r="D365" s="2">
        <v>20</v>
      </c>
      <c r="E365" s="3">
        <v>0.2</v>
      </c>
    </row>
    <row r="366" spans="1:5" x14ac:dyDescent="0.2">
      <c r="A366">
        <v>10385</v>
      </c>
      <c r="B366">
        <v>68</v>
      </c>
      <c r="C366" s="2">
        <v>10</v>
      </c>
      <c r="D366" s="2">
        <v>8</v>
      </c>
      <c r="E366" s="3">
        <v>0.2</v>
      </c>
    </row>
    <row r="367" spans="1:5" x14ac:dyDescent="0.2">
      <c r="A367">
        <v>10386</v>
      </c>
      <c r="B367">
        <v>24</v>
      </c>
      <c r="C367" s="2">
        <v>3.6</v>
      </c>
      <c r="D367" s="2">
        <v>15</v>
      </c>
      <c r="E367" s="3">
        <v>0</v>
      </c>
    </row>
    <row r="368" spans="1:5" x14ac:dyDescent="0.2">
      <c r="A368">
        <v>10386</v>
      </c>
      <c r="B368">
        <v>34</v>
      </c>
      <c r="C368" s="2">
        <v>11.2</v>
      </c>
      <c r="D368" s="2">
        <v>10</v>
      </c>
      <c r="E368" s="3">
        <v>0</v>
      </c>
    </row>
    <row r="369" spans="1:5" x14ac:dyDescent="0.2">
      <c r="A369">
        <v>10387</v>
      </c>
      <c r="B369">
        <v>24</v>
      </c>
      <c r="C369" s="2">
        <v>3.6</v>
      </c>
      <c r="D369" s="2">
        <v>15</v>
      </c>
      <c r="E369" s="3">
        <v>0</v>
      </c>
    </row>
    <row r="370" spans="1:5" x14ac:dyDescent="0.2">
      <c r="A370">
        <v>10387</v>
      </c>
      <c r="B370">
        <v>28</v>
      </c>
      <c r="C370" s="2">
        <v>36.4</v>
      </c>
      <c r="D370" s="2">
        <v>6</v>
      </c>
      <c r="E370" s="3">
        <v>0</v>
      </c>
    </row>
    <row r="371" spans="1:5" x14ac:dyDescent="0.2">
      <c r="A371">
        <v>10387</v>
      </c>
      <c r="B371">
        <v>59</v>
      </c>
      <c r="C371" s="2">
        <v>44</v>
      </c>
      <c r="D371" s="2">
        <v>12</v>
      </c>
      <c r="E371" s="3">
        <v>0</v>
      </c>
    </row>
    <row r="372" spans="1:5" x14ac:dyDescent="0.2">
      <c r="A372">
        <v>10387</v>
      </c>
      <c r="B372">
        <v>71</v>
      </c>
      <c r="C372" s="2">
        <v>17.2</v>
      </c>
      <c r="D372" s="2">
        <v>15</v>
      </c>
      <c r="E372" s="3">
        <v>0</v>
      </c>
    </row>
    <row r="373" spans="1:5" x14ac:dyDescent="0.2">
      <c r="A373">
        <v>10388</v>
      </c>
      <c r="B373">
        <v>45</v>
      </c>
      <c r="C373" s="2">
        <v>7.6</v>
      </c>
      <c r="D373" s="2">
        <v>15</v>
      </c>
      <c r="E373" s="3">
        <v>0.2</v>
      </c>
    </row>
    <row r="374" spans="1:5" x14ac:dyDescent="0.2">
      <c r="A374">
        <v>10388</v>
      </c>
      <c r="B374">
        <v>52</v>
      </c>
      <c r="C374" s="2">
        <v>5.6</v>
      </c>
      <c r="D374" s="2">
        <v>20</v>
      </c>
      <c r="E374" s="3">
        <v>0.2</v>
      </c>
    </row>
    <row r="375" spans="1:5" x14ac:dyDescent="0.2">
      <c r="A375">
        <v>10388</v>
      </c>
      <c r="B375">
        <v>53</v>
      </c>
      <c r="C375" s="2">
        <v>26.2</v>
      </c>
      <c r="D375" s="2">
        <v>40</v>
      </c>
      <c r="E375" s="3">
        <v>0</v>
      </c>
    </row>
    <row r="376" spans="1:5" x14ac:dyDescent="0.2">
      <c r="A376">
        <v>10389</v>
      </c>
      <c r="B376">
        <v>10</v>
      </c>
      <c r="C376" s="2">
        <v>24.8</v>
      </c>
      <c r="D376" s="2">
        <v>16</v>
      </c>
      <c r="E376" s="3">
        <v>0</v>
      </c>
    </row>
    <row r="377" spans="1:5" x14ac:dyDescent="0.2">
      <c r="A377">
        <v>10389</v>
      </c>
      <c r="B377">
        <v>55</v>
      </c>
      <c r="C377" s="2">
        <v>19.2</v>
      </c>
      <c r="D377" s="2">
        <v>15</v>
      </c>
      <c r="E377" s="3">
        <v>0</v>
      </c>
    </row>
    <row r="378" spans="1:5" x14ac:dyDescent="0.2">
      <c r="A378">
        <v>10389</v>
      </c>
      <c r="B378">
        <v>62</v>
      </c>
      <c r="C378" s="2">
        <v>39.4</v>
      </c>
      <c r="D378" s="2">
        <v>20</v>
      </c>
      <c r="E378" s="3">
        <v>0</v>
      </c>
    </row>
    <row r="379" spans="1:5" x14ac:dyDescent="0.2">
      <c r="A379">
        <v>10389</v>
      </c>
      <c r="B379">
        <v>70</v>
      </c>
      <c r="C379" s="2">
        <v>12</v>
      </c>
      <c r="D379" s="2">
        <v>30</v>
      </c>
      <c r="E379" s="3">
        <v>0</v>
      </c>
    </row>
    <row r="380" spans="1:5" x14ac:dyDescent="0.2">
      <c r="A380">
        <v>10390</v>
      </c>
      <c r="B380">
        <v>31</v>
      </c>
      <c r="C380" s="2">
        <v>10</v>
      </c>
      <c r="D380" s="2">
        <v>60</v>
      </c>
      <c r="E380" s="3">
        <v>0.1</v>
      </c>
    </row>
    <row r="381" spans="1:5" x14ac:dyDescent="0.2">
      <c r="A381">
        <v>10390</v>
      </c>
      <c r="B381">
        <v>35</v>
      </c>
      <c r="C381" s="2">
        <v>14.4</v>
      </c>
      <c r="D381" s="2">
        <v>40</v>
      </c>
      <c r="E381" s="3">
        <v>0.1</v>
      </c>
    </row>
    <row r="382" spans="1:5" x14ac:dyDescent="0.2">
      <c r="A382">
        <v>10390</v>
      </c>
      <c r="B382">
        <v>46</v>
      </c>
      <c r="C382" s="2">
        <v>9.6</v>
      </c>
      <c r="D382" s="2">
        <v>45</v>
      </c>
      <c r="E382" s="3">
        <v>0</v>
      </c>
    </row>
    <row r="383" spans="1:5" x14ac:dyDescent="0.2">
      <c r="A383">
        <v>10390</v>
      </c>
      <c r="B383">
        <v>72</v>
      </c>
      <c r="C383" s="2">
        <v>27.8</v>
      </c>
      <c r="D383" s="2">
        <v>24</v>
      </c>
      <c r="E383" s="3">
        <v>0.1</v>
      </c>
    </row>
    <row r="384" spans="1:5" x14ac:dyDescent="0.2">
      <c r="A384">
        <v>10391</v>
      </c>
      <c r="B384">
        <v>13</v>
      </c>
      <c r="C384" s="2">
        <v>4.8</v>
      </c>
      <c r="D384" s="2">
        <v>18</v>
      </c>
      <c r="E384" s="3">
        <v>0</v>
      </c>
    </row>
    <row r="385" spans="1:5" x14ac:dyDescent="0.2">
      <c r="A385">
        <v>10392</v>
      </c>
      <c r="B385">
        <v>69</v>
      </c>
      <c r="C385" s="2">
        <v>28.8</v>
      </c>
      <c r="D385" s="2">
        <v>50</v>
      </c>
      <c r="E385" s="3">
        <v>0</v>
      </c>
    </row>
    <row r="386" spans="1:5" x14ac:dyDescent="0.2">
      <c r="A386">
        <v>10393</v>
      </c>
      <c r="B386">
        <v>2</v>
      </c>
      <c r="C386" s="2">
        <v>15.2</v>
      </c>
      <c r="D386" s="2">
        <v>25</v>
      </c>
      <c r="E386" s="3">
        <v>0.25</v>
      </c>
    </row>
    <row r="387" spans="1:5" x14ac:dyDescent="0.2">
      <c r="A387">
        <v>10393</v>
      </c>
      <c r="B387">
        <v>14</v>
      </c>
      <c r="C387" s="2">
        <v>18.600000000000001</v>
      </c>
      <c r="D387" s="2">
        <v>42</v>
      </c>
      <c r="E387" s="3">
        <v>0.25</v>
      </c>
    </row>
    <row r="388" spans="1:5" x14ac:dyDescent="0.2">
      <c r="A388">
        <v>10393</v>
      </c>
      <c r="B388">
        <v>25</v>
      </c>
      <c r="C388" s="2">
        <v>11.2</v>
      </c>
      <c r="D388" s="2">
        <v>7</v>
      </c>
      <c r="E388" s="3">
        <v>0.25</v>
      </c>
    </row>
    <row r="389" spans="1:5" x14ac:dyDescent="0.2">
      <c r="A389">
        <v>10393</v>
      </c>
      <c r="B389">
        <v>26</v>
      </c>
      <c r="C389" s="2">
        <v>24.9</v>
      </c>
      <c r="D389" s="2">
        <v>70</v>
      </c>
      <c r="E389" s="3">
        <v>0.25</v>
      </c>
    </row>
    <row r="390" spans="1:5" x14ac:dyDescent="0.2">
      <c r="A390">
        <v>10393</v>
      </c>
      <c r="B390">
        <v>31</v>
      </c>
      <c r="C390" s="2">
        <v>10</v>
      </c>
      <c r="D390" s="2">
        <v>32</v>
      </c>
      <c r="E390" s="3">
        <v>0</v>
      </c>
    </row>
    <row r="391" spans="1:5" x14ac:dyDescent="0.2">
      <c r="A391">
        <v>10394</v>
      </c>
      <c r="B391">
        <v>13</v>
      </c>
      <c r="C391" s="2">
        <v>4.8</v>
      </c>
      <c r="D391" s="2">
        <v>10</v>
      </c>
      <c r="E391" s="3">
        <v>0</v>
      </c>
    </row>
    <row r="392" spans="1:5" x14ac:dyDescent="0.2">
      <c r="A392">
        <v>10394</v>
      </c>
      <c r="B392">
        <v>62</v>
      </c>
      <c r="C392" s="2">
        <v>39.4</v>
      </c>
      <c r="D392" s="2">
        <v>10</v>
      </c>
      <c r="E392" s="3">
        <v>0</v>
      </c>
    </row>
    <row r="393" spans="1:5" x14ac:dyDescent="0.2">
      <c r="A393">
        <v>10395</v>
      </c>
      <c r="B393">
        <v>46</v>
      </c>
      <c r="C393" s="2">
        <v>9.6</v>
      </c>
      <c r="D393" s="2">
        <v>28</v>
      </c>
      <c r="E393" s="3">
        <v>0.1</v>
      </c>
    </row>
    <row r="394" spans="1:5" x14ac:dyDescent="0.2">
      <c r="A394">
        <v>10395</v>
      </c>
      <c r="B394">
        <v>53</v>
      </c>
      <c r="C394" s="2">
        <v>26.2</v>
      </c>
      <c r="D394" s="2">
        <v>70</v>
      </c>
      <c r="E394" s="3">
        <v>0.1</v>
      </c>
    </row>
    <row r="395" spans="1:5" x14ac:dyDescent="0.2">
      <c r="A395">
        <v>10395</v>
      </c>
      <c r="B395">
        <v>69</v>
      </c>
      <c r="C395" s="2">
        <v>28.8</v>
      </c>
      <c r="D395" s="2">
        <v>8</v>
      </c>
      <c r="E395" s="3">
        <v>0</v>
      </c>
    </row>
    <row r="396" spans="1:5" x14ac:dyDescent="0.2">
      <c r="A396">
        <v>10396</v>
      </c>
      <c r="B396">
        <v>23</v>
      </c>
      <c r="C396" s="2">
        <v>7.2</v>
      </c>
      <c r="D396" s="2">
        <v>40</v>
      </c>
      <c r="E396" s="3">
        <v>0</v>
      </c>
    </row>
    <row r="397" spans="1:5" x14ac:dyDescent="0.2">
      <c r="A397">
        <v>10396</v>
      </c>
      <c r="B397">
        <v>71</v>
      </c>
      <c r="C397" s="2">
        <v>17.2</v>
      </c>
      <c r="D397" s="2">
        <v>60</v>
      </c>
      <c r="E397" s="3">
        <v>0</v>
      </c>
    </row>
    <row r="398" spans="1:5" x14ac:dyDescent="0.2">
      <c r="A398">
        <v>10396</v>
      </c>
      <c r="B398">
        <v>72</v>
      </c>
      <c r="C398" s="2">
        <v>27.8</v>
      </c>
      <c r="D398" s="2">
        <v>21</v>
      </c>
      <c r="E398" s="3">
        <v>0</v>
      </c>
    </row>
    <row r="399" spans="1:5" x14ac:dyDescent="0.2">
      <c r="A399">
        <v>10397</v>
      </c>
      <c r="B399">
        <v>21</v>
      </c>
      <c r="C399" s="2">
        <v>8</v>
      </c>
      <c r="D399" s="2">
        <v>10</v>
      </c>
      <c r="E399" s="3">
        <v>0.15</v>
      </c>
    </row>
    <row r="400" spans="1:5" x14ac:dyDescent="0.2">
      <c r="A400">
        <v>10397</v>
      </c>
      <c r="B400">
        <v>51</v>
      </c>
      <c r="C400" s="2">
        <v>42.4</v>
      </c>
      <c r="D400" s="2">
        <v>18</v>
      </c>
      <c r="E400" s="3">
        <v>0.15</v>
      </c>
    </row>
    <row r="401" spans="1:5" x14ac:dyDescent="0.2">
      <c r="A401">
        <v>10398</v>
      </c>
      <c r="B401">
        <v>35</v>
      </c>
      <c r="C401" s="2">
        <v>14.4</v>
      </c>
      <c r="D401" s="2">
        <v>30</v>
      </c>
      <c r="E401" s="3">
        <v>0</v>
      </c>
    </row>
    <row r="402" spans="1:5" x14ac:dyDescent="0.2">
      <c r="A402">
        <v>10398</v>
      </c>
      <c r="B402">
        <v>55</v>
      </c>
      <c r="C402" s="2">
        <v>19.2</v>
      </c>
      <c r="D402" s="2">
        <v>120</v>
      </c>
      <c r="E402" s="3">
        <v>0.1</v>
      </c>
    </row>
    <row r="403" spans="1:5" x14ac:dyDescent="0.2">
      <c r="A403">
        <v>10399</v>
      </c>
      <c r="B403">
        <v>68</v>
      </c>
      <c r="C403" s="2">
        <v>10</v>
      </c>
      <c r="D403" s="2">
        <v>60</v>
      </c>
      <c r="E403" s="3">
        <v>0</v>
      </c>
    </row>
    <row r="404" spans="1:5" x14ac:dyDescent="0.2">
      <c r="A404">
        <v>10399</v>
      </c>
      <c r="B404">
        <v>71</v>
      </c>
      <c r="C404" s="2">
        <v>17.2</v>
      </c>
      <c r="D404" s="2">
        <v>30</v>
      </c>
      <c r="E404" s="3">
        <v>0</v>
      </c>
    </row>
    <row r="405" spans="1:5" x14ac:dyDescent="0.2">
      <c r="A405">
        <v>10399</v>
      </c>
      <c r="B405">
        <v>76</v>
      </c>
      <c r="C405" s="2">
        <v>14.4</v>
      </c>
      <c r="D405" s="2">
        <v>35</v>
      </c>
      <c r="E405" s="3">
        <v>0</v>
      </c>
    </row>
    <row r="406" spans="1:5" x14ac:dyDescent="0.2">
      <c r="A406">
        <v>10399</v>
      </c>
      <c r="B406">
        <v>77</v>
      </c>
      <c r="C406" s="2">
        <v>10.4</v>
      </c>
      <c r="D406" s="2">
        <v>14</v>
      </c>
      <c r="E406" s="3">
        <v>0</v>
      </c>
    </row>
    <row r="407" spans="1:5" x14ac:dyDescent="0.2">
      <c r="A407">
        <v>10400</v>
      </c>
      <c r="B407">
        <v>29</v>
      </c>
      <c r="C407" s="2">
        <v>99</v>
      </c>
      <c r="D407" s="2">
        <v>21</v>
      </c>
      <c r="E407" s="3">
        <v>0</v>
      </c>
    </row>
    <row r="408" spans="1:5" x14ac:dyDescent="0.2">
      <c r="A408">
        <v>10400</v>
      </c>
      <c r="B408">
        <v>35</v>
      </c>
      <c r="C408" s="2">
        <v>14.4</v>
      </c>
      <c r="D408" s="2">
        <v>35</v>
      </c>
      <c r="E408" s="3">
        <v>0</v>
      </c>
    </row>
    <row r="409" spans="1:5" x14ac:dyDescent="0.2">
      <c r="A409">
        <v>10400</v>
      </c>
      <c r="B409">
        <v>49</v>
      </c>
      <c r="C409" s="2">
        <v>16</v>
      </c>
      <c r="D409" s="2">
        <v>30</v>
      </c>
      <c r="E409" s="3">
        <v>0</v>
      </c>
    </row>
    <row r="410" spans="1:5" x14ac:dyDescent="0.2">
      <c r="A410">
        <v>10401</v>
      </c>
      <c r="B410">
        <v>30</v>
      </c>
      <c r="C410" s="2">
        <v>20.7</v>
      </c>
      <c r="D410" s="2">
        <v>18</v>
      </c>
      <c r="E410" s="3">
        <v>0</v>
      </c>
    </row>
    <row r="411" spans="1:5" x14ac:dyDescent="0.2">
      <c r="A411">
        <v>10401</v>
      </c>
      <c r="B411">
        <v>56</v>
      </c>
      <c r="C411" s="2">
        <v>30.4</v>
      </c>
      <c r="D411" s="2">
        <v>70</v>
      </c>
      <c r="E411" s="3">
        <v>0</v>
      </c>
    </row>
    <row r="412" spans="1:5" x14ac:dyDescent="0.2">
      <c r="A412">
        <v>10401</v>
      </c>
      <c r="B412">
        <v>65</v>
      </c>
      <c r="C412" s="2">
        <v>16.8</v>
      </c>
      <c r="D412" s="2">
        <v>20</v>
      </c>
      <c r="E412" s="3">
        <v>0</v>
      </c>
    </row>
    <row r="413" spans="1:5" x14ac:dyDescent="0.2">
      <c r="A413">
        <v>10401</v>
      </c>
      <c r="B413">
        <v>71</v>
      </c>
      <c r="C413" s="2">
        <v>17.2</v>
      </c>
      <c r="D413" s="2">
        <v>60</v>
      </c>
      <c r="E413" s="3">
        <v>0</v>
      </c>
    </row>
    <row r="414" spans="1:5" x14ac:dyDescent="0.2">
      <c r="A414">
        <v>10402</v>
      </c>
      <c r="B414">
        <v>23</v>
      </c>
      <c r="C414" s="2">
        <v>7.2</v>
      </c>
      <c r="D414" s="2">
        <v>60</v>
      </c>
      <c r="E414" s="3">
        <v>0</v>
      </c>
    </row>
    <row r="415" spans="1:5" x14ac:dyDescent="0.2">
      <c r="A415">
        <v>10402</v>
      </c>
      <c r="B415">
        <v>63</v>
      </c>
      <c r="C415" s="2">
        <v>35.1</v>
      </c>
      <c r="D415" s="2">
        <v>65</v>
      </c>
      <c r="E415" s="3">
        <v>0</v>
      </c>
    </row>
    <row r="416" spans="1:5" x14ac:dyDescent="0.2">
      <c r="A416">
        <v>10403</v>
      </c>
      <c r="B416">
        <v>16</v>
      </c>
      <c r="C416" s="2">
        <v>13.9</v>
      </c>
      <c r="D416" s="2">
        <v>21</v>
      </c>
      <c r="E416" s="3">
        <v>0.15</v>
      </c>
    </row>
    <row r="417" spans="1:5" x14ac:dyDescent="0.2">
      <c r="A417">
        <v>10403</v>
      </c>
      <c r="B417">
        <v>48</v>
      </c>
      <c r="C417" s="2">
        <v>10.199999999999999</v>
      </c>
      <c r="D417" s="2">
        <v>70</v>
      </c>
      <c r="E417" s="3">
        <v>0.15</v>
      </c>
    </row>
    <row r="418" spans="1:5" x14ac:dyDescent="0.2">
      <c r="A418">
        <v>10404</v>
      </c>
      <c r="B418">
        <v>26</v>
      </c>
      <c r="C418" s="2">
        <v>24.9</v>
      </c>
      <c r="D418" s="2">
        <v>30</v>
      </c>
      <c r="E418" s="3">
        <v>0.05</v>
      </c>
    </row>
    <row r="419" spans="1:5" x14ac:dyDescent="0.2">
      <c r="A419">
        <v>10404</v>
      </c>
      <c r="B419">
        <v>42</v>
      </c>
      <c r="C419" s="2">
        <v>11.2</v>
      </c>
      <c r="D419" s="2">
        <v>40</v>
      </c>
      <c r="E419" s="3">
        <v>0.05</v>
      </c>
    </row>
    <row r="420" spans="1:5" x14ac:dyDescent="0.2">
      <c r="A420">
        <v>10404</v>
      </c>
      <c r="B420">
        <v>49</v>
      </c>
      <c r="C420" s="2">
        <v>16</v>
      </c>
      <c r="D420" s="2">
        <v>30</v>
      </c>
      <c r="E420" s="3">
        <v>0.05</v>
      </c>
    </row>
    <row r="421" spans="1:5" x14ac:dyDescent="0.2">
      <c r="A421">
        <v>10405</v>
      </c>
      <c r="B421">
        <v>3</v>
      </c>
      <c r="C421" s="2">
        <v>8</v>
      </c>
      <c r="D421" s="2">
        <v>50</v>
      </c>
      <c r="E421" s="3">
        <v>0</v>
      </c>
    </row>
    <row r="422" spans="1:5" x14ac:dyDescent="0.2">
      <c r="A422">
        <v>10406</v>
      </c>
      <c r="B422">
        <v>1</v>
      </c>
      <c r="C422" s="2">
        <v>14.4</v>
      </c>
      <c r="D422" s="2">
        <v>10</v>
      </c>
      <c r="E422" s="3">
        <v>0</v>
      </c>
    </row>
    <row r="423" spans="1:5" x14ac:dyDescent="0.2">
      <c r="A423">
        <v>10406</v>
      </c>
      <c r="B423">
        <v>21</v>
      </c>
      <c r="C423" s="2">
        <v>8</v>
      </c>
      <c r="D423" s="2">
        <v>30</v>
      </c>
      <c r="E423" s="3">
        <v>0.1</v>
      </c>
    </row>
    <row r="424" spans="1:5" x14ac:dyDescent="0.2">
      <c r="A424">
        <v>10406</v>
      </c>
      <c r="B424">
        <v>28</v>
      </c>
      <c r="C424" s="2">
        <v>36.4</v>
      </c>
      <c r="D424" s="2">
        <v>42</v>
      </c>
      <c r="E424" s="3">
        <v>0.1</v>
      </c>
    </row>
    <row r="425" spans="1:5" x14ac:dyDescent="0.2">
      <c r="A425">
        <v>10406</v>
      </c>
      <c r="B425">
        <v>36</v>
      </c>
      <c r="C425" s="2">
        <v>15.2</v>
      </c>
      <c r="D425" s="2">
        <v>5</v>
      </c>
      <c r="E425" s="3">
        <v>0.1</v>
      </c>
    </row>
    <row r="426" spans="1:5" x14ac:dyDescent="0.2">
      <c r="A426">
        <v>10406</v>
      </c>
      <c r="B426">
        <v>40</v>
      </c>
      <c r="C426" s="2">
        <v>14.7</v>
      </c>
      <c r="D426" s="2">
        <v>2</v>
      </c>
      <c r="E426" s="3">
        <v>0.1</v>
      </c>
    </row>
    <row r="427" spans="1:5" x14ac:dyDescent="0.2">
      <c r="A427">
        <v>10407</v>
      </c>
      <c r="B427">
        <v>11</v>
      </c>
      <c r="C427" s="2">
        <v>16.8</v>
      </c>
      <c r="D427" s="2">
        <v>30</v>
      </c>
      <c r="E427" s="3">
        <v>0</v>
      </c>
    </row>
    <row r="428" spans="1:5" x14ac:dyDescent="0.2">
      <c r="A428">
        <v>10407</v>
      </c>
      <c r="B428">
        <v>69</v>
      </c>
      <c r="C428" s="2">
        <v>28.8</v>
      </c>
      <c r="D428" s="2">
        <v>15</v>
      </c>
      <c r="E428" s="3">
        <v>0</v>
      </c>
    </row>
    <row r="429" spans="1:5" x14ac:dyDescent="0.2">
      <c r="A429">
        <v>10407</v>
      </c>
      <c r="B429">
        <v>71</v>
      </c>
      <c r="C429" s="2">
        <v>17.2</v>
      </c>
      <c r="D429" s="2">
        <v>15</v>
      </c>
      <c r="E429" s="3">
        <v>0</v>
      </c>
    </row>
    <row r="430" spans="1:5" x14ac:dyDescent="0.2">
      <c r="A430">
        <v>10408</v>
      </c>
      <c r="B430">
        <v>37</v>
      </c>
      <c r="C430" s="2">
        <v>20.8</v>
      </c>
      <c r="D430" s="2">
        <v>10</v>
      </c>
      <c r="E430" s="3">
        <v>0</v>
      </c>
    </row>
    <row r="431" spans="1:5" x14ac:dyDescent="0.2">
      <c r="A431">
        <v>10408</v>
      </c>
      <c r="B431">
        <v>54</v>
      </c>
      <c r="C431" s="2">
        <v>5.9</v>
      </c>
      <c r="D431" s="2">
        <v>6</v>
      </c>
      <c r="E431" s="3">
        <v>0</v>
      </c>
    </row>
    <row r="432" spans="1:5" x14ac:dyDescent="0.2">
      <c r="A432">
        <v>10408</v>
      </c>
      <c r="B432">
        <v>62</v>
      </c>
      <c r="C432" s="2">
        <v>39.4</v>
      </c>
      <c r="D432" s="2">
        <v>35</v>
      </c>
      <c r="E432" s="3">
        <v>0</v>
      </c>
    </row>
    <row r="433" spans="1:5" x14ac:dyDescent="0.2">
      <c r="A433">
        <v>10409</v>
      </c>
      <c r="B433">
        <v>14</v>
      </c>
      <c r="C433" s="2">
        <v>18.600000000000001</v>
      </c>
      <c r="D433" s="2">
        <v>12</v>
      </c>
      <c r="E433" s="3">
        <v>0</v>
      </c>
    </row>
    <row r="434" spans="1:5" x14ac:dyDescent="0.2">
      <c r="A434">
        <v>10409</v>
      </c>
      <c r="B434">
        <v>21</v>
      </c>
      <c r="C434" s="2">
        <v>8</v>
      </c>
      <c r="D434" s="2">
        <v>12</v>
      </c>
      <c r="E434" s="3">
        <v>0</v>
      </c>
    </row>
    <row r="435" spans="1:5" x14ac:dyDescent="0.2">
      <c r="A435">
        <v>10410</v>
      </c>
      <c r="B435">
        <v>33</v>
      </c>
      <c r="C435" s="2">
        <v>2</v>
      </c>
      <c r="D435" s="2">
        <v>49</v>
      </c>
      <c r="E435" s="3">
        <v>0</v>
      </c>
    </row>
    <row r="436" spans="1:5" x14ac:dyDescent="0.2">
      <c r="A436">
        <v>10410</v>
      </c>
      <c r="B436">
        <v>59</v>
      </c>
      <c r="C436" s="2">
        <v>44</v>
      </c>
      <c r="D436" s="2">
        <v>16</v>
      </c>
      <c r="E436" s="3">
        <v>0</v>
      </c>
    </row>
    <row r="437" spans="1:5" x14ac:dyDescent="0.2">
      <c r="A437">
        <v>10411</v>
      </c>
      <c r="B437">
        <v>41</v>
      </c>
      <c r="C437" s="2">
        <v>7.7</v>
      </c>
      <c r="D437" s="2">
        <v>25</v>
      </c>
      <c r="E437" s="3">
        <v>0.2</v>
      </c>
    </row>
    <row r="438" spans="1:5" x14ac:dyDescent="0.2">
      <c r="A438">
        <v>10411</v>
      </c>
      <c r="B438">
        <v>44</v>
      </c>
      <c r="C438" s="2">
        <v>15.5</v>
      </c>
      <c r="D438" s="2">
        <v>40</v>
      </c>
      <c r="E438" s="3">
        <v>0.2</v>
      </c>
    </row>
    <row r="439" spans="1:5" x14ac:dyDescent="0.2">
      <c r="A439">
        <v>10411</v>
      </c>
      <c r="B439">
        <v>59</v>
      </c>
      <c r="C439" s="2">
        <v>44</v>
      </c>
      <c r="D439" s="2">
        <v>9</v>
      </c>
      <c r="E439" s="3">
        <v>0.2</v>
      </c>
    </row>
    <row r="440" spans="1:5" x14ac:dyDescent="0.2">
      <c r="A440">
        <v>10412</v>
      </c>
      <c r="B440">
        <v>14</v>
      </c>
      <c r="C440" s="2">
        <v>18.600000000000001</v>
      </c>
      <c r="D440" s="2">
        <v>20</v>
      </c>
      <c r="E440" s="3">
        <v>0.1</v>
      </c>
    </row>
    <row r="441" spans="1:5" x14ac:dyDescent="0.2">
      <c r="A441">
        <v>10413</v>
      </c>
      <c r="B441">
        <v>1</v>
      </c>
      <c r="C441" s="2">
        <v>14.4</v>
      </c>
      <c r="D441" s="2">
        <v>24</v>
      </c>
      <c r="E441" s="3">
        <v>0</v>
      </c>
    </row>
    <row r="442" spans="1:5" x14ac:dyDescent="0.2">
      <c r="A442">
        <v>10413</v>
      </c>
      <c r="B442">
        <v>62</v>
      </c>
      <c r="C442" s="2">
        <v>39.4</v>
      </c>
      <c r="D442" s="2">
        <v>40</v>
      </c>
      <c r="E442" s="3">
        <v>0</v>
      </c>
    </row>
    <row r="443" spans="1:5" x14ac:dyDescent="0.2">
      <c r="A443">
        <v>10413</v>
      </c>
      <c r="B443">
        <v>76</v>
      </c>
      <c r="C443" s="2">
        <v>14.4</v>
      </c>
      <c r="D443" s="2">
        <v>14</v>
      </c>
      <c r="E443" s="3">
        <v>0</v>
      </c>
    </row>
    <row r="444" spans="1:5" x14ac:dyDescent="0.2">
      <c r="A444">
        <v>10414</v>
      </c>
      <c r="B444">
        <v>19</v>
      </c>
      <c r="C444" s="2">
        <v>7.3</v>
      </c>
      <c r="D444" s="2">
        <v>18</v>
      </c>
      <c r="E444" s="3">
        <v>0.05</v>
      </c>
    </row>
    <row r="445" spans="1:5" x14ac:dyDescent="0.2">
      <c r="A445">
        <v>10414</v>
      </c>
      <c r="B445">
        <v>33</v>
      </c>
      <c r="C445" s="2">
        <v>2</v>
      </c>
      <c r="D445" s="2">
        <v>50</v>
      </c>
      <c r="E445" s="3">
        <v>0</v>
      </c>
    </row>
    <row r="446" spans="1:5" x14ac:dyDescent="0.2">
      <c r="A446">
        <v>10415</v>
      </c>
      <c r="B446">
        <v>17</v>
      </c>
      <c r="C446" s="2">
        <v>31.2</v>
      </c>
      <c r="D446" s="2">
        <v>2</v>
      </c>
      <c r="E446" s="3">
        <v>0</v>
      </c>
    </row>
    <row r="447" spans="1:5" x14ac:dyDescent="0.2">
      <c r="A447">
        <v>10415</v>
      </c>
      <c r="B447">
        <v>33</v>
      </c>
      <c r="C447" s="2">
        <v>2</v>
      </c>
      <c r="D447" s="2">
        <v>20</v>
      </c>
      <c r="E447" s="3">
        <v>0</v>
      </c>
    </row>
    <row r="448" spans="1:5" x14ac:dyDescent="0.2">
      <c r="A448">
        <v>10416</v>
      </c>
      <c r="B448">
        <v>19</v>
      </c>
      <c r="C448" s="2">
        <v>7.3</v>
      </c>
      <c r="D448" s="2">
        <v>20</v>
      </c>
      <c r="E448" s="3">
        <v>0</v>
      </c>
    </row>
    <row r="449" spans="1:5" x14ac:dyDescent="0.2">
      <c r="A449">
        <v>10416</v>
      </c>
      <c r="B449">
        <v>53</v>
      </c>
      <c r="C449" s="2">
        <v>26.2</v>
      </c>
      <c r="D449" s="2">
        <v>10</v>
      </c>
      <c r="E449" s="3">
        <v>0</v>
      </c>
    </row>
    <row r="450" spans="1:5" x14ac:dyDescent="0.2">
      <c r="A450">
        <v>10416</v>
      </c>
      <c r="B450">
        <v>57</v>
      </c>
      <c r="C450" s="2">
        <v>15.6</v>
      </c>
      <c r="D450" s="2">
        <v>20</v>
      </c>
      <c r="E450" s="3">
        <v>0</v>
      </c>
    </row>
    <row r="451" spans="1:5" x14ac:dyDescent="0.2">
      <c r="A451">
        <v>10417</v>
      </c>
      <c r="B451">
        <v>38</v>
      </c>
      <c r="C451" s="2">
        <v>210.8</v>
      </c>
      <c r="D451" s="2">
        <v>50</v>
      </c>
      <c r="E451" s="3">
        <v>0</v>
      </c>
    </row>
    <row r="452" spans="1:5" x14ac:dyDescent="0.2">
      <c r="A452">
        <v>10417</v>
      </c>
      <c r="B452">
        <v>46</v>
      </c>
      <c r="C452" s="2">
        <v>9.6</v>
      </c>
      <c r="D452" s="2">
        <v>2</v>
      </c>
      <c r="E452" s="3">
        <v>0.25</v>
      </c>
    </row>
    <row r="453" spans="1:5" x14ac:dyDescent="0.2">
      <c r="A453">
        <v>10417</v>
      </c>
      <c r="B453">
        <v>68</v>
      </c>
      <c r="C453" s="2">
        <v>10</v>
      </c>
      <c r="D453" s="2">
        <v>36</v>
      </c>
      <c r="E453" s="3">
        <v>0.25</v>
      </c>
    </row>
    <row r="454" spans="1:5" x14ac:dyDescent="0.2">
      <c r="A454">
        <v>10417</v>
      </c>
      <c r="B454">
        <v>77</v>
      </c>
      <c r="C454" s="2">
        <v>10.4</v>
      </c>
      <c r="D454" s="2">
        <v>35</v>
      </c>
      <c r="E454" s="3">
        <v>0</v>
      </c>
    </row>
    <row r="455" spans="1:5" x14ac:dyDescent="0.2">
      <c r="A455">
        <v>10418</v>
      </c>
      <c r="B455">
        <v>2</v>
      </c>
      <c r="C455" s="2">
        <v>15.2</v>
      </c>
      <c r="D455" s="2">
        <v>60</v>
      </c>
      <c r="E455" s="3">
        <v>0</v>
      </c>
    </row>
    <row r="456" spans="1:5" x14ac:dyDescent="0.2">
      <c r="A456">
        <v>10418</v>
      </c>
      <c r="B456">
        <v>47</v>
      </c>
      <c r="C456" s="2">
        <v>7.6</v>
      </c>
      <c r="D456" s="2">
        <v>55</v>
      </c>
      <c r="E456" s="3">
        <v>0</v>
      </c>
    </row>
    <row r="457" spans="1:5" x14ac:dyDescent="0.2">
      <c r="A457">
        <v>10418</v>
      </c>
      <c r="B457">
        <v>61</v>
      </c>
      <c r="C457" s="2">
        <v>22.8</v>
      </c>
      <c r="D457" s="2">
        <v>16</v>
      </c>
      <c r="E457" s="3">
        <v>0</v>
      </c>
    </row>
    <row r="458" spans="1:5" x14ac:dyDescent="0.2">
      <c r="A458">
        <v>10418</v>
      </c>
      <c r="B458">
        <v>74</v>
      </c>
      <c r="C458" s="2">
        <v>8</v>
      </c>
      <c r="D458" s="2">
        <v>15</v>
      </c>
      <c r="E458" s="3">
        <v>0</v>
      </c>
    </row>
    <row r="459" spans="1:5" x14ac:dyDescent="0.2">
      <c r="A459">
        <v>10419</v>
      </c>
      <c r="B459">
        <v>60</v>
      </c>
      <c r="C459" s="2">
        <v>27.2</v>
      </c>
      <c r="D459" s="2">
        <v>60</v>
      </c>
      <c r="E459" s="3">
        <v>0.05</v>
      </c>
    </row>
    <row r="460" spans="1:5" x14ac:dyDescent="0.2">
      <c r="A460">
        <v>10419</v>
      </c>
      <c r="B460">
        <v>69</v>
      </c>
      <c r="C460" s="2">
        <v>28.8</v>
      </c>
      <c r="D460" s="2">
        <v>20</v>
      </c>
      <c r="E460" s="3">
        <v>0.05</v>
      </c>
    </row>
    <row r="461" spans="1:5" x14ac:dyDescent="0.2">
      <c r="A461">
        <v>10420</v>
      </c>
      <c r="B461">
        <v>9</v>
      </c>
      <c r="C461" s="2">
        <v>77.599999999999994</v>
      </c>
      <c r="D461" s="2">
        <v>20</v>
      </c>
      <c r="E461" s="3">
        <v>0.1</v>
      </c>
    </row>
    <row r="462" spans="1:5" x14ac:dyDescent="0.2">
      <c r="A462">
        <v>10420</v>
      </c>
      <c r="B462">
        <v>13</v>
      </c>
      <c r="C462" s="2">
        <v>4.8</v>
      </c>
      <c r="D462" s="2">
        <v>2</v>
      </c>
      <c r="E462" s="3">
        <v>0.1</v>
      </c>
    </row>
    <row r="463" spans="1:5" x14ac:dyDescent="0.2">
      <c r="A463">
        <v>10420</v>
      </c>
      <c r="B463">
        <v>70</v>
      </c>
      <c r="C463" s="2">
        <v>12</v>
      </c>
      <c r="D463" s="2">
        <v>8</v>
      </c>
      <c r="E463" s="3">
        <v>0.1</v>
      </c>
    </row>
    <row r="464" spans="1:5" x14ac:dyDescent="0.2">
      <c r="A464">
        <v>10420</v>
      </c>
      <c r="B464">
        <v>73</v>
      </c>
      <c r="C464" s="2">
        <v>12</v>
      </c>
      <c r="D464" s="2">
        <v>20</v>
      </c>
      <c r="E464" s="3">
        <v>0.1</v>
      </c>
    </row>
    <row r="465" spans="1:5" x14ac:dyDescent="0.2">
      <c r="A465">
        <v>10421</v>
      </c>
      <c r="B465">
        <v>19</v>
      </c>
      <c r="C465" s="2">
        <v>7.3</v>
      </c>
      <c r="D465" s="2">
        <v>4</v>
      </c>
      <c r="E465" s="3">
        <v>0.15</v>
      </c>
    </row>
    <row r="466" spans="1:5" x14ac:dyDescent="0.2">
      <c r="A466">
        <v>10421</v>
      </c>
      <c r="B466">
        <v>26</v>
      </c>
      <c r="C466" s="2">
        <v>24.9</v>
      </c>
      <c r="D466" s="2">
        <v>30</v>
      </c>
      <c r="E466" s="3">
        <v>0</v>
      </c>
    </row>
    <row r="467" spans="1:5" x14ac:dyDescent="0.2">
      <c r="A467">
        <v>10421</v>
      </c>
      <c r="B467">
        <v>53</v>
      </c>
      <c r="C467" s="2">
        <v>26.2</v>
      </c>
      <c r="D467" s="2">
        <v>15</v>
      </c>
      <c r="E467" s="3">
        <v>0.15</v>
      </c>
    </row>
    <row r="468" spans="1:5" x14ac:dyDescent="0.2">
      <c r="A468">
        <v>10421</v>
      </c>
      <c r="B468">
        <v>77</v>
      </c>
      <c r="C468" s="2">
        <v>10.4</v>
      </c>
      <c r="D468" s="2">
        <v>10</v>
      </c>
      <c r="E468" s="3">
        <v>0.15</v>
      </c>
    </row>
    <row r="469" spans="1:5" x14ac:dyDescent="0.2">
      <c r="A469">
        <v>10422</v>
      </c>
      <c r="B469">
        <v>26</v>
      </c>
      <c r="C469" s="2">
        <v>24.9</v>
      </c>
      <c r="D469" s="2">
        <v>2</v>
      </c>
      <c r="E469" s="3">
        <v>0</v>
      </c>
    </row>
    <row r="470" spans="1:5" x14ac:dyDescent="0.2">
      <c r="A470">
        <v>10423</v>
      </c>
      <c r="B470">
        <v>31</v>
      </c>
      <c r="C470" s="2">
        <v>10</v>
      </c>
      <c r="D470" s="2">
        <v>14</v>
      </c>
      <c r="E470" s="3">
        <v>0</v>
      </c>
    </row>
    <row r="471" spans="1:5" x14ac:dyDescent="0.2">
      <c r="A471">
        <v>10423</v>
      </c>
      <c r="B471">
        <v>59</v>
      </c>
      <c r="C471" s="2">
        <v>44</v>
      </c>
      <c r="D471" s="2">
        <v>20</v>
      </c>
      <c r="E471" s="3">
        <v>0</v>
      </c>
    </row>
    <row r="472" spans="1:5" x14ac:dyDescent="0.2">
      <c r="A472">
        <v>10424</v>
      </c>
      <c r="B472">
        <v>35</v>
      </c>
      <c r="C472" s="2">
        <v>14.4</v>
      </c>
      <c r="D472" s="2">
        <v>60</v>
      </c>
      <c r="E472" s="3">
        <v>0.2</v>
      </c>
    </row>
    <row r="473" spans="1:5" x14ac:dyDescent="0.2">
      <c r="A473">
        <v>10424</v>
      </c>
      <c r="B473">
        <v>38</v>
      </c>
      <c r="C473" s="2">
        <v>210.8</v>
      </c>
      <c r="D473" s="2">
        <v>49</v>
      </c>
      <c r="E473" s="3">
        <v>0.2</v>
      </c>
    </row>
    <row r="474" spans="1:5" x14ac:dyDescent="0.2">
      <c r="A474">
        <v>10424</v>
      </c>
      <c r="B474">
        <v>68</v>
      </c>
      <c r="C474" s="2">
        <v>10</v>
      </c>
      <c r="D474" s="2">
        <v>30</v>
      </c>
      <c r="E474" s="3">
        <v>0.2</v>
      </c>
    </row>
    <row r="475" spans="1:5" x14ac:dyDescent="0.2">
      <c r="A475">
        <v>10425</v>
      </c>
      <c r="B475">
        <v>55</v>
      </c>
      <c r="C475" s="2">
        <v>19.2</v>
      </c>
      <c r="D475" s="2">
        <v>10</v>
      </c>
      <c r="E475" s="3">
        <v>0.25</v>
      </c>
    </row>
    <row r="476" spans="1:5" x14ac:dyDescent="0.2">
      <c r="A476">
        <v>10425</v>
      </c>
      <c r="B476">
        <v>76</v>
      </c>
      <c r="C476" s="2">
        <v>14.4</v>
      </c>
      <c r="D476" s="2">
        <v>20</v>
      </c>
      <c r="E476" s="3">
        <v>0.25</v>
      </c>
    </row>
    <row r="477" spans="1:5" x14ac:dyDescent="0.2">
      <c r="A477">
        <v>10426</v>
      </c>
      <c r="B477">
        <v>56</v>
      </c>
      <c r="C477" s="2">
        <v>30.4</v>
      </c>
      <c r="D477" s="2">
        <v>5</v>
      </c>
      <c r="E477" s="3">
        <v>0</v>
      </c>
    </row>
    <row r="478" spans="1:5" x14ac:dyDescent="0.2">
      <c r="A478">
        <v>10426</v>
      </c>
      <c r="B478">
        <v>64</v>
      </c>
      <c r="C478" s="2">
        <v>26.6</v>
      </c>
      <c r="D478" s="2">
        <v>7</v>
      </c>
      <c r="E478" s="3">
        <v>0</v>
      </c>
    </row>
    <row r="479" spans="1:5" x14ac:dyDescent="0.2">
      <c r="A479">
        <v>10427</v>
      </c>
      <c r="B479">
        <v>14</v>
      </c>
      <c r="C479" s="2">
        <v>18.600000000000001</v>
      </c>
      <c r="D479" s="2">
        <v>35</v>
      </c>
      <c r="E479" s="3">
        <v>0</v>
      </c>
    </row>
    <row r="480" spans="1:5" x14ac:dyDescent="0.2">
      <c r="A480">
        <v>10428</v>
      </c>
      <c r="B480">
        <v>46</v>
      </c>
      <c r="C480" s="2">
        <v>9.6</v>
      </c>
      <c r="D480" s="2">
        <v>20</v>
      </c>
      <c r="E480" s="3">
        <v>0</v>
      </c>
    </row>
    <row r="481" spans="1:5" x14ac:dyDescent="0.2">
      <c r="A481">
        <v>10429</v>
      </c>
      <c r="B481">
        <v>50</v>
      </c>
      <c r="C481" s="2">
        <v>13</v>
      </c>
      <c r="D481" s="2">
        <v>40</v>
      </c>
      <c r="E481" s="3">
        <v>0</v>
      </c>
    </row>
    <row r="482" spans="1:5" x14ac:dyDescent="0.2">
      <c r="A482">
        <v>10429</v>
      </c>
      <c r="B482">
        <v>63</v>
      </c>
      <c r="C482" s="2">
        <v>35.1</v>
      </c>
      <c r="D482" s="2">
        <v>35</v>
      </c>
      <c r="E482" s="3">
        <v>0.25</v>
      </c>
    </row>
    <row r="483" spans="1:5" x14ac:dyDescent="0.2">
      <c r="A483">
        <v>10430</v>
      </c>
      <c r="B483">
        <v>17</v>
      </c>
      <c r="C483" s="2">
        <v>31.2</v>
      </c>
      <c r="D483" s="2">
        <v>45</v>
      </c>
      <c r="E483" s="3">
        <v>0.2</v>
      </c>
    </row>
    <row r="484" spans="1:5" x14ac:dyDescent="0.2">
      <c r="A484">
        <v>10430</v>
      </c>
      <c r="B484">
        <v>21</v>
      </c>
      <c r="C484" s="2">
        <v>8</v>
      </c>
      <c r="D484" s="2">
        <v>50</v>
      </c>
      <c r="E484" s="3">
        <v>0</v>
      </c>
    </row>
    <row r="485" spans="1:5" x14ac:dyDescent="0.2">
      <c r="A485">
        <v>10430</v>
      </c>
      <c r="B485">
        <v>56</v>
      </c>
      <c r="C485" s="2">
        <v>30.4</v>
      </c>
      <c r="D485" s="2">
        <v>30</v>
      </c>
      <c r="E485" s="3">
        <v>0</v>
      </c>
    </row>
    <row r="486" spans="1:5" x14ac:dyDescent="0.2">
      <c r="A486">
        <v>10430</v>
      </c>
      <c r="B486">
        <v>59</v>
      </c>
      <c r="C486" s="2">
        <v>44</v>
      </c>
      <c r="D486" s="2">
        <v>70</v>
      </c>
      <c r="E486" s="3">
        <v>0.2</v>
      </c>
    </row>
    <row r="487" spans="1:5" x14ac:dyDescent="0.2">
      <c r="A487">
        <v>10431</v>
      </c>
      <c r="B487">
        <v>17</v>
      </c>
      <c r="C487" s="2">
        <v>31.2</v>
      </c>
      <c r="D487" s="2">
        <v>50</v>
      </c>
      <c r="E487" s="3">
        <v>0.25</v>
      </c>
    </row>
    <row r="488" spans="1:5" x14ac:dyDescent="0.2">
      <c r="A488">
        <v>10431</v>
      </c>
      <c r="B488">
        <v>40</v>
      </c>
      <c r="C488" s="2">
        <v>14.7</v>
      </c>
      <c r="D488" s="2">
        <v>50</v>
      </c>
      <c r="E488" s="3">
        <v>0.25</v>
      </c>
    </row>
    <row r="489" spans="1:5" x14ac:dyDescent="0.2">
      <c r="A489">
        <v>10431</v>
      </c>
      <c r="B489">
        <v>47</v>
      </c>
      <c r="C489" s="2">
        <v>7.6</v>
      </c>
      <c r="D489" s="2">
        <v>30</v>
      </c>
      <c r="E489" s="3">
        <v>0.25</v>
      </c>
    </row>
    <row r="490" spans="1:5" x14ac:dyDescent="0.2">
      <c r="A490">
        <v>10432</v>
      </c>
      <c r="B490">
        <v>26</v>
      </c>
      <c r="C490" s="2">
        <v>24.9</v>
      </c>
      <c r="D490" s="2">
        <v>10</v>
      </c>
      <c r="E490" s="3">
        <v>0</v>
      </c>
    </row>
    <row r="491" spans="1:5" x14ac:dyDescent="0.2">
      <c r="A491">
        <v>10432</v>
      </c>
      <c r="B491">
        <v>54</v>
      </c>
      <c r="C491" s="2">
        <v>5.9</v>
      </c>
      <c r="D491" s="2">
        <v>40</v>
      </c>
      <c r="E491" s="3">
        <v>0</v>
      </c>
    </row>
    <row r="492" spans="1:5" x14ac:dyDescent="0.2">
      <c r="A492">
        <v>10433</v>
      </c>
      <c r="B492">
        <v>56</v>
      </c>
      <c r="C492" s="2">
        <v>30.4</v>
      </c>
      <c r="D492" s="2">
        <v>28</v>
      </c>
      <c r="E492" s="3">
        <v>0</v>
      </c>
    </row>
    <row r="493" spans="1:5" x14ac:dyDescent="0.2">
      <c r="A493">
        <v>10434</v>
      </c>
      <c r="B493">
        <v>11</v>
      </c>
      <c r="C493" s="2">
        <v>16.8</v>
      </c>
      <c r="D493" s="2">
        <v>6</v>
      </c>
      <c r="E493" s="3">
        <v>0</v>
      </c>
    </row>
    <row r="494" spans="1:5" x14ac:dyDescent="0.2">
      <c r="A494">
        <v>10434</v>
      </c>
      <c r="B494">
        <v>76</v>
      </c>
      <c r="C494" s="2">
        <v>14.4</v>
      </c>
      <c r="D494" s="2">
        <v>18</v>
      </c>
      <c r="E494" s="3">
        <v>0.15</v>
      </c>
    </row>
    <row r="495" spans="1:5" x14ac:dyDescent="0.2">
      <c r="A495">
        <v>10435</v>
      </c>
      <c r="B495">
        <v>2</v>
      </c>
      <c r="C495" s="2">
        <v>15.2</v>
      </c>
      <c r="D495" s="2">
        <v>10</v>
      </c>
      <c r="E495" s="3">
        <v>0</v>
      </c>
    </row>
    <row r="496" spans="1:5" x14ac:dyDescent="0.2">
      <c r="A496">
        <v>10435</v>
      </c>
      <c r="B496">
        <v>22</v>
      </c>
      <c r="C496" s="2">
        <v>16.8</v>
      </c>
      <c r="D496" s="2">
        <v>12</v>
      </c>
      <c r="E496" s="3">
        <v>0</v>
      </c>
    </row>
    <row r="497" spans="1:5" x14ac:dyDescent="0.2">
      <c r="A497">
        <v>10435</v>
      </c>
      <c r="B497">
        <v>72</v>
      </c>
      <c r="C497" s="2">
        <v>27.8</v>
      </c>
      <c r="D497" s="2">
        <v>10</v>
      </c>
      <c r="E497" s="3">
        <v>0</v>
      </c>
    </row>
    <row r="498" spans="1:5" x14ac:dyDescent="0.2">
      <c r="A498">
        <v>10436</v>
      </c>
      <c r="B498">
        <v>46</v>
      </c>
      <c r="C498" s="2">
        <v>9.6</v>
      </c>
      <c r="D498" s="2">
        <v>5</v>
      </c>
      <c r="E498" s="3">
        <v>0</v>
      </c>
    </row>
    <row r="499" spans="1:5" x14ac:dyDescent="0.2">
      <c r="A499">
        <v>10436</v>
      </c>
      <c r="B499">
        <v>56</v>
      </c>
      <c r="C499" s="2">
        <v>30.4</v>
      </c>
      <c r="D499" s="2">
        <v>40</v>
      </c>
      <c r="E499" s="3">
        <v>0.1</v>
      </c>
    </row>
    <row r="500" spans="1:5" x14ac:dyDescent="0.2">
      <c r="A500">
        <v>10436</v>
      </c>
      <c r="B500">
        <v>64</v>
      </c>
      <c r="C500" s="2">
        <v>26.6</v>
      </c>
      <c r="D500" s="2">
        <v>30</v>
      </c>
      <c r="E500" s="3">
        <v>0.1</v>
      </c>
    </row>
    <row r="501" spans="1:5" x14ac:dyDescent="0.2">
      <c r="A501">
        <v>10436</v>
      </c>
      <c r="B501">
        <v>75</v>
      </c>
      <c r="C501" s="2">
        <v>6.2</v>
      </c>
      <c r="D501" s="2">
        <v>24</v>
      </c>
      <c r="E501" s="3">
        <v>0.1</v>
      </c>
    </row>
    <row r="502" spans="1:5" x14ac:dyDescent="0.2">
      <c r="A502">
        <v>10437</v>
      </c>
      <c r="B502">
        <v>53</v>
      </c>
      <c r="C502" s="2">
        <v>26.2</v>
      </c>
      <c r="D502" s="2">
        <v>15</v>
      </c>
      <c r="E502" s="3">
        <v>0</v>
      </c>
    </row>
    <row r="503" spans="1:5" x14ac:dyDescent="0.2">
      <c r="A503">
        <v>10438</v>
      </c>
      <c r="B503">
        <v>19</v>
      </c>
      <c r="C503" s="2">
        <v>7.3</v>
      </c>
      <c r="D503" s="2">
        <v>15</v>
      </c>
      <c r="E503" s="3">
        <v>0.2</v>
      </c>
    </row>
    <row r="504" spans="1:5" x14ac:dyDescent="0.2">
      <c r="A504">
        <v>10438</v>
      </c>
      <c r="B504">
        <v>34</v>
      </c>
      <c r="C504" s="2">
        <v>11.2</v>
      </c>
      <c r="D504" s="2">
        <v>20</v>
      </c>
      <c r="E504" s="3">
        <v>0.2</v>
      </c>
    </row>
    <row r="505" spans="1:5" x14ac:dyDescent="0.2">
      <c r="A505">
        <v>10438</v>
      </c>
      <c r="B505">
        <v>57</v>
      </c>
      <c r="C505" s="2">
        <v>15.6</v>
      </c>
      <c r="D505" s="2">
        <v>15</v>
      </c>
      <c r="E505" s="3">
        <v>0.2</v>
      </c>
    </row>
    <row r="506" spans="1:5" x14ac:dyDescent="0.2">
      <c r="A506">
        <v>10439</v>
      </c>
      <c r="B506">
        <v>12</v>
      </c>
      <c r="C506" s="2">
        <v>30.4</v>
      </c>
      <c r="D506" s="2">
        <v>15</v>
      </c>
      <c r="E506" s="3">
        <v>0</v>
      </c>
    </row>
    <row r="507" spans="1:5" x14ac:dyDescent="0.2">
      <c r="A507">
        <v>10439</v>
      </c>
      <c r="B507">
        <v>16</v>
      </c>
      <c r="C507" s="2">
        <v>13.9</v>
      </c>
      <c r="D507" s="2">
        <v>16</v>
      </c>
      <c r="E507" s="3">
        <v>0</v>
      </c>
    </row>
    <row r="508" spans="1:5" x14ac:dyDescent="0.2">
      <c r="A508">
        <v>10439</v>
      </c>
      <c r="B508">
        <v>64</v>
      </c>
      <c r="C508" s="2">
        <v>26.6</v>
      </c>
      <c r="D508" s="2">
        <v>6</v>
      </c>
      <c r="E508" s="3">
        <v>0</v>
      </c>
    </row>
    <row r="509" spans="1:5" x14ac:dyDescent="0.2">
      <c r="A509">
        <v>10439</v>
      </c>
      <c r="B509">
        <v>74</v>
      </c>
      <c r="C509" s="2">
        <v>8</v>
      </c>
      <c r="D509" s="2">
        <v>30</v>
      </c>
      <c r="E509" s="3">
        <v>0</v>
      </c>
    </row>
    <row r="510" spans="1:5" x14ac:dyDescent="0.2">
      <c r="A510">
        <v>10440</v>
      </c>
      <c r="B510">
        <v>2</v>
      </c>
      <c r="C510" s="2">
        <v>15.2</v>
      </c>
      <c r="D510" s="2">
        <v>45</v>
      </c>
      <c r="E510" s="3">
        <v>0.15</v>
      </c>
    </row>
    <row r="511" spans="1:5" x14ac:dyDescent="0.2">
      <c r="A511">
        <v>10440</v>
      </c>
      <c r="B511">
        <v>16</v>
      </c>
      <c r="C511" s="2">
        <v>13.9</v>
      </c>
      <c r="D511" s="2">
        <v>49</v>
      </c>
      <c r="E511" s="3">
        <v>0.15</v>
      </c>
    </row>
    <row r="512" spans="1:5" x14ac:dyDescent="0.2">
      <c r="A512">
        <v>10440</v>
      </c>
      <c r="B512">
        <v>29</v>
      </c>
      <c r="C512" s="2">
        <v>99</v>
      </c>
      <c r="D512" s="2">
        <v>24</v>
      </c>
      <c r="E512" s="3">
        <v>0.15</v>
      </c>
    </row>
    <row r="513" spans="1:5" x14ac:dyDescent="0.2">
      <c r="A513">
        <v>10440</v>
      </c>
      <c r="B513">
        <v>61</v>
      </c>
      <c r="C513" s="2">
        <v>22.8</v>
      </c>
      <c r="D513" s="2">
        <v>90</v>
      </c>
      <c r="E513" s="3">
        <v>0.15</v>
      </c>
    </row>
    <row r="514" spans="1:5" x14ac:dyDescent="0.2">
      <c r="A514">
        <v>10441</v>
      </c>
      <c r="B514">
        <v>27</v>
      </c>
      <c r="C514" s="2">
        <v>35.1</v>
      </c>
      <c r="D514" s="2">
        <v>50</v>
      </c>
      <c r="E514" s="3">
        <v>0</v>
      </c>
    </row>
    <row r="515" spans="1:5" x14ac:dyDescent="0.2">
      <c r="A515">
        <v>10442</v>
      </c>
      <c r="B515">
        <v>11</v>
      </c>
      <c r="C515" s="2">
        <v>16.8</v>
      </c>
      <c r="D515" s="2">
        <v>30</v>
      </c>
      <c r="E515" s="3">
        <v>0</v>
      </c>
    </row>
    <row r="516" spans="1:5" x14ac:dyDescent="0.2">
      <c r="A516">
        <v>10442</v>
      </c>
      <c r="B516">
        <v>54</v>
      </c>
      <c r="C516" s="2">
        <v>5.9</v>
      </c>
      <c r="D516" s="2">
        <v>80</v>
      </c>
      <c r="E516" s="3">
        <v>0</v>
      </c>
    </row>
    <row r="517" spans="1:5" x14ac:dyDescent="0.2">
      <c r="A517">
        <v>10442</v>
      </c>
      <c r="B517">
        <v>66</v>
      </c>
      <c r="C517" s="2">
        <v>13.6</v>
      </c>
      <c r="D517" s="2">
        <v>60</v>
      </c>
      <c r="E517" s="3">
        <v>0</v>
      </c>
    </row>
    <row r="518" spans="1:5" x14ac:dyDescent="0.2">
      <c r="A518">
        <v>10443</v>
      </c>
      <c r="B518">
        <v>11</v>
      </c>
      <c r="C518" s="2">
        <v>16.8</v>
      </c>
      <c r="D518" s="2">
        <v>6</v>
      </c>
      <c r="E518" s="3">
        <v>0.2</v>
      </c>
    </row>
    <row r="519" spans="1:5" x14ac:dyDescent="0.2">
      <c r="A519">
        <v>10443</v>
      </c>
      <c r="B519">
        <v>28</v>
      </c>
      <c r="C519" s="2">
        <v>36.4</v>
      </c>
      <c r="D519" s="2">
        <v>12</v>
      </c>
      <c r="E519" s="3">
        <v>0</v>
      </c>
    </row>
    <row r="520" spans="1:5" x14ac:dyDescent="0.2">
      <c r="A520">
        <v>10444</v>
      </c>
      <c r="B520">
        <v>17</v>
      </c>
      <c r="C520" s="2">
        <v>31.2</v>
      </c>
      <c r="D520" s="2">
        <v>10</v>
      </c>
      <c r="E520" s="3">
        <v>0</v>
      </c>
    </row>
    <row r="521" spans="1:5" x14ac:dyDescent="0.2">
      <c r="A521">
        <v>10444</v>
      </c>
      <c r="B521">
        <v>26</v>
      </c>
      <c r="C521" s="2">
        <v>24.9</v>
      </c>
      <c r="D521" s="2">
        <v>15</v>
      </c>
      <c r="E521" s="3">
        <v>0</v>
      </c>
    </row>
    <row r="522" spans="1:5" x14ac:dyDescent="0.2">
      <c r="A522">
        <v>10444</v>
      </c>
      <c r="B522">
        <v>35</v>
      </c>
      <c r="C522" s="2">
        <v>14.4</v>
      </c>
      <c r="D522" s="2">
        <v>8</v>
      </c>
      <c r="E522" s="3">
        <v>0</v>
      </c>
    </row>
    <row r="523" spans="1:5" x14ac:dyDescent="0.2">
      <c r="A523">
        <v>10444</v>
      </c>
      <c r="B523">
        <v>41</v>
      </c>
      <c r="C523" s="2">
        <v>7.7</v>
      </c>
      <c r="D523" s="2">
        <v>30</v>
      </c>
      <c r="E523" s="3">
        <v>0</v>
      </c>
    </row>
    <row r="524" spans="1:5" x14ac:dyDescent="0.2">
      <c r="A524">
        <v>10445</v>
      </c>
      <c r="B524">
        <v>39</v>
      </c>
      <c r="C524" s="2">
        <v>14.4</v>
      </c>
      <c r="D524" s="2">
        <v>6</v>
      </c>
      <c r="E524" s="3">
        <v>0</v>
      </c>
    </row>
    <row r="525" spans="1:5" x14ac:dyDescent="0.2">
      <c r="A525">
        <v>10445</v>
      </c>
      <c r="B525">
        <v>54</v>
      </c>
      <c r="C525" s="2">
        <v>5.9</v>
      </c>
      <c r="D525" s="2">
        <v>15</v>
      </c>
      <c r="E525" s="3">
        <v>0</v>
      </c>
    </row>
    <row r="526" spans="1:5" x14ac:dyDescent="0.2">
      <c r="A526">
        <v>10446</v>
      </c>
      <c r="B526">
        <v>19</v>
      </c>
      <c r="C526" s="2">
        <v>7.3</v>
      </c>
      <c r="D526" s="2">
        <v>12</v>
      </c>
      <c r="E526" s="3">
        <v>0.1</v>
      </c>
    </row>
    <row r="527" spans="1:5" x14ac:dyDescent="0.2">
      <c r="A527">
        <v>10446</v>
      </c>
      <c r="B527">
        <v>24</v>
      </c>
      <c r="C527" s="2">
        <v>3.6</v>
      </c>
      <c r="D527" s="2">
        <v>20</v>
      </c>
      <c r="E527" s="3">
        <v>0.1</v>
      </c>
    </row>
    <row r="528" spans="1:5" x14ac:dyDescent="0.2">
      <c r="A528">
        <v>10446</v>
      </c>
      <c r="B528">
        <v>31</v>
      </c>
      <c r="C528" s="2">
        <v>10</v>
      </c>
      <c r="D528" s="2">
        <v>3</v>
      </c>
      <c r="E528" s="3">
        <v>0.1</v>
      </c>
    </row>
    <row r="529" spans="1:5" x14ac:dyDescent="0.2">
      <c r="A529">
        <v>10446</v>
      </c>
      <c r="B529">
        <v>52</v>
      </c>
      <c r="C529" s="2">
        <v>5.6</v>
      </c>
      <c r="D529" s="2">
        <v>15</v>
      </c>
      <c r="E529" s="3">
        <v>0.1</v>
      </c>
    </row>
    <row r="530" spans="1:5" x14ac:dyDescent="0.2">
      <c r="A530">
        <v>10447</v>
      </c>
      <c r="B530">
        <v>19</v>
      </c>
      <c r="C530" s="2">
        <v>7.3</v>
      </c>
      <c r="D530" s="2">
        <v>40</v>
      </c>
      <c r="E530" s="3">
        <v>0</v>
      </c>
    </row>
    <row r="531" spans="1:5" x14ac:dyDescent="0.2">
      <c r="A531">
        <v>10447</v>
      </c>
      <c r="B531">
        <v>65</v>
      </c>
      <c r="C531" s="2">
        <v>16.8</v>
      </c>
      <c r="D531" s="2">
        <v>35</v>
      </c>
      <c r="E531" s="3">
        <v>0</v>
      </c>
    </row>
    <row r="532" spans="1:5" x14ac:dyDescent="0.2">
      <c r="A532">
        <v>10447</v>
      </c>
      <c r="B532">
        <v>71</v>
      </c>
      <c r="C532" s="2">
        <v>17.2</v>
      </c>
      <c r="D532" s="2">
        <v>2</v>
      </c>
      <c r="E532" s="3">
        <v>0</v>
      </c>
    </row>
    <row r="533" spans="1:5" x14ac:dyDescent="0.2">
      <c r="A533">
        <v>10448</v>
      </c>
      <c r="B533">
        <v>26</v>
      </c>
      <c r="C533" s="2">
        <v>24.9</v>
      </c>
      <c r="D533" s="2">
        <v>6</v>
      </c>
      <c r="E533" s="3">
        <v>0</v>
      </c>
    </row>
    <row r="534" spans="1:5" x14ac:dyDescent="0.2">
      <c r="A534">
        <v>10448</v>
      </c>
      <c r="B534">
        <v>40</v>
      </c>
      <c r="C534" s="2">
        <v>14.7</v>
      </c>
      <c r="D534" s="2">
        <v>20</v>
      </c>
      <c r="E534" s="3">
        <v>0</v>
      </c>
    </row>
    <row r="535" spans="1:5" x14ac:dyDescent="0.2">
      <c r="A535">
        <v>10449</v>
      </c>
      <c r="B535">
        <v>10</v>
      </c>
      <c r="C535" s="2">
        <v>24.8</v>
      </c>
      <c r="D535" s="2">
        <v>14</v>
      </c>
      <c r="E535" s="3">
        <v>0</v>
      </c>
    </row>
    <row r="536" spans="1:5" x14ac:dyDescent="0.2">
      <c r="A536">
        <v>10449</v>
      </c>
      <c r="B536">
        <v>52</v>
      </c>
      <c r="C536" s="2">
        <v>5.6</v>
      </c>
      <c r="D536" s="2">
        <v>20</v>
      </c>
      <c r="E536" s="3">
        <v>0</v>
      </c>
    </row>
    <row r="537" spans="1:5" x14ac:dyDescent="0.2">
      <c r="A537">
        <v>10449</v>
      </c>
      <c r="B537">
        <v>62</v>
      </c>
      <c r="C537" s="2">
        <v>39.4</v>
      </c>
      <c r="D537" s="2">
        <v>35</v>
      </c>
      <c r="E537" s="3">
        <v>0</v>
      </c>
    </row>
    <row r="538" spans="1:5" x14ac:dyDescent="0.2">
      <c r="A538">
        <v>10450</v>
      </c>
      <c r="B538">
        <v>10</v>
      </c>
      <c r="C538" s="2">
        <v>24.8</v>
      </c>
      <c r="D538" s="2">
        <v>20</v>
      </c>
      <c r="E538" s="3">
        <v>0.2</v>
      </c>
    </row>
    <row r="539" spans="1:5" x14ac:dyDescent="0.2">
      <c r="A539">
        <v>10450</v>
      </c>
      <c r="B539">
        <v>54</v>
      </c>
      <c r="C539" s="2">
        <v>5.9</v>
      </c>
      <c r="D539" s="2">
        <v>6</v>
      </c>
      <c r="E539" s="3">
        <v>0.2</v>
      </c>
    </row>
    <row r="540" spans="1:5" x14ac:dyDescent="0.2">
      <c r="A540">
        <v>10451</v>
      </c>
      <c r="B540">
        <v>55</v>
      </c>
      <c r="C540" s="2">
        <v>19.2</v>
      </c>
      <c r="D540" s="2">
        <v>120</v>
      </c>
      <c r="E540" s="3">
        <v>0.1</v>
      </c>
    </row>
    <row r="541" spans="1:5" x14ac:dyDescent="0.2">
      <c r="A541">
        <v>10451</v>
      </c>
      <c r="B541">
        <v>64</v>
      </c>
      <c r="C541" s="2">
        <v>26.6</v>
      </c>
      <c r="D541" s="2">
        <v>35</v>
      </c>
      <c r="E541" s="3">
        <v>0.1</v>
      </c>
    </row>
    <row r="542" spans="1:5" x14ac:dyDescent="0.2">
      <c r="A542">
        <v>10451</v>
      </c>
      <c r="B542">
        <v>65</v>
      </c>
      <c r="C542" s="2">
        <v>16.8</v>
      </c>
      <c r="D542" s="2">
        <v>28</v>
      </c>
      <c r="E542" s="3">
        <v>0.1</v>
      </c>
    </row>
    <row r="543" spans="1:5" x14ac:dyDescent="0.2">
      <c r="A543">
        <v>10451</v>
      </c>
      <c r="B543">
        <v>77</v>
      </c>
      <c r="C543" s="2">
        <v>10.4</v>
      </c>
      <c r="D543" s="2">
        <v>55</v>
      </c>
      <c r="E543" s="3">
        <v>0.1</v>
      </c>
    </row>
    <row r="544" spans="1:5" x14ac:dyDescent="0.2">
      <c r="A544">
        <v>10452</v>
      </c>
      <c r="B544">
        <v>28</v>
      </c>
      <c r="C544" s="2">
        <v>36.4</v>
      </c>
      <c r="D544" s="2">
        <v>15</v>
      </c>
      <c r="E544" s="3">
        <v>0</v>
      </c>
    </row>
    <row r="545" spans="1:5" x14ac:dyDescent="0.2">
      <c r="A545">
        <v>10452</v>
      </c>
      <c r="B545">
        <v>44</v>
      </c>
      <c r="C545" s="2">
        <v>15.5</v>
      </c>
      <c r="D545" s="2">
        <v>100</v>
      </c>
      <c r="E545" s="3">
        <v>0.05</v>
      </c>
    </row>
    <row r="546" spans="1:5" x14ac:dyDescent="0.2">
      <c r="A546">
        <v>10453</v>
      </c>
      <c r="B546">
        <v>48</v>
      </c>
      <c r="C546" s="2">
        <v>10.199999999999999</v>
      </c>
      <c r="D546" s="2">
        <v>15</v>
      </c>
      <c r="E546" s="3">
        <v>0.1</v>
      </c>
    </row>
    <row r="547" spans="1:5" x14ac:dyDescent="0.2">
      <c r="A547">
        <v>10453</v>
      </c>
      <c r="B547">
        <v>70</v>
      </c>
      <c r="C547" s="2">
        <v>12</v>
      </c>
      <c r="D547" s="2">
        <v>25</v>
      </c>
      <c r="E547" s="3">
        <v>0.1</v>
      </c>
    </row>
    <row r="548" spans="1:5" x14ac:dyDescent="0.2">
      <c r="A548">
        <v>10454</v>
      </c>
      <c r="B548">
        <v>16</v>
      </c>
      <c r="C548" s="2">
        <v>13.9</v>
      </c>
      <c r="D548" s="2">
        <v>20</v>
      </c>
      <c r="E548" s="3">
        <v>0.2</v>
      </c>
    </row>
    <row r="549" spans="1:5" x14ac:dyDescent="0.2">
      <c r="A549">
        <v>10454</v>
      </c>
      <c r="B549">
        <v>33</v>
      </c>
      <c r="C549" s="2">
        <v>2</v>
      </c>
      <c r="D549" s="2">
        <v>20</v>
      </c>
      <c r="E549" s="3">
        <v>0.2</v>
      </c>
    </row>
    <row r="550" spans="1:5" x14ac:dyDescent="0.2">
      <c r="A550">
        <v>10454</v>
      </c>
      <c r="B550">
        <v>46</v>
      </c>
      <c r="C550" s="2">
        <v>9.6</v>
      </c>
      <c r="D550" s="2">
        <v>10</v>
      </c>
      <c r="E550" s="3">
        <v>0.2</v>
      </c>
    </row>
    <row r="551" spans="1:5" x14ac:dyDescent="0.2">
      <c r="A551">
        <v>10455</v>
      </c>
      <c r="B551">
        <v>39</v>
      </c>
      <c r="C551" s="2">
        <v>14.4</v>
      </c>
      <c r="D551" s="2">
        <v>20</v>
      </c>
      <c r="E551" s="3">
        <v>0</v>
      </c>
    </row>
    <row r="552" spans="1:5" x14ac:dyDescent="0.2">
      <c r="A552">
        <v>10455</v>
      </c>
      <c r="B552">
        <v>53</v>
      </c>
      <c r="C552" s="2">
        <v>26.2</v>
      </c>
      <c r="D552" s="2">
        <v>50</v>
      </c>
      <c r="E552" s="3">
        <v>0</v>
      </c>
    </row>
    <row r="553" spans="1:5" x14ac:dyDescent="0.2">
      <c r="A553">
        <v>10455</v>
      </c>
      <c r="B553">
        <v>61</v>
      </c>
      <c r="C553" s="2">
        <v>22.8</v>
      </c>
      <c r="D553" s="2">
        <v>25</v>
      </c>
      <c r="E553" s="3">
        <v>0</v>
      </c>
    </row>
    <row r="554" spans="1:5" x14ac:dyDescent="0.2">
      <c r="A554">
        <v>10455</v>
      </c>
      <c r="B554">
        <v>71</v>
      </c>
      <c r="C554" s="2">
        <v>17.2</v>
      </c>
      <c r="D554" s="2">
        <v>30</v>
      </c>
      <c r="E554" s="3">
        <v>0</v>
      </c>
    </row>
    <row r="555" spans="1:5" x14ac:dyDescent="0.2">
      <c r="A555">
        <v>10456</v>
      </c>
      <c r="B555">
        <v>21</v>
      </c>
      <c r="C555" s="2">
        <v>8</v>
      </c>
      <c r="D555" s="2">
        <v>40</v>
      </c>
      <c r="E555" s="3">
        <v>0.15</v>
      </c>
    </row>
    <row r="556" spans="1:5" x14ac:dyDescent="0.2">
      <c r="A556">
        <v>10456</v>
      </c>
      <c r="B556">
        <v>49</v>
      </c>
      <c r="C556" s="2">
        <v>16</v>
      </c>
      <c r="D556" s="2">
        <v>21</v>
      </c>
      <c r="E556" s="3">
        <v>0.15</v>
      </c>
    </row>
    <row r="557" spans="1:5" x14ac:dyDescent="0.2">
      <c r="A557">
        <v>10457</v>
      </c>
      <c r="B557">
        <v>59</v>
      </c>
      <c r="C557" s="2">
        <v>44</v>
      </c>
      <c r="D557" s="2">
        <v>36</v>
      </c>
      <c r="E557" s="3">
        <v>0</v>
      </c>
    </row>
    <row r="558" spans="1:5" x14ac:dyDescent="0.2">
      <c r="A558">
        <v>10458</v>
      </c>
      <c r="B558">
        <v>26</v>
      </c>
      <c r="C558" s="2">
        <v>24.9</v>
      </c>
      <c r="D558" s="2">
        <v>30</v>
      </c>
      <c r="E558" s="3">
        <v>0</v>
      </c>
    </row>
    <row r="559" spans="1:5" x14ac:dyDescent="0.2">
      <c r="A559">
        <v>10458</v>
      </c>
      <c r="B559">
        <v>28</v>
      </c>
      <c r="C559" s="2">
        <v>36.4</v>
      </c>
      <c r="D559" s="2">
        <v>30</v>
      </c>
      <c r="E559" s="3">
        <v>0</v>
      </c>
    </row>
    <row r="560" spans="1:5" x14ac:dyDescent="0.2">
      <c r="A560">
        <v>10458</v>
      </c>
      <c r="B560">
        <v>43</v>
      </c>
      <c r="C560" s="2">
        <v>36.799999999999997</v>
      </c>
      <c r="D560" s="2">
        <v>20</v>
      </c>
      <c r="E560" s="3">
        <v>0</v>
      </c>
    </row>
    <row r="561" spans="1:5" x14ac:dyDescent="0.2">
      <c r="A561">
        <v>10458</v>
      </c>
      <c r="B561">
        <v>56</v>
      </c>
      <c r="C561" s="2">
        <v>30.4</v>
      </c>
      <c r="D561" s="2">
        <v>15</v>
      </c>
      <c r="E561" s="3">
        <v>0</v>
      </c>
    </row>
    <row r="562" spans="1:5" x14ac:dyDescent="0.2">
      <c r="A562">
        <v>10458</v>
      </c>
      <c r="B562">
        <v>71</v>
      </c>
      <c r="C562" s="2">
        <v>17.2</v>
      </c>
      <c r="D562" s="2">
        <v>50</v>
      </c>
      <c r="E562" s="3">
        <v>0</v>
      </c>
    </row>
    <row r="563" spans="1:5" x14ac:dyDescent="0.2">
      <c r="A563">
        <v>10459</v>
      </c>
      <c r="B563">
        <v>7</v>
      </c>
      <c r="C563" s="2">
        <v>24</v>
      </c>
      <c r="D563" s="2">
        <v>16</v>
      </c>
      <c r="E563" s="3">
        <v>0.05</v>
      </c>
    </row>
    <row r="564" spans="1:5" x14ac:dyDescent="0.2">
      <c r="A564">
        <v>10459</v>
      </c>
      <c r="B564">
        <v>46</v>
      </c>
      <c r="C564" s="2">
        <v>9.6</v>
      </c>
      <c r="D564" s="2">
        <v>20</v>
      </c>
      <c r="E564" s="3">
        <v>0.05</v>
      </c>
    </row>
    <row r="565" spans="1:5" x14ac:dyDescent="0.2">
      <c r="A565">
        <v>10459</v>
      </c>
      <c r="B565">
        <v>72</v>
      </c>
      <c r="C565" s="2">
        <v>27.8</v>
      </c>
      <c r="D565" s="2">
        <v>40</v>
      </c>
      <c r="E565" s="3">
        <v>0</v>
      </c>
    </row>
    <row r="566" spans="1:5" x14ac:dyDescent="0.2">
      <c r="A566">
        <v>10460</v>
      </c>
      <c r="B566">
        <v>68</v>
      </c>
      <c r="C566" s="2">
        <v>10</v>
      </c>
      <c r="D566" s="2">
        <v>21</v>
      </c>
      <c r="E566" s="3">
        <v>0.25</v>
      </c>
    </row>
    <row r="567" spans="1:5" x14ac:dyDescent="0.2">
      <c r="A567">
        <v>10460</v>
      </c>
      <c r="B567">
        <v>75</v>
      </c>
      <c r="C567" s="2">
        <v>6.2</v>
      </c>
      <c r="D567" s="2">
        <v>4</v>
      </c>
      <c r="E567" s="3">
        <v>0.25</v>
      </c>
    </row>
    <row r="568" spans="1:5" x14ac:dyDescent="0.2">
      <c r="A568">
        <v>10461</v>
      </c>
      <c r="B568">
        <v>21</v>
      </c>
      <c r="C568" s="2">
        <v>8</v>
      </c>
      <c r="D568" s="2">
        <v>40</v>
      </c>
      <c r="E568" s="3">
        <v>0.25</v>
      </c>
    </row>
    <row r="569" spans="1:5" x14ac:dyDescent="0.2">
      <c r="A569">
        <v>10461</v>
      </c>
      <c r="B569">
        <v>30</v>
      </c>
      <c r="C569" s="2">
        <v>20.7</v>
      </c>
      <c r="D569" s="2">
        <v>28</v>
      </c>
      <c r="E569" s="3">
        <v>0.25</v>
      </c>
    </row>
    <row r="570" spans="1:5" x14ac:dyDescent="0.2">
      <c r="A570">
        <v>10461</v>
      </c>
      <c r="B570">
        <v>55</v>
      </c>
      <c r="C570" s="2">
        <v>19.2</v>
      </c>
      <c r="D570" s="2">
        <v>60</v>
      </c>
      <c r="E570" s="3">
        <v>0.25</v>
      </c>
    </row>
    <row r="571" spans="1:5" x14ac:dyDescent="0.2">
      <c r="A571">
        <v>10462</v>
      </c>
      <c r="B571">
        <v>13</v>
      </c>
      <c r="C571" s="2">
        <v>4.8</v>
      </c>
      <c r="D571" s="2">
        <v>1</v>
      </c>
      <c r="E571" s="3">
        <v>0</v>
      </c>
    </row>
    <row r="572" spans="1:5" x14ac:dyDescent="0.2">
      <c r="A572">
        <v>10462</v>
      </c>
      <c r="B572">
        <v>23</v>
      </c>
      <c r="C572" s="2">
        <v>7.2</v>
      </c>
      <c r="D572" s="2">
        <v>21</v>
      </c>
      <c r="E572" s="3">
        <v>0</v>
      </c>
    </row>
    <row r="573" spans="1:5" x14ac:dyDescent="0.2">
      <c r="A573">
        <v>10463</v>
      </c>
      <c r="B573">
        <v>19</v>
      </c>
      <c r="C573" s="2">
        <v>7.3</v>
      </c>
      <c r="D573" s="2">
        <v>21</v>
      </c>
      <c r="E573" s="3">
        <v>0</v>
      </c>
    </row>
    <row r="574" spans="1:5" x14ac:dyDescent="0.2">
      <c r="A574">
        <v>10463</v>
      </c>
      <c r="B574">
        <v>42</v>
      </c>
      <c r="C574" s="2">
        <v>11.2</v>
      </c>
      <c r="D574" s="2">
        <v>50</v>
      </c>
      <c r="E574" s="3">
        <v>0</v>
      </c>
    </row>
    <row r="575" spans="1:5" x14ac:dyDescent="0.2">
      <c r="A575">
        <v>10464</v>
      </c>
      <c r="B575">
        <v>4</v>
      </c>
      <c r="C575" s="2">
        <v>17.600000000000001</v>
      </c>
      <c r="D575" s="2">
        <v>16</v>
      </c>
      <c r="E575" s="3">
        <v>0.2</v>
      </c>
    </row>
    <row r="576" spans="1:5" x14ac:dyDescent="0.2">
      <c r="A576">
        <v>10464</v>
      </c>
      <c r="B576">
        <v>43</v>
      </c>
      <c r="C576" s="2">
        <v>36.799999999999997</v>
      </c>
      <c r="D576" s="2">
        <v>3</v>
      </c>
      <c r="E576" s="3">
        <v>0</v>
      </c>
    </row>
    <row r="577" spans="1:5" x14ac:dyDescent="0.2">
      <c r="A577">
        <v>10464</v>
      </c>
      <c r="B577">
        <v>56</v>
      </c>
      <c r="C577" s="2">
        <v>30.4</v>
      </c>
      <c r="D577" s="2">
        <v>30</v>
      </c>
      <c r="E577" s="3">
        <v>0.2</v>
      </c>
    </row>
    <row r="578" spans="1:5" x14ac:dyDescent="0.2">
      <c r="A578">
        <v>10464</v>
      </c>
      <c r="B578">
        <v>60</v>
      </c>
      <c r="C578" s="2">
        <v>27.2</v>
      </c>
      <c r="D578" s="2">
        <v>20</v>
      </c>
      <c r="E578" s="3">
        <v>0</v>
      </c>
    </row>
    <row r="579" spans="1:5" x14ac:dyDescent="0.2">
      <c r="A579">
        <v>10465</v>
      </c>
      <c r="B579">
        <v>24</v>
      </c>
      <c r="C579" s="2">
        <v>3.6</v>
      </c>
      <c r="D579" s="2">
        <v>25</v>
      </c>
      <c r="E579" s="3">
        <v>0</v>
      </c>
    </row>
    <row r="580" spans="1:5" x14ac:dyDescent="0.2">
      <c r="A580">
        <v>10465</v>
      </c>
      <c r="B580">
        <v>29</v>
      </c>
      <c r="C580" s="2">
        <v>99</v>
      </c>
      <c r="D580" s="2">
        <v>18</v>
      </c>
      <c r="E580" s="3">
        <v>0.1</v>
      </c>
    </row>
    <row r="581" spans="1:5" x14ac:dyDescent="0.2">
      <c r="A581">
        <v>10465</v>
      </c>
      <c r="B581">
        <v>40</v>
      </c>
      <c r="C581" s="2">
        <v>14.7</v>
      </c>
      <c r="D581" s="2">
        <v>20</v>
      </c>
      <c r="E581" s="3">
        <v>0</v>
      </c>
    </row>
    <row r="582" spans="1:5" x14ac:dyDescent="0.2">
      <c r="A582">
        <v>10465</v>
      </c>
      <c r="B582">
        <v>45</v>
      </c>
      <c r="C582" s="2">
        <v>7.6</v>
      </c>
      <c r="D582" s="2">
        <v>30</v>
      </c>
      <c r="E582" s="3">
        <v>0.1</v>
      </c>
    </row>
    <row r="583" spans="1:5" x14ac:dyDescent="0.2">
      <c r="A583">
        <v>10465</v>
      </c>
      <c r="B583">
        <v>50</v>
      </c>
      <c r="C583" s="2">
        <v>13</v>
      </c>
      <c r="D583" s="2">
        <v>25</v>
      </c>
      <c r="E583" s="3">
        <v>0</v>
      </c>
    </row>
    <row r="584" spans="1:5" x14ac:dyDescent="0.2">
      <c r="A584">
        <v>10466</v>
      </c>
      <c r="B584">
        <v>11</v>
      </c>
      <c r="C584" s="2">
        <v>16.8</v>
      </c>
      <c r="D584" s="2">
        <v>10</v>
      </c>
      <c r="E584" s="3">
        <v>0</v>
      </c>
    </row>
    <row r="585" spans="1:5" x14ac:dyDescent="0.2">
      <c r="A585">
        <v>10466</v>
      </c>
      <c r="B585">
        <v>46</v>
      </c>
      <c r="C585" s="2">
        <v>9.6</v>
      </c>
      <c r="D585" s="2">
        <v>5</v>
      </c>
      <c r="E585" s="3">
        <v>0</v>
      </c>
    </row>
    <row r="586" spans="1:5" x14ac:dyDescent="0.2">
      <c r="A586">
        <v>10467</v>
      </c>
      <c r="B586">
        <v>24</v>
      </c>
      <c r="C586" s="2">
        <v>3.6</v>
      </c>
      <c r="D586" s="2">
        <v>28</v>
      </c>
      <c r="E586" s="3">
        <v>0</v>
      </c>
    </row>
    <row r="587" spans="1:5" x14ac:dyDescent="0.2">
      <c r="A587">
        <v>10467</v>
      </c>
      <c r="B587">
        <v>25</v>
      </c>
      <c r="C587" s="2">
        <v>11.2</v>
      </c>
      <c r="D587" s="2">
        <v>12</v>
      </c>
      <c r="E587" s="3">
        <v>0</v>
      </c>
    </row>
    <row r="588" spans="1:5" x14ac:dyDescent="0.2">
      <c r="A588">
        <v>10468</v>
      </c>
      <c r="B588">
        <v>30</v>
      </c>
      <c r="C588" s="2">
        <v>20.7</v>
      </c>
      <c r="D588" s="2">
        <v>8</v>
      </c>
      <c r="E588" s="3">
        <v>0</v>
      </c>
    </row>
    <row r="589" spans="1:5" x14ac:dyDescent="0.2">
      <c r="A589">
        <v>10468</v>
      </c>
      <c r="B589">
        <v>43</v>
      </c>
      <c r="C589" s="2">
        <v>36.799999999999997</v>
      </c>
      <c r="D589" s="2">
        <v>15</v>
      </c>
      <c r="E589" s="3">
        <v>0</v>
      </c>
    </row>
    <row r="590" spans="1:5" x14ac:dyDescent="0.2">
      <c r="A590">
        <v>10469</v>
      </c>
      <c r="B590">
        <v>2</v>
      </c>
      <c r="C590" s="2">
        <v>15.2</v>
      </c>
      <c r="D590" s="2">
        <v>40</v>
      </c>
      <c r="E590" s="3">
        <v>0.15</v>
      </c>
    </row>
    <row r="591" spans="1:5" x14ac:dyDescent="0.2">
      <c r="A591">
        <v>10469</v>
      </c>
      <c r="B591">
        <v>16</v>
      </c>
      <c r="C591" s="2">
        <v>13.9</v>
      </c>
      <c r="D591" s="2">
        <v>35</v>
      </c>
      <c r="E591" s="3">
        <v>0.15</v>
      </c>
    </row>
    <row r="592" spans="1:5" x14ac:dyDescent="0.2">
      <c r="A592">
        <v>10469</v>
      </c>
      <c r="B592">
        <v>44</v>
      </c>
      <c r="C592" s="2">
        <v>15.5</v>
      </c>
      <c r="D592" s="2">
        <v>2</v>
      </c>
      <c r="E592" s="3">
        <v>0.15</v>
      </c>
    </row>
    <row r="593" spans="1:5" x14ac:dyDescent="0.2">
      <c r="A593">
        <v>10470</v>
      </c>
      <c r="B593">
        <v>18</v>
      </c>
      <c r="C593" s="2">
        <v>50</v>
      </c>
      <c r="D593" s="2">
        <v>30</v>
      </c>
      <c r="E593" s="3">
        <v>0</v>
      </c>
    </row>
    <row r="594" spans="1:5" x14ac:dyDescent="0.2">
      <c r="A594">
        <v>10470</v>
      </c>
      <c r="B594">
        <v>23</v>
      </c>
      <c r="C594" s="2">
        <v>7.2</v>
      </c>
      <c r="D594" s="2">
        <v>15</v>
      </c>
      <c r="E594" s="3">
        <v>0</v>
      </c>
    </row>
    <row r="595" spans="1:5" x14ac:dyDescent="0.2">
      <c r="A595">
        <v>10470</v>
      </c>
      <c r="B595">
        <v>64</v>
      </c>
      <c r="C595" s="2">
        <v>26.6</v>
      </c>
      <c r="D595" s="2">
        <v>8</v>
      </c>
      <c r="E595" s="3">
        <v>0</v>
      </c>
    </row>
    <row r="596" spans="1:5" x14ac:dyDescent="0.2">
      <c r="A596">
        <v>10471</v>
      </c>
      <c r="B596">
        <v>7</v>
      </c>
      <c r="C596" s="2">
        <v>24</v>
      </c>
      <c r="D596" s="2">
        <v>30</v>
      </c>
      <c r="E596" s="3">
        <v>0</v>
      </c>
    </row>
    <row r="597" spans="1:5" x14ac:dyDescent="0.2">
      <c r="A597">
        <v>10471</v>
      </c>
      <c r="B597">
        <v>56</v>
      </c>
      <c r="C597" s="2">
        <v>30.4</v>
      </c>
      <c r="D597" s="2">
        <v>20</v>
      </c>
      <c r="E597" s="3">
        <v>0</v>
      </c>
    </row>
    <row r="598" spans="1:5" x14ac:dyDescent="0.2">
      <c r="A598">
        <v>10472</v>
      </c>
      <c r="B598">
        <v>24</v>
      </c>
      <c r="C598" s="2">
        <v>3.6</v>
      </c>
      <c r="D598" s="2">
        <v>80</v>
      </c>
      <c r="E598" s="3">
        <v>0.05</v>
      </c>
    </row>
    <row r="599" spans="1:5" x14ac:dyDescent="0.2">
      <c r="A599">
        <v>10472</v>
      </c>
      <c r="B599">
        <v>51</v>
      </c>
      <c r="C599" s="2">
        <v>42.4</v>
      </c>
      <c r="D599" s="2">
        <v>18</v>
      </c>
      <c r="E599" s="3">
        <v>0</v>
      </c>
    </row>
    <row r="600" spans="1:5" x14ac:dyDescent="0.2">
      <c r="A600">
        <v>10473</v>
      </c>
      <c r="B600">
        <v>33</v>
      </c>
      <c r="C600" s="2">
        <v>2</v>
      </c>
      <c r="D600" s="2">
        <v>12</v>
      </c>
      <c r="E600" s="3">
        <v>0</v>
      </c>
    </row>
    <row r="601" spans="1:5" x14ac:dyDescent="0.2">
      <c r="A601">
        <v>10473</v>
      </c>
      <c r="B601">
        <v>71</v>
      </c>
      <c r="C601" s="2">
        <v>17.2</v>
      </c>
      <c r="D601" s="2">
        <v>12</v>
      </c>
      <c r="E601" s="3">
        <v>0</v>
      </c>
    </row>
    <row r="602" spans="1:5" x14ac:dyDescent="0.2">
      <c r="A602">
        <v>10474</v>
      </c>
      <c r="B602">
        <v>14</v>
      </c>
      <c r="C602" s="2">
        <v>18.600000000000001</v>
      </c>
      <c r="D602" s="2">
        <v>12</v>
      </c>
      <c r="E602" s="3">
        <v>0</v>
      </c>
    </row>
    <row r="603" spans="1:5" x14ac:dyDescent="0.2">
      <c r="A603">
        <v>10474</v>
      </c>
      <c r="B603">
        <v>28</v>
      </c>
      <c r="C603" s="2">
        <v>36.4</v>
      </c>
      <c r="D603" s="2">
        <v>18</v>
      </c>
      <c r="E603" s="3">
        <v>0</v>
      </c>
    </row>
    <row r="604" spans="1:5" x14ac:dyDescent="0.2">
      <c r="A604">
        <v>10474</v>
      </c>
      <c r="B604">
        <v>40</v>
      </c>
      <c r="C604" s="2">
        <v>14.7</v>
      </c>
      <c r="D604" s="2">
        <v>21</v>
      </c>
      <c r="E604" s="3">
        <v>0</v>
      </c>
    </row>
    <row r="605" spans="1:5" x14ac:dyDescent="0.2">
      <c r="A605">
        <v>10474</v>
      </c>
      <c r="B605">
        <v>75</v>
      </c>
      <c r="C605" s="2">
        <v>6.2</v>
      </c>
      <c r="D605" s="2">
        <v>10</v>
      </c>
      <c r="E605" s="3">
        <v>0</v>
      </c>
    </row>
    <row r="606" spans="1:5" x14ac:dyDescent="0.2">
      <c r="A606">
        <v>10475</v>
      </c>
      <c r="B606">
        <v>31</v>
      </c>
      <c r="C606" s="2">
        <v>10</v>
      </c>
      <c r="D606" s="2">
        <v>35</v>
      </c>
      <c r="E606" s="3">
        <v>0.15</v>
      </c>
    </row>
    <row r="607" spans="1:5" x14ac:dyDescent="0.2">
      <c r="A607">
        <v>10475</v>
      </c>
      <c r="B607">
        <v>66</v>
      </c>
      <c r="C607" s="2">
        <v>13.6</v>
      </c>
      <c r="D607" s="2">
        <v>60</v>
      </c>
      <c r="E607" s="3">
        <v>0.15</v>
      </c>
    </row>
    <row r="608" spans="1:5" x14ac:dyDescent="0.2">
      <c r="A608">
        <v>10475</v>
      </c>
      <c r="B608">
        <v>76</v>
      </c>
      <c r="C608" s="2">
        <v>14.4</v>
      </c>
      <c r="D608" s="2">
        <v>42</v>
      </c>
      <c r="E608" s="3">
        <v>0.15</v>
      </c>
    </row>
    <row r="609" spans="1:5" x14ac:dyDescent="0.2">
      <c r="A609">
        <v>10476</v>
      </c>
      <c r="B609">
        <v>55</v>
      </c>
      <c r="C609" s="2">
        <v>19.2</v>
      </c>
      <c r="D609" s="2">
        <v>2</v>
      </c>
      <c r="E609" s="3">
        <v>0.05</v>
      </c>
    </row>
    <row r="610" spans="1:5" x14ac:dyDescent="0.2">
      <c r="A610">
        <v>10476</v>
      </c>
      <c r="B610">
        <v>70</v>
      </c>
      <c r="C610" s="2">
        <v>12</v>
      </c>
      <c r="D610" s="2">
        <v>12</v>
      </c>
      <c r="E610" s="3">
        <v>0</v>
      </c>
    </row>
    <row r="611" spans="1:5" x14ac:dyDescent="0.2">
      <c r="A611">
        <v>10477</v>
      </c>
      <c r="B611">
        <v>1</v>
      </c>
      <c r="C611" s="2">
        <v>14.4</v>
      </c>
      <c r="D611" s="2">
        <v>15</v>
      </c>
      <c r="E611" s="3">
        <v>0</v>
      </c>
    </row>
    <row r="612" spans="1:5" x14ac:dyDescent="0.2">
      <c r="A612">
        <v>10477</v>
      </c>
      <c r="B612">
        <v>21</v>
      </c>
      <c r="C612" s="2">
        <v>8</v>
      </c>
      <c r="D612" s="2">
        <v>21</v>
      </c>
      <c r="E612" s="3">
        <v>0.25</v>
      </c>
    </row>
    <row r="613" spans="1:5" x14ac:dyDescent="0.2">
      <c r="A613">
        <v>10477</v>
      </c>
      <c r="B613">
        <v>39</v>
      </c>
      <c r="C613" s="2">
        <v>14.4</v>
      </c>
      <c r="D613" s="2">
        <v>20</v>
      </c>
      <c r="E613" s="3">
        <v>0.25</v>
      </c>
    </row>
    <row r="614" spans="1:5" x14ac:dyDescent="0.2">
      <c r="A614">
        <v>10478</v>
      </c>
      <c r="B614">
        <v>10</v>
      </c>
      <c r="C614" s="2">
        <v>24.8</v>
      </c>
      <c r="D614" s="2">
        <v>20</v>
      </c>
      <c r="E614" s="3">
        <v>0.05</v>
      </c>
    </row>
    <row r="615" spans="1:5" x14ac:dyDescent="0.2">
      <c r="A615">
        <v>10479</v>
      </c>
      <c r="B615">
        <v>38</v>
      </c>
      <c r="C615" s="2">
        <v>210.8</v>
      </c>
      <c r="D615" s="2">
        <v>30</v>
      </c>
      <c r="E615" s="3">
        <v>0</v>
      </c>
    </row>
    <row r="616" spans="1:5" x14ac:dyDescent="0.2">
      <c r="A616">
        <v>10479</v>
      </c>
      <c r="B616">
        <v>53</v>
      </c>
      <c r="C616" s="2">
        <v>26.2</v>
      </c>
      <c r="D616" s="2">
        <v>28</v>
      </c>
      <c r="E616" s="3">
        <v>0</v>
      </c>
    </row>
    <row r="617" spans="1:5" x14ac:dyDescent="0.2">
      <c r="A617">
        <v>10479</v>
      </c>
      <c r="B617">
        <v>59</v>
      </c>
      <c r="C617" s="2">
        <v>44</v>
      </c>
      <c r="D617" s="2">
        <v>60</v>
      </c>
      <c r="E617" s="3">
        <v>0</v>
      </c>
    </row>
    <row r="618" spans="1:5" x14ac:dyDescent="0.2">
      <c r="A618">
        <v>10479</v>
      </c>
      <c r="B618">
        <v>64</v>
      </c>
      <c r="C618" s="2">
        <v>26.6</v>
      </c>
      <c r="D618" s="2">
        <v>30</v>
      </c>
      <c r="E618" s="3">
        <v>0</v>
      </c>
    </row>
    <row r="619" spans="1:5" x14ac:dyDescent="0.2">
      <c r="A619">
        <v>10480</v>
      </c>
      <c r="B619">
        <v>47</v>
      </c>
      <c r="C619" s="2">
        <v>7.6</v>
      </c>
      <c r="D619" s="2">
        <v>30</v>
      </c>
      <c r="E619" s="3">
        <v>0</v>
      </c>
    </row>
    <row r="620" spans="1:5" x14ac:dyDescent="0.2">
      <c r="A620">
        <v>10480</v>
      </c>
      <c r="B620">
        <v>59</v>
      </c>
      <c r="C620" s="2">
        <v>44</v>
      </c>
      <c r="D620" s="2">
        <v>12</v>
      </c>
      <c r="E620" s="3">
        <v>0</v>
      </c>
    </row>
    <row r="621" spans="1:5" x14ac:dyDescent="0.2">
      <c r="A621">
        <v>10481</v>
      </c>
      <c r="B621">
        <v>49</v>
      </c>
      <c r="C621" s="2">
        <v>16</v>
      </c>
      <c r="D621" s="2">
        <v>24</v>
      </c>
      <c r="E621" s="3">
        <v>0</v>
      </c>
    </row>
    <row r="622" spans="1:5" x14ac:dyDescent="0.2">
      <c r="A622">
        <v>10481</v>
      </c>
      <c r="B622">
        <v>60</v>
      </c>
      <c r="C622" s="2">
        <v>27.2</v>
      </c>
      <c r="D622" s="2">
        <v>40</v>
      </c>
      <c r="E622" s="3">
        <v>0</v>
      </c>
    </row>
    <row r="623" spans="1:5" x14ac:dyDescent="0.2">
      <c r="A623">
        <v>10482</v>
      </c>
      <c r="B623">
        <v>40</v>
      </c>
      <c r="C623" s="2">
        <v>14.7</v>
      </c>
      <c r="D623" s="2">
        <v>10</v>
      </c>
      <c r="E623" s="3">
        <v>0</v>
      </c>
    </row>
    <row r="624" spans="1:5" x14ac:dyDescent="0.2">
      <c r="A624">
        <v>10483</v>
      </c>
      <c r="B624">
        <v>34</v>
      </c>
      <c r="C624" s="2">
        <v>11.2</v>
      </c>
      <c r="D624" s="2">
        <v>35</v>
      </c>
      <c r="E624" s="3">
        <v>0.05</v>
      </c>
    </row>
    <row r="625" spans="1:5" x14ac:dyDescent="0.2">
      <c r="A625">
        <v>10483</v>
      </c>
      <c r="B625">
        <v>77</v>
      </c>
      <c r="C625" s="2">
        <v>10.4</v>
      </c>
      <c r="D625" s="2">
        <v>30</v>
      </c>
      <c r="E625" s="3">
        <v>0.05</v>
      </c>
    </row>
    <row r="626" spans="1:5" x14ac:dyDescent="0.2">
      <c r="A626">
        <v>10484</v>
      </c>
      <c r="B626">
        <v>21</v>
      </c>
      <c r="C626" s="2">
        <v>8</v>
      </c>
      <c r="D626" s="2">
        <v>14</v>
      </c>
      <c r="E626" s="3">
        <v>0</v>
      </c>
    </row>
    <row r="627" spans="1:5" x14ac:dyDescent="0.2">
      <c r="A627">
        <v>10484</v>
      </c>
      <c r="B627">
        <v>40</v>
      </c>
      <c r="C627" s="2">
        <v>14.7</v>
      </c>
      <c r="D627" s="2">
        <v>10</v>
      </c>
      <c r="E627" s="3">
        <v>0</v>
      </c>
    </row>
    <row r="628" spans="1:5" x14ac:dyDescent="0.2">
      <c r="A628">
        <v>10484</v>
      </c>
      <c r="B628">
        <v>51</v>
      </c>
      <c r="C628" s="2">
        <v>42.4</v>
      </c>
      <c r="D628" s="2">
        <v>3</v>
      </c>
      <c r="E628" s="3">
        <v>0</v>
      </c>
    </row>
    <row r="629" spans="1:5" x14ac:dyDescent="0.2">
      <c r="A629">
        <v>10485</v>
      </c>
      <c r="B629">
        <v>2</v>
      </c>
      <c r="C629" s="2">
        <v>15.2</v>
      </c>
      <c r="D629" s="2">
        <v>20</v>
      </c>
      <c r="E629" s="3">
        <v>0.1</v>
      </c>
    </row>
    <row r="630" spans="1:5" x14ac:dyDescent="0.2">
      <c r="A630">
        <v>10485</v>
      </c>
      <c r="B630">
        <v>3</v>
      </c>
      <c r="C630" s="2">
        <v>8</v>
      </c>
      <c r="D630" s="2">
        <v>20</v>
      </c>
      <c r="E630" s="3">
        <v>0.1</v>
      </c>
    </row>
    <row r="631" spans="1:5" x14ac:dyDescent="0.2">
      <c r="A631">
        <v>10485</v>
      </c>
      <c r="B631">
        <v>55</v>
      </c>
      <c r="C631" s="2">
        <v>19.2</v>
      </c>
      <c r="D631" s="2">
        <v>30</v>
      </c>
      <c r="E631" s="3">
        <v>0.1</v>
      </c>
    </row>
    <row r="632" spans="1:5" x14ac:dyDescent="0.2">
      <c r="A632">
        <v>10485</v>
      </c>
      <c r="B632">
        <v>70</v>
      </c>
      <c r="C632" s="2">
        <v>12</v>
      </c>
      <c r="D632" s="2">
        <v>60</v>
      </c>
      <c r="E632" s="3">
        <v>0.1</v>
      </c>
    </row>
    <row r="633" spans="1:5" x14ac:dyDescent="0.2">
      <c r="A633">
        <v>10486</v>
      </c>
      <c r="B633">
        <v>11</v>
      </c>
      <c r="C633" s="2">
        <v>16.8</v>
      </c>
      <c r="D633" s="2">
        <v>5</v>
      </c>
      <c r="E633" s="3">
        <v>0</v>
      </c>
    </row>
    <row r="634" spans="1:5" x14ac:dyDescent="0.2">
      <c r="A634">
        <v>10486</v>
      </c>
      <c r="B634">
        <v>51</v>
      </c>
      <c r="C634" s="2">
        <v>42.4</v>
      </c>
      <c r="D634" s="2">
        <v>25</v>
      </c>
      <c r="E634" s="3">
        <v>0</v>
      </c>
    </row>
    <row r="635" spans="1:5" x14ac:dyDescent="0.2">
      <c r="A635">
        <v>10486</v>
      </c>
      <c r="B635">
        <v>74</v>
      </c>
      <c r="C635" s="2">
        <v>8</v>
      </c>
      <c r="D635" s="2">
        <v>16</v>
      </c>
      <c r="E635" s="3">
        <v>0</v>
      </c>
    </row>
    <row r="636" spans="1:5" x14ac:dyDescent="0.2">
      <c r="A636">
        <v>10487</v>
      </c>
      <c r="B636">
        <v>19</v>
      </c>
      <c r="C636" s="2">
        <v>7.3</v>
      </c>
      <c r="D636" s="2">
        <v>5</v>
      </c>
      <c r="E636" s="3">
        <v>0</v>
      </c>
    </row>
    <row r="637" spans="1:5" x14ac:dyDescent="0.2">
      <c r="A637">
        <v>10487</v>
      </c>
      <c r="B637">
        <v>26</v>
      </c>
      <c r="C637" s="2">
        <v>24.9</v>
      </c>
      <c r="D637" s="2">
        <v>30</v>
      </c>
      <c r="E637" s="3">
        <v>0</v>
      </c>
    </row>
    <row r="638" spans="1:5" x14ac:dyDescent="0.2">
      <c r="A638">
        <v>10487</v>
      </c>
      <c r="B638">
        <v>54</v>
      </c>
      <c r="C638" s="2">
        <v>5.9</v>
      </c>
      <c r="D638" s="2">
        <v>24</v>
      </c>
      <c r="E638" s="3">
        <v>0.25</v>
      </c>
    </row>
    <row r="639" spans="1:5" x14ac:dyDescent="0.2">
      <c r="A639">
        <v>10488</v>
      </c>
      <c r="B639">
        <v>59</v>
      </c>
      <c r="C639" s="2">
        <v>44</v>
      </c>
      <c r="D639" s="2">
        <v>30</v>
      </c>
      <c r="E639" s="3">
        <v>0</v>
      </c>
    </row>
    <row r="640" spans="1:5" x14ac:dyDescent="0.2">
      <c r="A640">
        <v>10488</v>
      </c>
      <c r="B640">
        <v>73</v>
      </c>
      <c r="C640" s="2">
        <v>12</v>
      </c>
      <c r="D640" s="2">
        <v>20</v>
      </c>
      <c r="E640" s="3">
        <v>0.2</v>
      </c>
    </row>
    <row r="641" spans="1:5" x14ac:dyDescent="0.2">
      <c r="A641">
        <v>10489</v>
      </c>
      <c r="B641">
        <v>11</v>
      </c>
      <c r="C641" s="2">
        <v>16.8</v>
      </c>
      <c r="D641" s="2">
        <v>15</v>
      </c>
      <c r="E641" s="3">
        <v>0.25</v>
      </c>
    </row>
    <row r="642" spans="1:5" x14ac:dyDescent="0.2">
      <c r="A642">
        <v>10489</v>
      </c>
      <c r="B642">
        <v>16</v>
      </c>
      <c r="C642" s="2">
        <v>13.9</v>
      </c>
      <c r="D642" s="2">
        <v>18</v>
      </c>
      <c r="E642" s="3">
        <v>0</v>
      </c>
    </row>
    <row r="643" spans="1:5" x14ac:dyDescent="0.2">
      <c r="A643">
        <v>10490</v>
      </c>
      <c r="B643">
        <v>59</v>
      </c>
      <c r="C643" s="2">
        <v>44</v>
      </c>
      <c r="D643" s="2">
        <v>60</v>
      </c>
      <c r="E643" s="3">
        <v>0</v>
      </c>
    </row>
    <row r="644" spans="1:5" x14ac:dyDescent="0.2">
      <c r="A644">
        <v>10490</v>
      </c>
      <c r="B644">
        <v>68</v>
      </c>
      <c r="C644" s="2">
        <v>10</v>
      </c>
      <c r="D644" s="2">
        <v>30</v>
      </c>
      <c r="E644" s="3">
        <v>0</v>
      </c>
    </row>
    <row r="645" spans="1:5" x14ac:dyDescent="0.2">
      <c r="A645">
        <v>10490</v>
      </c>
      <c r="B645">
        <v>75</v>
      </c>
      <c r="C645" s="2">
        <v>6.2</v>
      </c>
      <c r="D645" s="2">
        <v>36</v>
      </c>
      <c r="E645" s="3">
        <v>0</v>
      </c>
    </row>
    <row r="646" spans="1:5" x14ac:dyDescent="0.2">
      <c r="A646">
        <v>10491</v>
      </c>
      <c r="B646">
        <v>44</v>
      </c>
      <c r="C646" s="2">
        <v>15.5</v>
      </c>
      <c r="D646" s="2">
        <v>15</v>
      </c>
      <c r="E646" s="3">
        <v>0.15</v>
      </c>
    </row>
    <row r="647" spans="1:5" x14ac:dyDescent="0.2">
      <c r="A647">
        <v>10491</v>
      </c>
      <c r="B647">
        <v>77</v>
      </c>
      <c r="C647" s="2">
        <v>10.4</v>
      </c>
      <c r="D647" s="2">
        <v>7</v>
      </c>
      <c r="E647" s="3">
        <v>0.15</v>
      </c>
    </row>
    <row r="648" spans="1:5" x14ac:dyDescent="0.2">
      <c r="A648">
        <v>10492</v>
      </c>
      <c r="B648">
        <v>25</v>
      </c>
      <c r="C648" s="2">
        <v>11.2</v>
      </c>
      <c r="D648" s="2">
        <v>60</v>
      </c>
      <c r="E648" s="3">
        <v>0.05</v>
      </c>
    </row>
    <row r="649" spans="1:5" x14ac:dyDescent="0.2">
      <c r="A649">
        <v>10492</v>
      </c>
      <c r="B649">
        <v>42</v>
      </c>
      <c r="C649" s="2">
        <v>11.2</v>
      </c>
      <c r="D649" s="2">
        <v>20</v>
      </c>
      <c r="E649" s="3">
        <v>0.05</v>
      </c>
    </row>
    <row r="650" spans="1:5" x14ac:dyDescent="0.2">
      <c r="A650">
        <v>10493</v>
      </c>
      <c r="B650">
        <v>65</v>
      </c>
      <c r="C650" s="2">
        <v>16.8</v>
      </c>
      <c r="D650" s="2">
        <v>15</v>
      </c>
      <c r="E650" s="3">
        <v>0.1</v>
      </c>
    </row>
    <row r="651" spans="1:5" x14ac:dyDescent="0.2">
      <c r="A651">
        <v>10493</v>
      </c>
      <c r="B651">
        <v>66</v>
      </c>
      <c r="C651" s="2">
        <v>13.6</v>
      </c>
      <c r="D651" s="2">
        <v>10</v>
      </c>
      <c r="E651" s="3">
        <v>0.1</v>
      </c>
    </row>
    <row r="652" spans="1:5" x14ac:dyDescent="0.2">
      <c r="A652">
        <v>10493</v>
      </c>
      <c r="B652">
        <v>69</v>
      </c>
      <c r="C652" s="2">
        <v>28.8</v>
      </c>
      <c r="D652" s="2">
        <v>10</v>
      </c>
      <c r="E652" s="3">
        <v>0.1</v>
      </c>
    </row>
    <row r="653" spans="1:5" x14ac:dyDescent="0.2">
      <c r="A653">
        <v>10494</v>
      </c>
      <c r="B653">
        <v>56</v>
      </c>
      <c r="C653" s="2">
        <v>30.4</v>
      </c>
      <c r="D653" s="2">
        <v>30</v>
      </c>
      <c r="E653" s="3">
        <v>0</v>
      </c>
    </row>
    <row r="654" spans="1:5" x14ac:dyDescent="0.2">
      <c r="A654">
        <v>10495</v>
      </c>
      <c r="B654">
        <v>23</v>
      </c>
      <c r="C654" s="2">
        <v>7.2</v>
      </c>
      <c r="D654" s="2">
        <v>10</v>
      </c>
      <c r="E654" s="3">
        <v>0</v>
      </c>
    </row>
    <row r="655" spans="1:5" x14ac:dyDescent="0.2">
      <c r="A655">
        <v>10495</v>
      </c>
      <c r="B655">
        <v>41</v>
      </c>
      <c r="C655" s="2">
        <v>7.7</v>
      </c>
      <c r="D655" s="2">
        <v>20</v>
      </c>
      <c r="E655" s="3">
        <v>0</v>
      </c>
    </row>
    <row r="656" spans="1:5" x14ac:dyDescent="0.2">
      <c r="A656">
        <v>10495</v>
      </c>
      <c r="B656">
        <v>77</v>
      </c>
      <c r="C656" s="2">
        <v>10.4</v>
      </c>
      <c r="D656" s="2">
        <v>5</v>
      </c>
      <c r="E656" s="3">
        <v>0</v>
      </c>
    </row>
    <row r="657" spans="1:5" x14ac:dyDescent="0.2">
      <c r="A657">
        <v>10496</v>
      </c>
      <c r="B657">
        <v>31</v>
      </c>
      <c r="C657" s="2">
        <v>10</v>
      </c>
      <c r="D657" s="2">
        <v>20</v>
      </c>
      <c r="E657" s="3">
        <v>0.05</v>
      </c>
    </row>
    <row r="658" spans="1:5" x14ac:dyDescent="0.2">
      <c r="A658">
        <v>10497</v>
      </c>
      <c r="B658">
        <v>56</v>
      </c>
      <c r="C658" s="2">
        <v>30.4</v>
      </c>
      <c r="D658" s="2">
        <v>14</v>
      </c>
      <c r="E658" s="3">
        <v>0</v>
      </c>
    </row>
    <row r="659" spans="1:5" x14ac:dyDescent="0.2">
      <c r="A659">
        <v>10497</v>
      </c>
      <c r="B659">
        <v>72</v>
      </c>
      <c r="C659" s="2">
        <v>27.8</v>
      </c>
      <c r="D659" s="2">
        <v>25</v>
      </c>
      <c r="E659" s="3">
        <v>0</v>
      </c>
    </row>
    <row r="660" spans="1:5" x14ac:dyDescent="0.2">
      <c r="A660">
        <v>10497</v>
      </c>
      <c r="B660">
        <v>77</v>
      </c>
      <c r="C660" s="2">
        <v>10.4</v>
      </c>
      <c r="D660" s="2">
        <v>25</v>
      </c>
      <c r="E660" s="3">
        <v>0</v>
      </c>
    </row>
    <row r="661" spans="1:5" x14ac:dyDescent="0.2">
      <c r="A661">
        <v>10498</v>
      </c>
      <c r="B661">
        <v>24</v>
      </c>
      <c r="C661" s="2">
        <v>4.5</v>
      </c>
      <c r="D661" s="2">
        <v>14</v>
      </c>
      <c r="E661" s="3">
        <v>0</v>
      </c>
    </row>
    <row r="662" spans="1:5" x14ac:dyDescent="0.2">
      <c r="A662">
        <v>10498</v>
      </c>
      <c r="B662">
        <v>40</v>
      </c>
      <c r="C662" s="2">
        <v>18.399999999999999</v>
      </c>
      <c r="D662" s="2">
        <v>5</v>
      </c>
      <c r="E662" s="3">
        <v>0</v>
      </c>
    </row>
    <row r="663" spans="1:5" x14ac:dyDescent="0.2">
      <c r="A663">
        <v>10498</v>
      </c>
      <c r="B663">
        <v>42</v>
      </c>
      <c r="C663" s="2">
        <v>14</v>
      </c>
      <c r="D663" s="2">
        <v>30</v>
      </c>
      <c r="E663" s="3">
        <v>0</v>
      </c>
    </row>
    <row r="664" spans="1:5" x14ac:dyDescent="0.2">
      <c r="A664">
        <v>10499</v>
      </c>
      <c r="B664">
        <v>28</v>
      </c>
      <c r="C664" s="2">
        <v>45.6</v>
      </c>
      <c r="D664" s="2">
        <v>20</v>
      </c>
      <c r="E664" s="3">
        <v>0</v>
      </c>
    </row>
    <row r="665" spans="1:5" x14ac:dyDescent="0.2">
      <c r="A665">
        <v>10499</v>
      </c>
      <c r="B665">
        <v>49</v>
      </c>
      <c r="C665" s="2">
        <v>20</v>
      </c>
      <c r="D665" s="2">
        <v>25</v>
      </c>
      <c r="E665" s="3">
        <v>0</v>
      </c>
    </row>
    <row r="666" spans="1:5" x14ac:dyDescent="0.2">
      <c r="A666">
        <v>10500</v>
      </c>
      <c r="B666">
        <v>15</v>
      </c>
      <c r="C666" s="2">
        <v>15.5</v>
      </c>
      <c r="D666" s="2">
        <v>12</v>
      </c>
      <c r="E666" s="3">
        <v>0.05</v>
      </c>
    </row>
    <row r="667" spans="1:5" x14ac:dyDescent="0.2">
      <c r="A667">
        <v>10500</v>
      </c>
      <c r="B667">
        <v>28</v>
      </c>
      <c r="C667" s="2">
        <v>45.6</v>
      </c>
      <c r="D667" s="2">
        <v>8</v>
      </c>
      <c r="E667" s="3">
        <v>0.05</v>
      </c>
    </row>
    <row r="668" spans="1:5" x14ac:dyDescent="0.2">
      <c r="A668">
        <v>10501</v>
      </c>
      <c r="B668">
        <v>54</v>
      </c>
      <c r="C668" s="2">
        <v>7.45</v>
      </c>
      <c r="D668" s="2">
        <v>20</v>
      </c>
      <c r="E668" s="3">
        <v>0</v>
      </c>
    </row>
    <row r="669" spans="1:5" x14ac:dyDescent="0.2">
      <c r="A669">
        <v>10502</v>
      </c>
      <c r="B669">
        <v>45</v>
      </c>
      <c r="C669" s="2">
        <v>9.5</v>
      </c>
      <c r="D669" s="2">
        <v>21</v>
      </c>
      <c r="E669" s="3">
        <v>0</v>
      </c>
    </row>
    <row r="670" spans="1:5" x14ac:dyDescent="0.2">
      <c r="A670">
        <v>10502</v>
      </c>
      <c r="B670">
        <v>53</v>
      </c>
      <c r="C670" s="2">
        <v>32.799999999999997</v>
      </c>
      <c r="D670" s="2">
        <v>6</v>
      </c>
      <c r="E670" s="3">
        <v>0</v>
      </c>
    </row>
    <row r="671" spans="1:5" x14ac:dyDescent="0.2">
      <c r="A671">
        <v>10502</v>
      </c>
      <c r="B671">
        <v>67</v>
      </c>
      <c r="C671" s="2">
        <v>14</v>
      </c>
      <c r="D671" s="2">
        <v>30</v>
      </c>
      <c r="E671" s="3">
        <v>0</v>
      </c>
    </row>
    <row r="672" spans="1:5" x14ac:dyDescent="0.2">
      <c r="A672">
        <v>10503</v>
      </c>
      <c r="B672">
        <v>14</v>
      </c>
      <c r="C672" s="2">
        <v>23.25</v>
      </c>
      <c r="D672" s="2">
        <v>70</v>
      </c>
      <c r="E672" s="3">
        <v>0</v>
      </c>
    </row>
    <row r="673" spans="1:5" x14ac:dyDescent="0.2">
      <c r="A673">
        <v>10503</v>
      </c>
      <c r="B673">
        <v>65</v>
      </c>
      <c r="C673" s="2">
        <v>21.05</v>
      </c>
      <c r="D673" s="2">
        <v>20</v>
      </c>
      <c r="E673" s="3">
        <v>0</v>
      </c>
    </row>
    <row r="674" spans="1:5" x14ac:dyDescent="0.2">
      <c r="A674">
        <v>10504</v>
      </c>
      <c r="B674">
        <v>2</v>
      </c>
      <c r="C674" s="2">
        <v>19</v>
      </c>
      <c r="D674" s="2">
        <v>12</v>
      </c>
      <c r="E674" s="3">
        <v>0</v>
      </c>
    </row>
    <row r="675" spans="1:5" x14ac:dyDescent="0.2">
      <c r="A675">
        <v>10504</v>
      </c>
      <c r="B675">
        <v>21</v>
      </c>
      <c r="C675" s="2">
        <v>10</v>
      </c>
      <c r="D675" s="2">
        <v>12</v>
      </c>
      <c r="E675" s="3">
        <v>0</v>
      </c>
    </row>
    <row r="676" spans="1:5" x14ac:dyDescent="0.2">
      <c r="A676">
        <v>10504</v>
      </c>
      <c r="B676">
        <v>53</v>
      </c>
      <c r="C676" s="2">
        <v>32.799999999999997</v>
      </c>
      <c r="D676" s="2">
        <v>10</v>
      </c>
      <c r="E676" s="3">
        <v>0</v>
      </c>
    </row>
    <row r="677" spans="1:5" x14ac:dyDescent="0.2">
      <c r="A677">
        <v>10504</v>
      </c>
      <c r="B677">
        <v>61</v>
      </c>
      <c r="C677" s="2">
        <v>28.5</v>
      </c>
      <c r="D677" s="2">
        <v>25</v>
      </c>
      <c r="E677" s="3">
        <v>0</v>
      </c>
    </row>
    <row r="678" spans="1:5" x14ac:dyDescent="0.2">
      <c r="A678">
        <v>10505</v>
      </c>
      <c r="B678">
        <v>62</v>
      </c>
      <c r="C678" s="2">
        <v>49.3</v>
      </c>
      <c r="D678" s="2">
        <v>3</v>
      </c>
      <c r="E678" s="3">
        <v>0</v>
      </c>
    </row>
    <row r="679" spans="1:5" x14ac:dyDescent="0.2">
      <c r="A679">
        <v>10506</v>
      </c>
      <c r="B679">
        <v>25</v>
      </c>
      <c r="C679" s="2">
        <v>14</v>
      </c>
      <c r="D679" s="2">
        <v>18</v>
      </c>
      <c r="E679" s="3">
        <v>0.1</v>
      </c>
    </row>
    <row r="680" spans="1:5" x14ac:dyDescent="0.2">
      <c r="A680">
        <v>10506</v>
      </c>
      <c r="B680">
        <v>70</v>
      </c>
      <c r="C680" s="2">
        <v>15</v>
      </c>
      <c r="D680" s="2">
        <v>14</v>
      </c>
      <c r="E680" s="3">
        <v>0.1</v>
      </c>
    </row>
    <row r="681" spans="1:5" x14ac:dyDescent="0.2">
      <c r="A681">
        <v>10507</v>
      </c>
      <c r="B681">
        <v>43</v>
      </c>
      <c r="C681" s="2">
        <v>46</v>
      </c>
      <c r="D681" s="2">
        <v>15</v>
      </c>
      <c r="E681" s="3">
        <v>0.15</v>
      </c>
    </row>
    <row r="682" spans="1:5" x14ac:dyDescent="0.2">
      <c r="A682">
        <v>10507</v>
      </c>
      <c r="B682">
        <v>48</v>
      </c>
      <c r="C682" s="2">
        <v>12.75</v>
      </c>
      <c r="D682" s="2">
        <v>15</v>
      </c>
      <c r="E682" s="3">
        <v>0.15</v>
      </c>
    </row>
    <row r="683" spans="1:5" x14ac:dyDescent="0.2">
      <c r="A683">
        <v>10508</v>
      </c>
      <c r="B683">
        <v>13</v>
      </c>
      <c r="C683" s="2">
        <v>6</v>
      </c>
      <c r="D683" s="2">
        <v>10</v>
      </c>
      <c r="E683" s="3">
        <v>0</v>
      </c>
    </row>
    <row r="684" spans="1:5" x14ac:dyDescent="0.2">
      <c r="A684">
        <v>10508</v>
      </c>
      <c r="B684">
        <v>39</v>
      </c>
      <c r="C684" s="2">
        <v>18</v>
      </c>
      <c r="D684" s="2">
        <v>10</v>
      </c>
      <c r="E684" s="3">
        <v>0</v>
      </c>
    </row>
    <row r="685" spans="1:5" x14ac:dyDescent="0.2">
      <c r="A685">
        <v>10509</v>
      </c>
      <c r="B685">
        <v>28</v>
      </c>
      <c r="C685" s="2">
        <v>45.6</v>
      </c>
      <c r="D685" s="2">
        <v>3</v>
      </c>
      <c r="E685" s="3">
        <v>0</v>
      </c>
    </row>
    <row r="686" spans="1:5" x14ac:dyDescent="0.2">
      <c r="A686">
        <v>10510</v>
      </c>
      <c r="B686">
        <v>29</v>
      </c>
      <c r="C686" s="2">
        <v>123.79</v>
      </c>
      <c r="D686" s="2">
        <v>36</v>
      </c>
      <c r="E686" s="3">
        <v>0</v>
      </c>
    </row>
    <row r="687" spans="1:5" x14ac:dyDescent="0.2">
      <c r="A687">
        <v>10510</v>
      </c>
      <c r="B687">
        <v>75</v>
      </c>
      <c r="C687" s="2">
        <v>7.75</v>
      </c>
      <c r="D687" s="2">
        <v>36</v>
      </c>
      <c r="E687" s="3">
        <v>0.1</v>
      </c>
    </row>
    <row r="688" spans="1:5" x14ac:dyDescent="0.2">
      <c r="A688">
        <v>10511</v>
      </c>
      <c r="B688">
        <v>4</v>
      </c>
      <c r="C688" s="2">
        <v>22</v>
      </c>
      <c r="D688" s="2">
        <v>50</v>
      </c>
      <c r="E688" s="3">
        <v>0.15</v>
      </c>
    </row>
    <row r="689" spans="1:5" x14ac:dyDescent="0.2">
      <c r="A689">
        <v>10511</v>
      </c>
      <c r="B689">
        <v>7</v>
      </c>
      <c r="C689" s="2">
        <v>30</v>
      </c>
      <c r="D689" s="2">
        <v>50</v>
      </c>
      <c r="E689" s="3">
        <v>0.15</v>
      </c>
    </row>
    <row r="690" spans="1:5" x14ac:dyDescent="0.2">
      <c r="A690">
        <v>10511</v>
      </c>
      <c r="B690">
        <v>8</v>
      </c>
      <c r="C690" s="2">
        <v>40</v>
      </c>
      <c r="D690" s="2">
        <v>10</v>
      </c>
      <c r="E690" s="3">
        <v>0.15</v>
      </c>
    </row>
    <row r="691" spans="1:5" x14ac:dyDescent="0.2">
      <c r="A691">
        <v>10512</v>
      </c>
      <c r="B691">
        <v>24</v>
      </c>
      <c r="C691" s="2">
        <v>4.5</v>
      </c>
      <c r="D691" s="2">
        <v>10</v>
      </c>
      <c r="E691" s="3">
        <v>0.15</v>
      </c>
    </row>
    <row r="692" spans="1:5" x14ac:dyDescent="0.2">
      <c r="A692">
        <v>10512</v>
      </c>
      <c r="B692">
        <v>46</v>
      </c>
      <c r="C692" s="2">
        <v>12</v>
      </c>
      <c r="D692" s="2">
        <v>9</v>
      </c>
      <c r="E692" s="3">
        <v>0.15</v>
      </c>
    </row>
    <row r="693" spans="1:5" x14ac:dyDescent="0.2">
      <c r="A693">
        <v>10512</v>
      </c>
      <c r="B693">
        <v>47</v>
      </c>
      <c r="C693" s="2">
        <v>9.5</v>
      </c>
      <c r="D693" s="2">
        <v>6</v>
      </c>
      <c r="E693" s="3">
        <v>0.15</v>
      </c>
    </row>
    <row r="694" spans="1:5" x14ac:dyDescent="0.2">
      <c r="A694">
        <v>10512</v>
      </c>
      <c r="B694">
        <v>60</v>
      </c>
      <c r="C694" s="2">
        <v>34</v>
      </c>
      <c r="D694" s="2">
        <v>12</v>
      </c>
      <c r="E694" s="3">
        <v>0.15</v>
      </c>
    </row>
    <row r="695" spans="1:5" x14ac:dyDescent="0.2">
      <c r="A695">
        <v>10513</v>
      </c>
      <c r="B695">
        <v>21</v>
      </c>
      <c r="C695" s="2">
        <v>10</v>
      </c>
      <c r="D695" s="2">
        <v>40</v>
      </c>
      <c r="E695" s="3">
        <v>0.2</v>
      </c>
    </row>
    <row r="696" spans="1:5" x14ac:dyDescent="0.2">
      <c r="A696">
        <v>10513</v>
      </c>
      <c r="B696">
        <v>32</v>
      </c>
      <c r="C696" s="2">
        <v>32</v>
      </c>
      <c r="D696" s="2">
        <v>50</v>
      </c>
      <c r="E696" s="3">
        <v>0.2</v>
      </c>
    </row>
    <row r="697" spans="1:5" x14ac:dyDescent="0.2">
      <c r="A697">
        <v>10513</v>
      </c>
      <c r="B697">
        <v>61</v>
      </c>
      <c r="C697" s="2">
        <v>28.5</v>
      </c>
      <c r="D697" s="2">
        <v>15</v>
      </c>
      <c r="E697" s="3">
        <v>0.2</v>
      </c>
    </row>
    <row r="698" spans="1:5" x14ac:dyDescent="0.2">
      <c r="A698">
        <v>10514</v>
      </c>
      <c r="B698">
        <v>20</v>
      </c>
      <c r="C698" s="2">
        <v>81</v>
      </c>
      <c r="D698" s="2">
        <v>39</v>
      </c>
      <c r="E698" s="3">
        <v>0</v>
      </c>
    </row>
    <row r="699" spans="1:5" x14ac:dyDescent="0.2">
      <c r="A699">
        <v>10514</v>
      </c>
      <c r="B699">
        <v>28</v>
      </c>
      <c r="C699" s="2">
        <v>45.6</v>
      </c>
      <c r="D699" s="2">
        <v>35</v>
      </c>
      <c r="E699" s="3">
        <v>0</v>
      </c>
    </row>
    <row r="700" spans="1:5" x14ac:dyDescent="0.2">
      <c r="A700">
        <v>10514</v>
      </c>
      <c r="B700">
        <v>56</v>
      </c>
      <c r="C700" s="2">
        <v>38</v>
      </c>
      <c r="D700" s="2">
        <v>70</v>
      </c>
      <c r="E700" s="3">
        <v>0</v>
      </c>
    </row>
    <row r="701" spans="1:5" x14ac:dyDescent="0.2">
      <c r="A701">
        <v>10514</v>
      </c>
      <c r="B701">
        <v>65</v>
      </c>
      <c r="C701" s="2">
        <v>21.05</v>
      </c>
      <c r="D701" s="2">
        <v>39</v>
      </c>
      <c r="E701" s="3">
        <v>0</v>
      </c>
    </row>
    <row r="702" spans="1:5" x14ac:dyDescent="0.2">
      <c r="A702">
        <v>10514</v>
      </c>
      <c r="B702">
        <v>75</v>
      </c>
      <c r="C702" s="2">
        <v>7.75</v>
      </c>
      <c r="D702" s="2">
        <v>50</v>
      </c>
      <c r="E702" s="3">
        <v>0</v>
      </c>
    </row>
    <row r="703" spans="1:5" x14ac:dyDescent="0.2">
      <c r="A703">
        <v>10515</v>
      </c>
      <c r="B703">
        <v>9</v>
      </c>
      <c r="C703" s="2">
        <v>97</v>
      </c>
      <c r="D703" s="2">
        <v>16</v>
      </c>
      <c r="E703" s="3">
        <v>0.15</v>
      </c>
    </row>
    <row r="704" spans="1:5" x14ac:dyDescent="0.2">
      <c r="A704">
        <v>10515</v>
      </c>
      <c r="B704">
        <v>16</v>
      </c>
      <c r="C704" s="2">
        <v>17.45</v>
      </c>
      <c r="D704" s="2">
        <v>50</v>
      </c>
      <c r="E704" s="3">
        <v>0</v>
      </c>
    </row>
    <row r="705" spans="1:5" x14ac:dyDescent="0.2">
      <c r="A705">
        <v>10515</v>
      </c>
      <c r="B705">
        <v>27</v>
      </c>
      <c r="C705" s="2">
        <v>43.9</v>
      </c>
      <c r="D705" s="2">
        <v>120</v>
      </c>
      <c r="E705" s="3">
        <v>0</v>
      </c>
    </row>
    <row r="706" spans="1:5" x14ac:dyDescent="0.2">
      <c r="A706">
        <v>10515</v>
      </c>
      <c r="B706">
        <v>33</v>
      </c>
      <c r="C706" s="2">
        <v>2.5</v>
      </c>
      <c r="D706" s="2">
        <v>16</v>
      </c>
      <c r="E706" s="3">
        <v>0.15</v>
      </c>
    </row>
    <row r="707" spans="1:5" x14ac:dyDescent="0.2">
      <c r="A707">
        <v>10515</v>
      </c>
      <c r="B707">
        <v>60</v>
      </c>
      <c r="C707" s="2">
        <v>34</v>
      </c>
      <c r="D707" s="2">
        <v>84</v>
      </c>
      <c r="E707" s="3">
        <v>0.15</v>
      </c>
    </row>
    <row r="708" spans="1:5" x14ac:dyDescent="0.2">
      <c r="A708">
        <v>10516</v>
      </c>
      <c r="B708">
        <v>18</v>
      </c>
      <c r="C708" s="2">
        <v>62.5</v>
      </c>
      <c r="D708" s="2">
        <v>25</v>
      </c>
      <c r="E708" s="3">
        <v>0.1</v>
      </c>
    </row>
    <row r="709" spans="1:5" x14ac:dyDescent="0.2">
      <c r="A709">
        <v>10516</v>
      </c>
      <c r="B709">
        <v>41</v>
      </c>
      <c r="C709" s="2">
        <v>9.65</v>
      </c>
      <c r="D709" s="2">
        <v>80</v>
      </c>
      <c r="E709" s="3">
        <v>0.1</v>
      </c>
    </row>
    <row r="710" spans="1:5" x14ac:dyDescent="0.2">
      <c r="A710">
        <v>10516</v>
      </c>
      <c r="B710">
        <v>42</v>
      </c>
      <c r="C710" s="2">
        <v>14</v>
      </c>
      <c r="D710" s="2">
        <v>20</v>
      </c>
      <c r="E710" s="3">
        <v>0</v>
      </c>
    </row>
    <row r="711" spans="1:5" x14ac:dyDescent="0.2">
      <c r="A711">
        <v>10517</v>
      </c>
      <c r="B711">
        <v>52</v>
      </c>
      <c r="C711" s="2">
        <v>7</v>
      </c>
      <c r="D711" s="2">
        <v>6</v>
      </c>
      <c r="E711" s="3">
        <v>0</v>
      </c>
    </row>
    <row r="712" spans="1:5" x14ac:dyDescent="0.2">
      <c r="A712">
        <v>10517</v>
      </c>
      <c r="B712">
        <v>59</v>
      </c>
      <c r="C712" s="2">
        <v>55</v>
      </c>
      <c r="D712" s="2">
        <v>4</v>
      </c>
      <c r="E712" s="3">
        <v>0</v>
      </c>
    </row>
    <row r="713" spans="1:5" x14ac:dyDescent="0.2">
      <c r="A713">
        <v>10517</v>
      </c>
      <c r="B713">
        <v>70</v>
      </c>
      <c r="C713" s="2">
        <v>15</v>
      </c>
      <c r="D713" s="2">
        <v>6</v>
      </c>
      <c r="E713" s="3">
        <v>0</v>
      </c>
    </row>
    <row r="714" spans="1:5" x14ac:dyDescent="0.2">
      <c r="A714">
        <v>10518</v>
      </c>
      <c r="B714">
        <v>24</v>
      </c>
      <c r="C714" s="2">
        <v>4.5</v>
      </c>
      <c r="D714" s="2">
        <v>5</v>
      </c>
      <c r="E714" s="3">
        <v>0</v>
      </c>
    </row>
    <row r="715" spans="1:5" x14ac:dyDescent="0.2">
      <c r="A715">
        <v>10518</v>
      </c>
      <c r="B715">
        <v>38</v>
      </c>
      <c r="C715" s="2">
        <v>263.5</v>
      </c>
      <c r="D715" s="2">
        <v>15</v>
      </c>
      <c r="E715" s="3">
        <v>0</v>
      </c>
    </row>
    <row r="716" spans="1:5" x14ac:dyDescent="0.2">
      <c r="A716">
        <v>10518</v>
      </c>
      <c r="B716">
        <v>44</v>
      </c>
      <c r="C716" s="2">
        <v>19.45</v>
      </c>
      <c r="D716" s="2">
        <v>9</v>
      </c>
      <c r="E716" s="3">
        <v>0</v>
      </c>
    </row>
    <row r="717" spans="1:5" x14ac:dyDescent="0.2">
      <c r="A717">
        <v>10519</v>
      </c>
      <c r="B717">
        <v>10</v>
      </c>
      <c r="C717" s="2">
        <v>31</v>
      </c>
      <c r="D717" s="2">
        <v>16</v>
      </c>
      <c r="E717" s="3">
        <v>0.05</v>
      </c>
    </row>
    <row r="718" spans="1:5" x14ac:dyDescent="0.2">
      <c r="A718">
        <v>10519</v>
      </c>
      <c r="B718">
        <v>56</v>
      </c>
      <c r="C718" s="2">
        <v>38</v>
      </c>
      <c r="D718" s="2">
        <v>40</v>
      </c>
      <c r="E718" s="3">
        <v>0</v>
      </c>
    </row>
    <row r="719" spans="1:5" x14ac:dyDescent="0.2">
      <c r="A719">
        <v>10519</v>
      </c>
      <c r="B719">
        <v>60</v>
      </c>
      <c r="C719" s="2">
        <v>34</v>
      </c>
      <c r="D719" s="2">
        <v>10</v>
      </c>
      <c r="E719" s="3">
        <v>0.05</v>
      </c>
    </row>
    <row r="720" spans="1:5" x14ac:dyDescent="0.2">
      <c r="A720">
        <v>10520</v>
      </c>
      <c r="B720">
        <v>24</v>
      </c>
      <c r="C720" s="2">
        <v>4.5</v>
      </c>
      <c r="D720" s="2">
        <v>8</v>
      </c>
      <c r="E720" s="3">
        <v>0</v>
      </c>
    </row>
    <row r="721" spans="1:5" x14ac:dyDescent="0.2">
      <c r="A721">
        <v>10520</v>
      </c>
      <c r="B721">
        <v>53</v>
      </c>
      <c r="C721" s="2">
        <v>32.799999999999997</v>
      </c>
      <c r="D721" s="2">
        <v>5</v>
      </c>
      <c r="E721" s="3">
        <v>0</v>
      </c>
    </row>
    <row r="722" spans="1:5" x14ac:dyDescent="0.2">
      <c r="A722">
        <v>10521</v>
      </c>
      <c r="B722">
        <v>35</v>
      </c>
      <c r="C722" s="2">
        <v>18</v>
      </c>
      <c r="D722" s="2">
        <v>3</v>
      </c>
      <c r="E722" s="3">
        <v>0</v>
      </c>
    </row>
    <row r="723" spans="1:5" x14ac:dyDescent="0.2">
      <c r="A723">
        <v>10521</v>
      </c>
      <c r="B723">
        <v>41</v>
      </c>
      <c r="C723" s="2">
        <v>9.65</v>
      </c>
      <c r="D723" s="2">
        <v>10</v>
      </c>
      <c r="E723" s="3">
        <v>0</v>
      </c>
    </row>
    <row r="724" spans="1:5" x14ac:dyDescent="0.2">
      <c r="A724">
        <v>10521</v>
      </c>
      <c r="B724">
        <v>68</v>
      </c>
      <c r="C724" s="2">
        <v>12.5</v>
      </c>
      <c r="D724" s="2">
        <v>6</v>
      </c>
      <c r="E724" s="3">
        <v>0</v>
      </c>
    </row>
    <row r="725" spans="1:5" x14ac:dyDescent="0.2">
      <c r="A725">
        <v>10522</v>
      </c>
      <c r="B725">
        <v>1</v>
      </c>
      <c r="C725" s="2">
        <v>18</v>
      </c>
      <c r="D725" s="2">
        <v>40</v>
      </c>
      <c r="E725" s="3">
        <v>0.2</v>
      </c>
    </row>
    <row r="726" spans="1:5" x14ac:dyDescent="0.2">
      <c r="A726">
        <v>10522</v>
      </c>
      <c r="B726">
        <v>8</v>
      </c>
      <c r="C726" s="2">
        <v>40</v>
      </c>
      <c r="D726" s="2">
        <v>24</v>
      </c>
      <c r="E726" s="3">
        <v>0</v>
      </c>
    </row>
    <row r="727" spans="1:5" x14ac:dyDescent="0.2">
      <c r="A727">
        <v>10522</v>
      </c>
      <c r="B727">
        <v>30</v>
      </c>
      <c r="C727" s="2">
        <v>25.89</v>
      </c>
      <c r="D727" s="2">
        <v>20</v>
      </c>
      <c r="E727" s="3">
        <v>0.2</v>
      </c>
    </row>
    <row r="728" spans="1:5" x14ac:dyDescent="0.2">
      <c r="A728">
        <v>10522</v>
      </c>
      <c r="B728">
        <v>40</v>
      </c>
      <c r="C728" s="2">
        <v>18.399999999999999</v>
      </c>
      <c r="D728" s="2">
        <v>25</v>
      </c>
      <c r="E728" s="3">
        <v>0.2</v>
      </c>
    </row>
    <row r="729" spans="1:5" x14ac:dyDescent="0.2">
      <c r="A729">
        <v>10523</v>
      </c>
      <c r="B729">
        <v>17</v>
      </c>
      <c r="C729" s="2">
        <v>39</v>
      </c>
      <c r="D729" s="2">
        <v>25</v>
      </c>
      <c r="E729" s="3">
        <v>0.1</v>
      </c>
    </row>
    <row r="730" spans="1:5" x14ac:dyDescent="0.2">
      <c r="A730">
        <v>10523</v>
      </c>
      <c r="B730">
        <v>20</v>
      </c>
      <c r="C730" s="2">
        <v>81</v>
      </c>
      <c r="D730" s="2">
        <v>15</v>
      </c>
      <c r="E730" s="3">
        <v>0.1</v>
      </c>
    </row>
    <row r="731" spans="1:5" x14ac:dyDescent="0.2">
      <c r="A731">
        <v>10523</v>
      </c>
      <c r="B731">
        <v>37</v>
      </c>
      <c r="C731" s="2">
        <v>26</v>
      </c>
      <c r="D731" s="2">
        <v>18</v>
      </c>
      <c r="E731" s="3">
        <v>0.1</v>
      </c>
    </row>
    <row r="732" spans="1:5" x14ac:dyDescent="0.2">
      <c r="A732">
        <v>10523</v>
      </c>
      <c r="B732">
        <v>41</v>
      </c>
      <c r="C732" s="2">
        <v>9.65</v>
      </c>
      <c r="D732" s="2">
        <v>6</v>
      </c>
      <c r="E732" s="3">
        <v>0.1</v>
      </c>
    </row>
    <row r="733" spans="1:5" x14ac:dyDescent="0.2">
      <c r="A733">
        <v>10524</v>
      </c>
      <c r="B733">
        <v>10</v>
      </c>
      <c r="C733" s="2">
        <v>31</v>
      </c>
      <c r="D733" s="2">
        <v>2</v>
      </c>
      <c r="E733" s="3">
        <v>0</v>
      </c>
    </row>
    <row r="734" spans="1:5" x14ac:dyDescent="0.2">
      <c r="A734">
        <v>10524</v>
      </c>
      <c r="B734">
        <v>30</v>
      </c>
      <c r="C734" s="2">
        <v>25.89</v>
      </c>
      <c r="D734" s="2">
        <v>10</v>
      </c>
      <c r="E734" s="3">
        <v>0</v>
      </c>
    </row>
    <row r="735" spans="1:5" x14ac:dyDescent="0.2">
      <c r="A735">
        <v>10524</v>
      </c>
      <c r="B735">
        <v>43</v>
      </c>
      <c r="C735" s="2">
        <v>46</v>
      </c>
      <c r="D735" s="2">
        <v>60</v>
      </c>
      <c r="E735" s="3">
        <v>0</v>
      </c>
    </row>
    <row r="736" spans="1:5" x14ac:dyDescent="0.2">
      <c r="A736">
        <v>10524</v>
      </c>
      <c r="B736">
        <v>54</v>
      </c>
      <c r="C736" s="2">
        <v>7.45</v>
      </c>
      <c r="D736" s="2">
        <v>15</v>
      </c>
      <c r="E736" s="3">
        <v>0</v>
      </c>
    </row>
    <row r="737" spans="1:5" x14ac:dyDescent="0.2">
      <c r="A737">
        <v>10525</v>
      </c>
      <c r="B737">
        <v>36</v>
      </c>
      <c r="C737" s="2">
        <v>19</v>
      </c>
      <c r="D737" s="2">
        <v>30</v>
      </c>
      <c r="E737" s="3">
        <v>0</v>
      </c>
    </row>
    <row r="738" spans="1:5" x14ac:dyDescent="0.2">
      <c r="A738">
        <v>10525</v>
      </c>
      <c r="B738">
        <v>40</v>
      </c>
      <c r="C738" s="2">
        <v>18.399999999999999</v>
      </c>
      <c r="D738" s="2">
        <v>15</v>
      </c>
      <c r="E738" s="3">
        <v>0.1</v>
      </c>
    </row>
    <row r="739" spans="1:5" x14ac:dyDescent="0.2">
      <c r="A739">
        <v>10526</v>
      </c>
      <c r="B739">
        <v>1</v>
      </c>
      <c r="C739" s="2">
        <v>18</v>
      </c>
      <c r="D739" s="2">
        <v>8</v>
      </c>
      <c r="E739" s="3">
        <v>0.15</v>
      </c>
    </row>
    <row r="740" spans="1:5" x14ac:dyDescent="0.2">
      <c r="A740">
        <v>10526</v>
      </c>
      <c r="B740">
        <v>13</v>
      </c>
      <c r="C740" s="2">
        <v>6</v>
      </c>
      <c r="D740" s="2">
        <v>10</v>
      </c>
      <c r="E740" s="3">
        <v>0</v>
      </c>
    </row>
    <row r="741" spans="1:5" x14ac:dyDescent="0.2">
      <c r="A741">
        <v>10526</v>
      </c>
      <c r="B741">
        <v>56</v>
      </c>
      <c r="C741" s="2">
        <v>38</v>
      </c>
      <c r="D741" s="2">
        <v>30</v>
      </c>
      <c r="E741" s="3">
        <v>0.15</v>
      </c>
    </row>
    <row r="742" spans="1:5" x14ac:dyDescent="0.2">
      <c r="A742">
        <v>10527</v>
      </c>
      <c r="B742">
        <v>4</v>
      </c>
      <c r="C742" s="2">
        <v>22</v>
      </c>
      <c r="D742" s="2">
        <v>50</v>
      </c>
      <c r="E742" s="3">
        <v>0.1</v>
      </c>
    </row>
    <row r="743" spans="1:5" x14ac:dyDescent="0.2">
      <c r="A743">
        <v>10527</v>
      </c>
      <c r="B743">
        <v>36</v>
      </c>
      <c r="C743" s="2">
        <v>19</v>
      </c>
      <c r="D743" s="2">
        <v>30</v>
      </c>
      <c r="E743" s="3">
        <v>0.1</v>
      </c>
    </row>
    <row r="744" spans="1:5" x14ac:dyDescent="0.2">
      <c r="A744">
        <v>10528</v>
      </c>
      <c r="B744">
        <v>11</v>
      </c>
      <c r="C744" s="2">
        <v>21</v>
      </c>
      <c r="D744" s="2">
        <v>3</v>
      </c>
      <c r="E744" s="3">
        <v>0</v>
      </c>
    </row>
    <row r="745" spans="1:5" x14ac:dyDescent="0.2">
      <c r="A745">
        <v>10528</v>
      </c>
      <c r="B745">
        <v>33</v>
      </c>
      <c r="C745" s="2">
        <v>2.5</v>
      </c>
      <c r="D745" s="2">
        <v>8</v>
      </c>
      <c r="E745" s="3">
        <v>0.2</v>
      </c>
    </row>
    <row r="746" spans="1:5" x14ac:dyDescent="0.2">
      <c r="A746">
        <v>10528</v>
      </c>
      <c r="B746">
        <v>72</v>
      </c>
      <c r="C746" s="2">
        <v>34.799999999999997</v>
      </c>
      <c r="D746" s="2">
        <v>9</v>
      </c>
      <c r="E746" s="3">
        <v>0</v>
      </c>
    </row>
    <row r="747" spans="1:5" x14ac:dyDescent="0.2">
      <c r="A747">
        <v>10529</v>
      </c>
      <c r="B747">
        <v>55</v>
      </c>
      <c r="C747" s="2">
        <v>24</v>
      </c>
      <c r="D747" s="2">
        <v>14</v>
      </c>
      <c r="E747" s="3">
        <v>0</v>
      </c>
    </row>
    <row r="748" spans="1:5" x14ac:dyDescent="0.2">
      <c r="A748">
        <v>10529</v>
      </c>
      <c r="B748">
        <v>68</v>
      </c>
      <c r="C748" s="2">
        <v>12.5</v>
      </c>
      <c r="D748" s="2">
        <v>20</v>
      </c>
      <c r="E748" s="3">
        <v>0</v>
      </c>
    </row>
    <row r="749" spans="1:5" x14ac:dyDescent="0.2">
      <c r="A749">
        <v>10529</v>
      </c>
      <c r="B749">
        <v>69</v>
      </c>
      <c r="C749" s="2">
        <v>36</v>
      </c>
      <c r="D749" s="2">
        <v>10</v>
      </c>
      <c r="E749" s="3">
        <v>0</v>
      </c>
    </row>
    <row r="750" spans="1:5" x14ac:dyDescent="0.2">
      <c r="A750">
        <v>10530</v>
      </c>
      <c r="B750">
        <v>17</v>
      </c>
      <c r="C750" s="2">
        <v>39</v>
      </c>
      <c r="D750" s="2">
        <v>40</v>
      </c>
      <c r="E750" s="3">
        <v>0</v>
      </c>
    </row>
    <row r="751" spans="1:5" x14ac:dyDescent="0.2">
      <c r="A751">
        <v>10530</v>
      </c>
      <c r="B751">
        <v>43</v>
      </c>
      <c r="C751" s="2">
        <v>46</v>
      </c>
      <c r="D751" s="2">
        <v>25</v>
      </c>
      <c r="E751" s="3">
        <v>0</v>
      </c>
    </row>
    <row r="752" spans="1:5" x14ac:dyDescent="0.2">
      <c r="A752">
        <v>10530</v>
      </c>
      <c r="B752">
        <v>61</v>
      </c>
      <c r="C752" s="2">
        <v>28.5</v>
      </c>
      <c r="D752" s="2">
        <v>20</v>
      </c>
      <c r="E752" s="3">
        <v>0</v>
      </c>
    </row>
    <row r="753" spans="1:5" x14ac:dyDescent="0.2">
      <c r="A753">
        <v>10530</v>
      </c>
      <c r="B753">
        <v>76</v>
      </c>
      <c r="C753" s="2">
        <v>18</v>
      </c>
      <c r="D753" s="2">
        <v>50</v>
      </c>
      <c r="E753" s="3">
        <v>0</v>
      </c>
    </row>
    <row r="754" spans="1:5" x14ac:dyDescent="0.2">
      <c r="A754">
        <v>10531</v>
      </c>
      <c r="B754">
        <v>59</v>
      </c>
      <c r="C754" s="2">
        <v>55</v>
      </c>
      <c r="D754" s="2">
        <v>2</v>
      </c>
      <c r="E754" s="3">
        <v>0</v>
      </c>
    </row>
    <row r="755" spans="1:5" x14ac:dyDescent="0.2">
      <c r="A755">
        <v>10532</v>
      </c>
      <c r="B755">
        <v>30</v>
      </c>
      <c r="C755" s="2">
        <v>25.89</v>
      </c>
      <c r="D755" s="2">
        <v>15</v>
      </c>
      <c r="E755" s="3">
        <v>0</v>
      </c>
    </row>
    <row r="756" spans="1:5" x14ac:dyDescent="0.2">
      <c r="A756">
        <v>10532</v>
      </c>
      <c r="B756">
        <v>66</v>
      </c>
      <c r="C756" s="2">
        <v>17</v>
      </c>
      <c r="D756" s="2">
        <v>24</v>
      </c>
      <c r="E756" s="3">
        <v>0</v>
      </c>
    </row>
    <row r="757" spans="1:5" x14ac:dyDescent="0.2">
      <c r="A757">
        <v>10533</v>
      </c>
      <c r="B757">
        <v>4</v>
      </c>
      <c r="C757" s="2">
        <v>22</v>
      </c>
      <c r="D757" s="2">
        <v>50</v>
      </c>
      <c r="E757" s="3">
        <v>0.05</v>
      </c>
    </row>
    <row r="758" spans="1:5" x14ac:dyDescent="0.2">
      <c r="A758">
        <v>10533</v>
      </c>
      <c r="B758">
        <v>72</v>
      </c>
      <c r="C758" s="2">
        <v>34.799999999999997</v>
      </c>
      <c r="D758" s="2">
        <v>24</v>
      </c>
      <c r="E758" s="3">
        <v>0</v>
      </c>
    </row>
    <row r="759" spans="1:5" x14ac:dyDescent="0.2">
      <c r="A759">
        <v>10533</v>
      </c>
      <c r="B759">
        <v>73</v>
      </c>
      <c r="C759" s="2">
        <v>15</v>
      </c>
      <c r="D759" s="2">
        <v>24</v>
      </c>
      <c r="E759" s="3">
        <v>0.05</v>
      </c>
    </row>
    <row r="760" spans="1:5" x14ac:dyDescent="0.2">
      <c r="A760">
        <v>10534</v>
      </c>
      <c r="B760">
        <v>30</v>
      </c>
      <c r="C760" s="2">
        <v>25.89</v>
      </c>
      <c r="D760" s="2">
        <v>10</v>
      </c>
      <c r="E760" s="3">
        <v>0</v>
      </c>
    </row>
    <row r="761" spans="1:5" x14ac:dyDescent="0.2">
      <c r="A761">
        <v>10534</v>
      </c>
      <c r="B761">
        <v>40</v>
      </c>
      <c r="C761" s="2">
        <v>18.399999999999999</v>
      </c>
      <c r="D761" s="2">
        <v>10</v>
      </c>
      <c r="E761" s="3">
        <v>0.2</v>
      </c>
    </row>
    <row r="762" spans="1:5" x14ac:dyDescent="0.2">
      <c r="A762">
        <v>10534</v>
      </c>
      <c r="B762">
        <v>54</v>
      </c>
      <c r="C762" s="2">
        <v>7.45</v>
      </c>
      <c r="D762" s="2">
        <v>10</v>
      </c>
      <c r="E762" s="3">
        <v>0.2</v>
      </c>
    </row>
    <row r="763" spans="1:5" x14ac:dyDescent="0.2">
      <c r="A763">
        <v>10535</v>
      </c>
      <c r="B763">
        <v>11</v>
      </c>
      <c r="C763" s="2">
        <v>21</v>
      </c>
      <c r="D763" s="2">
        <v>50</v>
      </c>
      <c r="E763" s="3">
        <v>0.1</v>
      </c>
    </row>
    <row r="764" spans="1:5" x14ac:dyDescent="0.2">
      <c r="A764">
        <v>10535</v>
      </c>
      <c r="B764">
        <v>40</v>
      </c>
      <c r="C764" s="2">
        <v>18.399999999999999</v>
      </c>
      <c r="D764" s="2">
        <v>10</v>
      </c>
      <c r="E764" s="3">
        <v>0.1</v>
      </c>
    </row>
    <row r="765" spans="1:5" x14ac:dyDescent="0.2">
      <c r="A765">
        <v>10535</v>
      </c>
      <c r="B765">
        <v>57</v>
      </c>
      <c r="C765" s="2">
        <v>19.5</v>
      </c>
      <c r="D765" s="2">
        <v>5</v>
      </c>
      <c r="E765" s="3">
        <v>0.1</v>
      </c>
    </row>
    <row r="766" spans="1:5" x14ac:dyDescent="0.2">
      <c r="A766">
        <v>10535</v>
      </c>
      <c r="B766">
        <v>59</v>
      </c>
      <c r="C766" s="2">
        <v>55</v>
      </c>
      <c r="D766" s="2">
        <v>15</v>
      </c>
      <c r="E766" s="3">
        <v>0.1</v>
      </c>
    </row>
    <row r="767" spans="1:5" x14ac:dyDescent="0.2">
      <c r="A767">
        <v>10536</v>
      </c>
      <c r="B767">
        <v>12</v>
      </c>
      <c r="C767" s="2">
        <v>38</v>
      </c>
      <c r="D767" s="2">
        <v>15</v>
      </c>
      <c r="E767" s="3">
        <v>0.25</v>
      </c>
    </row>
    <row r="768" spans="1:5" x14ac:dyDescent="0.2">
      <c r="A768">
        <v>10536</v>
      </c>
      <c r="B768">
        <v>31</v>
      </c>
      <c r="C768" s="2">
        <v>12.5</v>
      </c>
      <c r="D768" s="2">
        <v>20</v>
      </c>
      <c r="E768" s="3">
        <v>0</v>
      </c>
    </row>
    <row r="769" spans="1:5" x14ac:dyDescent="0.2">
      <c r="A769">
        <v>10536</v>
      </c>
      <c r="B769">
        <v>33</v>
      </c>
      <c r="C769" s="2">
        <v>2.5</v>
      </c>
      <c r="D769" s="2">
        <v>30</v>
      </c>
      <c r="E769" s="3">
        <v>0</v>
      </c>
    </row>
    <row r="770" spans="1:5" x14ac:dyDescent="0.2">
      <c r="A770">
        <v>10536</v>
      </c>
      <c r="B770">
        <v>60</v>
      </c>
      <c r="C770" s="2">
        <v>34</v>
      </c>
      <c r="D770" s="2">
        <v>35</v>
      </c>
      <c r="E770" s="3">
        <v>0.25</v>
      </c>
    </row>
    <row r="771" spans="1:5" x14ac:dyDescent="0.2">
      <c r="A771">
        <v>10537</v>
      </c>
      <c r="B771">
        <v>31</v>
      </c>
      <c r="C771" s="2">
        <v>12.5</v>
      </c>
      <c r="D771" s="2">
        <v>30</v>
      </c>
      <c r="E771" s="3">
        <v>0</v>
      </c>
    </row>
    <row r="772" spans="1:5" x14ac:dyDescent="0.2">
      <c r="A772">
        <v>10537</v>
      </c>
      <c r="B772">
        <v>51</v>
      </c>
      <c r="C772" s="2">
        <v>53</v>
      </c>
      <c r="D772" s="2">
        <v>6</v>
      </c>
      <c r="E772" s="3">
        <v>0</v>
      </c>
    </row>
    <row r="773" spans="1:5" x14ac:dyDescent="0.2">
      <c r="A773">
        <v>10537</v>
      </c>
      <c r="B773">
        <v>58</v>
      </c>
      <c r="C773" s="2">
        <v>13.25</v>
      </c>
      <c r="D773" s="2">
        <v>20</v>
      </c>
      <c r="E773" s="3">
        <v>0</v>
      </c>
    </row>
    <row r="774" spans="1:5" x14ac:dyDescent="0.2">
      <c r="A774">
        <v>10537</v>
      </c>
      <c r="B774">
        <v>72</v>
      </c>
      <c r="C774" s="2">
        <v>34.799999999999997</v>
      </c>
      <c r="D774" s="2">
        <v>21</v>
      </c>
      <c r="E774" s="3">
        <v>0</v>
      </c>
    </row>
    <row r="775" spans="1:5" x14ac:dyDescent="0.2">
      <c r="A775">
        <v>10537</v>
      </c>
      <c r="B775">
        <v>73</v>
      </c>
      <c r="C775" s="2">
        <v>15</v>
      </c>
      <c r="D775" s="2">
        <v>9</v>
      </c>
      <c r="E775" s="3">
        <v>0</v>
      </c>
    </row>
    <row r="776" spans="1:5" x14ac:dyDescent="0.2">
      <c r="A776">
        <v>10538</v>
      </c>
      <c r="B776">
        <v>70</v>
      </c>
      <c r="C776" s="2">
        <v>15</v>
      </c>
      <c r="D776" s="2">
        <v>7</v>
      </c>
      <c r="E776" s="3">
        <v>0</v>
      </c>
    </row>
    <row r="777" spans="1:5" x14ac:dyDescent="0.2">
      <c r="A777">
        <v>10538</v>
      </c>
      <c r="B777">
        <v>72</v>
      </c>
      <c r="C777" s="2">
        <v>34.799999999999997</v>
      </c>
      <c r="D777" s="2">
        <v>1</v>
      </c>
      <c r="E777" s="3">
        <v>0</v>
      </c>
    </row>
    <row r="778" spans="1:5" x14ac:dyDescent="0.2">
      <c r="A778">
        <v>10539</v>
      </c>
      <c r="B778">
        <v>13</v>
      </c>
      <c r="C778" s="2">
        <v>6</v>
      </c>
      <c r="D778" s="2">
        <v>8</v>
      </c>
      <c r="E778" s="3">
        <v>0</v>
      </c>
    </row>
    <row r="779" spans="1:5" x14ac:dyDescent="0.2">
      <c r="A779">
        <v>10539</v>
      </c>
      <c r="B779">
        <v>21</v>
      </c>
      <c r="C779" s="2">
        <v>10</v>
      </c>
      <c r="D779" s="2">
        <v>15</v>
      </c>
      <c r="E779" s="3">
        <v>0</v>
      </c>
    </row>
    <row r="780" spans="1:5" x14ac:dyDescent="0.2">
      <c r="A780">
        <v>10539</v>
      </c>
      <c r="B780">
        <v>33</v>
      </c>
      <c r="C780" s="2">
        <v>2.5</v>
      </c>
      <c r="D780" s="2">
        <v>15</v>
      </c>
      <c r="E780" s="3">
        <v>0</v>
      </c>
    </row>
    <row r="781" spans="1:5" x14ac:dyDescent="0.2">
      <c r="A781">
        <v>10539</v>
      </c>
      <c r="B781">
        <v>49</v>
      </c>
      <c r="C781" s="2">
        <v>20</v>
      </c>
      <c r="D781" s="2">
        <v>6</v>
      </c>
      <c r="E781" s="3">
        <v>0</v>
      </c>
    </row>
    <row r="782" spans="1:5" x14ac:dyDescent="0.2">
      <c r="A782">
        <v>10540</v>
      </c>
      <c r="B782">
        <v>3</v>
      </c>
      <c r="C782" s="2">
        <v>10</v>
      </c>
      <c r="D782" s="2">
        <v>60</v>
      </c>
      <c r="E782" s="3">
        <v>0</v>
      </c>
    </row>
    <row r="783" spans="1:5" x14ac:dyDescent="0.2">
      <c r="A783">
        <v>10540</v>
      </c>
      <c r="B783">
        <v>26</v>
      </c>
      <c r="C783" s="2">
        <v>31.23</v>
      </c>
      <c r="D783" s="2">
        <v>40</v>
      </c>
      <c r="E783" s="3">
        <v>0</v>
      </c>
    </row>
    <row r="784" spans="1:5" x14ac:dyDescent="0.2">
      <c r="A784">
        <v>10540</v>
      </c>
      <c r="B784">
        <v>38</v>
      </c>
      <c r="C784" s="2">
        <v>263.5</v>
      </c>
      <c r="D784" s="2">
        <v>30</v>
      </c>
      <c r="E784" s="3">
        <v>0</v>
      </c>
    </row>
    <row r="785" spans="1:5" x14ac:dyDescent="0.2">
      <c r="A785">
        <v>10540</v>
      </c>
      <c r="B785">
        <v>68</v>
      </c>
      <c r="C785" s="2">
        <v>12.5</v>
      </c>
      <c r="D785" s="2">
        <v>35</v>
      </c>
      <c r="E785" s="3">
        <v>0</v>
      </c>
    </row>
    <row r="786" spans="1:5" x14ac:dyDescent="0.2">
      <c r="A786">
        <v>10541</v>
      </c>
      <c r="B786">
        <v>24</v>
      </c>
      <c r="C786" s="2">
        <v>4.5</v>
      </c>
      <c r="D786" s="2">
        <v>35</v>
      </c>
      <c r="E786" s="3">
        <v>0.1</v>
      </c>
    </row>
    <row r="787" spans="1:5" x14ac:dyDescent="0.2">
      <c r="A787">
        <v>10541</v>
      </c>
      <c r="B787">
        <v>38</v>
      </c>
      <c r="C787" s="2">
        <v>263.5</v>
      </c>
      <c r="D787" s="2">
        <v>4</v>
      </c>
      <c r="E787" s="3">
        <v>0.1</v>
      </c>
    </row>
    <row r="788" spans="1:5" x14ac:dyDescent="0.2">
      <c r="A788">
        <v>10541</v>
      </c>
      <c r="B788">
        <v>65</v>
      </c>
      <c r="C788" s="2">
        <v>21.05</v>
      </c>
      <c r="D788" s="2">
        <v>36</v>
      </c>
      <c r="E788" s="3">
        <v>0.1</v>
      </c>
    </row>
    <row r="789" spans="1:5" x14ac:dyDescent="0.2">
      <c r="A789">
        <v>10541</v>
      </c>
      <c r="B789">
        <v>71</v>
      </c>
      <c r="C789" s="2">
        <v>21.5</v>
      </c>
      <c r="D789" s="2">
        <v>9</v>
      </c>
      <c r="E789" s="3">
        <v>0.1</v>
      </c>
    </row>
    <row r="790" spans="1:5" x14ac:dyDescent="0.2">
      <c r="A790">
        <v>10542</v>
      </c>
      <c r="B790">
        <v>11</v>
      </c>
      <c r="C790" s="2">
        <v>21</v>
      </c>
      <c r="D790" s="2">
        <v>15</v>
      </c>
      <c r="E790" s="3">
        <v>0.05</v>
      </c>
    </row>
    <row r="791" spans="1:5" x14ac:dyDescent="0.2">
      <c r="A791">
        <v>10542</v>
      </c>
      <c r="B791">
        <v>54</v>
      </c>
      <c r="C791" s="2">
        <v>7.45</v>
      </c>
      <c r="D791" s="2">
        <v>24</v>
      </c>
      <c r="E791" s="3">
        <v>0.05</v>
      </c>
    </row>
    <row r="792" spans="1:5" x14ac:dyDescent="0.2">
      <c r="A792">
        <v>10543</v>
      </c>
      <c r="B792">
        <v>12</v>
      </c>
      <c r="C792" s="2">
        <v>38</v>
      </c>
      <c r="D792" s="2">
        <v>30</v>
      </c>
      <c r="E792" s="3">
        <v>0.15</v>
      </c>
    </row>
    <row r="793" spans="1:5" x14ac:dyDescent="0.2">
      <c r="A793">
        <v>10543</v>
      </c>
      <c r="B793">
        <v>23</v>
      </c>
      <c r="C793" s="2">
        <v>9</v>
      </c>
      <c r="D793" s="2">
        <v>70</v>
      </c>
      <c r="E793" s="3">
        <v>0.15</v>
      </c>
    </row>
    <row r="794" spans="1:5" x14ac:dyDescent="0.2">
      <c r="A794">
        <v>10544</v>
      </c>
      <c r="B794">
        <v>28</v>
      </c>
      <c r="C794" s="2">
        <v>45.6</v>
      </c>
      <c r="D794" s="2">
        <v>7</v>
      </c>
      <c r="E794" s="3">
        <v>0</v>
      </c>
    </row>
    <row r="795" spans="1:5" x14ac:dyDescent="0.2">
      <c r="A795">
        <v>10544</v>
      </c>
      <c r="B795">
        <v>67</v>
      </c>
      <c r="C795" s="2">
        <v>14</v>
      </c>
      <c r="D795" s="2">
        <v>7</v>
      </c>
      <c r="E795" s="3">
        <v>0</v>
      </c>
    </row>
    <row r="796" spans="1:5" x14ac:dyDescent="0.2">
      <c r="A796">
        <v>10545</v>
      </c>
      <c r="B796">
        <v>11</v>
      </c>
      <c r="C796" s="2">
        <v>21</v>
      </c>
      <c r="D796" s="2">
        <v>10</v>
      </c>
      <c r="E796" s="3">
        <v>0</v>
      </c>
    </row>
    <row r="797" spans="1:5" x14ac:dyDescent="0.2">
      <c r="A797">
        <v>10546</v>
      </c>
      <c r="B797">
        <v>7</v>
      </c>
      <c r="C797" s="2">
        <v>30</v>
      </c>
      <c r="D797" s="2">
        <v>10</v>
      </c>
      <c r="E797" s="3">
        <v>0</v>
      </c>
    </row>
    <row r="798" spans="1:5" x14ac:dyDescent="0.2">
      <c r="A798">
        <v>10546</v>
      </c>
      <c r="B798">
        <v>35</v>
      </c>
      <c r="C798" s="2">
        <v>18</v>
      </c>
      <c r="D798" s="2">
        <v>30</v>
      </c>
      <c r="E798" s="3">
        <v>0</v>
      </c>
    </row>
    <row r="799" spans="1:5" x14ac:dyDescent="0.2">
      <c r="A799">
        <v>10546</v>
      </c>
      <c r="B799">
        <v>62</v>
      </c>
      <c r="C799" s="2">
        <v>49.3</v>
      </c>
      <c r="D799" s="2">
        <v>40</v>
      </c>
      <c r="E799" s="3">
        <v>0</v>
      </c>
    </row>
    <row r="800" spans="1:5" x14ac:dyDescent="0.2">
      <c r="A800">
        <v>10547</v>
      </c>
      <c r="B800">
        <v>32</v>
      </c>
      <c r="C800" s="2">
        <v>32</v>
      </c>
      <c r="D800" s="2">
        <v>24</v>
      </c>
      <c r="E800" s="3">
        <v>0.15</v>
      </c>
    </row>
    <row r="801" spans="1:5" x14ac:dyDescent="0.2">
      <c r="A801">
        <v>10547</v>
      </c>
      <c r="B801">
        <v>36</v>
      </c>
      <c r="C801" s="2">
        <v>19</v>
      </c>
      <c r="D801" s="2">
        <v>60</v>
      </c>
      <c r="E801" s="3">
        <v>0</v>
      </c>
    </row>
    <row r="802" spans="1:5" x14ac:dyDescent="0.2">
      <c r="A802">
        <v>10548</v>
      </c>
      <c r="B802">
        <v>34</v>
      </c>
      <c r="C802" s="2">
        <v>14</v>
      </c>
      <c r="D802" s="2">
        <v>10</v>
      </c>
      <c r="E802" s="3">
        <v>0.25</v>
      </c>
    </row>
    <row r="803" spans="1:5" x14ac:dyDescent="0.2">
      <c r="A803">
        <v>10548</v>
      </c>
      <c r="B803">
        <v>41</v>
      </c>
      <c r="C803" s="2">
        <v>9.65</v>
      </c>
      <c r="D803" s="2">
        <v>14</v>
      </c>
      <c r="E803" s="3">
        <v>0</v>
      </c>
    </row>
    <row r="804" spans="1:5" x14ac:dyDescent="0.2">
      <c r="A804">
        <v>10549</v>
      </c>
      <c r="B804">
        <v>31</v>
      </c>
      <c r="C804" s="2">
        <v>12.5</v>
      </c>
      <c r="D804" s="2">
        <v>55</v>
      </c>
      <c r="E804" s="3">
        <v>0.15</v>
      </c>
    </row>
    <row r="805" spans="1:5" x14ac:dyDescent="0.2">
      <c r="A805">
        <v>10549</v>
      </c>
      <c r="B805">
        <v>45</v>
      </c>
      <c r="C805" s="2">
        <v>9.5</v>
      </c>
      <c r="D805" s="2">
        <v>100</v>
      </c>
      <c r="E805" s="3">
        <v>0.15</v>
      </c>
    </row>
    <row r="806" spans="1:5" x14ac:dyDescent="0.2">
      <c r="A806">
        <v>10549</v>
      </c>
      <c r="B806">
        <v>51</v>
      </c>
      <c r="C806" s="2">
        <v>53</v>
      </c>
      <c r="D806" s="2">
        <v>48</v>
      </c>
      <c r="E806" s="3">
        <v>0.15</v>
      </c>
    </row>
    <row r="807" spans="1:5" x14ac:dyDescent="0.2">
      <c r="A807">
        <v>10550</v>
      </c>
      <c r="B807">
        <v>17</v>
      </c>
      <c r="C807" s="2">
        <v>39</v>
      </c>
      <c r="D807" s="2">
        <v>8</v>
      </c>
      <c r="E807" s="3">
        <v>0.1</v>
      </c>
    </row>
    <row r="808" spans="1:5" x14ac:dyDescent="0.2">
      <c r="A808">
        <v>10550</v>
      </c>
      <c r="B808">
        <v>19</v>
      </c>
      <c r="C808" s="2">
        <v>9.1999999999999993</v>
      </c>
      <c r="D808" s="2">
        <v>10</v>
      </c>
      <c r="E808" s="3">
        <v>0</v>
      </c>
    </row>
    <row r="809" spans="1:5" x14ac:dyDescent="0.2">
      <c r="A809">
        <v>10550</v>
      </c>
      <c r="B809">
        <v>21</v>
      </c>
      <c r="C809" s="2">
        <v>10</v>
      </c>
      <c r="D809" s="2">
        <v>6</v>
      </c>
      <c r="E809" s="3">
        <v>0.1</v>
      </c>
    </row>
    <row r="810" spans="1:5" x14ac:dyDescent="0.2">
      <c r="A810">
        <v>10550</v>
      </c>
      <c r="B810">
        <v>61</v>
      </c>
      <c r="C810" s="2">
        <v>28.5</v>
      </c>
      <c r="D810" s="2">
        <v>10</v>
      </c>
      <c r="E810" s="3">
        <v>0.1</v>
      </c>
    </row>
    <row r="811" spans="1:5" x14ac:dyDescent="0.2">
      <c r="A811">
        <v>10551</v>
      </c>
      <c r="B811">
        <v>16</v>
      </c>
      <c r="C811" s="2">
        <v>17.45</v>
      </c>
      <c r="D811" s="2">
        <v>40</v>
      </c>
      <c r="E811" s="3">
        <v>0.15</v>
      </c>
    </row>
    <row r="812" spans="1:5" x14ac:dyDescent="0.2">
      <c r="A812">
        <v>10551</v>
      </c>
      <c r="B812">
        <v>35</v>
      </c>
      <c r="C812" s="2">
        <v>18</v>
      </c>
      <c r="D812" s="2">
        <v>20</v>
      </c>
      <c r="E812" s="3">
        <v>0.15</v>
      </c>
    </row>
    <row r="813" spans="1:5" x14ac:dyDescent="0.2">
      <c r="A813">
        <v>10551</v>
      </c>
      <c r="B813">
        <v>44</v>
      </c>
      <c r="C813" s="2">
        <v>19.45</v>
      </c>
      <c r="D813" s="2">
        <v>40</v>
      </c>
      <c r="E813" s="3">
        <v>0</v>
      </c>
    </row>
    <row r="814" spans="1:5" x14ac:dyDescent="0.2">
      <c r="A814">
        <v>10552</v>
      </c>
      <c r="B814">
        <v>69</v>
      </c>
      <c r="C814" s="2">
        <v>36</v>
      </c>
      <c r="D814" s="2">
        <v>18</v>
      </c>
      <c r="E814" s="3">
        <v>0</v>
      </c>
    </row>
    <row r="815" spans="1:5" x14ac:dyDescent="0.2">
      <c r="A815">
        <v>10552</v>
      </c>
      <c r="B815">
        <v>75</v>
      </c>
      <c r="C815" s="2">
        <v>7.75</v>
      </c>
      <c r="D815" s="2">
        <v>30</v>
      </c>
      <c r="E815" s="3">
        <v>0</v>
      </c>
    </row>
    <row r="816" spans="1:5" x14ac:dyDescent="0.2">
      <c r="A816">
        <v>10553</v>
      </c>
      <c r="B816">
        <v>11</v>
      </c>
      <c r="C816" s="2">
        <v>21</v>
      </c>
      <c r="D816" s="2">
        <v>15</v>
      </c>
      <c r="E816" s="3">
        <v>0</v>
      </c>
    </row>
    <row r="817" spans="1:5" x14ac:dyDescent="0.2">
      <c r="A817">
        <v>10553</v>
      </c>
      <c r="B817">
        <v>16</v>
      </c>
      <c r="C817" s="2">
        <v>17.45</v>
      </c>
      <c r="D817" s="2">
        <v>14</v>
      </c>
      <c r="E817" s="3">
        <v>0</v>
      </c>
    </row>
    <row r="818" spans="1:5" x14ac:dyDescent="0.2">
      <c r="A818">
        <v>10553</v>
      </c>
      <c r="B818">
        <v>22</v>
      </c>
      <c r="C818" s="2">
        <v>21</v>
      </c>
      <c r="D818" s="2">
        <v>24</v>
      </c>
      <c r="E818" s="3">
        <v>0</v>
      </c>
    </row>
    <row r="819" spans="1:5" x14ac:dyDescent="0.2">
      <c r="A819">
        <v>10553</v>
      </c>
      <c r="B819">
        <v>31</v>
      </c>
      <c r="C819" s="2">
        <v>12.5</v>
      </c>
      <c r="D819" s="2">
        <v>30</v>
      </c>
      <c r="E819" s="3">
        <v>0</v>
      </c>
    </row>
    <row r="820" spans="1:5" x14ac:dyDescent="0.2">
      <c r="A820">
        <v>10553</v>
      </c>
      <c r="B820">
        <v>35</v>
      </c>
      <c r="C820" s="2">
        <v>18</v>
      </c>
      <c r="D820" s="2">
        <v>6</v>
      </c>
      <c r="E820" s="3">
        <v>0</v>
      </c>
    </row>
    <row r="821" spans="1:5" x14ac:dyDescent="0.2">
      <c r="A821">
        <v>10554</v>
      </c>
      <c r="B821">
        <v>16</v>
      </c>
      <c r="C821" s="2">
        <v>17.45</v>
      </c>
      <c r="D821" s="2">
        <v>30</v>
      </c>
      <c r="E821" s="3">
        <v>0.05</v>
      </c>
    </row>
    <row r="822" spans="1:5" x14ac:dyDescent="0.2">
      <c r="A822">
        <v>10554</v>
      </c>
      <c r="B822">
        <v>23</v>
      </c>
      <c r="C822" s="2">
        <v>9</v>
      </c>
      <c r="D822" s="2">
        <v>20</v>
      </c>
      <c r="E822" s="3">
        <v>0.05</v>
      </c>
    </row>
    <row r="823" spans="1:5" x14ac:dyDescent="0.2">
      <c r="A823">
        <v>10554</v>
      </c>
      <c r="B823">
        <v>62</v>
      </c>
      <c r="C823" s="2">
        <v>49.3</v>
      </c>
      <c r="D823" s="2">
        <v>20</v>
      </c>
      <c r="E823" s="3">
        <v>0.05</v>
      </c>
    </row>
    <row r="824" spans="1:5" x14ac:dyDescent="0.2">
      <c r="A824">
        <v>10554</v>
      </c>
      <c r="B824">
        <v>77</v>
      </c>
      <c r="C824" s="2">
        <v>13</v>
      </c>
      <c r="D824" s="2">
        <v>10</v>
      </c>
      <c r="E824" s="3">
        <v>0.05</v>
      </c>
    </row>
    <row r="825" spans="1:5" x14ac:dyDescent="0.2">
      <c r="A825">
        <v>10555</v>
      </c>
      <c r="B825">
        <v>14</v>
      </c>
      <c r="C825" s="2">
        <v>23.25</v>
      </c>
      <c r="D825" s="2">
        <v>30</v>
      </c>
      <c r="E825" s="3">
        <v>0.2</v>
      </c>
    </row>
    <row r="826" spans="1:5" x14ac:dyDescent="0.2">
      <c r="A826">
        <v>10555</v>
      </c>
      <c r="B826">
        <v>19</v>
      </c>
      <c r="C826" s="2">
        <v>9.1999999999999993</v>
      </c>
      <c r="D826" s="2">
        <v>35</v>
      </c>
      <c r="E826" s="3">
        <v>0.2</v>
      </c>
    </row>
    <row r="827" spans="1:5" x14ac:dyDescent="0.2">
      <c r="A827">
        <v>10555</v>
      </c>
      <c r="B827">
        <v>24</v>
      </c>
      <c r="C827" s="2">
        <v>4.5</v>
      </c>
      <c r="D827" s="2">
        <v>18</v>
      </c>
      <c r="E827" s="3">
        <v>0.2</v>
      </c>
    </row>
    <row r="828" spans="1:5" x14ac:dyDescent="0.2">
      <c r="A828">
        <v>10555</v>
      </c>
      <c r="B828">
        <v>51</v>
      </c>
      <c r="C828" s="2">
        <v>53</v>
      </c>
      <c r="D828" s="2">
        <v>20</v>
      </c>
      <c r="E828" s="3">
        <v>0.2</v>
      </c>
    </row>
    <row r="829" spans="1:5" x14ac:dyDescent="0.2">
      <c r="A829">
        <v>10555</v>
      </c>
      <c r="B829">
        <v>56</v>
      </c>
      <c r="C829" s="2">
        <v>38</v>
      </c>
      <c r="D829" s="2">
        <v>40</v>
      </c>
      <c r="E829" s="3">
        <v>0.2</v>
      </c>
    </row>
    <row r="830" spans="1:5" x14ac:dyDescent="0.2">
      <c r="A830">
        <v>10556</v>
      </c>
      <c r="B830">
        <v>72</v>
      </c>
      <c r="C830" s="2">
        <v>34.799999999999997</v>
      </c>
      <c r="D830" s="2">
        <v>24</v>
      </c>
      <c r="E830" s="3">
        <v>0</v>
      </c>
    </row>
    <row r="831" spans="1:5" x14ac:dyDescent="0.2">
      <c r="A831">
        <v>10557</v>
      </c>
      <c r="B831">
        <v>64</v>
      </c>
      <c r="C831" s="2">
        <v>33.25</v>
      </c>
      <c r="D831" s="2">
        <v>30</v>
      </c>
      <c r="E831" s="3">
        <v>0</v>
      </c>
    </row>
    <row r="832" spans="1:5" x14ac:dyDescent="0.2">
      <c r="A832">
        <v>10557</v>
      </c>
      <c r="B832">
        <v>75</v>
      </c>
      <c r="C832" s="2">
        <v>7.75</v>
      </c>
      <c r="D832" s="2">
        <v>20</v>
      </c>
      <c r="E832" s="3">
        <v>0</v>
      </c>
    </row>
    <row r="833" spans="1:5" x14ac:dyDescent="0.2">
      <c r="A833">
        <v>10558</v>
      </c>
      <c r="B833">
        <v>47</v>
      </c>
      <c r="C833" s="2">
        <v>9.5</v>
      </c>
      <c r="D833" s="2">
        <v>25</v>
      </c>
      <c r="E833" s="3">
        <v>0</v>
      </c>
    </row>
    <row r="834" spans="1:5" x14ac:dyDescent="0.2">
      <c r="A834">
        <v>10558</v>
      </c>
      <c r="B834">
        <v>51</v>
      </c>
      <c r="C834" s="2">
        <v>53</v>
      </c>
      <c r="D834" s="2">
        <v>20</v>
      </c>
      <c r="E834" s="3">
        <v>0</v>
      </c>
    </row>
    <row r="835" spans="1:5" x14ac:dyDescent="0.2">
      <c r="A835">
        <v>10558</v>
      </c>
      <c r="B835">
        <v>52</v>
      </c>
      <c r="C835" s="2">
        <v>7</v>
      </c>
      <c r="D835" s="2">
        <v>30</v>
      </c>
      <c r="E835" s="3">
        <v>0</v>
      </c>
    </row>
    <row r="836" spans="1:5" x14ac:dyDescent="0.2">
      <c r="A836">
        <v>10558</v>
      </c>
      <c r="B836">
        <v>53</v>
      </c>
      <c r="C836" s="2">
        <v>32.799999999999997</v>
      </c>
      <c r="D836" s="2">
        <v>18</v>
      </c>
      <c r="E836" s="3">
        <v>0</v>
      </c>
    </row>
    <row r="837" spans="1:5" x14ac:dyDescent="0.2">
      <c r="A837">
        <v>10558</v>
      </c>
      <c r="B837">
        <v>73</v>
      </c>
      <c r="C837" s="2">
        <v>15</v>
      </c>
      <c r="D837" s="2">
        <v>3</v>
      </c>
      <c r="E837" s="3">
        <v>0</v>
      </c>
    </row>
    <row r="838" spans="1:5" x14ac:dyDescent="0.2">
      <c r="A838">
        <v>10559</v>
      </c>
      <c r="B838">
        <v>41</v>
      </c>
      <c r="C838" s="2">
        <v>9.65</v>
      </c>
      <c r="D838" s="2">
        <v>12</v>
      </c>
      <c r="E838" s="3">
        <v>0.05</v>
      </c>
    </row>
    <row r="839" spans="1:5" x14ac:dyDescent="0.2">
      <c r="A839">
        <v>10559</v>
      </c>
      <c r="B839">
        <v>55</v>
      </c>
      <c r="C839" s="2">
        <v>24</v>
      </c>
      <c r="D839" s="2">
        <v>18</v>
      </c>
      <c r="E839" s="3">
        <v>0.05</v>
      </c>
    </row>
    <row r="840" spans="1:5" x14ac:dyDescent="0.2">
      <c r="A840">
        <v>10560</v>
      </c>
      <c r="B840">
        <v>30</v>
      </c>
      <c r="C840" s="2">
        <v>25.89</v>
      </c>
      <c r="D840" s="2">
        <v>20</v>
      </c>
      <c r="E840" s="3">
        <v>0</v>
      </c>
    </row>
    <row r="841" spans="1:5" x14ac:dyDescent="0.2">
      <c r="A841">
        <v>10560</v>
      </c>
      <c r="B841">
        <v>62</v>
      </c>
      <c r="C841" s="2">
        <v>49.3</v>
      </c>
      <c r="D841" s="2">
        <v>15</v>
      </c>
      <c r="E841" s="3">
        <v>0.25</v>
      </c>
    </row>
    <row r="842" spans="1:5" x14ac:dyDescent="0.2">
      <c r="A842">
        <v>10561</v>
      </c>
      <c r="B842">
        <v>44</v>
      </c>
      <c r="C842" s="2">
        <v>19.45</v>
      </c>
      <c r="D842" s="2">
        <v>10</v>
      </c>
      <c r="E842" s="3">
        <v>0</v>
      </c>
    </row>
    <row r="843" spans="1:5" x14ac:dyDescent="0.2">
      <c r="A843">
        <v>10561</v>
      </c>
      <c r="B843">
        <v>51</v>
      </c>
      <c r="C843" s="2">
        <v>53</v>
      </c>
      <c r="D843" s="2">
        <v>50</v>
      </c>
      <c r="E843" s="3">
        <v>0</v>
      </c>
    </row>
    <row r="844" spans="1:5" x14ac:dyDescent="0.2">
      <c r="A844">
        <v>10562</v>
      </c>
      <c r="B844">
        <v>33</v>
      </c>
      <c r="C844" s="2">
        <v>2.5</v>
      </c>
      <c r="D844" s="2">
        <v>20</v>
      </c>
      <c r="E844" s="3">
        <v>0.1</v>
      </c>
    </row>
    <row r="845" spans="1:5" x14ac:dyDescent="0.2">
      <c r="A845">
        <v>10562</v>
      </c>
      <c r="B845">
        <v>62</v>
      </c>
      <c r="C845" s="2">
        <v>49.3</v>
      </c>
      <c r="D845" s="2">
        <v>10</v>
      </c>
      <c r="E845" s="3">
        <v>0.1</v>
      </c>
    </row>
    <row r="846" spans="1:5" x14ac:dyDescent="0.2">
      <c r="A846">
        <v>10563</v>
      </c>
      <c r="B846">
        <v>36</v>
      </c>
      <c r="C846" s="2">
        <v>19</v>
      </c>
      <c r="D846" s="2">
        <v>25</v>
      </c>
      <c r="E846" s="3">
        <v>0</v>
      </c>
    </row>
    <row r="847" spans="1:5" x14ac:dyDescent="0.2">
      <c r="A847">
        <v>10563</v>
      </c>
      <c r="B847">
        <v>52</v>
      </c>
      <c r="C847" s="2">
        <v>7</v>
      </c>
      <c r="D847" s="2">
        <v>70</v>
      </c>
      <c r="E847" s="3">
        <v>0</v>
      </c>
    </row>
    <row r="848" spans="1:5" x14ac:dyDescent="0.2">
      <c r="A848">
        <v>10564</v>
      </c>
      <c r="B848">
        <v>17</v>
      </c>
      <c r="C848" s="2">
        <v>39</v>
      </c>
      <c r="D848" s="2">
        <v>16</v>
      </c>
      <c r="E848" s="3">
        <v>0.05</v>
      </c>
    </row>
    <row r="849" spans="1:5" x14ac:dyDescent="0.2">
      <c r="A849">
        <v>10564</v>
      </c>
      <c r="B849">
        <v>31</v>
      </c>
      <c r="C849" s="2">
        <v>12.5</v>
      </c>
      <c r="D849" s="2">
        <v>6</v>
      </c>
      <c r="E849" s="3">
        <v>0.05</v>
      </c>
    </row>
    <row r="850" spans="1:5" x14ac:dyDescent="0.2">
      <c r="A850">
        <v>10564</v>
      </c>
      <c r="B850">
        <v>55</v>
      </c>
      <c r="C850" s="2">
        <v>24</v>
      </c>
      <c r="D850" s="2">
        <v>25</v>
      </c>
      <c r="E850" s="3">
        <v>0.05</v>
      </c>
    </row>
    <row r="851" spans="1:5" x14ac:dyDescent="0.2">
      <c r="A851">
        <v>10565</v>
      </c>
      <c r="B851">
        <v>24</v>
      </c>
      <c r="C851" s="2">
        <v>4.5</v>
      </c>
      <c r="D851" s="2">
        <v>25</v>
      </c>
      <c r="E851" s="3">
        <v>0.1</v>
      </c>
    </row>
    <row r="852" spans="1:5" x14ac:dyDescent="0.2">
      <c r="A852">
        <v>10565</v>
      </c>
      <c r="B852">
        <v>64</v>
      </c>
      <c r="C852" s="2">
        <v>33.25</v>
      </c>
      <c r="D852" s="2">
        <v>18</v>
      </c>
      <c r="E852" s="3">
        <v>0.1</v>
      </c>
    </row>
    <row r="853" spans="1:5" x14ac:dyDescent="0.2">
      <c r="A853">
        <v>10566</v>
      </c>
      <c r="B853">
        <v>11</v>
      </c>
      <c r="C853" s="2">
        <v>21</v>
      </c>
      <c r="D853" s="2">
        <v>35</v>
      </c>
      <c r="E853" s="3">
        <v>0.15</v>
      </c>
    </row>
    <row r="854" spans="1:5" x14ac:dyDescent="0.2">
      <c r="A854">
        <v>10566</v>
      </c>
      <c r="B854">
        <v>18</v>
      </c>
      <c r="C854" s="2">
        <v>62.5</v>
      </c>
      <c r="D854" s="2">
        <v>18</v>
      </c>
      <c r="E854" s="3">
        <v>0.15</v>
      </c>
    </row>
    <row r="855" spans="1:5" x14ac:dyDescent="0.2">
      <c r="A855">
        <v>10566</v>
      </c>
      <c r="B855">
        <v>76</v>
      </c>
      <c r="C855" s="2">
        <v>18</v>
      </c>
      <c r="D855" s="2">
        <v>10</v>
      </c>
      <c r="E855" s="3">
        <v>0</v>
      </c>
    </row>
    <row r="856" spans="1:5" x14ac:dyDescent="0.2">
      <c r="A856">
        <v>10567</v>
      </c>
      <c r="B856">
        <v>31</v>
      </c>
      <c r="C856" s="2">
        <v>12.5</v>
      </c>
      <c r="D856" s="2">
        <v>60</v>
      </c>
      <c r="E856" s="3">
        <v>0.2</v>
      </c>
    </row>
    <row r="857" spans="1:5" x14ac:dyDescent="0.2">
      <c r="A857">
        <v>10567</v>
      </c>
      <c r="B857">
        <v>51</v>
      </c>
      <c r="C857" s="2">
        <v>53</v>
      </c>
      <c r="D857" s="2">
        <v>3</v>
      </c>
      <c r="E857" s="3">
        <v>0</v>
      </c>
    </row>
    <row r="858" spans="1:5" x14ac:dyDescent="0.2">
      <c r="A858">
        <v>10567</v>
      </c>
      <c r="B858">
        <v>59</v>
      </c>
      <c r="C858" s="2">
        <v>55</v>
      </c>
      <c r="D858" s="2">
        <v>40</v>
      </c>
      <c r="E858" s="3">
        <v>0.2</v>
      </c>
    </row>
    <row r="859" spans="1:5" x14ac:dyDescent="0.2">
      <c r="A859">
        <v>10568</v>
      </c>
      <c r="B859">
        <v>10</v>
      </c>
      <c r="C859" s="2">
        <v>31</v>
      </c>
      <c r="D859" s="2">
        <v>5</v>
      </c>
      <c r="E859" s="3">
        <v>0</v>
      </c>
    </row>
    <row r="860" spans="1:5" x14ac:dyDescent="0.2">
      <c r="A860">
        <v>10569</v>
      </c>
      <c r="B860">
        <v>31</v>
      </c>
      <c r="C860" s="2">
        <v>12.5</v>
      </c>
      <c r="D860" s="2">
        <v>35</v>
      </c>
      <c r="E860" s="3">
        <v>0.2</v>
      </c>
    </row>
    <row r="861" spans="1:5" x14ac:dyDescent="0.2">
      <c r="A861">
        <v>10569</v>
      </c>
      <c r="B861">
        <v>76</v>
      </c>
      <c r="C861" s="2">
        <v>18</v>
      </c>
      <c r="D861" s="2">
        <v>30</v>
      </c>
      <c r="E861" s="3">
        <v>0</v>
      </c>
    </row>
    <row r="862" spans="1:5" x14ac:dyDescent="0.2">
      <c r="A862">
        <v>10570</v>
      </c>
      <c r="B862">
        <v>11</v>
      </c>
      <c r="C862" s="2">
        <v>21</v>
      </c>
      <c r="D862" s="2">
        <v>15</v>
      </c>
      <c r="E862" s="3">
        <v>0.05</v>
      </c>
    </row>
    <row r="863" spans="1:5" x14ac:dyDescent="0.2">
      <c r="A863">
        <v>10570</v>
      </c>
      <c r="B863">
        <v>56</v>
      </c>
      <c r="C863" s="2">
        <v>38</v>
      </c>
      <c r="D863" s="2">
        <v>60</v>
      </c>
      <c r="E863" s="3">
        <v>0.05</v>
      </c>
    </row>
    <row r="864" spans="1:5" x14ac:dyDescent="0.2">
      <c r="A864">
        <v>10571</v>
      </c>
      <c r="B864">
        <v>14</v>
      </c>
      <c r="C864" s="2">
        <v>23.25</v>
      </c>
      <c r="D864" s="2">
        <v>11</v>
      </c>
      <c r="E864" s="3">
        <v>0.15</v>
      </c>
    </row>
    <row r="865" spans="1:5" x14ac:dyDescent="0.2">
      <c r="A865">
        <v>10571</v>
      </c>
      <c r="B865">
        <v>42</v>
      </c>
      <c r="C865" s="2">
        <v>14</v>
      </c>
      <c r="D865" s="2">
        <v>28</v>
      </c>
      <c r="E865" s="3">
        <v>0.15</v>
      </c>
    </row>
    <row r="866" spans="1:5" x14ac:dyDescent="0.2">
      <c r="A866">
        <v>10572</v>
      </c>
      <c r="B866">
        <v>16</v>
      </c>
      <c r="C866" s="2">
        <v>17.45</v>
      </c>
      <c r="D866" s="2">
        <v>12</v>
      </c>
      <c r="E866" s="3">
        <v>0.1</v>
      </c>
    </row>
    <row r="867" spans="1:5" x14ac:dyDescent="0.2">
      <c r="A867">
        <v>10572</v>
      </c>
      <c r="B867">
        <v>32</v>
      </c>
      <c r="C867" s="2">
        <v>32</v>
      </c>
      <c r="D867" s="2">
        <v>10</v>
      </c>
      <c r="E867" s="3">
        <v>0.1</v>
      </c>
    </row>
    <row r="868" spans="1:5" x14ac:dyDescent="0.2">
      <c r="A868">
        <v>10572</v>
      </c>
      <c r="B868">
        <v>40</v>
      </c>
      <c r="C868" s="2">
        <v>18.399999999999999</v>
      </c>
      <c r="D868" s="2">
        <v>50</v>
      </c>
      <c r="E868" s="3">
        <v>0</v>
      </c>
    </row>
    <row r="869" spans="1:5" x14ac:dyDescent="0.2">
      <c r="A869">
        <v>10572</v>
      </c>
      <c r="B869">
        <v>75</v>
      </c>
      <c r="C869" s="2">
        <v>7.75</v>
      </c>
      <c r="D869" s="2">
        <v>15</v>
      </c>
      <c r="E869" s="3">
        <v>0.1</v>
      </c>
    </row>
    <row r="870" spans="1:5" x14ac:dyDescent="0.2">
      <c r="A870">
        <v>10573</v>
      </c>
      <c r="B870">
        <v>17</v>
      </c>
      <c r="C870" s="2">
        <v>39</v>
      </c>
      <c r="D870" s="2">
        <v>18</v>
      </c>
      <c r="E870" s="3">
        <v>0</v>
      </c>
    </row>
    <row r="871" spans="1:5" x14ac:dyDescent="0.2">
      <c r="A871">
        <v>10573</v>
      </c>
      <c r="B871">
        <v>34</v>
      </c>
      <c r="C871" s="2">
        <v>14</v>
      </c>
      <c r="D871" s="2">
        <v>40</v>
      </c>
      <c r="E871" s="3">
        <v>0</v>
      </c>
    </row>
    <row r="872" spans="1:5" x14ac:dyDescent="0.2">
      <c r="A872">
        <v>10573</v>
      </c>
      <c r="B872">
        <v>53</v>
      </c>
      <c r="C872" s="2">
        <v>32.799999999999997</v>
      </c>
      <c r="D872" s="2">
        <v>25</v>
      </c>
      <c r="E872" s="3">
        <v>0</v>
      </c>
    </row>
    <row r="873" spans="1:5" x14ac:dyDescent="0.2">
      <c r="A873">
        <v>10574</v>
      </c>
      <c r="B873">
        <v>33</v>
      </c>
      <c r="C873" s="2">
        <v>2.5</v>
      </c>
      <c r="D873" s="2">
        <v>14</v>
      </c>
      <c r="E873" s="3">
        <v>0</v>
      </c>
    </row>
    <row r="874" spans="1:5" x14ac:dyDescent="0.2">
      <c r="A874">
        <v>10574</v>
      </c>
      <c r="B874">
        <v>40</v>
      </c>
      <c r="C874" s="2">
        <v>18.399999999999999</v>
      </c>
      <c r="D874" s="2">
        <v>2</v>
      </c>
      <c r="E874" s="3">
        <v>0</v>
      </c>
    </row>
    <row r="875" spans="1:5" x14ac:dyDescent="0.2">
      <c r="A875">
        <v>10574</v>
      </c>
      <c r="B875">
        <v>62</v>
      </c>
      <c r="C875" s="2">
        <v>49.3</v>
      </c>
      <c r="D875" s="2">
        <v>10</v>
      </c>
      <c r="E875" s="3">
        <v>0</v>
      </c>
    </row>
    <row r="876" spans="1:5" x14ac:dyDescent="0.2">
      <c r="A876">
        <v>10574</v>
      </c>
      <c r="B876">
        <v>64</v>
      </c>
      <c r="C876" s="2">
        <v>33.25</v>
      </c>
      <c r="D876" s="2">
        <v>6</v>
      </c>
      <c r="E876" s="3">
        <v>0</v>
      </c>
    </row>
    <row r="877" spans="1:5" x14ac:dyDescent="0.2">
      <c r="A877">
        <v>10575</v>
      </c>
      <c r="B877">
        <v>59</v>
      </c>
      <c r="C877" s="2">
        <v>55</v>
      </c>
      <c r="D877" s="2">
        <v>12</v>
      </c>
      <c r="E877" s="3">
        <v>0</v>
      </c>
    </row>
    <row r="878" spans="1:5" x14ac:dyDescent="0.2">
      <c r="A878">
        <v>10575</v>
      </c>
      <c r="B878">
        <v>63</v>
      </c>
      <c r="C878" s="2">
        <v>43.9</v>
      </c>
      <c r="D878" s="2">
        <v>6</v>
      </c>
      <c r="E878" s="3">
        <v>0</v>
      </c>
    </row>
    <row r="879" spans="1:5" x14ac:dyDescent="0.2">
      <c r="A879">
        <v>10575</v>
      </c>
      <c r="B879">
        <v>72</v>
      </c>
      <c r="C879" s="2">
        <v>34.799999999999997</v>
      </c>
      <c r="D879" s="2">
        <v>30</v>
      </c>
      <c r="E879" s="3">
        <v>0</v>
      </c>
    </row>
    <row r="880" spans="1:5" x14ac:dyDescent="0.2">
      <c r="A880">
        <v>10575</v>
      </c>
      <c r="B880">
        <v>76</v>
      </c>
      <c r="C880" s="2">
        <v>18</v>
      </c>
      <c r="D880" s="2">
        <v>10</v>
      </c>
      <c r="E880" s="3">
        <v>0</v>
      </c>
    </row>
    <row r="881" spans="1:5" x14ac:dyDescent="0.2">
      <c r="A881">
        <v>10576</v>
      </c>
      <c r="B881">
        <v>1</v>
      </c>
      <c r="C881" s="2">
        <v>18</v>
      </c>
      <c r="D881" s="2">
        <v>10</v>
      </c>
      <c r="E881" s="3">
        <v>0</v>
      </c>
    </row>
    <row r="882" spans="1:5" x14ac:dyDescent="0.2">
      <c r="A882">
        <v>10576</v>
      </c>
      <c r="B882">
        <v>31</v>
      </c>
      <c r="C882" s="2">
        <v>12.5</v>
      </c>
      <c r="D882" s="2">
        <v>20</v>
      </c>
      <c r="E882" s="3">
        <v>0</v>
      </c>
    </row>
    <row r="883" spans="1:5" x14ac:dyDescent="0.2">
      <c r="A883">
        <v>10576</v>
      </c>
      <c r="B883">
        <v>44</v>
      </c>
      <c r="C883" s="2">
        <v>19.45</v>
      </c>
      <c r="D883" s="2">
        <v>21</v>
      </c>
      <c r="E883" s="3">
        <v>0</v>
      </c>
    </row>
    <row r="884" spans="1:5" x14ac:dyDescent="0.2">
      <c r="A884">
        <v>10577</v>
      </c>
      <c r="B884">
        <v>39</v>
      </c>
      <c r="C884" s="2">
        <v>18</v>
      </c>
      <c r="D884" s="2">
        <v>10</v>
      </c>
      <c r="E884" s="3">
        <v>0</v>
      </c>
    </row>
    <row r="885" spans="1:5" x14ac:dyDescent="0.2">
      <c r="A885">
        <v>10577</v>
      </c>
      <c r="B885">
        <v>75</v>
      </c>
      <c r="C885" s="2">
        <v>7.75</v>
      </c>
      <c r="D885" s="2">
        <v>20</v>
      </c>
      <c r="E885" s="3">
        <v>0</v>
      </c>
    </row>
    <row r="886" spans="1:5" x14ac:dyDescent="0.2">
      <c r="A886">
        <v>10577</v>
      </c>
      <c r="B886">
        <v>77</v>
      </c>
      <c r="C886" s="2">
        <v>13</v>
      </c>
      <c r="D886" s="2">
        <v>18</v>
      </c>
      <c r="E886" s="3">
        <v>0</v>
      </c>
    </row>
    <row r="887" spans="1:5" x14ac:dyDescent="0.2">
      <c r="A887">
        <v>10578</v>
      </c>
      <c r="B887">
        <v>35</v>
      </c>
      <c r="C887" s="2">
        <v>18</v>
      </c>
      <c r="D887" s="2">
        <v>20</v>
      </c>
      <c r="E887" s="3">
        <v>0</v>
      </c>
    </row>
    <row r="888" spans="1:5" x14ac:dyDescent="0.2">
      <c r="A888">
        <v>10578</v>
      </c>
      <c r="B888">
        <v>57</v>
      </c>
      <c r="C888" s="2">
        <v>19.5</v>
      </c>
      <c r="D888" s="2">
        <v>6</v>
      </c>
      <c r="E888" s="3">
        <v>0</v>
      </c>
    </row>
    <row r="889" spans="1:5" x14ac:dyDescent="0.2">
      <c r="A889">
        <v>10579</v>
      </c>
      <c r="B889">
        <v>15</v>
      </c>
      <c r="C889" s="2">
        <v>15.5</v>
      </c>
      <c r="D889" s="2">
        <v>10</v>
      </c>
      <c r="E889" s="3">
        <v>0</v>
      </c>
    </row>
    <row r="890" spans="1:5" x14ac:dyDescent="0.2">
      <c r="A890">
        <v>10579</v>
      </c>
      <c r="B890">
        <v>75</v>
      </c>
      <c r="C890" s="2">
        <v>7.75</v>
      </c>
      <c r="D890" s="2">
        <v>21</v>
      </c>
      <c r="E890" s="3">
        <v>0</v>
      </c>
    </row>
    <row r="891" spans="1:5" x14ac:dyDescent="0.2">
      <c r="A891">
        <v>10580</v>
      </c>
      <c r="B891">
        <v>14</v>
      </c>
      <c r="C891" s="2">
        <v>23.25</v>
      </c>
      <c r="D891" s="2">
        <v>15</v>
      </c>
      <c r="E891" s="3">
        <v>0.05</v>
      </c>
    </row>
    <row r="892" spans="1:5" x14ac:dyDescent="0.2">
      <c r="A892">
        <v>10580</v>
      </c>
      <c r="B892">
        <v>41</v>
      </c>
      <c r="C892" s="2">
        <v>9.65</v>
      </c>
      <c r="D892" s="2">
        <v>9</v>
      </c>
      <c r="E892" s="3">
        <v>0.05</v>
      </c>
    </row>
    <row r="893" spans="1:5" x14ac:dyDescent="0.2">
      <c r="A893">
        <v>10580</v>
      </c>
      <c r="B893">
        <v>65</v>
      </c>
      <c r="C893" s="2">
        <v>21.05</v>
      </c>
      <c r="D893" s="2">
        <v>30</v>
      </c>
      <c r="E893" s="3">
        <v>0.05</v>
      </c>
    </row>
    <row r="894" spans="1:5" x14ac:dyDescent="0.2">
      <c r="A894">
        <v>10581</v>
      </c>
      <c r="B894">
        <v>75</v>
      </c>
      <c r="C894" s="2">
        <v>7.75</v>
      </c>
      <c r="D894" s="2">
        <v>50</v>
      </c>
      <c r="E894" s="3">
        <v>0.2</v>
      </c>
    </row>
    <row r="895" spans="1:5" x14ac:dyDescent="0.2">
      <c r="A895">
        <v>10582</v>
      </c>
      <c r="B895">
        <v>57</v>
      </c>
      <c r="C895" s="2">
        <v>19.5</v>
      </c>
      <c r="D895" s="2">
        <v>4</v>
      </c>
      <c r="E895" s="3">
        <v>0</v>
      </c>
    </row>
    <row r="896" spans="1:5" x14ac:dyDescent="0.2">
      <c r="A896">
        <v>10582</v>
      </c>
      <c r="B896">
        <v>76</v>
      </c>
      <c r="C896" s="2">
        <v>18</v>
      </c>
      <c r="D896" s="2">
        <v>14</v>
      </c>
      <c r="E896" s="3">
        <v>0</v>
      </c>
    </row>
    <row r="897" spans="1:5" x14ac:dyDescent="0.2">
      <c r="A897">
        <v>10583</v>
      </c>
      <c r="B897">
        <v>29</v>
      </c>
      <c r="C897" s="2">
        <v>123.79</v>
      </c>
      <c r="D897" s="2">
        <v>10</v>
      </c>
      <c r="E897" s="3">
        <v>0</v>
      </c>
    </row>
    <row r="898" spans="1:5" x14ac:dyDescent="0.2">
      <c r="A898">
        <v>10583</v>
      </c>
      <c r="B898">
        <v>60</v>
      </c>
      <c r="C898" s="2">
        <v>34</v>
      </c>
      <c r="D898" s="2">
        <v>24</v>
      </c>
      <c r="E898" s="3">
        <v>0.15</v>
      </c>
    </row>
    <row r="899" spans="1:5" x14ac:dyDescent="0.2">
      <c r="A899">
        <v>10583</v>
      </c>
      <c r="B899">
        <v>69</v>
      </c>
      <c r="C899" s="2">
        <v>36</v>
      </c>
      <c r="D899" s="2">
        <v>10</v>
      </c>
      <c r="E899" s="3">
        <v>0.15</v>
      </c>
    </row>
    <row r="900" spans="1:5" x14ac:dyDescent="0.2">
      <c r="A900">
        <v>10584</v>
      </c>
      <c r="B900">
        <v>31</v>
      </c>
      <c r="C900" s="2">
        <v>12.5</v>
      </c>
      <c r="D900" s="2">
        <v>50</v>
      </c>
      <c r="E900" s="3">
        <v>0.05</v>
      </c>
    </row>
    <row r="901" spans="1:5" x14ac:dyDescent="0.2">
      <c r="A901">
        <v>10585</v>
      </c>
      <c r="B901">
        <v>47</v>
      </c>
      <c r="C901" s="2">
        <v>9.5</v>
      </c>
      <c r="D901" s="2">
        <v>15</v>
      </c>
      <c r="E901" s="3">
        <v>0</v>
      </c>
    </row>
    <row r="902" spans="1:5" x14ac:dyDescent="0.2">
      <c r="A902">
        <v>10586</v>
      </c>
      <c r="B902">
        <v>52</v>
      </c>
      <c r="C902" s="2">
        <v>7</v>
      </c>
      <c r="D902" s="2">
        <v>4</v>
      </c>
      <c r="E902" s="3">
        <v>0.15</v>
      </c>
    </row>
    <row r="903" spans="1:5" x14ac:dyDescent="0.2">
      <c r="A903">
        <v>10587</v>
      </c>
      <c r="B903">
        <v>26</v>
      </c>
      <c r="C903" s="2">
        <v>31.23</v>
      </c>
      <c r="D903" s="2">
        <v>6</v>
      </c>
      <c r="E903" s="3">
        <v>0</v>
      </c>
    </row>
    <row r="904" spans="1:5" x14ac:dyDescent="0.2">
      <c r="A904">
        <v>10587</v>
      </c>
      <c r="B904">
        <v>35</v>
      </c>
      <c r="C904" s="2">
        <v>18</v>
      </c>
      <c r="D904" s="2">
        <v>20</v>
      </c>
      <c r="E904" s="3">
        <v>0</v>
      </c>
    </row>
    <row r="905" spans="1:5" x14ac:dyDescent="0.2">
      <c r="A905">
        <v>10587</v>
      </c>
      <c r="B905">
        <v>77</v>
      </c>
      <c r="C905" s="2">
        <v>13</v>
      </c>
      <c r="D905" s="2">
        <v>20</v>
      </c>
      <c r="E905" s="3">
        <v>0</v>
      </c>
    </row>
    <row r="906" spans="1:5" x14ac:dyDescent="0.2">
      <c r="A906">
        <v>10588</v>
      </c>
      <c r="B906">
        <v>18</v>
      </c>
      <c r="C906" s="2">
        <v>62.5</v>
      </c>
      <c r="D906" s="2">
        <v>40</v>
      </c>
      <c r="E906" s="3">
        <v>0.2</v>
      </c>
    </row>
    <row r="907" spans="1:5" x14ac:dyDescent="0.2">
      <c r="A907">
        <v>10588</v>
      </c>
      <c r="B907">
        <v>42</v>
      </c>
      <c r="C907" s="2">
        <v>14</v>
      </c>
      <c r="D907" s="2">
        <v>100</v>
      </c>
      <c r="E907" s="3">
        <v>0.2</v>
      </c>
    </row>
    <row r="908" spans="1:5" x14ac:dyDescent="0.2">
      <c r="A908">
        <v>10589</v>
      </c>
      <c r="B908">
        <v>35</v>
      </c>
      <c r="C908" s="2">
        <v>18</v>
      </c>
      <c r="D908" s="2">
        <v>4</v>
      </c>
      <c r="E908" s="3">
        <v>0</v>
      </c>
    </row>
    <row r="909" spans="1:5" x14ac:dyDescent="0.2">
      <c r="A909">
        <v>10590</v>
      </c>
      <c r="B909">
        <v>1</v>
      </c>
      <c r="C909" s="2">
        <v>18</v>
      </c>
      <c r="D909" s="2">
        <v>20</v>
      </c>
      <c r="E909" s="3">
        <v>0</v>
      </c>
    </row>
    <row r="910" spans="1:5" x14ac:dyDescent="0.2">
      <c r="A910">
        <v>10590</v>
      </c>
      <c r="B910">
        <v>77</v>
      </c>
      <c r="C910" s="2">
        <v>13</v>
      </c>
      <c r="D910" s="2">
        <v>60</v>
      </c>
      <c r="E910" s="3">
        <v>0.05</v>
      </c>
    </row>
    <row r="911" spans="1:5" x14ac:dyDescent="0.2">
      <c r="A911">
        <v>10591</v>
      </c>
      <c r="B911">
        <v>3</v>
      </c>
      <c r="C911" s="2">
        <v>10</v>
      </c>
      <c r="D911" s="2">
        <v>14</v>
      </c>
      <c r="E911" s="3">
        <v>0</v>
      </c>
    </row>
    <row r="912" spans="1:5" x14ac:dyDescent="0.2">
      <c r="A912">
        <v>10591</v>
      </c>
      <c r="B912">
        <v>7</v>
      </c>
      <c r="C912" s="2">
        <v>30</v>
      </c>
      <c r="D912" s="2">
        <v>10</v>
      </c>
      <c r="E912" s="3">
        <v>0</v>
      </c>
    </row>
    <row r="913" spans="1:5" x14ac:dyDescent="0.2">
      <c r="A913">
        <v>10591</v>
      </c>
      <c r="B913">
        <v>54</v>
      </c>
      <c r="C913" s="2">
        <v>7.45</v>
      </c>
      <c r="D913" s="2">
        <v>50</v>
      </c>
      <c r="E913" s="3">
        <v>0</v>
      </c>
    </row>
    <row r="914" spans="1:5" x14ac:dyDescent="0.2">
      <c r="A914">
        <v>10592</v>
      </c>
      <c r="B914">
        <v>15</v>
      </c>
      <c r="C914" s="2">
        <v>15.5</v>
      </c>
      <c r="D914" s="2">
        <v>25</v>
      </c>
      <c r="E914" s="3">
        <v>0.05</v>
      </c>
    </row>
    <row r="915" spans="1:5" x14ac:dyDescent="0.2">
      <c r="A915">
        <v>10592</v>
      </c>
      <c r="B915">
        <v>26</v>
      </c>
      <c r="C915" s="2">
        <v>31.23</v>
      </c>
      <c r="D915" s="2">
        <v>5</v>
      </c>
      <c r="E915" s="3">
        <v>0.05</v>
      </c>
    </row>
    <row r="916" spans="1:5" x14ac:dyDescent="0.2">
      <c r="A916">
        <v>10593</v>
      </c>
      <c r="B916">
        <v>20</v>
      </c>
      <c r="C916" s="2">
        <v>81</v>
      </c>
      <c r="D916" s="2">
        <v>21</v>
      </c>
      <c r="E916" s="3">
        <v>0.2</v>
      </c>
    </row>
    <row r="917" spans="1:5" x14ac:dyDescent="0.2">
      <c r="A917">
        <v>10593</v>
      </c>
      <c r="B917">
        <v>69</v>
      </c>
      <c r="C917" s="2">
        <v>36</v>
      </c>
      <c r="D917" s="2">
        <v>20</v>
      </c>
      <c r="E917" s="3">
        <v>0.2</v>
      </c>
    </row>
    <row r="918" spans="1:5" x14ac:dyDescent="0.2">
      <c r="A918">
        <v>10593</v>
      </c>
      <c r="B918">
        <v>76</v>
      </c>
      <c r="C918" s="2">
        <v>18</v>
      </c>
      <c r="D918" s="2">
        <v>4</v>
      </c>
      <c r="E918" s="3">
        <v>0.2</v>
      </c>
    </row>
    <row r="919" spans="1:5" x14ac:dyDescent="0.2">
      <c r="A919">
        <v>10594</v>
      </c>
      <c r="B919">
        <v>52</v>
      </c>
      <c r="C919" s="2">
        <v>7</v>
      </c>
      <c r="D919" s="2">
        <v>24</v>
      </c>
      <c r="E919" s="3">
        <v>0</v>
      </c>
    </row>
    <row r="920" spans="1:5" x14ac:dyDescent="0.2">
      <c r="A920">
        <v>10594</v>
      </c>
      <c r="B920">
        <v>58</v>
      </c>
      <c r="C920" s="2">
        <v>13.25</v>
      </c>
      <c r="D920" s="2">
        <v>30</v>
      </c>
      <c r="E920" s="3">
        <v>0</v>
      </c>
    </row>
    <row r="921" spans="1:5" x14ac:dyDescent="0.2">
      <c r="A921">
        <v>10595</v>
      </c>
      <c r="B921">
        <v>35</v>
      </c>
      <c r="C921" s="2">
        <v>18</v>
      </c>
      <c r="D921" s="2">
        <v>30</v>
      </c>
      <c r="E921" s="3">
        <v>0.25</v>
      </c>
    </row>
    <row r="922" spans="1:5" x14ac:dyDescent="0.2">
      <c r="A922">
        <v>10595</v>
      </c>
      <c r="B922">
        <v>61</v>
      </c>
      <c r="C922" s="2">
        <v>28.5</v>
      </c>
      <c r="D922" s="2">
        <v>120</v>
      </c>
      <c r="E922" s="3">
        <v>0.25</v>
      </c>
    </row>
    <row r="923" spans="1:5" x14ac:dyDescent="0.2">
      <c r="A923">
        <v>10595</v>
      </c>
      <c r="B923">
        <v>69</v>
      </c>
      <c r="C923" s="2">
        <v>36</v>
      </c>
      <c r="D923" s="2">
        <v>65</v>
      </c>
      <c r="E923" s="3">
        <v>0.25</v>
      </c>
    </row>
    <row r="924" spans="1:5" x14ac:dyDescent="0.2">
      <c r="A924">
        <v>10596</v>
      </c>
      <c r="B924">
        <v>56</v>
      </c>
      <c r="C924" s="2">
        <v>38</v>
      </c>
      <c r="D924" s="2">
        <v>5</v>
      </c>
      <c r="E924" s="3">
        <v>0.2</v>
      </c>
    </row>
    <row r="925" spans="1:5" x14ac:dyDescent="0.2">
      <c r="A925">
        <v>10596</v>
      </c>
      <c r="B925">
        <v>63</v>
      </c>
      <c r="C925" s="2">
        <v>43.9</v>
      </c>
      <c r="D925" s="2">
        <v>24</v>
      </c>
      <c r="E925" s="3">
        <v>0.2</v>
      </c>
    </row>
    <row r="926" spans="1:5" x14ac:dyDescent="0.2">
      <c r="A926">
        <v>10596</v>
      </c>
      <c r="B926">
        <v>75</v>
      </c>
      <c r="C926" s="2">
        <v>7.75</v>
      </c>
      <c r="D926" s="2">
        <v>30</v>
      </c>
      <c r="E926" s="3">
        <v>0.2</v>
      </c>
    </row>
    <row r="927" spans="1:5" x14ac:dyDescent="0.2">
      <c r="A927">
        <v>10597</v>
      </c>
      <c r="B927">
        <v>24</v>
      </c>
      <c r="C927" s="2">
        <v>4.5</v>
      </c>
      <c r="D927" s="2">
        <v>35</v>
      </c>
      <c r="E927" s="3">
        <v>0.2</v>
      </c>
    </row>
    <row r="928" spans="1:5" x14ac:dyDescent="0.2">
      <c r="A928">
        <v>10597</v>
      </c>
      <c r="B928">
        <v>57</v>
      </c>
      <c r="C928" s="2">
        <v>19.5</v>
      </c>
      <c r="D928" s="2">
        <v>20</v>
      </c>
      <c r="E928" s="3">
        <v>0</v>
      </c>
    </row>
    <row r="929" spans="1:5" x14ac:dyDescent="0.2">
      <c r="A929">
        <v>10597</v>
      </c>
      <c r="B929">
        <v>65</v>
      </c>
      <c r="C929" s="2">
        <v>21.05</v>
      </c>
      <c r="D929" s="2">
        <v>12</v>
      </c>
      <c r="E929" s="3">
        <v>0.2</v>
      </c>
    </row>
    <row r="930" spans="1:5" x14ac:dyDescent="0.2">
      <c r="A930">
        <v>10598</v>
      </c>
      <c r="B930">
        <v>27</v>
      </c>
      <c r="C930" s="2">
        <v>43.9</v>
      </c>
      <c r="D930" s="2">
        <v>50</v>
      </c>
      <c r="E930" s="3">
        <v>0</v>
      </c>
    </row>
    <row r="931" spans="1:5" x14ac:dyDescent="0.2">
      <c r="A931">
        <v>10598</v>
      </c>
      <c r="B931">
        <v>71</v>
      </c>
      <c r="C931" s="2">
        <v>21.5</v>
      </c>
      <c r="D931" s="2">
        <v>9</v>
      </c>
      <c r="E931" s="3">
        <v>0</v>
      </c>
    </row>
    <row r="932" spans="1:5" x14ac:dyDescent="0.2">
      <c r="A932">
        <v>10599</v>
      </c>
      <c r="B932">
        <v>62</v>
      </c>
      <c r="C932" s="2">
        <v>49.3</v>
      </c>
      <c r="D932" s="2">
        <v>10</v>
      </c>
      <c r="E932" s="3">
        <v>0</v>
      </c>
    </row>
    <row r="933" spans="1:5" x14ac:dyDescent="0.2">
      <c r="A933">
        <v>10600</v>
      </c>
      <c r="B933">
        <v>54</v>
      </c>
      <c r="C933" s="2">
        <v>7.45</v>
      </c>
      <c r="D933" s="2">
        <v>4</v>
      </c>
      <c r="E933" s="3">
        <v>0</v>
      </c>
    </row>
    <row r="934" spans="1:5" x14ac:dyDescent="0.2">
      <c r="A934">
        <v>10600</v>
      </c>
      <c r="B934">
        <v>73</v>
      </c>
      <c r="C934" s="2">
        <v>15</v>
      </c>
      <c r="D934" s="2">
        <v>30</v>
      </c>
      <c r="E934" s="3">
        <v>0</v>
      </c>
    </row>
    <row r="935" spans="1:5" x14ac:dyDescent="0.2">
      <c r="A935">
        <v>10601</v>
      </c>
      <c r="B935">
        <v>13</v>
      </c>
      <c r="C935" s="2">
        <v>6</v>
      </c>
      <c r="D935" s="2">
        <v>60</v>
      </c>
      <c r="E935" s="3">
        <v>0</v>
      </c>
    </row>
    <row r="936" spans="1:5" x14ac:dyDescent="0.2">
      <c r="A936">
        <v>10601</v>
      </c>
      <c r="B936">
        <v>59</v>
      </c>
      <c r="C936" s="2">
        <v>55</v>
      </c>
      <c r="D936" s="2">
        <v>35</v>
      </c>
      <c r="E936" s="3">
        <v>0</v>
      </c>
    </row>
    <row r="937" spans="1:5" x14ac:dyDescent="0.2">
      <c r="A937">
        <v>10602</v>
      </c>
      <c r="B937">
        <v>77</v>
      </c>
      <c r="C937" s="2">
        <v>13</v>
      </c>
      <c r="D937" s="2">
        <v>5</v>
      </c>
      <c r="E937" s="3">
        <v>0.25</v>
      </c>
    </row>
    <row r="938" spans="1:5" x14ac:dyDescent="0.2">
      <c r="A938">
        <v>10603</v>
      </c>
      <c r="B938">
        <v>22</v>
      </c>
      <c r="C938" s="2">
        <v>21</v>
      </c>
      <c r="D938" s="2">
        <v>48</v>
      </c>
      <c r="E938" s="3">
        <v>0</v>
      </c>
    </row>
    <row r="939" spans="1:5" x14ac:dyDescent="0.2">
      <c r="A939">
        <v>10603</v>
      </c>
      <c r="B939">
        <v>49</v>
      </c>
      <c r="C939" s="2">
        <v>20</v>
      </c>
      <c r="D939" s="2">
        <v>25</v>
      </c>
      <c r="E939" s="3">
        <v>0.05</v>
      </c>
    </row>
    <row r="940" spans="1:5" x14ac:dyDescent="0.2">
      <c r="A940">
        <v>10604</v>
      </c>
      <c r="B940">
        <v>48</v>
      </c>
      <c r="C940" s="2">
        <v>12.75</v>
      </c>
      <c r="D940" s="2">
        <v>6</v>
      </c>
      <c r="E940" s="3">
        <v>0.1</v>
      </c>
    </row>
    <row r="941" spans="1:5" x14ac:dyDescent="0.2">
      <c r="A941">
        <v>10604</v>
      </c>
      <c r="B941">
        <v>76</v>
      </c>
      <c r="C941" s="2">
        <v>18</v>
      </c>
      <c r="D941" s="2">
        <v>10</v>
      </c>
      <c r="E941" s="3">
        <v>0.1</v>
      </c>
    </row>
    <row r="942" spans="1:5" x14ac:dyDescent="0.2">
      <c r="A942">
        <v>10605</v>
      </c>
      <c r="B942">
        <v>16</v>
      </c>
      <c r="C942" s="2">
        <v>17.45</v>
      </c>
      <c r="D942" s="2">
        <v>30</v>
      </c>
      <c r="E942" s="3">
        <v>0.05</v>
      </c>
    </row>
    <row r="943" spans="1:5" x14ac:dyDescent="0.2">
      <c r="A943">
        <v>10605</v>
      </c>
      <c r="B943">
        <v>59</v>
      </c>
      <c r="C943" s="2">
        <v>55</v>
      </c>
      <c r="D943" s="2">
        <v>20</v>
      </c>
      <c r="E943" s="3">
        <v>0.05</v>
      </c>
    </row>
    <row r="944" spans="1:5" x14ac:dyDescent="0.2">
      <c r="A944">
        <v>10605</v>
      </c>
      <c r="B944">
        <v>60</v>
      </c>
      <c r="C944" s="2">
        <v>34</v>
      </c>
      <c r="D944" s="2">
        <v>70</v>
      </c>
      <c r="E944" s="3">
        <v>0.05</v>
      </c>
    </row>
    <row r="945" spans="1:5" x14ac:dyDescent="0.2">
      <c r="A945">
        <v>10605</v>
      </c>
      <c r="B945">
        <v>71</v>
      </c>
      <c r="C945" s="2">
        <v>21.5</v>
      </c>
      <c r="D945" s="2">
        <v>15</v>
      </c>
      <c r="E945" s="3">
        <v>0.05</v>
      </c>
    </row>
    <row r="946" spans="1:5" x14ac:dyDescent="0.2">
      <c r="A946">
        <v>10606</v>
      </c>
      <c r="B946">
        <v>4</v>
      </c>
      <c r="C946" s="2">
        <v>22</v>
      </c>
      <c r="D946" s="2">
        <v>20</v>
      </c>
      <c r="E946" s="3">
        <v>0.2</v>
      </c>
    </row>
    <row r="947" spans="1:5" x14ac:dyDescent="0.2">
      <c r="A947">
        <v>10606</v>
      </c>
      <c r="B947">
        <v>55</v>
      </c>
      <c r="C947" s="2">
        <v>24</v>
      </c>
      <c r="D947" s="2">
        <v>20</v>
      </c>
      <c r="E947" s="3">
        <v>0.2</v>
      </c>
    </row>
    <row r="948" spans="1:5" x14ac:dyDescent="0.2">
      <c r="A948">
        <v>10606</v>
      </c>
      <c r="B948">
        <v>62</v>
      </c>
      <c r="C948" s="2">
        <v>49.3</v>
      </c>
      <c r="D948" s="2">
        <v>10</v>
      </c>
      <c r="E948" s="3">
        <v>0.2</v>
      </c>
    </row>
    <row r="949" spans="1:5" x14ac:dyDescent="0.2">
      <c r="A949">
        <v>10607</v>
      </c>
      <c r="B949">
        <v>7</v>
      </c>
      <c r="C949" s="2">
        <v>30</v>
      </c>
      <c r="D949" s="2">
        <v>45</v>
      </c>
      <c r="E949" s="3">
        <v>0</v>
      </c>
    </row>
    <row r="950" spans="1:5" x14ac:dyDescent="0.2">
      <c r="A950">
        <v>10607</v>
      </c>
      <c r="B950">
        <v>17</v>
      </c>
      <c r="C950" s="2">
        <v>39</v>
      </c>
      <c r="D950" s="2">
        <v>100</v>
      </c>
      <c r="E950" s="3">
        <v>0</v>
      </c>
    </row>
    <row r="951" spans="1:5" x14ac:dyDescent="0.2">
      <c r="A951">
        <v>10607</v>
      </c>
      <c r="B951">
        <v>33</v>
      </c>
      <c r="C951" s="2">
        <v>2.5</v>
      </c>
      <c r="D951" s="2">
        <v>14</v>
      </c>
      <c r="E951" s="3">
        <v>0</v>
      </c>
    </row>
    <row r="952" spans="1:5" x14ac:dyDescent="0.2">
      <c r="A952">
        <v>10607</v>
      </c>
      <c r="B952">
        <v>40</v>
      </c>
      <c r="C952" s="2">
        <v>18.399999999999999</v>
      </c>
      <c r="D952" s="2">
        <v>42</v>
      </c>
      <c r="E952" s="3">
        <v>0</v>
      </c>
    </row>
    <row r="953" spans="1:5" x14ac:dyDescent="0.2">
      <c r="A953">
        <v>10607</v>
      </c>
      <c r="B953">
        <v>72</v>
      </c>
      <c r="C953" s="2">
        <v>34.799999999999997</v>
      </c>
      <c r="D953" s="2">
        <v>12</v>
      </c>
      <c r="E953" s="3">
        <v>0</v>
      </c>
    </row>
    <row r="954" spans="1:5" x14ac:dyDescent="0.2">
      <c r="A954">
        <v>10608</v>
      </c>
      <c r="B954">
        <v>56</v>
      </c>
      <c r="C954" s="2">
        <v>38</v>
      </c>
      <c r="D954" s="2">
        <v>28</v>
      </c>
      <c r="E954" s="3">
        <v>0</v>
      </c>
    </row>
    <row r="955" spans="1:5" x14ac:dyDescent="0.2">
      <c r="A955">
        <v>10609</v>
      </c>
      <c r="B955">
        <v>1</v>
      </c>
      <c r="C955" s="2">
        <v>18</v>
      </c>
      <c r="D955" s="2">
        <v>3</v>
      </c>
      <c r="E955" s="3">
        <v>0</v>
      </c>
    </row>
    <row r="956" spans="1:5" x14ac:dyDescent="0.2">
      <c r="A956">
        <v>10609</v>
      </c>
      <c r="B956">
        <v>10</v>
      </c>
      <c r="C956" s="2">
        <v>31</v>
      </c>
      <c r="D956" s="2">
        <v>10</v>
      </c>
      <c r="E956" s="3">
        <v>0</v>
      </c>
    </row>
    <row r="957" spans="1:5" x14ac:dyDescent="0.2">
      <c r="A957">
        <v>10609</v>
      </c>
      <c r="B957">
        <v>21</v>
      </c>
      <c r="C957" s="2">
        <v>10</v>
      </c>
      <c r="D957" s="2">
        <v>6</v>
      </c>
      <c r="E957" s="3">
        <v>0</v>
      </c>
    </row>
    <row r="958" spans="1:5" x14ac:dyDescent="0.2">
      <c r="A958">
        <v>10610</v>
      </c>
      <c r="B958">
        <v>36</v>
      </c>
      <c r="C958" s="2">
        <v>19</v>
      </c>
      <c r="D958" s="2">
        <v>21</v>
      </c>
      <c r="E958" s="3">
        <v>0.25</v>
      </c>
    </row>
    <row r="959" spans="1:5" x14ac:dyDescent="0.2">
      <c r="A959">
        <v>10611</v>
      </c>
      <c r="B959">
        <v>1</v>
      </c>
      <c r="C959" s="2">
        <v>18</v>
      </c>
      <c r="D959" s="2">
        <v>6</v>
      </c>
      <c r="E959" s="3">
        <v>0</v>
      </c>
    </row>
    <row r="960" spans="1:5" x14ac:dyDescent="0.2">
      <c r="A960">
        <v>10611</v>
      </c>
      <c r="B960">
        <v>2</v>
      </c>
      <c r="C960" s="2">
        <v>19</v>
      </c>
      <c r="D960" s="2">
        <v>10</v>
      </c>
      <c r="E960" s="3">
        <v>0</v>
      </c>
    </row>
    <row r="961" spans="1:5" x14ac:dyDescent="0.2">
      <c r="A961">
        <v>10611</v>
      </c>
      <c r="B961">
        <v>60</v>
      </c>
      <c r="C961" s="2">
        <v>34</v>
      </c>
      <c r="D961" s="2">
        <v>15</v>
      </c>
      <c r="E961" s="3">
        <v>0</v>
      </c>
    </row>
    <row r="962" spans="1:5" x14ac:dyDescent="0.2">
      <c r="A962">
        <v>10612</v>
      </c>
      <c r="B962">
        <v>10</v>
      </c>
      <c r="C962" s="2">
        <v>31</v>
      </c>
      <c r="D962" s="2">
        <v>70</v>
      </c>
      <c r="E962" s="3">
        <v>0</v>
      </c>
    </row>
    <row r="963" spans="1:5" x14ac:dyDescent="0.2">
      <c r="A963">
        <v>10612</v>
      </c>
      <c r="B963">
        <v>36</v>
      </c>
      <c r="C963" s="2">
        <v>19</v>
      </c>
      <c r="D963" s="2">
        <v>55</v>
      </c>
      <c r="E963" s="3">
        <v>0</v>
      </c>
    </row>
    <row r="964" spans="1:5" x14ac:dyDescent="0.2">
      <c r="A964">
        <v>10612</v>
      </c>
      <c r="B964">
        <v>49</v>
      </c>
      <c r="C964" s="2">
        <v>20</v>
      </c>
      <c r="D964" s="2">
        <v>18</v>
      </c>
      <c r="E964" s="3">
        <v>0</v>
      </c>
    </row>
    <row r="965" spans="1:5" x14ac:dyDescent="0.2">
      <c r="A965">
        <v>10612</v>
      </c>
      <c r="B965">
        <v>60</v>
      </c>
      <c r="C965" s="2">
        <v>34</v>
      </c>
      <c r="D965" s="2">
        <v>40</v>
      </c>
      <c r="E965" s="3">
        <v>0</v>
      </c>
    </row>
    <row r="966" spans="1:5" x14ac:dyDescent="0.2">
      <c r="A966">
        <v>10612</v>
      </c>
      <c r="B966">
        <v>76</v>
      </c>
      <c r="C966" s="2">
        <v>18</v>
      </c>
      <c r="D966" s="2">
        <v>80</v>
      </c>
      <c r="E966" s="3">
        <v>0</v>
      </c>
    </row>
    <row r="967" spans="1:5" x14ac:dyDescent="0.2">
      <c r="A967">
        <v>10613</v>
      </c>
      <c r="B967">
        <v>13</v>
      </c>
      <c r="C967" s="2">
        <v>6</v>
      </c>
      <c r="D967" s="2">
        <v>8</v>
      </c>
      <c r="E967" s="3">
        <v>0.1</v>
      </c>
    </row>
    <row r="968" spans="1:5" x14ac:dyDescent="0.2">
      <c r="A968">
        <v>10613</v>
      </c>
      <c r="B968">
        <v>75</v>
      </c>
      <c r="C968" s="2">
        <v>7.75</v>
      </c>
      <c r="D968" s="2">
        <v>40</v>
      </c>
      <c r="E968" s="3">
        <v>0</v>
      </c>
    </row>
    <row r="969" spans="1:5" x14ac:dyDescent="0.2">
      <c r="A969">
        <v>10614</v>
      </c>
      <c r="B969">
        <v>11</v>
      </c>
      <c r="C969" s="2">
        <v>21</v>
      </c>
      <c r="D969" s="2">
        <v>14</v>
      </c>
      <c r="E969" s="3">
        <v>0</v>
      </c>
    </row>
    <row r="970" spans="1:5" x14ac:dyDescent="0.2">
      <c r="A970">
        <v>10614</v>
      </c>
      <c r="B970">
        <v>21</v>
      </c>
      <c r="C970" s="2">
        <v>10</v>
      </c>
      <c r="D970" s="2">
        <v>8</v>
      </c>
      <c r="E970" s="3">
        <v>0</v>
      </c>
    </row>
    <row r="971" spans="1:5" x14ac:dyDescent="0.2">
      <c r="A971">
        <v>10614</v>
      </c>
      <c r="B971">
        <v>39</v>
      </c>
      <c r="C971" s="2">
        <v>18</v>
      </c>
      <c r="D971" s="2">
        <v>5</v>
      </c>
      <c r="E971" s="3">
        <v>0</v>
      </c>
    </row>
    <row r="972" spans="1:5" x14ac:dyDescent="0.2">
      <c r="A972">
        <v>10615</v>
      </c>
      <c r="B972">
        <v>55</v>
      </c>
      <c r="C972" s="2">
        <v>24</v>
      </c>
      <c r="D972" s="2">
        <v>5</v>
      </c>
      <c r="E972" s="3">
        <v>0</v>
      </c>
    </row>
    <row r="973" spans="1:5" x14ac:dyDescent="0.2">
      <c r="A973">
        <v>10616</v>
      </c>
      <c r="B973">
        <v>38</v>
      </c>
      <c r="C973" s="2">
        <v>263.5</v>
      </c>
      <c r="D973" s="2">
        <v>15</v>
      </c>
      <c r="E973" s="3">
        <v>0.05</v>
      </c>
    </row>
    <row r="974" spans="1:5" x14ac:dyDescent="0.2">
      <c r="A974">
        <v>10616</v>
      </c>
      <c r="B974">
        <v>56</v>
      </c>
      <c r="C974" s="2">
        <v>38</v>
      </c>
      <c r="D974" s="2">
        <v>14</v>
      </c>
      <c r="E974" s="3">
        <v>0</v>
      </c>
    </row>
    <row r="975" spans="1:5" x14ac:dyDescent="0.2">
      <c r="A975">
        <v>10616</v>
      </c>
      <c r="B975">
        <v>70</v>
      </c>
      <c r="C975" s="2">
        <v>15</v>
      </c>
      <c r="D975" s="2">
        <v>15</v>
      </c>
      <c r="E975" s="3">
        <v>0.05</v>
      </c>
    </row>
    <row r="976" spans="1:5" x14ac:dyDescent="0.2">
      <c r="A976">
        <v>10616</v>
      </c>
      <c r="B976">
        <v>71</v>
      </c>
      <c r="C976" s="2">
        <v>21.5</v>
      </c>
      <c r="D976" s="2">
        <v>15</v>
      </c>
      <c r="E976" s="3">
        <v>0.05</v>
      </c>
    </row>
    <row r="977" spans="1:5" x14ac:dyDescent="0.2">
      <c r="A977">
        <v>10617</v>
      </c>
      <c r="B977">
        <v>59</v>
      </c>
      <c r="C977" s="2">
        <v>55</v>
      </c>
      <c r="D977" s="2">
        <v>30</v>
      </c>
      <c r="E977" s="3">
        <v>0.15</v>
      </c>
    </row>
    <row r="978" spans="1:5" x14ac:dyDescent="0.2">
      <c r="A978">
        <v>10618</v>
      </c>
      <c r="B978">
        <v>6</v>
      </c>
      <c r="C978" s="2">
        <v>25</v>
      </c>
      <c r="D978" s="2">
        <v>70</v>
      </c>
      <c r="E978" s="3">
        <v>0</v>
      </c>
    </row>
    <row r="979" spans="1:5" x14ac:dyDescent="0.2">
      <c r="A979">
        <v>10618</v>
      </c>
      <c r="B979">
        <v>56</v>
      </c>
      <c r="C979" s="2">
        <v>38</v>
      </c>
      <c r="D979" s="2">
        <v>20</v>
      </c>
      <c r="E979" s="3">
        <v>0</v>
      </c>
    </row>
    <row r="980" spans="1:5" x14ac:dyDescent="0.2">
      <c r="A980">
        <v>10618</v>
      </c>
      <c r="B980">
        <v>68</v>
      </c>
      <c r="C980" s="2">
        <v>12.5</v>
      </c>
      <c r="D980" s="2">
        <v>15</v>
      </c>
      <c r="E980" s="3">
        <v>0</v>
      </c>
    </row>
    <row r="981" spans="1:5" x14ac:dyDescent="0.2">
      <c r="A981">
        <v>10619</v>
      </c>
      <c r="B981">
        <v>21</v>
      </c>
      <c r="C981" s="2">
        <v>10</v>
      </c>
      <c r="D981" s="2">
        <v>42</v>
      </c>
      <c r="E981" s="3">
        <v>0</v>
      </c>
    </row>
    <row r="982" spans="1:5" x14ac:dyDescent="0.2">
      <c r="A982">
        <v>10619</v>
      </c>
      <c r="B982">
        <v>22</v>
      </c>
      <c r="C982" s="2">
        <v>21</v>
      </c>
      <c r="D982" s="2">
        <v>40</v>
      </c>
      <c r="E982" s="3">
        <v>0</v>
      </c>
    </row>
    <row r="983" spans="1:5" x14ac:dyDescent="0.2">
      <c r="A983">
        <v>10620</v>
      </c>
      <c r="B983">
        <v>24</v>
      </c>
      <c r="C983" s="2">
        <v>4.5</v>
      </c>
      <c r="D983" s="2">
        <v>5</v>
      </c>
      <c r="E983" s="3">
        <v>0</v>
      </c>
    </row>
    <row r="984" spans="1:5" x14ac:dyDescent="0.2">
      <c r="A984">
        <v>10620</v>
      </c>
      <c r="B984">
        <v>52</v>
      </c>
      <c r="C984" s="2">
        <v>7</v>
      </c>
      <c r="D984" s="2">
        <v>5</v>
      </c>
      <c r="E984" s="3">
        <v>0</v>
      </c>
    </row>
    <row r="985" spans="1:5" x14ac:dyDescent="0.2">
      <c r="A985">
        <v>10621</v>
      </c>
      <c r="B985">
        <v>19</v>
      </c>
      <c r="C985" s="2">
        <v>9.1999999999999993</v>
      </c>
      <c r="D985" s="2">
        <v>5</v>
      </c>
      <c r="E985" s="3">
        <v>0</v>
      </c>
    </row>
    <row r="986" spans="1:5" x14ac:dyDescent="0.2">
      <c r="A986">
        <v>10621</v>
      </c>
      <c r="B986">
        <v>23</v>
      </c>
      <c r="C986" s="2">
        <v>9</v>
      </c>
      <c r="D986" s="2">
        <v>10</v>
      </c>
      <c r="E986" s="3">
        <v>0</v>
      </c>
    </row>
    <row r="987" spans="1:5" x14ac:dyDescent="0.2">
      <c r="A987">
        <v>10621</v>
      </c>
      <c r="B987">
        <v>70</v>
      </c>
      <c r="C987" s="2">
        <v>15</v>
      </c>
      <c r="D987" s="2">
        <v>20</v>
      </c>
      <c r="E987" s="3">
        <v>0</v>
      </c>
    </row>
    <row r="988" spans="1:5" x14ac:dyDescent="0.2">
      <c r="A988">
        <v>10621</v>
      </c>
      <c r="B988">
        <v>71</v>
      </c>
      <c r="C988" s="2">
        <v>21.5</v>
      </c>
      <c r="D988" s="2">
        <v>15</v>
      </c>
      <c r="E988" s="3">
        <v>0</v>
      </c>
    </row>
    <row r="989" spans="1:5" x14ac:dyDescent="0.2">
      <c r="A989">
        <v>10622</v>
      </c>
      <c r="B989">
        <v>2</v>
      </c>
      <c r="C989" s="2">
        <v>19</v>
      </c>
      <c r="D989" s="2">
        <v>20</v>
      </c>
      <c r="E989" s="3">
        <v>0</v>
      </c>
    </row>
    <row r="990" spans="1:5" x14ac:dyDescent="0.2">
      <c r="A990">
        <v>10622</v>
      </c>
      <c r="B990">
        <v>68</v>
      </c>
      <c r="C990" s="2">
        <v>12.5</v>
      </c>
      <c r="D990" s="2">
        <v>18</v>
      </c>
      <c r="E990" s="3">
        <v>0.2</v>
      </c>
    </row>
    <row r="991" spans="1:5" x14ac:dyDescent="0.2">
      <c r="A991">
        <v>10623</v>
      </c>
      <c r="B991">
        <v>14</v>
      </c>
      <c r="C991" s="2">
        <v>23.25</v>
      </c>
      <c r="D991" s="2">
        <v>21</v>
      </c>
      <c r="E991" s="3">
        <v>0</v>
      </c>
    </row>
    <row r="992" spans="1:5" x14ac:dyDescent="0.2">
      <c r="A992">
        <v>10623</v>
      </c>
      <c r="B992">
        <v>19</v>
      </c>
      <c r="C992" s="2">
        <v>9.1999999999999993</v>
      </c>
      <c r="D992" s="2">
        <v>15</v>
      </c>
      <c r="E992" s="3">
        <v>0.1</v>
      </c>
    </row>
    <row r="993" spans="1:5" x14ac:dyDescent="0.2">
      <c r="A993">
        <v>10623</v>
      </c>
      <c r="B993">
        <v>21</v>
      </c>
      <c r="C993" s="2">
        <v>10</v>
      </c>
      <c r="D993" s="2">
        <v>25</v>
      </c>
      <c r="E993" s="3">
        <v>0.1</v>
      </c>
    </row>
    <row r="994" spans="1:5" x14ac:dyDescent="0.2">
      <c r="A994">
        <v>10623</v>
      </c>
      <c r="B994">
        <v>24</v>
      </c>
      <c r="C994" s="2">
        <v>4.5</v>
      </c>
      <c r="D994" s="2">
        <v>3</v>
      </c>
      <c r="E994" s="3">
        <v>0</v>
      </c>
    </row>
    <row r="995" spans="1:5" x14ac:dyDescent="0.2">
      <c r="A995">
        <v>10623</v>
      </c>
      <c r="B995">
        <v>35</v>
      </c>
      <c r="C995" s="2">
        <v>18</v>
      </c>
      <c r="D995" s="2">
        <v>30</v>
      </c>
      <c r="E995" s="3">
        <v>0.1</v>
      </c>
    </row>
    <row r="996" spans="1:5" x14ac:dyDescent="0.2">
      <c r="A996">
        <v>10624</v>
      </c>
      <c r="B996">
        <v>28</v>
      </c>
      <c r="C996" s="2">
        <v>45.6</v>
      </c>
      <c r="D996" s="2">
        <v>10</v>
      </c>
      <c r="E996" s="3">
        <v>0</v>
      </c>
    </row>
    <row r="997" spans="1:5" x14ac:dyDescent="0.2">
      <c r="A997">
        <v>10624</v>
      </c>
      <c r="B997">
        <v>29</v>
      </c>
      <c r="C997" s="2">
        <v>123.79</v>
      </c>
      <c r="D997" s="2">
        <v>6</v>
      </c>
      <c r="E997" s="3">
        <v>0</v>
      </c>
    </row>
    <row r="998" spans="1:5" x14ac:dyDescent="0.2">
      <c r="A998">
        <v>10624</v>
      </c>
      <c r="B998">
        <v>44</v>
      </c>
      <c r="C998" s="2">
        <v>19.45</v>
      </c>
      <c r="D998" s="2">
        <v>10</v>
      </c>
      <c r="E998" s="3">
        <v>0</v>
      </c>
    </row>
    <row r="999" spans="1:5" x14ac:dyDescent="0.2">
      <c r="A999">
        <v>10625</v>
      </c>
      <c r="B999">
        <v>14</v>
      </c>
      <c r="C999" s="2">
        <v>23.25</v>
      </c>
      <c r="D999" s="2">
        <v>3</v>
      </c>
      <c r="E999" s="3">
        <v>0</v>
      </c>
    </row>
    <row r="1000" spans="1:5" x14ac:dyDescent="0.2">
      <c r="A1000">
        <v>10625</v>
      </c>
      <c r="B1000">
        <v>42</v>
      </c>
      <c r="C1000" s="2">
        <v>14</v>
      </c>
      <c r="D1000" s="2">
        <v>5</v>
      </c>
      <c r="E1000" s="3">
        <v>0</v>
      </c>
    </row>
    <row r="1001" spans="1:5" x14ac:dyDescent="0.2">
      <c r="A1001">
        <v>10625</v>
      </c>
      <c r="B1001">
        <v>60</v>
      </c>
      <c r="C1001" s="2">
        <v>34</v>
      </c>
      <c r="D1001" s="2">
        <v>10</v>
      </c>
      <c r="E1001" s="3">
        <v>0</v>
      </c>
    </row>
    <row r="1002" spans="1:5" x14ac:dyDescent="0.2">
      <c r="A1002">
        <v>10626</v>
      </c>
      <c r="B1002">
        <v>53</v>
      </c>
      <c r="C1002" s="2">
        <v>32.799999999999997</v>
      </c>
      <c r="D1002" s="2">
        <v>12</v>
      </c>
      <c r="E1002" s="3">
        <v>0</v>
      </c>
    </row>
    <row r="1003" spans="1:5" x14ac:dyDescent="0.2">
      <c r="A1003">
        <v>10626</v>
      </c>
      <c r="B1003">
        <v>60</v>
      </c>
      <c r="C1003" s="2">
        <v>34</v>
      </c>
      <c r="D1003" s="2">
        <v>20</v>
      </c>
      <c r="E1003" s="3">
        <v>0</v>
      </c>
    </row>
    <row r="1004" spans="1:5" x14ac:dyDescent="0.2">
      <c r="A1004">
        <v>10626</v>
      </c>
      <c r="B1004">
        <v>71</v>
      </c>
      <c r="C1004" s="2">
        <v>21.5</v>
      </c>
      <c r="D1004" s="2">
        <v>20</v>
      </c>
      <c r="E1004" s="3">
        <v>0</v>
      </c>
    </row>
    <row r="1005" spans="1:5" x14ac:dyDescent="0.2">
      <c r="A1005">
        <v>10627</v>
      </c>
      <c r="B1005">
        <v>62</v>
      </c>
      <c r="C1005" s="2">
        <v>49.3</v>
      </c>
      <c r="D1005" s="2">
        <v>15</v>
      </c>
      <c r="E1005" s="3">
        <v>0</v>
      </c>
    </row>
    <row r="1006" spans="1:5" x14ac:dyDescent="0.2">
      <c r="A1006">
        <v>10627</v>
      </c>
      <c r="B1006">
        <v>73</v>
      </c>
      <c r="C1006" s="2">
        <v>15</v>
      </c>
      <c r="D1006" s="2">
        <v>35</v>
      </c>
      <c r="E1006" s="3">
        <v>0.15</v>
      </c>
    </row>
    <row r="1007" spans="1:5" x14ac:dyDescent="0.2">
      <c r="A1007">
        <v>10628</v>
      </c>
      <c r="B1007">
        <v>1</v>
      </c>
      <c r="C1007" s="2">
        <v>18</v>
      </c>
      <c r="D1007" s="2">
        <v>25</v>
      </c>
      <c r="E1007" s="3">
        <v>0</v>
      </c>
    </row>
    <row r="1008" spans="1:5" x14ac:dyDescent="0.2">
      <c r="A1008">
        <v>10629</v>
      </c>
      <c r="B1008">
        <v>29</v>
      </c>
      <c r="C1008" s="2">
        <v>123.79</v>
      </c>
      <c r="D1008" s="2">
        <v>20</v>
      </c>
      <c r="E1008" s="3">
        <v>0</v>
      </c>
    </row>
    <row r="1009" spans="1:5" x14ac:dyDescent="0.2">
      <c r="A1009">
        <v>10629</v>
      </c>
      <c r="B1009">
        <v>64</v>
      </c>
      <c r="C1009" s="2">
        <v>33.25</v>
      </c>
      <c r="D1009" s="2">
        <v>9</v>
      </c>
      <c r="E1009" s="3">
        <v>0</v>
      </c>
    </row>
    <row r="1010" spans="1:5" x14ac:dyDescent="0.2">
      <c r="A1010">
        <v>10630</v>
      </c>
      <c r="B1010">
        <v>55</v>
      </c>
      <c r="C1010" s="2">
        <v>24</v>
      </c>
      <c r="D1010" s="2">
        <v>12</v>
      </c>
      <c r="E1010" s="3">
        <v>0.05</v>
      </c>
    </row>
    <row r="1011" spans="1:5" x14ac:dyDescent="0.2">
      <c r="A1011">
        <v>10630</v>
      </c>
      <c r="B1011">
        <v>76</v>
      </c>
      <c r="C1011" s="2">
        <v>18</v>
      </c>
      <c r="D1011" s="2">
        <v>35</v>
      </c>
      <c r="E1011" s="3">
        <v>0</v>
      </c>
    </row>
    <row r="1012" spans="1:5" x14ac:dyDescent="0.2">
      <c r="A1012">
        <v>10631</v>
      </c>
      <c r="B1012">
        <v>75</v>
      </c>
      <c r="C1012" s="2">
        <v>7.75</v>
      </c>
      <c r="D1012" s="2">
        <v>8</v>
      </c>
      <c r="E1012" s="3">
        <v>0.1</v>
      </c>
    </row>
    <row r="1013" spans="1:5" x14ac:dyDescent="0.2">
      <c r="A1013">
        <v>10632</v>
      </c>
      <c r="B1013">
        <v>2</v>
      </c>
      <c r="C1013" s="2">
        <v>19</v>
      </c>
      <c r="D1013" s="2">
        <v>30</v>
      </c>
      <c r="E1013" s="3">
        <v>0.05</v>
      </c>
    </row>
    <row r="1014" spans="1:5" x14ac:dyDescent="0.2">
      <c r="A1014">
        <v>10632</v>
      </c>
      <c r="B1014">
        <v>33</v>
      </c>
      <c r="C1014" s="2">
        <v>2.5</v>
      </c>
      <c r="D1014" s="2">
        <v>20</v>
      </c>
      <c r="E1014" s="3">
        <v>0.05</v>
      </c>
    </row>
    <row r="1015" spans="1:5" x14ac:dyDescent="0.2">
      <c r="A1015">
        <v>10633</v>
      </c>
      <c r="B1015">
        <v>12</v>
      </c>
      <c r="C1015" s="2">
        <v>38</v>
      </c>
      <c r="D1015" s="2">
        <v>36</v>
      </c>
      <c r="E1015" s="3">
        <v>0.15</v>
      </c>
    </row>
    <row r="1016" spans="1:5" x14ac:dyDescent="0.2">
      <c r="A1016">
        <v>10633</v>
      </c>
      <c r="B1016">
        <v>13</v>
      </c>
      <c r="C1016" s="2">
        <v>6</v>
      </c>
      <c r="D1016" s="2">
        <v>13</v>
      </c>
      <c r="E1016" s="3">
        <v>0.15</v>
      </c>
    </row>
    <row r="1017" spans="1:5" x14ac:dyDescent="0.2">
      <c r="A1017">
        <v>10633</v>
      </c>
      <c r="B1017">
        <v>26</v>
      </c>
      <c r="C1017" s="2">
        <v>31.23</v>
      </c>
      <c r="D1017" s="2">
        <v>35</v>
      </c>
      <c r="E1017" s="3">
        <v>0.15</v>
      </c>
    </row>
    <row r="1018" spans="1:5" x14ac:dyDescent="0.2">
      <c r="A1018">
        <v>10633</v>
      </c>
      <c r="B1018">
        <v>62</v>
      </c>
      <c r="C1018" s="2">
        <v>49.3</v>
      </c>
      <c r="D1018" s="2">
        <v>80</v>
      </c>
      <c r="E1018" s="3">
        <v>0.15</v>
      </c>
    </row>
    <row r="1019" spans="1:5" x14ac:dyDescent="0.2">
      <c r="A1019">
        <v>10634</v>
      </c>
      <c r="B1019">
        <v>7</v>
      </c>
      <c r="C1019" s="2">
        <v>30</v>
      </c>
      <c r="D1019" s="2">
        <v>35</v>
      </c>
      <c r="E1019" s="3">
        <v>0</v>
      </c>
    </row>
    <row r="1020" spans="1:5" x14ac:dyDescent="0.2">
      <c r="A1020">
        <v>10634</v>
      </c>
      <c r="B1020">
        <v>18</v>
      </c>
      <c r="C1020" s="2">
        <v>62.5</v>
      </c>
      <c r="D1020" s="2">
        <v>50</v>
      </c>
      <c r="E1020" s="3">
        <v>0</v>
      </c>
    </row>
    <row r="1021" spans="1:5" x14ac:dyDescent="0.2">
      <c r="A1021">
        <v>10634</v>
      </c>
      <c r="B1021">
        <v>51</v>
      </c>
      <c r="C1021" s="2">
        <v>53</v>
      </c>
      <c r="D1021" s="2">
        <v>15</v>
      </c>
      <c r="E1021" s="3">
        <v>0</v>
      </c>
    </row>
    <row r="1022" spans="1:5" x14ac:dyDescent="0.2">
      <c r="A1022">
        <v>10634</v>
      </c>
      <c r="B1022">
        <v>75</v>
      </c>
      <c r="C1022" s="2">
        <v>7.75</v>
      </c>
      <c r="D1022" s="2">
        <v>2</v>
      </c>
      <c r="E1022" s="3">
        <v>0</v>
      </c>
    </row>
    <row r="1023" spans="1:5" x14ac:dyDescent="0.2">
      <c r="A1023">
        <v>10635</v>
      </c>
      <c r="B1023">
        <v>4</v>
      </c>
      <c r="C1023" s="2">
        <v>22</v>
      </c>
      <c r="D1023" s="2">
        <v>10</v>
      </c>
      <c r="E1023" s="3">
        <v>0.1</v>
      </c>
    </row>
    <row r="1024" spans="1:5" x14ac:dyDescent="0.2">
      <c r="A1024">
        <v>10635</v>
      </c>
      <c r="B1024">
        <v>5</v>
      </c>
      <c r="C1024" s="2">
        <v>21.35</v>
      </c>
      <c r="D1024" s="2">
        <v>15</v>
      </c>
      <c r="E1024" s="3">
        <v>0.1</v>
      </c>
    </row>
    <row r="1025" spans="1:5" x14ac:dyDescent="0.2">
      <c r="A1025">
        <v>10635</v>
      </c>
      <c r="B1025">
        <v>22</v>
      </c>
      <c r="C1025" s="2">
        <v>21</v>
      </c>
      <c r="D1025" s="2">
        <v>40</v>
      </c>
      <c r="E1025" s="3">
        <v>0</v>
      </c>
    </row>
    <row r="1026" spans="1:5" x14ac:dyDescent="0.2">
      <c r="A1026">
        <v>10636</v>
      </c>
      <c r="B1026">
        <v>4</v>
      </c>
      <c r="C1026" s="2">
        <v>22</v>
      </c>
      <c r="D1026" s="2">
        <v>25</v>
      </c>
      <c r="E1026" s="3">
        <v>0</v>
      </c>
    </row>
    <row r="1027" spans="1:5" x14ac:dyDescent="0.2">
      <c r="A1027">
        <v>10636</v>
      </c>
      <c r="B1027">
        <v>58</v>
      </c>
      <c r="C1027" s="2">
        <v>13.25</v>
      </c>
      <c r="D1027" s="2">
        <v>6</v>
      </c>
      <c r="E1027" s="3">
        <v>0</v>
      </c>
    </row>
    <row r="1028" spans="1:5" x14ac:dyDescent="0.2">
      <c r="A1028">
        <v>10637</v>
      </c>
      <c r="B1028">
        <v>11</v>
      </c>
      <c r="C1028" s="2">
        <v>21</v>
      </c>
      <c r="D1028" s="2">
        <v>10</v>
      </c>
      <c r="E1028" s="3">
        <v>0</v>
      </c>
    </row>
    <row r="1029" spans="1:5" x14ac:dyDescent="0.2">
      <c r="A1029">
        <v>10637</v>
      </c>
      <c r="B1029">
        <v>50</v>
      </c>
      <c r="C1029" s="2">
        <v>16.25</v>
      </c>
      <c r="D1029" s="2">
        <v>25</v>
      </c>
      <c r="E1029" s="3">
        <v>0.05</v>
      </c>
    </row>
    <row r="1030" spans="1:5" x14ac:dyDescent="0.2">
      <c r="A1030">
        <v>10637</v>
      </c>
      <c r="B1030">
        <v>56</v>
      </c>
      <c r="C1030" s="2">
        <v>38</v>
      </c>
      <c r="D1030" s="2">
        <v>60</v>
      </c>
      <c r="E1030" s="3">
        <v>0.05</v>
      </c>
    </row>
    <row r="1031" spans="1:5" x14ac:dyDescent="0.2">
      <c r="A1031">
        <v>10638</v>
      </c>
      <c r="B1031">
        <v>45</v>
      </c>
      <c r="C1031" s="2">
        <v>9.5</v>
      </c>
      <c r="D1031" s="2">
        <v>20</v>
      </c>
      <c r="E1031" s="3">
        <v>0</v>
      </c>
    </row>
    <row r="1032" spans="1:5" x14ac:dyDescent="0.2">
      <c r="A1032">
        <v>10638</v>
      </c>
      <c r="B1032">
        <v>65</v>
      </c>
      <c r="C1032" s="2">
        <v>21.05</v>
      </c>
      <c r="D1032" s="2">
        <v>21</v>
      </c>
      <c r="E1032" s="3">
        <v>0</v>
      </c>
    </row>
    <row r="1033" spans="1:5" x14ac:dyDescent="0.2">
      <c r="A1033">
        <v>10638</v>
      </c>
      <c r="B1033">
        <v>72</v>
      </c>
      <c r="C1033" s="2">
        <v>34.799999999999997</v>
      </c>
      <c r="D1033" s="2">
        <v>60</v>
      </c>
      <c r="E1033" s="3">
        <v>0</v>
      </c>
    </row>
    <row r="1034" spans="1:5" x14ac:dyDescent="0.2">
      <c r="A1034">
        <v>10639</v>
      </c>
      <c r="B1034">
        <v>18</v>
      </c>
      <c r="C1034" s="2">
        <v>62.5</v>
      </c>
      <c r="D1034" s="2">
        <v>8</v>
      </c>
      <c r="E1034" s="3">
        <v>0</v>
      </c>
    </row>
    <row r="1035" spans="1:5" x14ac:dyDescent="0.2">
      <c r="A1035">
        <v>10640</v>
      </c>
      <c r="B1035">
        <v>69</v>
      </c>
      <c r="C1035" s="2">
        <v>36</v>
      </c>
      <c r="D1035" s="2">
        <v>20</v>
      </c>
      <c r="E1035" s="3">
        <v>0.25</v>
      </c>
    </row>
    <row r="1036" spans="1:5" x14ac:dyDescent="0.2">
      <c r="A1036">
        <v>10640</v>
      </c>
      <c r="B1036">
        <v>70</v>
      </c>
      <c r="C1036" s="2">
        <v>15</v>
      </c>
      <c r="D1036" s="2">
        <v>15</v>
      </c>
      <c r="E1036" s="3">
        <v>0.25</v>
      </c>
    </row>
    <row r="1037" spans="1:5" x14ac:dyDescent="0.2">
      <c r="A1037">
        <v>10641</v>
      </c>
      <c r="B1037">
        <v>2</v>
      </c>
      <c r="C1037" s="2">
        <v>19</v>
      </c>
      <c r="D1037" s="2">
        <v>50</v>
      </c>
      <c r="E1037" s="3">
        <v>0</v>
      </c>
    </row>
    <row r="1038" spans="1:5" x14ac:dyDescent="0.2">
      <c r="A1038">
        <v>10641</v>
      </c>
      <c r="B1038">
        <v>40</v>
      </c>
      <c r="C1038" s="2">
        <v>18.399999999999999</v>
      </c>
      <c r="D1038" s="2">
        <v>60</v>
      </c>
      <c r="E1038" s="3">
        <v>0</v>
      </c>
    </row>
    <row r="1039" spans="1:5" x14ac:dyDescent="0.2">
      <c r="A1039">
        <v>10642</v>
      </c>
      <c r="B1039">
        <v>21</v>
      </c>
      <c r="C1039" s="2">
        <v>10</v>
      </c>
      <c r="D1039" s="2">
        <v>30</v>
      </c>
      <c r="E1039" s="3">
        <v>0.2</v>
      </c>
    </row>
    <row r="1040" spans="1:5" x14ac:dyDescent="0.2">
      <c r="A1040">
        <v>10642</v>
      </c>
      <c r="B1040">
        <v>61</v>
      </c>
      <c r="C1040" s="2">
        <v>28.5</v>
      </c>
      <c r="D1040" s="2">
        <v>20</v>
      </c>
      <c r="E1040" s="3">
        <v>0.2</v>
      </c>
    </row>
    <row r="1041" spans="1:5" x14ac:dyDescent="0.2">
      <c r="A1041">
        <v>10643</v>
      </c>
      <c r="B1041">
        <v>28</v>
      </c>
      <c r="C1041" s="2">
        <v>45.6</v>
      </c>
      <c r="D1041" s="2">
        <v>15</v>
      </c>
      <c r="E1041" s="3">
        <v>0.25</v>
      </c>
    </row>
    <row r="1042" spans="1:5" x14ac:dyDescent="0.2">
      <c r="A1042">
        <v>10643</v>
      </c>
      <c r="B1042">
        <v>39</v>
      </c>
      <c r="C1042" s="2">
        <v>18</v>
      </c>
      <c r="D1042" s="2">
        <v>21</v>
      </c>
      <c r="E1042" s="3">
        <v>0.25</v>
      </c>
    </row>
    <row r="1043" spans="1:5" x14ac:dyDescent="0.2">
      <c r="A1043">
        <v>10643</v>
      </c>
      <c r="B1043">
        <v>46</v>
      </c>
      <c r="C1043" s="2">
        <v>12</v>
      </c>
      <c r="D1043" s="2">
        <v>2</v>
      </c>
      <c r="E1043" s="3">
        <v>0.25</v>
      </c>
    </row>
    <row r="1044" spans="1:5" x14ac:dyDescent="0.2">
      <c r="A1044">
        <v>10644</v>
      </c>
      <c r="B1044">
        <v>18</v>
      </c>
      <c r="C1044" s="2">
        <v>62.5</v>
      </c>
      <c r="D1044" s="2">
        <v>4</v>
      </c>
      <c r="E1044" s="3">
        <v>0.1</v>
      </c>
    </row>
    <row r="1045" spans="1:5" x14ac:dyDescent="0.2">
      <c r="A1045">
        <v>10644</v>
      </c>
      <c r="B1045">
        <v>43</v>
      </c>
      <c r="C1045" s="2">
        <v>46</v>
      </c>
      <c r="D1045" s="2">
        <v>20</v>
      </c>
      <c r="E1045" s="3">
        <v>0</v>
      </c>
    </row>
    <row r="1046" spans="1:5" x14ac:dyDescent="0.2">
      <c r="A1046">
        <v>10644</v>
      </c>
      <c r="B1046">
        <v>46</v>
      </c>
      <c r="C1046" s="2">
        <v>12</v>
      </c>
      <c r="D1046" s="2">
        <v>21</v>
      </c>
      <c r="E1046" s="3">
        <v>0.1</v>
      </c>
    </row>
    <row r="1047" spans="1:5" x14ac:dyDescent="0.2">
      <c r="A1047">
        <v>10645</v>
      </c>
      <c r="B1047">
        <v>18</v>
      </c>
      <c r="C1047" s="2">
        <v>62.5</v>
      </c>
      <c r="D1047" s="2">
        <v>20</v>
      </c>
      <c r="E1047" s="3">
        <v>0</v>
      </c>
    </row>
    <row r="1048" spans="1:5" x14ac:dyDescent="0.2">
      <c r="A1048">
        <v>10645</v>
      </c>
      <c r="B1048">
        <v>36</v>
      </c>
      <c r="C1048" s="2">
        <v>19</v>
      </c>
      <c r="D1048" s="2">
        <v>15</v>
      </c>
      <c r="E1048" s="3">
        <v>0</v>
      </c>
    </row>
    <row r="1049" spans="1:5" x14ac:dyDescent="0.2">
      <c r="A1049">
        <v>10646</v>
      </c>
      <c r="B1049">
        <v>1</v>
      </c>
      <c r="C1049" s="2">
        <v>18</v>
      </c>
      <c r="D1049" s="2">
        <v>15</v>
      </c>
      <c r="E1049" s="3">
        <v>0.25</v>
      </c>
    </row>
    <row r="1050" spans="1:5" x14ac:dyDescent="0.2">
      <c r="A1050">
        <v>10646</v>
      </c>
      <c r="B1050">
        <v>10</v>
      </c>
      <c r="C1050" s="2">
        <v>31</v>
      </c>
      <c r="D1050" s="2">
        <v>18</v>
      </c>
      <c r="E1050" s="3">
        <v>0.25</v>
      </c>
    </row>
    <row r="1051" spans="1:5" x14ac:dyDescent="0.2">
      <c r="A1051">
        <v>10646</v>
      </c>
      <c r="B1051">
        <v>71</v>
      </c>
      <c r="C1051" s="2">
        <v>21.5</v>
      </c>
      <c r="D1051" s="2">
        <v>30</v>
      </c>
      <c r="E1051" s="3">
        <v>0.25</v>
      </c>
    </row>
    <row r="1052" spans="1:5" x14ac:dyDescent="0.2">
      <c r="A1052">
        <v>10646</v>
      </c>
      <c r="B1052">
        <v>77</v>
      </c>
      <c r="C1052" s="2">
        <v>13</v>
      </c>
      <c r="D1052" s="2">
        <v>35</v>
      </c>
      <c r="E1052" s="3">
        <v>0.25</v>
      </c>
    </row>
    <row r="1053" spans="1:5" x14ac:dyDescent="0.2">
      <c r="A1053">
        <v>10647</v>
      </c>
      <c r="B1053">
        <v>19</v>
      </c>
      <c r="C1053" s="2">
        <v>9.1999999999999993</v>
      </c>
      <c r="D1053" s="2">
        <v>30</v>
      </c>
      <c r="E1053" s="3">
        <v>0</v>
      </c>
    </row>
    <row r="1054" spans="1:5" x14ac:dyDescent="0.2">
      <c r="A1054">
        <v>10647</v>
      </c>
      <c r="B1054">
        <v>39</v>
      </c>
      <c r="C1054" s="2">
        <v>18</v>
      </c>
      <c r="D1054" s="2">
        <v>20</v>
      </c>
      <c r="E1054" s="3">
        <v>0</v>
      </c>
    </row>
    <row r="1055" spans="1:5" x14ac:dyDescent="0.2">
      <c r="A1055">
        <v>10648</v>
      </c>
      <c r="B1055">
        <v>22</v>
      </c>
      <c r="C1055" s="2">
        <v>21</v>
      </c>
      <c r="D1055" s="2">
        <v>15</v>
      </c>
      <c r="E1055" s="3">
        <v>0</v>
      </c>
    </row>
    <row r="1056" spans="1:5" x14ac:dyDescent="0.2">
      <c r="A1056">
        <v>10648</v>
      </c>
      <c r="B1056">
        <v>24</v>
      </c>
      <c r="C1056" s="2">
        <v>4.5</v>
      </c>
      <c r="D1056" s="2">
        <v>15</v>
      </c>
      <c r="E1056" s="3">
        <v>0.15</v>
      </c>
    </row>
    <row r="1057" spans="1:5" x14ac:dyDescent="0.2">
      <c r="A1057">
        <v>10649</v>
      </c>
      <c r="B1057">
        <v>28</v>
      </c>
      <c r="C1057" s="2">
        <v>45.6</v>
      </c>
      <c r="D1057" s="2">
        <v>20</v>
      </c>
      <c r="E1057" s="3">
        <v>0</v>
      </c>
    </row>
    <row r="1058" spans="1:5" x14ac:dyDescent="0.2">
      <c r="A1058">
        <v>10649</v>
      </c>
      <c r="B1058">
        <v>72</v>
      </c>
      <c r="C1058" s="2">
        <v>34.799999999999997</v>
      </c>
      <c r="D1058" s="2">
        <v>15</v>
      </c>
      <c r="E1058" s="3">
        <v>0</v>
      </c>
    </row>
    <row r="1059" spans="1:5" x14ac:dyDescent="0.2">
      <c r="A1059">
        <v>10650</v>
      </c>
      <c r="B1059">
        <v>30</v>
      </c>
      <c r="C1059" s="2">
        <v>25.89</v>
      </c>
      <c r="D1059" s="2">
        <v>30</v>
      </c>
      <c r="E1059" s="3">
        <v>0</v>
      </c>
    </row>
    <row r="1060" spans="1:5" x14ac:dyDescent="0.2">
      <c r="A1060">
        <v>10650</v>
      </c>
      <c r="B1060">
        <v>53</v>
      </c>
      <c r="C1060" s="2">
        <v>32.799999999999997</v>
      </c>
      <c r="D1060" s="2">
        <v>25</v>
      </c>
      <c r="E1060" s="3">
        <v>0.05</v>
      </c>
    </row>
    <row r="1061" spans="1:5" x14ac:dyDescent="0.2">
      <c r="A1061">
        <v>10650</v>
      </c>
      <c r="B1061">
        <v>54</v>
      </c>
      <c r="C1061" s="2">
        <v>7.45</v>
      </c>
      <c r="D1061" s="2">
        <v>30</v>
      </c>
      <c r="E1061" s="3">
        <v>0</v>
      </c>
    </row>
    <row r="1062" spans="1:5" x14ac:dyDescent="0.2">
      <c r="A1062">
        <v>10651</v>
      </c>
      <c r="B1062">
        <v>19</v>
      </c>
      <c r="C1062" s="2">
        <v>9.1999999999999993</v>
      </c>
      <c r="D1062" s="2">
        <v>12</v>
      </c>
      <c r="E1062" s="3">
        <v>0.25</v>
      </c>
    </row>
    <row r="1063" spans="1:5" x14ac:dyDescent="0.2">
      <c r="A1063">
        <v>10651</v>
      </c>
      <c r="B1063">
        <v>22</v>
      </c>
      <c r="C1063" s="2">
        <v>21</v>
      </c>
      <c r="D1063" s="2">
        <v>20</v>
      </c>
      <c r="E1063" s="3">
        <v>0.25</v>
      </c>
    </row>
    <row r="1064" spans="1:5" x14ac:dyDescent="0.2">
      <c r="A1064">
        <v>10652</v>
      </c>
      <c r="B1064">
        <v>30</v>
      </c>
      <c r="C1064" s="2">
        <v>25.89</v>
      </c>
      <c r="D1064" s="2">
        <v>2</v>
      </c>
      <c r="E1064" s="3">
        <v>0.25</v>
      </c>
    </row>
    <row r="1065" spans="1:5" x14ac:dyDescent="0.2">
      <c r="A1065">
        <v>10652</v>
      </c>
      <c r="B1065">
        <v>42</v>
      </c>
      <c r="C1065" s="2">
        <v>14</v>
      </c>
      <c r="D1065" s="2">
        <v>20</v>
      </c>
      <c r="E1065" s="3">
        <v>0</v>
      </c>
    </row>
    <row r="1066" spans="1:5" x14ac:dyDescent="0.2">
      <c r="A1066">
        <v>10653</v>
      </c>
      <c r="B1066">
        <v>16</v>
      </c>
      <c r="C1066" s="2">
        <v>17.45</v>
      </c>
      <c r="D1066" s="2">
        <v>30</v>
      </c>
      <c r="E1066" s="3">
        <v>0.1</v>
      </c>
    </row>
    <row r="1067" spans="1:5" x14ac:dyDescent="0.2">
      <c r="A1067">
        <v>10653</v>
      </c>
      <c r="B1067">
        <v>60</v>
      </c>
      <c r="C1067" s="2">
        <v>34</v>
      </c>
      <c r="D1067" s="2">
        <v>20</v>
      </c>
      <c r="E1067" s="3">
        <v>0.1</v>
      </c>
    </row>
    <row r="1068" spans="1:5" x14ac:dyDescent="0.2">
      <c r="A1068">
        <v>10654</v>
      </c>
      <c r="B1068">
        <v>4</v>
      </c>
      <c r="C1068" s="2">
        <v>22</v>
      </c>
      <c r="D1068" s="2">
        <v>12</v>
      </c>
      <c r="E1068" s="3">
        <v>0.1</v>
      </c>
    </row>
    <row r="1069" spans="1:5" x14ac:dyDescent="0.2">
      <c r="A1069">
        <v>10654</v>
      </c>
      <c r="B1069">
        <v>39</v>
      </c>
      <c r="C1069" s="2">
        <v>18</v>
      </c>
      <c r="D1069" s="2">
        <v>20</v>
      </c>
      <c r="E1069" s="3">
        <v>0.1</v>
      </c>
    </row>
    <row r="1070" spans="1:5" x14ac:dyDescent="0.2">
      <c r="A1070">
        <v>10654</v>
      </c>
      <c r="B1070">
        <v>54</v>
      </c>
      <c r="C1070" s="2">
        <v>7.45</v>
      </c>
      <c r="D1070" s="2">
        <v>6</v>
      </c>
      <c r="E1070" s="3">
        <v>0.1</v>
      </c>
    </row>
    <row r="1071" spans="1:5" x14ac:dyDescent="0.2">
      <c r="A1071">
        <v>10655</v>
      </c>
      <c r="B1071">
        <v>41</v>
      </c>
      <c r="C1071" s="2">
        <v>9.65</v>
      </c>
      <c r="D1071" s="2">
        <v>20</v>
      </c>
      <c r="E1071" s="3">
        <v>0.2</v>
      </c>
    </row>
    <row r="1072" spans="1:5" x14ac:dyDescent="0.2">
      <c r="A1072">
        <v>10656</v>
      </c>
      <c r="B1072">
        <v>14</v>
      </c>
      <c r="C1072" s="2">
        <v>23.25</v>
      </c>
      <c r="D1072" s="2">
        <v>3</v>
      </c>
      <c r="E1072" s="3">
        <v>0.1</v>
      </c>
    </row>
    <row r="1073" spans="1:5" x14ac:dyDescent="0.2">
      <c r="A1073">
        <v>10656</v>
      </c>
      <c r="B1073">
        <v>44</v>
      </c>
      <c r="C1073" s="2">
        <v>19.45</v>
      </c>
      <c r="D1073" s="2">
        <v>28</v>
      </c>
      <c r="E1073" s="3">
        <v>0.1</v>
      </c>
    </row>
    <row r="1074" spans="1:5" x14ac:dyDescent="0.2">
      <c r="A1074">
        <v>10656</v>
      </c>
      <c r="B1074">
        <v>47</v>
      </c>
      <c r="C1074" s="2">
        <v>9.5</v>
      </c>
      <c r="D1074" s="2">
        <v>6</v>
      </c>
      <c r="E1074" s="3">
        <v>0.1</v>
      </c>
    </row>
    <row r="1075" spans="1:5" x14ac:dyDescent="0.2">
      <c r="A1075">
        <v>10657</v>
      </c>
      <c r="B1075">
        <v>15</v>
      </c>
      <c r="C1075" s="2">
        <v>15.5</v>
      </c>
      <c r="D1075" s="2">
        <v>50</v>
      </c>
      <c r="E1075" s="3">
        <v>0</v>
      </c>
    </row>
    <row r="1076" spans="1:5" x14ac:dyDescent="0.2">
      <c r="A1076">
        <v>10657</v>
      </c>
      <c r="B1076">
        <v>41</v>
      </c>
      <c r="C1076" s="2">
        <v>9.65</v>
      </c>
      <c r="D1076" s="2">
        <v>24</v>
      </c>
      <c r="E1076" s="3">
        <v>0</v>
      </c>
    </row>
    <row r="1077" spans="1:5" x14ac:dyDescent="0.2">
      <c r="A1077">
        <v>10657</v>
      </c>
      <c r="B1077">
        <v>46</v>
      </c>
      <c r="C1077" s="2">
        <v>12</v>
      </c>
      <c r="D1077" s="2">
        <v>45</v>
      </c>
      <c r="E1077" s="3">
        <v>0</v>
      </c>
    </row>
    <row r="1078" spans="1:5" x14ac:dyDescent="0.2">
      <c r="A1078">
        <v>10657</v>
      </c>
      <c r="B1078">
        <v>47</v>
      </c>
      <c r="C1078" s="2">
        <v>9.5</v>
      </c>
      <c r="D1078" s="2">
        <v>10</v>
      </c>
      <c r="E1078" s="3">
        <v>0</v>
      </c>
    </row>
    <row r="1079" spans="1:5" x14ac:dyDescent="0.2">
      <c r="A1079">
        <v>10657</v>
      </c>
      <c r="B1079">
        <v>56</v>
      </c>
      <c r="C1079" s="2">
        <v>38</v>
      </c>
      <c r="D1079" s="2">
        <v>45</v>
      </c>
      <c r="E1079" s="3">
        <v>0</v>
      </c>
    </row>
    <row r="1080" spans="1:5" x14ac:dyDescent="0.2">
      <c r="A1080">
        <v>10657</v>
      </c>
      <c r="B1080">
        <v>60</v>
      </c>
      <c r="C1080" s="2">
        <v>34</v>
      </c>
      <c r="D1080" s="2">
        <v>30</v>
      </c>
      <c r="E1080" s="3">
        <v>0</v>
      </c>
    </row>
    <row r="1081" spans="1:5" x14ac:dyDescent="0.2">
      <c r="A1081">
        <v>10658</v>
      </c>
      <c r="B1081">
        <v>21</v>
      </c>
      <c r="C1081" s="2">
        <v>10</v>
      </c>
      <c r="D1081" s="2">
        <v>60</v>
      </c>
      <c r="E1081" s="3">
        <v>0</v>
      </c>
    </row>
    <row r="1082" spans="1:5" x14ac:dyDescent="0.2">
      <c r="A1082">
        <v>10658</v>
      </c>
      <c r="B1082">
        <v>40</v>
      </c>
      <c r="C1082" s="2">
        <v>18.399999999999999</v>
      </c>
      <c r="D1082" s="2">
        <v>70</v>
      </c>
      <c r="E1082" s="3">
        <v>0.05</v>
      </c>
    </row>
    <row r="1083" spans="1:5" x14ac:dyDescent="0.2">
      <c r="A1083">
        <v>10658</v>
      </c>
      <c r="B1083">
        <v>60</v>
      </c>
      <c r="C1083" s="2">
        <v>34</v>
      </c>
      <c r="D1083" s="2">
        <v>55</v>
      </c>
      <c r="E1083" s="3">
        <v>0.05</v>
      </c>
    </row>
    <row r="1084" spans="1:5" x14ac:dyDescent="0.2">
      <c r="A1084">
        <v>10658</v>
      </c>
      <c r="B1084">
        <v>77</v>
      </c>
      <c r="C1084" s="2">
        <v>13</v>
      </c>
      <c r="D1084" s="2">
        <v>70</v>
      </c>
      <c r="E1084" s="3">
        <v>0.05</v>
      </c>
    </row>
    <row r="1085" spans="1:5" x14ac:dyDescent="0.2">
      <c r="A1085">
        <v>10659</v>
      </c>
      <c r="B1085">
        <v>31</v>
      </c>
      <c r="C1085" s="2">
        <v>12.5</v>
      </c>
      <c r="D1085" s="2">
        <v>20</v>
      </c>
      <c r="E1085" s="3">
        <v>0.05</v>
      </c>
    </row>
    <row r="1086" spans="1:5" x14ac:dyDescent="0.2">
      <c r="A1086">
        <v>10659</v>
      </c>
      <c r="B1086">
        <v>40</v>
      </c>
      <c r="C1086" s="2">
        <v>18.399999999999999</v>
      </c>
      <c r="D1086" s="2">
        <v>24</v>
      </c>
      <c r="E1086" s="3">
        <v>0.05</v>
      </c>
    </row>
    <row r="1087" spans="1:5" x14ac:dyDescent="0.2">
      <c r="A1087">
        <v>10659</v>
      </c>
      <c r="B1087">
        <v>70</v>
      </c>
      <c r="C1087" s="2">
        <v>15</v>
      </c>
      <c r="D1087" s="2">
        <v>40</v>
      </c>
      <c r="E1087" s="3">
        <v>0.05</v>
      </c>
    </row>
    <row r="1088" spans="1:5" x14ac:dyDescent="0.2">
      <c r="A1088">
        <v>10660</v>
      </c>
      <c r="B1088">
        <v>20</v>
      </c>
      <c r="C1088" s="2">
        <v>81</v>
      </c>
      <c r="D1088" s="2">
        <v>21</v>
      </c>
      <c r="E1088" s="3">
        <v>0</v>
      </c>
    </row>
    <row r="1089" spans="1:5" x14ac:dyDescent="0.2">
      <c r="A1089">
        <v>10661</v>
      </c>
      <c r="B1089">
        <v>39</v>
      </c>
      <c r="C1089" s="2">
        <v>18</v>
      </c>
      <c r="D1089" s="2">
        <v>3</v>
      </c>
      <c r="E1089" s="3">
        <v>0.2</v>
      </c>
    </row>
    <row r="1090" spans="1:5" x14ac:dyDescent="0.2">
      <c r="A1090">
        <v>10661</v>
      </c>
      <c r="B1090">
        <v>58</v>
      </c>
      <c r="C1090" s="2">
        <v>13.25</v>
      </c>
      <c r="D1090" s="2">
        <v>49</v>
      </c>
      <c r="E1090" s="3">
        <v>0.2</v>
      </c>
    </row>
    <row r="1091" spans="1:5" x14ac:dyDescent="0.2">
      <c r="A1091">
        <v>10662</v>
      </c>
      <c r="B1091">
        <v>68</v>
      </c>
      <c r="C1091" s="2">
        <v>12.5</v>
      </c>
      <c r="D1091" s="2">
        <v>10</v>
      </c>
      <c r="E1091" s="3">
        <v>0</v>
      </c>
    </row>
    <row r="1092" spans="1:5" x14ac:dyDescent="0.2">
      <c r="A1092">
        <v>10663</v>
      </c>
      <c r="B1092">
        <v>40</v>
      </c>
      <c r="C1092" s="2">
        <v>18.399999999999999</v>
      </c>
      <c r="D1092" s="2">
        <v>30</v>
      </c>
      <c r="E1092" s="3">
        <v>0.05</v>
      </c>
    </row>
    <row r="1093" spans="1:5" x14ac:dyDescent="0.2">
      <c r="A1093">
        <v>10663</v>
      </c>
      <c r="B1093">
        <v>42</v>
      </c>
      <c r="C1093" s="2">
        <v>14</v>
      </c>
      <c r="D1093" s="2">
        <v>30</v>
      </c>
      <c r="E1093" s="3">
        <v>0.05</v>
      </c>
    </row>
    <row r="1094" spans="1:5" x14ac:dyDescent="0.2">
      <c r="A1094">
        <v>10663</v>
      </c>
      <c r="B1094">
        <v>51</v>
      </c>
      <c r="C1094" s="2">
        <v>53</v>
      </c>
      <c r="D1094" s="2">
        <v>20</v>
      </c>
      <c r="E1094" s="3">
        <v>0.05</v>
      </c>
    </row>
    <row r="1095" spans="1:5" x14ac:dyDescent="0.2">
      <c r="A1095">
        <v>10664</v>
      </c>
      <c r="B1095">
        <v>10</v>
      </c>
      <c r="C1095" s="2">
        <v>31</v>
      </c>
      <c r="D1095" s="2">
        <v>24</v>
      </c>
      <c r="E1095" s="3">
        <v>0.15</v>
      </c>
    </row>
    <row r="1096" spans="1:5" x14ac:dyDescent="0.2">
      <c r="A1096">
        <v>10664</v>
      </c>
      <c r="B1096">
        <v>56</v>
      </c>
      <c r="C1096" s="2">
        <v>38</v>
      </c>
      <c r="D1096" s="2">
        <v>12</v>
      </c>
      <c r="E1096" s="3">
        <v>0.15</v>
      </c>
    </row>
    <row r="1097" spans="1:5" x14ac:dyDescent="0.2">
      <c r="A1097">
        <v>10664</v>
      </c>
      <c r="B1097">
        <v>65</v>
      </c>
      <c r="C1097" s="2">
        <v>21.05</v>
      </c>
      <c r="D1097" s="2">
        <v>15</v>
      </c>
      <c r="E1097" s="3">
        <v>0.15</v>
      </c>
    </row>
    <row r="1098" spans="1:5" x14ac:dyDescent="0.2">
      <c r="A1098">
        <v>10665</v>
      </c>
      <c r="B1098">
        <v>51</v>
      </c>
      <c r="C1098" s="2">
        <v>53</v>
      </c>
      <c r="D1098" s="2">
        <v>20</v>
      </c>
      <c r="E1098" s="3">
        <v>0</v>
      </c>
    </row>
    <row r="1099" spans="1:5" x14ac:dyDescent="0.2">
      <c r="A1099">
        <v>10665</v>
      </c>
      <c r="B1099">
        <v>59</v>
      </c>
      <c r="C1099" s="2">
        <v>55</v>
      </c>
      <c r="D1099" s="2">
        <v>1</v>
      </c>
      <c r="E1099" s="3">
        <v>0</v>
      </c>
    </row>
    <row r="1100" spans="1:5" x14ac:dyDescent="0.2">
      <c r="A1100">
        <v>10665</v>
      </c>
      <c r="B1100">
        <v>76</v>
      </c>
      <c r="C1100" s="2">
        <v>18</v>
      </c>
      <c r="D1100" s="2">
        <v>10</v>
      </c>
      <c r="E1100" s="3">
        <v>0</v>
      </c>
    </row>
    <row r="1101" spans="1:5" x14ac:dyDescent="0.2">
      <c r="A1101">
        <v>10666</v>
      </c>
      <c r="B1101">
        <v>29</v>
      </c>
      <c r="C1101" s="2">
        <v>123.79</v>
      </c>
      <c r="D1101" s="2">
        <v>36</v>
      </c>
      <c r="E1101" s="3">
        <v>0</v>
      </c>
    </row>
    <row r="1102" spans="1:5" x14ac:dyDescent="0.2">
      <c r="A1102">
        <v>10666</v>
      </c>
      <c r="B1102">
        <v>65</v>
      </c>
      <c r="C1102" s="2">
        <v>21.05</v>
      </c>
      <c r="D1102" s="2">
        <v>10</v>
      </c>
      <c r="E1102" s="3">
        <v>0</v>
      </c>
    </row>
    <row r="1103" spans="1:5" x14ac:dyDescent="0.2">
      <c r="A1103">
        <v>10667</v>
      </c>
      <c r="B1103">
        <v>69</v>
      </c>
      <c r="C1103" s="2">
        <v>36</v>
      </c>
      <c r="D1103" s="2">
        <v>45</v>
      </c>
      <c r="E1103" s="3">
        <v>0.2</v>
      </c>
    </row>
    <row r="1104" spans="1:5" x14ac:dyDescent="0.2">
      <c r="A1104">
        <v>10667</v>
      </c>
      <c r="B1104">
        <v>71</v>
      </c>
      <c r="C1104" s="2">
        <v>21.5</v>
      </c>
      <c r="D1104" s="2">
        <v>14</v>
      </c>
      <c r="E1104" s="3">
        <v>0.2</v>
      </c>
    </row>
    <row r="1105" spans="1:5" x14ac:dyDescent="0.2">
      <c r="A1105">
        <v>10668</v>
      </c>
      <c r="B1105">
        <v>31</v>
      </c>
      <c r="C1105" s="2">
        <v>12.5</v>
      </c>
      <c r="D1105" s="2">
        <v>8</v>
      </c>
      <c r="E1105" s="3">
        <v>0.1</v>
      </c>
    </row>
    <row r="1106" spans="1:5" x14ac:dyDescent="0.2">
      <c r="A1106">
        <v>10668</v>
      </c>
      <c r="B1106">
        <v>55</v>
      </c>
      <c r="C1106" s="2">
        <v>24</v>
      </c>
      <c r="D1106" s="2">
        <v>4</v>
      </c>
      <c r="E1106" s="3">
        <v>0.1</v>
      </c>
    </row>
    <row r="1107" spans="1:5" x14ac:dyDescent="0.2">
      <c r="A1107">
        <v>10668</v>
      </c>
      <c r="B1107">
        <v>64</v>
      </c>
      <c r="C1107" s="2">
        <v>33.25</v>
      </c>
      <c r="D1107" s="2">
        <v>15</v>
      </c>
      <c r="E1107" s="3">
        <v>0.1</v>
      </c>
    </row>
    <row r="1108" spans="1:5" x14ac:dyDescent="0.2">
      <c r="A1108">
        <v>10669</v>
      </c>
      <c r="B1108">
        <v>36</v>
      </c>
      <c r="C1108" s="2">
        <v>19</v>
      </c>
      <c r="D1108" s="2">
        <v>30</v>
      </c>
      <c r="E1108" s="3">
        <v>0</v>
      </c>
    </row>
    <row r="1109" spans="1:5" x14ac:dyDescent="0.2">
      <c r="A1109">
        <v>10670</v>
      </c>
      <c r="B1109">
        <v>23</v>
      </c>
      <c r="C1109" s="2">
        <v>9</v>
      </c>
      <c r="D1109" s="2">
        <v>32</v>
      </c>
      <c r="E1109" s="3">
        <v>0</v>
      </c>
    </row>
    <row r="1110" spans="1:5" x14ac:dyDescent="0.2">
      <c r="A1110">
        <v>10670</v>
      </c>
      <c r="B1110">
        <v>46</v>
      </c>
      <c r="C1110" s="2">
        <v>12</v>
      </c>
      <c r="D1110" s="2">
        <v>60</v>
      </c>
      <c r="E1110" s="3">
        <v>0</v>
      </c>
    </row>
    <row r="1111" spans="1:5" x14ac:dyDescent="0.2">
      <c r="A1111">
        <v>10670</v>
      </c>
      <c r="B1111">
        <v>67</v>
      </c>
      <c r="C1111" s="2">
        <v>14</v>
      </c>
      <c r="D1111" s="2">
        <v>25</v>
      </c>
      <c r="E1111" s="3">
        <v>0</v>
      </c>
    </row>
    <row r="1112" spans="1:5" x14ac:dyDescent="0.2">
      <c r="A1112">
        <v>10670</v>
      </c>
      <c r="B1112">
        <v>73</v>
      </c>
      <c r="C1112" s="2">
        <v>15</v>
      </c>
      <c r="D1112" s="2">
        <v>50</v>
      </c>
      <c r="E1112" s="3">
        <v>0</v>
      </c>
    </row>
    <row r="1113" spans="1:5" x14ac:dyDescent="0.2">
      <c r="A1113">
        <v>10670</v>
      </c>
      <c r="B1113">
        <v>75</v>
      </c>
      <c r="C1113" s="2">
        <v>7.75</v>
      </c>
      <c r="D1113" s="2">
        <v>25</v>
      </c>
      <c r="E1113" s="3">
        <v>0</v>
      </c>
    </row>
    <row r="1114" spans="1:5" x14ac:dyDescent="0.2">
      <c r="A1114">
        <v>10671</v>
      </c>
      <c r="B1114">
        <v>16</v>
      </c>
      <c r="C1114" s="2">
        <v>17.45</v>
      </c>
      <c r="D1114" s="2">
        <v>10</v>
      </c>
      <c r="E1114" s="3">
        <v>0</v>
      </c>
    </row>
    <row r="1115" spans="1:5" x14ac:dyDescent="0.2">
      <c r="A1115">
        <v>10671</v>
      </c>
      <c r="B1115">
        <v>62</v>
      </c>
      <c r="C1115" s="2">
        <v>49.3</v>
      </c>
      <c r="D1115" s="2">
        <v>10</v>
      </c>
      <c r="E1115" s="3">
        <v>0</v>
      </c>
    </row>
    <row r="1116" spans="1:5" x14ac:dyDescent="0.2">
      <c r="A1116">
        <v>10671</v>
      </c>
      <c r="B1116">
        <v>65</v>
      </c>
      <c r="C1116" s="2">
        <v>21.05</v>
      </c>
      <c r="D1116" s="2">
        <v>12</v>
      </c>
      <c r="E1116" s="3">
        <v>0</v>
      </c>
    </row>
    <row r="1117" spans="1:5" x14ac:dyDescent="0.2">
      <c r="A1117">
        <v>10672</v>
      </c>
      <c r="B1117">
        <v>38</v>
      </c>
      <c r="C1117" s="2">
        <v>263.5</v>
      </c>
      <c r="D1117" s="2">
        <v>15</v>
      </c>
      <c r="E1117" s="3">
        <v>0.1</v>
      </c>
    </row>
    <row r="1118" spans="1:5" x14ac:dyDescent="0.2">
      <c r="A1118">
        <v>10672</v>
      </c>
      <c r="B1118">
        <v>71</v>
      </c>
      <c r="C1118" s="2">
        <v>21.5</v>
      </c>
      <c r="D1118" s="2">
        <v>12</v>
      </c>
      <c r="E1118" s="3">
        <v>0</v>
      </c>
    </row>
    <row r="1119" spans="1:5" x14ac:dyDescent="0.2">
      <c r="A1119">
        <v>10673</v>
      </c>
      <c r="B1119">
        <v>16</v>
      </c>
      <c r="C1119" s="2">
        <v>17.45</v>
      </c>
      <c r="D1119" s="2">
        <v>3</v>
      </c>
      <c r="E1119" s="3">
        <v>0</v>
      </c>
    </row>
    <row r="1120" spans="1:5" x14ac:dyDescent="0.2">
      <c r="A1120">
        <v>10673</v>
      </c>
      <c r="B1120">
        <v>42</v>
      </c>
      <c r="C1120" s="2">
        <v>14</v>
      </c>
      <c r="D1120" s="2">
        <v>6</v>
      </c>
      <c r="E1120" s="3">
        <v>0</v>
      </c>
    </row>
    <row r="1121" spans="1:5" x14ac:dyDescent="0.2">
      <c r="A1121">
        <v>10673</v>
      </c>
      <c r="B1121">
        <v>43</v>
      </c>
      <c r="C1121" s="2">
        <v>46</v>
      </c>
      <c r="D1121" s="2">
        <v>6</v>
      </c>
      <c r="E1121" s="3">
        <v>0</v>
      </c>
    </row>
    <row r="1122" spans="1:5" x14ac:dyDescent="0.2">
      <c r="A1122">
        <v>10674</v>
      </c>
      <c r="B1122">
        <v>23</v>
      </c>
      <c r="C1122" s="2">
        <v>9</v>
      </c>
      <c r="D1122" s="2">
        <v>5</v>
      </c>
      <c r="E1122" s="3">
        <v>0</v>
      </c>
    </row>
    <row r="1123" spans="1:5" x14ac:dyDescent="0.2">
      <c r="A1123">
        <v>10675</v>
      </c>
      <c r="B1123">
        <v>14</v>
      </c>
      <c r="C1123" s="2">
        <v>23.25</v>
      </c>
      <c r="D1123" s="2">
        <v>30</v>
      </c>
      <c r="E1123" s="3">
        <v>0</v>
      </c>
    </row>
    <row r="1124" spans="1:5" x14ac:dyDescent="0.2">
      <c r="A1124">
        <v>10675</v>
      </c>
      <c r="B1124">
        <v>53</v>
      </c>
      <c r="C1124" s="2">
        <v>32.799999999999997</v>
      </c>
      <c r="D1124" s="2">
        <v>10</v>
      </c>
      <c r="E1124" s="3">
        <v>0</v>
      </c>
    </row>
    <row r="1125" spans="1:5" x14ac:dyDescent="0.2">
      <c r="A1125">
        <v>10675</v>
      </c>
      <c r="B1125">
        <v>58</v>
      </c>
      <c r="C1125" s="2">
        <v>13.25</v>
      </c>
      <c r="D1125" s="2">
        <v>30</v>
      </c>
      <c r="E1125" s="3">
        <v>0</v>
      </c>
    </row>
    <row r="1126" spans="1:5" x14ac:dyDescent="0.2">
      <c r="A1126">
        <v>10676</v>
      </c>
      <c r="B1126">
        <v>10</v>
      </c>
      <c r="C1126" s="2">
        <v>31</v>
      </c>
      <c r="D1126" s="2">
        <v>2</v>
      </c>
      <c r="E1126" s="3">
        <v>0</v>
      </c>
    </row>
    <row r="1127" spans="1:5" x14ac:dyDescent="0.2">
      <c r="A1127">
        <v>10676</v>
      </c>
      <c r="B1127">
        <v>19</v>
      </c>
      <c r="C1127" s="2">
        <v>9.1999999999999993</v>
      </c>
      <c r="D1127" s="2">
        <v>7</v>
      </c>
      <c r="E1127" s="3">
        <v>0</v>
      </c>
    </row>
    <row r="1128" spans="1:5" x14ac:dyDescent="0.2">
      <c r="A1128">
        <v>10676</v>
      </c>
      <c r="B1128">
        <v>44</v>
      </c>
      <c r="C1128" s="2">
        <v>19.45</v>
      </c>
      <c r="D1128" s="2">
        <v>21</v>
      </c>
      <c r="E1128" s="3">
        <v>0</v>
      </c>
    </row>
    <row r="1129" spans="1:5" x14ac:dyDescent="0.2">
      <c r="A1129">
        <v>10677</v>
      </c>
      <c r="B1129">
        <v>26</v>
      </c>
      <c r="C1129" s="2">
        <v>31.23</v>
      </c>
      <c r="D1129" s="2">
        <v>30</v>
      </c>
      <c r="E1129" s="3">
        <v>0.15</v>
      </c>
    </row>
    <row r="1130" spans="1:5" x14ac:dyDescent="0.2">
      <c r="A1130">
        <v>10677</v>
      </c>
      <c r="B1130">
        <v>33</v>
      </c>
      <c r="C1130" s="2">
        <v>2.5</v>
      </c>
      <c r="D1130" s="2">
        <v>8</v>
      </c>
      <c r="E1130" s="3">
        <v>0.15</v>
      </c>
    </row>
    <row r="1131" spans="1:5" x14ac:dyDescent="0.2">
      <c r="A1131">
        <v>10678</v>
      </c>
      <c r="B1131">
        <v>12</v>
      </c>
      <c r="C1131" s="2">
        <v>38</v>
      </c>
      <c r="D1131" s="2">
        <v>100</v>
      </c>
      <c r="E1131" s="3">
        <v>0</v>
      </c>
    </row>
    <row r="1132" spans="1:5" x14ac:dyDescent="0.2">
      <c r="A1132">
        <v>10678</v>
      </c>
      <c r="B1132">
        <v>33</v>
      </c>
      <c r="C1132" s="2">
        <v>2.5</v>
      </c>
      <c r="D1132" s="2">
        <v>30</v>
      </c>
      <c r="E1132" s="3">
        <v>0</v>
      </c>
    </row>
    <row r="1133" spans="1:5" x14ac:dyDescent="0.2">
      <c r="A1133">
        <v>10678</v>
      </c>
      <c r="B1133">
        <v>41</v>
      </c>
      <c r="C1133" s="2">
        <v>9.65</v>
      </c>
      <c r="D1133" s="2">
        <v>120</v>
      </c>
      <c r="E1133" s="3">
        <v>0</v>
      </c>
    </row>
    <row r="1134" spans="1:5" x14ac:dyDescent="0.2">
      <c r="A1134">
        <v>10678</v>
      </c>
      <c r="B1134">
        <v>54</v>
      </c>
      <c r="C1134" s="2">
        <v>7.45</v>
      </c>
      <c r="D1134" s="2">
        <v>30</v>
      </c>
      <c r="E1134" s="3">
        <v>0</v>
      </c>
    </row>
    <row r="1135" spans="1:5" x14ac:dyDescent="0.2">
      <c r="A1135">
        <v>10679</v>
      </c>
      <c r="B1135">
        <v>59</v>
      </c>
      <c r="C1135" s="2">
        <v>55</v>
      </c>
      <c r="D1135" s="2">
        <v>12</v>
      </c>
      <c r="E1135" s="3">
        <v>0</v>
      </c>
    </row>
    <row r="1136" spans="1:5" x14ac:dyDescent="0.2">
      <c r="A1136">
        <v>10680</v>
      </c>
      <c r="B1136">
        <v>16</v>
      </c>
      <c r="C1136" s="2">
        <v>17.45</v>
      </c>
      <c r="D1136" s="2">
        <v>50</v>
      </c>
      <c r="E1136" s="3">
        <v>0.25</v>
      </c>
    </row>
    <row r="1137" spans="1:5" x14ac:dyDescent="0.2">
      <c r="A1137">
        <v>10680</v>
      </c>
      <c r="B1137">
        <v>31</v>
      </c>
      <c r="C1137" s="2">
        <v>12.5</v>
      </c>
      <c r="D1137" s="2">
        <v>20</v>
      </c>
      <c r="E1137" s="3">
        <v>0.25</v>
      </c>
    </row>
    <row r="1138" spans="1:5" x14ac:dyDescent="0.2">
      <c r="A1138">
        <v>10680</v>
      </c>
      <c r="B1138">
        <v>42</v>
      </c>
      <c r="C1138" s="2">
        <v>14</v>
      </c>
      <c r="D1138" s="2">
        <v>40</v>
      </c>
      <c r="E1138" s="3">
        <v>0.25</v>
      </c>
    </row>
    <row r="1139" spans="1:5" x14ac:dyDescent="0.2">
      <c r="A1139">
        <v>10681</v>
      </c>
      <c r="B1139">
        <v>19</v>
      </c>
      <c r="C1139" s="2">
        <v>9.1999999999999993</v>
      </c>
      <c r="D1139" s="2">
        <v>30</v>
      </c>
      <c r="E1139" s="3">
        <v>0.1</v>
      </c>
    </row>
    <row r="1140" spans="1:5" x14ac:dyDescent="0.2">
      <c r="A1140">
        <v>10681</v>
      </c>
      <c r="B1140">
        <v>21</v>
      </c>
      <c r="C1140" s="2">
        <v>10</v>
      </c>
      <c r="D1140" s="2">
        <v>12</v>
      </c>
      <c r="E1140" s="3">
        <v>0.1</v>
      </c>
    </row>
    <row r="1141" spans="1:5" x14ac:dyDescent="0.2">
      <c r="A1141">
        <v>10681</v>
      </c>
      <c r="B1141">
        <v>64</v>
      </c>
      <c r="C1141" s="2">
        <v>33.25</v>
      </c>
      <c r="D1141" s="2">
        <v>28</v>
      </c>
      <c r="E1141" s="3">
        <v>0</v>
      </c>
    </row>
    <row r="1142" spans="1:5" x14ac:dyDescent="0.2">
      <c r="A1142">
        <v>10682</v>
      </c>
      <c r="B1142">
        <v>33</v>
      </c>
      <c r="C1142" s="2">
        <v>2.5</v>
      </c>
      <c r="D1142" s="2">
        <v>30</v>
      </c>
      <c r="E1142" s="3">
        <v>0</v>
      </c>
    </row>
    <row r="1143" spans="1:5" x14ac:dyDescent="0.2">
      <c r="A1143">
        <v>10682</v>
      </c>
      <c r="B1143">
        <v>66</v>
      </c>
      <c r="C1143" s="2">
        <v>17</v>
      </c>
      <c r="D1143" s="2">
        <v>4</v>
      </c>
      <c r="E1143" s="3">
        <v>0</v>
      </c>
    </row>
    <row r="1144" spans="1:5" x14ac:dyDescent="0.2">
      <c r="A1144">
        <v>10682</v>
      </c>
      <c r="B1144">
        <v>75</v>
      </c>
      <c r="C1144" s="2">
        <v>7.75</v>
      </c>
      <c r="D1144" s="2">
        <v>30</v>
      </c>
      <c r="E1144" s="3">
        <v>0</v>
      </c>
    </row>
    <row r="1145" spans="1:5" x14ac:dyDescent="0.2">
      <c r="A1145">
        <v>10683</v>
      </c>
      <c r="B1145">
        <v>52</v>
      </c>
      <c r="C1145" s="2">
        <v>7</v>
      </c>
      <c r="D1145" s="2">
        <v>9</v>
      </c>
      <c r="E1145" s="3">
        <v>0</v>
      </c>
    </row>
    <row r="1146" spans="1:5" x14ac:dyDescent="0.2">
      <c r="A1146">
        <v>10684</v>
      </c>
      <c r="B1146">
        <v>40</v>
      </c>
      <c r="C1146" s="2">
        <v>18.399999999999999</v>
      </c>
      <c r="D1146" s="2">
        <v>20</v>
      </c>
      <c r="E1146" s="3">
        <v>0</v>
      </c>
    </row>
    <row r="1147" spans="1:5" x14ac:dyDescent="0.2">
      <c r="A1147">
        <v>10684</v>
      </c>
      <c r="B1147">
        <v>47</v>
      </c>
      <c r="C1147" s="2">
        <v>9.5</v>
      </c>
      <c r="D1147" s="2">
        <v>40</v>
      </c>
      <c r="E1147" s="3">
        <v>0</v>
      </c>
    </row>
    <row r="1148" spans="1:5" x14ac:dyDescent="0.2">
      <c r="A1148">
        <v>10684</v>
      </c>
      <c r="B1148">
        <v>60</v>
      </c>
      <c r="C1148" s="2">
        <v>34</v>
      </c>
      <c r="D1148" s="2">
        <v>30</v>
      </c>
      <c r="E1148" s="3">
        <v>0</v>
      </c>
    </row>
    <row r="1149" spans="1:5" x14ac:dyDescent="0.2">
      <c r="A1149">
        <v>10685</v>
      </c>
      <c r="B1149">
        <v>10</v>
      </c>
      <c r="C1149" s="2">
        <v>31</v>
      </c>
      <c r="D1149" s="2">
        <v>20</v>
      </c>
      <c r="E1149" s="3">
        <v>0</v>
      </c>
    </row>
    <row r="1150" spans="1:5" x14ac:dyDescent="0.2">
      <c r="A1150">
        <v>10685</v>
      </c>
      <c r="B1150">
        <v>41</v>
      </c>
      <c r="C1150" s="2">
        <v>9.65</v>
      </c>
      <c r="D1150" s="2">
        <v>4</v>
      </c>
      <c r="E1150" s="3">
        <v>0</v>
      </c>
    </row>
    <row r="1151" spans="1:5" x14ac:dyDescent="0.2">
      <c r="A1151">
        <v>10685</v>
      </c>
      <c r="B1151">
        <v>47</v>
      </c>
      <c r="C1151" s="2">
        <v>9.5</v>
      </c>
      <c r="D1151" s="2">
        <v>15</v>
      </c>
      <c r="E1151" s="3">
        <v>0</v>
      </c>
    </row>
    <row r="1152" spans="1:5" x14ac:dyDescent="0.2">
      <c r="A1152">
        <v>10686</v>
      </c>
      <c r="B1152">
        <v>17</v>
      </c>
      <c r="C1152" s="2">
        <v>39</v>
      </c>
      <c r="D1152" s="2">
        <v>30</v>
      </c>
      <c r="E1152" s="3">
        <v>0.2</v>
      </c>
    </row>
    <row r="1153" spans="1:5" x14ac:dyDescent="0.2">
      <c r="A1153">
        <v>10686</v>
      </c>
      <c r="B1153">
        <v>26</v>
      </c>
      <c r="C1153" s="2">
        <v>31.23</v>
      </c>
      <c r="D1153" s="2">
        <v>15</v>
      </c>
      <c r="E1153" s="3">
        <v>0</v>
      </c>
    </row>
    <row r="1154" spans="1:5" x14ac:dyDescent="0.2">
      <c r="A1154">
        <v>10687</v>
      </c>
      <c r="B1154">
        <v>9</v>
      </c>
      <c r="C1154" s="2">
        <v>97</v>
      </c>
      <c r="D1154" s="2">
        <v>50</v>
      </c>
      <c r="E1154" s="3">
        <v>0.25</v>
      </c>
    </row>
    <row r="1155" spans="1:5" x14ac:dyDescent="0.2">
      <c r="A1155">
        <v>10687</v>
      </c>
      <c r="B1155">
        <v>29</v>
      </c>
      <c r="C1155" s="2">
        <v>123.79</v>
      </c>
      <c r="D1155" s="2">
        <v>10</v>
      </c>
      <c r="E1155" s="3">
        <v>0</v>
      </c>
    </row>
    <row r="1156" spans="1:5" x14ac:dyDescent="0.2">
      <c r="A1156">
        <v>10687</v>
      </c>
      <c r="B1156">
        <v>36</v>
      </c>
      <c r="C1156" s="2">
        <v>19</v>
      </c>
      <c r="D1156" s="2">
        <v>6</v>
      </c>
      <c r="E1156" s="3">
        <v>0.25</v>
      </c>
    </row>
    <row r="1157" spans="1:5" x14ac:dyDescent="0.2">
      <c r="A1157">
        <v>10688</v>
      </c>
      <c r="B1157">
        <v>10</v>
      </c>
      <c r="C1157" s="2">
        <v>31</v>
      </c>
      <c r="D1157" s="2">
        <v>18</v>
      </c>
      <c r="E1157" s="3">
        <v>0.1</v>
      </c>
    </row>
    <row r="1158" spans="1:5" x14ac:dyDescent="0.2">
      <c r="A1158">
        <v>10688</v>
      </c>
      <c r="B1158">
        <v>28</v>
      </c>
      <c r="C1158" s="2">
        <v>45.6</v>
      </c>
      <c r="D1158" s="2">
        <v>60</v>
      </c>
      <c r="E1158" s="3">
        <v>0.1</v>
      </c>
    </row>
    <row r="1159" spans="1:5" x14ac:dyDescent="0.2">
      <c r="A1159">
        <v>10688</v>
      </c>
      <c r="B1159">
        <v>34</v>
      </c>
      <c r="C1159" s="2">
        <v>14</v>
      </c>
      <c r="D1159" s="2">
        <v>14</v>
      </c>
      <c r="E1159" s="3">
        <v>0</v>
      </c>
    </row>
    <row r="1160" spans="1:5" x14ac:dyDescent="0.2">
      <c r="A1160">
        <v>10689</v>
      </c>
      <c r="B1160">
        <v>1</v>
      </c>
      <c r="C1160" s="2">
        <v>18</v>
      </c>
      <c r="D1160" s="2">
        <v>35</v>
      </c>
      <c r="E1160" s="3">
        <v>0.25</v>
      </c>
    </row>
    <row r="1161" spans="1:5" x14ac:dyDescent="0.2">
      <c r="A1161">
        <v>10690</v>
      </c>
      <c r="B1161">
        <v>56</v>
      </c>
      <c r="C1161" s="2">
        <v>38</v>
      </c>
      <c r="D1161" s="2">
        <v>20</v>
      </c>
      <c r="E1161" s="3">
        <v>0.25</v>
      </c>
    </row>
    <row r="1162" spans="1:5" x14ac:dyDescent="0.2">
      <c r="A1162">
        <v>10690</v>
      </c>
      <c r="B1162">
        <v>77</v>
      </c>
      <c r="C1162" s="2">
        <v>13</v>
      </c>
      <c r="D1162" s="2">
        <v>30</v>
      </c>
      <c r="E1162" s="3">
        <v>0.25</v>
      </c>
    </row>
    <row r="1163" spans="1:5" x14ac:dyDescent="0.2">
      <c r="A1163">
        <v>10691</v>
      </c>
      <c r="B1163">
        <v>1</v>
      </c>
      <c r="C1163" s="2">
        <v>18</v>
      </c>
      <c r="D1163" s="2">
        <v>30</v>
      </c>
      <c r="E1163" s="3">
        <v>0</v>
      </c>
    </row>
    <row r="1164" spans="1:5" x14ac:dyDescent="0.2">
      <c r="A1164">
        <v>10691</v>
      </c>
      <c r="B1164">
        <v>29</v>
      </c>
      <c r="C1164" s="2">
        <v>123.79</v>
      </c>
      <c r="D1164" s="2">
        <v>40</v>
      </c>
      <c r="E1164" s="3">
        <v>0</v>
      </c>
    </row>
    <row r="1165" spans="1:5" x14ac:dyDescent="0.2">
      <c r="A1165">
        <v>10691</v>
      </c>
      <c r="B1165">
        <v>43</v>
      </c>
      <c r="C1165" s="2">
        <v>46</v>
      </c>
      <c r="D1165" s="2">
        <v>40</v>
      </c>
      <c r="E1165" s="3">
        <v>0</v>
      </c>
    </row>
    <row r="1166" spans="1:5" x14ac:dyDescent="0.2">
      <c r="A1166">
        <v>10691</v>
      </c>
      <c r="B1166">
        <v>44</v>
      </c>
      <c r="C1166" s="2">
        <v>19.45</v>
      </c>
      <c r="D1166" s="2">
        <v>24</v>
      </c>
      <c r="E1166" s="3">
        <v>0</v>
      </c>
    </row>
    <row r="1167" spans="1:5" x14ac:dyDescent="0.2">
      <c r="A1167">
        <v>10691</v>
      </c>
      <c r="B1167">
        <v>62</v>
      </c>
      <c r="C1167" s="2">
        <v>49.3</v>
      </c>
      <c r="D1167" s="2">
        <v>48</v>
      </c>
      <c r="E1167" s="3">
        <v>0</v>
      </c>
    </row>
    <row r="1168" spans="1:5" x14ac:dyDescent="0.2">
      <c r="A1168">
        <v>10692</v>
      </c>
      <c r="B1168">
        <v>63</v>
      </c>
      <c r="C1168" s="2">
        <v>43.9</v>
      </c>
      <c r="D1168" s="2">
        <v>20</v>
      </c>
      <c r="E1168" s="3">
        <v>0</v>
      </c>
    </row>
    <row r="1169" spans="1:5" x14ac:dyDescent="0.2">
      <c r="A1169">
        <v>10693</v>
      </c>
      <c r="B1169">
        <v>9</v>
      </c>
      <c r="C1169" s="2">
        <v>97</v>
      </c>
      <c r="D1169" s="2">
        <v>6</v>
      </c>
      <c r="E1169" s="3">
        <v>0</v>
      </c>
    </row>
    <row r="1170" spans="1:5" x14ac:dyDescent="0.2">
      <c r="A1170">
        <v>10693</v>
      </c>
      <c r="B1170">
        <v>54</v>
      </c>
      <c r="C1170" s="2">
        <v>7.45</v>
      </c>
      <c r="D1170" s="2">
        <v>60</v>
      </c>
      <c r="E1170" s="3">
        <v>0.15</v>
      </c>
    </row>
    <row r="1171" spans="1:5" x14ac:dyDescent="0.2">
      <c r="A1171">
        <v>10693</v>
      </c>
      <c r="B1171">
        <v>69</v>
      </c>
      <c r="C1171" s="2">
        <v>36</v>
      </c>
      <c r="D1171" s="2">
        <v>30</v>
      </c>
      <c r="E1171" s="3">
        <v>0.15</v>
      </c>
    </row>
    <row r="1172" spans="1:5" x14ac:dyDescent="0.2">
      <c r="A1172">
        <v>10693</v>
      </c>
      <c r="B1172">
        <v>73</v>
      </c>
      <c r="C1172" s="2">
        <v>15</v>
      </c>
      <c r="D1172" s="2">
        <v>15</v>
      </c>
      <c r="E1172" s="3">
        <v>0.15</v>
      </c>
    </row>
    <row r="1173" spans="1:5" x14ac:dyDescent="0.2">
      <c r="A1173">
        <v>10694</v>
      </c>
      <c r="B1173">
        <v>7</v>
      </c>
      <c r="C1173" s="2">
        <v>30</v>
      </c>
      <c r="D1173" s="2">
        <v>90</v>
      </c>
      <c r="E1173" s="3">
        <v>0</v>
      </c>
    </row>
    <row r="1174" spans="1:5" x14ac:dyDescent="0.2">
      <c r="A1174">
        <v>10694</v>
      </c>
      <c r="B1174">
        <v>59</v>
      </c>
      <c r="C1174" s="2">
        <v>55</v>
      </c>
      <c r="D1174" s="2">
        <v>25</v>
      </c>
      <c r="E1174" s="3">
        <v>0</v>
      </c>
    </row>
    <row r="1175" spans="1:5" x14ac:dyDescent="0.2">
      <c r="A1175">
        <v>10694</v>
      </c>
      <c r="B1175">
        <v>70</v>
      </c>
      <c r="C1175" s="2">
        <v>15</v>
      </c>
      <c r="D1175" s="2">
        <v>50</v>
      </c>
      <c r="E1175" s="3">
        <v>0</v>
      </c>
    </row>
    <row r="1176" spans="1:5" x14ac:dyDescent="0.2">
      <c r="A1176">
        <v>10695</v>
      </c>
      <c r="B1176">
        <v>8</v>
      </c>
      <c r="C1176" s="2">
        <v>40</v>
      </c>
      <c r="D1176" s="2">
        <v>10</v>
      </c>
      <c r="E1176" s="3">
        <v>0</v>
      </c>
    </row>
    <row r="1177" spans="1:5" x14ac:dyDescent="0.2">
      <c r="A1177">
        <v>10695</v>
      </c>
      <c r="B1177">
        <v>12</v>
      </c>
      <c r="C1177" s="2">
        <v>38</v>
      </c>
      <c r="D1177" s="2">
        <v>4</v>
      </c>
      <c r="E1177" s="3">
        <v>0</v>
      </c>
    </row>
    <row r="1178" spans="1:5" x14ac:dyDescent="0.2">
      <c r="A1178">
        <v>10695</v>
      </c>
      <c r="B1178">
        <v>24</v>
      </c>
      <c r="C1178" s="2">
        <v>4.5</v>
      </c>
      <c r="D1178" s="2">
        <v>20</v>
      </c>
      <c r="E1178" s="3">
        <v>0</v>
      </c>
    </row>
    <row r="1179" spans="1:5" x14ac:dyDescent="0.2">
      <c r="A1179">
        <v>10696</v>
      </c>
      <c r="B1179">
        <v>17</v>
      </c>
      <c r="C1179" s="2">
        <v>39</v>
      </c>
      <c r="D1179" s="2">
        <v>20</v>
      </c>
      <c r="E1179" s="3">
        <v>0</v>
      </c>
    </row>
    <row r="1180" spans="1:5" x14ac:dyDescent="0.2">
      <c r="A1180">
        <v>10696</v>
      </c>
      <c r="B1180">
        <v>46</v>
      </c>
      <c r="C1180" s="2">
        <v>12</v>
      </c>
      <c r="D1180" s="2">
        <v>18</v>
      </c>
      <c r="E1180" s="3">
        <v>0</v>
      </c>
    </row>
    <row r="1181" spans="1:5" x14ac:dyDescent="0.2">
      <c r="A1181">
        <v>10697</v>
      </c>
      <c r="B1181">
        <v>19</v>
      </c>
      <c r="C1181" s="2">
        <v>9.1999999999999993</v>
      </c>
      <c r="D1181" s="2">
        <v>7</v>
      </c>
      <c r="E1181" s="3">
        <v>0.25</v>
      </c>
    </row>
    <row r="1182" spans="1:5" x14ac:dyDescent="0.2">
      <c r="A1182">
        <v>10697</v>
      </c>
      <c r="B1182">
        <v>35</v>
      </c>
      <c r="C1182" s="2">
        <v>18</v>
      </c>
      <c r="D1182" s="2">
        <v>9</v>
      </c>
      <c r="E1182" s="3">
        <v>0.25</v>
      </c>
    </row>
    <row r="1183" spans="1:5" x14ac:dyDescent="0.2">
      <c r="A1183">
        <v>10697</v>
      </c>
      <c r="B1183">
        <v>58</v>
      </c>
      <c r="C1183" s="2">
        <v>13.25</v>
      </c>
      <c r="D1183" s="2">
        <v>30</v>
      </c>
      <c r="E1183" s="3">
        <v>0.25</v>
      </c>
    </row>
    <row r="1184" spans="1:5" x14ac:dyDescent="0.2">
      <c r="A1184">
        <v>10697</v>
      </c>
      <c r="B1184">
        <v>70</v>
      </c>
      <c r="C1184" s="2">
        <v>15</v>
      </c>
      <c r="D1184" s="2">
        <v>30</v>
      </c>
      <c r="E1184" s="3">
        <v>0.25</v>
      </c>
    </row>
    <row r="1185" spans="1:5" x14ac:dyDescent="0.2">
      <c r="A1185">
        <v>10698</v>
      </c>
      <c r="B1185">
        <v>11</v>
      </c>
      <c r="C1185" s="2">
        <v>21</v>
      </c>
      <c r="D1185" s="2">
        <v>15</v>
      </c>
      <c r="E1185" s="3">
        <v>0</v>
      </c>
    </row>
    <row r="1186" spans="1:5" x14ac:dyDescent="0.2">
      <c r="A1186">
        <v>10698</v>
      </c>
      <c r="B1186">
        <v>17</v>
      </c>
      <c r="C1186" s="2">
        <v>39</v>
      </c>
      <c r="D1186" s="2">
        <v>8</v>
      </c>
      <c r="E1186" s="3">
        <v>0.05</v>
      </c>
    </row>
    <row r="1187" spans="1:5" x14ac:dyDescent="0.2">
      <c r="A1187">
        <v>10698</v>
      </c>
      <c r="B1187">
        <v>29</v>
      </c>
      <c r="C1187" s="2">
        <v>123.79</v>
      </c>
      <c r="D1187" s="2">
        <v>12</v>
      </c>
      <c r="E1187" s="3">
        <v>0.05</v>
      </c>
    </row>
    <row r="1188" spans="1:5" x14ac:dyDescent="0.2">
      <c r="A1188">
        <v>10698</v>
      </c>
      <c r="B1188">
        <v>65</v>
      </c>
      <c r="C1188" s="2">
        <v>21.05</v>
      </c>
      <c r="D1188" s="2">
        <v>65</v>
      </c>
      <c r="E1188" s="3">
        <v>0.05</v>
      </c>
    </row>
    <row r="1189" spans="1:5" x14ac:dyDescent="0.2">
      <c r="A1189">
        <v>10698</v>
      </c>
      <c r="B1189">
        <v>70</v>
      </c>
      <c r="C1189" s="2">
        <v>15</v>
      </c>
      <c r="D1189" s="2">
        <v>8</v>
      </c>
      <c r="E1189" s="3">
        <v>0.05</v>
      </c>
    </row>
    <row r="1190" spans="1:5" x14ac:dyDescent="0.2">
      <c r="A1190">
        <v>10699</v>
      </c>
      <c r="B1190">
        <v>47</v>
      </c>
      <c r="C1190" s="2">
        <v>9.5</v>
      </c>
      <c r="D1190" s="2">
        <v>12</v>
      </c>
      <c r="E1190" s="3">
        <v>0</v>
      </c>
    </row>
    <row r="1191" spans="1:5" x14ac:dyDescent="0.2">
      <c r="A1191">
        <v>10700</v>
      </c>
      <c r="B1191">
        <v>1</v>
      </c>
      <c r="C1191" s="2">
        <v>18</v>
      </c>
      <c r="D1191" s="2">
        <v>5</v>
      </c>
      <c r="E1191" s="3">
        <v>0.2</v>
      </c>
    </row>
    <row r="1192" spans="1:5" x14ac:dyDescent="0.2">
      <c r="A1192">
        <v>10700</v>
      </c>
      <c r="B1192">
        <v>34</v>
      </c>
      <c r="C1192" s="2">
        <v>14</v>
      </c>
      <c r="D1192" s="2">
        <v>12</v>
      </c>
      <c r="E1192" s="3">
        <v>0.2</v>
      </c>
    </row>
    <row r="1193" spans="1:5" x14ac:dyDescent="0.2">
      <c r="A1193">
        <v>10700</v>
      </c>
      <c r="B1193">
        <v>68</v>
      </c>
      <c r="C1193" s="2">
        <v>12.5</v>
      </c>
      <c r="D1193" s="2">
        <v>40</v>
      </c>
      <c r="E1193" s="3">
        <v>0.2</v>
      </c>
    </row>
    <row r="1194" spans="1:5" x14ac:dyDescent="0.2">
      <c r="A1194">
        <v>10700</v>
      </c>
      <c r="B1194">
        <v>71</v>
      </c>
      <c r="C1194" s="2">
        <v>21.5</v>
      </c>
      <c r="D1194" s="2">
        <v>60</v>
      </c>
      <c r="E1194" s="3">
        <v>0.2</v>
      </c>
    </row>
    <row r="1195" spans="1:5" x14ac:dyDescent="0.2">
      <c r="A1195">
        <v>10701</v>
      </c>
      <c r="B1195">
        <v>59</v>
      </c>
      <c r="C1195" s="2">
        <v>55</v>
      </c>
      <c r="D1195" s="2">
        <v>42</v>
      </c>
      <c r="E1195" s="3">
        <v>0.15</v>
      </c>
    </row>
    <row r="1196" spans="1:5" x14ac:dyDescent="0.2">
      <c r="A1196">
        <v>10701</v>
      </c>
      <c r="B1196">
        <v>71</v>
      </c>
      <c r="C1196" s="2">
        <v>21.5</v>
      </c>
      <c r="D1196" s="2">
        <v>20</v>
      </c>
      <c r="E1196" s="3">
        <v>0.15</v>
      </c>
    </row>
    <row r="1197" spans="1:5" x14ac:dyDescent="0.2">
      <c r="A1197">
        <v>10701</v>
      </c>
      <c r="B1197">
        <v>76</v>
      </c>
      <c r="C1197" s="2">
        <v>18</v>
      </c>
      <c r="D1197" s="2">
        <v>35</v>
      </c>
      <c r="E1197" s="3">
        <v>0.15</v>
      </c>
    </row>
    <row r="1198" spans="1:5" x14ac:dyDescent="0.2">
      <c r="A1198">
        <v>10702</v>
      </c>
      <c r="B1198">
        <v>3</v>
      </c>
      <c r="C1198" s="2">
        <v>10</v>
      </c>
      <c r="D1198" s="2">
        <v>6</v>
      </c>
      <c r="E1198" s="3">
        <v>0</v>
      </c>
    </row>
    <row r="1199" spans="1:5" x14ac:dyDescent="0.2">
      <c r="A1199">
        <v>10702</v>
      </c>
      <c r="B1199">
        <v>76</v>
      </c>
      <c r="C1199" s="2">
        <v>18</v>
      </c>
      <c r="D1199" s="2">
        <v>15</v>
      </c>
      <c r="E1199" s="3">
        <v>0</v>
      </c>
    </row>
    <row r="1200" spans="1:5" x14ac:dyDescent="0.2">
      <c r="A1200">
        <v>10703</v>
      </c>
      <c r="B1200">
        <v>2</v>
      </c>
      <c r="C1200" s="2">
        <v>19</v>
      </c>
      <c r="D1200" s="2">
        <v>5</v>
      </c>
      <c r="E1200" s="3">
        <v>0</v>
      </c>
    </row>
    <row r="1201" spans="1:5" x14ac:dyDescent="0.2">
      <c r="A1201">
        <v>10703</v>
      </c>
      <c r="B1201">
        <v>59</v>
      </c>
      <c r="C1201" s="2">
        <v>55</v>
      </c>
      <c r="D1201" s="2">
        <v>35</v>
      </c>
      <c r="E1201" s="3">
        <v>0</v>
      </c>
    </row>
    <row r="1202" spans="1:5" x14ac:dyDescent="0.2">
      <c r="A1202">
        <v>10703</v>
      </c>
      <c r="B1202">
        <v>73</v>
      </c>
      <c r="C1202" s="2">
        <v>15</v>
      </c>
      <c r="D1202" s="2">
        <v>35</v>
      </c>
      <c r="E1202" s="3">
        <v>0</v>
      </c>
    </row>
    <row r="1203" spans="1:5" x14ac:dyDescent="0.2">
      <c r="A1203">
        <v>10704</v>
      </c>
      <c r="B1203">
        <v>4</v>
      </c>
      <c r="C1203" s="2">
        <v>22</v>
      </c>
      <c r="D1203" s="2">
        <v>6</v>
      </c>
      <c r="E1203" s="3">
        <v>0</v>
      </c>
    </row>
    <row r="1204" spans="1:5" x14ac:dyDescent="0.2">
      <c r="A1204">
        <v>10704</v>
      </c>
      <c r="B1204">
        <v>24</v>
      </c>
      <c r="C1204" s="2">
        <v>4.5</v>
      </c>
      <c r="D1204" s="2">
        <v>35</v>
      </c>
      <c r="E1204" s="3">
        <v>0</v>
      </c>
    </row>
    <row r="1205" spans="1:5" x14ac:dyDescent="0.2">
      <c r="A1205">
        <v>10704</v>
      </c>
      <c r="B1205">
        <v>48</v>
      </c>
      <c r="C1205" s="2">
        <v>12.75</v>
      </c>
      <c r="D1205" s="2">
        <v>24</v>
      </c>
      <c r="E1205" s="3">
        <v>0</v>
      </c>
    </row>
    <row r="1206" spans="1:5" x14ac:dyDescent="0.2">
      <c r="A1206">
        <v>10705</v>
      </c>
      <c r="B1206">
        <v>31</v>
      </c>
      <c r="C1206" s="2">
        <v>12.5</v>
      </c>
      <c r="D1206" s="2">
        <v>20</v>
      </c>
      <c r="E1206" s="3">
        <v>0</v>
      </c>
    </row>
    <row r="1207" spans="1:5" x14ac:dyDescent="0.2">
      <c r="A1207">
        <v>10705</v>
      </c>
      <c r="B1207">
        <v>32</v>
      </c>
      <c r="C1207" s="2">
        <v>32</v>
      </c>
      <c r="D1207" s="2">
        <v>4</v>
      </c>
      <c r="E1207" s="3">
        <v>0</v>
      </c>
    </row>
    <row r="1208" spans="1:5" x14ac:dyDescent="0.2">
      <c r="A1208">
        <v>10706</v>
      </c>
      <c r="B1208">
        <v>16</v>
      </c>
      <c r="C1208" s="2">
        <v>17.45</v>
      </c>
      <c r="D1208" s="2">
        <v>20</v>
      </c>
      <c r="E1208" s="3">
        <v>0</v>
      </c>
    </row>
    <row r="1209" spans="1:5" x14ac:dyDescent="0.2">
      <c r="A1209">
        <v>10706</v>
      </c>
      <c r="B1209">
        <v>43</v>
      </c>
      <c r="C1209" s="2">
        <v>46</v>
      </c>
      <c r="D1209" s="2">
        <v>24</v>
      </c>
      <c r="E1209" s="3">
        <v>0</v>
      </c>
    </row>
    <row r="1210" spans="1:5" x14ac:dyDescent="0.2">
      <c r="A1210">
        <v>10706</v>
      </c>
      <c r="B1210">
        <v>59</v>
      </c>
      <c r="C1210" s="2">
        <v>55</v>
      </c>
      <c r="D1210" s="2">
        <v>8</v>
      </c>
      <c r="E1210" s="3">
        <v>0</v>
      </c>
    </row>
    <row r="1211" spans="1:5" x14ac:dyDescent="0.2">
      <c r="A1211">
        <v>10707</v>
      </c>
      <c r="B1211">
        <v>55</v>
      </c>
      <c r="C1211" s="2">
        <v>24</v>
      </c>
      <c r="D1211" s="2">
        <v>21</v>
      </c>
      <c r="E1211" s="3">
        <v>0</v>
      </c>
    </row>
    <row r="1212" spans="1:5" x14ac:dyDescent="0.2">
      <c r="A1212">
        <v>10707</v>
      </c>
      <c r="B1212">
        <v>57</v>
      </c>
      <c r="C1212" s="2">
        <v>19.5</v>
      </c>
      <c r="D1212" s="2">
        <v>40</v>
      </c>
      <c r="E1212" s="3">
        <v>0</v>
      </c>
    </row>
    <row r="1213" spans="1:5" x14ac:dyDescent="0.2">
      <c r="A1213">
        <v>10707</v>
      </c>
      <c r="B1213">
        <v>70</v>
      </c>
      <c r="C1213" s="2">
        <v>15</v>
      </c>
      <c r="D1213" s="2">
        <v>28</v>
      </c>
      <c r="E1213" s="3">
        <v>0.15</v>
      </c>
    </row>
    <row r="1214" spans="1:5" x14ac:dyDescent="0.2">
      <c r="A1214">
        <v>10708</v>
      </c>
      <c r="B1214">
        <v>5</v>
      </c>
      <c r="C1214" s="2">
        <v>21.35</v>
      </c>
      <c r="D1214" s="2">
        <v>4</v>
      </c>
      <c r="E1214" s="3">
        <v>0</v>
      </c>
    </row>
    <row r="1215" spans="1:5" x14ac:dyDescent="0.2">
      <c r="A1215">
        <v>10708</v>
      </c>
      <c r="B1215">
        <v>36</v>
      </c>
      <c r="C1215" s="2">
        <v>19</v>
      </c>
      <c r="D1215" s="2">
        <v>5</v>
      </c>
      <c r="E1215" s="3">
        <v>0</v>
      </c>
    </row>
    <row r="1216" spans="1:5" x14ac:dyDescent="0.2">
      <c r="A1216">
        <v>10709</v>
      </c>
      <c r="B1216">
        <v>8</v>
      </c>
      <c r="C1216" s="2">
        <v>40</v>
      </c>
      <c r="D1216" s="2">
        <v>40</v>
      </c>
      <c r="E1216" s="3">
        <v>0</v>
      </c>
    </row>
    <row r="1217" spans="1:5" x14ac:dyDescent="0.2">
      <c r="A1217">
        <v>10709</v>
      </c>
      <c r="B1217">
        <v>51</v>
      </c>
      <c r="C1217" s="2">
        <v>53</v>
      </c>
      <c r="D1217" s="2">
        <v>28</v>
      </c>
      <c r="E1217" s="3">
        <v>0</v>
      </c>
    </row>
    <row r="1218" spans="1:5" x14ac:dyDescent="0.2">
      <c r="A1218">
        <v>10709</v>
      </c>
      <c r="B1218">
        <v>60</v>
      </c>
      <c r="C1218" s="2">
        <v>34</v>
      </c>
      <c r="D1218" s="2">
        <v>10</v>
      </c>
      <c r="E1218" s="3">
        <v>0</v>
      </c>
    </row>
    <row r="1219" spans="1:5" x14ac:dyDescent="0.2">
      <c r="A1219">
        <v>10710</v>
      </c>
      <c r="B1219">
        <v>19</v>
      </c>
      <c r="C1219" s="2">
        <v>9.1999999999999993</v>
      </c>
      <c r="D1219" s="2">
        <v>5</v>
      </c>
      <c r="E1219" s="3">
        <v>0</v>
      </c>
    </row>
    <row r="1220" spans="1:5" x14ac:dyDescent="0.2">
      <c r="A1220">
        <v>10710</v>
      </c>
      <c r="B1220">
        <v>47</v>
      </c>
      <c r="C1220" s="2">
        <v>9.5</v>
      </c>
      <c r="D1220" s="2">
        <v>5</v>
      </c>
      <c r="E1220" s="3">
        <v>0</v>
      </c>
    </row>
    <row r="1221" spans="1:5" x14ac:dyDescent="0.2">
      <c r="A1221">
        <v>10711</v>
      </c>
      <c r="B1221">
        <v>19</v>
      </c>
      <c r="C1221" s="2">
        <v>9.1999999999999993</v>
      </c>
      <c r="D1221" s="2">
        <v>12</v>
      </c>
      <c r="E1221" s="3">
        <v>0</v>
      </c>
    </row>
    <row r="1222" spans="1:5" x14ac:dyDescent="0.2">
      <c r="A1222">
        <v>10711</v>
      </c>
      <c r="B1222">
        <v>41</v>
      </c>
      <c r="C1222" s="2">
        <v>9.65</v>
      </c>
      <c r="D1222" s="2">
        <v>42</v>
      </c>
      <c r="E1222" s="3">
        <v>0</v>
      </c>
    </row>
    <row r="1223" spans="1:5" x14ac:dyDescent="0.2">
      <c r="A1223">
        <v>10711</v>
      </c>
      <c r="B1223">
        <v>53</v>
      </c>
      <c r="C1223" s="2">
        <v>32.799999999999997</v>
      </c>
      <c r="D1223" s="2">
        <v>120</v>
      </c>
      <c r="E1223" s="3">
        <v>0</v>
      </c>
    </row>
    <row r="1224" spans="1:5" x14ac:dyDescent="0.2">
      <c r="A1224">
        <v>10712</v>
      </c>
      <c r="B1224">
        <v>53</v>
      </c>
      <c r="C1224" s="2">
        <v>32.799999999999997</v>
      </c>
      <c r="D1224" s="2">
        <v>3</v>
      </c>
      <c r="E1224" s="3">
        <v>0.05</v>
      </c>
    </row>
    <row r="1225" spans="1:5" x14ac:dyDescent="0.2">
      <c r="A1225">
        <v>10712</v>
      </c>
      <c r="B1225">
        <v>56</v>
      </c>
      <c r="C1225" s="2">
        <v>38</v>
      </c>
      <c r="D1225" s="2">
        <v>30</v>
      </c>
      <c r="E1225" s="3">
        <v>0</v>
      </c>
    </row>
    <row r="1226" spans="1:5" x14ac:dyDescent="0.2">
      <c r="A1226">
        <v>10713</v>
      </c>
      <c r="B1226">
        <v>10</v>
      </c>
      <c r="C1226" s="2">
        <v>31</v>
      </c>
      <c r="D1226" s="2">
        <v>18</v>
      </c>
      <c r="E1226" s="3">
        <v>0</v>
      </c>
    </row>
    <row r="1227" spans="1:5" x14ac:dyDescent="0.2">
      <c r="A1227">
        <v>10713</v>
      </c>
      <c r="B1227">
        <v>26</v>
      </c>
      <c r="C1227" s="2">
        <v>31.23</v>
      </c>
      <c r="D1227" s="2">
        <v>30</v>
      </c>
      <c r="E1227" s="3">
        <v>0</v>
      </c>
    </row>
    <row r="1228" spans="1:5" x14ac:dyDescent="0.2">
      <c r="A1228">
        <v>10713</v>
      </c>
      <c r="B1228">
        <v>45</v>
      </c>
      <c r="C1228" s="2">
        <v>9.5</v>
      </c>
      <c r="D1228" s="2">
        <v>110</v>
      </c>
      <c r="E1228" s="3">
        <v>0</v>
      </c>
    </row>
    <row r="1229" spans="1:5" x14ac:dyDescent="0.2">
      <c r="A1229">
        <v>10713</v>
      </c>
      <c r="B1229">
        <v>46</v>
      </c>
      <c r="C1229" s="2">
        <v>12</v>
      </c>
      <c r="D1229" s="2">
        <v>24</v>
      </c>
      <c r="E1229" s="3">
        <v>0</v>
      </c>
    </row>
    <row r="1230" spans="1:5" x14ac:dyDescent="0.2">
      <c r="A1230">
        <v>10714</v>
      </c>
      <c r="B1230">
        <v>2</v>
      </c>
      <c r="C1230" s="2">
        <v>19</v>
      </c>
      <c r="D1230" s="2">
        <v>30</v>
      </c>
      <c r="E1230" s="3">
        <v>0.25</v>
      </c>
    </row>
    <row r="1231" spans="1:5" x14ac:dyDescent="0.2">
      <c r="A1231">
        <v>10714</v>
      </c>
      <c r="B1231">
        <v>17</v>
      </c>
      <c r="C1231" s="2">
        <v>39</v>
      </c>
      <c r="D1231" s="2">
        <v>27</v>
      </c>
      <c r="E1231" s="3">
        <v>0.25</v>
      </c>
    </row>
    <row r="1232" spans="1:5" x14ac:dyDescent="0.2">
      <c r="A1232">
        <v>10714</v>
      </c>
      <c r="B1232">
        <v>47</v>
      </c>
      <c r="C1232" s="2">
        <v>9.5</v>
      </c>
      <c r="D1232" s="2">
        <v>50</v>
      </c>
      <c r="E1232" s="3">
        <v>0.25</v>
      </c>
    </row>
    <row r="1233" spans="1:5" x14ac:dyDescent="0.2">
      <c r="A1233">
        <v>10714</v>
      </c>
      <c r="B1233">
        <v>56</v>
      </c>
      <c r="C1233" s="2">
        <v>38</v>
      </c>
      <c r="D1233" s="2">
        <v>18</v>
      </c>
      <c r="E1233" s="3">
        <v>0.25</v>
      </c>
    </row>
    <row r="1234" spans="1:5" x14ac:dyDescent="0.2">
      <c r="A1234">
        <v>10714</v>
      </c>
      <c r="B1234">
        <v>58</v>
      </c>
      <c r="C1234" s="2">
        <v>13.25</v>
      </c>
      <c r="D1234" s="2">
        <v>12</v>
      </c>
      <c r="E1234" s="3">
        <v>0.25</v>
      </c>
    </row>
    <row r="1235" spans="1:5" x14ac:dyDescent="0.2">
      <c r="A1235">
        <v>10715</v>
      </c>
      <c r="B1235">
        <v>10</v>
      </c>
      <c r="C1235" s="2">
        <v>31</v>
      </c>
      <c r="D1235" s="2">
        <v>21</v>
      </c>
      <c r="E1235" s="3">
        <v>0</v>
      </c>
    </row>
    <row r="1236" spans="1:5" x14ac:dyDescent="0.2">
      <c r="A1236">
        <v>10715</v>
      </c>
      <c r="B1236">
        <v>71</v>
      </c>
      <c r="C1236" s="2">
        <v>21.5</v>
      </c>
      <c r="D1236" s="2">
        <v>30</v>
      </c>
      <c r="E1236" s="3">
        <v>0</v>
      </c>
    </row>
    <row r="1237" spans="1:5" x14ac:dyDescent="0.2">
      <c r="A1237">
        <v>10716</v>
      </c>
      <c r="B1237">
        <v>21</v>
      </c>
      <c r="C1237" s="2">
        <v>10</v>
      </c>
      <c r="D1237" s="2">
        <v>5</v>
      </c>
      <c r="E1237" s="3">
        <v>0</v>
      </c>
    </row>
    <row r="1238" spans="1:5" x14ac:dyDescent="0.2">
      <c r="A1238">
        <v>10716</v>
      </c>
      <c r="B1238">
        <v>51</v>
      </c>
      <c r="C1238" s="2">
        <v>53</v>
      </c>
      <c r="D1238" s="2">
        <v>7</v>
      </c>
      <c r="E1238" s="3">
        <v>0</v>
      </c>
    </row>
    <row r="1239" spans="1:5" x14ac:dyDescent="0.2">
      <c r="A1239">
        <v>10716</v>
      </c>
      <c r="B1239">
        <v>61</v>
      </c>
      <c r="C1239" s="2">
        <v>28.5</v>
      </c>
      <c r="D1239" s="2">
        <v>10</v>
      </c>
      <c r="E1239" s="3">
        <v>0</v>
      </c>
    </row>
    <row r="1240" spans="1:5" x14ac:dyDescent="0.2">
      <c r="A1240">
        <v>10717</v>
      </c>
      <c r="B1240">
        <v>21</v>
      </c>
      <c r="C1240" s="2">
        <v>10</v>
      </c>
      <c r="D1240" s="2">
        <v>32</v>
      </c>
      <c r="E1240" s="3">
        <v>0.05</v>
      </c>
    </row>
    <row r="1241" spans="1:5" x14ac:dyDescent="0.2">
      <c r="A1241">
        <v>10717</v>
      </c>
      <c r="B1241">
        <v>54</v>
      </c>
      <c r="C1241" s="2">
        <v>7.45</v>
      </c>
      <c r="D1241" s="2">
        <v>15</v>
      </c>
      <c r="E1241" s="3">
        <v>0</v>
      </c>
    </row>
    <row r="1242" spans="1:5" x14ac:dyDescent="0.2">
      <c r="A1242">
        <v>10717</v>
      </c>
      <c r="B1242">
        <v>69</v>
      </c>
      <c r="C1242" s="2">
        <v>36</v>
      </c>
      <c r="D1242" s="2">
        <v>25</v>
      </c>
      <c r="E1242" s="3">
        <v>0.05</v>
      </c>
    </row>
    <row r="1243" spans="1:5" x14ac:dyDescent="0.2">
      <c r="A1243">
        <v>10718</v>
      </c>
      <c r="B1243">
        <v>12</v>
      </c>
      <c r="C1243" s="2">
        <v>38</v>
      </c>
      <c r="D1243" s="2">
        <v>36</v>
      </c>
      <c r="E1243" s="3">
        <v>0</v>
      </c>
    </row>
    <row r="1244" spans="1:5" x14ac:dyDescent="0.2">
      <c r="A1244">
        <v>10718</v>
      </c>
      <c r="B1244">
        <v>16</v>
      </c>
      <c r="C1244" s="2">
        <v>17.45</v>
      </c>
      <c r="D1244" s="2">
        <v>20</v>
      </c>
      <c r="E1244" s="3">
        <v>0</v>
      </c>
    </row>
    <row r="1245" spans="1:5" x14ac:dyDescent="0.2">
      <c r="A1245">
        <v>10718</v>
      </c>
      <c r="B1245">
        <v>36</v>
      </c>
      <c r="C1245" s="2">
        <v>19</v>
      </c>
      <c r="D1245" s="2">
        <v>40</v>
      </c>
      <c r="E1245" s="3">
        <v>0</v>
      </c>
    </row>
    <row r="1246" spans="1:5" x14ac:dyDescent="0.2">
      <c r="A1246">
        <v>10718</v>
      </c>
      <c r="B1246">
        <v>62</v>
      </c>
      <c r="C1246" s="2">
        <v>49.3</v>
      </c>
      <c r="D1246" s="2">
        <v>20</v>
      </c>
      <c r="E1246" s="3">
        <v>0</v>
      </c>
    </row>
    <row r="1247" spans="1:5" x14ac:dyDescent="0.2">
      <c r="A1247">
        <v>10719</v>
      </c>
      <c r="B1247">
        <v>18</v>
      </c>
      <c r="C1247" s="2">
        <v>62.5</v>
      </c>
      <c r="D1247" s="2">
        <v>12</v>
      </c>
      <c r="E1247" s="3">
        <v>0.25</v>
      </c>
    </row>
    <row r="1248" spans="1:5" x14ac:dyDescent="0.2">
      <c r="A1248">
        <v>10719</v>
      </c>
      <c r="B1248">
        <v>30</v>
      </c>
      <c r="C1248" s="2">
        <v>25.89</v>
      </c>
      <c r="D1248" s="2">
        <v>3</v>
      </c>
      <c r="E1248" s="3">
        <v>0.25</v>
      </c>
    </row>
    <row r="1249" spans="1:5" x14ac:dyDescent="0.2">
      <c r="A1249">
        <v>10719</v>
      </c>
      <c r="B1249">
        <v>54</v>
      </c>
      <c r="C1249" s="2">
        <v>7.45</v>
      </c>
      <c r="D1249" s="2">
        <v>40</v>
      </c>
      <c r="E1249" s="3">
        <v>0.25</v>
      </c>
    </row>
    <row r="1250" spans="1:5" x14ac:dyDescent="0.2">
      <c r="A1250">
        <v>10720</v>
      </c>
      <c r="B1250">
        <v>35</v>
      </c>
      <c r="C1250" s="2">
        <v>18</v>
      </c>
      <c r="D1250" s="2">
        <v>21</v>
      </c>
      <c r="E1250" s="3">
        <v>0</v>
      </c>
    </row>
    <row r="1251" spans="1:5" x14ac:dyDescent="0.2">
      <c r="A1251">
        <v>10720</v>
      </c>
      <c r="B1251">
        <v>71</v>
      </c>
      <c r="C1251" s="2">
        <v>21.5</v>
      </c>
      <c r="D1251" s="2">
        <v>8</v>
      </c>
      <c r="E1251" s="3">
        <v>0</v>
      </c>
    </row>
    <row r="1252" spans="1:5" x14ac:dyDescent="0.2">
      <c r="A1252">
        <v>10721</v>
      </c>
      <c r="B1252">
        <v>44</v>
      </c>
      <c r="C1252" s="2">
        <v>19.45</v>
      </c>
      <c r="D1252" s="2">
        <v>50</v>
      </c>
      <c r="E1252" s="3">
        <v>0.05</v>
      </c>
    </row>
    <row r="1253" spans="1:5" x14ac:dyDescent="0.2">
      <c r="A1253">
        <v>10722</v>
      </c>
      <c r="B1253">
        <v>2</v>
      </c>
      <c r="C1253" s="2">
        <v>19</v>
      </c>
      <c r="D1253" s="2">
        <v>3</v>
      </c>
      <c r="E1253" s="3">
        <v>0</v>
      </c>
    </row>
    <row r="1254" spans="1:5" x14ac:dyDescent="0.2">
      <c r="A1254">
        <v>10722</v>
      </c>
      <c r="B1254">
        <v>31</v>
      </c>
      <c r="C1254" s="2">
        <v>12.5</v>
      </c>
      <c r="D1254" s="2">
        <v>50</v>
      </c>
      <c r="E1254" s="3">
        <v>0</v>
      </c>
    </row>
    <row r="1255" spans="1:5" x14ac:dyDescent="0.2">
      <c r="A1255">
        <v>10722</v>
      </c>
      <c r="B1255">
        <v>68</v>
      </c>
      <c r="C1255" s="2">
        <v>12.5</v>
      </c>
      <c r="D1255" s="2">
        <v>45</v>
      </c>
      <c r="E1255" s="3">
        <v>0</v>
      </c>
    </row>
    <row r="1256" spans="1:5" x14ac:dyDescent="0.2">
      <c r="A1256">
        <v>10722</v>
      </c>
      <c r="B1256">
        <v>75</v>
      </c>
      <c r="C1256" s="2">
        <v>7.75</v>
      </c>
      <c r="D1256" s="2">
        <v>42</v>
      </c>
      <c r="E1256" s="3">
        <v>0</v>
      </c>
    </row>
    <row r="1257" spans="1:5" x14ac:dyDescent="0.2">
      <c r="A1257">
        <v>10723</v>
      </c>
      <c r="B1257">
        <v>26</v>
      </c>
      <c r="C1257" s="2">
        <v>31.23</v>
      </c>
      <c r="D1257" s="2">
        <v>15</v>
      </c>
      <c r="E1257" s="3">
        <v>0</v>
      </c>
    </row>
    <row r="1258" spans="1:5" x14ac:dyDescent="0.2">
      <c r="A1258">
        <v>10724</v>
      </c>
      <c r="B1258">
        <v>10</v>
      </c>
      <c r="C1258" s="2">
        <v>31</v>
      </c>
      <c r="D1258" s="2">
        <v>16</v>
      </c>
      <c r="E1258" s="3">
        <v>0</v>
      </c>
    </row>
    <row r="1259" spans="1:5" x14ac:dyDescent="0.2">
      <c r="A1259">
        <v>10724</v>
      </c>
      <c r="B1259">
        <v>61</v>
      </c>
      <c r="C1259" s="2">
        <v>28.5</v>
      </c>
      <c r="D1259" s="2">
        <v>5</v>
      </c>
      <c r="E1259" s="3">
        <v>0</v>
      </c>
    </row>
    <row r="1260" spans="1:5" x14ac:dyDescent="0.2">
      <c r="A1260">
        <v>10725</v>
      </c>
      <c r="B1260">
        <v>41</v>
      </c>
      <c r="C1260" s="2">
        <v>9.65</v>
      </c>
      <c r="D1260" s="2">
        <v>12</v>
      </c>
      <c r="E1260" s="3">
        <v>0</v>
      </c>
    </row>
    <row r="1261" spans="1:5" x14ac:dyDescent="0.2">
      <c r="A1261">
        <v>10725</v>
      </c>
      <c r="B1261">
        <v>52</v>
      </c>
      <c r="C1261" s="2">
        <v>7</v>
      </c>
      <c r="D1261" s="2">
        <v>4</v>
      </c>
      <c r="E1261" s="3">
        <v>0</v>
      </c>
    </row>
    <row r="1262" spans="1:5" x14ac:dyDescent="0.2">
      <c r="A1262">
        <v>10725</v>
      </c>
      <c r="B1262">
        <v>55</v>
      </c>
      <c r="C1262" s="2">
        <v>24</v>
      </c>
      <c r="D1262" s="2">
        <v>6</v>
      </c>
      <c r="E1262" s="3">
        <v>0</v>
      </c>
    </row>
    <row r="1263" spans="1:5" x14ac:dyDescent="0.2">
      <c r="A1263">
        <v>10726</v>
      </c>
      <c r="B1263">
        <v>4</v>
      </c>
      <c r="C1263" s="2">
        <v>22</v>
      </c>
      <c r="D1263" s="2">
        <v>25</v>
      </c>
      <c r="E1263" s="3">
        <v>0</v>
      </c>
    </row>
    <row r="1264" spans="1:5" x14ac:dyDescent="0.2">
      <c r="A1264">
        <v>10726</v>
      </c>
      <c r="B1264">
        <v>11</v>
      </c>
      <c r="C1264" s="2">
        <v>21</v>
      </c>
      <c r="D1264" s="2">
        <v>5</v>
      </c>
      <c r="E1264" s="3">
        <v>0</v>
      </c>
    </row>
    <row r="1265" spans="1:5" x14ac:dyDescent="0.2">
      <c r="A1265">
        <v>10727</v>
      </c>
      <c r="B1265">
        <v>17</v>
      </c>
      <c r="C1265" s="2">
        <v>39</v>
      </c>
      <c r="D1265" s="2">
        <v>20</v>
      </c>
      <c r="E1265" s="3">
        <v>0.05</v>
      </c>
    </row>
    <row r="1266" spans="1:5" x14ac:dyDescent="0.2">
      <c r="A1266">
        <v>10727</v>
      </c>
      <c r="B1266">
        <v>56</v>
      </c>
      <c r="C1266" s="2">
        <v>38</v>
      </c>
      <c r="D1266" s="2">
        <v>10</v>
      </c>
      <c r="E1266" s="3">
        <v>0.05</v>
      </c>
    </row>
    <row r="1267" spans="1:5" x14ac:dyDescent="0.2">
      <c r="A1267">
        <v>10727</v>
      </c>
      <c r="B1267">
        <v>59</v>
      </c>
      <c r="C1267" s="2">
        <v>55</v>
      </c>
      <c r="D1267" s="2">
        <v>10</v>
      </c>
      <c r="E1267" s="3">
        <v>0.05</v>
      </c>
    </row>
    <row r="1268" spans="1:5" x14ac:dyDescent="0.2">
      <c r="A1268">
        <v>10728</v>
      </c>
      <c r="B1268">
        <v>30</v>
      </c>
      <c r="C1268" s="2">
        <v>25.89</v>
      </c>
      <c r="D1268" s="2">
        <v>15</v>
      </c>
      <c r="E1268" s="3">
        <v>0</v>
      </c>
    </row>
    <row r="1269" spans="1:5" x14ac:dyDescent="0.2">
      <c r="A1269">
        <v>10728</v>
      </c>
      <c r="B1269">
        <v>40</v>
      </c>
      <c r="C1269" s="2">
        <v>18.399999999999999</v>
      </c>
      <c r="D1269" s="2">
        <v>6</v>
      </c>
      <c r="E1269" s="3">
        <v>0</v>
      </c>
    </row>
    <row r="1270" spans="1:5" x14ac:dyDescent="0.2">
      <c r="A1270">
        <v>10728</v>
      </c>
      <c r="B1270">
        <v>55</v>
      </c>
      <c r="C1270" s="2">
        <v>24</v>
      </c>
      <c r="D1270" s="2">
        <v>12</v>
      </c>
      <c r="E1270" s="3">
        <v>0</v>
      </c>
    </row>
    <row r="1271" spans="1:5" x14ac:dyDescent="0.2">
      <c r="A1271">
        <v>10728</v>
      </c>
      <c r="B1271">
        <v>60</v>
      </c>
      <c r="C1271" s="2">
        <v>34</v>
      </c>
      <c r="D1271" s="2">
        <v>15</v>
      </c>
      <c r="E1271" s="3">
        <v>0</v>
      </c>
    </row>
    <row r="1272" spans="1:5" x14ac:dyDescent="0.2">
      <c r="A1272">
        <v>10729</v>
      </c>
      <c r="B1272">
        <v>1</v>
      </c>
      <c r="C1272" s="2">
        <v>18</v>
      </c>
      <c r="D1272" s="2">
        <v>50</v>
      </c>
      <c r="E1272" s="3">
        <v>0</v>
      </c>
    </row>
    <row r="1273" spans="1:5" x14ac:dyDescent="0.2">
      <c r="A1273">
        <v>10729</v>
      </c>
      <c r="B1273">
        <v>21</v>
      </c>
      <c r="C1273" s="2">
        <v>10</v>
      </c>
      <c r="D1273" s="2">
        <v>30</v>
      </c>
      <c r="E1273" s="3">
        <v>0</v>
      </c>
    </row>
    <row r="1274" spans="1:5" x14ac:dyDescent="0.2">
      <c r="A1274">
        <v>10729</v>
      </c>
      <c r="B1274">
        <v>50</v>
      </c>
      <c r="C1274" s="2">
        <v>16.25</v>
      </c>
      <c r="D1274" s="2">
        <v>40</v>
      </c>
      <c r="E1274" s="3">
        <v>0</v>
      </c>
    </row>
    <row r="1275" spans="1:5" x14ac:dyDescent="0.2">
      <c r="A1275">
        <v>10730</v>
      </c>
      <c r="B1275">
        <v>16</v>
      </c>
      <c r="C1275" s="2">
        <v>17.45</v>
      </c>
      <c r="D1275" s="2">
        <v>15</v>
      </c>
      <c r="E1275" s="3">
        <v>0.05</v>
      </c>
    </row>
    <row r="1276" spans="1:5" x14ac:dyDescent="0.2">
      <c r="A1276">
        <v>10730</v>
      </c>
      <c r="B1276">
        <v>31</v>
      </c>
      <c r="C1276" s="2">
        <v>12.5</v>
      </c>
      <c r="D1276" s="2">
        <v>3</v>
      </c>
      <c r="E1276" s="3">
        <v>0.05</v>
      </c>
    </row>
    <row r="1277" spans="1:5" x14ac:dyDescent="0.2">
      <c r="A1277">
        <v>10730</v>
      </c>
      <c r="B1277">
        <v>65</v>
      </c>
      <c r="C1277" s="2">
        <v>21.05</v>
      </c>
      <c r="D1277" s="2">
        <v>10</v>
      </c>
      <c r="E1277" s="3">
        <v>0.05</v>
      </c>
    </row>
    <row r="1278" spans="1:5" x14ac:dyDescent="0.2">
      <c r="A1278">
        <v>10731</v>
      </c>
      <c r="B1278">
        <v>21</v>
      </c>
      <c r="C1278" s="2">
        <v>10</v>
      </c>
      <c r="D1278" s="2">
        <v>40</v>
      </c>
      <c r="E1278" s="3">
        <v>0.05</v>
      </c>
    </row>
    <row r="1279" spans="1:5" x14ac:dyDescent="0.2">
      <c r="A1279">
        <v>10731</v>
      </c>
      <c r="B1279">
        <v>51</v>
      </c>
      <c r="C1279" s="2">
        <v>53</v>
      </c>
      <c r="D1279" s="2">
        <v>30</v>
      </c>
      <c r="E1279" s="3">
        <v>0.05</v>
      </c>
    </row>
    <row r="1280" spans="1:5" x14ac:dyDescent="0.2">
      <c r="A1280">
        <v>10732</v>
      </c>
      <c r="B1280">
        <v>76</v>
      </c>
      <c r="C1280" s="2">
        <v>18</v>
      </c>
      <c r="D1280" s="2">
        <v>20</v>
      </c>
      <c r="E1280" s="3">
        <v>0</v>
      </c>
    </row>
    <row r="1281" spans="1:5" x14ac:dyDescent="0.2">
      <c r="A1281">
        <v>10733</v>
      </c>
      <c r="B1281">
        <v>14</v>
      </c>
      <c r="C1281" s="2">
        <v>23.25</v>
      </c>
      <c r="D1281" s="2">
        <v>16</v>
      </c>
      <c r="E1281" s="3">
        <v>0</v>
      </c>
    </row>
    <row r="1282" spans="1:5" x14ac:dyDescent="0.2">
      <c r="A1282">
        <v>10733</v>
      </c>
      <c r="B1282">
        <v>28</v>
      </c>
      <c r="C1282" s="2">
        <v>45.6</v>
      </c>
      <c r="D1282" s="2">
        <v>20</v>
      </c>
      <c r="E1282" s="3">
        <v>0</v>
      </c>
    </row>
    <row r="1283" spans="1:5" x14ac:dyDescent="0.2">
      <c r="A1283">
        <v>10733</v>
      </c>
      <c r="B1283">
        <v>52</v>
      </c>
      <c r="C1283" s="2">
        <v>7</v>
      </c>
      <c r="D1283" s="2">
        <v>25</v>
      </c>
      <c r="E1283" s="3">
        <v>0</v>
      </c>
    </row>
    <row r="1284" spans="1:5" x14ac:dyDescent="0.2">
      <c r="A1284">
        <v>10734</v>
      </c>
      <c r="B1284">
        <v>6</v>
      </c>
      <c r="C1284" s="2">
        <v>25</v>
      </c>
      <c r="D1284" s="2">
        <v>30</v>
      </c>
      <c r="E1284" s="3">
        <v>0</v>
      </c>
    </row>
    <row r="1285" spans="1:5" x14ac:dyDescent="0.2">
      <c r="A1285">
        <v>10734</v>
      </c>
      <c r="B1285">
        <v>30</v>
      </c>
      <c r="C1285" s="2">
        <v>25.89</v>
      </c>
      <c r="D1285" s="2">
        <v>15</v>
      </c>
      <c r="E1285" s="3">
        <v>0</v>
      </c>
    </row>
    <row r="1286" spans="1:5" x14ac:dyDescent="0.2">
      <c r="A1286">
        <v>10734</v>
      </c>
      <c r="B1286">
        <v>76</v>
      </c>
      <c r="C1286" s="2">
        <v>18</v>
      </c>
      <c r="D1286" s="2">
        <v>20</v>
      </c>
      <c r="E1286" s="3">
        <v>0</v>
      </c>
    </row>
    <row r="1287" spans="1:5" x14ac:dyDescent="0.2">
      <c r="A1287">
        <v>10735</v>
      </c>
      <c r="B1287">
        <v>61</v>
      </c>
      <c r="C1287" s="2">
        <v>28.5</v>
      </c>
      <c r="D1287" s="2">
        <v>20</v>
      </c>
      <c r="E1287" s="3">
        <v>0.1</v>
      </c>
    </row>
    <row r="1288" spans="1:5" x14ac:dyDescent="0.2">
      <c r="A1288">
        <v>10735</v>
      </c>
      <c r="B1288">
        <v>77</v>
      </c>
      <c r="C1288" s="2">
        <v>13</v>
      </c>
      <c r="D1288" s="2">
        <v>2</v>
      </c>
      <c r="E1288" s="3">
        <v>0.1</v>
      </c>
    </row>
    <row r="1289" spans="1:5" x14ac:dyDescent="0.2">
      <c r="A1289">
        <v>10736</v>
      </c>
      <c r="B1289">
        <v>65</v>
      </c>
      <c r="C1289" s="2">
        <v>21.05</v>
      </c>
      <c r="D1289" s="2">
        <v>40</v>
      </c>
      <c r="E1289" s="3">
        <v>0</v>
      </c>
    </row>
    <row r="1290" spans="1:5" x14ac:dyDescent="0.2">
      <c r="A1290">
        <v>10736</v>
      </c>
      <c r="B1290">
        <v>75</v>
      </c>
      <c r="C1290" s="2">
        <v>7.75</v>
      </c>
      <c r="D1290" s="2">
        <v>20</v>
      </c>
      <c r="E1290" s="3">
        <v>0</v>
      </c>
    </row>
    <row r="1291" spans="1:5" x14ac:dyDescent="0.2">
      <c r="A1291">
        <v>10737</v>
      </c>
      <c r="B1291">
        <v>13</v>
      </c>
      <c r="C1291" s="2">
        <v>6</v>
      </c>
      <c r="D1291" s="2">
        <v>4</v>
      </c>
      <c r="E1291" s="3">
        <v>0</v>
      </c>
    </row>
    <row r="1292" spans="1:5" x14ac:dyDescent="0.2">
      <c r="A1292">
        <v>10737</v>
      </c>
      <c r="B1292">
        <v>41</v>
      </c>
      <c r="C1292" s="2">
        <v>9.65</v>
      </c>
      <c r="D1292" s="2">
        <v>12</v>
      </c>
      <c r="E1292" s="3">
        <v>0</v>
      </c>
    </row>
    <row r="1293" spans="1:5" x14ac:dyDescent="0.2">
      <c r="A1293">
        <v>10738</v>
      </c>
      <c r="B1293">
        <v>16</v>
      </c>
      <c r="C1293" s="2">
        <v>17.45</v>
      </c>
      <c r="D1293" s="2">
        <v>3</v>
      </c>
      <c r="E1293" s="3">
        <v>0</v>
      </c>
    </row>
    <row r="1294" spans="1:5" x14ac:dyDescent="0.2">
      <c r="A1294">
        <v>10739</v>
      </c>
      <c r="B1294">
        <v>36</v>
      </c>
      <c r="C1294" s="2">
        <v>19</v>
      </c>
      <c r="D1294" s="2">
        <v>6</v>
      </c>
      <c r="E1294" s="3">
        <v>0</v>
      </c>
    </row>
    <row r="1295" spans="1:5" x14ac:dyDescent="0.2">
      <c r="A1295">
        <v>10739</v>
      </c>
      <c r="B1295">
        <v>52</v>
      </c>
      <c r="C1295" s="2">
        <v>7</v>
      </c>
      <c r="D1295" s="2">
        <v>18</v>
      </c>
      <c r="E1295" s="3">
        <v>0</v>
      </c>
    </row>
    <row r="1296" spans="1:5" x14ac:dyDescent="0.2">
      <c r="A1296">
        <v>10740</v>
      </c>
      <c r="B1296">
        <v>28</v>
      </c>
      <c r="C1296" s="2">
        <v>45.6</v>
      </c>
      <c r="D1296" s="2">
        <v>5</v>
      </c>
      <c r="E1296" s="3">
        <v>0.2</v>
      </c>
    </row>
    <row r="1297" spans="1:5" x14ac:dyDescent="0.2">
      <c r="A1297">
        <v>10740</v>
      </c>
      <c r="B1297">
        <v>35</v>
      </c>
      <c r="C1297" s="2">
        <v>18</v>
      </c>
      <c r="D1297" s="2">
        <v>35</v>
      </c>
      <c r="E1297" s="3">
        <v>0.2</v>
      </c>
    </row>
    <row r="1298" spans="1:5" x14ac:dyDescent="0.2">
      <c r="A1298">
        <v>10740</v>
      </c>
      <c r="B1298">
        <v>45</v>
      </c>
      <c r="C1298" s="2">
        <v>9.5</v>
      </c>
      <c r="D1298" s="2">
        <v>40</v>
      </c>
      <c r="E1298" s="3">
        <v>0.2</v>
      </c>
    </row>
    <row r="1299" spans="1:5" x14ac:dyDescent="0.2">
      <c r="A1299">
        <v>10740</v>
      </c>
      <c r="B1299">
        <v>56</v>
      </c>
      <c r="C1299" s="2">
        <v>38</v>
      </c>
      <c r="D1299" s="2">
        <v>14</v>
      </c>
      <c r="E1299" s="3">
        <v>0.2</v>
      </c>
    </row>
    <row r="1300" spans="1:5" x14ac:dyDescent="0.2">
      <c r="A1300">
        <v>10741</v>
      </c>
      <c r="B1300">
        <v>2</v>
      </c>
      <c r="C1300" s="2">
        <v>19</v>
      </c>
      <c r="D1300" s="2">
        <v>15</v>
      </c>
      <c r="E1300" s="3">
        <v>0.2</v>
      </c>
    </row>
    <row r="1301" spans="1:5" x14ac:dyDescent="0.2">
      <c r="A1301">
        <v>10742</v>
      </c>
      <c r="B1301">
        <v>3</v>
      </c>
      <c r="C1301" s="2">
        <v>10</v>
      </c>
      <c r="D1301" s="2">
        <v>20</v>
      </c>
      <c r="E1301" s="3">
        <v>0</v>
      </c>
    </row>
    <row r="1302" spans="1:5" x14ac:dyDescent="0.2">
      <c r="A1302">
        <v>10742</v>
      </c>
      <c r="B1302">
        <v>60</v>
      </c>
      <c r="C1302" s="2">
        <v>34</v>
      </c>
      <c r="D1302" s="2">
        <v>50</v>
      </c>
      <c r="E1302" s="3">
        <v>0</v>
      </c>
    </row>
    <row r="1303" spans="1:5" x14ac:dyDescent="0.2">
      <c r="A1303">
        <v>10742</v>
      </c>
      <c r="B1303">
        <v>72</v>
      </c>
      <c r="C1303" s="2">
        <v>34.799999999999997</v>
      </c>
      <c r="D1303" s="2">
        <v>35</v>
      </c>
      <c r="E1303" s="3">
        <v>0</v>
      </c>
    </row>
    <row r="1304" spans="1:5" x14ac:dyDescent="0.2">
      <c r="A1304">
        <v>10743</v>
      </c>
      <c r="B1304">
        <v>46</v>
      </c>
      <c r="C1304" s="2">
        <v>12</v>
      </c>
      <c r="D1304" s="2">
        <v>28</v>
      </c>
      <c r="E1304" s="3">
        <v>0.05</v>
      </c>
    </row>
    <row r="1305" spans="1:5" x14ac:dyDescent="0.2">
      <c r="A1305">
        <v>10744</v>
      </c>
      <c r="B1305">
        <v>40</v>
      </c>
      <c r="C1305" s="2">
        <v>18.399999999999999</v>
      </c>
      <c r="D1305" s="2">
        <v>50</v>
      </c>
      <c r="E1305" s="3">
        <v>0.2</v>
      </c>
    </row>
    <row r="1306" spans="1:5" x14ac:dyDescent="0.2">
      <c r="A1306">
        <v>10745</v>
      </c>
      <c r="B1306">
        <v>18</v>
      </c>
      <c r="C1306" s="2">
        <v>62.5</v>
      </c>
      <c r="D1306" s="2">
        <v>24</v>
      </c>
      <c r="E1306" s="3">
        <v>0</v>
      </c>
    </row>
    <row r="1307" spans="1:5" x14ac:dyDescent="0.2">
      <c r="A1307">
        <v>10745</v>
      </c>
      <c r="B1307">
        <v>44</v>
      </c>
      <c r="C1307" s="2">
        <v>19.45</v>
      </c>
      <c r="D1307" s="2">
        <v>16</v>
      </c>
      <c r="E1307" s="3">
        <v>0</v>
      </c>
    </row>
    <row r="1308" spans="1:5" x14ac:dyDescent="0.2">
      <c r="A1308">
        <v>10745</v>
      </c>
      <c r="B1308">
        <v>59</v>
      </c>
      <c r="C1308" s="2">
        <v>55</v>
      </c>
      <c r="D1308" s="2">
        <v>45</v>
      </c>
      <c r="E1308" s="3">
        <v>0</v>
      </c>
    </row>
    <row r="1309" spans="1:5" x14ac:dyDescent="0.2">
      <c r="A1309">
        <v>10745</v>
      </c>
      <c r="B1309">
        <v>72</v>
      </c>
      <c r="C1309" s="2">
        <v>34.799999999999997</v>
      </c>
      <c r="D1309" s="2">
        <v>7</v>
      </c>
      <c r="E1309" s="3">
        <v>0</v>
      </c>
    </row>
    <row r="1310" spans="1:5" x14ac:dyDescent="0.2">
      <c r="A1310">
        <v>10746</v>
      </c>
      <c r="B1310">
        <v>13</v>
      </c>
      <c r="C1310" s="2">
        <v>6</v>
      </c>
      <c r="D1310" s="2">
        <v>6</v>
      </c>
      <c r="E1310" s="3">
        <v>0</v>
      </c>
    </row>
    <row r="1311" spans="1:5" x14ac:dyDescent="0.2">
      <c r="A1311">
        <v>10746</v>
      </c>
      <c r="B1311">
        <v>42</v>
      </c>
      <c r="C1311" s="2">
        <v>14</v>
      </c>
      <c r="D1311" s="2">
        <v>28</v>
      </c>
      <c r="E1311" s="3">
        <v>0</v>
      </c>
    </row>
    <row r="1312" spans="1:5" x14ac:dyDescent="0.2">
      <c r="A1312">
        <v>10746</v>
      </c>
      <c r="B1312">
        <v>62</v>
      </c>
      <c r="C1312" s="2">
        <v>49.3</v>
      </c>
      <c r="D1312" s="2">
        <v>9</v>
      </c>
      <c r="E1312" s="3">
        <v>0</v>
      </c>
    </row>
    <row r="1313" spans="1:5" x14ac:dyDescent="0.2">
      <c r="A1313">
        <v>10746</v>
      </c>
      <c r="B1313">
        <v>69</v>
      </c>
      <c r="C1313" s="2">
        <v>36</v>
      </c>
      <c r="D1313" s="2">
        <v>40</v>
      </c>
      <c r="E1313" s="3">
        <v>0</v>
      </c>
    </row>
    <row r="1314" spans="1:5" x14ac:dyDescent="0.2">
      <c r="A1314">
        <v>10747</v>
      </c>
      <c r="B1314">
        <v>31</v>
      </c>
      <c r="C1314" s="2">
        <v>12.5</v>
      </c>
      <c r="D1314" s="2">
        <v>8</v>
      </c>
      <c r="E1314" s="3">
        <v>0</v>
      </c>
    </row>
    <row r="1315" spans="1:5" x14ac:dyDescent="0.2">
      <c r="A1315">
        <v>10747</v>
      </c>
      <c r="B1315">
        <v>41</v>
      </c>
      <c r="C1315" s="2">
        <v>9.65</v>
      </c>
      <c r="D1315" s="2">
        <v>35</v>
      </c>
      <c r="E1315" s="3">
        <v>0</v>
      </c>
    </row>
    <row r="1316" spans="1:5" x14ac:dyDescent="0.2">
      <c r="A1316">
        <v>10747</v>
      </c>
      <c r="B1316">
        <v>63</v>
      </c>
      <c r="C1316" s="2">
        <v>43.9</v>
      </c>
      <c r="D1316" s="2">
        <v>9</v>
      </c>
      <c r="E1316" s="3">
        <v>0</v>
      </c>
    </row>
    <row r="1317" spans="1:5" x14ac:dyDescent="0.2">
      <c r="A1317">
        <v>10747</v>
      </c>
      <c r="B1317">
        <v>69</v>
      </c>
      <c r="C1317" s="2">
        <v>36</v>
      </c>
      <c r="D1317" s="2">
        <v>30</v>
      </c>
      <c r="E1317" s="3">
        <v>0</v>
      </c>
    </row>
    <row r="1318" spans="1:5" x14ac:dyDescent="0.2">
      <c r="A1318">
        <v>10748</v>
      </c>
      <c r="B1318">
        <v>23</v>
      </c>
      <c r="C1318" s="2">
        <v>9</v>
      </c>
      <c r="D1318" s="2">
        <v>44</v>
      </c>
      <c r="E1318" s="3">
        <v>0</v>
      </c>
    </row>
    <row r="1319" spans="1:5" x14ac:dyDescent="0.2">
      <c r="A1319">
        <v>10748</v>
      </c>
      <c r="B1319">
        <v>40</v>
      </c>
      <c r="C1319" s="2">
        <v>18.399999999999999</v>
      </c>
      <c r="D1319" s="2">
        <v>40</v>
      </c>
      <c r="E1319" s="3">
        <v>0</v>
      </c>
    </row>
    <row r="1320" spans="1:5" x14ac:dyDescent="0.2">
      <c r="A1320">
        <v>10748</v>
      </c>
      <c r="B1320">
        <v>56</v>
      </c>
      <c r="C1320" s="2">
        <v>38</v>
      </c>
      <c r="D1320" s="2">
        <v>28</v>
      </c>
      <c r="E1320" s="3">
        <v>0</v>
      </c>
    </row>
    <row r="1321" spans="1:5" x14ac:dyDescent="0.2">
      <c r="A1321">
        <v>10749</v>
      </c>
      <c r="B1321">
        <v>56</v>
      </c>
      <c r="C1321" s="2">
        <v>38</v>
      </c>
      <c r="D1321" s="2">
        <v>15</v>
      </c>
      <c r="E1321" s="3">
        <v>0</v>
      </c>
    </row>
    <row r="1322" spans="1:5" x14ac:dyDescent="0.2">
      <c r="A1322">
        <v>10749</v>
      </c>
      <c r="B1322">
        <v>59</v>
      </c>
      <c r="C1322" s="2">
        <v>55</v>
      </c>
      <c r="D1322" s="2">
        <v>6</v>
      </c>
      <c r="E1322" s="3">
        <v>0</v>
      </c>
    </row>
    <row r="1323" spans="1:5" x14ac:dyDescent="0.2">
      <c r="A1323">
        <v>10749</v>
      </c>
      <c r="B1323">
        <v>76</v>
      </c>
      <c r="C1323" s="2">
        <v>18</v>
      </c>
      <c r="D1323" s="2">
        <v>10</v>
      </c>
      <c r="E1323" s="3">
        <v>0</v>
      </c>
    </row>
    <row r="1324" spans="1:5" x14ac:dyDescent="0.2">
      <c r="A1324">
        <v>10750</v>
      </c>
      <c r="B1324">
        <v>14</v>
      </c>
      <c r="C1324" s="2">
        <v>23.25</v>
      </c>
      <c r="D1324" s="2">
        <v>5</v>
      </c>
      <c r="E1324" s="3">
        <v>0.15</v>
      </c>
    </row>
    <row r="1325" spans="1:5" x14ac:dyDescent="0.2">
      <c r="A1325">
        <v>10750</v>
      </c>
      <c r="B1325">
        <v>45</v>
      </c>
      <c r="C1325" s="2">
        <v>9.5</v>
      </c>
      <c r="D1325" s="2">
        <v>40</v>
      </c>
      <c r="E1325" s="3">
        <v>0.15</v>
      </c>
    </row>
    <row r="1326" spans="1:5" x14ac:dyDescent="0.2">
      <c r="A1326">
        <v>10750</v>
      </c>
      <c r="B1326">
        <v>59</v>
      </c>
      <c r="C1326" s="2">
        <v>55</v>
      </c>
      <c r="D1326" s="2">
        <v>25</v>
      </c>
      <c r="E1326" s="3">
        <v>0.15</v>
      </c>
    </row>
    <row r="1327" spans="1:5" x14ac:dyDescent="0.2">
      <c r="A1327">
        <v>10751</v>
      </c>
      <c r="B1327">
        <v>26</v>
      </c>
      <c r="C1327" s="2">
        <v>31.23</v>
      </c>
      <c r="D1327" s="2">
        <v>12</v>
      </c>
      <c r="E1327" s="3">
        <v>0.1</v>
      </c>
    </row>
    <row r="1328" spans="1:5" x14ac:dyDescent="0.2">
      <c r="A1328">
        <v>10751</v>
      </c>
      <c r="B1328">
        <v>30</v>
      </c>
      <c r="C1328" s="2">
        <v>25.89</v>
      </c>
      <c r="D1328" s="2">
        <v>30</v>
      </c>
      <c r="E1328" s="3">
        <v>0</v>
      </c>
    </row>
    <row r="1329" spans="1:5" x14ac:dyDescent="0.2">
      <c r="A1329">
        <v>10751</v>
      </c>
      <c r="B1329">
        <v>50</v>
      </c>
      <c r="C1329" s="2">
        <v>16.25</v>
      </c>
      <c r="D1329" s="2">
        <v>20</v>
      </c>
      <c r="E1329" s="3">
        <v>0.1</v>
      </c>
    </row>
    <row r="1330" spans="1:5" x14ac:dyDescent="0.2">
      <c r="A1330">
        <v>10751</v>
      </c>
      <c r="B1330">
        <v>73</v>
      </c>
      <c r="C1330" s="2">
        <v>15</v>
      </c>
      <c r="D1330" s="2">
        <v>15</v>
      </c>
      <c r="E1330" s="3">
        <v>0</v>
      </c>
    </row>
    <row r="1331" spans="1:5" x14ac:dyDescent="0.2">
      <c r="A1331">
        <v>10752</v>
      </c>
      <c r="B1331">
        <v>1</v>
      </c>
      <c r="C1331" s="2">
        <v>18</v>
      </c>
      <c r="D1331" s="2">
        <v>8</v>
      </c>
      <c r="E1331" s="3">
        <v>0</v>
      </c>
    </row>
    <row r="1332" spans="1:5" x14ac:dyDescent="0.2">
      <c r="A1332">
        <v>10752</v>
      </c>
      <c r="B1332">
        <v>69</v>
      </c>
      <c r="C1332" s="2">
        <v>36</v>
      </c>
      <c r="D1332" s="2">
        <v>3</v>
      </c>
      <c r="E1332" s="3">
        <v>0</v>
      </c>
    </row>
    <row r="1333" spans="1:5" x14ac:dyDescent="0.2">
      <c r="A1333">
        <v>10753</v>
      </c>
      <c r="B1333">
        <v>45</v>
      </c>
      <c r="C1333" s="2">
        <v>9.5</v>
      </c>
      <c r="D1333" s="2">
        <v>4</v>
      </c>
      <c r="E1333" s="3">
        <v>0</v>
      </c>
    </row>
    <row r="1334" spans="1:5" x14ac:dyDescent="0.2">
      <c r="A1334">
        <v>10753</v>
      </c>
      <c r="B1334">
        <v>74</v>
      </c>
      <c r="C1334" s="2">
        <v>10</v>
      </c>
      <c r="D1334" s="2">
        <v>5</v>
      </c>
      <c r="E1334" s="3">
        <v>0</v>
      </c>
    </row>
    <row r="1335" spans="1:5" x14ac:dyDescent="0.2">
      <c r="A1335">
        <v>10754</v>
      </c>
      <c r="B1335">
        <v>40</v>
      </c>
      <c r="C1335" s="2">
        <v>18.399999999999999</v>
      </c>
      <c r="D1335" s="2">
        <v>3</v>
      </c>
      <c r="E1335" s="3">
        <v>0</v>
      </c>
    </row>
    <row r="1336" spans="1:5" x14ac:dyDescent="0.2">
      <c r="A1336">
        <v>10755</v>
      </c>
      <c r="B1336">
        <v>47</v>
      </c>
      <c r="C1336" s="2">
        <v>9.5</v>
      </c>
      <c r="D1336" s="2">
        <v>30</v>
      </c>
      <c r="E1336" s="3">
        <v>0.25</v>
      </c>
    </row>
    <row r="1337" spans="1:5" x14ac:dyDescent="0.2">
      <c r="A1337">
        <v>10755</v>
      </c>
      <c r="B1337">
        <v>56</v>
      </c>
      <c r="C1337" s="2">
        <v>38</v>
      </c>
      <c r="D1337" s="2">
        <v>30</v>
      </c>
      <c r="E1337" s="3">
        <v>0.25</v>
      </c>
    </row>
    <row r="1338" spans="1:5" x14ac:dyDescent="0.2">
      <c r="A1338">
        <v>10755</v>
      </c>
      <c r="B1338">
        <v>57</v>
      </c>
      <c r="C1338" s="2">
        <v>19.5</v>
      </c>
      <c r="D1338" s="2">
        <v>14</v>
      </c>
      <c r="E1338" s="3">
        <v>0.25</v>
      </c>
    </row>
    <row r="1339" spans="1:5" x14ac:dyDescent="0.2">
      <c r="A1339">
        <v>10755</v>
      </c>
      <c r="B1339">
        <v>69</v>
      </c>
      <c r="C1339" s="2">
        <v>36</v>
      </c>
      <c r="D1339" s="2">
        <v>25</v>
      </c>
      <c r="E1339" s="3">
        <v>0.25</v>
      </c>
    </row>
    <row r="1340" spans="1:5" x14ac:dyDescent="0.2">
      <c r="A1340">
        <v>10756</v>
      </c>
      <c r="B1340">
        <v>18</v>
      </c>
      <c r="C1340" s="2">
        <v>62.5</v>
      </c>
      <c r="D1340" s="2">
        <v>21</v>
      </c>
      <c r="E1340" s="3">
        <v>0.2</v>
      </c>
    </row>
    <row r="1341" spans="1:5" x14ac:dyDescent="0.2">
      <c r="A1341">
        <v>10756</v>
      </c>
      <c r="B1341">
        <v>36</v>
      </c>
      <c r="C1341" s="2">
        <v>19</v>
      </c>
      <c r="D1341" s="2">
        <v>20</v>
      </c>
      <c r="E1341" s="3">
        <v>0.2</v>
      </c>
    </row>
    <row r="1342" spans="1:5" x14ac:dyDescent="0.2">
      <c r="A1342">
        <v>10756</v>
      </c>
      <c r="B1342">
        <v>68</v>
      </c>
      <c r="C1342" s="2">
        <v>12.5</v>
      </c>
      <c r="D1342" s="2">
        <v>6</v>
      </c>
      <c r="E1342" s="3">
        <v>0.2</v>
      </c>
    </row>
    <row r="1343" spans="1:5" x14ac:dyDescent="0.2">
      <c r="A1343">
        <v>10756</v>
      </c>
      <c r="B1343">
        <v>69</v>
      </c>
      <c r="C1343" s="2">
        <v>36</v>
      </c>
      <c r="D1343" s="2">
        <v>20</v>
      </c>
      <c r="E1343" s="3">
        <v>0.2</v>
      </c>
    </row>
    <row r="1344" spans="1:5" x14ac:dyDescent="0.2">
      <c r="A1344">
        <v>10757</v>
      </c>
      <c r="B1344">
        <v>34</v>
      </c>
      <c r="C1344" s="2">
        <v>14</v>
      </c>
      <c r="D1344" s="2">
        <v>30</v>
      </c>
      <c r="E1344" s="3">
        <v>0</v>
      </c>
    </row>
    <row r="1345" spans="1:5" x14ac:dyDescent="0.2">
      <c r="A1345">
        <v>10757</v>
      </c>
      <c r="B1345">
        <v>59</v>
      </c>
      <c r="C1345" s="2">
        <v>55</v>
      </c>
      <c r="D1345" s="2">
        <v>7</v>
      </c>
      <c r="E1345" s="3">
        <v>0</v>
      </c>
    </row>
    <row r="1346" spans="1:5" x14ac:dyDescent="0.2">
      <c r="A1346">
        <v>10757</v>
      </c>
      <c r="B1346">
        <v>62</v>
      </c>
      <c r="C1346" s="2">
        <v>49.3</v>
      </c>
      <c r="D1346" s="2">
        <v>30</v>
      </c>
      <c r="E1346" s="3">
        <v>0</v>
      </c>
    </row>
    <row r="1347" spans="1:5" x14ac:dyDescent="0.2">
      <c r="A1347">
        <v>10757</v>
      </c>
      <c r="B1347">
        <v>64</v>
      </c>
      <c r="C1347" s="2">
        <v>33.25</v>
      </c>
      <c r="D1347" s="2">
        <v>24</v>
      </c>
      <c r="E1347" s="3">
        <v>0</v>
      </c>
    </row>
    <row r="1348" spans="1:5" x14ac:dyDescent="0.2">
      <c r="A1348">
        <v>10758</v>
      </c>
      <c r="B1348">
        <v>26</v>
      </c>
      <c r="C1348" s="2">
        <v>31.23</v>
      </c>
      <c r="D1348" s="2">
        <v>20</v>
      </c>
      <c r="E1348" s="3">
        <v>0</v>
      </c>
    </row>
    <row r="1349" spans="1:5" x14ac:dyDescent="0.2">
      <c r="A1349">
        <v>10758</v>
      </c>
      <c r="B1349">
        <v>52</v>
      </c>
      <c r="C1349" s="2">
        <v>7</v>
      </c>
      <c r="D1349" s="2">
        <v>60</v>
      </c>
      <c r="E1349" s="3">
        <v>0</v>
      </c>
    </row>
    <row r="1350" spans="1:5" x14ac:dyDescent="0.2">
      <c r="A1350">
        <v>10758</v>
      </c>
      <c r="B1350">
        <v>70</v>
      </c>
      <c r="C1350" s="2">
        <v>15</v>
      </c>
      <c r="D1350" s="2">
        <v>40</v>
      </c>
      <c r="E1350" s="3">
        <v>0</v>
      </c>
    </row>
    <row r="1351" spans="1:5" x14ac:dyDescent="0.2">
      <c r="A1351">
        <v>10759</v>
      </c>
      <c r="B1351">
        <v>32</v>
      </c>
      <c r="C1351" s="2">
        <v>32</v>
      </c>
      <c r="D1351" s="2">
        <v>10</v>
      </c>
      <c r="E1351" s="3">
        <v>0</v>
      </c>
    </row>
    <row r="1352" spans="1:5" x14ac:dyDescent="0.2">
      <c r="A1352">
        <v>10760</v>
      </c>
      <c r="B1352">
        <v>25</v>
      </c>
      <c r="C1352" s="2">
        <v>14</v>
      </c>
      <c r="D1352" s="2">
        <v>12</v>
      </c>
      <c r="E1352" s="3">
        <v>0.25</v>
      </c>
    </row>
    <row r="1353" spans="1:5" x14ac:dyDescent="0.2">
      <c r="A1353">
        <v>10760</v>
      </c>
      <c r="B1353">
        <v>27</v>
      </c>
      <c r="C1353" s="2">
        <v>43.9</v>
      </c>
      <c r="D1353" s="2">
        <v>40</v>
      </c>
      <c r="E1353" s="3">
        <v>0</v>
      </c>
    </row>
    <row r="1354" spans="1:5" x14ac:dyDescent="0.2">
      <c r="A1354">
        <v>10760</v>
      </c>
      <c r="B1354">
        <v>43</v>
      </c>
      <c r="C1354" s="2">
        <v>46</v>
      </c>
      <c r="D1354" s="2">
        <v>30</v>
      </c>
      <c r="E1354" s="3">
        <v>0.25</v>
      </c>
    </row>
    <row r="1355" spans="1:5" x14ac:dyDescent="0.2">
      <c r="A1355">
        <v>10761</v>
      </c>
      <c r="B1355">
        <v>25</v>
      </c>
      <c r="C1355" s="2">
        <v>14</v>
      </c>
      <c r="D1355" s="2">
        <v>35</v>
      </c>
      <c r="E1355" s="3">
        <v>0.25</v>
      </c>
    </row>
    <row r="1356" spans="1:5" x14ac:dyDescent="0.2">
      <c r="A1356">
        <v>10761</v>
      </c>
      <c r="B1356">
        <v>75</v>
      </c>
      <c r="C1356" s="2">
        <v>7.75</v>
      </c>
      <c r="D1356" s="2">
        <v>18</v>
      </c>
      <c r="E1356" s="3">
        <v>0</v>
      </c>
    </row>
    <row r="1357" spans="1:5" x14ac:dyDescent="0.2">
      <c r="A1357">
        <v>10762</v>
      </c>
      <c r="B1357">
        <v>39</v>
      </c>
      <c r="C1357" s="2">
        <v>18</v>
      </c>
      <c r="D1357" s="2">
        <v>16</v>
      </c>
      <c r="E1357" s="3">
        <v>0</v>
      </c>
    </row>
    <row r="1358" spans="1:5" x14ac:dyDescent="0.2">
      <c r="A1358">
        <v>10762</v>
      </c>
      <c r="B1358">
        <v>47</v>
      </c>
      <c r="C1358" s="2">
        <v>9.5</v>
      </c>
      <c r="D1358" s="2">
        <v>30</v>
      </c>
      <c r="E1358" s="3">
        <v>0</v>
      </c>
    </row>
    <row r="1359" spans="1:5" x14ac:dyDescent="0.2">
      <c r="A1359">
        <v>10762</v>
      </c>
      <c r="B1359">
        <v>51</v>
      </c>
      <c r="C1359" s="2">
        <v>53</v>
      </c>
      <c r="D1359" s="2">
        <v>28</v>
      </c>
      <c r="E1359" s="3">
        <v>0</v>
      </c>
    </row>
    <row r="1360" spans="1:5" x14ac:dyDescent="0.2">
      <c r="A1360">
        <v>10762</v>
      </c>
      <c r="B1360">
        <v>56</v>
      </c>
      <c r="C1360" s="2">
        <v>38</v>
      </c>
      <c r="D1360" s="2">
        <v>60</v>
      </c>
      <c r="E1360" s="3">
        <v>0</v>
      </c>
    </row>
    <row r="1361" spans="1:5" x14ac:dyDescent="0.2">
      <c r="A1361">
        <v>10763</v>
      </c>
      <c r="B1361">
        <v>21</v>
      </c>
      <c r="C1361" s="2">
        <v>10</v>
      </c>
      <c r="D1361" s="2">
        <v>40</v>
      </c>
      <c r="E1361" s="3">
        <v>0</v>
      </c>
    </row>
    <row r="1362" spans="1:5" x14ac:dyDescent="0.2">
      <c r="A1362">
        <v>10763</v>
      </c>
      <c r="B1362">
        <v>22</v>
      </c>
      <c r="C1362" s="2">
        <v>21</v>
      </c>
      <c r="D1362" s="2">
        <v>6</v>
      </c>
      <c r="E1362" s="3">
        <v>0</v>
      </c>
    </row>
    <row r="1363" spans="1:5" x14ac:dyDescent="0.2">
      <c r="A1363">
        <v>10763</v>
      </c>
      <c r="B1363">
        <v>24</v>
      </c>
      <c r="C1363" s="2">
        <v>4.5</v>
      </c>
      <c r="D1363" s="2">
        <v>20</v>
      </c>
      <c r="E1363" s="3">
        <v>0</v>
      </c>
    </row>
    <row r="1364" spans="1:5" x14ac:dyDescent="0.2">
      <c r="A1364">
        <v>10764</v>
      </c>
      <c r="B1364">
        <v>3</v>
      </c>
      <c r="C1364" s="2">
        <v>10</v>
      </c>
      <c r="D1364" s="2">
        <v>20</v>
      </c>
      <c r="E1364" s="3">
        <v>0.1</v>
      </c>
    </row>
    <row r="1365" spans="1:5" x14ac:dyDescent="0.2">
      <c r="A1365">
        <v>10764</v>
      </c>
      <c r="B1365">
        <v>39</v>
      </c>
      <c r="C1365" s="2">
        <v>18</v>
      </c>
      <c r="D1365" s="2">
        <v>130</v>
      </c>
      <c r="E1365" s="3">
        <v>0.1</v>
      </c>
    </row>
    <row r="1366" spans="1:5" x14ac:dyDescent="0.2">
      <c r="A1366">
        <v>10765</v>
      </c>
      <c r="B1366">
        <v>65</v>
      </c>
      <c r="C1366" s="2">
        <v>21.05</v>
      </c>
      <c r="D1366" s="2">
        <v>80</v>
      </c>
      <c r="E1366" s="3">
        <v>0.1</v>
      </c>
    </row>
    <row r="1367" spans="1:5" x14ac:dyDescent="0.2">
      <c r="A1367">
        <v>10766</v>
      </c>
      <c r="B1367">
        <v>2</v>
      </c>
      <c r="C1367" s="2">
        <v>19</v>
      </c>
      <c r="D1367" s="2">
        <v>40</v>
      </c>
      <c r="E1367" s="3">
        <v>0</v>
      </c>
    </row>
    <row r="1368" spans="1:5" x14ac:dyDescent="0.2">
      <c r="A1368">
        <v>10766</v>
      </c>
      <c r="B1368">
        <v>7</v>
      </c>
      <c r="C1368" s="2">
        <v>30</v>
      </c>
      <c r="D1368" s="2">
        <v>35</v>
      </c>
      <c r="E1368" s="3">
        <v>0</v>
      </c>
    </row>
    <row r="1369" spans="1:5" x14ac:dyDescent="0.2">
      <c r="A1369">
        <v>10766</v>
      </c>
      <c r="B1369">
        <v>68</v>
      </c>
      <c r="C1369" s="2">
        <v>12.5</v>
      </c>
      <c r="D1369" s="2">
        <v>40</v>
      </c>
      <c r="E1369" s="3">
        <v>0</v>
      </c>
    </row>
    <row r="1370" spans="1:5" x14ac:dyDescent="0.2">
      <c r="A1370">
        <v>10767</v>
      </c>
      <c r="B1370">
        <v>42</v>
      </c>
      <c r="C1370" s="2">
        <v>14</v>
      </c>
      <c r="D1370" s="2">
        <v>2</v>
      </c>
      <c r="E1370" s="3">
        <v>0</v>
      </c>
    </row>
    <row r="1371" spans="1:5" x14ac:dyDescent="0.2">
      <c r="A1371">
        <v>10768</v>
      </c>
      <c r="B1371">
        <v>22</v>
      </c>
      <c r="C1371" s="2">
        <v>21</v>
      </c>
      <c r="D1371" s="2">
        <v>4</v>
      </c>
      <c r="E1371" s="3">
        <v>0</v>
      </c>
    </row>
    <row r="1372" spans="1:5" x14ac:dyDescent="0.2">
      <c r="A1372">
        <v>10768</v>
      </c>
      <c r="B1372">
        <v>31</v>
      </c>
      <c r="C1372" s="2">
        <v>12.5</v>
      </c>
      <c r="D1372" s="2">
        <v>50</v>
      </c>
      <c r="E1372" s="3">
        <v>0</v>
      </c>
    </row>
    <row r="1373" spans="1:5" x14ac:dyDescent="0.2">
      <c r="A1373">
        <v>10768</v>
      </c>
      <c r="B1373">
        <v>60</v>
      </c>
      <c r="C1373" s="2">
        <v>34</v>
      </c>
      <c r="D1373" s="2">
        <v>15</v>
      </c>
      <c r="E1373" s="3">
        <v>0</v>
      </c>
    </row>
    <row r="1374" spans="1:5" x14ac:dyDescent="0.2">
      <c r="A1374">
        <v>10768</v>
      </c>
      <c r="B1374">
        <v>71</v>
      </c>
      <c r="C1374" s="2">
        <v>21.5</v>
      </c>
      <c r="D1374" s="2">
        <v>12</v>
      </c>
      <c r="E1374" s="3">
        <v>0</v>
      </c>
    </row>
    <row r="1375" spans="1:5" x14ac:dyDescent="0.2">
      <c r="A1375">
        <v>10769</v>
      </c>
      <c r="B1375">
        <v>41</v>
      </c>
      <c r="C1375" s="2">
        <v>9.65</v>
      </c>
      <c r="D1375" s="2">
        <v>30</v>
      </c>
      <c r="E1375" s="3">
        <v>0.05</v>
      </c>
    </row>
    <row r="1376" spans="1:5" x14ac:dyDescent="0.2">
      <c r="A1376">
        <v>10769</v>
      </c>
      <c r="B1376">
        <v>52</v>
      </c>
      <c r="C1376" s="2">
        <v>7</v>
      </c>
      <c r="D1376" s="2">
        <v>15</v>
      </c>
      <c r="E1376" s="3">
        <v>0.05</v>
      </c>
    </row>
    <row r="1377" spans="1:5" x14ac:dyDescent="0.2">
      <c r="A1377">
        <v>10769</v>
      </c>
      <c r="B1377">
        <v>61</v>
      </c>
      <c r="C1377" s="2">
        <v>28.5</v>
      </c>
      <c r="D1377" s="2">
        <v>20</v>
      </c>
      <c r="E1377" s="3">
        <v>0</v>
      </c>
    </row>
    <row r="1378" spans="1:5" x14ac:dyDescent="0.2">
      <c r="A1378">
        <v>10769</v>
      </c>
      <c r="B1378">
        <v>62</v>
      </c>
      <c r="C1378" s="2">
        <v>49.3</v>
      </c>
      <c r="D1378" s="2">
        <v>15</v>
      </c>
      <c r="E1378" s="3">
        <v>0</v>
      </c>
    </row>
    <row r="1379" spans="1:5" x14ac:dyDescent="0.2">
      <c r="A1379">
        <v>10770</v>
      </c>
      <c r="B1379">
        <v>11</v>
      </c>
      <c r="C1379" s="2">
        <v>21</v>
      </c>
      <c r="D1379" s="2">
        <v>15</v>
      </c>
      <c r="E1379" s="3">
        <v>0.25</v>
      </c>
    </row>
    <row r="1380" spans="1:5" x14ac:dyDescent="0.2">
      <c r="A1380">
        <v>10771</v>
      </c>
      <c r="B1380">
        <v>71</v>
      </c>
      <c r="C1380" s="2">
        <v>21.5</v>
      </c>
      <c r="D1380" s="2">
        <v>16</v>
      </c>
      <c r="E1380" s="3">
        <v>0</v>
      </c>
    </row>
    <row r="1381" spans="1:5" x14ac:dyDescent="0.2">
      <c r="A1381">
        <v>10772</v>
      </c>
      <c r="B1381">
        <v>29</v>
      </c>
      <c r="C1381" s="2">
        <v>123.79</v>
      </c>
      <c r="D1381" s="2">
        <v>18</v>
      </c>
      <c r="E1381" s="3">
        <v>0</v>
      </c>
    </row>
    <row r="1382" spans="1:5" x14ac:dyDescent="0.2">
      <c r="A1382">
        <v>10772</v>
      </c>
      <c r="B1382">
        <v>59</v>
      </c>
      <c r="C1382" s="2">
        <v>55</v>
      </c>
      <c r="D1382" s="2">
        <v>25</v>
      </c>
      <c r="E1382" s="3">
        <v>0</v>
      </c>
    </row>
    <row r="1383" spans="1:5" x14ac:dyDescent="0.2">
      <c r="A1383">
        <v>10773</v>
      </c>
      <c r="B1383">
        <v>17</v>
      </c>
      <c r="C1383" s="2">
        <v>39</v>
      </c>
      <c r="D1383" s="2">
        <v>33</v>
      </c>
      <c r="E1383" s="3">
        <v>0</v>
      </c>
    </row>
    <row r="1384" spans="1:5" x14ac:dyDescent="0.2">
      <c r="A1384">
        <v>10773</v>
      </c>
      <c r="B1384">
        <v>31</v>
      </c>
      <c r="C1384" s="2">
        <v>12.5</v>
      </c>
      <c r="D1384" s="2">
        <v>70</v>
      </c>
      <c r="E1384" s="3">
        <v>0.2</v>
      </c>
    </row>
    <row r="1385" spans="1:5" x14ac:dyDescent="0.2">
      <c r="A1385">
        <v>10773</v>
      </c>
      <c r="B1385">
        <v>75</v>
      </c>
      <c r="C1385" s="2">
        <v>7.75</v>
      </c>
      <c r="D1385" s="2">
        <v>7</v>
      </c>
      <c r="E1385" s="3">
        <v>0.2</v>
      </c>
    </row>
    <row r="1386" spans="1:5" x14ac:dyDescent="0.2">
      <c r="A1386">
        <v>10774</v>
      </c>
      <c r="B1386">
        <v>31</v>
      </c>
      <c r="C1386" s="2">
        <v>12.5</v>
      </c>
      <c r="D1386" s="2">
        <v>2</v>
      </c>
      <c r="E1386" s="3">
        <v>0.25</v>
      </c>
    </row>
    <row r="1387" spans="1:5" x14ac:dyDescent="0.2">
      <c r="A1387">
        <v>10774</v>
      </c>
      <c r="B1387">
        <v>66</v>
      </c>
      <c r="C1387" s="2">
        <v>17</v>
      </c>
      <c r="D1387" s="2">
        <v>50</v>
      </c>
      <c r="E1387" s="3">
        <v>0</v>
      </c>
    </row>
    <row r="1388" spans="1:5" x14ac:dyDescent="0.2">
      <c r="A1388">
        <v>10775</v>
      </c>
      <c r="B1388">
        <v>10</v>
      </c>
      <c r="C1388" s="2">
        <v>31</v>
      </c>
      <c r="D1388" s="2">
        <v>6</v>
      </c>
      <c r="E1388" s="3">
        <v>0</v>
      </c>
    </row>
    <row r="1389" spans="1:5" x14ac:dyDescent="0.2">
      <c r="A1389">
        <v>10775</v>
      </c>
      <c r="B1389">
        <v>67</v>
      </c>
      <c r="C1389" s="2">
        <v>14</v>
      </c>
      <c r="D1389" s="2">
        <v>3</v>
      </c>
      <c r="E1389" s="3">
        <v>0</v>
      </c>
    </row>
    <row r="1390" spans="1:5" x14ac:dyDescent="0.2">
      <c r="A1390">
        <v>10776</v>
      </c>
      <c r="B1390">
        <v>31</v>
      </c>
      <c r="C1390" s="2">
        <v>12.5</v>
      </c>
      <c r="D1390" s="2">
        <v>16</v>
      </c>
      <c r="E1390" s="3">
        <v>0.05</v>
      </c>
    </row>
    <row r="1391" spans="1:5" x14ac:dyDescent="0.2">
      <c r="A1391">
        <v>10776</v>
      </c>
      <c r="B1391">
        <v>42</v>
      </c>
      <c r="C1391" s="2">
        <v>14</v>
      </c>
      <c r="D1391" s="2">
        <v>12</v>
      </c>
      <c r="E1391" s="3">
        <v>0.05</v>
      </c>
    </row>
    <row r="1392" spans="1:5" x14ac:dyDescent="0.2">
      <c r="A1392">
        <v>10776</v>
      </c>
      <c r="B1392">
        <v>45</v>
      </c>
      <c r="C1392" s="2">
        <v>9.5</v>
      </c>
      <c r="D1392" s="2">
        <v>27</v>
      </c>
      <c r="E1392" s="3">
        <v>0.05</v>
      </c>
    </row>
    <row r="1393" spans="1:5" x14ac:dyDescent="0.2">
      <c r="A1393">
        <v>10776</v>
      </c>
      <c r="B1393">
        <v>51</v>
      </c>
      <c r="C1393" s="2">
        <v>53</v>
      </c>
      <c r="D1393" s="2">
        <v>120</v>
      </c>
      <c r="E1393" s="3">
        <v>0.05</v>
      </c>
    </row>
    <row r="1394" spans="1:5" x14ac:dyDescent="0.2">
      <c r="A1394">
        <v>10777</v>
      </c>
      <c r="B1394">
        <v>42</v>
      </c>
      <c r="C1394" s="2">
        <v>14</v>
      </c>
      <c r="D1394" s="2">
        <v>20</v>
      </c>
      <c r="E1394" s="3">
        <v>0.2</v>
      </c>
    </row>
    <row r="1395" spans="1:5" x14ac:dyDescent="0.2">
      <c r="A1395">
        <v>10778</v>
      </c>
      <c r="B1395">
        <v>41</v>
      </c>
      <c r="C1395" s="2">
        <v>9.65</v>
      </c>
      <c r="D1395" s="2">
        <v>10</v>
      </c>
      <c r="E1395" s="3">
        <v>0</v>
      </c>
    </row>
    <row r="1396" spans="1:5" x14ac:dyDescent="0.2">
      <c r="A1396">
        <v>10779</v>
      </c>
      <c r="B1396">
        <v>16</v>
      </c>
      <c r="C1396" s="2">
        <v>17.45</v>
      </c>
      <c r="D1396" s="2">
        <v>20</v>
      </c>
      <c r="E1396" s="3">
        <v>0</v>
      </c>
    </row>
    <row r="1397" spans="1:5" x14ac:dyDescent="0.2">
      <c r="A1397">
        <v>10779</v>
      </c>
      <c r="B1397">
        <v>62</v>
      </c>
      <c r="C1397" s="2">
        <v>49.3</v>
      </c>
      <c r="D1397" s="2">
        <v>20</v>
      </c>
      <c r="E1397" s="3">
        <v>0</v>
      </c>
    </row>
    <row r="1398" spans="1:5" x14ac:dyDescent="0.2">
      <c r="A1398">
        <v>10780</v>
      </c>
      <c r="B1398">
        <v>70</v>
      </c>
      <c r="C1398" s="2">
        <v>15</v>
      </c>
      <c r="D1398" s="2">
        <v>35</v>
      </c>
      <c r="E1398" s="3">
        <v>0</v>
      </c>
    </row>
    <row r="1399" spans="1:5" x14ac:dyDescent="0.2">
      <c r="A1399">
        <v>10780</v>
      </c>
      <c r="B1399">
        <v>77</v>
      </c>
      <c r="C1399" s="2">
        <v>13</v>
      </c>
      <c r="D1399" s="2">
        <v>15</v>
      </c>
      <c r="E1399" s="3">
        <v>0</v>
      </c>
    </row>
    <row r="1400" spans="1:5" x14ac:dyDescent="0.2">
      <c r="A1400">
        <v>10781</v>
      </c>
      <c r="B1400">
        <v>54</v>
      </c>
      <c r="C1400" s="2">
        <v>7.45</v>
      </c>
      <c r="D1400" s="2">
        <v>3</v>
      </c>
      <c r="E1400" s="3">
        <v>0.2</v>
      </c>
    </row>
    <row r="1401" spans="1:5" x14ac:dyDescent="0.2">
      <c r="A1401">
        <v>10781</v>
      </c>
      <c r="B1401">
        <v>56</v>
      </c>
      <c r="C1401" s="2">
        <v>38</v>
      </c>
      <c r="D1401" s="2">
        <v>20</v>
      </c>
      <c r="E1401" s="3">
        <v>0.2</v>
      </c>
    </row>
    <row r="1402" spans="1:5" x14ac:dyDescent="0.2">
      <c r="A1402">
        <v>10781</v>
      </c>
      <c r="B1402">
        <v>74</v>
      </c>
      <c r="C1402" s="2">
        <v>10</v>
      </c>
      <c r="D1402" s="2">
        <v>35</v>
      </c>
      <c r="E1402" s="3">
        <v>0</v>
      </c>
    </row>
    <row r="1403" spans="1:5" x14ac:dyDescent="0.2">
      <c r="A1403">
        <v>10782</v>
      </c>
      <c r="B1403">
        <v>31</v>
      </c>
      <c r="C1403" s="2">
        <v>12.5</v>
      </c>
      <c r="D1403" s="2">
        <v>1</v>
      </c>
      <c r="E1403" s="3">
        <v>0</v>
      </c>
    </row>
    <row r="1404" spans="1:5" x14ac:dyDescent="0.2">
      <c r="A1404">
        <v>10783</v>
      </c>
      <c r="B1404">
        <v>31</v>
      </c>
      <c r="C1404" s="2">
        <v>12.5</v>
      </c>
      <c r="D1404" s="2">
        <v>10</v>
      </c>
      <c r="E1404" s="3">
        <v>0</v>
      </c>
    </row>
    <row r="1405" spans="1:5" x14ac:dyDescent="0.2">
      <c r="A1405">
        <v>10783</v>
      </c>
      <c r="B1405">
        <v>38</v>
      </c>
      <c r="C1405" s="2">
        <v>263.5</v>
      </c>
      <c r="D1405" s="2">
        <v>5</v>
      </c>
      <c r="E1405" s="3">
        <v>0</v>
      </c>
    </row>
    <row r="1406" spans="1:5" x14ac:dyDescent="0.2">
      <c r="A1406">
        <v>10784</v>
      </c>
      <c r="B1406">
        <v>36</v>
      </c>
      <c r="C1406" s="2">
        <v>19</v>
      </c>
      <c r="D1406" s="2">
        <v>30</v>
      </c>
      <c r="E1406" s="3">
        <v>0</v>
      </c>
    </row>
    <row r="1407" spans="1:5" x14ac:dyDescent="0.2">
      <c r="A1407">
        <v>10784</v>
      </c>
      <c r="B1407">
        <v>39</v>
      </c>
      <c r="C1407" s="2">
        <v>18</v>
      </c>
      <c r="D1407" s="2">
        <v>2</v>
      </c>
      <c r="E1407" s="3">
        <v>0.15</v>
      </c>
    </row>
    <row r="1408" spans="1:5" x14ac:dyDescent="0.2">
      <c r="A1408">
        <v>10784</v>
      </c>
      <c r="B1408">
        <v>72</v>
      </c>
      <c r="C1408" s="2">
        <v>34.799999999999997</v>
      </c>
      <c r="D1408" s="2">
        <v>30</v>
      </c>
      <c r="E1408" s="3">
        <v>0.15</v>
      </c>
    </row>
    <row r="1409" spans="1:5" x14ac:dyDescent="0.2">
      <c r="A1409">
        <v>10785</v>
      </c>
      <c r="B1409">
        <v>10</v>
      </c>
      <c r="C1409" s="2">
        <v>31</v>
      </c>
      <c r="D1409" s="2">
        <v>10</v>
      </c>
      <c r="E1409" s="3">
        <v>0</v>
      </c>
    </row>
    <row r="1410" spans="1:5" x14ac:dyDescent="0.2">
      <c r="A1410">
        <v>10785</v>
      </c>
      <c r="B1410">
        <v>75</v>
      </c>
      <c r="C1410" s="2">
        <v>7.75</v>
      </c>
      <c r="D1410" s="2">
        <v>10</v>
      </c>
      <c r="E1410" s="3">
        <v>0</v>
      </c>
    </row>
    <row r="1411" spans="1:5" x14ac:dyDescent="0.2">
      <c r="A1411">
        <v>10786</v>
      </c>
      <c r="B1411">
        <v>8</v>
      </c>
      <c r="C1411" s="2">
        <v>40</v>
      </c>
      <c r="D1411" s="2">
        <v>30</v>
      </c>
      <c r="E1411" s="3">
        <v>0.2</v>
      </c>
    </row>
    <row r="1412" spans="1:5" x14ac:dyDescent="0.2">
      <c r="A1412">
        <v>10786</v>
      </c>
      <c r="B1412">
        <v>30</v>
      </c>
      <c r="C1412" s="2">
        <v>25.89</v>
      </c>
      <c r="D1412" s="2">
        <v>15</v>
      </c>
      <c r="E1412" s="3">
        <v>0.2</v>
      </c>
    </row>
    <row r="1413" spans="1:5" x14ac:dyDescent="0.2">
      <c r="A1413">
        <v>10786</v>
      </c>
      <c r="B1413">
        <v>75</v>
      </c>
      <c r="C1413" s="2">
        <v>7.75</v>
      </c>
      <c r="D1413" s="2">
        <v>42</v>
      </c>
      <c r="E1413" s="3">
        <v>0.2</v>
      </c>
    </row>
    <row r="1414" spans="1:5" x14ac:dyDescent="0.2">
      <c r="A1414">
        <v>10787</v>
      </c>
      <c r="B1414">
        <v>2</v>
      </c>
      <c r="C1414" s="2">
        <v>19</v>
      </c>
      <c r="D1414" s="2">
        <v>15</v>
      </c>
      <c r="E1414" s="3">
        <v>0.05</v>
      </c>
    </row>
    <row r="1415" spans="1:5" x14ac:dyDescent="0.2">
      <c r="A1415">
        <v>10787</v>
      </c>
      <c r="B1415">
        <v>29</v>
      </c>
      <c r="C1415" s="2">
        <v>123.79</v>
      </c>
      <c r="D1415" s="2">
        <v>20</v>
      </c>
      <c r="E1415" s="3">
        <v>0.05</v>
      </c>
    </row>
    <row r="1416" spans="1:5" x14ac:dyDescent="0.2">
      <c r="A1416">
        <v>10788</v>
      </c>
      <c r="B1416">
        <v>19</v>
      </c>
      <c r="C1416" s="2">
        <v>9.1999999999999993</v>
      </c>
      <c r="D1416" s="2">
        <v>50</v>
      </c>
      <c r="E1416" s="3">
        <v>0.05</v>
      </c>
    </row>
    <row r="1417" spans="1:5" x14ac:dyDescent="0.2">
      <c r="A1417">
        <v>10788</v>
      </c>
      <c r="B1417">
        <v>75</v>
      </c>
      <c r="C1417" s="2">
        <v>7.75</v>
      </c>
      <c r="D1417" s="2">
        <v>40</v>
      </c>
      <c r="E1417" s="3">
        <v>0.05</v>
      </c>
    </row>
    <row r="1418" spans="1:5" x14ac:dyDescent="0.2">
      <c r="A1418">
        <v>10789</v>
      </c>
      <c r="B1418">
        <v>18</v>
      </c>
      <c r="C1418" s="2">
        <v>62.5</v>
      </c>
      <c r="D1418" s="2">
        <v>30</v>
      </c>
      <c r="E1418" s="3">
        <v>0</v>
      </c>
    </row>
    <row r="1419" spans="1:5" x14ac:dyDescent="0.2">
      <c r="A1419">
        <v>10789</v>
      </c>
      <c r="B1419">
        <v>35</v>
      </c>
      <c r="C1419" s="2">
        <v>18</v>
      </c>
      <c r="D1419" s="2">
        <v>15</v>
      </c>
      <c r="E1419" s="3">
        <v>0</v>
      </c>
    </row>
    <row r="1420" spans="1:5" x14ac:dyDescent="0.2">
      <c r="A1420">
        <v>10789</v>
      </c>
      <c r="B1420">
        <v>63</v>
      </c>
      <c r="C1420" s="2">
        <v>43.9</v>
      </c>
      <c r="D1420" s="2">
        <v>30</v>
      </c>
      <c r="E1420" s="3">
        <v>0</v>
      </c>
    </row>
    <row r="1421" spans="1:5" x14ac:dyDescent="0.2">
      <c r="A1421">
        <v>10789</v>
      </c>
      <c r="B1421">
        <v>68</v>
      </c>
      <c r="C1421" s="2">
        <v>12.5</v>
      </c>
      <c r="D1421" s="2">
        <v>18</v>
      </c>
      <c r="E1421" s="3">
        <v>0</v>
      </c>
    </row>
    <row r="1422" spans="1:5" x14ac:dyDescent="0.2">
      <c r="A1422">
        <v>10790</v>
      </c>
      <c r="B1422">
        <v>7</v>
      </c>
      <c r="C1422" s="2">
        <v>30</v>
      </c>
      <c r="D1422" s="2">
        <v>3</v>
      </c>
      <c r="E1422" s="3">
        <v>0.15</v>
      </c>
    </row>
    <row r="1423" spans="1:5" x14ac:dyDescent="0.2">
      <c r="A1423">
        <v>10790</v>
      </c>
      <c r="B1423">
        <v>56</v>
      </c>
      <c r="C1423" s="2">
        <v>38</v>
      </c>
      <c r="D1423" s="2">
        <v>20</v>
      </c>
      <c r="E1423" s="3">
        <v>0.15</v>
      </c>
    </row>
    <row r="1424" spans="1:5" x14ac:dyDescent="0.2">
      <c r="A1424">
        <v>10791</v>
      </c>
      <c r="B1424">
        <v>29</v>
      </c>
      <c r="C1424" s="2">
        <v>123.79</v>
      </c>
      <c r="D1424" s="2">
        <v>14</v>
      </c>
      <c r="E1424" s="3">
        <v>0.05</v>
      </c>
    </row>
    <row r="1425" spans="1:5" x14ac:dyDescent="0.2">
      <c r="A1425">
        <v>10791</v>
      </c>
      <c r="B1425">
        <v>41</v>
      </c>
      <c r="C1425" s="2">
        <v>9.65</v>
      </c>
      <c r="D1425" s="2">
        <v>20</v>
      </c>
      <c r="E1425" s="3">
        <v>0.05</v>
      </c>
    </row>
    <row r="1426" spans="1:5" x14ac:dyDescent="0.2">
      <c r="A1426">
        <v>10792</v>
      </c>
      <c r="B1426">
        <v>2</v>
      </c>
      <c r="C1426" s="2">
        <v>19</v>
      </c>
      <c r="D1426" s="2">
        <v>10</v>
      </c>
      <c r="E1426" s="3">
        <v>0</v>
      </c>
    </row>
    <row r="1427" spans="1:5" x14ac:dyDescent="0.2">
      <c r="A1427">
        <v>10792</v>
      </c>
      <c r="B1427">
        <v>54</v>
      </c>
      <c r="C1427" s="2">
        <v>7.45</v>
      </c>
      <c r="D1427" s="2">
        <v>3</v>
      </c>
      <c r="E1427" s="3">
        <v>0</v>
      </c>
    </row>
    <row r="1428" spans="1:5" x14ac:dyDescent="0.2">
      <c r="A1428">
        <v>10792</v>
      </c>
      <c r="B1428">
        <v>68</v>
      </c>
      <c r="C1428" s="2">
        <v>12.5</v>
      </c>
      <c r="D1428" s="2">
        <v>15</v>
      </c>
      <c r="E1428" s="3">
        <v>0</v>
      </c>
    </row>
    <row r="1429" spans="1:5" x14ac:dyDescent="0.2">
      <c r="A1429">
        <v>10793</v>
      </c>
      <c r="B1429">
        <v>41</v>
      </c>
      <c r="C1429" s="2">
        <v>9.65</v>
      </c>
      <c r="D1429" s="2">
        <v>14</v>
      </c>
      <c r="E1429" s="3">
        <v>0</v>
      </c>
    </row>
    <row r="1430" spans="1:5" x14ac:dyDescent="0.2">
      <c r="A1430">
        <v>10793</v>
      </c>
      <c r="B1430">
        <v>52</v>
      </c>
      <c r="C1430" s="2">
        <v>7</v>
      </c>
      <c r="D1430" s="2">
        <v>8</v>
      </c>
      <c r="E1430" s="3">
        <v>0</v>
      </c>
    </row>
    <row r="1431" spans="1:5" x14ac:dyDescent="0.2">
      <c r="A1431">
        <v>10794</v>
      </c>
      <c r="B1431">
        <v>14</v>
      </c>
      <c r="C1431" s="2">
        <v>23.25</v>
      </c>
      <c r="D1431" s="2">
        <v>15</v>
      </c>
      <c r="E1431" s="3">
        <v>0.2</v>
      </c>
    </row>
    <row r="1432" spans="1:5" x14ac:dyDescent="0.2">
      <c r="A1432">
        <v>10794</v>
      </c>
      <c r="B1432">
        <v>54</v>
      </c>
      <c r="C1432" s="2">
        <v>7.45</v>
      </c>
      <c r="D1432" s="2">
        <v>6</v>
      </c>
      <c r="E1432" s="3">
        <v>0.2</v>
      </c>
    </row>
    <row r="1433" spans="1:5" x14ac:dyDescent="0.2">
      <c r="A1433">
        <v>10795</v>
      </c>
      <c r="B1433">
        <v>16</v>
      </c>
      <c r="C1433" s="2">
        <v>17.45</v>
      </c>
      <c r="D1433" s="2">
        <v>65</v>
      </c>
      <c r="E1433" s="3">
        <v>0</v>
      </c>
    </row>
    <row r="1434" spans="1:5" x14ac:dyDescent="0.2">
      <c r="A1434">
        <v>10795</v>
      </c>
      <c r="B1434">
        <v>17</v>
      </c>
      <c r="C1434" s="2">
        <v>39</v>
      </c>
      <c r="D1434" s="2">
        <v>35</v>
      </c>
      <c r="E1434" s="3">
        <v>0.25</v>
      </c>
    </row>
    <row r="1435" spans="1:5" x14ac:dyDescent="0.2">
      <c r="A1435">
        <v>10796</v>
      </c>
      <c r="B1435">
        <v>26</v>
      </c>
      <c r="C1435" s="2">
        <v>31.23</v>
      </c>
      <c r="D1435" s="2">
        <v>21</v>
      </c>
      <c r="E1435" s="3">
        <v>0.2</v>
      </c>
    </row>
    <row r="1436" spans="1:5" x14ac:dyDescent="0.2">
      <c r="A1436">
        <v>10796</v>
      </c>
      <c r="B1436">
        <v>44</v>
      </c>
      <c r="C1436" s="2">
        <v>19.45</v>
      </c>
      <c r="D1436" s="2">
        <v>10</v>
      </c>
      <c r="E1436" s="3">
        <v>0</v>
      </c>
    </row>
    <row r="1437" spans="1:5" x14ac:dyDescent="0.2">
      <c r="A1437">
        <v>10796</v>
      </c>
      <c r="B1437">
        <v>64</v>
      </c>
      <c r="C1437" s="2">
        <v>33.25</v>
      </c>
      <c r="D1437" s="2">
        <v>35</v>
      </c>
      <c r="E1437" s="3">
        <v>0.2</v>
      </c>
    </row>
    <row r="1438" spans="1:5" x14ac:dyDescent="0.2">
      <c r="A1438">
        <v>10796</v>
      </c>
      <c r="B1438">
        <v>69</v>
      </c>
      <c r="C1438" s="2">
        <v>36</v>
      </c>
      <c r="D1438" s="2">
        <v>24</v>
      </c>
      <c r="E1438" s="3">
        <v>0.2</v>
      </c>
    </row>
    <row r="1439" spans="1:5" x14ac:dyDescent="0.2">
      <c r="A1439">
        <v>10797</v>
      </c>
      <c r="B1439">
        <v>11</v>
      </c>
      <c r="C1439" s="2">
        <v>21</v>
      </c>
      <c r="D1439" s="2">
        <v>20</v>
      </c>
      <c r="E1439" s="3">
        <v>0</v>
      </c>
    </row>
    <row r="1440" spans="1:5" x14ac:dyDescent="0.2">
      <c r="A1440">
        <v>10798</v>
      </c>
      <c r="B1440">
        <v>62</v>
      </c>
      <c r="C1440" s="2">
        <v>49.3</v>
      </c>
      <c r="D1440" s="2">
        <v>2</v>
      </c>
      <c r="E1440" s="3">
        <v>0</v>
      </c>
    </row>
    <row r="1441" spans="1:5" x14ac:dyDescent="0.2">
      <c r="A1441">
        <v>10798</v>
      </c>
      <c r="B1441">
        <v>72</v>
      </c>
      <c r="C1441" s="2">
        <v>34.799999999999997</v>
      </c>
      <c r="D1441" s="2">
        <v>10</v>
      </c>
      <c r="E1441" s="3">
        <v>0</v>
      </c>
    </row>
    <row r="1442" spans="1:5" x14ac:dyDescent="0.2">
      <c r="A1442">
        <v>10799</v>
      </c>
      <c r="B1442">
        <v>13</v>
      </c>
      <c r="C1442" s="2">
        <v>6</v>
      </c>
      <c r="D1442" s="2">
        <v>20</v>
      </c>
      <c r="E1442" s="3">
        <v>0.15</v>
      </c>
    </row>
    <row r="1443" spans="1:5" x14ac:dyDescent="0.2">
      <c r="A1443">
        <v>10799</v>
      </c>
      <c r="B1443">
        <v>24</v>
      </c>
      <c r="C1443" s="2">
        <v>4.5</v>
      </c>
      <c r="D1443" s="2">
        <v>20</v>
      </c>
      <c r="E1443" s="3">
        <v>0.15</v>
      </c>
    </row>
    <row r="1444" spans="1:5" x14ac:dyDescent="0.2">
      <c r="A1444">
        <v>10799</v>
      </c>
      <c r="B1444">
        <v>59</v>
      </c>
      <c r="C1444" s="2">
        <v>55</v>
      </c>
      <c r="D1444" s="2">
        <v>25</v>
      </c>
      <c r="E1444" s="3">
        <v>0</v>
      </c>
    </row>
    <row r="1445" spans="1:5" x14ac:dyDescent="0.2">
      <c r="A1445">
        <v>10800</v>
      </c>
      <c r="B1445">
        <v>11</v>
      </c>
      <c r="C1445" s="2">
        <v>21</v>
      </c>
      <c r="D1445" s="2">
        <v>50</v>
      </c>
      <c r="E1445" s="3">
        <v>0.1</v>
      </c>
    </row>
    <row r="1446" spans="1:5" x14ac:dyDescent="0.2">
      <c r="A1446">
        <v>10800</v>
      </c>
      <c r="B1446">
        <v>51</v>
      </c>
      <c r="C1446" s="2">
        <v>53</v>
      </c>
      <c r="D1446" s="2">
        <v>10</v>
      </c>
      <c r="E1446" s="3">
        <v>0.1</v>
      </c>
    </row>
    <row r="1447" spans="1:5" x14ac:dyDescent="0.2">
      <c r="A1447">
        <v>10800</v>
      </c>
      <c r="B1447">
        <v>54</v>
      </c>
      <c r="C1447" s="2">
        <v>7.45</v>
      </c>
      <c r="D1447" s="2">
        <v>7</v>
      </c>
      <c r="E1447" s="3">
        <v>0.1</v>
      </c>
    </row>
    <row r="1448" spans="1:5" x14ac:dyDescent="0.2">
      <c r="A1448">
        <v>10801</v>
      </c>
      <c r="B1448">
        <v>17</v>
      </c>
      <c r="C1448" s="2">
        <v>39</v>
      </c>
      <c r="D1448" s="2">
        <v>40</v>
      </c>
      <c r="E1448" s="3">
        <v>0.25</v>
      </c>
    </row>
    <row r="1449" spans="1:5" x14ac:dyDescent="0.2">
      <c r="A1449">
        <v>10801</v>
      </c>
      <c r="B1449">
        <v>29</v>
      </c>
      <c r="C1449" s="2">
        <v>123.79</v>
      </c>
      <c r="D1449" s="2">
        <v>20</v>
      </c>
      <c r="E1449" s="3">
        <v>0.25</v>
      </c>
    </row>
    <row r="1450" spans="1:5" x14ac:dyDescent="0.2">
      <c r="A1450">
        <v>10802</v>
      </c>
      <c r="B1450">
        <v>30</v>
      </c>
      <c r="C1450" s="2">
        <v>25.89</v>
      </c>
      <c r="D1450" s="2">
        <v>25</v>
      </c>
      <c r="E1450" s="3">
        <v>0.25</v>
      </c>
    </row>
    <row r="1451" spans="1:5" x14ac:dyDescent="0.2">
      <c r="A1451">
        <v>10802</v>
      </c>
      <c r="B1451">
        <v>51</v>
      </c>
      <c r="C1451" s="2">
        <v>53</v>
      </c>
      <c r="D1451" s="2">
        <v>30</v>
      </c>
      <c r="E1451" s="3">
        <v>0.25</v>
      </c>
    </row>
    <row r="1452" spans="1:5" x14ac:dyDescent="0.2">
      <c r="A1452">
        <v>10802</v>
      </c>
      <c r="B1452">
        <v>55</v>
      </c>
      <c r="C1452" s="2">
        <v>24</v>
      </c>
      <c r="D1452" s="2">
        <v>60</v>
      </c>
      <c r="E1452" s="3">
        <v>0.25</v>
      </c>
    </row>
    <row r="1453" spans="1:5" x14ac:dyDescent="0.2">
      <c r="A1453">
        <v>10802</v>
      </c>
      <c r="B1453">
        <v>62</v>
      </c>
      <c r="C1453" s="2">
        <v>49.3</v>
      </c>
      <c r="D1453" s="2">
        <v>5</v>
      </c>
      <c r="E1453" s="3">
        <v>0.25</v>
      </c>
    </row>
    <row r="1454" spans="1:5" x14ac:dyDescent="0.2">
      <c r="A1454">
        <v>10803</v>
      </c>
      <c r="B1454">
        <v>19</v>
      </c>
      <c r="C1454" s="2">
        <v>9.1999999999999993</v>
      </c>
      <c r="D1454" s="2">
        <v>24</v>
      </c>
      <c r="E1454" s="3">
        <v>0.05</v>
      </c>
    </row>
    <row r="1455" spans="1:5" x14ac:dyDescent="0.2">
      <c r="A1455">
        <v>10803</v>
      </c>
      <c r="B1455">
        <v>25</v>
      </c>
      <c r="C1455" s="2">
        <v>14</v>
      </c>
      <c r="D1455" s="2">
        <v>15</v>
      </c>
      <c r="E1455" s="3">
        <v>0.05</v>
      </c>
    </row>
    <row r="1456" spans="1:5" x14ac:dyDescent="0.2">
      <c r="A1456">
        <v>10803</v>
      </c>
      <c r="B1456">
        <v>59</v>
      </c>
      <c r="C1456" s="2">
        <v>55</v>
      </c>
      <c r="D1456" s="2">
        <v>15</v>
      </c>
      <c r="E1456" s="3">
        <v>0.05</v>
      </c>
    </row>
    <row r="1457" spans="1:5" x14ac:dyDescent="0.2">
      <c r="A1457">
        <v>10804</v>
      </c>
      <c r="B1457">
        <v>10</v>
      </c>
      <c r="C1457" s="2">
        <v>31</v>
      </c>
      <c r="D1457" s="2">
        <v>36</v>
      </c>
      <c r="E1457" s="3">
        <v>0</v>
      </c>
    </row>
    <row r="1458" spans="1:5" x14ac:dyDescent="0.2">
      <c r="A1458">
        <v>10804</v>
      </c>
      <c r="B1458">
        <v>28</v>
      </c>
      <c r="C1458" s="2">
        <v>45.6</v>
      </c>
      <c r="D1458" s="2">
        <v>24</v>
      </c>
      <c r="E1458" s="3">
        <v>0</v>
      </c>
    </row>
    <row r="1459" spans="1:5" x14ac:dyDescent="0.2">
      <c r="A1459">
        <v>10804</v>
      </c>
      <c r="B1459">
        <v>49</v>
      </c>
      <c r="C1459" s="2">
        <v>20</v>
      </c>
      <c r="D1459" s="2">
        <v>4</v>
      </c>
      <c r="E1459" s="3">
        <v>0.15</v>
      </c>
    </row>
    <row r="1460" spans="1:5" x14ac:dyDescent="0.2">
      <c r="A1460">
        <v>10805</v>
      </c>
      <c r="B1460">
        <v>34</v>
      </c>
      <c r="C1460" s="2">
        <v>14</v>
      </c>
      <c r="D1460" s="2">
        <v>10</v>
      </c>
      <c r="E1460" s="3">
        <v>0</v>
      </c>
    </row>
    <row r="1461" spans="1:5" x14ac:dyDescent="0.2">
      <c r="A1461">
        <v>10805</v>
      </c>
      <c r="B1461">
        <v>38</v>
      </c>
      <c r="C1461" s="2">
        <v>263.5</v>
      </c>
      <c r="D1461" s="2">
        <v>10</v>
      </c>
      <c r="E1461" s="3">
        <v>0</v>
      </c>
    </row>
    <row r="1462" spans="1:5" x14ac:dyDescent="0.2">
      <c r="A1462">
        <v>10806</v>
      </c>
      <c r="B1462">
        <v>2</v>
      </c>
      <c r="C1462" s="2">
        <v>19</v>
      </c>
      <c r="D1462" s="2">
        <v>20</v>
      </c>
      <c r="E1462" s="3">
        <v>0.25</v>
      </c>
    </row>
    <row r="1463" spans="1:5" x14ac:dyDescent="0.2">
      <c r="A1463">
        <v>10806</v>
      </c>
      <c r="B1463">
        <v>65</v>
      </c>
      <c r="C1463" s="2">
        <v>21.05</v>
      </c>
      <c r="D1463" s="2">
        <v>2</v>
      </c>
      <c r="E1463" s="3">
        <v>0</v>
      </c>
    </row>
    <row r="1464" spans="1:5" x14ac:dyDescent="0.2">
      <c r="A1464">
        <v>10806</v>
      </c>
      <c r="B1464">
        <v>74</v>
      </c>
      <c r="C1464" s="2">
        <v>10</v>
      </c>
      <c r="D1464" s="2">
        <v>15</v>
      </c>
      <c r="E1464" s="3">
        <v>0.25</v>
      </c>
    </row>
    <row r="1465" spans="1:5" x14ac:dyDescent="0.2">
      <c r="A1465">
        <v>10807</v>
      </c>
      <c r="B1465">
        <v>40</v>
      </c>
      <c r="C1465" s="2">
        <v>18.399999999999999</v>
      </c>
      <c r="D1465" s="2">
        <v>1</v>
      </c>
      <c r="E1465" s="3">
        <v>0</v>
      </c>
    </row>
    <row r="1466" spans="1:5" x14ac:dyDescent="0.2">
      <c r="A1466">
        <v>10808</v>
      </c>
      <c r="B1466">
        <v>56</v>
      </c>
      <c r="C1466" s="2">
        <v>38</v>
      </c>
      <c r="D1466" s="2">
        <v>20</v>
      </c>
      <c r="E1466" s="3">
        <v>0.15</v>
      </c>
    </row>
    <row r="1467" spans="1:5" x14ac:dyDescent="0.2">
      <c r="A1467">
        <v>10808</v>
      </c>
      <c r="B1467">
        <v>76</v>
      </c>
      <c r="C1467" s="2">
        <v>18</v>
      </c>
      <c r="D1467" s="2">
        <v>50</v>
      </c>
      <c r="E1467" s="3">
        <v>0.15</v>
      </c>
    </row>
    <row r="1468" spans="1:5" x14ac:dyDescent="0.2">
      <c r="A1468">
        <v>10809</v>
      </c>
      <c r="B1468">
        <v>52</v>
      </c>
      <c r="C1468" s="2">
        <v>7</v>
      </c>
      <c r="D1468" s="2">
        <v>20</v>
      </c>
      <c r="E1468" s="3">
        <v>0</v>
      </c>
    </row>
    <row r="1469" spans="1:5" x14ac:dyDescent="0.2">
      <c r="A1469">
        <v>10810</v>
      </c>
      <c r="B1469">
        <v>13</v>
      </c>
      <c r="C1469" s="2">
        <v>6</v>
      </c>
      <c r="D1469" s="2">
        <v>7</v>
      </c>
      <c r="E1469" s="3">
        <v>0</v>
      </c>
    </row>
    <row r="1470" spans="1:5" x14ac:dyDescent="0.2">
      <c r="A1470">
        <v>10810</v>
      </c>
      <c r="B1470">
        <v>25</v>
      </c>
      <c r="C1470" s="2">
        <v>14</v>
      </c>
      <c r="D1470" s="2">
        <v>5</v>
      </c>
      <c r="E1470" s="3">
        <v>0</v>
      </c>
    </row>
    <row r="1471" spans="1:5" x14ac:dyDescent="0.2">
      <c r="A1471">
        <v>10810</v>
      </c>
      <c r="B1471">
        <v>70</v>
      </c>
      <c r="C1471" s="2">
        <v>15</v>
      </c>
      <c r="D1471" s="2">
        <v>5</v>
      </c>
      <c r="E1471" s="3">
        <v>0</v>
      </c>
    </row>
    <row r="1472" spans="1:5" x14ac:dyDescent="0.2">
      <c r="A1472">
        <v>10811</v>
      </c>
      <c r="B1472">
        <v>19</v>
      </c>
      <c r="C1472" s="2">
        <v>9.1999999999999993</v>
      </c>
      <c r="D1472" s="2">
        <v>15</v>
      </c>
      <c r="E1472" s="3">
        <v>0</v>
      </c>
    </row>
    <row r="1473" spans="1:5" x14ac:dyDescent="0.2">
      <c r="A1473">
        <v>10811</v>
      </c>
      <c r="B1473">
        <v>23</v>
      </c>
      <c r="C1473" s="2">
        <v>9</v>
      </c>
      <c r="D1473" s="2">
        <v>18</v>
      </c>
      <c r="E1473" s="3">
        <v>0</v>
      </c>
    </row>
    <row r="1474" spans="1:5" x14ac:dyDescent="0.2">
      <c r="A1474">
        <v>10811</v>
      </c>
      <c r="B1474">
        <v>40</v>
      </c>
      <c r="C1474" s="2">
        <v>18.399999999999999</v>
      </c>
      <c r="D1474" s="2">
        <v>30</v>
      </c>
      <c r="E1474" s="3">
        <v>0</v>
      </c>
    </row>
    <row r="1475" spans="1:5" x14ac:dyDescent="0.2">
      <c r="A1475">
        <v>10812</v>
      </c>
      <c r="B1475">
        <v>31</v>
      </c>
      <c r="C1475" s="2">
        <v>12.5</v>
      </c>
      <c r="D1475" s="2">
        <v>16</v>
      </c>
      <c r="E1475" s="3">
        <v>0.1</v>
      </c>
    </row>
    <row r="1476" spans="1:5" x14ac:dyDescent="0.2">
      <c r="A1476">
        <v>10812</v>
      </c>
      <c r="B1476">
        <v>72</v>
      </c>
      <c r="C1476" s="2">
        <v>34.799999999999997</v>
      </c>
      <c r="D1476" s="2">
        <v>40</v>
      </c>
      <c r="E1476" s="3">
        <v>0.1</v>
      </c>
    </row>
    <row r="1477" spans="1:5" x14ac:dyDescent="0.2">
      <c r="A1477">
        <v>10812</v>
      </c>
      <c r="B1477">
        <v>77</v>
      </c>
      <c r="C1477" s="2">
        <v>13</v>
      </c>
      <c r="D1477" s="2">
        <v>20</v>
      </c>
      <c r="E1477" s="3">
        <v>0</v>
      </c>
    </row>
    <row r="1478" spans="1:5" x14ac:dyDescent="0.2">
      <c r="A1478">
        <v>10813</v>
      </c>
      <c r="B1478">
        <v>2</v>
      </c>
      <c r="C1478" s="2">
        <v>19</v>
      </c>
      <c r="D1478" s="2">
        <v>12</v>
      </c>
      <c r="E1478" s="3">
        <v>0.2</v>
      </c>
    </row>
    <row r="1479" spans="1:5" x14ac:dyDescent="0.2">
      <c r="A1479">
        <v>10813</v>
      </c>
      <c r="B1479">
        <v>46</v>
      </c>
      <c r="C1479" s="2">
        <v>12</v>
      </c>
      <c r="D1479" s="2">
        <v>35</v>
      </c>
      <c r="E1479" s="3">
        <v>0</v>
      </c>
    </row>
    <row r="1480" spans="1:5" x14ac:dyDescent="0.2">
      <c r="A1480">
        <v>10814</v>
      </c>
      <c r="B1480">
        <v>41</v>
      </c>
      <c r="C1480" s="2">
        <v>9.65</v>
      </c>
      <c r="D1480" s="2">
        <v>20</v>
      </c>
      <c r="E1480" s="3">
        <v>0</v>
      </c>
    </row>
    <row r="1481" spans="1:5" x14ac:dyDescent="0.2">
      <c r="A1481">
        <v>10814</v>
      </c>
      <c r="B1481">
        <v>43</v>
      </c>
      <c r="C1481" s="2">
        <v>46</v>
      </c>
      <c r="D1481" s="2">
        <v>20</v>
      </c>
      <c r="E1481" s="3">
        <v>0.15</v>
      </c>
    </row>
    <row r="1482" spans="1:5" x14ac:dyDescent="0.2">
      <c r="A1482">
        <v>10814</v>
      </c>
      <c r="B1482">
        <v>48</v>
      </c>
      <c r="C1482" s="2">
        <v>12.75</v>
      </c>
      <c r="D1482" s="2">
        <v>8</v>
      </c>
      <c r="E1482" s="3">
        <v>0.15</v>
      </c>
    </row>
    <row r="1483" spans="1:5" x14ac:dyDescent="0.2">
      <c r="A1483">
        <v>10814</v>
      </c>
      <c r="B1483">
        <v>61</v>
      </c>
      <c r="C1483" s="2">
        <v>28.5</v>
      </c>
      <c r="D1483" s="2">
        <v>30</v>
      </c>
      <c r="E1483" s="3">
        <v>0.15</v>
      </c>
    </row>
    <row r="1484" spans="1:5" x14ac:dyDescent="0.2">
      <c r="A1484">
        <v>10815</v>
      </c>
      <c r="B1484">
        <v>33</v>
      </c>
      <c r="C1484" s="2">
        <v>2.5</v>
      </c>
      <c r="D1484" s="2">
        <v>16</v>
      </c>
      <c r="E1484" s="3">
        <v>0</v>
      </c>
    </row>
    <row r="1485" spans="1:5" x14ac:dyDescent="0.2">
      <c r="A1485">
        <v>10816</v>
      </c>
      <c r="B1485">
        <v>38</v>
      </c>
      <c r="C1485" s="2">
        <v>263.5</v>
      </c>
      <c r="D1485" s="2">
        <v>30</v>
      </c>
      <c r="E1485" s="3">
        <v>0.05</v>
      </c>
    </row>
    <row r="1486" spans="1:5" x14ac:dyDescent="0.2">
      <c r="A1486">
        <v>10816</v>
      </c>
      <c r="B1486">
        <v>62</v>
      </c>
      <c r="C1486" s="2">
        <v>49.3</v>
      </c>
      <c r="D1486" s="2">
        <v>20</v>
      </c>
      <c r="E1486" s="3">
        <v>0.05</v>
      </c>
    </row>
    <row r="1487" spans="1:5" x14ac:dyDescent="0.2">
      <c r="A1487">
        <v>10817</v>
      </c>
      <c r="B1487">
        <v>26</v>
      </c>
      <c r="C1487" s="2">
        <v>31.23</v>
      </c>
      <c r="D1487" s="2">
        <v>40</v>
      </c>
      <c r="E1487" s="3">
        <v>0.15</v>
      </c>
    </row>
    <row r="1488" spans="1:5" x14ac:dyDescent="0.2">
      <c r="A1488">
        <v>10817</v>
      </c>
      <c r="B1488">
        <v>38</v>
      </c>
      <c r="C1488" s="2">
        <v>263.5</v>
      </c>
      <c r="D1488" s="2">
        <v>30</v>
      </c>
      <c r="E1488" s="3">
        <v>0</v>
      </c>
    </row>
    <row r="1489" spans="1:5" x14ac:dyDescent="0.2">
      <c r="A1489">
        <v>10817</v>
      </c>
      <c r="B1489">
        <v>40</v>
      </c>
      <c r="C1489" s="2">
        <v>18.399999999999999</v>
      </c>
      <c r="D1489" s="2">
        <v>60</v>
      </c>
      <c r="E1489" s="3">
        <v>0.15</v>
      </c>
    </row>
    <row r="1490" spans="1:5" x14ac:dyDescent="0.2">
      <c r="A1490">
        <v>10817</v>
      </c>
      <c r="B1490">
        <v>62</v>
      </c>
      <c r="C1490" s="2">
        <v>49.3</v>
      </c>
      <c r="D1490" s="2">
        <v>25</v>
      </c>
      <c r="E1490" s="3">
        <v>0.15</v>
      </c>
    </row>
    <row r="1491" spans="1:5" x14ac:dyDescent="0.2">
      <c r="A1491">
        <v>10818</v>
      </c>
      <c r="B1491">
        <v>32</v>
      </c>
      <c r="C1491" s="2">
        <v>32</v>
      </c>
      <c r="D1491" s="2">
        <v>20</v>
      </c>
      <c r="E1491" s="3">
        <v>0</v>
      </c>
    </row>
    <row r="1492" spans="1:5" x14ac:dyDescent="0.2">
      <c r="A1492">
        <v>10818</v>
      </c>
      <c r="B1492">
        <v>41</v>
      </c>
      <c r="C1492" s="2">
        <v>9.65</v>
      </c>
      <c r="D1492" s="2">
        <v>20</v>
      </c>
      <c r="E1492" s="3">
        <v>0</v>
      </c>
    </row>
    <row r="1493" spans="1:5" x14ac:dyDescent="0.2">
      <c r="A1493">
        <v>10819</v>
      </c>
      <c r="B1493">
        <v>43</v>
      </c>
      <c r="C1493" s="2">
        <v>46</v>
      </c>
      <c r="D1493" s="2">
        <v>7</v>
      </c>
      <c r="E1493" s="3">
        <v>0</v>
      </c>
    </row>
    <row r="1494" spans="1:5" x14ac:dyDescent="0.2">
      <c r="A1494">
        <v>10819</v>
      </c>
      <c r="B1494">
        <v>75</v>
      </c>
      <c r="C1494" s="2">
        <v>7.75</v>
      </c>
      <c r="D1494" s="2">
        <v>20</v>
      </c>
      <c r="E1494" s="3">
        <v>0</v>
      </c>
    </row>
    <row r="1495" spans="1:5" x14ac:dyDescent="0.2">
      <c r="A1495">
        <v>10820</v>
      </c>
      <c r="B1495">
        <v>56</v>
      </c>
      <c r="C1495" s="2">
        <v>38</v>
      </c>
      <c r="D1495" s="2">
        <v>30</v>
      </c>
      <c r="E1495" s="3">
        <v>0</v>
      </c>
    </row>
    <row r="1496" spans="1:5" x14ac:dyDescent="0.2">
      <c r="A1496">
        <v>10821</v>
      </c>
      <c r="B1496">
        <v>35</v>
      </c>
      <c r="C1496" s="2">
        <v>18</v>
      </c>
      <c r="D1496" s="2">
        <v>20</v>
      </c>
      <c r="E1496" s="3">
        <v>0</v>
      </c>
    </row>
    <row r="1497" spans="1:5" x14ac:dyDescent="0.2">
      <c r="A1497">
        <v>10821</v>
      </c>
      <c r="B1497">
        <v>51</v>
      </c>
      <c r="C1497" s="2">
        <v>53</v>
      </c>
      <c r="D1497" s="2">
        <v>6</v>
      </c>
      <c r="E1497" s="3">
        <v>0</v>
      </c>
    </row>
    <row r="1498" spans="1:5" x14ac:dyDescent="0.2">
      <c r="A1498">
        <v>10822</v>
      </c>
      <c r="B1498">
        <v>62</v>
      </c>
      <c r="C1498" s="2">
        <v>49.3</v>
      </c>
      <c r="D1498" s="2">
        <v>3</v>
      </c>
      <c r="E1498" s="3">
        <v>0</v>
      </c>
    </row>
    <row r="1499" spans="1:5" x14ac:dyDescent="0.2">
      <c r="A1499">
        <v>10822</v>
      </c>
      <c r="B1499">
        <v>70</v>
      </c>
      <c r="C1499" s="2">
        <v>15</v>
      </c>
      <c r="D1499" s="2">
        <v>6</v>
      </c>
      <c r="E1499" s="3">
        <v>0</v>
      </c>
    </row>
    <row r="1500" spans="1:5" x14ac:dyDescent="0.2">
      <c r="A1500">
        <v>10823</v>
      </c>
      <c r="B1500">
        <v>11</v>
      </c>
      <c r="C1500" s="2">
        <v>21</v>
      </c>
      <c r="D1500" s="2">
        <v>20</v>
      </c>
      <c r="E1500" s="3">
        <v>0.1</v>
      </c>
    </row>
    <row r="1501" spans="1:5" x14ac:dyDescent="0.2">
      <c r="A1501">
        <v>10823</v>
      </c>
      <c r="B1501">
        <v>57</v>
      </c>
      <c r="C1501" s="2">
        <v>19.5</v>
      </c>
      <c r="D1501" s="2">
        <v>15</v>
      </c>
      <c r="E1501" s="3">
        <v>0</v>
      </c>
    </row>
    <row r="1502" spans="1:5" x14ac:dyDescent="0.2">
      <c r="A1502">
        <v>10823</v>
      </c>
      <c r="B1502">
        <v>59</v>
      </c>
      <c r="C1502" s="2">
        <v>55</v>
      </c>
      <c r="D1502" s="2">
        <v>40</v>
      </c>
      <c r="E1502" s="3">
        <v>0.1</v>
      </c>
    </row>
    <row r="1503" spans="1:5" x14ac:dyDescent="0.2">
      <c r="A1503">
        <v>10823</v>
      </c>
      <c r="B1503">
        <v>77</v>
      </c>
      <c r="C1503" s="2">
        <v>13</v>
      </c>
      <c r="D1503" s="2">
        <v>15</v>
      </c>
      <c r="E1503" s="3">
        <v>0.1</v>
      </c>
    </row>
    <row r="1504" spans="1:5" x14ac:dyDescent="0.2">
      <c r="A1504">
        <v>10824</v>
      </c>
      <c r="B1504">
        <v>41</v>
      </c>
      <c r="C1504" s="2">
        <v>9.65</v>
      </c>
      <c r="D1504" s="2">
        <v>12</v>
      </c>
      <c r="E1504" s="3">
        <v>0</v>
      </c>
    </row>
    <row r="1505" spans="1:5" x14ac:dyDescent="0.2">
      <c r="A1505">
        <v>10824</v>
      </c>
      <c r="B1505">
        <v>70</v>
      </c>
      <c r="C1505" s="2">
        <v>15</v>
      </c>
      <c r="D1505" s="2">
        <v>9</v>
      </c>
      <c r="E1505" s="3">
        <v>0</v>
      </c>
    </row>
    <row r="1506" spans="1:5" x14ac:dyDescent="0.2">
      <c r="A1506">
        <v>10825</v>
      </c>
      <c r="B1506">
        <v>26</v>
      </c>
      <c r="C1506" s="2">
        <v>31.23</v>
      </c>
      <c r="D1506" s="2">
        <v>12</v>
      </c>
      <c r="E1506" s="3">
        <v>0</v>
      </c>
    </row>
    <row r="1507" spans="1:5" x14ac:dyDescent="0.2">
      <c r="A1507">
        <v>10825</v>
      </c>
      <c r="B1507">
        <v>53</v>
      </c>
      <c r="C1507" s="2">
        <v>32.799999999999997</v>
      </c>
      <c r="D1507" s="2">
        <v>20</v>
      </c>
      <c r="E1507" s="3">
        <v>0</v>
      </c>
    </row>
    <row r="1508" spans="1:5" x14ac:dyDescent="0.2">
      <c r="A1508">
        <v>10826</v>
      </c>
      <c r="B1508">
        <v>31</v>
      </c>
      <c r="C1508" s="2">
        <v>12.5</v>
      </c>
      <c r="D1508" s="2">
        <v>35</v>
      </c>
      <c r="E1508" s="3">
        <v>0</v>
      </c>
    </row>
    <row r="1509" spans="1:5" x14ac:dyDescent="0.2">
      <c r="A1509">
        <v>10826</v>
      </c>
      <c r="B1509">
        <v>57</v>
      </c>
      <c r="C1509" s="2">
        <v>19.5</v>
      </c>
      <c r="D1509" s="2">
        <v>15</v>
      </c>
      <c r="E1509" s="3">
        <v>0</v>
      </c>
    </row>
    <row r="1510" spans="1:5" x14ac:dyDescent="0.2">
      <c r="A1510">
        <v>10827</v>
      </c>
      <c r="B1510">
        <v>10</v>
      </c>
      <c r="C1510" s="2">
        <v>31</v>
      </c>
      <c r="D1510" s="2">
        <v>15</v>
      </c>
      <c r="E1510" s="3">
        <v>0</v>
      </c>
    </row>
    <row r="1511" spans="1:5" x14ac:dyDescent="0.2">
      <c r="A1511">
        <v>10827</v>
      </c>
      <c r="B1511">
        <v>39</v>
      </c>
      <c r="C1511" s="2">
        <v>18</v>
      </c>
      <c r="D1511" s="2">
        <v>21</v>
      </c>
      <c r="E1511" s="3">
        <v>0</v>
      </c>
    </row>
    <row r="1512" spans="1:5" x14ac:dyDescent="0.2">
      <c r="A1512">
        <v>10828</v>
      </c>
      <c r="B1512">
        <v>20</v>
      </c>
      <c r="C1512" s="2">
        <v>81</v>
      </c>
      <c r="D1512" s="2">
        <v>5</v>
      </c>
      <c r="E1512" s="3">
        <v>0</v>
      </c>
    </row>
    <row r="1513" spans="1:5" x14ac:dyDescent="0.2">
      <c r="A1513">
        <v>10828</v>
      </c>
      <c r="B1513">
        <v>38</v>
      </c>
      <c r="C1513" s="2">
        <v>263.5</v>
      </c>
      <c r="D1513" s="2">
        <v>2</v>
      </c>
      <c r="E1513" s="3">
        <v>0</v>
      </c>
    </row>
    <row r="1514" spans="1:5" x14ac:dyDescent="0.2">
      <c r="A1514">
        <v>10829</v>
      </c>
      <c r="B1514">
        <v>2</v>
      </c>
      <c r="C1514" s="2">
        <v>19</v>
      </c>
      <c r="D1514" s="2">
        <v>10</v>
      </c>
      <c r="E1514" s="3">
        <v>0</v>
      </c>
    </row>
    <row r="1515" spans="1:5" x14ac:dyDescent="0.2">
      <c r="A1515">
        <v>10829</v>
      </c>
      <c r="B1515">
        <v>8</v>
      </c>
      <c r="C1515" s="2">
        <v>40</v>
      </c>
      <c r="D1515" s="2">
        <v>20</v>
      </c>
      <c r="E1515" s="3">
        <v>0</v>
      </c>
    </row>
    <row r="1516" spans="1:5" x14ac:dyDescent="0.2">
      <c r="A1516">
        <v>10829</v>
      </c>
      <c r="B1516">
        <v>13</v>
      </c>
      <c r="C1516" s="2">
        <v>6</v>
      </c>
      <c r="D1516" s="2">
        <v>10</v>
      </c>
      <c r="E1516" s="3">
        <v>0</v>
      </c>
    </row>
    <row r="1517" spans="1:5" x14ac:dyDescent="0.2">
      <c r="A1517">
        <v>10829</v>
      </c>
      <c r="B1517">
        <v>60</v>
      </c>
      <c r="C1517" s="2">
        <v>34</v>
      </c>
      <c r="D1517" s="2">
        <v>21</v>
      </c>
      <c r="E1517" s="3">
        <v>0</v>
      </c>
    </row>
    <row r="1518" spans="1:5" x14ac:dyDescent="0.2">
      <c r="A1518">
        <v>10830</v>
      </c>
      <c r="B1518">
        <v>6</v>
      </c>
      <c r="C1518" s="2">
        <v>25</v>
      </c>
      <c r="D1518" s="2">
        <v>6</v>
      </c>
      <c r="E1518" s="3">
        <v>0</v>
      </c>
    </row>
    <row r="1519" spans="1:5" x14ac:dyDescent="0.2">
      <c r="A1519">
        <v>10830</v>
      </c>
      <c r="B1519">
        <v>39</v>
      </c>
      <c r="C1519" s="2">
        <v>18</v>
      </c>
      <c r="D1519" s="2">
        <v>28</v>
      </c>
      <c r="E1519" s="3">
        <v>0</v>
      </c>
    </row>
    <row r="1520" spans="1:5" x14ac:dyDescent="0.2">
      <c r="A1520">
        <v>10830</v>
      </c>
      <c r="B1520">
        <v>60</v>
      </c>
      <c r="C1520" s="2">
        <v>34</v>
      </c>
      <c r="D1520" s="2">
        <v>30</v>
      </c>
      <c r="E1520" s="3">
        <v>0</v>
      </c>
    </row>
    <row r="1521" spans="1:5" x14ac:dyDescent="0.2">
      <c r="A1521">
        <v>10830</v>
      </c>
      <c r="B1521">
        <v>68</v>
      </c>
      <c r="C1521" s="2">
        <v>12.5</v>
      </c>
      <c r="D1521" s="2">
        <v>24</v>
      </c>
      <c r="E1521" s="3">
        <v>0</v>
      </c>
    </row>
    <row r="1522" spans="1:5" x14ac:dyDescent="0.2">
      <c r="A1522">
        <v>10831</v>
      </c>
      <c r="B1522">
        <v>19</v>
      </c>
      <c r="C1522" s="2">
        <v>9.1999999999999993</v>
      </c>
      <c r="D1522" s="2">
        <v>2</v>
      </c>
      <c r="E1522" s="3">
        <v>0</v>
      </c>
    </row>
    <row r="1523" spans="1:5" x14ac:dyDescent="0.2">
      <c r="A1523">
        <v>10831</v>
      </c>
      <c r="B1523">
        <v>35</v>
      </c>
      <c r="C1523" s="2">
        <v>18</v>
      </c>
      <c r="D1523" s="2">
        <v>8</v>
      </c>
      <c r="E1523" s="3">
        <v>0</v>
      </c>
    </row>
    <row r="1524" spans="1:5" x14ac:dyDescent="0.2">
      <c r="A1524">
        <v>10831</v>
      </c>
      <c r="B1524">
        <v>38</v>
      </c>
      <c r="C1524" s="2">
        <v>263.5</v>
      </c>
      <c r="D1524" s="2">
        <v>8</v>
      </c>
      <c r="E1524" s="3">
        <v>0</v>
      </c>
    </row>
    <row r="1525" spans="1:5" x14ac:dyDescent="0.2">
      <c r="A1525">
        <v>10831</v>
      </c>
      <c r="B1525">
        <v>43</v>
      </c>
      <c r="C1525" s="2">
        <v>46</v>
      </c>
      <c r="D1525" s="2">
        <v>9</v>
      </c>
      <c r="E1525" s="3">
        <v>0</v>
      </c>
    </row>
    <row r="1526" spans="1:5" x14ac:dyDescent="0.2">
      <c r="A1526">
        <v>10832</v>
      </c>
      <c r="B1526">
        <v>13</v>
      </c>
      <c r="C1526" s="2">
        <v>6</v>
      </c>
      <c r="D1526" s="2">
        <v>3</v>
      </c>
      <c r="E1526" s="3">
        <v>0.2</v>
      </c>
    </row>
    <row r="1527" spans="1:5" x14ac:dyDescent="0.2">
      <c r="A1527">
        <v>10832</v>
      </c>
      <c r="B1527">
        <v>25</v>
      </c>
      <c r="C1527" s="2">
        <v>14</v>
      </c>
      <c r="D1527" s="2">
        <v>10</v>
      </c>
      <c r="E1527" s="3">
        <v>0.2</v>
      </c>
    </row>
    <row r="1528" spans="1:5" x14ac:dyDescent="0.2">
      <c r="A1528">
        <v>10832</v>
      </c>
      <c r="B1528">
        <v>44</v>
      </c>
      <c r="C1528" s="2">
        <v>19.45</v>
      </c>
      <c r="D1528" s="2">
        <v>16</v>
      </c>
      <c r="E1528" s="3">
        <v>0.2</v>
      </c>
    </row>
    <row r="1529" spans="1:5" x14ac:dyDescent="0.2">
      <c r="A1529">
        <v>10832</v>
      </c>
      <c r="B1529">
        <v>64</v>
      </c>
      <c r="C1529" s="2">
        <v>33.25</v>
      </c>
      <c r="D1529" s="2">
        <v>3</v>
      </c>
      <c r="E1529" s="3">
        <v>0</v>
      </c>
    </row>
    <row r="1530" spans="1:5" x14ac:dyDescent="0.2">
      <c r="A1530">
        <v>10833</v>
      </c>
      <c r="B1530">
        <v>7</v>
      </c>
      <c r="C1530" s="2">
        <v>30</v>
      </c>
      <c r="D1530" s="2">
        <v>20</v>
      </c>
      <c r="E1530" s="3">
        <v>0.1</v>
      </c>
    </row>
    <row r="1531" spans="1:5" x14ac:dyDescent="0.2">
      <c r="A1531">
        <v>10833</v>
      </c>
      <c r="B1531">
        <v>31</v>
      </c>
      <c r="C1531" s="2">
        <v>12.5</v>
      </c>
      <c r="D1531" s="2">
        <v>9</v>
      </c>
      <c r="E1531" s="3">
        <v>0.1</v>
      </c>
    </row>
    <row r="1532" spans="1:5" x14ac:dyDescent="0.2">
      <c r="A1532">
        <v>10833</v>
      </c>
      <c r="B1532">
        <v>53</v>
      </c>
      <c r="C1532" s="2">
        <v>32.799999999999997</v>
      </c>
      <c r="D1532" s="2">
        <v>9</v>
      </c>
      <c r="E1532" s="3">
        <v>0.1</v>
      </c>
    </row>
    <row r="1533" spans="1:5" x14ac:dyDescent="0.2">
      <c r="A1533">
        <v>10834</v>
      </c>
      <c r="B1533">
        <v>29</v>
      </c>
      <c r="C1533" s="2">
        <v>123.79</v>
      </c>
      <c r="D1533" s="2">
        <v>8</v>
      </c>
      <c r="E1533" s="3">
        <v>0.05</v>
      </c>
    </row>
    <row r="1534" spans="1:5" x14ac:dyDescent="0.2">
      <c r="A1534">
        <v>10834</v>
      </c>
      <c r="B1534">
        <v>30</v>
      </c>
      <c r="C1534" s="2">
        <v>25.89</v>
      </c>
      <c r="D1534" s="2">
        <v>20</v>
      </c>
      <c r="E1534" s="3">
        <v>0.05</v>
      </c>
    </row>
    <row r="1535" spans="1:5" x14ac:dyDescent="0.2">
      <c r="A1535">
        <v>10835</v>
      </c>
      <c r="B1535">
        <v>59</v>
      </c>
      <c r="C1535" s="2">
        <v>55</v>
      </c>
      <c r="D1535" s="2">
        <v>15</v>
      </c>
      <c r="E1535" s="3">
        <v>0</v>
      </c>
    </row>
    <row r="1536" spans="1:5" x14ac:dyDescent="0.2">
      <c r="A1536">
        <v>10835</v>
      </c>
      <c r="B1536">
        <v>77</v>
      </c>
      <c r="C1536" s="2">
        <v>13</v>
      </c>
      <c r="D1536" s="2">
        <v>2</v>
      </c>
      <c r="E1536" s="3">
        <v>0.2</v>
      </c>
    </row>
    <row r="1537" spans="1:5" x14ac:dyDescent="0.2">
      <c r="A1537">
        <v>10836</v>
      </c>
      <c r="B1537">
        <v>22</v>
      </c>
      <c r="C1537" s="2">
        <v>21</v>
      </c>
      <c r="D1537" s="2">
        <v>52</v>
      </c>
      <c r="E1537" s="3">
        <v>0</v>
      </c>
    </row>
    <row r="1538" spans="1:5" x14ac:dyDescent="0.2">
      <c r="A1538">
        <v>10836</v>
      </c>
      <c r="B1538">
        <v>35</v>
      </c>
      <c r="C1538" s="2">
        <v>18</v>
      </c>
      <c r="D1538" s="2">
        <v>6</v>
      </c>
      <c r="E1538" s="3">
        <v>0</v>
      </c>
    </row>
    <row r="1539" spans="1:5" x14ac:dyDescent="0.2">
      <c r="A1539">
        <v>10836</v>
      </c>
      <c r="B1539">
        <v>57</v>
      </c>
      <c r="C1539" s="2">
        <v>19.5</v>
      </c>
      <c r="D1539" s="2">
        <v>24</v>
      </c>
      <c r="E1539" s="3">
        <v>0</v>
      </c>
    </row>
    <row r="1540" spans="1:5" x14ac:dyDescent="0.2">
      <c r="A1540">
        <v>10836</v>
      </c>
      <c r="B1540">
        <v>60</v>
      </c>
      <c r="C1540" s="2">
        <v>34</v>
      </c>
      <c r="D1540" s="2">
        <v>60</v>
      </c>
      <c r="E1540" s="3">
        <v>0</v>
      </c>
    </row>
    <row r="1541" spans="1:5" x14ac:dyDescent="0.2">
      <c r="A1541">
        <v>10836</v>
      </c>
      <c r="B1541">
        <v>64</v>
      </c>
      <c r="C1541" s="2">
        <v>33.25</v>
      </c>
      <c r="D1541" s="2">
        <v>30</v>
      </c>
      <c r="E1541" s="3">
        <v>0</v>
      </c>
    </row>
    <row r="1542" spans="1:5" x14ac:dyDescent="0.2">
      <c r="A1542">
        <v>10837</v>
      </c>
      <c r="B1542">
        <v>13</v>
      </c>
      <c r="C1542" s="2">
        <v>6</v>
      </c>
      <c r="D1542" s="2">
        <v>6</v>
      </c>
      <c r="E1542" s="3">
        <v>0</v>
      </c>
    </row>
    <row r="1543" spans="1:5" x14ac:dyDescent="0.2">
      <c r="A1543">
        <v>10837</v>
      </c>
      <c r="B1543">
        <v>40</v>
      </c>
      <c r="C1543" s="2">
        <v>18.399999999999999</v>
      </c>
      <c r="D1543" s="2">
        <v>25</v>
      </c>
      <c r="E1543" s="3">
        <v>0</v>
      </c>
    </row>
    <row r="1544" spans="1:5" x14ac:dyDescent="0.2">
      <c r="A1544">
        <v>10837</v>
      </c>
      <c r="B1544">
        <v>47</v>
      </c>
      <c r="C1544" s="2">
        <v>9.5</v>
      </c>
      <c r="D1544" s="2">
        <v>40</v>
      </c>
      <c r="E1544" s="3">
        <v>0.25</v>
      </c>
    </row>
    <row r="1545" spans="1:5" x14ac:dyDescent="0.2">
      <c r="A1545">
        <v>10837</v>
      </c>
      <c r="B1545">
        <v>76</v>
      </c>
      <c r="C1545" s="2">
        <v>18</v>
      </c>
      <c r="D1545" s="2">
        <v>21</v>
      </c>
      <c r="E1545" s="3">
        <v>0.25</v>
      </c>
    </row>
    <row r="1546" spans="1:5" x14ac:dyDescent="0.2">
      <c r="A1546">
        <v>10838</v>
      </c>
      <c r="B1546">
        <v>1</v>
      </c>
      <c r="C1546" s="2">
        <v>18</v>
      </c>
      <c r="D1546" s="2">
        <v>4</v>
      </c>
      <c r="E1546" s="3">
        <v>0.25</v>
      </c>
    </row>
    <row r="1547" spans="1:5" x14ac:dyDescent="0.2">
      <c r="A1547">
        <v>10838</v>
      </c>
      <c r="B1547">
        <v>18</v>
      </c>
      <c r="C1547" s="2">
        <v>62.5</v>
      </c>
      <c r="D1547" s="2">
        <v>25</v>
      </c>
      <c r="E1547" s="3">
        <v>0.25</v>
      </c>
    </row>
    <row r="1548" spans="1:5" x14ac:dyDescent="0.2">
      <c r="A1548">
        <v>10838</v>
      </c>
      <c r="B1548">
        <v>36</v>
      </c>
      <c r="C1548" s="2">
        <v>19</v>
      </c>
      <c r="D1548" s="2">
        <v>50</v>
      </c>
      <c r="E1548" s="3">
        <v>0.25</v>
      </c>
    </row>
    <row r="1549" spans="1:5" x14ac:dyDescent="0.2">
      <c r="A1549">
        <v>10839</v>
      </c>
      <c r="B1549">
        <v>58</v>
      </c>
      <c r="C1549" s="2">
        <v>13.25</v>
      </c>
      <c r="D1549" s="2">
        <v>30</v>
      </c>
      <c r="E1549" s="3">
        <v>0.1</v>
      </c>
    </row>
    <row r="1550" spans="1:5" x14ac:dyDescent="0.2">
      <c r="A1550">
        <v>10839</v>
      </c>
      <c r="B1550">
        <v>72</v>
      </c>
      <c r="C1550" s="2">
        <v>34.799999999999997</v>
      </c>
      <c r="D1550" s="2">
        <v>15</v>
      </c>
      <c r="E1550" s="3">
        <v>0.1</v>
      </c>
    </row>
    <row r="1551" spans="1:5" x14ac:dyDescent="0.2">
      <c r="A1551">
        <v>10840</v>
      </c>
      <c r="B1551">
        <v>25</v>
      </c>
      <c r="C1551" s="2">
        <v>14</v>
      </c>
      <c r="D1551" s="2">
        <v>6</v>
      </c>
      <c r="E1551" s="3">
        <v>0.2</v>
      </c>
    </row>
    <row r="1552" spans="1:5" x14ac:dyDescent="0.2">
      <c r="A1552">
        <v>10840</v>
      </c>
      <c r="B1552">
        <v>39</v>
      </c>
      <c r="C1552" s="2">
        <v>18</v>
      </c>
      <c r="D1552" s="2">
        <v>10</v>
      </c>
      <c r="E1552" s="3">
        <v>0.2</v>
      </c>
    </row>
    <row r="1553" spans="1:5" x14ac:dyDescent="0.2">
      <c r="A1553">
        <v>10841</v>
      </c>
      <c r="B1553">
        <v>10</v>
      </c>
      <c r="C1553" s="2">
        <v>31</v>
      </c>
      <c r="D1553" s="2">
        <v>16</v>
      </c>
      <c r="E1553" s="3">
        <v>0</v>
      </c>
    </row>
    <row r="1554" spans="1:5" x14ac:dyDescent="0.2">
      <c r="A1554">
        <v>10841</v>
      </c>
      <c r="B1554">
        <v>56</v>
      </c>
      <c r="C1554" s="2">
        <v>38</v>
      </c>
      <c r="D1554" s="2">
        <v>30</v>
      </c>
      <c r="E1554" s="3">
        <v>0</v>
      </c>
    </row>
    <row r="1555" spans="1:5" x14ac:dyDescent="0.2">
      <c r="A1555">
        <v>10841</v>
      </c>
      <c r="B1555">
        <v>59</v>
      </c>
      <c r="C1555" s="2">
        <v>55</v>
      </c>
      <c r="D1555" s="2">
        <v>50</v>
      </c>
      <c r="E1555" s="3">
        <v>0</v>
      </c>
    </row>
    <row r="1556" spans="1:5" x14ac:dyDescent="0.2">
      <c r="A1556">
        <v>10841</v>
      </c>
      <c r="B1556">
        <v>77</v>
      </c>
      <c r="C1556" s="2">
        <v>13</v>
      </c>
      <c r="D1556" s="2">
        <v>15</v>
      </c>
      <c r="E1556" s="3">
        <v>0</v>
      </c>
    </row>
    <row r="1557" spans="1:5" x14ac:dyDescent="0.2">
      <c r="A1557">
        <v>10842</v>
      </c>
      <c r="B1557">
        <v>11</v>
      </c>
      <c r="C1557" s="2">
        <v>21</v>
      </c>
      <c r="D1557" s="2">
        <v>15</v>
      </c>
      <c r="E1557" s="3">
        <v>0</v>
      </c>
    </row>
    <row r="1558" spans="1:5" x14ac:dyDescent="0.2">
      <c r="A1558">
        <v>10842</v>
      </c>
      <c r="B1558">
        <v>43</v>
      </c>
      <c r="C1558" s="2">
        <v>46</v>
      </c>
      <c r="D1558" s="2">
        <v>5</v>
      </c>
      <c r="E1558" s="3">
        <v>0</v>
      </c>
    </row>
    <row r="1559" spans="1:5" x14ac:dyDescent="0.2">
      <c r="A1559">
        <v>10842</v>
      </c>
      <c r="B1559">
        <v>68</v>
      </c>
      <c r="C1559" s="2">
        <v>12.5</v>
      </c>
      <c r="D1559" s="2">
        <v>20</v>
      </c>
      <c r="E1559" s="3">
        <v>0</v>
      </c>
    </row>
    <row r="1560" spans="1:5" x14ac:dyDescent="0.2">
      <c r="A1560">
        <v>10842</v>
      </c>
      <c r="B1560">
        <v>70</v>
      </c>
      <c r="C1560" s="2">
        <v>15</v>
      </c>
      <c r="D1560" s="2">
        <v>12</v>
      </c>
      <c r="E1560" s="3">
        <v>0</v>
      </c>
    </row>
    <row r="1561" spans="1:5" x14ac:dyDescent="0.2">
      <c r="A1561">
        <v>10843</v>
      </c>
      <c r="B1561">
        <v>51</v>
      </c>
      <c r="C1561" s="2">
        <v>53</v>
      </c>
      <c r="D1561" s="2">
        <v>4</v>
      </c>
      <c r="E1561" s="3">
        <v>0.25</v>
      </c>
    </row>
    <row r="1562" spans="1:5" x14ac:dyDescent="0.2">
      <c r="A1562">
        <v>10844</v>
      </c>
      <c r="B1562">
        <v>22</v>
      </c>
      <c r="C1562" s="2">
        <v>21</v>
      </c>
      <c r="D1562" s="2">
        <v>35</v>
      </c>
      <c r="E1562" s="3">
        <v>0</v>
      </c>
    </row>
    <row r="1563" spans="1:5" x14ac:dyDescent="0.2">
      <c r="A1563">
        <v>10845</v>
      </c>
      <c r="B1563">
        <v>23</v>
      </c>
      <c r="C1563" s="2">
        <v>9</v>
      </c>
      <c r="D1563" s="2">
        <v>70</v>
      </c>
      <c r="E1563" s="3">
        <v>0.1</v>
      </c>
    </row>
    <row r="1564" spans="1:5" x14ac:dyDescent="0.2">
      <c r="A1564">
        <v>10845</v>
      </c>
      <c r="B1564">
        <v>35</v>
      </c>
      <c r="C1564" s="2">
        <v>18</v>
      </c>
      <c r="D1564" s="2">
        <v>25</v>
      </c>
      <c r="E1564" s="3">
        <v>0.1</v>
      </c>
    </row>
    <row r="1565" spans="1:5" x14ac:dyDescent="0.2">
      <c r="A1565">
        <v>10845</v>
      </c>
      <c r="B1565">
        <v>42</v>
      </c>
      <c r="C1565" s="2">
        <v>14</v>
      </c>
      <c r="D1565" s="2">
        <v>42</v>
      </c>
      <c r="E1565" s="3">
        <v>0.1</v>
      </c>
    </row>
    <row r="1566" spans="1:5" x14ac:dyDescent="0.2">
      <c r="A1566">
        <v>10845</v>
      </c>
      <c r="B1566">
        <v>58</v>
      </c>
      <c r="C1566" s="2">
        <v>13.25</v>
      </c>
      <c r="D1566" s="2">
        <v>60</v>
      </c>
      <c r="E1566" s="3">
        <v>0.1</v>
      </c>
    </row>
    <row r="1567" spans="1:5" x14ac:dyDescent="0.2">
      <c r="A1567">
        <v>10845</v>
      </c>
      <c r="B1567">
        <v>64</v>
      </c>
      <c r="C1567" s="2">
        <v>33.25</v>
      </c>
      <c r="D1567" s="2">
        <v>48</v>
      </c>
      <c r="E1567" s="3">
        <v>0</v>
      </c>
    </row>
    <row r="1568" spans="1:5" x14ac:dyDescent="0.2">
      <c r="A1568">
        <v>10846</v>
      </c>
      <c r="B1568">
        <v>4</v>
      </c>
      <c r="C1568" s="2">
        <v>22</v>
      </c>
      <c r="D1568" s="2">
        <v>21</v>
      </c>
      <c r="E1568" s="3">
        <v>0</v>
      </c>
    </row>
    <row r="1569" spans="1:5" x14ac:dyDescent="0.2">
      <c r="A1569">
        <v>10846</v>
      </c>
      <c r="B1569">
        <v>70</v>
      </c>
      <c r="C1569" s="2">
        <v>15</v>
      </c>
      <c r="D1569" s="2">
        <v>30</v>
      </c>
      <c r="E1569" s="3">
        <v>0</v>
      </c>
    </row>
    <row r="1570" spans="1:5" x14ac:dyDescent="0.2">
      <c r="A1570">
        <v>10846</v>
      </c>
      <c r="B1570">
        <v>74</v>
      </c>
      <c r="C1570" s="2">
        <v>10</v>
      </c>
      <c r="D1570" s="2">
        <v>20</v>
      </c>
      <c r="E1570" s="3">
        <v>0</v>
      </c>
    </row>
    <row r="1571" spans="1:5" x14ac:dyDescent="0.2">
      <c r="A1571">
        <v>10847</v>
      </c>
      <c r="B1571">
        <v>1</v>
      </c>
      <c r="C1571" s="2">
        <v>18</v>
      </c>
      <c r="D1571" s="2">
        <v>80</v>
      </c>
      <c r="E1571" s="3">
        <v>0.2</v>
      </c>
    </row>
    <row r="1572" spans="1:5" x14ac:dyDescent="0.2">
      <c r="A1572">
        <v>10847</v>
      </c>
      <c r="B1572">
        <v>19</v>
      </c>
      <c r="C1572" s="2">
        <v>9.1999999999999993</v>
      </c>
      <c r="D1572" s="2">
        <v>12</v>
      </c>
      <c r="E1572" s="3">
        <v>0.2</v>
      </c>
    </row>
    <row r="1573" spans="1:5" x14ac:dyDescent="0.2">
      <c r="A1573">
        <v>10847</v>
      </c>
      <c r="B1573">
        <v>37</v>
      </c>
      <c r="C1573" s="2">
        <v>26</v>
      </c>
      <c r="D1573" s="2">
        <v>60</v>
      </c>
      <c r="E1573" s="3">
        <v>0.2</v>
      </c>
    </row>
    <row r="1574" spans="1:5" x14ac:dyDescent="0.2">
      <c r="A1574">
        <v>10847</v>
      </c>
      <c r="B1574">
        <v>45</v>
      </c>
      <c r="C1574" s="2">
        <v>9.5</v>
      </c>
      <c r="D1574" s="2">
        <v>36</v>
      </c>
      <c r="E1574" s="3">
        <v>0.2</v>
      </c>
    </row>
    <row r="1575" spans="1:5" x14ac:dyDescent="0.2">
      <c r="A1575">
        <v>10847</v>
      </c>
      <c r="B1575">
        <v>60</v>
      </c>
      <c r="C1575" s="2">
        <v>34</v>
      </c>
      <c r="D1575" s="2">
        <v>45</v>
      </c>
      <c r="E1575" s="3">
        <v>0.2</v>
      </c>
    </row>
    <row r="1576" spans="1:5" x14ac:dyDescent="0.2">
      <c r="A1576">
        <v>10847</v>
      </c>
      <c r="B1576">
        <v>71</v>
      </c>
      <c r="C1576" s="2">
        <v>21.5</v>
      </c>
      <c r="D1576" s="2">
        <v>55</v>
      </c>
      <c r="E1576" s="3">
        <v>0.2</v>
      </c>
    </row>
    <row r="1577" spans="1:5" x14ac:dyDescent="0.2">
      <c r="A1577">
        <v>10848</v>
      </c>
      <c r="B1577">
        <v>5</v>
      </c>
      <c r="C1577" s="2">
        <v>21.35</v>
      </c>
      <c r="D1577" s="2">
        <v>30</v>
      </c>
      <c r="E1577" s="3">
        <v>0</v>
      </c>
    </row>
    <row r="1578" spans="1:5" x14ac:dyDescent="0.2">
      <c r="A1578">
        <v>10848</v>
      </c>
      <c r="B1578">
        <v>9</v>
      </c>
      <c r="C1578" s="2">
        <v>97</v>
      </c>
      <c r="D1578" s="2">
        <v>3</v>
      </c>
      <c r="E1578" s="3">
        <v>0</v>
      </c>
    </row>
    <row r="1579" spans="1:5" x14ac:dyDescent="0.2">
      <c r="A1579">
        <v>10849</v>
      </c>
      <c r="B1579">
        <v>3</v>
      </c>
      <c r="C1579" s="2">
        <v>10</v>
      </c>
      <c r="D1579" s="2">
        <v>49</v>
      </c>
      <c r="E1579" s="3">
        <v>0</v>
      </c>
    </row>
    <row r="1580" spans="1:5" x14ac:dyDescent="0.2">
      <c r="A1580">
        <v>10849</v>
      </c>
      <c r="B1580">
        <v>26</v>
      </c>
      <c r="C1580" s="2">
        <v>31.23</v>
      </c>
      <c r="D1580" s="2">
        <v>18</v>
      </c>
      <c r="E1580" s="3">
        <v>0.15</v>
      </c>
    </row>
    <row r="1581" spans="1:5" x14ac:dyDescent="0.2">
      <c r="A1581">
        <v>10850</v>
      </c>
      <c r="B1581">
        <v>25</v>
      </c>
      <c r="C1581" s="2">
        <v>14</v>
      </c>
      <c r="D1581" s="2">
        <v>20</v>
      </c>
      <c r="E1581" s="3">
        <v>0.15</v>
      </c>
    </row>
    <row r="1582" spans="1:5" x14ac:dyDescent="0.2">
      <c r="A1582">
        <v>10850</v>
      </c>
      <c r="B1582">
        <v>33</v>
      </c>
      <c r="C1582" s="2">
        <v>2.5</v>
      </c>
      <c r="D1582" s="2">
        <v>4</v>
      </c>
      <c r="E1582" s="3">
        <v>0.15</v>
      </c>
    </row>
    <row r="1583" spans="1:5" x14ac:dyDescent="0.2">
      <c r="A1583">
        <v>10850</v>
      </c>
      <c r="B1583">
        <v>70</v>
      </c>
      <c r="C1583" s="2">
        <v>15</v>
      </c>
      <c r="D1583" s="2">
        <v>30</v>
      </c>
      <c r="E1583" s="3">
        <v>0.15</v>
      </c>
    </row>
    <row r="1584" spans="1:5" x14ac:dyDescent="0.2">
      <c r="A1584">
        <v>10851</v>
      </c>
      <c r="B1584">
        <v>2</v>
      </c>
      <c r="C1584" s="2">
        <v>19</v>
      </c>
      <c r="D1584" s="2">
        <v>5</v>
      </c>
      <c r="E1584" s="3">
        <v>0.05</v>
      </c>
    </row>
    <row r="1585" spans="1:5" x14ac:dyDescent="0.2">
      <c r="A1585">
        <v>10851</v>
      </c>
      <c r="B1585">
        <v>25</v>
      </c>
      <c r="C1585" s="2">
        <v>14</v>
      </c>
      <c r="D1585" s="2">
        <v>10</v>
      </c>
      <c r="E1585" s="3">
        <v>0.05</v>
      </c>
    </row>
    <row r="1586" spans="1:5" x14ac:dyDescent="0.2">
      <c r="A1586">
        <v>10851</v>
      </c>
      <c r="B1586">
        <v>57</v>
      </c>
      <c r="C1586" s="2">
        <v>19.5</v>
      </c>
      <c r="D1586" s="2">
        <v>10</v>
      </c>
      <c r="E1586" s="3">
        <v>0.05</v>
      </c>
    </row>
    <row r="1587" spans="1:5" x14ac:dyDescent="0.2">
      <c r="A1587">
        <v>10851</v>
      </c>
      <c r="B1587">
        <v>59</v>
      </c>
      <c r="C1587" s="2">
        <v>55</v>
      </c>
      <c r="D1587" s="2">
        <v>42</v>
      </c>
      <c r="E1587" s="3">
        <v>0.05</v>
      </c>
    </row>
    <row r="1588" spans="1:5" x14ac:dyDescent="0.2">
      <c r="A1588">
        <v>10852</v>
      </c>
      <c r="B1588">
        <v>2</v>
      </c>
      <c r="C1588" s="2">
        <v>19</v>
      </c>
      <c r="D1588" s="2">
        <v>15</v>
      </c>
      <c r="E1588" s="3">
        <v>0</v>
      </c>
    </row>
    <row r="1589" spans="1:5" x14ac:dyDescent="0.2">
      <c r="A1589">
        <v>10852</v>
      </c>
      <c r="B1589">
        <v>17</v>
      </c>
      <c r="C1589" s="2">
        <v>39</v>
      </c>
      <c r="D1589" s="2">
        <v>6</v>
      </c>
      <c r="E1589" s="3">
        <v>0</v>
      </c>
    </row>
    <row r="1590" spans="1:5" x14ac:dyDescent="0.2">
      <c r="A1590">
        <v>10852</v>
      </c>
      <c r="B1590">
        <v>62</v>
      </c>
      <c r="C1590" s="2">
        <v>49.3</v>
      </c>
      <c r="D1590" s="2">
        <v>50</v>
      </c>
      <c r="E1590" s="3">
        <v>0</v>
      </c>
    </row>
    <row r="1591" spans="1:5" x14ac:dyDescent="0.2">
      <c r="A1591">
        <v>10853</v>
      </c>
      <c r="B1591">
        <v>18</v>
      </c>
      <c r="C1591" s="2">
        <v>62.5</v>
      </c>
      <c r="D1591" s="2">
        <v>10</v>
      </c>
      <c r="E1591" s="3">
        <v>0</v>
      </c>
    </row>
    <row r="1592" spans="1:5" x14ac:dyDescent="0.2">
      <c r="A1592">
        <v>10854</v>
      </c>
      <c r="B1592">
        <v>10</v>
      </c>
      <c r="C1592" s="2">
        <v>31</v>
      </c>
      <c r="D1592" s="2">
        <v>100</v>
      </c>
      <c r="E1592" s="3">
        <v>0.15</v>
      </c>
    </row>
    <row r="1593" spans="1:5" x14ac:dyDescent="0.2">
      <c r="A1593">
        <v>10854</v>
      </c>
      <c r="B1593">
        <v>13</v>
      </c>
      <c r="C1593" s="2">
        <v>6</v>
      </c>
      <c r="D1593" s="2">
        <v>65</v>
      </c>
      <c r="E1593" s="3">
        <v>0.15</v>
      </c>
    </row>
    <row r="1594" spans="1:5" x14ac:dyDescent="0.2">
      <c r="A1594">
        <v>10855</v>
      </c>
      <c r="B1594">
        <v>16</v>
      </c>
      <c r="C1594" s="2">
        <v>17.45</v>
      </c>
      <c r="D1594" s="2">
        <v>50</v>
      </c>
      <c r="E1594" s="3">
        <v>0</v>
      </c>
    </row>
    <row r="1595" spans="1:5" x14ac:dyDescent="0.2">
      <c r="A1595">
        <v>10855</v>
      </c>
      <c r="B1595">
        <v>31</v>
      </c>
      <c r="C1595" s="2">
        <v>12.5</v>
      </c>
      <c r="D1595" s="2">
        <v>14</v>
      </c>
      <c r="E1595" s="3">
        <v>0</v>
      </c>
    </row>
    <row r="1596" spans="1:5" x14ac:dyDescent="0.2">
      <c r="A1596">
        <v>10855</v>
      </c>
      <c r="B1596">
        <v>56</v>
      </c>
      <c r="C1596" s="2">
        <v>38</v>
      </c>
      <c r="D1596" s="2">
        <v>24</v>
      </c>
      <c r="E1596" s="3">
        <v>0</v>
      </c>
    </row>
    <row r="1597" spans="1:5" x14ac:dyDescent="0.2">
      <c r="A1597">
        <v>10855</v>
      </c>
      <c r="B1597">
        <v>65</v>
      </c>
      <c r="C1597" s="2">
        <v>21.05</v>
      </c>
      <c r="D1597" s="2">
        <v>15</v>
      </c>
      <c r="E1597" s="3">
        <v>0.15</v>
      </c>
    </row>
    <row r="1598" spans="1:5" x14ac:dyDescent="0.2">
      <c r="A1598">
        <v>10856</v>
      </c>
      <c r="B1598">
        <v>2</v>
      </c>
      <c r="C1598" s="2">
        <v>19</v>
      </c>
      <c r="D1598" s="2">
        <v>20</v>
      </c>
      <c r="E1598" s="3">
        <v>0</v>
      </c>
    </row>
    <row r="1599" spans="1:5" x14ac:dyDescent="0.2">
      <c r="A1599">
        <v>10856</v>
      </c>
      <c r="B1599">
        <v>42</v>
      </c>
      <c r="C1599" s="2">
        <v>14</v>
      </c>
      <c r="D1599" s="2">
        <v>20</v>
      </c>
      <c r="E1599" s="3">
        <v>0</v>
      </c>
    </row>
    <row r="1600" spans="1:5" x14ac:dyDescent="0.2">
      <c r="A1600">
        <v>10857</v>
      </c>
      <c r="B1600">
        <v>3</v>
      </c>
      <c r="C1600" s="2">
        <v>10</v>
      </c>
      <c r="D1600" s="2">
        <v>30</v>
      </c>
      <c r="E1600" s="3">
        <v>0</v>
      </c>
    </row>
    <row r="1601" spans="1:5" x14ac:dyDescent="0.2">
      <c r="A1601">
        <v>10857</v>
      </c>
      <c r="B1601">
        <v>26</v>
      </c>
      <c r="C1601" s="2">
        <v>31.23</v>
      </c>
      <c r="D1601" s="2">
        <v>35</v>
      </c>
      <c r="E1601" s="3">
        <v>0.25</v>
      </c>
    </row>
    <row r="1602" spans="1:5" x14ac:dyDescent="0.2">
      <c r="A1602">
        <v>10857</v>
      </c>
      <c r="B1602">
        <v>29</v>
      </c>
      <c r="C1602" s="2">
        <v>123.79</v>
      </c>
      <c r="D1602" s="2">
        <v>10</v>
      </c>
      <c r="E1602" s="3">
        <v>0.25</v>
      </c>
    </row>
    <row r="1603" spans="1:5" x14ac:dyDescent="0.2">
      <c r="A1603">
        <v>10858</v>
      </c>
      <c r="B1603">
        <v>7</v>
      </c>
      <c r="C1603" s="2">
        <v>30</v>
      </c>
      <c r="D1603" s="2">
        <v>5</v>
      </c>
      <c r="E1603" s="3">
        <v>0</v>
      </c>
    </row>
    <row r="1604" spans="1:5" x14ac:dyDescent="0.2">
      <c r="A1604">
        <v>10858</v>
      </c>
      <c r="B1604">
        <v>27</v>
      </c>
      <c r="C1604" s="2">
        <v>43.9</v>
      </c>
      <c r="D1604" s="2">
        <v>10</v>
      </c>
      <c r="E1604" s="3">
        <v>0</v>
      </c>
    </row>
    <row r="1605" spans="1:5" x14ac:dyDescent="0.2">
      <c r="A1605">
        <v>10858</v>
      </c>
      <c r="B1605">
        <v>70</v>
      </c>
      <c r="C1605" s="2">
        <v>15</v>
      </c>
      <c r="D1605" s="2">
        <v>4</v>
      </c>
      <c r="E1605" s="3">
        <v>0</v>
      </c>
    </row>
    <row r="1606" spans="1:5" x14ac:dyDescent="0.2">
      <c r="A1606">
        <v>10859</v>
      </c>
      <c r="B1606">
        <v>24</v>
      </c>
      <c r="C1606" s="2">
        <v>4.5</v>
      </c>
      <c r="D1606" s="2">
        <v>40</v>
      </c>
      <c r="E1606" s="3">
        <v>0.25</v>
      </c>
    </row>
    <row r="1607" spans="1:5" x14ac:dyDescent="0.2">
      <c r="A1607">
        <v>10859</v>
      </c>
      <c r="B1607">
        <v>54</v>
      </c>
      <c r="C1607" s="2">
        <v>7.45</v>
      </c>
      <c r="D1607" s="2">
        <v>35</v>
      </c>
      <c r="E1607" s="3">
        <v>0.25</v>
      </c>
    </row>
    <row r="1608" spans="1:5" x14ac:dyDescent="0.2">
      <c r="A1608">
        <v>10859</v>
      </c>
      <c r="B1608">
        <v>64</v>
      </c>
      <c r="C1608" s="2">
        <v>33.25</v>
      </c>
      <c r="D1608" s="2">
        <v>30</v>
      </c>
      <c r="E1608" s="3">
        <v>0.25</v>
      </c>
    </row>
    <row r="1609" spans="1:5" x14ac:dyDescent="0.2">
      <c r="A1609">
        <v>10860</v>
      </c>
      <c r="B1609">
        <v>51</v>
      </c>
      <c r="C1609" s="2">
        <v>53</v>
      </c>
      <c r="D1609" s="2">
        <v>3</v>
      </c>
      <c r="E1609" s="3">
        <v>0</v>
      </c>
    </row>
    <row r="1610" spans="1:5" x14ac:dyDescent="0.2">
      <c r="A1610">
        <v>10860</v>
      </c>
      <c r="B1610">
        <v>76</v>
      </c>
      <c r="C1610" s="2">
        <v>18</v>
      </c>
      <c r="D1610" s="2">
        <v>20</v>
      </c>
      <c r="E1610" s="3">
        <v>0</v>
      </c>
    </row>
    <row r="1611" spans="1:5" x14ac:dyDescent="0.2">
      <c r="A1611">
        <v>10861</v>
      </c>
      <c r="B1611">
        <v>17</v>
      </c>
      <c r="C1611" s="2">
        <v>39</v>
      </c>
      <c r="D1611" s="2">
        <v>42</v>
      </c>
      <c r="E1611" s="3">
        <v>0</v>
      </c>
    </row>
    <row r="1612" spans="1:5" x14ac:dyDescent="0.2">
      <c r="A1612">
        <v>10861</v>
      </c>
      <c r="B1612">
        <v>18</v>
      </c>
      <c r="C1612" s="2">
        <v>62.5</v>
      </c>
      <c r="D1612" s="2">
        <v>20</v>
      </c>
      <c r="E1612" s="3">
        <v>0</v>
      </c>
    </row>
    <row r="1613" spans="1:5" x14ac:dyDescent="0.2">
      <c r="A1613">
        <v>10861</v>
      </c>
      <c r="B1613">
        <v>21</v>
      </c>
      <c r="C1613" s="2">
        <v>10</v>
      </c>
      <c r="D1613" s="2">
        <v>40</v>
      </c>
      <c r="E1613" s="3">
        <v>0</v>
      </c>
    </row>
    <row r="1614" spans="1:5" x14ac:dyDescent="0.2">
      <c r="A1614">
        <v>10861</v>
      </c>
      <c r="B1614">
        <v>33</v>
      </c>
      <c r="C1614" s="2">
        <v>2.5</v>
      </c>
      <c r="D1614" s="2">
        <v>35</v>
      </c>
      <c r="E1614" s="3">
        <v>0</v>
      </c>
    </row>
    <row r="1615" spans="1:5" x14ac:dyDescent="0.2">
      <c r="A1615">
        <v>10861</v>
      </c>
      <c r="B1615">
        <v>62</v>
      </c>
      <c r="C1615" s="2">
        <v>49.3</v>
      </c>
      <c r="D1615" s="2">
        <v>3</v>
      </c>
      <c r="E1615" s="3">
        <v>0</v>
      </c>
    </row>
    <row r="1616" spans="1:5" x14ac:dyDescent="0.2">
      <c r="A1616">
        <v>10862</v>
      </c>
      <c r="B1616">
        <v>11</v>
      </c>
      <c r="C1616" s="2">
        <v>21</v>
      </c>
      <c r="D1616" s="2">
        <v>25</v>
      </c>
      <c r="E1616" s="3">
        <v>0</v>
      </c>
    </row>
    <row r="1617" spans="1:5" x14ac:dyDescent="0.2">
      <c r="A1617">
        <v>10862</v>
      </c>
      <c r="B1617">
        <v>52</v>
      </c>
      <c r="C1617" s="2">
        <v>7</v>
      </c>
      <c r="D1617" s="2">
        <v>8</v>
      </c>
      <c r="E1617" s="3">
        <v>0</v>
      </c>
    </row>
    <row r="1618" spans="1:5" x14ac:dyDescent="0.2">
      <c r="A1618">
        <v>10863</v>
      </c>
      <c r="B1618">
        <v>1</v>
      </c>
      <c r="C1618" s="2">
        <v>18</v>
      </c>
      <c r="D1618" s="2">
        <v>20</v>
      </c>
      <c r="E1618" s="3">
        <v>0.15</v>
      </c>
    </row>
    <row r="1619" spans="1:5" x14ac:dyDescent="0.2">
      <c r="A1619">
        <v>10863</v>
      </c>
      <c r="B1619">
        <v>58</v>
      </c>
      <c r="C1619" s="2">
        <v>13.25</v>
      </c>
      <c r="D1619" s="2">
        <v>12</v>
      </c>
      <c r="E1619" s="3">
        <v>0.15</v>
      </c>
    </row>
    <row r="1620" spans="1:5" x14ac:dyDescent="0.2">
      <c r="A1620">
        <v>10864</v>
      </c>
      <c r="B1620">
        <v>35</v>
      </c>
      <c r="C1620" s="2">
        <v>18</v>
      </c>
      <c r="D1620" s="2">
        <v>4</v>
      </c>
      <c r="E1620" s="3">
        <v>0</v>
      </c>
    </row>
    <row r="1621" spans="1:5" x14ac:dyDescent="0.2">
      <c r="A1621">
        <v>10864</v>
      </c>
      <c r="B1621">
        <v>67</v>
      </c>
      <c r="C1621" s="2">
        <v>14</v>
      </c>
      <c r="D1621" s="2">
        <v>15</v>
      </c>
      <c r="E1621" s="3">
        <v>0</v>
      </c>
    </row>
    <row r="1622" spans="1:5" x14ac:dyDescent="0.2">
      <c r="A1622">
        <v>10865</v>
      </c>
      <c r="B1622">
        <v>38</v>
      </c>
      <c r="C1622" s="2">
        <v>263.5</v>
      </c>
      <c r="D1622" s="2">
        <v>60</v>
      </c>
      <c r="E1622" s="3">
        <v>0.05</v>
      </c>
    </row>
    <row r="1623" spans="1:5" x14ac:dyDescent="0.2">
      <c r="A1623">
        <v>10865</v>
      </c>
      <c r="B1623">
        <v>39</v>
      </c>
      <c r="C1623" s="2">
        <v>18</v>
      </c>
      <c r="D1623" s="2">
        <v>80</v>
      </c>
      <c r="E1623" s="3">
        <v>0.05</v>
      </c>
    </row>
    <row r="1624" spans="1:5" x14ac:dyDescent="0.2">
      <c r="A1624">
        <v>10866</v>
      </c>
      <c r="B1624">
        <v>2</v>
      </c>
      <c r="C1624" s="2">
        <v>19</v>
      </c>
      <c r="D1624" s="2">
        <v>21</v>
      </c>
      <c r="E1624" s="3">
        <v>0.25</v>
      </c>
    </row>
    <row r="1625" spans="1:5" x14ac:dyDescent="0.2">
      <c r="A1625">
        <v>10866</v>
      </c>
      <c r="B1625">
        <v>24</v>
      </c>
      <c r="C1625" s="2">
        <v>4.5</v>
      </c>
      <c r="D1625" s="2">
        <v>6</v>
      </c>
      <c r="E1625" s="3">
        <v>0.25</v>
      </c>
    </row>
    <row r="1626" spans="1:5" x14ac:dyDescent="0.2">
      <c r="A1626">
        <v>10866</v>
      </c>
      <c r="B1626">
        <v>30</v>
      </c>
      <c r="C1626" s="2">
        <v>25.89</v>
      </c>
      <c r="D1626" s="2">
        <v>40</v>
      </c>
      <c r="E1626" s="3">
        <v>0.25</v>
      </c>
    </row>
    <row r="1627" spans="1:5" x14ac:dyDescent="0.2">
      <c r="A1627">
        <v>10867</v>
      </c>
      <c r="B1627">
        <v>53</v>
      </c>
      <c r="C1627" s="2">
        <v>32.799999999999997</v>
      </c>
      <c r="D1627" s="2">
        <v>3</v>
      </c>
      <c r="E1627" s="3">
        <v>0</v>
      </c>
    </row>
    <row r="1628" spans="1:5" x14ac:dyDescent="0.2">
      <c r="A1628">
        <v>10868</v>
      </c>
      <c r="B1628">
        <v>26</v>
      </c>
      <c r="C1628" s="2">
        <v>31.23</v>
      </c>
      <c r="D1628" s="2">
        <v>20</v>
      </c>
      <c r="E1628" s="3">
        <v>0</v>
      </c>
    </row>
    <row r="1629" spans="1:5" x14ac:dyDescent="0.2">
      <c r="A1629">
        <v>10868</v>
      </c>
      <c r="B1629">
        <v>35</v>
      </c>
      <c r="C1629" s="2">
        <v>18</v>
      </c>
      <c r="D1629" s="2">
        <v>30</v>
      </c>
      <c r="E1629" s="3">
        <v>0</v>
      </c>
    </row>
    <row r="1630" spans="1:5" x14ac:dyDescent="0.2">
      <c r="A1630">
        <v>10868</v>
      </c>
      <c r="B1630">
        <v>49</v>
      </c>
      <c r="C1630" s="2">
        <v>20</v>
      </c>
      <c r="D1630" s="2">
        <v>42</v>
      </c>
      <c r="E1630" s="3">
        <v>0.1</v>
      </c>
    </row>
    <row r="1631" spans="1:5" x14ac:dyDescent="0.2">
      <c r="A1631">
        <v>10869</v>
      </c>
      <c r="B1631">
        <v>1</v>
      </c>
      <c r="C1631" s="2">
        <v>18</v>
      </c>
      <c r="D1631" s="2">
        <v>40</v>
      </c>
      <c r="E1631" s="3">
        <v>0</v>
      </c>
    </row>
    <row r="1632" spans="1:5" x14ac:dyDescent="0.2">
      <c r="A1632">
        <v>10869</v>
      </c>
      <c r="B1632">
        <v>11</v>
      </c>
      <c r="C1632" s="2">
        <v>21</v>
      </c>
      <c r="D1632" s="2">
        <v>10</v>
      </c>
      <c r="E1632" s="3">
        <v>0</v>
      </c>
    </row>
    <row r="1633" spans="1:5" x14ac:dyDescent="0.2">
      <c r="A1633">
        <v>10869</v>
      </c>
      <c r="B1633">
        <v>23</v>
      </c>
      <c r="C1633" s="2">
        <v>9</v>
      </c>
      <c r="D1633" s="2">
        <v>50</v>
      </c>
      <c r="E1633" s="3">
        <v>0</v>
      </c>
    </row>
    <row r="1634" spans="1:5" x14ac:dyDescent="0.2">
      <c r="A1634">
        <v>10869</v>
      </c>
      <c r="B1634">
        <v>68</v>
      </c>
      <c r="C1634" s="2">
        <v>12.5</v>
      </c>
      <c r="D1634" s="2">
        <v>20</v>
      </c>
      <c r="E1634" s="3">
        <v>0</v>
      </c>
    </row>
    <row r="1635" spans="1:5" x14ac:dyDescent="0.2">
      <c r="A1635">
        <v>10870</v>
      </c>
      <c r="B1635">
        <v>35</v>
      </c>
      <c r="C1635" s="2">
        <v>18</v>
      </c>
      <c r="D1635" s="2">
        <v>3</v>
      </c>
      <c r="E1635" s="3">
        <v>0</v>
      </c>
    </row>
    <row r="1636" spans="1:5" x14ac:dyDescent="0.2">
      <c r="A1636">
        <v>10870</v>
      </c>
      <c r="B1636">
        <v>51</v>
      </c>
      <c r="C1636" s="2">
        <v>53</v>
      </c>
      <c r="D1636" s="2">
        <v>2</v>
      </c>
      <c r="E1636" s="3">
        <v>0</v>
      </c>
    </row>
    <row r="1637" spans="1:5" x14ac:dyDescent="0.2">
      <c r="A1637">
        <v>10871</v>
      </c>
      <c r="B1637">
        <v>6</v>
      </c>
      <c r="C1637" s="2">
        <v>25</v>
      </c>
      <c r="D1637" s="2">
        <v>50</v>
      </c>
      <c r="E1637" s="3">
        <v>0.05</v>
      </c>
    </row>
    <row r="1638" spans="1:5" x14ac:dyDescent="0.2">
      <c r="A1638">
        <v>10871</v>
      </c>
      <c r="B1638">
        <v>16</v>
      </c>
      <c r="C1638" s="2">
        <v>17.45</v>
      </c>
      <c r="D1638" s="2">
        <v>12</v>
      </c>
      <c r="E1638" s="3">
        <v>0.05</v>
      </c>
    </row>
    <row r="1639" spans="1:5" x14ac:dyDescent="0.2">
      <c r="A1639">
        <v>10871</v>
      </c>
      <c r="B1639">
        <v>17</v>
      </c>
      <c r="C1639" s="2">
        <v>39</v>
      </c>
      <c r="D1639" s="2">
        <v>16</v>
      </c>
      <c r="E1639" s="3">
        <v>0.05</v>
      </c>
    </row>
    <row r="1640" spans="1:5" x14ac:dyDescent="0.2">
      <c r="A1640">
        <v>10872</v>
      </c>
      <c r="B1640">
        <v>55</v>
      </c>
      <c r="C1640" s="2">
        <v>24</v>
      </c>
      <c r="D1640" s="2">
        <v>10</v>
      </c>
      <c r="E1640" s="3">
        <v>0.05</v>
      </c>
    </row>
    <row r="1641" spans="1:5" x14ac:dyDescent="0.2">
      <c r="A1641">
        <v>10872</v>
      </c>
      <c r="B1641">
        <v>62</v>
      </c>
      <c r="C1641" s="2">
        <v>49.3</v>
      </c>
      <c r="D1641" s="2">
        <v>20</v>
      </c>
      <c r="E1641" s="3">
        <v>0.05</v>
      </c>
    </row>
    <row r="1642" spans="1:5" x14ac:dyDescent="0.2">
      <c r="A1642">
        <v>10872</v>
      </c>
      <c r="B1642">
        <v>64</v>
      </c>
      <c r="C1642" s="2">
        <v>33.25</v>
      </c>
      <c r="D1642" s="2">
        <v>15</v>
      </c>
      <c r="E1642" s="3">
        <v>0.05</v>
      </c>
    </row>
    <row r="1643" spans="1:5" x14ac:dyDescent="0.2">
      <c r="A1643">
        <v>10872</v>
      </c>
      <c r="B1643">
        <v>65</v>
      </c>
      <c r="C1643" s="2">
        <v>21.05</v>
      </c>
      <c r="D1643" s="2">
        <v>21</v>
      </c>
      <c r="E1643" s="3">
        <v>0.05</v>
      </c>
    </row>
    <row r="1644" spans="1:5" x14ac:dyDescent="0.2">
      <c r="A1644">
        <v>10873</v>
      </c>
      <c r="B1644">
        <v>21</v>
      </c>
      <c r="C1644" s="2">
        <v>10</v>
      </c>
      <c r="D1644" s="2">
        <v>20</v>
      </c>
      <c r="E1644" s="3">
        <v>0</v>
      </c>
    </row>
    <row r="1645" spans="1:5" x14ac:dyDescent="0.2">
      <c r="A1645">
        <v>10873</v>
      </c>
      <c r="B1645">
        <v>28</v>
      </c>
      <c r="C1645" s="2">
        <v>45.6</v>
      </c>
      <c r="D1645" s="2">
        <v>3</v>
      </c>
      <c r="E1645" s="3">
        <v>0</v>
      </c>
    </row>
    <row r="1646" spans="1:5" x14ac:dyDescent="0.2">
      <c r="A1646">
        <v>10874</v>
      </c>
      <c r="B1646">
        <v>10</v>
      </c>
      <c r="C1646" s="2">
        <v>31</v>
      </c>
      <c r="D1646" s="2">
        <v>10</v>
      </c>
      <c r="E1646" s="3">
        <v>0</v>
      </c>
    </row>
    <row r="1647" spans="1:5" x14ac:dyDescent="0.2">
      <c r="A1647">
        <v>10875</v>
      </c>
      <c r="B1647">
        <v>19</v>
      </c>
      <c r="C1647" s="2">
        <v>9.1999999999999993</v>
      </c>
      <c r="D1647" s="2">
        <v>25</v>
      </c>
      <c r="E1647" s="3">
        <v>0</v>
      </c>
    </row>
    <row r="1648" spans="1:5" x14ac:dyDescent="0.2">
      <c r="A1648">
        <v>10875</v>
      </c>
      <c r="B1648">
        <v>47</v>
      </c>
      <c r="C1648" s="2">
        <v>9.5</v>
      </c>
      <c r="D1648" s="2">
        <v>21</v>
      </c>
      <c r="E1648" s="3">
        <v>0.1</v>
      </c>
    </row>
    <row r="1649" spans="1:5" x14ac:dyDescent="0.2">
      <c r="A1649">
        <v>10875</v>
      </c>
      <c r="B1649">
        <v>49</v>
      </c>
      <c r="C1649" s="2">
        <v>20</v>
      </c>
      <c r="D1649" s="2">
        <v>15</v>
      </c>
      <c r="E1649" s="3">
        <v>0</v>
      </c>
    </row>
    <row r="1650" spans="1:5" x14ac:dyDescent="0.2">
      <c r="A1650">
        <v>10876</v>
      </c>
      <c r="B1650">
        <v>46</v>
      </c>
      <c r="C1650" s="2">
        <v>12</v>
      </c>
      <c r="D1650" s="2">
        <v>21</v>
      </c>
      <c r="E1650" s="3">
        <v>0</v>
      </c>
    </row>
    <row r="1651" spans="1:5" x14ac:dyDescent="0.2">
      <c r="A1651">
        <v>10876</v>
      </c>
      <c r="B1651">
        <v>64</v>
      </c>
      <c r="C1651" s="2">
        <v>33.25</v>
      </c>
      <c r="D1651" s="2">
        <v>20</v>
      </c>
      <c r="E1651" s="3">
        <v>0</v>
      </c>
    </row>
    <row r="1652" spans="1:5" x14ac:dyDescent="0.2">
      <c r="A1652">
        <v>10877</v>
      </c>
      <c r="B1652">
        <v>16</v>
      </c>
      <c r="C1652" s="2">
        <v>17.45</v>
      </c>
      <c r="D1652" s="2">
        <v>30</v>
      </c>
      <c r="E1652" s="3">
        <v>0.25</v>
      </c>
    </row>
    <row r="1653" spans="1:5" x14ac:dyDescent="0.2">
      <c r="A1653">
        <v>10877</v>
      </c>
      <c r="B1653">
        <v>18</v>
      </c>
      <c r="C1653" s="2">
        <v>62.5</v>
      </c>
      <c r="D1653" s="2">
        <v>25</v>
      </c>
      <c r="E1653" s="3">
        <v>0</v>
      </c>
    </row>
    <row r="1654" spans="1:5" x14ac:dyDescent="0.2">
      <c r="A1654">
        <v>10878</v>
      </c>
      <c r="B1654">
        <v>20</v>
      </c>
      <c r="C1654" s="2">
        <v>81</v>
      </c>
      <c r="D1654" s="2">
        <v>20</v>
      </c>
      <c r="E1654" s="3">
        <v>0.05</v>
      </c>
    </row>
    <row r="1655" spans="1:5" x14ac:dyDescent="0.2">
      <c r="A1655">
        <v>10879</v>
      </c>
      <c r="B1655">
        <v>40</v>
      </c>
      <c r="C1655" s="2">
        <v>18.399999999999999</v>
      </c>
      <c r="D1655" s="2">
        <v>12</v>
      </c>
      <c r="E1655" s="3">
        <v>0</v>
      </c>
    </row>
    <row r="1656" spans="1:5" x14ac:dyDescent="0.2">
      <c r="A1656">
        <v>10879</v>
      </c>
      <c r="B1656">
        <v>65</v>
      </c>
      <c r="C1656" s="2">
        <v>21.05</v>
      </c>
      <c r="D1656" s="2">
        <v>10</v>
      </c>
      <c r="E1656" s="3">
        <v>0</v>
      </c>
    </row>
    <row r="1657" spans="1:5" x14ac:dyDescent="0.2">
      <c r="A1657">
        <v>10879</v>
      </c>
      <c r="B1657">
        <v>76</v>
      </c>
      <c r="C1657" s="2">
        <v>18</v>
      </c>
      <c r="D1657" s="2">
        <v>10</v>
      </c>
      <c r="E1657" s="3">
        <v>0</v>
      </c>
    </row>
    <row r="1658" spans="1:5" x14ac:dyDescent="0.2">
      <c r="A1658">
        <v>10880</v>
      </c>
      <c r="B1658">
        <v>23</v>
      </c>
      <c r="C1658" s="2">
        <v>9</v>
      </c>
      <c r="D1658" s="2">
        <v>30</v>
      </c>
      <c r="E1658" s="3">
        <v>0.2</v>
      </c>
    </row>
    <row r="1659" spans="1:5" x14ac:dyDescent="0.2">
      <c r="A1659">
        <v>10880</v>
      </c>
      <c r="B1659">
        <v>61</v>
      </c>
      <c r="C1659" s="2">
        <v>28.5</v>
      </c>
      <c r="D1659" s="2">
        <v>30</v>
      </c>
      <c r="E1659" s="3">
        <v>0.2</v>
      </c>
    </row>
    <row r="1660" spans="1:5" x14ac:dyDescent="0.2">
      <c r="A1660">
        <v>10880</v>
      </c>
      <c r="B1660">
        <v>70</v>
      </c>
      <c r="C1660" s="2">
        <v>15</v>
      </c>
      <c r="D1660" s="2">
        <v>50</v>
      </c>
      <c r="E1660" s="3">
        <v>0.2</v>
      </c>
    </row>
    <row r="1661" spans="1:5" x14ac:dyDescent="0.2">
      <c r="A1661">
        <v>10881</v>
      </c>
      <c r="B1661">
        <v>73</v>
      </c>
      <c r="C1661" s="2">
        <v>15</v>
      </c>
      <c r="D1661" s="2">
        <v>10</v>
      </c>
      <c r="E1661" s="3">
        <v>0</v>
      </c>
    </row>
    <row r="1662" spans="1:5" x14ac:dyDescent="0.2">
      <c r="A1662">
        <v>10882</v>
      </c>
      <c r="B1662">
        <v>42</v>
      </c>
      <c r="C1662" s="2">
        <v>14</v>
      </c>
      <c r="D1662" s="2">
        <v>25</v>
      </c>
      <c r="E1662" s="3">
        <v>0</v>
      </c>
    </row>
    <row r="1663" spans="1:5" x14ac:dyDescent="0.2">
      <c r="A1663">
        <v>10882</v>
      </c>
      <c r="B1663">
        <v>49</v>
      </c>
      <c r="C1663" s="2">
        <v>20</v>
      </c>
      <c r="D1663" s="2">
        <v>20</v>
      </c>
      <c r="E1663" s="3">
        <v>0.15</v>
      </c>
    </row>
    <row r="1664" spans="1:5" x14ac:dyDescent="0.2">
      <c r="A1664">
        <v>10882</v>
      </c>
      <c r="B1664">
        <v>54</v>
      </c>
      <c r="C1664" s="2">
        <v>7.45</v>
      </c>
      <c r="D1664" s="2">
        <v>32</v>
      </c>
      <c r="E1664" s="3">
        <v>0.15</v>
      </c>
    </row>
    <row r="1665" spans="1:5" x14ac:dyDescent="0.2">
      <c r="A1665">
        <v>10883</v>
      </c>
      <c r="B1665">
        <v>24</v>
      </c>
      <c r="C1665" s="2">
        <v>4.5</v>
      </c>
      <c r="D1665" s="2">
        <v>8</v>
      </c>
      <c r="E1665" s="3">
        <v>0</v>
      </c>
    </row>
    <row r="1666" spans="1:5" x14ac:dyDescent="0.2">
      <c r="A1666">
        <v>10884</v>
      </c>
      <c r="B1666">
        <v>21</v>
      </c>
      <c r="C1666" s="2">
        <v>10</v>
      </c>
      <c r="D1666" s="2">
        <v>40</v>
      </c>
      <c r="E1666" s="3">
        <v>0.05</v>
      </c>
    </row>
    <row r="1667" spans="1:5" x14ac:dyDescent="0.2">
      <c r="A1667">
        <v>10884</v>
      </c>
      <c r="B1667">
        <v>56</v>
      </c>
      <c r="C1667" s="2">
        <v>38</v>
      </c>
      <c r="D1667" s="2">
        <v>21</v>
      </c>
      <c r="E1667" s="3">
        <v>0.05</v>
      </c>
    </row>
    <row r="1668" spans="1:5" x14ac:dyDescent="0.2">
      <c r="A1668">
        <v>10884</v>
      </c>
      <c r="B1668">
        <v>65</v>
      </c>
      <c r="C1668" s="2">
        <v>21.05</v>
      </c>
      <c r="D1668" s="2">
        <v>12</v>
      </c>
      <c r="E1668" s="3">
        <v>0.05</v>
      </c>
    </row>
    <row r="1669" spans="1:5" x14ac:dyDescent="0.2">
      <c r="A1669">
        <v>10885</v>
      </c>
      <c r="B1669">
        <v>2</v>
      </c>
      <c r="C1669" s="2">
        <v>19</v>
      </c>
      <c r="D1669" s="2">
        <v>20</v>
      </c>
      <c r="E1669" s="3">
        <v>0</v>
      </c>
    </row>
    <row r="1670" spans="1:5" x14ac:dyDescent="0.2">
      <c r="A1670">
        <v>10885</v>
      </c>
      <c r="B1670">
        <v>24</v>
      </c>
      <c r="C1670" s="2">
        <v>4.5</v>
      </c>
      <c r="D1670" s="2">
        <v>12</v>
      </c>
      <c r="E1670" s="3">
        <v>0</v>
      </c>
    </row>
    <row r="1671" spans="1:5" x14ac:dyDescent="0.2">
      <c r="A1671">
        <v>10885</v>
      </c>
      <c r="B1671">
        <v>70</v>
      </c>
      <c r="C1671" s="2">
        <v>15</v>
      </c>
      <c r="D1671" s="2">
        <v>30</v>
      </c>
      <c r="E1671" s="3">
        <v>0</v>
      </c>
    </row>
    <row r="1672" spans="1:5" x14ac:dyDescent="0.2">
      <c r="A1672">
        <v>10885</v>
      </c>
      <c r="B1672">
        <v>77</v>
      </c>
      <c r="C1672" s="2">
        <v>13</v>
      </c>
      <c r="D1672" s="2">
        <v>25</v>
      </c>
      <c r="E1672" s="3">
        <v>0</v>
      </c>
    </row>
    <row r="1673" spans="1:5" x14ac:dyDescent="0.2">
      <c r="A1673">
        <v>10886</v>
      </c>
      <c r="B1673">
        <v>10</v>
      </c>
      <c r="C1673" s="2">
        <v>31</v>
      </c>
      <c r="D1673" s="2">
        <v>70</v>
      </c>
      <c r="E1673" s="3">
        <v>0</v>
      </c>
    </row>
    <row r="1674" spans="1:5" x14ac:dyDescent="0.2">
      <c r="A1674">
        <v>10886</v>
      </c>
      <c r="B1674">
        <v>31</v>
      </c>
      <c r="C1674" s="2">
        <v>12.5</v>
      </c>
      <c r="D1674" s="2">
        <v>35</v>
      </c>
      <c r="E1674" s="3">
        <v>0</v>
      </c>
    </row>
    <row r="1675" spans="1:5" x14ac:dyDescent="0.2">
      <c r="A1675">
        <v>10886</v>
      </c>
      <c r="B1675">
        <v>77</v>
      </c>
      <c r="C1675" s="2">
        <v>13</v>
      </c>
      <c r="D1675" s="2">
        <v>40</v>
      </c>
      <c r="E1675" s="3">
        <v>0</v>
      </c>
    </row>
    <row r="1676" spans="1:5" x14ac:dyDescent="0.2">
      <c r="A1676">
        <v>10887</v>
      </c>
      <c r="B1676">
        <v>25</v>
      </c>
      <c r="C1676" s="2">
        <v>14</v>
      </c>
      <c r="D1676" s="2">
        <v>5</v>
      </c>
      <c r="E1676" s="3">
        <v>0</v>
      </c>
    </row>
    <row r="1677" spans="1:5" x14ac:dyDescent="0.2">
      <c r="A1677">
        <v>10888</v>
      </c>
      <c r="B1677">
        <v>2</v>
      </c>
      <c r="C1677" s="2">
        <v>19</v>
      </c>
      <c r="D1677" s="2">
        <v>20</v>
      </c>
      <c r="E1677" s="3">
        <v>0</v>
      </c>
    </row>
    <row r="1678" spans="1:5" x14ac:dyDescent="0.2">
      <c r="A1678">
        <v>10888</v>
      </c>
      <c r="B1678">
        <v>68</v>
      </c>
      <c r="C1678" s="2">
        <v>12.5</v>
      </c>
      <c r="D1678" s="2">
        <v>18</v>
      </c>
      <c r="E1678" s="3">
        <v>0</v>
      </c>
    </row>
    <row r="1679" spans="1:5" x14ac:dyDescent="0.2">
      <c r="A1679">
        <v>10889</v>
      </c>
      <c r="B1679">
        <v>11</v>
      </c>
      <c r="C1679" s="2">
        <v>21</v>
      </c>
      <c r="D1679" s="2">
        <v>40</v>
      </c>
      <c r="E1679" s="3">
        <v>0</v>
      </c>
    </row>
    <row r="1680" spans="1:5" x14ac:dyDescent="0.2">
      <c r="A1680">
        <v>10889</v>
      </c>
      <c r="B1680">
        <v>38</v>
      </c>
      <c r="C1680" s="2">
        <v>263.5</v>
      </c>
      <c r="D1680" s="2">
        <v>40</v>
      </c>
      <c r="E1680" s="3">
        <v>0</v>
      </c>
    </row>
    <row r="1681" spans="1:5" x14ac:dyDescent="0.2">
      <c r="A1681">
        <v>10890</v>
      </c>
      <c r="B1681">
        <v>17</v>
      </c>
      <c r="C1681" s="2">
        <v>39</v>
      </c>
      <c r="D1681" s="2">
        <v>15</v>
      </c>
      <c r="E1681" s="3">
        <v>0</v>
      </c>
    </row>
    <row r="1682" spans="1:5" x14ac:dyDescent="0.2">
      <c r="A1682">
        <v>10890</v>
      </c>
      <c r="B1682">
        <v>34</v>
      </c>
      <c r="C1682" s="2">
        <v>14</v>
      </c>
      <c r="D1682" s="2">
        <v>10</v>
      </c>
      <c r="E1682" s="3">
        <v>0</v>
      </c>
    </row>
    <row r="1683" spans="1:5" x14ac:dyDescent="0.2">
      <c r="A1683">
        <v>10890</v>
      </c>
      <c r="B1683">
        <v>41</v>
      </c>
      <c r="C1683" s="2">
        <v>9.65</v>
      </c>
      <c r="D1683" s="2">
        <v>14</v>
      </c>
      <c r="E1683" s="3">
        <v>0</v>
      </c>
    </row>
    <row r="1684" spans="1:5" x14ac:dyDescent="0.2">
      <c r="A1684">
        <v>10891</v>
      </c>
      <c r="B1684">
        <v>30</v>
      </c>
      <c r="C1684" s="2">
        <v>25.89</v>
      </c>
      <c r="D1684" s="2">
        <v>15</v>
      </c>
      <c r="E1684" s="3">
        <v>0.05</v>
      </c>
    </row>
    <row r="1685" spans="1:5" x14ac:dyDescent="0.2">
      <c r="A1685">
        <v>10892</v>
      </c>
      <c r="B1685">
        <v>59</v>
      </c>
      <c r="C1685" s="2">
        <v>55</v>
      </c>
      <c r="D1685" s="2">
        <v>40</v>
      </c>
      <c r="E1685" s="3">
        <v>0.05</v>
      </c>
    </row>
    <row r="1686" spans="1:5" x14ac:dyDescent="0.2">
      <c r="A1686">
        <v>10893</v>
      </c>
      <c r="B1686">
        <v>8</v>
      </c>
      <c r="C1686" s="2">
        <v>40</v>
      </c>
      <c r="D1686" s="2">
        <v>30</v>
      </c>
      <c r="E1686" s="3">
        <v>0</v>
      </c>
    </row>
    <row r="1687" spans="1:5" x14ac:dyDescent="0.2">
      <c r="A1687">
        <v>10893</v>
      </c>
      <c r="B1687">
        <v>24</v>
      </c>
      <c r="C1687" s="2">
        <v>4.5</v>
      </c>
      <c r="D1687" s="2">
        <v>10</v>
      </c>
      <c r="E1687" s="3">
        <v>0</v>
      </c>
    </row>
    <row r="1688" spans="1:5" x14ac:dyDescent="0.2">
      <c r="A1688">
        <v>10893</v>
      </c>
      <c r="B1688">
        <v>29</v>
      </c>
      <c r="C1688" s="2">
        <v>123.79</v>
      </c>
      <c r="D1688" s="2">
        <v>24</v>
      </c>
      <c r="E1688" s="3">
        <v>0</v>
      </c>
    </row>
    <row r="1689" spans="1:5" x14ac:dyDescent="0.2">
      <c r="A1689">
        <v>10893</v>
      </c>
      <c r="B1689">
        <v>30</v>
      </c>
      <c r="C1689" s="2">
        <v>25.89</v>
      </c>
      <c r="D1689" s="2">
        <v>35</v>
      </c>
      <c r="E1689" s="3">
        <v>0</v>
      </c>
    </row>
    <row r="1690" spans="1:5" x14ac:dyDescent="0.2">
      <c r="A1690">
        <v>10893</v>
      </c>
      <c r="B1690">
        <v>36</v>
      </c>
      <c r="C1690" s="2">
        <v>19</v>
      </c>
      <c r="D1690" s="2">
        <v>20</v>
      </c>
      <c r="E1690" s="3">
        <v>0</v>
      </c>
    </row>
    <row r="1691" spans="1:5" x14ac:dyDescent="0.2">
      <c r="A1691">
        <v>10894</v>
      </c>
      <c r="B1691">
        <v>13</v>
      </c>
      <c r="C1691" s="2">
        <v>6</v>
      </c>
      <c r="D1691" s="2">
        <v>28</v>
      </c>
      <c r="E1691" s="3">
        <v>0.05</v>
      </c>
    </row>
    <row r="1692" spans="1:5" x14ac:dyDescent="0.2">
      <c r="A1692">
        <v>10894</v>
      </c>
      <c r="B1692">
        <v>69</v>
      </c>
      <c r="C1692" s="2">
        <v>36</v>
      </c>
      <c r="D1692" s="2">
        <v>50</v>
      </c>
      <c r="E1692" s="3">
        <v>0.05</v>
      </c>
    </row>
    <row r="1693" spans="1:5" x14ac:dyDescent="0.2">
      <c r="A1693">
        <v>10894</v>
      </c>
      <c r="B1693">
        <v>75</v>
      </c>
      <c r="C1693" s="2">
        <v>7.75</v>
      </c>
      <c r="D1693" s="2">
        <v>120</v>
      </c>
      <c r="E1693" s="3">
        <v>0.05</v>
      </c>
    </row>
    <row r="1694" spans="1:5" x14ac:dyDescent="0.2">
      <c r="A1694">
        <v>10895</v>
      </c>
      <c r="B1694">
        <v>24</v>
      </c>
      <c r="C1694" s="2">
        <v>4.5</v>
      </c>
      <c r="D1694" s="2">
        <v>110</v>
      </c>
      <c r="E1694" s="3">
        <v>0</v>
      </c>
    </row>
    <row r="1695" spans="1:5" x14ac:dyDescent="0.2">
      <c r="A1695">
        <v>10895</v>
      </c>
      <c r="B1695">
        <v>39</v>
      </c>
      <c r="C1695" s="2">
        <v>18</v>
      </c>
      <c r="D1695" s="2">
        <v>45</v>
      </c>
      <c r="E1695" s="3">
        <v>0</v>
      </c>
    </row>
    <row r="1696" spans="1:5" x14ac:dyDescent="0.2">
      <c r="A1696">
        <v>10895</v>
      </c>
      <c r="B1696">
        <v>40</v>
      </c>
      <c r="C1696" s="2">
        <v>18.399999999999999</v>
      </c>
      <c r="D1696" s="2">
        <v>91</v>
      </c>
      <c r="E1696" s="3">
        <v>0</v>
      </c>
    </row>
    <row r="1697" spans="1:5" x14ac:dyDescent="0.2">
      <c r="A1697">
        <v>10895</v>
      </c>
      <c r="B1697">
        <v>60</v>
      </c>
      <c r="C1697" s="2">
        <v>34</v>
      </c>
      <c r="D1697" s="2">
        <v>100</v>
      </c>
      <c r="E1697" s="3">
        <v>0</v>
      </c>
    </row>
    <row r="1698" spans="1:5" x14ac:dyDescent="0.2">
      <c r="A1698">
        <v>10896</v>
      </c>
      <c r="B1698">
        <v>45</v>
      </c>
      <c r="C1698" s="2">
        <v>9.5</v>
      </c>
      <c r="D1698" s="2">
        <v>15</v>
      </c>
      <c r="E1698" s="3">
        <v>0</v>
      </c>
    </row>
    <row r="1699" spans="1:5" x14ac:dyDescent="0.2">
      <c r="A1699">
        <v>10896</v>
      </c>
      <c r="B1699">
        <v>56</v>
      </c>
      <c r="C1699" s="2">
        <v>38</v>
      </c>
      <c r="D1699" s="2">
        <v>16</v>
      </c>
      <c r="E1699" s="3">
        <v>0</v>
      </c>
    </row>
    <row r="1700" spans="1:5" x14ac:dyDescent="0.2">
      <c r="A1700">
        <v>10897</v>
      </c>
      <c r="B1700">
        <v>29</v>
      </c>
      <c r="C1700" s="2">
        <v>123.79</v>
      </c>
      <c r="D1700" s="2">
        <v>80</v>
      </c>
      <c r="E1700" s="3">
        <v>0</v>
      </c>
    </row>
    <row r="1701" spans="1:5" x14ac:dyDescent="0.2">
      <c r="A1701">
        <v>10897</v>
      </c>
      <c r="B1701">
        <v>30</v>
      </c>
      <c r="C1701" s="2">
        <v>25.89</v>
      </c>
      <c r="D1701" s="2">
        <v>36</v>
      </c>
      <c r="E1701" s="3">
        <v>0</v>
      </c>
    </row>
    <row r="1702" spans="1:5" x14ac:dyDescent="0.2">
      <c r="A1702">
        <v>10898</v>
      </c>
      <c r="B1702">
        <v>13</v>
      </c>
      <c r="C1702" s="2">
        <v>6</v>
      </c>
      <c r="D1702" s="2">
        <v>5</v>
      </c>
      <c r="E1702" s="3">
        <v>0</v>
      </c>
    </row>
    <row r="1703" spans="1:5" x14ac:dyDescent="0.2">
      <c r="A1703">
        <v>10899</v>
      </c>
      <c r="B1703">
        <v>39</v>
      </c>
      <c r="C1703" s="2">
        <v>18</v>
      </c>
      <c r="D1703" s="2">
        <v>8</v>
      </c>
      <c r="E1703" s="3">
        <v>0.15</v>
      </c>
    </row>
    <row r="1704" spans="1:5" x14ac:dyDescent="0.2">
      <c r="A1704">
        <v>10900</v>
      </c>
      <c r="B1704">
        <v>70</v>
      </c>
      <c r="C1704" s="2">
        <v>15</v>
      </c>
      <c r="D1704" s="2">
        <v>3</v>
      </c>
      <c r="E1704" s="3">
        <v>0.25</v>
      </c>
    </row>
    <row r="1705" spans="1:5" x14ac:dyDescent="0.2">
      <c r="A1705">
        <v>10901</v>
      </c>
      <c r="B1705">
        <v>41</v>
      </c>
      <c r="C1705" s="2">
        <v>9.65</v>
      </c>
      <c r="D1705" s="2">
        <v>30</v>
      </c>
      <c r="E1705" s="3">
        <v>0</v>
      </c>
    </row>
    <row r="1706" spans="1:5" x14ac:dyDescent="0.2">
      <c r="A1706">
        <v>10901</v>
      </c>
      <c r="B1706">
        <v>71</v>
      </c>
      <c r="C1706" s="2">
        <v>21.5</v>
      </c>
      <c r="D1706" s="2">
        <v>30</v>
      </c>
      <c r="E1706" s="3">
        <v>0</v>
      </c>
    </row>
    <row r="1707" spans="1:5" x14ac:dyDescent="0.2">
      <c r="A1707">
        <v>10902</v>
      </c>
      <c r="B1707">
        <v>55</v>
      </c>
      <c r="C1707" s="2">
        <v>24</v>
      </c>
      <c r="D1707" s="2">
        <v>30</v>
      </c>
      <c r="E1707" s="3">
        <v>0.15</v>
      </c>
    </row>
    <row r="1708" spans="1:5" x14ac:dyDescent="0.2">
      <c r="A1708">
        <v>10902</v>
      </c>
      <c r="B1708">
        <v>62</v>
      </c>
      <c r="C1708" s="2">
        <v>49.3</v>
      </c>
      <c r="D1708" s="2">
        <v>6</v>
      </c>
      <c r="E1708" s="3">
        <v>0.15</v>
      </c>
    </row>
    <row r="1709" spans="1:5" x14ac:dyDescent="0.2">
      <c r="A1709">
        <v>10903</v>
      </c>
      <c r="B1709">
        <v>13</v>
      </c>
      <c r="C1709" s="2">
        <v>6</v>
      </c>
      <c r="D1709" s="2">
        <v>40</v>
      </c>
      <c r="E1709" s="3">
        <v>0</v>
      </c>
    </row>
    <row r="1710" spans="1:5" x14ac:dyDescent="0.2">
      <c r="A1710">
        <v>10903</v>
      </c>
      <c r="B1710">
        <v>65</v>
      </c>
      <c r="C1710" s="2">
        <v>21.05</v>
      </c>
      <c r="D1710" s="2">
        <v>21</v>
      </c>
      <c r="E1710" s="3">
        <v>0</v>
      </c>
    </row>
    <row r="1711" spans="1:5" x14ac:dyDescent="0.2">
      <c r="A1711">
        <v>10903</v>
      </c>
      <c r="B1711">
        <v>68</v>
      </c>
      <c r="C1711" s="2">
        <v>12.5</v>
      </c>
      <c r="D1711" s="2">
        <v>20</v>
      </c>
      <c r="E1711" s="3">
        <v>0</v>
      </c>
    </row>
    <row r="1712" spans="1:5" x14ac:dyDescent="0.2">
      <c r="A1712">
        <v>10904</v>
      </c>
      <c r="B1712">
        <v>58</v>
      </c>
      <c r="C1712" s="2">
        <v>13.25</v>
      </c>
      <c r="D1712" s="2">
        <v>15</v>
      </c>
      <c r="E1712" s="3">
        <v>0</v>
      </c>
    </row>
    <row r="1713" spans="1:5" x14ac:dyDescent="0.2">
      <c r="A1713">
        <v>10904</v>
      </c>
      <c r="B1713">
        <v>62</v>
      </c>
      <c r="C1713" s="2">
        <v>49.3</v>
      </c>
      <c r="D1713" s="2">
        <v>35</v>
      </c>
      <c r="E1713" s="3">
        <v>0</v>
      </c>
    </row>
    <row r="1714" spans="1:5" x14ac:dyDescent="0.2">
      <c r="A1714">
        <v>10905</v>
      </c>
      <c r="B1714">
        <v>1</v>
      </c>
      <c r="C1714" s="2">
        <v>18</v>
      </c>
      <c r="D1714" s="2">
        <v>20</v>
      </c>
      <c r="E1714" s="3">
        <v>0.05</v>
      </c>
    </row>
    <row r="1715" spans="1:5" x14ac:dyDescent="0.2">
      <c r="A1715">
        <v>10906</v>
      </c>
      <c r="B1715">
        <v>61</v>
      </c>
      <c r="C1715" s="2">
        <v>28.5</v>
      </c>
      <c r="D1715" s="2">
        <v>15</v>
      </c>
      <c r="E1715" s="3">
        <v>0</v>
      </c>
    </row>
    <row r="1716" spans="1:5" x14ac:dyDescent="0.2">
      <c r="A1716">
        <v>10907</v>
      </c>
      <c r="B1716">
        <v>75</v>
      </c>
      <c r="C1716" s="2">
        <v>7.75</v>
      </c>
      <c r="D1716" s="2">
        <v>14</v>
      </c>
      <c r="E1716" s="3">
        <v>0</v>
      </c>
    </row>
    <row r="1717" spans="1:5" x14ac:dyDescent="0.2">
      <c r="A1717">
        <v>10908</v>
      </c>
      <c r="B1717">
        <v>7</v>
      </c>
      <c r="C1717" s="2">
        <v>30</v>
      </c>
      <c r="D1717" s="2">
        <v>20</v>
      </c>
      <c r="E1717" s="3">
        <v>0.05</v>
      </c>
    </row>
    <row r="1718" spans="1:5" x14ac:dyDescent="0.2">
      <c r="A1718">
        <v>10908</v>
      </c>
      <c r="B1718">
        <v>52</v>
      </c>
      <c r="C1718" s="2">
        <v>7</v>
      </c>
      <c r="D1718" s="2">
        <v>14</v>
      </c>
      <c r="E1718" s="3">
        <v>0.05</v>
      </c>
    </row>
    <row r="1719" spans="1:5" x14ac:dyDescent="0.2">
      <c r="A1719">
        <v>10909</v>
      </c>
      <c r="B1719">
        <v>7</v>
      </c>
      <c r="C1719" s="2">
        <v>30</v>
      </c>
      <c r="D1719" s="2">
        <v>12</v>
      </c>
      <c r="E1719" s="3">
        <v>0</v>
      </c>
    </row>
    <row r="1720" spans="1:5" x14ac:dyDescent="0.2">
      <c r="A1720">
        <v>10909</v>
      </c>
      <c r="B1720">
        <v>16</v>
      </c>
      <c r="C1720" s="2">
        <v>17.45</v>
      </c>
      <c r="D1720" s="2">
        <v>15</v>
      </c>
      <c r="E1720" s="3">
        <v>0</v>
      </c>
    </row>
    <row r="1721" spans="1:5" x14ac:dyDescent="0.2">
      <c r="A1721">
        <v>10909</v>
      </c>
      <c r="B1721">
        <v>41</v>
      </c>
      <c r="C1721" s="2">
        <v>9.65</v>
      </c>
      <c r="D1721" s="2">
        <v>5</v>
      </c>
      <c r="E1721" s="3">
        <v>0</v>
      </c>
    </row>
    <row r="1722" spans="1:5" x14ac:dyDescent="0.2">
      <c r="A1722">
        <v>10910</v>
      </c>
      <c r="B1722">
        <v>19</v>
      </c>
      <c r="C1722" s="2">
        <v>9.1999999999999993</v>
      </c>
      <c r="D1722" s="2">
        <v>12</v>
      </c>
      <c r="E1722" s="3">
        <v>0</v>
      </c>
    </row>
    <row r="1723" spans="1:5" x14ac:dyDescent="0.2">
      <c r="A1723">
        <v>10910</v>
      </c>
      <c r="B1723">
        <v>49</v>
      </c>
      <c r="C1723" s="2">
        <v>20</v>
      </c>
      <c r="D1723" s="2">
        <v>10</v>
      </c>
      <c r="E1723" s="3">
        <v>0</v>
      </c>
    </row>
    <row r="1724" spans="1:5" x14ac:dyDescent="0.2">
      <c r="A1724">
        <v>10910</v>
      </c>
      <c r="B1724">
        <v>61</v>
      </c>
      <c r="C1724" s="2">
        <v>28.5</v>
      </c>
      <c r="D1724" s="2">
        <v>5</v>
      </c>
      <c r="E1724" s="3">
        <v>0</v>
      </c>
    </row>
    <row r="1725" spans="1:5" x14ac:dyDescent="0.2">
      <c r="A1725">
        <v>10911</v>
      </c>
      <c r="B1725">
        <v>1</v>
      </c>
      <c r="C1725" s="2">
        <v>18</v>
      </c>
      <c r="D1725" s="2">
        <v>10</v>
      </c>
      <c r="E1725" s="3">
        <v>0</v>
      </c>
    </row>
    <row r="1726" spans="1:5" x14ac:dyDescent="0.2">
      <c r="A1726">
        <v>10911</v>
      </c>
      <c r="B1726">
        <v>17</v>
      </c>
      <c r="C1726" s="2">
        <v>39</v>
      </c>
      <c r="D1726" s="2">
        <v>12</v>
      </c>
      <c r="E1726" s="3">
        <v>0</v>
      </c>
    </row>
    <row r="1727" spans="1:5" x14ac:dyDescent="0.2">
      <c r="A1727">
        <v>10911</v>
      </c>
      <c r="B1727">
        <v>67</v>
      </c>
      <c r="C1727" s="2">
        <v>14</v>
      </c>
      <c r="D1727" s="2">
        <v>15</v>
      </c>
      <c r="E1727" s="3">
        <v>0</v>
      </c>
    </row>
    <row r="1728" spans="1:5" x14ac:dyDescent="0.2">
      <c r="A1728">
        <v>10912</v>
      </c>
      <c r="B1728">
        <v>11</v>
      </c>
      <c r="C1728" s="2">
        <v>21</v>
      </c>
      <c r="D1728" s="2">
        <v>40</v>
      </c>
      <c r="E1728" s="3">
        <v>0.25</v>
      </c>
    </row>
    <row r="1729" spans="1:5" x14ac:dyDescent="0.2">
      <c r="A1729">
        <v>10912</v>
      </c>
      <c r="B1729">
        <v>29</v>
      </c>
      <c r="C1729" s="2">
        <v>123.79</v>
      </c>
      <c r="D1729" s="2">
        <v>60</v>
      </c>
      <c r="E1729" s="3">
        <v>0.25</v>
      </c>
    </row>
    <row r="1730" spans="1:5" x14ac:dyDescent="0.2">
      <c r="A1730">
        <v>10913</v>
      </c>
      <c r="B1730">
        <v>4</v>
      </c>
      <c r="C1730" s="2">
        <v>22</v>
      </c>
      <c r="D1730" s="2">
        <v>30</v>
      </c>
      <c r="E1730" s="3">
        <v>0.25</v>
      </c>
    </row>
    <row r="1731" spans="1:5" x14ac:dyDescent="0.2">
      <c r="A1731">
        <v>10913</v>
      </c>
      <c r="B1731">
        <v>33</v>
      </c>
      <c r="C1731" s="2">
        <v>2.5</v>
      </c>
      <c r="D1731" s="2">
        <v>40</v>
      </c>
      <c r="E1731" s="3">
        <v>0.25</v>
      </c>
    </row>
    <row r="1732" spans="1:5" x14ac:dyDescent="0.2">
      <c r="A1732">
        <v>10913</v>
      </c>
      <c r="B1732">
        <v>58</v>
      </c>
      <c r="C1732" s="2">
        <v>13.25</v>
      </c>
      <c r="D1732" s="2">
        <v>15</v>
      </c>
      <c r="E1732" s="3">
        <v>0</v>
      </c>
    </row>
    <row r="1733" spans="1:5" x14ac:dyDescent="0.2">
      <c r="A1733">
        <v>10914</v>
      </c>
      <c r="B1733">
        <v>71</v>
      </c>
      <c r="C1733" s="2">
        <v>21.5</v>
      </c>
      <c r="D1733" s="2">
        <v>25</v>
      </c>
      <c r="E1733" s="3">
        <v>0</v>
      </c>
    </row>
    <row r="1734" spans="1:5" x14ac:dyDescent="0.2">
      <c r="A1734">
        <v>10915</v>
      </c>
      <c r="B1734">
        <v>17</v>
      </c>
      <c r="C1734" s="2">
        <v>39</v>
      </c>
      <c r="D1734" s="2">
        <v>10</v>
      </c>
      <c r="E1734" s="3">
        <v>0</v>
      </c>
    </row>
    <row r="1735" spans="1:5" x14ac:dyDescent="0.2">
      <c r="A1735">
        <v>10915</v>
      </c>
      <c r="B1735">
        <v>33</v>
      </c>
      <c r="C1735" s="2">
        <v>2.5</v>
      </c>
      <c r="D1735" s="2">
        <v>30</v>
      </c>
      <c r="E1735" s="3">
        <v>0</v>
      </c>
    </row>
    <row r="1736" spans="1:5" x14ac:dyDescent="0.2">
      <c r="A1736">
        <v>10915</v>
      </c>
      <c r="B1736">
        <v>54</v>
      </c>
      <c r="C1736" s="2">
        <v>7.45</v>
      </c>
      <c r="D1736" s="2">
        <v>10</v>
      </c>
      <c r="E1736" s="3">
        <v>0</v>
      </c>
    </row>
    <row r="1737" spans="1:5" x14ac:dyDescent="0.2">
      <c r="A1737">
        <v>10916</v>
      </c>
      <c r="B1737">
        <v>16</v>
      </c>
      <c r="C1737" s="2">
        <v>17.45</v>
      </c>
      <c r="D1737" s="2">
        <v>6</v>
      </c>
      <c r="E1737" s="3">
        <v>0</v>
      </c>
    </row>
    <row r="1738" spans="1:5" x14ac:dyDescent="0.2">
      <c r="A1738">
        <v>10916</v>
      </c>
      <c r="B1738">
        <v>32</v>
      </c>
      <c r="C1738" s="2">
        <v>32</v>
      </c>
      <c r="D1738" s="2">
        <v>6</v>
      </c>
      <c r="E1738" s="3">
        <v>0</v>
      </c>
    </row>
    <row r="1739" spans="1:5" x14ac:dyDescent="0.2">
      <c r="A1739">
        <v>10916</v>
      </c>
      <c r="B1739">
        <v>57</v>
      </c>
      <c r="C1739" s="2">
        <v>19.5</v>
      </c>
      <c r="D1739" s="2">
        <v>20</v>
      </c>
      <c r="E1739" s="3">
        <v>0</v>
      </c>
    </row>
    <row r="1740" spans="1:5" x14ac:dyDescent="0.2">
      <c r="A1740">
        <v>10917</v>
      </c>
      <c r="B1740">
        <v>30</v>
      </c>
      <c r="C1740" s="2">
        <v>25.89</v>
      </c>
      <c r="D1740" s="2">
        <v>1</v>
      </c>
      <c r="E1740" s="3">
        <v>0</v>
      </c>
    </row>
    <row r="1741" spans="1:5" x14ac:dyDescent="0.2">
      <c r="A1741">
        <v>10917</v>
      </c>
      <c r="B1741">
        <v>60</v>
      </c>
      <c r="C1741" s="2">
        <v>34</v>
      </c>
      <c r="D1741" s="2">
        <v>10</v>
      </c>
      <c r="E1741" s="3">
        <v>0</v>
      </c>
    </row>
    <row r="1742" spans="1:5" x14ac:dyDescent="0.2">
      <c r="A1742">
        <v>10918</v>
      </c>
      <c r="B1742">
        <v>1</v>
      </c>
      <c r="C1742" s="2">
        <v>18</v>
      </c>
      <c r="D1742" s="2">
        <v>60</v>
      </c>
      <c r="E1742" s="3">
        <v>0.25</v>
      </c>
    </row>
    <row r="1743" spans="1:5" x14ac:dyDescent="0.2">
      <c r="A1743">
        <v>10918</v>
      </c>
      <c r="B1743">
        <v>60</v>
      </c>
      <c r="C1743" s="2">
        <v>34</v>
      </c>
      <c r="D1743" s="2">
        <v>25</v>
      </c>
      <c r="E1743" s="3">
        <v>0.25</v>
      </c>
    </row>
    <row r="1744" spans="1:5" x14ac:dyDescent="0.2">
      <c r="A1744">
        <v>10919</v>
      </c>
      <c r="B1744">
        <v>16</v>
      </c>
      <c r="C1744" s="2">
        <v>17.45</v>
      </c>
      <c r="D1744" s="2">
        <v>24</v>
      </c>
      <c r="E1744" s="3">
        <v>0</v>
      </c>
    </row>
    <row r="1745" spans="1:5" x14ac:dyDescent="0.2">
      <c r="A1745">
        <v>10919</v>
      </c>
      <c r="B1745">
        <v>25</v>
      </c>
      <c r="C1745" s="2">
        <v>14</v>
      </c>
      <c r="D1745" s="2">
        <v>24</v>
      </c>
      <c r="E1745" s="3">
        <v>0</v>
      </c>
    </row>
    <row r="1746" spans="1:5" x14ac:dyDescent="0.2">
      <c r="A1746">
        <v>10919</v>
      </c>
      <c r="B1746">
        <v>40</v>
      </c>
      <c r="C1746" s="2">
        <v>18.399999999999999</v>
      </c>
      <c r="D1746" s="2">
        <v>20</v>
      </c>
      <c r="E1746" s="3">
        <v>0</v>
      </c>
    </row>
    <row r="1747" spans="1:5" x14ac:dyDescent="0.2">
      <c r="A1747">
        <v>10920</v>
      </c>
      <c r="B1747">
        <v>50</v>
      </c>
      <c r="C1747" s="2">
        <v>16.25</v>
      </c>
      <c r="D1747" s="2">
        <v>24</v>
      </c>
      <c r="E1747" s="3">
        <v>0</v>
      </c>
    </row>
    <row r="1748" spans="1:5" x14ac:dyDescent="0.2">
      <c r="A1748">
        <v>10921</v>
      </c>
      <c r="B1748">
        <v>35</v>
      </c>
      <c r="C1748" s="2">
        <v>18</v>
      </c>
      <c r="D1748" s="2">
        <v>10</v>
      </c>
      <c r="E1748" s="3">
        <v>0</v>
      </c>
    </row>
    <row r="1749" spans="1:5" x14ac:dyDescent="0.2">
      <c r="A1749">
        <v>10921</v>
      </c>
      <c r="B1749">
        <v>63</v>
      </c>
      <c r="C1749" s="2">
        <v>43.9</v>
      </c>
      <c r="D1749" s="2">
        <v>40</v>
      </c>
      <c r="E1749" s="3">
        <v>0</v>
      </c>
    </row>
    <row r="1750" spans="1:5" x14ac:dyDescent="0.2">
      <c r="A1750">
        <v>10922</v>
      </c>
      <c r="B1750">
        <v>17</v>
      </c>
      <c r="C1750" s="2">
        <v>39</v>
      </c>
      <c r="D1750" s="2">
        <v>15</v>
      </c>
      <c r="E1750" s="3">
        <v>0</v>
      </c>
    </row>
    <row r="1751" spans="1:5" x14ac:dyDescent="0.2">
      <c r="A1751">
        <v>10922</v>
      </c>
      <c r="B1751">
        <v>24</v>
      </c>
      <c r="C1751" s="2">
        <v>4.5</v>
      </c>
      <c r="D1751" s="2">
        <v>35</v>
      </c>
      <c r="E1751" s="3">
        <v>0</v>
      </c>
    </row>
    <row r="1752" spans="1:5" x14ac:dyDescent="0.2">
      <c r="A1752">
        <v>10923</v>
      </c>
      <c r="B1752">
        <v>42</v>
      </c>
      <c r="C1752" s="2">
        <v>14</v>
      </c>
      <c r="D1752" s="2">
        <v>10</v>
      </c>
      <c r="E1752" s="3">
        <v>0.2</v>
      </c>
    </row>
    <row r="1753" spans="1:5" x14ac:dyDescent="0.2">
      <c r="A1753">
        <v>10923</v>
      </c>
      <c r="B1753">
        <v>43</v>
      </c>
      <c r="C1753" s="2">
        <v>46</v>
      </c>
      <c r="D1753" s="2">
        <v>10</v>
      </c>
      <c r="E1753" s="3">
        <v>0.2</v>
      </c>
    </row>
    <row r="1754" spans="1:5" x14ac:dyDescent="0.2">
      <c r="A1754">
        <v>10923</v>
      </c>
      <c r="B1754">
        <v>67</v>
      </c>
      <c r="C1754" s="2">
        <v>14</v>
      </c>
      <c r="D1754" s="2">
        <v>24</v>
      </c>
      <c r="E1754" s="3">
        <v>0.2</v>
      </c>
    </row>
    <row r="1755" spans="1:5" x14ac:dyDescent="0.2">
      <c r="A1755">
        <v>10924</v>
      </c>
      <c r="B1755">
        <v>10</v>
      </c>
      <c r="C1755" s="2">
        <v>31</v>
      </c>
      <c r="D1755" s="2">
        <v>20</v>
      </c>
      <c r="E1755" s="3">
        <v>0.1</v>
      </c>
    </row>
    <row r="1756" spans="1:5" x14ac:dyDescent="0.2">
      <c r="A1756">
        <v>10924</v>
      </c>
      <c r="B1756">
        <v>28</v>
      </c>
      <c r="C1756" s="2">
        <v>45.6</v>
      </c>
      <c r="D1756" s="2">
        <v>30</v>
      </c>
      <c r="E1756" s="3">
        <v>0.1</v>
      </c>
    </row>
    <row r="1757" spans="1:5" x14ac:dyDescent="0.2">
      <c r="A1757">
        <v>10924</v>
      </c>
      <c r="B1757">
        <v>75</v>
      </c>
      <c r="C1757" s="2">
        <v>7.75</v>
      </c>
      <c r="D1757" s="2">
        <v>6</v>
      </c>
      <c r="E1757" s="3">
        <v>0</v>
      </c>
    </row>
    <row r="1758" spans="1:5" x14ac:dyDescent="0.2">
      <c r="A1758">
        <v>10925</v>
      </c>
      <c r="B1758">
        <v>36</v>
      </c>
      <c r="C1758" s="2">
        <v>19</v>
      </c>
      <c r="D1758" s="2">
        <v>25</v>
      </c>
      <c r="E1758" s="3">
        <v>0.15</v>
      </c>
    </row>
    <row r="1759" spans="1:5" x14ac:dyDescent="0.2">
      <c r="A1759">
        <v>10925</v>
      </c>
      <c r="B1759">
        <v>52</v>
      </c>
      <c r="C1759" s="2">
        <v>7</v>
      </c>
      <c r="D1759" s="2">
        <v>12</v>
      </c>
      <c r="E1759" s="3">
        <v>0.15</v>
      </c>
    </row>
    <row r="1760" spans="1:5" x14ac:dyDescent="0.2">
      <c r="A1760">
        <v>10926</v>
      </c>
      <c r="B1760">
        <v>11</v>
      </c>
      <c r="C1760" s="2">
        <v>21</v>
      </c>
      <c r="D1760" s="2">
        <v>2</v>
      </c>
      <c r="E1760" s="3">
        <v>0</v>
      </c>
    </row>
    <row r="1761" spans="1:5" x14ac:dyDescent="0.2">
      <c r="A1761">
        <v>10926</v>
      </c>
      <c r="B1761">
        <v>13</v>
      </c>
      <c r="C1761" s="2">
        <v>6</v>
      </c>
      <c r="D1761" s="2">
        <v>10</v>
      </c>
      <c r="E1761" s="3">
        <v>0</v>
      </c>
    </row>
    <row r="1762" spans="1:5" x14ac:dyDescent="0.2">
      <c r="A1762">
        <v>10926</v>
      </c>
      <c r="B1762">
        <v>19</v>
      </c>
      <c r="C1762" s="2">
        <v>9.1999999999999993</v>
      </c>
      <c r="D1762" s="2">
        <v>7</v>
      </c>
      <c r="E1762" s="3">
        <v>0</v>
      </c>
    </row>
    <row r="1763" spans="1:5" x14ac:dyDescent="0.2">
      <c r="A1763">
        <v>10926</v>
      </c>
      <c r="B1763">
        <v>72</v>
      </c>
      <c r="C1763" s="2">
        <v>34.799999999999997</v>
      </c>
      <c r="D1763" s="2">
        <v>10</v>
      </c>
      <c r="E1763" s="3">
        <v>0</v>
      </c>
    </row>
    <row r="1764" spans="1:5" x14ac:dyDescent="0.2">
      <c r="A1764">
        <v>10927</v>
      </c>
      <c r="B1764">
        <v>20</v>
      </c>
      <c r="C1764" s="2">
        <v>81</v>
      </c>
      <c r="D1764" s="2">
        <v>5</v>
      </c>
      <c r="E1764" s="3">
        <v>0</v>
      </c>
    </row>
    <row r="1765" spans="1:5" x14ac:dyDescent="0.2">
      <c r="A1765">
        <v>10927</v>
      </c>
      <c r="B1765">
        <v>52</v>
      </c>
      <c r="C1765" s="2">
        <v>7</v>
      </c>
      <c r="D1765" s="2">
        <v>5</v>
      </c>
      <c r="E1765" s="3">
        <v>0</v>
      </c>
    </row>
    <row r="1766" spans="1:5" x14ac:dyDescent="0.2">
      <c r="A1766">
        <v>10927</v>
      </c>
      <c r="B1766">
        <v>76</v>
      </c>
      <c r="C1766" s="2">
        <v>18</v>
      </c>
      <c r="D1766" s="2">
        <v>20</v>
      </c>
      <c r="E1766" s="3">
        <v>0</v>
      </c>
    </row>
    <row r="1767" spans="1:5" x14ac:dyDescent="0.2">
      <c r="A1767">
        <v>10928</v>
      </c>
      <c r="B1767">
        <v>47</v>
      </c>
      <c r="C1767" s="2">
        <v>9.5</v>
      </c>
      <c r="D1767" s="2">
        <v>5</v>
      </c>
      <c r="E1767" s="3">
        <v>0</v>
      </c>
    </row>
    <row r="1768" spans="1:5" x14ac:dyDescent="0.2">
      <c r="A1768">
        <v>10928</v>
      </c>
      <c r="B1768">
        <v>76</v>
      </c>
      <c r="C1768" s="2">
        <v>18</v>
      </c>
      <c r="D1768" s="2">
        <v>5</v>
      </c>
      <c r="E1768" s="3">
        <v>0</v>
      </c>
    </row>
    <row r="1769" spans="1:5" x14ac:dyDescent="0.2">
      <c r="A1769">
        <v>10929</v>
      </c>
      <c r="B1769">
        <v>21</v>
      </c>
      <c r="C1769" s="2">
        <v>10</v>
      </c>
      <c r="D1769" s="2">
        <v>60</v>
      </c>
      <c r="E1769" s="3">
        <v>0</v>
      </c>
    </row>
    <row r="1770" spans="1:5" x14ac:dyDescent="0.2">
      <c r="A1770">
        <v>10929</v>
      </c>
      <c r="B1770">
        <v>75</v>
      </c>
      <c r="C1770" s="2">
        <v>7.75</v>
      </c>
      <c r="D1770" s="2">
        <v>49</v>
      </c>
      <c r="E1770" s="3">
        <v>0</v>
      </c>
    </row>
    <row r="1771" spans="1:5" x14ac:dyDescent="0.2">
      <c r="A1771">
        <v>10929</v>
      </c>
      <c r="B1771">
        <v>77</v>
      </c>
      <c r="C1771" s="2">
        <v>13</v>
      </c>
      <c r="D1771" s="2">
        <v>15</v>
      </c>
      <c r="E1771" s="3">
        <v>0</v>
      </c>
    </row>
    <row r="1772" spans="1:5" x14ac:dyDescent="0.2">
      <c r="A1772">
        <v>10930</v>
      </c>
      <c r="B1772">
        <v>21</v>
      </c>
      <c r="C1772" s="2">
        <v>10</v>
      </c>
      <c r="D1772" s="2">
        <v>36</v>
      </c>
      <c r="E1772" s="3">
        <v>0</v>
      </c>
    </row>
    <row r="1773" spans="1:5" x14ac:dyDescent="0.2">
      <c r="A1773">
        <v>10930</v>
      </c>
      <c r="B1773">
        <v>27</v>
      </c>
      <c r="C1773" s="2">
        <v>43.9</v>
      </c>
      <c r="D1773" s="2">
        <v>25</v>
      </c>
      <c r="E1773" s="3">
        <v>0</v>
      </c>
    </row>
    <row r="1774" spans="1:5" x14ac:dyDescent="0.2">
      <c r="A1774">
        <v>10930</v>
      </c>
      <c r="B1774">
        <v>55</v>
      </c>
      <c r="C1774" s="2">
        <v>24</v>
      </c>
      <c r="D1774" s="2">
        <v>25</v>
      </c>
      <c r="E1774" s="3">
        <v>0.2</v>
      </c>
    </row>
    <row r="1775" spans="1:5" x14ac:dyDescent="0.2">
      <c r="A1775">
        <v>10930</v>
      </c>
      <c r="B1775">
        <v>58</v>
      </c>
      <c r="C1775" s="2">
        <v>13.25</v>
      </c>
      <c r="D1775" s="2">
        <v>30</v>
      </c>
      <c r="E1775" s="3">
        <v>0.2</v>
      </c>
    </row>
    <row r="1776" spans="1:5" x14ac:dyDescent="0.2">
      <c r="A1776">
        <v>10931</v>
      </c>
      <c r="B1776">
        <v>13</v>
      </c>
      <c r="C1776" s="2">
        <v>6</v>
      </c>
      <c r="D1776" s="2">
        <v>42</v>
      </c>
      <c r="E1776" s="3">
        <v>0.15</v>
      </c>
    </row>
    <row r="1777" spans="1:5" x14ac:dyDescent="0.2">
      <c r="A1777">
        <v>10931</v>
      </c>
      <c r="B1777">
        <v>57</v>
      </c>
      <c r="C1777" s="2">
        <v>19.5</v>
      </c>
      <c r="D1777" s="2">
        <v>30</v>
      </c>
      <c r="E1777" s="3">
        <v>0</v>
      </c>
    </row>
    <row r="1778" spans="1:5" x14ac:dyDescent="0.2">
      <c r="A1778">
        <v>10932</v>
      </c>
      <c r="B1778">
        <v>16</v>
      </c>
      <c r="C1778" s="2">
        <v>17.45</v>
      </c>
      <c r="D1778" s="2">
        <v>30</v>
      </c>
      <c r="E1778" s="3">
        <v>0.1</v>
      </c>
    </row>
    <row r="1779" spans="1:5" x14ac:dyDescent="0.2">
      <c r="A1779">
        <v>10932</v>
      </c>
      <c r="B1779">
        <v>62</v>
      </c>
      <c r="C1779" s="2">
        <v>49.3</v>
      </c>
      <c r="D1779" s="2">
        <v>14</v>
      </c>
      <c r="E1779" s="3">
        <v>0.1</v>
      </c>
    </row>
    <row r="1780" spans="1:5" x14ac:dyDescent="0.2">
      <c r="A1780">
        <v>10932</v>
      </c>
      <c r="B1780">
        <v>72</v>
      </c>
      <c r="C1780" s="2">
        <v>34.799999999999997</v>
      </c>
      <c r="D1780" s="2">
        <v>16</v>
      </c>
      <c r="E1780" s="3">
        <v>0</v>
      </c>
    </row>
    <row r="1781" spans="1:5" x14ac:dyDescent="0.2">
      <c r="A1781">
        <v>10932</v>
      </c>
      <c r="B1781">
        <v>75</v>
      </c>
      <c r="C1781" s="2">
        <v>7.75</v>
      </c>
      <c r="D1781" s="2">
        <v>20</v>
      </c>
      <c r="E1781" s="3">
        <v>0.1</v>
      </c>
    </row>
    <row r="1782" spans="1:5" x14ac:dyDescent="0.2">
      <c r="A1782">
        <v>10933</v>
      </c>
      <c r="B1782">
        <v>53</v>
      </c>
      <c r="C1782" s="2">
        <v>32.799999999999997</v>
      </c>
      <c r="D1782" s="2">
        <v>2</v>
      </c>
      <c r="E1782" s="3">
        <v>0</v>
      </c>
    </row>
    <row r="1783" spans="1:5" x14ac:dyDescent="0.2">
      <c r="A1783">
        <v>10933</v>
      </c>
      <c r="B1783">
        <v>61</v>
      </c>
      <c r="C1783" s="2">
        <v>28.5</v>
      </c>
      <c r="D1783" s="2">
        <v>30</v>
      </c>
      <c r="E1783" s="3">
        <v>0</v>
      </c>
    </row>
    <row r="1784" spans="1:5" x14ac:dyDescent="0.2">
      <c r="A1784">
        <v>10934</v>
      </c>
      <c r="B1784">
        <v>6</v>
      </c>
      <c r="C1784" s="2">
        <v>25</v>
      </c>
      <c r="D1784" s="2">
        <v>20</v>
      </c>
      <c r="E1784" s="3">
        <v>0</v>
      </c>
    </row>
    <row r="1785" spans="1:5" x14ac:dyDescent="0.2">
      <c r="A1785">
        <v>10935</v>
      </c>
      <c r="B1785">
        <v>1</v>
      </c>
      <c r="C1785" s="2">
        <v>18</v>
      </c>
      <c r="D1785" s="2">
        <v>21</v>
      </c>
      <c r="E1785" s="3">
        <v>0</v>
      </c>
    </row>
    <row r="1786" spans="1:5" x14ac:dyDescent="0.2">
      <c r="A1786">
        <v>10935</v>
      </c>
      <c r="B1786">
        <v>18</v>
      </c>
      <c r="C1786" s="2">
        <v>62.5</v>
      </c>
      <c r="D1786" s="2">
        <v>4</v>
      </c>
      <c r="E1786" s="3">
        <v>0.25</v>
      </c>
    </row>
    <row r="1787" spans="1:5" x14ac:dyDescent="0.2">
      <c r="A1787">
        <v>10935</v>
      </c>
      <c r="B1787">
        <v>23</v>
      </c>
      <c r="C1787" s="2">
        <v>9</v>
      </c>
      <c r="D1787" s="2">
        <v>8</v>
      </c>
      <c r="E1787" s="3">
        <v>0.25</v>
      </c>
    </row>
    <row r="1788" spans="1:5" x14ac:dyDescent="0.2">
      <c r="A1788">
        <v>10936</v>
      </c>
      <c r="B1788">
        <v>36</v>
      </c>
      <c r="C1788" s="2">
        <v>19</v>
      </c>
      <c r="D1788" s="2">
        <v>30</v>
      </c>
      <c r="E1788" s="3">
        <v>0.2</v>
      </c>
    </row>
    <row r="1789" spans="1:5" x14ac:dyDescent="0.2">
      <c r="A1789">
        <v>10937</v>
      </c>
      <c r="B1789">
        <v>28</v>
      </c>
      <c r="C1789" s="2">
        <v>45.6</v>
      </c>
      <c r="D1789" s="2">
        <v>8</v>
      </c>
      <c r="E1789" s="3">
        <v>0</v>
      </c>
    </row>
    <row r="1790" spans="1:5" x14ac:dyDescent="0.2">
      <c r="A1790">
        <v>10937</v>
      </c>
      <c r="B1790">
        <v>34</v>
      </c>
      <c r="C1790" s="2">
        <v>14</v>
      </c>
      <c r="D1790" s="2">
        <v>20</v>
      </c>
      <c r="E1790" s="3">
        <v>0</v>
      </c>
    </row>
    <row r="1791" spans="1:5" x14ac:dyDescent="0.2">
      <c r="A1791">
        <v>10938</v>
      </c>
      <c r="B1791">
        <v>13</v>
      </c>
      <c r="C1791" s="2">
        <v>6</v>
      </c>
      <c r="D1791" s="2">
        <v>20</v>
      </c>
      <c r="E1791" s="3">
        <v>0.25</v>
      </c>
    </row>
    <row r="1792" spans="1:5" x14ac:dyDescent="0.2">
      <c r="A1792">
        <v>10938</v>
      </c>
      <c r="B1792">
        <v>43</v>
      </c>
      <c r="C1792" s="2">
        <v>46</v>
      </c>
      <c r="D1792" s="2">
        <v>24</v>
      </c>
      <c r="E1792" s="3">
        <v>0.25</v>
      </c>
    </row>
    <row r="1793" spans="1:5" x14ac:dyDescent="0.2">
      <c r="A1793">
        <v>10938</v>
      </c>
      <c r="B1793">
        <v>60</v>
      </c>
      <c r="C1793" s="2">
        <v>34</v>
      </c>
      <c r="D1793" s="2">
        <v>49</v>
      </c>
      <c r="E1793" s="3">
        <v>0.25</v>
      </c>
    </row>
    <row r="1794" spans="1:5" x14ac:dyDescent="0.2">
      <c r="A1794">
        <v>10938</v>
      </c>
      <c r="B1794">
        <v>71</v>
      </c>
      <c r="C1794" s="2">
        <v>21.5</v>
      </c>
      <c r="D1794" s="2">
        <v>35</v>
      </c>
      <c r="E1794" s="3">
        <v>0.25</v>
      </c>
    </row>
    <row r="1795" spans="1:5" x14ac:dyDescent="0.2">
      <c r="A1795">
        <v>10939</v>
      </c>
      <c r="B1795">
        <v>2</v>
      </c>
      <c r="C1795" s="2">
        <v>19</v>
      </c>
      <c r="D1795" s="2">
        <v>10</v>
      </c>
      <c r="E1795" s="3">
        <v>0.15</v>
      </c>
    </row>
    <row r="1796" spans="1:5" x14ac:dyDescent="0.2">
      <c r="A1796">
        <v>10939</v>
      </c>
      <c r="B1796">
        <v>67</v>
      </c>
      <c r="C1796" s="2">
        <v>14</v>
      </c>
      <c r="D1796" s="2">
        <v>40</v>
      </c>
      <c r="E1796" s="3">
        <v>0.15</v>
      </c>
    </row>
    <row r="1797" spans="1:5" x14ac:dyDescent="0.2">
      <c r="A1797">
        <v>10940</v>
      </c>
      <c r="B1797">
        <v>7</v>
      </c>
      <c r="C1797" s="2">
        <v>30</v>
      </c>
      <c r="D1797" s="2">
        <v>8</v>
      </c>
      <c r="E1797" s="3">
        <v>0</v>
      </c>
    </row>
    <row r="1798" spans="1:5" x14ac:dyDescent="0.2">
      <c r="A1798">
        <v>10940</v>
      </c>
      <c r="B1798">
        <v>13</v>
      </c>
      <c r="C1798" s="2">
        <v>6</v>
      </c>
      <c r="D1798" s="2">
        <v>20</v>
      </c>
      <c r="E1798" s="3">
        <v>0</v>
      </c>
    </row>
    <row r="1799" spans="1:5" x14ac:dyDescent="0.2">
      <c r="A1799">
        <v>10941</v>
      </c>
      <c r="B1799">
        <v>31</v>
      </c>
      <c r="C1799" s="2">
        <v>12.5</v>
      </c>
      <c r="D1799" s="2">
        <v>44</v>
      </c>
      <c r="E1799" s="3">
        <v>0.25</v>
      </c>
    </row>
    <row r="1800" spans="1:5" x14ac:dyDescent="0.2">
      <c r="A1800">
        <v>10941</v>
      </c>
      <c r="B1800">
        <v>62</v>
      </c>
      <c r="C1800" s="2">
        <v>49.3</v>
      </c>
      <c r="D1800" s="2">
        <v>30</v>
      </c>
      <c r="E1800" s="3">
        <v>0.25</v>
      </c>
    </row>
    <row r="1801" spans="1:5" x14ac:dyDescent="0.2">
      <c r="A1801">
        <v>10941</v>
      </c>
      <c r="B1801">
        <v>68</v>
      </c>
      <c r="C1801" s="2">
        <v>12.5</v>
      </c>
      <c r="D1801" s="2">
        <v>80</v>
      </c>
      <c r="E1801" s="3">
        <v>0.25</v>
      </c>
    </row>
    <row r="1802" spans="1:5" x14ac:dyDescent="0.2">
      <c r="A1802">
        <v>10941</v>
      </c>
      <c r="B1802">
        <v>72</v>
      </c>
      <c r="C1802" s="2">
        <v>34.799999999999997</v>
      </c>
      <c r="D1802" s="2">
        <v>50</v>
      </c>
      <c r="E1802" s="3">
        <v>0</v>
      </c>
    </row>
    <row r="1803" spans="1:5" x14ac:dyDescent="0.2">
      <c r="A1803">
        <v>10942</v>
      </c>
      <c r="B1803">
        <v>49</v>
      </c>
      <c r="C1803" s="2">
        <v>20</v>
      </c>
      <c r="D1803" s="2">
        <v>28</v>
      </c>
      <c r="E1803" s="3">
        <v>0</v>
      </c>
    </row>
    <row r="1804" spans="1:5" x14ac:dyDescent="0.2">
      <c r="A1804">
        <v>10943</v>
      </c>
      <c r="B1804">
        <v>13</v>
      </c>
      <c r="C1804" s="2">
        <v>6</v>
      </c>
      <c r="D1804" s="2">
        <v>15</v>
      </c>
      <c r="E1804" s="3">
        <v>0</v>
      </c>
    </row>
    <row r="1805" spans="1:5" x14ac:dyDescent="0.2">
      <c r="A1805">
        <v>10943</v>
      </c>
      <c r="B1805">
        <v>22</v>
      </c>
      <c r="C1805" s="2">
        <v>21</v>
      </c>
      <c r="D1805" s="2">
        <v>21</v>
      </c>
      <c r="E1805" s="3">
        <v>0</v>
      </c>
    </row>
    <row r="1806" spans="1:5" x14ac:dyDescent="0.2">
      <c r="A1806">
        <v>10943</v>
      </c>
      <c r="B1806">
        <v>46</v>
      </c>
      <c r="C1806" s="2">
        <v>12</v>
      </c>
      <c r="D1806" s="2">
        <v>15</v>
      </c>
      <c r="E1806" s="3">
        <v>0</v>
      </c>
    </row>
    <row r="1807" spans="1:5" x14ac:dyDescent="0.2">
      <c r="A1807">
        <v>10944</v>
      </c>
      <c r="B1807">
        <v>11</v>
      </c>
      <c r="C1807" s="2">
        <v>21</v>
      </c>
      <c r="D1807" s="2">
        <v>5</v>
      </c>
      <c r="E1807" s="3">
        <v>0.25</v>
      </c>
    </row>
    <row r="1808" spans="1:5" x14ac:dyDescent="0.2">
      <c r="A1808">
        <v>10944</v>
      </c>
      <c r="B1808">
        <v>44</v>
      </c>
      <c r="C1808" s="2">
        <v>19.45</v>
      </c>
      <c r="D1808" s="2">
        <v>18</v>
      </c>
      <c r="E1808" s="3">
        <v>0.25</v>
      </c>
    </row>
    <row r="1809" spans="1:5" x14ac:dyDescent="0.2">
      <c r="A1809">
        <v>10944</v>
      </c>
      <c r="B1809">
        <v>56</v>
      </c>
      <c r="C1809" s="2">
        <v>38</v>
      </c>
      <c r="D1809" s="2">
        <v>18</v>
      </c>
      <c r="E1809" s="3">
        <v>0</v>
      </c>
    </row>
    <row r="1810" spans="1:5" x14ac:dyDescent="0.2">
      <c r="A1810">
        <v>10945</v>
      </c>
      <c r="B1810">
        <v>13</v>
      </c>
      <c r="C1810" s="2">
        <v>6</v>
      </c>
      <c r="D1810" s="2">
        <v>20</v>
      </c>
      <c r="E1810" s="3">
        <v>0</v>
      </c>
    </row>
    <row r="1811" spans="1:5" x14ac:dyDescent="0.2">
      <c r="A1811">
        <v>10945</v>
      </c>
      <c r="B1811">
        <v>31</v>
      </c>
      <c r="C1811" s="2">
        <v>12.5</v>
      </c>
      <c r="D1811" s="2">
        <v>10</v>
      </c>
      <c r="E1811" s="3">
        <v>0</v>
      </c>
    </row>
    <row r="1812" spans="1:5" x14ac:dyDescent="0.2">
      <c r="A1812">
        <v>10946</v>
      </c>
      <c r="B1812">
        <v>10</v>
      </c>
      <c r="C1812" s="2">
        <v>31</v>
      </c>
      <c r="D1812" s="2">
        <v>25</v>
      </c>
      <c r="E1812" s="3">
        <v>0</v>
      </c>
    </row>
    <row r="1813" spans="1:5" x14ac:dyDescent="0.2">
      <c r="A1813">
        <v>10946</v>
      </c>
      <c r="B1813">
        <v>24</v>
      </c>
      <c r="C1813" s="2">
        <v>4.5</v>
      </c>
      <c r="D1813" s="2">
        <v>25</v>
      </c>
      <c r="E1813" s="3">
        <v>0</v>
      </c>
    </row>
    <row r="1814" spans="1:5" x14ac:dyDescent="0.2">
      <c r="A1814">
        <v>10946</v>
      </c>
      <c r="B1814">
        <v>77</v>
      </c>
      <c r="C1814" s="2">
        <v>13</v>
      </c>
      <c r="D1814" s="2">
        <v>40</v>
      </c>
      <c r="E1814" s="3">
        <v>0</v>
      </c>
    </row>
    <row r="1815" spans="1:5" x14ac:dyDescent="0.2">
      <c r="A1815">
        <v>10947</v>
      </c>
      <c r="B1815">
        <v>59</v>
      </c>
      <c r="C1815" s="2">
        <v>55</v>
      </c>
      <c r="D1815" s="2">
        <v>4</v>
      </c>
      <c r="E1815" s="3">
        <v>0</v>
      </c>
    </row>
    <row r="1816" spans="1:5" x14ac:dyDescent="0.2">
      <c r="A1816">
        <v>10948</v>
      </c>
      <c r="B1816">
        <v>50</v>
      </c>
      <c r="C1816" s="2">
        <v>16.25</v>
      </c>
      <c r="D1816" s="2">
        <v>9</v>
      </c>
      <c r="E1816" s="3">
        <v>0</v>
      </c>
    </row>
    <row r="1817" spans="1:5" x14ac:dyDescent="0.2">
      <c r="A1817">
        <v>10948</v>
      </c>
      <c r="B1817">
        <v>51</v>
      </c>
      <c r="C1817" s="2">
        <v>53</v>
      </c>
      <c r="D1817" s="2">
        <v>40</v>
      </c>
      <c r="E1817" s="3">
        <v>0</v>
      </c>
    </row>
    <row r="1818" spans="1:5" x14ac:dyDescent="0.2">
      <c r="A1818">
        <v>10948</v>
      </c>
      <c r="B1818">
        <v>55</v>
      </c>
      <c r="C1818" s="2">
        <v>24</v>
      </c>
      <c r="D1818" s="2">
        <v>4</v>
      </c>
      <c r="E1818" s="3">
        <v>0</v>
      </c>
    </row>
    <row r="1819" spans="1:5" x14ac:dyDescent="0.2">
      <c r="A1819">
        <v>10949</v>
      </c>
      <c r="B1819">
        <v>6</v>
      </c>
      <c r="C1819" s="2">
        <v>25</v>
      </c>
      <c r="D1819" s="2">
        <v>12</v>
      </c>
      <c r="E1819" s="3">
        <v>0</v>
      </c>
    </row>
    <row r="1820" spans="1:5" x14ac:dyDescent="0.2">
      <c r="A1820">
        <v>10949</v>
      </c>
      <c r="B1820">
        <v>10</v>
      </c>
      <c r="C1820" s="2">
        <v>31</v>
      </c>
      <c r="D1820" s="2">
        <v>30</v>
      </c>
      <c r="E1820" s="3">
        <v>0</v>
      </c>
    </row>
    <row r="1821" spans="1:5" x14ac:dyDescent="0.2">
      <c r="A1821">
        <v>10949</v>
      </c>
      <c r="B1821">
        <v>17</v>
      </c>
      <c r="C1821" s="2">
        <v>39</v>
      </c>
      <c r="D1821" s="2">
        <v>6</v>
      </c>
      <c r="E1821" s="3">
        <v>0</v>
      </c>
    </row>
    <row r="1822" spans="1:5" x14ac:dyDescent="0.2">
      <c r="A1822">
        <v>10949</v>
      </c>
      <c r="B1822">
        <v>62</v>
      </c>
      <c r="C1822" s="2">
        <v>49.3</v>
      </c>
      <c r="D1822" s="2">
        <v>60</v>
      </c>
      <c r="E1822" s="3">
        <v>0</v>
      </c>
    </row>
    <row r="1823" spans="1:5" x14ac:dyDescent="0.2">
      <c r="A1823">
        <v>10950</v>
      </c>
      <c r="B1823">
        <v>4</v>
      </c>
      <c r="C1823" s="2">
        <v>22</v>
      </c>
      <c r="D1823" s="2">
        <v>5</v>
      </c>
      <c r="E1823" s="3">
        <v>0</v>
      </c>
    </row>
    <row r="1824" spans="1:5" x14ac:dyDescent="0.2">
      <c r="A1824">
        <v>10951</v>
      </c>
      <c r="B1824">
        <v>33</v>
      </c>
      <c r="C1824" s="2">
        <v>2.5</v>
      </c>
      <c r="D1824" s="2">
        <v>15</v>
      </c>
      <c r="E1824" s="3">
        <v>0.05</v>
      </c>
    </row>
    <row r="1825" spans="1:5" x14ac:dyDescent="0.2">
      <c r="A1825">
        <v>10951</v>
      </c>
      <c r="B1825">
        <v>41</v>
      </c>
      <c r="C1825" s="2">
        <v>9.65</v>
      </c>
      <c r="D1825" s="2">
        <v>6</v>
      </c>
      <c r="E1825" s="3">
        <v>0.05</v>
      </c>
    </row>
    <row r="1826" spans="1:5" x14ac:dyDescent="0.2">
      <c r="A1826">
        <v>10951</v>
      </c>
      <c r="B1826">
        <v>75</v>
      </c>
      <c r="C1826" s="2">
        <v>7.75</v>
      </c>
      <c r="D1826" s="2">
        <v>50</v>
      </c>
      <c r="E1826" s="3">
        <v>0.05</v>
      </c>
    </row>
    <row r="1827" spans="1:5" x14ac:dyDescent="0.2">
      <c r="A1827">
        <v>10952</v>
      </c>
      <c r="B1827">
        <v>6</v>
      </c>
      <c r="C1827" s="2">
        <v>25</v>
      </c>
      <c r="D1827" s="2">
        <v>16</v>
      </c>
      <c r="E1827" s="3">
        <v>0.05</v>
      </c>
    </row>
    <row r="1828" spans="1:5" x14ac:dyDescent="0.2">
      <c r="A1828">
        <v>10952</v>
      </c>
      <c r="B1828">
        <v>28</v>
      </c>
      <c r="C1828" s="2">
        <v>45.6</v>
      </c>
      <c r="D1828" s="2">
        <v>2</v>
      </c>
      <c r="E1828" s="3">
        <v>0</v>
      </c>
    </row>
    <row r="1829" spans="1:5" x14ac:dyDescent="0.2">
      <c r="A1829">
        <v>10953</v>
      </c>
      <c r="B1829">
        <v>20</v>
      </c>
      <c r="C1829" s="2">
        <v>81</v>
      </c>
      <c r="D1829" s="2">
        <v>50</v>
      </c>
      <c r="E1829" s="3">
        <v>0.05</v>
      </c>
    </row>
    <row r="1830" spans="1:5" x14ac:dyDescent="0.2">
      <c r="A1830">
        <v>10953</v>
      </c>
      <c r="B1830">
        <v>31</v>
      </c>
      <c r="C1830" s="2">
        <v>12.5</v>
      </c>
      <c r="D1830" s="2">
        <v>50</v>
      </c>
      <c r="E1830" s="3">
        <v>0.05</v>
      </c>
    </row>
    <row r="1831" spans="1:5" x14ac:dyDescent="0.2">
      <c r="A1831">
        <v>10954</v>
      </c>
      <c r="B1831">
        <v>16</v>
      </c>
      <c r="C1831" s="2">
        <v>17.45</v>
      </c>
      <c r="D1831" s="2">
        <v>28</v>
      </c>
      <c r="E1831" s="3">
        <v>0.15</v>
      </c>
    </row>
    <row r="1832" spans="1:5" x14ac:dyDescent="0.2">
      <c r="A1832">
        <v>10954</v>
      </c>
      <c r="B1832">
        <v>31</v>
      </c>
      <c r="C1832" s="2">
        <v>12.5</v>
      </c>
      <c r="D1832" s="2">
        <v>25</v>
      </c>
      <c r="E1832" s="3">
        <v>0.15</v>
      </c>
    </row>
    <row r="1833" spans="1:5" x14ac:dyDescent="0.2">
      <c r="A1833">
        <v>10954</v>
      </c>
      <c r="B1833">
        <v>45</v>
      </c>
      <c r="C1833" s="2">
        <v>9.5</v>
      </c>
      <c r="D1833" s="2">
        <v>30</v>
      </c>
      <c r="E1833" s="3">
        <v>0</v>
      </c>
    </row>
    <row r="1834" spans="1:5" x14ac:dyDescent="0.2">
      <c r="A1834">
        <v>10954</v>
      </c>
      <c r="B1834">
        <v>60</v>
      </c>
      <c r="C1834" s="2">
        <v>34</v>
      </c>
      <c r="D1834" s="2">
        <v>24</v>
      </c>
      <c r="E1834" s="3">
        <v>0.15</v>
      </c>
    </row>
    <row r="1835" spans="1:5" x14ac:dyDescent="0.2">
      <c r="A1835">
        <v>10955</v>
      </c>
      <c r="B1835">
        <v>75</v>
      </c>
      <c r="C1835" s="2">
        <v>7.75</v>
      </c>
      <c r="D1835" s="2">
        <v>12</v>
      </c>
      <c r="E1835" s="3">
        <v>0.2</v>
      </c>
    </row>
    <row r="1836" spans="1:5" x14ac:dyDescent="0.2">
      <c r="A1836">
        <v>10956</v>
      </c>
      <c r="B1836">
        <v>21</v>
      </c>
      <c r="C1836" s="2">
        <v>10</v>
      </c>
      <c r="D1836" s="2">
        <v>12</v>
      </c>
      <c r="E1836" s="3">
        <v>0</v>
      </c>
    </row>
    <row r="1837" spans="1:5" x14ac:dyDescent="0.2">
      <c r="A1837">
        <v>10956</v>
      </c>
      <c r="B1837">
        <v>47</v>
      </c>
      <c r="C1837" s="2">
        <v>9.5</v>
      </c>
      <c r="D1837" s="2">
        <v>14</v>
      </c>
      <c r="E1837" s="3">
        <v>0</v>
      </c>
    </row>
    <row r="1838" spans="1:5" x14ac:dyDescent="0.2">
      <c r="A1838">
        <v>10956</v>
      </c>
      <c r="B1838">
        <v>51</v>
      </c>
      <c r="C1838" s="2">
        <v>53</v>
      </c>
      <c r="D1838" s="2">
        <v>8</v>
      </c>
      <c r="E1838" s="3">
        <v>0</v>
      </c>
    </row>
    <row r="1839" spans="1:5" x14ac:dyDescent="0.2">
      <c r="A1839">
        <v>10957</v>
      </c>
      <c r="B1839">
        <v>30</v>
      </c>
      <c r="C1839" s="2">
        <v>25.89</v>
      </c>
      <c r="D1839" s="2">
        <v>30</v>
      </c>
      <c r="E1839" s="3">
        <v>0</v>
      </c>
    </row>
    <row r="1840" spans="1:5" x14ac:dyDescent="0.2">
      <c r="A1840">
        <v>10957</v>
      </c>
      <c r="B1840">
        <v>35</v>
      </c>
      <c r="C1840" s="2">
        <v>18</v>
      </c>
      <c r="D1840" s="2">
        <v>40</v>
      </c>
      <c r="E1840" s="3">
        <v>0</v>
      </c>
    </row>
    <row r="1841" spans="1:5" x14ac:dyDescent="0.2">
      <c r="A1841">
        <v>10957</v>
      </c>
      <c r="B1841">
        <v>64</v>
      </c>
      <c r="C1841" s="2">
        <v>33.25</v>
      </c>
      <c r="D1841" s="2">
        <v>8</v>
      </c>
      <c r="E1841" s="3">
        <v>0</v>
      </c>
    </row>
    <row r="1842" spans="1:5" x14ac:dyDescent="0.2">
      <c r="A1842">
        <v>10958</v>
      </c>
      <c r="B1842">
        <v>5</v>
      </c>
      <c r="C1842" s="2">
        <v>21.35</v>
      </c>
      <c r="D1842" s="2">
        <v>20</v>
      </c>
      <c r="E1842" s="3">
        <v>0</v>
      </c>
    </row>
    <row r="1843" spans="1:5" x14ac:dyDescent="0.2">
      <c r="A1843">
        <v>10958</v>
      </c>
      <c r="B1843">
        <v>7</v>
      </c>
      <c r="C1843" s="2">
        <v>30</v>
      </c>
      <c r="D1843" s="2">
        <v>6</v>
      </c>
      <c r="E1843" s="3">
        <v>0</v>
      </c>
    </row>
    <row r="1844" spans="1:5" x14ac:dyDescent="0.2">
      <c r="A1844">
        <v>10958</v>
      </c>
      <c r="B1844">
        <v>72</v>
      </c>
      <c r="C1844" s="2">
        <v>34.799999999999997</v>
      </c>
      <c r="D1844" s="2">
        <v>5</v>
      </c>
      <c r="E1844" s="3">
        <v>0</v>
      </c>
    </row>
    <row r="1845" spans="1:5" x14ac:dyDescent="0.2">
      <c r="A1845">
        <v>10959</v>
      </c>
      <c r="B1845">
        <v>75</v>
      </c>
      <c r="C1845" s="2">
        <v>7.75</v>
      </c>
      <c r="D1845" s="2">
        <v>20</v>
      </c>
      <c r="E1845" s="3">
        <v>0.15</v>
      </c>
    </row>
    <row r="1846" spans="1:5" x14ac:dyDescent="0.2">
      <c r="A1846">
        <v>10960</v>
      </c>
      <c r="B1846">
        <v>24</v>
      </c>
      <c r="C1846" s="2">
        <v>4.5</v>
      </c>
      <c r="D1846" s="2">
        <v>10</v>
      </c>
      <c r="E1846" s="3">
        <v>0.25</v>
      </c>
    </row>
    <row r="1847" spans="1:5" x14ac:dyDescent="0.2">
      <c r="A1847">
        <v>10960</v>
      </c>
      <c r="B1847">
        <v>41</v>
      </c>
      <c r="C1847" s="2">
        <v>9.65</v>
      </c>
      <c r="D1847" s="2">
        <v>24</v>
      </c>
      <c r="E1847" s="3">
        <v>0</v>
      </c>
    </row>
    <row r="1848" spans="1:5" x14ac:dyDescent="0.2">
      <c r="A1848">
        <v>10961</v>
      </c>
      <c r="B1848">
        <v>52</v>
      </c>
      <c r="C1848" s="2">
        <v>7</v>
      </c>
      <c r="D1848" s="2">
        <v>6</v>
      </c>
      <c r="E1848" s="3">
        <v>0.05</v>
      </c>
    </row>
    <row r="1849" spans="1:5" x14ac:dyDescent="0.2">
      <c r="A1849">
        <v>10961</v>
      </c>
      <c r="B1849">
        <v>76</v>
      </c>
      <c r="C1849" s="2">
        <v>18</v>
      </c>
      <c r="D1849" s="2">
        <v>60</v>
      </c>
      <c r="E1849" s="3">
        <v>0</v>
      </c>
    </row>
    <row r="1850" spans="1:5" x14ac:dyDescent="0.2">
      <c r="A1850">
        <v>10962</v>
      </c>
      <c r="B1850">
        <v>7</v>
      </c>
      <c r="C1850" s="2">
        <v>30</v>
      </c>
      <c r="D1850" s="2">
        <v>45</v>
      </c>
      <c r="E1850" s="3">
        <v>0</v>
      </c>
    </row>
    <row r="1851" spans="1:5" x14ac:dyDescent="0.2">
      <c r="A1851">
        <v>10962</v>
      </c>
      <c r="B1851">
        <v>13</v>
      </c>
      <c r="C1851" s="2">
        <v>6</v>
      </c>
      <c r="D1851" s="2">
        <v>77</v>
      </c>
      <c r="E1851" s="3">
        <v>0</v>
      </c>
    </row>
    <row r="1852" spans="1:5" x14ac:dyDescent="0.2">
      <c r="A1852">
        <v>10962</v>
      </c>
      <c r="B1852">
        <v>53</v>
      </c>
      <c r="C1852" s="2">
        <v>32.799999999999997</v>
      </c>
      <c r="D1852" s="2">
        <v>20</v>
      </c>
      <c r="E1852" s="3">
        <v>0</v>
      </c>
    </row>
    <row r="1853" spans="1:5" x14ac:dyDescent="0.2">
      <c r="A1853">
        <v>10962</v>
      </c>
      <c r="B1853">
        <v>69</v>
      </c>
      <c r="C1853" s="2">
        <v>36</v>
      </c>
      <c r="D1853" s="2">
        <v>9</v>
      </c>
      <c r="E1853" s="3">
        <v>0</v>
      </c>
    </row>
    <row r="1854" spans="1:5" x14ac:dyDescent="0.2">
      <c r="A1854">
        <v>10962</v>
      </c>
      <c r="B1854">
        <v>76</v>
      </c>
      <c r="C1854" s="2">
        <v>18</v>
      </c>
      <c r="D1854" s="2">
        <v>44</v>
      </c>
      <c r="E1854" s="3">
        <v>0</v>
      </c>
    </row>
    <row r="1855" spans="1:5" x14ac:dyDescent="0.2">
      <c r="A1855">
        <v>10963</v>
      </c>
      <c r="B1855">
        <v>60</v>
      </c>
      <c r="C1855" s="2">
        <v>34</v>
      </c>
      <c r="D1855" s="2">
        <v>2</v>
      </c>
      <c r="E1855" s="3">
        <v>0.15</v>
      </c>
    </row>
    <row r="1856" spans="1:5" x14ac:dyDescent="0.2">
      <c r="A1856">
        <v>10964</v>
      </c>
      <c r="B1856">
        <v>18</v>
      </c>
      <c r="C1856" s="2">
        <v>62.5</v>
      </c>
      <c r="D1856" s="2">
        <v>6</v>
      </c>
      <c r="E1856" s="3">
        <v>0</v>
      </c>
    </row>
    <row r="1857" spans="1:5" x14ac:dyDescent="0.2">
      <c r="A1857">
        <v>10964</v>
      </c>
      <c r="B1857">
        <v>38</v>
      </c>
      <c r="C1857" s="2">
        <v>263.5</v>
      </c>
      <c r="D1857" s="2">
        <v>5</v>
      </c>
      <c r="E1857" s="3">
        <v>0</v>
      </c>
    </row>
    <row r="1858" spans="1:5" x14ac:dyDescent="0.2">
      <c r="A1858">
        <v>10964</v>
      </c>
      <c r="B1858">
        <v>69</v>
      </c>
      <c r="C1858" s="2">
        <v>36</v>
      </c>
      <c r="D1858" s="2">
        <v>10</v>
      </c>
      <c r="E1858" s="3">
        <v>0</v>
      </c>
    </row>
    <row r="1859" spans="1:5" x14ac:dyDescent="0.2">
      <c r="A1859">
        <v>10965</v>
      </c>
      <c r="B1859">
        <v>51</v>
      </c>
      <c r="C1859" s="2">
        <v>53</v>
      </c>
      <c r="D1859" s="2">
        <v>16</v>
      </c>
      <c r="E1859" s="3">
        <v>0</v>
      </c>
    </row>
    <row r="1860" spans="1:5" x14ac:dyDescent="0.2">
      <c r="A1860">
        <v>10966</v>
      </c>
      <c r="B1860">
        <v>37</v>
      </c>
      <c r="C1860" s="2">
        <v>26</v>
      </c>
      <c r="D1860" s="2">
        <v>8</v>
      </c>
      <c r="E1860" s="3">
        <v>0</v>
      </c>
    </row>
    <row r="1861" spans="1:5" x14ac:dyDescent="0.2">
      <c r="A1861">
        <v>10966</v>
      </c>
      <c r="B1861">
        <v>56</v>
      </c>
      <c r="C1861" s="2">
        <v>38</v>
      </c>
      <c r="D1861" s="2">
        <v>12</v>
      </c>
      <c r="E1861" s="3">
        <v>0.15</v>
      </c>
    </row>
    <row r="1862" spans="1:5" x14ac:dyDescent="0.2">
      <c r="A1862">
        <v>10966</v>
      </c>
      <c r="B1862">
        <v>62</v>
      </c>
      <c r="C1862" s="2">
        <v>49.3</v>
      </c>
      <c r="D1862" s="2">
        <v>12</v>
      </c>
      <c r="E1862" s="3">
        <v>0.15</v>
      </c>
    </row>
    <row r="1863" spans="1:5" x14ac:dyDescent="0.2">
      <c r="A1863">
        <v>10967</v>
      </c>
      <c r="B1863">
        <v>19</v>
      </c>
      <c r="C1863" s="2">
        <v>9.1999999999999993</v>
      </c>
      <c r="D1863" s="2">
        <v>12</v>
      </c>
      <c r="E1863" s="3">
        <v>0</v>
      </c>
    </row>
    <row r="1864" spans="1:5" x14ac:dyDescent="0.2">
      <c r="A1864">
        <v>10967</v>
      </c>
      <c r="B1864">
        <v>49</v>
      </c>
      <c r="C1864" s="2">
        <v>20</v>
      </c>
      <c r="D1864" s="2">
        <v>40</v>
      </c>
      <c r="E1864" s="3">
        <v>0</v>
      </c>
    </row>
    <row r="1865" spans="1:5" x14ac:dyDescent="0.2">
      <c r="A1865">
        <v>10968</v>
      </c>
      <c r="B1865">
        <v>12</v>
      </c>
      <c r="C1865" s="2">
        <v>38</v>
      </c>
      <c r="D1865" s="2">
        <v>30</v>
      </c>
      <c r="E1865" s="3">
        <v>0</v>
      </c>
    </row>
    <row r="1866" spans="1:5" x14ac:dyDescent="0.2">
      <c r="A1866">
        <v>10968</v>
      </c>
      <c r="B1866">
        <v>24</v>
      </c>
      <c r="C1866" s="2">
        <v>4.5</v>
      </c>
      <c r="D1866" s="2">
        <v>30</v>
      </c>
      <c r="E1866" s="3">
        <v>0</v>
      </c>
    </row>
    <row r="1867" spans="1:5" x14ac:dyDescent="0.2">
      <c r="A1867">
        <v>10968</v>
      </c>
      <c r="B1867">
        <v>64</v>
      </c>
      <c r="C1867" s="2">
        <v>33.25</v>
      </c>
      <c r="D1867" s="2">
        <v>4</v>
      </c>
      <c r="E1867" s="3">
        <v>0</v>
      </c>
    </row>
    <row r="1868" spans="1:5" x14ac:dyDescent="0.2">
      <c r="A1868">
        <v>10969</v>
      </c>
      <c r="B1868">
        <v>46</v>
      </c>
      <c r="C1868" s="2">
        <v>12</v>
      </c>
      <c r="D1868" s="2">
        <v>9</v>
      </c>
      <c r="E1868" s="3">
        <v>0</v>
      </c>
    </row>
    <row r="1869" spans="1:5" x14ac:dyDescent="0.2">
      <c r="A1869">
        <v>10970</v>
      </c>
      <c r="B1869">
        <v>52</v>
      </c>
      <c r="C1869" s="2">
        <v>7</v>
      </c>
      <c r="D1869" s="2">
        <v>40</v>
      </c>
      <c r="E1869" s="3">
        <v>0.2</v>
      </c>
    </row>
    <row r="1870" spans="1:5" x14ac:dyDescent="0.2">
      <c r="A1870">
        <v>10971</v>
      </c>
      <c r="B1870">
        <v>29</v>
      </c>
      <c r="C1870" s="2">
        <v>123.79</v>
      </c>
      <c r="D1870" s="2">
        <v>14</v>
      </c>
      <c r="E1870" s="3">
        <v>0</v>
      </c>
    </row>
    <row r="1871" spans="1:5" x14ac:dyDescent="0.2">
      <c r="A1871">
        <v>10972</v>
      </c>
      <c r="B1871">
        <v>17</v>
      </c>
      <c r="C1871" s="2">
        <v>39</v>
      </c>
      <c r="D1871" s="2">
        <v>6</v>
      </c>
      <c r="E1871" s="3">
        <v>0</v>
      </c>
    </row>
    <row r="1872" spans="1:5" x14ac:dyDescent="0.2">
      <c r="A1872">
        <v>10972</v>
      </c>
      <c r="B1872">
        <v>33</v>
      </c>
      <c r="C1872" s="2">
        <v>2.5</v>
      </c>
      <c r="D1872" s="2">
        <v>7</v>
      </c>
      <c r="E1872" s="3">
        <v>0</v>
      </c>
    </row>
    <row r="1873" spans="1:5" x14ac:dyDescent="0.2">
      <c r="A1873">
        <v>10973</v>
      </c>
      <c r="B1873">
        <v>26</v>
      </c>
      <c r="C1873" s="2">
        <v>31.23</v>
      </c>
      <c r="D1873" s="2">
        <v>5</v>
      </c>
      <c r="E1873" s="3">
        <v>0</v>
      </c>
    </row>
    <row r="1874" spans="1:5" x14ac:dyDescent="0.2">
      <c r="A1874">
        <v>10973</v>
      </c>
      <c r="B1874">
        <v>41</v>
      </c>
      <c r="C1874" s="2">
        <v>9.65</v>
      </c>
      <c r="D1874" s="2">
        <v>6</v>
      </c>
      <c r="E1874" s="3">
        <v>0</v>
      </c>
    </row>
    <row r="1875" spans="1:5" x14ac:dyDescent="0.2">
      <c r="A1875">
        <v>10973</v>
      </c>
      <c r="B1875">
        <v>75</v>
      </c>
      <c r="C1875" s="2">
        <v>7.75</v>
      </c>
      <c r="D1875" s="2">
        <v>10</v>
      </c>
      <c r="E1875" s="3">
        <v>0</v>
      </c>
    </row>
    <row r="1876" spans="1:5" x14ac:dyDescent="0.2">
      <c r="A1876">
        <v>10974</v>
      </c>
      <c r="B1876">
        <v>63</v>
      </c>
      <c r="C1876" s="2">
        <v>43.9</v>
      </c>
      <c r="D1876" s="2">
        <v>10</v>
      </c>
      <c r="E1876" s="3">
        <v>0</v>
      </c>
    </row>
    <row r="1877" spans="1:5" x14ac:dyDescent="0.2">
      <c r="A1877">
        <v>10975</v>
      </c>
      <c r="B1877">
        <v>8</v>
      </c>
      <c r="C1877" s="2">
        <v>40</v>
      </c>
      <c r="D1877" s="2">
        <v>16</v>
      </c>
      <c r="E1877" s="3">
        <v>0</v>
      </c>
    </row>
    <row r="1878" spans="1:5" x14ac:dyDescent="0.2">
      <c r="A1878">
        <v>10975</v>
      </c>
      <c r="B1878">
        <v>75</v>
      </c>
      <c r="C1878" s="2">
        <v>7.75</v>
      </c>
      <c r="D1878" s="2">
        <v>10</v>
      </c>
      <c r="E1878" s="3">
        <v>0</v>
      </c>
    </row>
    <row r="1879" spans="1:5" x14ac:dyDescent="0.2">
      <c r="A1879">
        <v>10976</v>
      </c>
      <c r="B1879">
        <v>28</v>
      </c>
      <c r="C1879" s="2">
        <v>45.6</v>
      </c>
      <c r="D1879" s="2">
        <v>20</v>
      </c>
      <c r="E1879" s="3">
        <v>0</v>
      </c>
    </row>
    <row r="1880" spans="1:5" x14ac:dyDescent="0.2">
      <c r="A1880">
        <v>10977</v>
      </c>
      <c r="B1880">
        <v>39</v>
      </c>
      <c r="C1880" s="2">
        <v>18</v>
      </c>
      <c r="D1880" s="2">
        <v>30</v>
      </c>
      <c r="E1880" s="3">
        <v>0</v>
      </c>
    </row>
    <row r="1881" spans="1:5" x14ac:dyDescent="0.2">
      <c r="A1881">
        <v>10977</v>
      </c>
      <c r="B1881">
        <v>47</v>
      </c>
      <c r="C1881" s="2">
        <v>9.5</v>
      </c>
      <c r="D1881" s="2">
        <v>30</v>
      </c>
      <c r="E1881" s="3">
        <v>0</v>
      </c>
    </row>
    <row r="1882" spans="1:5" x14ac:dyDescent="0.2">
      <c r="A1882">
        <v>10977</v>
      </c>
      <c r="B1882">
        <v>51</v>
      </c>
      <c r="C1882" s="2">
        <v>53</v>
      </c>
      <c r="D1882" s="2">
        <v>10</v>
      </c>
      <c r="E1882" s="3">
        <v>0</v>
      </c>
    </row>
    <row r="1883" spans="1:5" x14ac:dyDescent="0.2">
      <c r="A1883">
        <v>10977</v>
      </c>
      <c r="B1883">
        <v>63</v>
      </c>
      <c r="C1883" s="2">
        <v>43.9</v>
      </c>
      <c r="D1883" s="2">
        <v>20</v>
      </c>
      <c r="E1883" s="3">
        <v>0</v>
      </c>
    </row>
    <row r="1884" spans="1:5" x14ac:dyDescent="0.2">
      <c r="A1884">
        <v>10978</v>
      </c>
      <c r="B1884">
        <v>8</v>
      </c>
      <c r="C1884" s="2">
        <v>40</v>
      </c>
      <c r="D1884" s="2">
        <v>20</v>
      </c>
      <c r="E1884" s="3">
        <v>0.15</v>
      </c>
    </row>
    <row r="1885" spans="1:5" x14ac:dyDescent="0.2">
      <c r="A1885">
        <v>10978</v>
      </c>
      <c r="B1885">
        <v>21</v>
      </c>
      <c r="C1885" s="2">
        <v>10</v>
      </c>
      <c r="D1885" s="2">
        <v>40</v>
      </c>
      <c r="E1885" s="3">
        <v>0.15</v>
      </c>
    </row>
    <row r="1886" spans="1:5" x14ac:dyDescent="0.2">
      <c r="A1886">
        <v>10978</v>
      </c>
      <c r="B1886">
        <v>40</v>
      </c>
      <c r="C1886" s="2">
        <v>18.399999999999999</v>
      </c>
      <c r="D1886" s="2">
        <v>10</v>
      </c>
      <c r="E1886" s="3">
        <v>0</v>
      </c>
    </row>
    <row r="1887" spans="1:5" x14ac:dyDescent="0.2">
      <c r="A1887">
        <v>10978</v>
      </c>
      <c r="B1887">
        <v>44</v>
      </c>
      <c r="C1887" s="2">
        <v>19.45</v>
      </c>
      <c r="D1887" s="2">
        <v>6</v>
      </c>
      <c r="E1887" s="3">
        <v>0.15</v>
      </c>
    </row>
    <row r="1888" spans="1:5" x14ac:dyDescent="0.2">
      <c r="A1888">
        <v>10979</v>
      </c>
      <c r="B1888">
        <v>7</v>
      </c>
      <c r="C1888" s="2">
        <v>30</v>
      </c>
      <c r="D1888" s="2">
        <v>18</v>
      </c>
      <c r="E1888" s="3">
        <v>0</v>
      </c>
    </row>
    <row r="1889" spans="1:5" x14ac:dyDescent="0.2">
      <c r="A1889">
        <v>10979</v>
      </c>
      <c r="B1889">
        <v>12</v>
      </c>
      <c r="C1889" s="2">
        <v>38</v>
      </c>
      <c r="D1889" s="2">
        <v>20</v>
      </c>
      <c r="E1889" s="3">
        <v>0</v>
      </c>
    </row>
    <row r="1890" spans="1:5" x14ac:dyDescent="0.2">
      <c r="A1890">
        <v>10979</v>
      </c>
      <c r="B1890">
        <v>24</v>
      </c>
      <c r="C1890" s="2">
        <v>4.5</v>
      </c>
      <c r="D1890" s="2">
        <v>80</v>
      </c>
      <c r="E1890" s="3">
        <v>0</v>
      </c>
    </row>
    <row r="1891" spans="1:5" x14ac:dyDescent="0.2">
      <c r="A1891">
        <v>10979</v>
      </c>
      <c r="B1891">
        <v>27</v>
      </c>
      <c r="C1891" s="2">
        <v>43.9</v>
      </c>
      <c r="D1891" s="2">
        <v>30</v>
      </c>
      <c r="E1891" s="3">
        <v>0</v>
      </c>
    </row>
    <row r="1892" spans="1:5" x14ac:dyDescent="0.2">
      <c r="A1892">
        <v>10979</v>
      </c>
      <c r="B1892">
        <v>31</v>
      </c>
      <c r="C1892" s="2">
        <v>12.5</v>
      </c>
      <c r="D1892" s="2">
        <v>24</v>
      </c>
      <c r="E1892" s="3">
        <v>0</v>
      </c>
    </row>
    <row r="1893" spans="1:5" x14ac:dyDescent="0.2">
      <c r="A1893">
        <v>10979</v>
      </c>
      <c r="B1893">
        <v>63</v>
      </c>
      <c r="C1893" s="2">
        <v>43.9</v>
      </c>
      <c r="D1893" s="2">
        <v>35</v>
      </c>
      <c r="E1893" s="3">
        <v>0</v>
      </c>
    </row>
    <row r="1894" spans="1:5" x14ac:dyDescent="0.2">
      <c r="A1894">
        <v>10980</v>
      </c>
      <c r="B1894">
        <v>75</v>
      </c>
      <c r="C1894" s="2">
        <v>7.75</v>
      </c>
      <c r="D1894" s="2">
        <v>40</v>
      </c>
      <c r="E1894" s="3">
        <v>0.2</v>
      </c>
    </row>
    <row r="1895" spans="1:5" x14ac:dyDescent="0.2">
      <c r="A1895">
        <v>10981</v>
      </c>
      <c r="B1895">
        <v>38</v>
      </c>
      <c r="C1895" s="2">
        <v>263.5</v>
      </c>
      <c r="D1895" s="2">
        <v>60</v>
      </c>
      <c r="E1895" s="3">
        <v>0</v>
      </c>
    </row>
    <row r="1896" spans="1:5" x14ac:dyDescent="0.2">
      <c r="A1896">
        <v>10982</v>
      </c>
      <c r="B1896">
        <v>7</v>
      </c>
      <c r="C1896" s="2">
        <v>30</v>
      </c>
      <c r="D1896" s="2">
        <v>20</v>
      </c>
      <c r="E1896" s="3">
        <v>0</v>
      </c>
    </row>
    <row r="1897" spans="1:5" x14ac:dyDescent="0.2">
      <c r="A1897">
        <v>10982</v>
      </c>
      <c r="B1897">
        <v>43</v>
      </c>
      <c r="C1897" s="2">
        <v>46</v>
      </c>
      <c r="D1897" s="2">
        <v>9</v>
      </c>
      <c r="E1897" s="3">
        <v>0</v>
      </c>
    </row>
    <row r="1898" spans="1:5" x14ac:dyDescent="0.2">
      <c r="A1898">
        <v>10983</v>
      </c>
      <c r="B1898">
        <v>13</v>
      </c>
      <c r="C1898" s="2">
        <v>6</v>
      </c>
      <c r="D1898" s="2">
        <v>84</v>
      </c>
      <c r="E1898" s="3">
        <v>0.15</v>
      </c>
    </row>
    <row r="1899" spans="1:5" x14ac:dyDescent="0.2">
      <c r="A1899">
        <v>10983</v>
      </c>
      <c r="B1899">
        <v>57</v>
      </c>
      <c r="C1899" s="2">
        <v>19.5</v>
      </c>
      <c r="D1899" s="2">
        <v>15</v>
      </c>
      <c r="E1899" s="3">
        <v>0</v>
      </c>
    </row>
    <row r="1900" spans="1:5" x14ac:dyDescent="0.2">
      <c r="A1900">
        <v>10984</v>
      </c>
      <c r="B1900">
        <v>16</v>
      </c>
      <c r="C1900" s="2">
        <v>17.45</v>
      </c>
      <c r="D1900" s="2">
        <v>55</v>
      </c>
      <c r="E1900" s="3">
        <v>0</v>
      </c>
    </row>
    <row r="1901" spans="1:5" x14ac:dyDescent="0.2">
      <c r="A1901">
        <v>10984</v>
      </c>
      <c r="B1901">
        <v>24</v>
      </c>
      <c r="C1901" s="2">
        <v>4.5</v>
      </c>
      <c r="D1901" s="2">
        <v>20</v>
      </c>
      <c r="E1901" s="3">
        <v>0</v>
      </c>
    </row>
    <row r="1902" spans="1:5" x14ac:dyDescent="0.2">
      <c r="A1902">
        <v>10984</v>
      </c>
      <c r="B1902">
        <v>36</v>
      </c>
      <c r="C1902" s="2">
        <v>19</v>
      </c>
      <c r="D1902" s="2">
        <v>40</v>
      </c>
      <c r="E1902" s="3">
        <v>0</v>
      </c>
    </row>
    <row r="1903" spans="1:5" x14ac:dyDescent="0.2">
      <c r="A1903">
        <v>10985</v>
      </c>
      <c r="B1903">
        <v>16</v>
      </c>
      <c r="C1903" s="2">
        <v>17.45</v>
      </c>
      <c r="D1903" s="2">
        <v>36</v>
      </c>
      <c r="E1903" s="3">
        <v>0.1</v>
      </c>
    </row>
    <row r="1904" spans="1:5" x14ac:dyDescent="0.2">
      <c r="A1904">
        <v>10985</v>
      </c>
      <c r="B1904">
        <v>18</v>
      </c>
      <c r="C1904" s="2">
        <v>62.5</v>
      </c>
      <c r="D1904" s="2">
        <v>8</v>
      </c>
      <c r="E1904" s="3">
        <v>0.1</v>
      </c>
    </row>
    <row r="1905" spans="1:5" x14ac:dyDescent="0.2">
      <c r="A1905">
        <v>10985</v>
      </c>
      <c r="B1905">
        <v>32</v>
      </c>
      <c r="C1905" s="2">
        <v>32</v>
      </c>
      <c r="D1905" s="2">
        <v>35</v>
      </c>
      <c r="E1905" s="3">
        <v>0.1</v>
      </c>
    </row>
    <row r="1906" spans="1:5" x14ac:dyDescent="0.2">
      <c r="A1906">
        <v>10986</v>
      </c>
      <c r="B1906">
        <v>11</v>
      </c>
      <c r="C1906" s="2">
        <v>21</v>
      </c>
      <c r="D1906" s="2">
        <v>30</v>
      </c>
      <c r="E1906" s="3">
        <v>0</v>
      </c>
    </row>
    <row r="1907" spans="1:5" x14ac:dyDescent="0.2">
      <c r="A1907">
        <v>10986</v>
      </c>
      <c r="B1907">
        <v>20</v>
      </c>
      <c r="C1907" s="2">
        <v>81</v>
      </c>
      <c r="D1907" s="2">
        <v>15</v>
      </c>
      <c r="E1907" s="3">
        <v>0</v>
      </c>
    </row>
    <row r="1908" spans="1:5" x14ac:dyDescent="0.2">
      <c r="A1908">
        <v>10986</v>
      </c>
      <c r="B1908">
        <v>76</v>
      </c>
      <c r="C1908" s="2">
        <v>18</v>
      </c>
      <c r="D1908" s="2">
        <v>10</v>
      </c>
      <c r="E1908" s="3">
        <v>0</v>
      </c>
    </row>
    <row r="1909" spans="1:5" x14ac:dyDescent="0.2">
      <c r="A1909">
        <v>10986</v>
      </c>
      <c r="B1909">
        <v>77</v>
      </c>
      <c r="C1909" s="2">
        <v>13</v>
      </c>
      <c r="D1909" s="2">
        <v>15</v>
      </c>
      <c r="E1909" s="3">
        <v>0</v>
      </c>
    </row>
    <row r="1910" spans="1:5" x14ac:dyDescent="0.2">
      <c r="A1910">
        <v>10987</v>
      </c>
      <c r="B1910">
        <v>7</v>
      </c>
      <c r="C1910" s="2">
        <v>30</v>
      </c>
      <c r="D1910" s="2">
        <v>60</v>
      </c>
      <c r="E1910" s="3">
        <v>0</v>
      </c>
    </row>
    <row r="1911" spans="1:5" x14ac:dyDescent="0.2">
      <c r="A1911">
        <v>10987</v>
      </c>
      <c r="B1911">
        <v>43</v>
      </c>
      <c r="C1911" s="2">
        <v>46</v>
      </c>
      <c r="D1911" s="2">
        <v>6</v>
      </c>
      <c r="E1911" s="3">
        <v>0</v>
      </c>
    </row>
    <row r="1912" spans="1:5" x14ac:dyDescent="0.2">
      <c r="A1912">
        <v>10987</v>
      </c>
      <c r="B1912">
        <v>72</v>
      </c>
      <c r="C1912" s="2">
        <v>34.799999999999997</v>
      </c>
      <c r="D1912" s="2">
        <v>20</v>
      </c>
      <c r="E1912" s="3">
        <v>0</v>
      </c>
    </row>
    <row r="1913" spans="1:5" x14ac:dyDescent="0.2">
      <c r="A1913">
        <v>10988</v>
      </c>
      <c r="B1913">
        <v>7</v>
      </c>
      <c r="C1913" s="2">
        <v>30</v>
      </c>
      <c r="D1913" s="2">
        <v>60</v>
      </c>
      <c r="E1913" s="3">
        <v>0</v>
      </c>
    </row>
    <row r="1914" spans="1:5" x14ac:dyDescent="0.2">
      <c r="A1914">
        <v>10988</v>
      </c>
      <c r="B1914">
        <v>62</v>
      </c>
      <c r="C1914" s="2">
        <v>49.3</v>
      </c>
      <c r="D1914" s="2">
        <v>40</v>
      </c>
      <c r="E1914" s="3">
        <v>0.1</v>
      </c>
    </row>
    <row r="1915" spans="1:5" x14ac:dyDescent="0.2">
      <c r="A1915">
        <v>10989</v>
      </c>
      <c r="B1915">
        <v>6</v>
      </c>
      <c r="C1915" s="2">
        <v>25</v>
      </c>
      <c r="D1915" s="2">
        <v>40</v>
      </c>
      <c r="E1915" s="3">
        <v>0</v>
      </c>
    </row>
    <row r="1916" spans="1:5" x14ac:dyDescent="0.2">
      <c r="A1916">
        <v>10989</v>
      </c>
      <c r="B1916">
        <v>11</v>
      </c>
      <c r="C1916" s="2">
        <v>21</v>
      </c>
      <c r="D1916" s="2">
        <v>15</v>
      </c>
      <c r="E1916" s="3">
        <v>0</v>
      </c>
    </row>
    <row r="1917" spans="1:5" x14ac:dyDescent="0.2">
      <c r="A1917">
        <v>10989</v>
      </c>
      <c r="B1917">
        <v>41</v>
      </c>
      <c r="C1917" s="2">
        <v>9.65</v>
      </c>
      <c r="D1917" s="2">
        <v>4</v>
      </c>
      <c r="E1917" s="3">
        <v>0</v>
      </c>
    </row>
    <row r="1918" spans="1:5" x14ac:dyDescent="0.2">
      <c r="A1918">
        <v>10990</v>
      </c>
      <c r="B1918">
        <v>21</v>
      </c>
      <c r="C1918" s="2">
        <v>10</v>
      </c>
      <c r="D1918" s="2">
        <v>65</v>
      </c>
      <c r="E1918" s="3">
        <v>0</v>
      </c>
    </row>
    <row r="1919" spans="1:5" x14ac:dyDescent="0.2">
      <c r="A1919">
        <v>10990</v>
      </c>
      <c r="B1919">
        <v>34</v>
      </c>
      <c r="C1919" s="2">
        <v>14</v>
      </c>
      <c r="D1919" s="2">
        <v>60</v>
      </c>
      <c r="E1919" s="3">
        <v>0.15</v>
      </c>
    </row>
    <row r="1920" spans="1:5" x14ac:dyDescent="0.2">
      <c r="A1920">
        <v>10990</v>
      </c>
      <c r="B1920">
        <v>55</v>
      </c>
      <c r="C1920" s="2">
        <v>24</v>
      </c>
      <c r="D1920" s="2">
        <v>65</v>
      </c>
      <c r="E1920" s="3">
        <v>0.15</v>
      </c>
    </row>
    <row r="1921" spans="1:5" x14ac:dyDescent="0.2">
      <c r="A1921">
        <v>10990</v>
      </c>
      <c r="B1921">
        <v>61</v>
      </c>
      <c r="C1921" s="2">
        <v>28.5</v>
      </c>
      <c r="D1921" s="2">
        <v>66</v>
      </c>
      <c r="E1921" s="3">
        <v>0.15</v>
      </c>
    </row>
    <row r="1922" spans="1:5" x14ac:dyDescent="0.2">
      <c r="A1922">
        <v>10991</v>
      </c>
      <c r="B1922">
        <v>2</v>
      </c>
      <c r="C1922" s="2">
        <v>19</v>
      </c>
      <c r="D1922" s="2">
        <v>50</v>
      </c>
      <c r="E1922" s="3">
        <v>0.2</v>
      </c>
    </row>
    <row r="1923" spans="1:5" x14ac:dyDescent="0.2">
      <c r="A1923">
        <v>10991</v>
      </c>
      <c r="B1923">
        <v>70</v>
      </c>
      <c r="C1923" s="2">
        <v>15</v>
      </c>
      <c r="D1923" s="2">
        <v>20</v>
      </c>
      <c r="E1923" s="3">
        <v>0.2</v>
      </c>
    </row>
    <row r="1924" spans="1:5" x14ac:dyDescent="0.2">
      <c r="A1924">
        <v>10991</v>
      </c>
      <c r="B1924">
        <v>76</v>
      </c>
      <c r="C1924" s="2">
        <v>18</v>
      </c>
      <c r="D1924" s="2">
        <v>90</v>
      </c>
      <c r="E1924" s="3">
        <v>0.2</v>
      </c>
    </row>
    <row r="1925" spans="1:5" x14ac:dyDescent="0.2">
      <c r="A1925">
        <v>10992</v>
      </c>
      <c r="B1925">
        <v>72</v>
      </c>
      <c r="C1925" s="2">
        <v>34.799999999999997</v>
      </c>
      <c r="D1925" s="2">
        <v>2</v>
      </c>
      <c r="E1925" s="3">
        <v>0</v>
      </c>
    </row>
    <row r="1926" spans="1:5" x14ac:dyDescent="0.2">
      <c r="A1926">
        <v>10993</v>
      </c>
      <c r="B1926">
        <v>29</v>
      </c>
      <c r="C1926" s="2">
        <v>123.79</v>
      </c>
      <c r="D1926" s="2">
        <v>50</v>
      </c>
      <c r="E1926" s="3">
        <v>0.25</v>
      </c>
    </row>
    <row r="1927" spans="1:5" x14ac:dyDescent="0.2">
      <c r="A1927">
        <v>10993</v>
      </c>
      <c r="B1927">
        <v>41</v>
      </c>
      <c r="C1927" s="2">
        <v>9.65</v>
      </c>
      <c r="D1927" s="2">
        <v>35</v>
      </c>
      <c r="E1927" s="3">
        <v>0.25</v>
      </c>
    </row>
    <row r="1928" spans="1:5" x14ac:dyDescent="0.2">
      <c r="A1928">
        <v>10994</v>
      </c>
      <c r="B1928">
        <v>59</v>
      </c>
      <c r="C1928" s="2">
        <v>55</v>
      </c>
      <c r="D1928" s="2">
        <v>18</v>
      </c>
      <c r="E1928" s="3">
        <v>0.05</v>
      </c>
    </row>
    <row r="1929" spans="1:5" x14ac:dyDescent="0.2">
      <c r="A1929">
        <v>10995</v>
      </c>
      <c r="B1929">
        <v>51</v>
      </c>
      <c r="C1929" s="2">
        <v>53</v>
      </c>
      <c r="D1929" s="2">
        <v>20</v>
      </c>
      <c r="E1929" s="3">
        <v>0</v>
      </c>
    </row>
    <row r="1930" spans="1:5" x14ac:dyDescent="0.2">
      <c r="A1930">
        <v>10995</v>
      </c>
      <c r="B1930">
        <v>60</v>
      </c>
      <c r="C1930" s="2">
        <v>34</v>
      </c>
      <c r="D1930" s="2">
        <v>4</v>
      </c>
      <c r="E1930" s="3">
        <v>0</v>
      </c>
    </row>
    <row r="1931" spans="1:5" x14ac:dyDescent="0.2">
      <c r="A1931">
        <v>10996</v>
      </c>
      <c r="B1931">
        <v>42</v>
      </c>
      <c r="C1931" s="2">
        <v>14</v>
      </c>
      <c r="D1931" s="2">
        <v>40</v>
      </c>
      <c r="E1931" s="3">
        <v>0</v>
      </c>
    </row>
    <row r="1932" spans="1:5" x14ac:dyDescent="0.2">
      <c r="A1932">
        <v>10997</v>
      </c>
      <c r="B1932">
        <v>32</v>
      </c>
      <c r="C1932" s="2">
        <v>32</v>
      </c>
      <c r="D1932" s="2">
        <v>50</v>
      </c>
      <c r="E1932" s="3">
        <v>0</v>
      </c>
    </row>
    <row r="1933" spans="1:5" x14ac:dyDescent="0.2">
      <c r="A1933">
        <v>10997</v>
      </c>
      <c r="B1933">
        <v>46</v>
      </c>
      <c r="C1933" s="2">
        <v>12</v>
      </c>
      <c r="D1933" s="2">
        <v>20</v>
      </c>
      <c r="E1933" s="3">
        <v>0.25</v>
      </c>
    </row>
    <row r="1934" spans="1:5" x14ac:dyDescent="0.2">
      <c r="A1934">
        <v>10997</v>
      </c>
      <c r="B1934">
        <v>52</v>
      </c>
      <c r="C1934" s="2">
        <v>7</v>
      </c>
      <c r="D1934" s="2">
        <v>20</v>
      </c>
      <c r="E1934" s="3">
        <v>0.25</v>
      </c>
    </row>
    <row r="1935" spans="1:5" x14ac:dyDescent="0.2">
      <c r="A1935">
        <v>10998</v>
      </c>
      <c r="B1935">
        <v>24</v>
      </c>
      <c r="C1935" s="2">
        <v>4.5</v>
      </c>
      <c r="D1935" s="2">
        <v>12</v>
      </c>
      <c r="E1935" s="3">
        <v>0</v>
      </c>
    </row>
    <row r="1936" spans="1:5" x14ac:dyDescent="0.2">
      <c r="A1936">
        <v>10998</v>
      </c>
      <c r="B1936">
        <v>61</v>
      </c>
      <c r="C1936" s="2">
        <v>28.5</v>
      </c>
      <c r="D1936" s="2">
        <v>7</v>
      </c>
      <c r="E1936" s="3">
        <v>0</v>
      </c>
    </row>
    <row r="1937" spans="1:5" x14ac:dyDescent="0.2">
      <c r="A1937">
        <v>10998</v>
      </c>
      <c r="B1937">
        <v>74</v>
      </c>
      <c r="C1937" s="2">
        <v>10</v>
      </c>
      <c r="D1937" s="2">
        <v>20</v>
      </c>
      <c r="E1937" s="3">
        <v>0</v>
      </c>
    </row>
    <row r="1938" spans="1:5" x14ac:dyDescent="0.2">
      <c r="A1938">
        <v>10998</v>
      </c>
      <c r="B1938">
        <v>75</v>
      </c>
      <c r="C1938" s="2">
        <v>7.75</v>
      </c>
      <c r="D1938" s="2">
        <v>30</v>
      </c>
      <c r="E1938" s="3">
        <v>0</v>
      </c>
    </row>
    <row r="1939" spans="1:5" x14ac:dyDescent="0.2">
      <c r="A1939">
        <v>10999</v>
      </c>
      <c r="B1939">
        <v>41</v>
      </c>
      <c r="C1939" s="2">
        <v>9.65</v>
      </c>
      <c r="D1939" s="2">
        <v>20</v>
      </c>
      <c r="E1939" s="3">
        <v>0.05</v>
      </c>
    </row>
    <row r="1940" spans="1:5" x14ac:dyDescent="0.2">
      <c r="A1940">
        <v>10999</v>
      </c>
      <c r="B1940">
        <v>51</v>
      </c>
      <c r="C1940" s="2">
        <v>53</v>
      </c>
      <c r="D1940" s="2">
        <v>15</v>
      </c>
      <c r="E1940" s="3">
        <v>0.05</v>
      </c>
    </row>
    <row r="1941" spans="1:5" x14ac:dyDescent="0.2">
      <c r="A1941">
        <v>10999</v>
      </c>
      <c r="B1941">
        <v>77</v>
      </c>
      <c r="C1941" s="2">
        <v>13</v>
      </c>
      <c r="D1941" s="2">
        <v>21</v>
      </c>
      <c r="E1941" s="3">
        <v>0.05</v>
      </c>
    </row>
    <row r="1942" spans="1:5" x14ac:dyDescent="0.2">
      <c r="A1942">
        <v>11000</v>
      </c>
      <c r="B1942">
        <v>4</v>
      </c>
      <c r="C1942" s="2">
        <v>22</v>
      </c>
      <c r="D1942" s="2">
        <v>25</v>
      </c>
      <c r="E1942" s="3">
        <v>0.25</v>
      </c>
    </row>
    <row r="1943" spans="1:5" x14ac:dyDescent="0.2">
      <c r="A1943">
        <v>11000</v>
      </c>
      <c r="B1943">
        <v>24</v>
      </c>
      <c r="C1943" s="2">
        <v>4.5</v>
      </c>
      <c r="D1943" s="2">
        <v>30</v>
      </c>
      <c r="E1943" s="3">
        <v>0.25</v>
      </c>
    </row>
    <row r="1944" spans="1:5" x14ac:dyDescent="0.2">
      <c r="A1944">
        <v>11000</v>
      </c>
      <c r="B1944">
        <v>77</v>
      </c>
      <c r="C1944" s="2">
        <v>13</v>
      </c>
      <c r="D1944" s="2">
        <v>30</v>
      </c>
      <c r="E1944" s="3">
        <v>0</v>
      </c>
    </row>
    <row r="1945" spans="1:5" x14ac:dyDescent="0.2">
      <c r="A1945">
        <v>11001</v>
      </c>
      <c r="B1945">
        <v>7</v>
      </c>
      <c r="C1945" s="2">
        <v>30</v>
      </c>
      <c r="D1945" s="2">
        <v>60</v>
      </c>
      <c r="E1945" s="3">
        <v>0</v>
      </c>
    </row>
    <row r="1946" spans="1:5" x14ac:dyDescent="0.2">
      <c r="A1946">
        <v>11001</v>
      </c>
      <c r="B1946">
        <v>22</v>
      </c>
      <c r="C1946" s="2">
        <v>21</v>
      </c>
      <c r="D1946" s="2">
        <v>25</v>
      </c>
      <c r="E1946" s="3">
        <v>0</v>
      </c>
    </row>
    <row r="1947" spans="1:5" x14ac:dyDescent="0.2">
      <c r="A1947">
        <v>11001</v>
      </c>
      <c r="B1947">
        <v>46</v>
      </c>
      <c r="C1947" s="2">
        <v>12</v>
      </c>
      <c r="D1947" s="2">
        <v>25</v>
      </c>
      <c r="E1947" s="3">
        <v>0</v>
      </c>
    </row>
    <row r="1948" spans="1:5" x14ac:dyDescent="0.2">
      <c r="A1948">
        <v>11001</v>
      </c>
      <c r="B1948">
        <v>55</v>
      </c>
      <c r="C1948" s="2">
        <v>24</v>
      </c>
      <c r="D1948" s="2">
        <v>6</v>
      </c>
      <c r="E1948" s="3">
        <v>0</v>
      </c>
    </row>
    <row r="1949" spans="1:5" x14ac:dyDescent="0.2">
      <c r="A1949">
        <v>11002</v>
      </c>
      <c r="B1949">
        <v>13</v>
      </c>
      <c r="C1949" s="2">
        <v>6</v>
      </c>
      <c r="D1949" s="2">
        <v>56</v>
      </c>
      <c r="E1949" s="3">
        <v>0</v>
      </c>
    </row>
    <row r="1950" spans="1:5" x14ac:dyDescent="0.2">
      <c r="A1950">
        <v>11002</v>
      </c>
      <c r="B1950">
        <v>35</v>
      </c>
      <c r="C1950" s="2">
        <v>18</v>
      </c>
      <c r="D1950" s="2">
        <v>15</v>
      </c>
      <c r="E1950" s="3">
        <v>0.15</v>
      </c>
    </row>
    <row r="1951" spans="1:5" x14ac:dyDescent="0.2">
      <c r="A1951">
        <v>11002</v>
      </c>
      <c r="B1951">
        <v>42</v>
      </c>
      <c r="C1951" s="2">
        <v>14</v>
      </c>
      <c r="D1951" s="2">
        <v>24</v>
      </c>
      <c r="E1951" s="3">
        <v>0.15</v>
      </c>
    </row>
    <row r="1952" spans="1:5" x14ac:dyDescent="0.2">
      <c r="A1952">
        <v>11002</v>
      </c>
      <c r="B1952">
        <v>55</v>
      </c>
      <c r="C1952" s="2">
        <v>24</v>
      </c>
      <c r="D1952" s="2">
        <v>40</v>
      </c>
      <c r="E1952" s="3">
        <v>0</v>
      </c>
    </row>
    <row r="1953" spans="1:5" x14ac:dyDescent="0.2">
      <c r="A1953">
        <v>11003</v>
      </c>
      <c r="B1953">
        <v>1</v>
      </c>
      <c r="C1953" s="2">
        <v>18</v>
      </c>
      <c r="D1953" s="2">
        <v>4</v>
      </c>
      <c r="E1953" s="3">
        <v>0</v>
      </c>
    </row>
    <row r="1954" spans="1:5" x14ac:dyDescent="0.2">
      <c r="A1954">
        <v>11003</v>
      </c>
      <c r="B1954">
        <v>40</v>
      </c>
      <c r="C1954" s="2">
        <v>18.399999999999999</v>
      </c>
      <c r="D1954" s="2">
        <v>10</v>
      </c>
      <c r="E1954" s="3">
        <v>0</v>
      </c>
    </row>
    <row r="1955" spans="1:5" x14ac:dyDescent="0.2">
      <c r="A1955">
        <v>11003</v>
      </c>
      <c r="B1955">
        <v>52</v>
      </c>
      <c r="C1955" s="2">
        <v>7</v>
      </c>
      <c r="D1955" s="2">
        <v>10</v>
      </c>
      <c r="E1955" s="3">
        <v>0</v>
      </c>
    </row>
    <row r="1956" spans="1:5" x14ac:dyDescent="0.2">
      <c r="A1956">
        <v>11004</v>
      </c>
      <c r="B1956">
        <v>26</v>
      </c>
      <c r="C1956" s="2">
        <v>31.23</v>
      </c>
      <c r="D1956" s="2">
        <v>6</v>
      </c>
      <c r="E1956" s="3">
        <v>0</v>
      </c>
    </row>
    <row r="1957" spans="1:5" x14ac:dyDescent="0.2">
      <c r="A1957">
        <v>11004</v>
      </c>
      <c r="B1957">
        <v>76</v>
      </c>
      <c r="C1957" s="2">
        <v>18</v>
      </c>
      <c r="D1957" s="2">
        <v>6</v>
      </c>
      <c r="E1957" s="3">
        <v>0</v>
      </c>
    </row>
    <row r="1958" spans="1:5" x14ac:dyDescent="0.2">
      <c r="A1958">
        <v>11005</v>
      </c>
      <c r="B1958">
        <v>1</v>
      </c>
      <c r="C1958" s="2">
        <v>18</v>
      </c>
      <c r="D1958" s="2">
        <v>2</v>
      </c>
      <c r="E1958" s="3">
        <v>0</v>
      </c>
    </row>
    <row r="1959" spans="1:5" x14ac:dyDescent="0.2">
      <c r="A1959">
        <v>11005</v>
      </c>
      <c r="B1959">
        <v>59</v>
      </c>
      <c r="C1959" s="2">
        <v>55</v>
      </c>
      <c r="D1959" s="2">
        <v>10</v>
      </c>
      <c r="E1959" s="3">
        <v>0</v>
      </c>
    </row>
    <row r="1960" spans="1:5" x14ac:dyDescent="0.2">
      <c r="A1960">
        <v>11006</v>
      </c>
      <c r="B1960">
        <v>1</v>
      </c>
      <c r="C1960" s="2">
        <v>18</v>
      </c>
      <c r="D1960" s="2">
        <v>8</v>
      </c>
      <c r="E1960" s="3">
        <v>0</v>
      </c>
    </row>
    <row r="1961" spans="1:5" x14ac:dyDescent="0.2">
      <c r="A1961">
        <v>11006</v>
      </c>
      <c r="B1961">
        <v>29</v>
      </c>
      <c r="C1961" s="2">
        <v>123.79</v>
      </c>
      <c r="D1961" s="2">
        <v>2</v>
      </c>
      <c r="E1961" s="3">
        <v>0.25</v>
      </c>
    </row>
    <row r="1962" spans="1:5" x14ac:dyDescent="0.2">
      <c r="A1962">
        <v>11007</v>
      </c>
      <c r="B1962">
        <v>8</v>
      </c>
      <c r="C1962" s="2">
        <v>40</v>
      </c>
      <c r="D1962" s="2">
        <v>30</v>
      </c>
      <c r="E1962" s="3">
        <v>0</v>
      </c>
    </row>
    <row r="1963" spans="1:5" x14ac:dyDescent="0.2">
      <c r="A1963">
        <v>11007</v>
      </c>
      <c r="B1963">
        <v>29</v>
      </c>
      <c r="C1963" s="2">
        <v>123.79</v>
      </c>
      <c r="D1963" s="2">
        <v>10</v>
      </c>
      <c r="E1963" s="3">
        <v>0</v>
      </c>
    </row>
    <row r="1964" spans="1:5" x14ac:dyDescent="0.2">
      <c r="A1964">
        <v>11007</v>
      </c>
      <c r="B1964">
        <v>42</v>
      </c>
      <c r="C1964" s="2">
        <v>14</v>
      </c>
      <c r="D1964" s="2">
        <v>14</v>
      </c>
      <c r="E1964" s="3">
        <v>0</v>
      </c>
    </row>
    <row r="1965" spans="1:5" x14ac:dyDescent="0.2">
      <c r="A1965">
        <v>11008</v>
      </c>
      <c r="B1965">
        <v>28</v>
      </c>
      <c r="C1965" s="2">
        <v>45.6</v>
      </c>
      <c r="D1965" s="2">
        <v>70</v>
      </c>
      <c r="E1965" s="3">
        <v>0.05</v>
      </c>
    </row>
    <row r="1966" spans="1:5" x14ac:dyDescent="0.2">
      <c r="A1966">
        <v>11008</v>
      </c>
      <c r="B1966">
        <v>34</v>
      </c>
      <c r="C1966" s="2">
        <v>14</v>
      </c>
      <c r="D1966" s="2">
        <v>90</v>
      </c>
      <c r="E1966" s="3">
        <v>0.05</v>
      </c>
    </row>
    <row r="1967" spans="1:5" x14ac:dyDescent="0.2">
      <c r="A1967">
        <v>11008</v>
      </c>
      <c r="B1967">
        <v>71</v>
      </c>
      <c r="C1967" s="2">
        <v>21.5</v>
      </c>
      <c r="D1967" s="2">
        <v>21</v>
      </c>
      <c r="E1967" s="3">
        <v>0</v>
      </c>
    </row>
    <row r="1968" spans="1:5" x14ac:dyDescent="0.2">
      <c r="A1968">
        <v>11009</v>
      </c>
      <c r="B1968">
        <v>24</v>
      </c>
      <c r="C1968" s="2">
        <v>4.5</v>
      </c>
      <c r="D1968" s="2">
        <v>12</v>
      </c>
      <c r="E1968" s="3">
        <v>0</v>
      </c>
    </row>
    <row r="1969" spans="1:5" x14ac:dyDescent="0.2">
      <c r="A1969">
        <v>11009</v>
      </c>
      <c r="B1969">
        <v>36</v>
      </c>
      <c r="C1969" s="2">
        <v>19</v>
      </c>
      <c r="D1969" s="2">
        <v>18</v>
      </c>
      <c r="E1969" s="3">
        <v>0.25</v>
      </c>
    </row>
    <row r="1970" spans="1:5" x14ac:dyDescent="0.2">
      <c r="A1970">
        <v>11009</v>
      </c>
      <c r="B1970">
        <v>60</v>
      </c>
      <c r="C1970" s="2">
        <v>34</v>
      </c>
      <c r="D1970" s="2">
        <v>9</v>
      </c>
      <c r="E1970" s="3">
        <v>0</v>
      </c>
    </row>
    <row r="1971" spans="1:5" x14ac:dyDescent="0.2">
      <c r="A1971">
        <v>11010</v>
      </c>
      <c r="B1971">
        <v>7</v>
      </c>
      <c r="C1971" s="2">
        <v>30</v>
      </c>
      <c r="D1971" s="2">
        <v>20</v>
      </c>
      <c r="E1971" s="3">
        <v>0</v>
      </c>
    </row>
    <row r="1972" spans="1:5" x14ac:dyDescent="0.2">
      <c r="A1972">
        <v>11010</v>
      </c>
      <c r="B1972">
        <v>24</v>
      </c>
      <c r="C1972" s="2">
        <v>4.5</v>
      </c>
      <c r="D1972" s="2">
        <v>10</v>
      </c>
      <c r="E1972" s="3">
        <v>0</v>
      </c>
    </row>
    <row r="1973" spans="1:5" x14ac:dyDescent="0.2">
      <c r="A1973">
        <v>11011</v>
      </c>
      <c r="B1973">
        <v>58</v>
      </c>
      <c r="C1973" s="2">
        <v>13.25</v>
      </c>
      <c r="D1973" s="2">
        <v>40</v>
      </c>
      <c r="E1973" s="3">
        <v>0.05</v>
      </c>
    </row>
    <row r="1974" spans="1:5" x14ac:dyDescent="0.2">
      <c r="A1974">
        <v>11011</v>
      </c>
      <c r="B1974">
        <v>71</v>
      </c>
      <c r="C1974" s="2">
        <v>21.5</v>
      </c>
      <c r="D1974" s="2">
        <v>20</v>
      </c>
      <c r="E1974" s="3">
        <v>0</v>
      </c>
    </row>
    <row r="1975" spans="1:5" x14ac:dyDescent="0.2">
      <c r="A1975">
        <v>11012</v>
      </c>
      <c r="B1975">
        <v>19</v>
      </c>
      <c r="C1975" s="2">
        <v>9.1999999999999993</v>
      </c>
      <c r="D1975" s="2">
        <v>50</v>
      </c>
      <c r="E1975" s="3">
        <v>0.05</v>
      </c>
    </row>
    <row r="1976" spans="1:5" x14ac:dyDescent="0.2">
      <c r="A1976">
        <v>11012</v>
      </c>
      <c r="B1976">
        <v>60</v>
      </c>
      <c r="C1976" s="2">
        <v>34</v>
      </c>
      <c r="D1976" s="2">
        <v>36</v>
      </c>
      <c r="E1976" s="3">
        <v>0.05</v>
      </c>
    </row>
    <row r="1977" spans="1:5" x14ac:dyDescent="0.2">
      <c r="A1977">
        <v>11012</v>
      </c>
      <c r="B1977">
        <v>71</v>
      </c>
      <c r="C1977" s="2">
        <v>21.5</v>
      </c>
      <c r="D1977" s="2">
        <v>60</v>
      </c>
      <c r="E1977" s="3">
        <v>0.05</v>
      </c>
    </row>
    <row r="1978" spans="1:5" x14ac:dyDescent="0.2">
      <c r="A1978">
        <v>11013</v>
      </c>
      <c r="B1978">
        <v>23</v>
      </c>
      <c r="C1978" s="2">
        <v>9</v>
      </c>
      <c r="D1978" s="2">
        <v>10</v>
      </c>
      <c r="E1978" s="3">
        <v>0</v>
      </c>
    </row>
    <row r="1979" spans="1:5" x14ac:dyDescent="0.2">
      <c r="A1979">
        <v>11013</v>
      </c>
      <c r="B1979">
        <v>42</v>
      </c>
      <c r="C1979" s="2">
        <v>14</v>
      </c>
      <c r="D1979" s="2">
        <v>4</v>
      </c>
      <c r="E1979" s="3">
        <v>0</v>
      </c>
    </row>
    <row r="1980" spans="1:5" x14ac:dyDescent="0.2">
      <c r="A1980">
        <v>11013</v>
      </c>
      <c r="B1980">
        <v>45</v>
      </c>
      <c r="C1980" s="2">
        <v>9.5</v>
      </c>
      <c r="D1980" s="2">
        <v>20</v>
      </c>
      <c r="E1980" s="3">
        <v>0</v>
      </c>
    </row>
    <row r="1981" spans="1:5" x14ac:dyDescent="0.2">
      <c r="A1981">
        <v>11013</v>
      </c>
      <c r="B1981">
        <v>68</v>
      </c>
      <c r="C1981" s="2">
        <v>12.5</v>
      </c>
      <c r="D1981" s="2">
        <v>2</v>
      </c>
      <c r="E1981" s="3">
        <v>0</v>
      </c>
    </row>
    <row r="1982" spans="1:5" x14ac:dyDescent="0.2">
      <c r="A1982">
        <v>11014</v>
      </c>
      <c r="B1982">
        <v>41</v>
      </c>
      <c r="C1982" s="2">
        <v>9.65</v>
      </c>
      <c r="D1982" s="2">
        <v>28</v>
      </c>
      <c r="E1982" s="3">
        <v>0.1</v>
      </c>
    </row>
    <row r="1983" spans="1:5" x14ac:dyDescent="0.2">
      <c r="A1983">
        <v>11015</v>
      </c>
      <c r="B1983">
        <v>30</v>
      </c>
      <c r="C1983" s="2">
        <v>25.89</v>
      </c>
      <c r="D1983" s="2">
        <v>15</v>
      </c>
      <c r="E1983" s="3">
        <v>0</v>
      </c>
    </row>
    <row r="1984" spans="1:5" x14ac:dyDescent="0.2">
      <c r="A1984">
        <v>11015</v>
      </c>
      <c r="B1984">
        <v>77</v>
      </c>
      <c r="C1984" s="2">
        <v>13</v>
      </c>
      <c r="D1984" s="2">
        <v>18</v>
      </c>
      <c r="E1984" s="3">
        <v>0</v>
      </c>
    </row>
    <row r="1985" spans="1:5" x14ac:dyDescent="0.2">
      <c r="A1985">
        <v>11016</v>
      </c>
      <c r="B1985">
        <v>31</v>
      </c>
      <c r="C1985" s="2">
        <v>12.5</v>
      </c>
      <c r="D1985" s="2">
        <v>15</v>
      </c>
      <c r="E1985" s="3">
        <v>0</v>
      </c>
    </row>
    <row r="1986" spans="1:5" x14ac:dyDescent="0.2">
      <c r="A1986">
        <v>11016</v>
      </c>
      <c r="B1986">
        <v>36</v>
      </c>
      <c r="C1986" s="2">
        <v>19</v>
      </c>
      <c r="D1986" s="2">
        <v>16</v>
      </c>
      <c r="E1986" s="3">
        <v>0</v>
      </c>
    </row>
    <row r="1987" spans="1:5" x14ac:dyDescent="0.2">
      <c r="A1987">
        <v>11017</v>
      </c>
      <c r="B1987">
        <v>3</v>
      </c>
      <c r="C1987" s="2">
        <v>10</v>
      </c>
      <c r="D1987" s="2">
        <v>25</v>
      </c>
      <c r="E1987" s="3">
        <v>0</v>
      </c>
    </row>
    <row r="1988" spans="1:5" x14ac:dyDescent="0.2">
      <c r="A1988">
        <v>11017</v>
      </c>
      <c r="B1988">
        <v>59</v>
      </c>
      <c r="C1988" s="2">
        <v>55</v>
      </c>
      <c r="D1988" s="2">
        <v>110</v>
      </c>
      <c r="E1988" s="3">
        <v>0</v>
      </c>
    </row>
    <row r="1989" spans="1:5" x14ac:dyDescent="0.2">
      <c r="A1989">
        <v>11017</v>
      </c>
      <c r="B1989">
        <v>70</v>
      </c>
      <c r="C1989" s="2">
        <v>15</v>
      </c>
      <c r="D1989" s="2">
        <v>30</v>
      </c>
      <c r="E1989" s="3">
        <v>0</v>
      </c>
    </row>
    <row r="1990" spans="1:5" x14ac:dyDescent="0.2">
      <c r="A1990">
        <v>11018</v>
      </c>
      <c r="B1990">
        <v>12</v>
      </c>
      <c r="C1990" s="2">
        <v>38</v>
      </c>
      <c r="D1990" s="2">
        <v>20</v>
      </c>
      <c r="E1990" s="3">
        <v>0</v>
      </c>
    </row>
    <row r="1991" spans="1:5" x14ac:dyDescent="0.2">
      <c r="A1991">
        <v>11018</v>
      </c>
      <c r="B1991">
        <v>18</v>
      </c>
      <c r="C1991" s="2">
        <v>62.5</v>
      </c>
      <c r="D1991" s="2">
        <v>10</v>
      </c>
      <c r="E1991" s="3">
        <v>0</v>
      </c>
    </row>
    <row r="1992" spans="1:5" x14ac:dyDescent="0.2">
      <c r="A1992">
        <v>11018</v>
      </c>
      <c r="B1992">
        <v>56</v>
      </c>
      <c r="C1992" s="2">
        <v>38</v>
      </c>
      <c r="D1992" s="2">
        <v>5</v>
      </c>
      <c r="E1992" s="3">
        <v>0</v>
      </c>
    </row>
    <row r="1993" spans="1:5" x14ac:dyDescent="0.2">
      <c r="A1993">
        <v>11019</v>
      </c>
      <c r="B1993">
        <v>46</v>
      </c>
      <c r="C1993" s="2">
        <v>12</v>
      </c>
      <c r="D1993" s="2">
        <v>3</v>
      </c>
      <c r="E1993" s="3">
        <v>0</v>
      </c>
    </row>
    <row r="1994" spans="1:5" x14ac:dyDescent="0.2">
      <c r="A1994">
        <v>11019</v>
      </c>
      <c r="B1994">
        <v>49</v>
      </c>
      <c r="C1994" s="2">
        <v>20</v>
      </c>
      <c r="D1994" s="2">
        <v>2</v>
      </c>
      <c r="E1994" s="3">
        <v>0</v>
      </c>
    </row>
    <row r="1995" spans="1:5" x14ac:dyDescent="0.2">
      <c r="A1995">
        <v>11020</v>
      </c>
      <c r="B1995">
        <v>10</v>
      </c>
      <c r="C1995" s="2">
        <v>31</v>
      </c>
      <c r="D1995" s="2">
        <v>24</v>
      </c>
      <c r="E1995" s="3">
        <v>0.15</v>
      </c>
    </row>
    <row r="1996" spans="1:5" x14ac:dyDescent="0.2">
      <c r="A1996">
        <v>11021</v>
      </c>
      <c r="B1996">
        <v>2</v>
      </c>
      <c r="C1996" s="2">
        <v>19</v>
      </c>
      <c r="D1996" s="2">
        <v>11</v>
      </c>
      <c r="E1996" s="3">
        <v>0.25</v>
      </c>
    </row>
    <row r="1997" spans="1:5" x14ac:dyDescent="0.2">
      <c r="A1997">
        <v>11021</v>
      </c>
      <c r="B1997">
        <v>20</v>
      </c>
      <c r="C1997" s="2">
        <v>81</v>
      </c>
      <c r="D1997" s="2">
        <v>15</v>
      </c>
      <c r="E1997" s="3">
        <v>0</v>
      </c>
    </row>
    <row r="1998" spans="1:5" x14ac:dyDescent="0.2">
      <c r="A1998">
        <v>11021</v>
      </c>
      <c r="B1998">
        <v>26</v>
      </c>
      <c r="C1998" s="2">
        <v>31.23</v>
      </c>
      <c r="D1998" s="2">
        <v>63</v>
      </c>
      <c r="E1998" s="3">
        <v>0</v>
      </c>
    </row>
    <row r="1999" spans="1:5" x14ac:dyDescent="0.2">
      <c r="A1999">
        <v>11021</v>
      </c>
      <c r="B1999">
        <v>51</v>
      </c>
      <c r="C1999" s="2">
        <v>53</v>
      </c>
      <c r="D1999" s="2">
        <v>44</v>
      </c>
      <c r="E1999" s="3">
        <v>0.25</v>
      </c>
    </row>
    <row r="2000" spans="1:5" x14ac:dyDescent="0.2">
      <c r="A2000">
        <v>11021</v>
      </c>
      <c r="B2000">
        <v>72</v>
      </c>
      <c r="C2000" s="2">
        <v>34.799999999999997</v>
      </c>
      <c r="D2000" s="2">
        <v>35</v>
      </c>
      <c r="E2000" s="3">
        <v>0</v>
      </c>
    </row>
    <row r="2001" spans="1:5" x14ac:dyDescent="0.2">
      <c r="A2001">
        <v>11022</v>
      </c>
      <c r="B2001">
        <v>19</v>
      </c>
      <c r="C2001" s="2">
        <v>9.1999999999999993</v>
      </c>
      <c r="D2001" s="2">
        <v>35</v>
      </c>
      <c r="E2001" s="3">
        <v>0</v>
      </c>
    </row>
    <row r="2002" spans="1:5" x14ac:dyDescent="0.2">
      <c r="A2002">
        <v>11022</v>
      </c>
      <c r="B2002">
        <v>69</v>
      </c>
      <c r="C2002" s="2">
        <v>36</v>
      </c>
      <c r="D2002" s="2">
        <v>30</v>
      </c>
      <c r="E2002" s="3">
        <v>0</v>
      </c>
    </row>
    <row r="2003" spans="1:5" x14ac:dyDescent="0.2">
      <c r="A2003">
        <v>11023</v>
      </c>
      <c r="B2003">
        <v>7</v>
      </c>
      <c r="C2003" s="2">
        <v>30</v>
      </c>
      <c r="D2003" s="2">
        <v>4</v>
      </c>
      <c r="E2003" s="3">
        <v>0</v>
      </c>
    </row>
    <row r="2004" spans="1:5" x14ac:dyDescent="0.2">
      <c r="A2004">
        <v>11023</v>
      </c>
      <c r="B2004">
        <v>43</v>
      </c>
      <c r="C2004" s="2">
        <v>46</v>
      </c>
      <c r="D2004" s="2">
        <v>30</v>
      </c>
      <c r="E2004" s="3">
        <v>0</v>
      </c>
    </row>
    <row r="2005" spans="1:5" x14ac:dyDescent="0.2">
      <c r="A2005">
        <v>11024</v>
      </c>
      <c r="B2005">
        <v>26</v>
      </c>
      <c r="C2005" s="2">
        <v>31.23</v>
      </c>
      <c r="D2005" s="2">
        <v>12</v>
      </c>
      <c r="E2005" s="3">
        <v>0</v>
      </c>
    </row>
    <row r="2006" spans="1:5" x14ac:dyDescent="0.2">
      <c r="A2006">
        <v>11024</v>
      </c>
      <c r="B2006">
        <v>33</v>
      </c>
      <c r="C2006" s="2">
        <v>2.5</v>
      </c>
      <c r="D2006" s="2">
        <v>30</v>
      </c>
      <c r="E2006" s="3">
        <v>0</v>
      </c>
    </row>
    <row r="2007" spans="1:5" x14ac:dyDescent="0.2">
      <c r="A2007">
        <v>11024</v>
      </c>
      <c r="B2007">
        <v>65</v>
      </c>
      <c r="C2007" s="2">
        <v>21.05</v>
      </c>
      <c r="D2007" s="2">
        <v>21</v>
      </c>
      <c r="E2007" s="3">
        <v>0</v>
      </c>
    </row>
    <row r="2008" spans="1:5" x14ac:dyDescent="0.2">
      <c r="A2008">
        <v>11024</v>
      </c>
      <c r="B2008">
        <v>71</v>
      </c>
      <c r="C2008" s="2">
        <v>21.5</v>
      </c>
      <c r="D2008" s="2">
        <v>50</v>
      </c>
      <c r="E2008" s="3">
        <v>0</v>
      </c>
    </row>
    <row r="2009" spans="1:5" x14ac:dyDescent="0.2">
      <c r="A2009">
        <v>11025</v>
      </c>
      <c r="B2009">
        <v>1</v>
      </c>
      <c r="C2009" s="2">
        <v>18</v>
      </c>
      <c r="D2009" s="2">
        <v>10</v>
      </c>
      <c r="E2009" s="3">
        <v>0.1</v>
      </c>
    </row>
    <row r="2010" spans="1:5" x14ac:dyDescent="0.2">
      <c r="A2010">
        <v>11025</v>
      </c>
      <c r="B2010">
        <v>13</v>
      </c>
      <c r="C2010" s="2">
        <v>6</v>
      </c>
      <c r="D2010" s="2">
        <v>20</v>
      </c>
      <c r="E2010" s="3">
        <v>0.1</v>
      </c>
    </row>
    <row r="2011" spans="1:5" x14ac:dyDescent="0.2">
      <c r="A2011">
        <v>11026</v>
      </c>
      <c r="B2011">
        <v>18</v>
      </c>
      <c r="C2011" s="2">
        <v>62.5</v>
      </c>
      <c r="D2011" s="2">
        <v>8</v>
      </c>
      <c r="E2011" s="3">
        <v>0</v>
      </c>
    </row>
    <row r="2012" spans="1:5" x14ac:dyDescent="0.2">
      <c r="A2012">
        <v>11026</v>
      </c>
      <c r="B2012">
        <v>51</v>
      </c>
      <c r="C2012" s="2">
        <v>53</v>
      </c>
      <c r="D2012" s="2">
        <v>10</v>
      </c>
      <c r="E2012" s="3">
        <v>0</v>
      </c>
    </row>
    <row r="2013" spans="1:5" x14ac:dyDescent="0.2">
      <c r="A2013">
        <v>11027</v>
      </c>
      <c r="B2013">
        <v>24</v>
      </c>
      <c r="C2013" s="2">
        <v>4.5</v>
      </c>
      <c r="D2013" s="2">
        <v>30</v>
      </c>
      <c r="E2013" s="3">
        <v>0.25</v>
      </c>
    </row>
    <row r="2014" spans="1:5" x14ac:dyDescent="0.2">
      <c r="A2014">
        <v>11027</v>
      </c>
      <c r="B2014">
        <v>62</v>
      </c>
      <c r="C2014" s="2">
        <v>49.3</v>
      </c>
      <c r="D2014" s="2">
        <v>21</v>
      </c>
      <c r="E2014" s="3">
        <v>0.25</v>
      </c>
    </row>
    <row r="2015" spans="1:5" x14ac:dyDescent="0.2">
      <c r="A2015">
        <v>11028</v>
      </c>
      <c r="B2015">
        <v>55</v>
      </c>
      <c r="C2015" s="2">
        <v>24</v>
      </c>
      <c r="D2015" s="2">
        <v>35</v>
      </c>
      <c r="E2015" s="3">
        <v>0</v>
      </c>
    </row>
    <row r="2016" spans="1:5" x14ac:dyDescent="0.2">
      <c r="A2016">
        <v>11028</v>
      </c>
      <c r="B2016">
        <v>59</v>
      </c>
      <c r="C2016" s="2">
        <v>55</v>
      </c>
      <c r="D2016" s="2">
        <v>24</v>
      </c>
      <c r="E2016" s="3">
        <v>0</v>
      </c>
    </row>
    <row r="2017" spans="1:5" x14ac:dyDescent="0.2">
      <c r="A2017">
        <v>11029</v>
      </c>
      <c r="B2017">
        <v>56</v>
      </c>
      <c r="C2017" s="2">
        <v>38</v>
      </c>
      <c r="D2017" s="2">
        <v>20</v>
      </c>
      <c r="E2017" s="3">
        <v>0</v>
      </c>
    </row>
    <row r="2018" spans="1:5" x14ac:dyDescent="0.2">
      <c r="A2018">
        <v>11029</v>
      </c>
      <c r="B2018">
        <v>63</v>
      </c>
      <c r="C2018" s="2">
        <v>43.9</v>
      </c>
      <c r="D2018" s="2">
        <v>12</v>
      </c>
      <c r="E2018" s="3">
        <v>0</v>
      </c>
    </row>
    <row r="2019" spans="1:5" x14ac:dyDescent="0.2">
      <c r="A2019">
        <v>11030</v>
      </c>
      <c r="B2019">
        <v>2</v>
      </c>
      <c r="C2019" s="2">
        <v>19</v>
      </c>
      <c r="D2019" s="2">
        <v>100</v>
      </c>
      <c r="E2019" s="3">
        <v>0.25</v>
      </c>
    </row>
    <row r="2020" spans="1:5" x14ac:dyDescent="0.2">
      <c r="A2020">
        <v>11030</v>
      </c>
      <c r="B2020">
        <v>5</v>
      </c>
      <c r="C2020" s="2">
        <v>21.35</v>
      </c>
      <c r="D2020" s="2">
        <v>70</v>
      </c>
      <c r="E2020" s="3">
        <v>0</v>
      </c>
    </row>
    <row r="2021" spans="1:5" x14ac:dyDescent="0.2">
      <c r="A2021">
        <v>11030</v>
      </c>
      <c r="B2021">
        <v>29</v>
      </c>
      <c r="C2021" s="2">
        <v>123.79</v>
      </c>
      <c r="D2021" s="2">
        <v>60</v>
      </c>
      <c r="E2021" s="3">
        <v>0.25</v>
      </c>
    </row>
    <row r="2022" spans="1:5" x14ac:dyDescent="0.2">
      <c r="A2022">
        <v>11030</v>
      </c>
      <c r="B2022">
        <v>59</v>
      </c>
      <c r="C2022" s="2">
        <v>55</v>
      </c>
      <c r="D2022" s="2">
        <v>100</v>
      </c>
      <c r="E2022" s="3">
        <v>0.25</v>
      </c>
    </row>
    <row r="2023" spans="1:5" x14ac:dyDescent="0.2">
      <c r="A2023">
        <v>11031</v>
      </c>
      <c r="B2023">
        <v>1</v>
      </c>
      <c r="C2023" s="2">
        <v>18</v>
      </c>
      <c r="D2023" s="2">
        <v>45</v>
      </c>
      <c r="E2023" s="3">
        <v>0</v>
      </c>
    </row>
    <row r="2024" spans="1:5" x14ac:dyDescent="0.2">
      <c r="A2024">
        <v>11031</v>
      </c>
      <c r="B2024">
        <v>13</v>
      </c>
      <c r="C2024" s="2">
        <v>6</v>
      </c>
      <c r="D2024" s="2">
        <v>80</v>
      </c>
      <c r="E2024" s="3">
        <v>0</v>
      </c>
    </row>
    <row r="2025" spans="1:5" x14ac:dyDescent="0.2">
      <c r="A2025">
        <v>11031</v>
      </c>
      <c r="B2025">
        <v>24</v>
      </c>
      <c r="C2025" s="2">
        <v>4.5</v>
      </c>
      <c r="D2025" s="2">
        <v>21</v>
      </c>
      <c r="E2025" s="3">
        <v>0</v>
      </c>
    </row>
    <row r="2026" spans="1:5" x14ac:dyDescent="0.2">
      <c r="A2026">
        <v>11031</v>
      </c>
      <c r="B2026">
        <v>64</v>
      </c>
      <c r="C2026" s="2">
        <v>33.25</v>
      </c>
      <c r="D2026" s="2">
        <v>20</v>
      </c>
      <c r="E2026" s="3">
        <v>0</v>
      </c>
    </row>
    <row r="2027" spans="1:5" x14ac:dyDescent="0.2">
      <c r="A2027">
        <v>11031</v>
      </c>
      <c r="B2027">
        <v>71</v>
      </c>
      <c r="C2027" s="2">
        <v>21.5</v>
      </c>
      <c r="D2027" s="2">
        <v>16</v>
      </c>
      <c r="E2027" s="3">
        <v>0</v>
      </c>
    </row>
    <row r="2028" spans="1:5" x14ac:dyDescent="0.2">
      <c r="A2028">
        <v>11032</v>
      </c>
      <c r="B2028">
        <v>36</v>
      </c>
      <c r="C2028" s="2">
        <v>19</v>
      </c>
      <c r="D2028" s="2">
        <v>35</v>
      </c>
      <c r="E2028" s="3">
        <v>0</v>
      </c>
    </row>
    <row r="2029" spans="1:5" x14ac:dyDescent="0.2">
      <c r="A2029">
        <v>11032</v>
      </c>
      <c r="B2029">
        <v>38</v>
      </c>
      <c r="C2029" s="2">
        <v>263.5</v>
      </c>
      <c r="D2029" s="2">
        <v>25</v>
      </c>
      <c r="E2029" s="3">
        <v>0</v>
      </c>
    </row>
    <row r="2030" spans="1:5" x14ac:dyDescent="0.2">
      <c r="A2030">
        <v>11032</v>
      </c>
      <c r="B2030">
        <v>59</v>
      </c>
      <c r="C2030" s="2">
        <v>55</v>
      </c>
      <c r="D2030" s="2">
        <v>30</v>
      </c>
      <c r="E2030" s="3">
        <v>0</v>
      </c>
    </row>
    <row r="2031" spans="1:5" x14ac:dyDescent="0.2">
      <c r="A2031">
        <v>11033</v>
      </c>
      <c r="B2031">
        <v>53</v>
      </c>
      <c r="C2031" s="2">
        <v>32.799999999999997</v>
      </c>
      <c r="D2031" s="2">
        <v>70</v>
      </c>
      <c r="E2031" s="3">
        <v>0.1</v>
      </c>
    </row>
    <row r="2032" spans="1:5" x14ac:dyDescent="0.2">
      <c r="A2032">
        <v>11033</v>
      </c>
      <c r="B2032">
        <v>69</v>
      </c>
      <c r="C2032" s="2">
        <v>36</v>
      </c>
      <c r="D2032" s="2">
        <v>36</v>
      </c>
      <c r="E2032" s="3">
        <v>0.1</v>
      </c>
    </row>
    <row r="2033" spans="1:5" x14ac:dyDescent="0.2">
      <c r="A2033">
        <v>11034</v>
      </c>
      <c r="B2033">
        <v>21</v>
      </c>
      <c r="C2033" s="2">
        <v>10</v>
      </c>
      <c r="D2033" s="2">
        <v>15</v>
      </c>
      <c r="E2033" s="3">
        <v>0.1</v>
      </c>
    </row>
    <row r="2034" spans="1:5" x14ac:dyDescent="0.2">
      <c r="A2034">
        <v>11034</v>
      </c>
      <c r="B2034">
        <v>44</v>
      </c>
      <c r="C2034" s="2">
        <v>19.45</v>
      </c>
      <c r="D2034" s="2">
        <v>12</v>
      </c>
      <c r="E2034" s="3">
        <v>0</v>
      </c>
    </row>
    <row r="2035" spans="1:5" x14ac:dyDescent="0.2">
      <c r="A2035">
        <v>11034</v>
      </c>
      <c r="B2035">
        <v>61</v>
      </c>
      <c r="C2035" s="2">
        <v>28.5</v>
      </c>
      <c r="D2035" s="2">
        <v>6</v>
      </c>
      <c r="E2035" s="3">
        <v>0</v>
      </c>
    </row>
    <row r="2036" spans="1:5" x14ac:dyDescent="0.2">
      <c r="A2036">
        <v>11035</v>
      </c>
      <c r="B2036">
        <v>1</v>
      </c>
      <c r="C2036" s="2">
        <v>18</v>
      </c>
      <c r="D2036" s="2">
        <v>10</v>
      </c>
      <c r="E2036" s="3">
        <v>0</v>
      </c>
    </row>
    <row r="2037" spans="1:5" x14ac:dyDescent="0.2">
      <c r="A2037">
        <v>11035</v>
      </c>
      <c r="B2037">
        <v>35</v>
      </c>
      <c r="C2037" s="2">
        <v>18</v>
      </c>
      <c r="D2037" s="2">
        <v>60</v>
      </c>
      <c r="E2037" s="3">
        <v>0</v>
      </c>
    </row>
    <row r="2038" spans="1:5" x14ac:dyDescent="0.2">
      <c r="A2038">
        <v>11035</v>
      </c>
      <c r="B2038">
        <v>42</v>
      </c>
      <c r="C2038" s="2">
        <v>14</v>
      </c>
      <c r="D2038" s="2">
        <v>30</v>
      </c>
      <c r="E2038" s="3">
        <v>0</v>
      </c>
    </row>
    <row r="2039" spans="1:5" x14ac:dyDescent="0.2">
      <c r="A2039">
        <v>11035</v>
      </c>
      <c r="B2039">
        <v>54</v>
      </c>
      <c r="C2039" s="2">
        <v>7.45</v>
      </c>
      <c r="D2039" s="2">
        <v>10</v>
      </c>
      <c r="E2039" s="3">
        <v>0</v>
      </c>
    </row>
    <row r="2040" spans="1:5" x14ac:dyDescent="0.2">
      <c r="A2040">
        <v>11036</v>
      </c>
      <c r="B2040">
        <v>13</v>
      </c>
      <c r="C2040" s="2">
        <v>6</v>
      </c>
      <c r="D2040" s="2">
        <v>7</v>
      </c>
      <c r="E2040" s="3">
        <v>0</v>
      </c>
    </row>
    <row r="2041" spans="1:5" x14ac:dyDescent="0.2">
      <c r="A2041">
        <v>11036</v>
      </c>
      <c r="B2041">
        <v>59</v>
      </c>
      <c r="C2041" s="2">
        <v>55</v>
      </c>
      <c r="D2041" s="2">
        <v>30</v>
      </c>
      <c r="E2041" s="3">
        <v>0</v>
      </c>
    </row>
    <row r="2042" spans="1:5" x14ac:dyDescent="0.2">
      <c r="A2042">
        <v>11037</v>
      </c>
      <c r="B2042">
        <v>70</v>
      </c>
      <c r="C2042" s="2">
        <v>15</v>
      </c>
      <c r="D2042" s="2">
        <v>4</v>
      </c>
      <c r="E2042" s="3">
        <v>0</v>
      </c>
    </row>
    <row r="2043" spans="1:5" x14ac:dyDescent="0.2">
      <c r="A2043">
        <v>11038</v>
      </c>
      <c r="B2043">
        <v>40</v>
      </c>
      <c r="C2043" s="2">
        <v>18.399999999999999</v>
      </c>
      <c r="D2043" s="2">
        <v>5</v>
      </c>
      <c r="E2043" s="3">
        <v>0.2</v>
      </c>
    </row>
    <row r="2044" spans="1:5" x14ac:dyDescent="0.2">
      <c r="A2044">
        <v>11038</v>
      </c>
      <c r="B2044">
        <v>52</v>
      </c>
      <c r="C2044" s="2">
        <v>7</v>
      </c>
      <c r="D2044" s="2">
        <v>2</v>
      </c>
      <c r="E2044" s="3">
        <v>0</v>
      </c>
    </row>
    <row r="2045" spans="1:5" x14ac:dyDescent="0.2">
      <c r="A2045">
        <v>11038</v>
      </c>
      <c r="B2045">
        <v>71</v>
      </c>
      <c r="C2045" s="2">
        <v>21.5</v>
      </c>
      <c r="D2045" s="2">
        <v>30</v>
      </c>
      <c r="E2045" s="3">
        <v>0</v>
      </c>
    </row>
    <row r="2046" spans="1:5" x14ac:dyDescent="0.2">
      <c r="A2046">
        <v>11039</v>
      </c>
      <c r="B2046">
        <v>28</v>
      </c>
      <c r="C2046" s="2">
        <v>45.6</v>
      </c>
      <c r="D2046" s="2">
        <v>20</v>
      </c>
      <c r="E2046" s="3">
        <v>0</v>
      </c>
    </row>
    <row r="2047" spans="1:5" x14ac:dyDescent="0.2">
      <c r="A2047">
        <v>11039</v>
      </c>
      <c r="B2047">
        <v>35</v>
      </c>
      <c r="C2047" s="2">
        <v>18</v>
      </c>
      <c r="D2047" s="2">
        <v>24</v>
      </c>
      <c r="E2047" s="3">
        <v>0</v>
      </c>
    </row>
    <row r="2048" spans="1:5" x14ac:dyDescent="0.2">
      <c r="A2048">
        <v>11039</v>
      </c>
      <c r="B2048">
        <v>49</v>
      </c>
      <c r="C2048" s="2">
        <v>20</v>
      </c>
      <c r="D2048" s="2">
        <v>60</v>
      </c>
      <c r="E2048" s="3">
        <v>0</v>
      </c>
    </row>
    <row r="2049" spans="1:5" x14ac:dyDescent="0.2">
      <c r="A2049">
        <v>11039</v>
      </c>
      <c r="B2049">
        <v>57</v>
      </c>
      <c r="C2049" s="2">
        <v>19.5</v>
      </c>
      <c r="D2049" s="2">
        <v>28</v>
      </c>
      <c r="E2049" s="3">
        <v>0</v>
      </c>
    </row>
    <row r="2050" spans="1:5" x14ac:dyDescent="0.2">
      <c r="A2050">
        <v>11040</v>
      </c>
      <c r="B2050">
        <v>21</v>
      </c>
      <c r="C2050" s="2">
        <v>10</v>
      </c>
      <c r="D2050" s="2">
        <v>20</v>
      </c>
      <c r="E2050" s="3">
        <v>0</v>
      </c>
    </row>
    <row r="2051" spans="1:5" x14ac:dyDescent="0.2">
      <c r="A2051">
        <v>11041</v>
      </c>
      <c r="B2051">
        <v>2</v>
      </c>
      <c r="C2051" s="2">
        <v>19</v>
      </c>
      <c r="D2051" s="2">
        <v>30</v>
      </c>
      <c r="E2051" s="3">
        <v>0.2</v>
      </c>
    </row>
    <row r="2052" spans="1:5" x14ac:dyDescent="0.2">
      <c r="A2052">
        <v>11041</v>
      </c>
      <c r="B2052">
        <v>63</v>
      </c>
      <c r="C2052" s="2">
        <v>43.9</v>
      </c>
      <c r="D2052" s="2">
        <v>30</v>
      </c>
      <c r="E2052" s="3">
        <v>0</v>
      </c>
    </row>
    <row r="2053" spans="1:5" x14ac:dyDescent="0.2">
      <c r="A2053">
        <v>11042</v>
      </c>
      <c r="B2053">
        <v>44</v>
      </c>
      <c r="C2053" s="2">
        <v>19.45</v>
      </c>
      <c r="D2053" s="2">
        <v>15</v>
      </c>
      <c r="E2053" s="3">
        <v>0</v>
      </c>
    </row>
    <row r="2054" spans="1:5" x14ac:dyDescent="0.2">
      <c r="A2054">
        <v>11042</v>
      </c>
      <c r="B2054">
        <v>61</v>
      </c>
      <c r="C2054" s="2">
        <v>28.5</v>
      </c>
      <c r="D2054" s="2">
        <v>4</v>
      </c>
      <c r="E2054" s="3">
        <v>0</v>
      </c>
    </row>
    <row r="2055" spans="1:5" x14ac:dyDescent="0.2">
      <c r="A2055">
        <v>11043</v>
      </c>
      <c r="B2055">
        <v>11</v>
      </c>
      <c r="C2055" s="2">
        <v>21</v>
      </c>
      <c r="D2055" s="2">
        <v>10</v>
      </c>
      <c r="E2055" s="3">
        <v>0</v>
      </c>
    </row>
    <row r="2056" spans="1:5" x14ac:dyDescent="0.2">
      <c r="A2056">
        <v>11044</v>
      </c>
      <c r="B2056">
        <v>62</v>
      </c>
      <c r="C2056" s="2">
        <v>49.3</v>
      </c>
      <c r="D2056" s="2">
        <v>12</v>
      </c>
      <c r="E2056" s="3">
        <v>0</v>
      </c>
    </row>
    <row r="2057" spans="1:5" x14ac:dyDescent="0.2">
      <c r="A2057">
        <v>11045</v>
      </c>
      <c r="B2057">
        <v>33</v>
      </c>
      <c r="C2057" s="2">
        <v>2.5</v>
      </c>
      <c r="D2057" s="2">
        <v>15</v>
      </c>
      <c r="E2057" s="3">
        <v>0</v>
      </c>
    </row>
    <row r="2058" spans="1:5" x14ac:dyDescent="0.2">
      <c r="A2058">
        <v>11045</v>
      </c>
      <c r="B2058">
        <v>51</v>
      </c>
      <c r="C2058" s="2">
        <v>53</v>
      </c>
      <c r="D2058" s="2">
        <v>24</v>
      </c>
      <c r="E2058" s="3">
        <v>0</v>
      </c>
    </row>
    <row r="2059" spans="1:5" x14ac:dyDescent="0.2">
      <c r="A2059">
        <v>11046</v>
      </c>
      <c r="B2059">
        <v>12</v>
      </c>
      <c r="C2059" s="2">
        <v>38</v>
      </c>
      <c r="D2059" s="2">
        <v>20</v>
      </c>
      <c r="E2059" s="3">
        <v>0.05</v>
      </c>
    </row>
    <row r="2060" spans="1:5" x14ac:dyDescent="0.2">
      <c r="A2060">
        <v>11046</v>
      </c>
      <c r="B2060">
        <v>32</v>
      </c>
      <c r="C2060" s="2">
        <v>32</v>
      </c>
      <c r="D2060" s="2">
        <v>15</v>
      </c>
      <c r="E2060" s="3">
        <v>0.05</v>
      </c>
    </row>
    <row r="2061" spans="1:5" x14ac:dyDescent="0.2">
      <c r="A2061">
        <v>11046</v>
      </c>
      <c r="B2061">
        <v>35</v>
      </c>
      <c r="C2061" s="2">
        <v>18</v>
      </c>
      <c r="D2061" s="2">
        <v>18</v>
      </c>
      <c r="E2061" s="3">
        <v>0.05</v>
      </c>
    </row>
    <row r="2062" spans="1:5" x14ac:dyDescent="0.2">
      <c r="A2062">
        <v>11047</v>
      </c>
      <c r="B2062">
        <v>1</v>
      </c>
      <c r="C2062" s="2">
        <v>18</v>
      </c>
      <c r="D2062" s="2">
        <v>25</v>
      </c>
      <c r="E2062" s="3">
        <v>0.25</v>
      </c>
    </row>
    <row r="2063" spans="1:5" x14ac:dyDescent="0.2">
      <c r="A2063">
        <v>11047</v>
      </c>
      <c r="B2063">
        <v>5</v>
      </c>
      <c r="C2063" s="2">
        <v>21.35</v>
      </c>
      <c r="D2063" s="2">
        <v>30</v>
      </c>
      <c r="E2063" s="3">
        <v>0.25</v>
      </c>
    </row>
    <row r="2064" spans="1:5" x14ac:dyDescent="0.2">
      <c r="A2064">
        <v>11048</v>
      </c>
      <c r="B2064">
        <v>68</v>
      </c>
      <c r="C2064" s="2">
        <v>12.5</v>
      </c>
      <c r="D2064" s="2">
        <v>42</v>
      </c>
      <c r="E2064" s="3">
        <v>0</v>
      </c>
    </row>
    <row r="2065" spans="1:5" x14ac:dyDescent="0.2">
      <c r="A2065">
        <v>11049</v>
      </c>
      <c r="B2065">
        <v>2</v>
      </c>
      <c r="C2065" s="2">
        <v>19</v>
      </c>
      <c r="D2065" s="2">
        <v>10</v>
      </c>
      <c r="E2065" s="3">
        <v>0.2</v>
      </c>
    </row>
    <row r="2066" spans="1:5" x14ac:dyDescent="0.2">
      <c r="A2066">
        <v>11049</v>
      </c>
      <c r="B2066">
        <v>12</v>
      </c>
      <c r="C2066" s="2">
        <v>38</v>
      </c>
      <c r="D2066" s="2">
        <v>4</v>
      </c>
      <c r="E2066" s="3">
        <v>0.2</v>
      </c>
    </row>
    <row r="2067" spans="1:5" x14ac:dyDescent="0.2">
      <c r="A2067">
        <v>11050</v>
      </c>
      <c r="B2067">
        <v>76</v>
      </c>
      <c r="C2067" s="2">
        <v>18</v>
      </c>
      <c r="D2067" s="2">
        <v>50</v>
      </c>
      <c r="E2067" s="3">
        <v>0.1</v>
      </c>
    </row>
    <row r="2068" spans="1:5" x14ac:dyDescent="0.2">
      <c r="A2068">
        <v>11051</v>
      </c>
      <c r="B2068">
        <v>24</v>
      </c>
      <c r="C2068" s="2">
        <v>4.5</v>
      </c>
      <c r="D2068" s="2">
        <v>10</v>
      </c>
      <c r="E2068" s="3">
        <v>0.2</v>
      </c>
    </row>
    <row r="2069" spans="1:5" x14ac:dyDescent="0.2">
      <c r="A2069">
        <v>11052</v>
      </c>
      <c r="B2069">
        <v>43</v>
      </c>
      <c r="C2069" s="2">
        <v>46</v>
      </c>
      <c r="D2069" s="2">
        <v>30</v>
      </c>
      <c r="E2069" s="3">
        <v>0.2</v>
      </c>
    </row>
    <row r="2070" spans="1:5" x14ac:dyDescent="0.2">
      <c r="A2070">
        <v>11052</v>
      </c>
      <c r="B2070">
        <v>61</v>
      </c>
      <c r="C2070" s="2">
        <v>28.5</v>
      </c>
      <c r="D2070" s="2">
        <v>10</v>
      </c>
      <c r="E2070" s="3">
        <v>0.2</v>
      </c>
    </row>
    <row r="2071" spans="1:5" x14ac:dyDescent="0.2">
      <c r="A2071">
        <v>11053</v>
      </c>
      <c r="B2071">
        <v>18</v>
      </c>
      <c r="C2071" s="2">
        <v>62.5</v>
      </c>
      <c r="D2071" s="2">
        <v>35</v>
      </c>
      <c r="E2071" s="3">
        <v>0.2</v>
      </c>
    </row>
    <row r="2072" spans="1:5" x14ac:dyDescent="0.2">
      <c r="A2072">
        <v>11053</v>
      </c>
      <c r="B2072">
        <v>32</v>
      </c>
      <c r="C2072" s="2">
        <v>32</v>
      </c>
      <c r="D2072" s="2">
        <v>20</v>
      </c>
      <c r="E2072" s="3">
        <v>0</v>
      </c>
    </row>
    <row r="2073" spans="1:5" x14ac:dyDescent="0.2">
      <c r="A2073">
        <v>11053</v>
      </c>
      <c r="B2073">
        <v>64</v>
      </c>
      <c r="C2073" s="2">
        <v>33.25</v>
      </c>
      <c r="D2073" s="2">
        <v>25</v>
      </c>
      <c r="E2073" s="3">
        <v>0.2</v>
      </c>
    </row>
    <row r="2074" spans="1:5" x14ac:dyDescent="0.2">
      <c r="A2074">
        <v>11054</v>
      </c>
      <c r="B2074">
        <v>33</v>
      </c>
      <c r="C2074" s="2">
        <v>2.5</v>
      </c>
      <c r="D2074" s="2">
        <v>10</v>
      </c>
      <c r="E2074" s="3">
        <v>0</v>
      </c>
    </row>
    <row r="2075" spans="1:5" x14ac:dyDescent="0.2">
      <c r="A2075">
        <v>11054</v>
      </c>
      <c r="B2075">
        <v>67</v>
      </c>
      <c r="C2075" s="2">
        <v>14</v>
      </c>
      <c r="D2075" s="2">
        <v>20</v>
      </c>
      <c r="E2075" s="3">
        <v>0</v>
      </c>
    </row>
    <row r="2076" spans="1:5" x14ac:dyDescent="0.2">
      <c r="A2076">
        <v>11055</v>
      </c>
      <c r="B2076">
        <v>24</v>
      </c>
      <c r="C2076" s="2">
        <v>4.5</v>
      </c>
      <c r="D2076" s="2">
        <v>15</v>
      </c>
      <c r="E2076" s="3">
        <v>0</v>
      </c>
    </row>
    <row r="2077" spans="1:5" x14ac:dyDescent="0.2">
      <c r="A2077">
        <v>11055</v>
      </c>
      <c r="B2077">
        <v>25</v>
      </c>
      <c r="C2077" s="2">
        <v>14</v>
      </c>
      <c r="D2077" s="2">
        <v>15</v>
      </c>
      <c r="E2077" s="3">
        <v>0</v>
      </c>
    </row>
    <row r="2078" spans="1:5" x14ac:dyDescent="0.2">
      <c r="A2078">
        <v>11055</v>
      </c>
      <c r="B2078">
        <v>51</v>
      </c>
      <c r="C2078" s="2">
        <v>53</v>
      </c>
      <c r="D2078" s="2">
        <v>20</v>
      </c>
      <c r="E2078" s="3">
        <v>0</v>
      </c>
    </row>
    <row r="2079" spans="1:5" x14ac:dyDescent="0.2">
      <c r="A2079">
        <v>11055</v>
      </c>
      <c r="B2079">
        <v>57</v>
      </c>
      <c r="C2079" s="2">
        <v>19.5</v>
      </c>
      <c r="D2079" s="2">
        <v>20</v>
      </c>
      <c r="E2079" s="3">
        <v>0</v>
      </c>
    </row>
    <row r="2080" spans="1:5" x14ac:dyDescent="0.2">
      <c r="A2080">
        <v>11056</v>
      </c>
      <c r="B2080">
        <v>7</v>
      </c>
      <c r="C2080" s="2">
        <v>30</v>
      </c>
      <c r="D2080" s="2">
        <v>40</v>
      </c>
      <c r="E2080" s="3">
        <v>0</v>
      </c>
    </row>
    <row r="2081" spans="1:5" x14ac:dyDescent="0.2">
      <c r="A2081">
        <v>11056</v>
      </c>
      <c r="B2081">
        <v>55</v>
      </c>
      <c r="C2081" s="2">
        <v>24</v>
      </c>
      <c r="D2081" s="2">
        <v>35</v>
      </c>
      <c r="E2081" s="3">
        <v>0</v>
      </c>
    </row>
    <row r="2082" spans="1:5" x14ac:dyDescent="0.2">
      <c r="A2082">
        <v>11056</v>
      </c>
      <c r="B2082">
        <v>60</v>
      </c>
      <c r="C2082" s="2">
        <v>34</v>
      </c>
      <c r="D2082" s="2">
        <v>50</v>
      </c>
      <c r="E2082" s="3">
        <v>0</v>
      </c>
    </row>
    <row r="2083" spans="1:5" x14ac:dyDescent="0.2">
      <c r="A2083">
        <v>11057</v>
      </c>
      <c r="B2083">
        <v>70</v>
      </c>
      <c r="C2083" s="2">
        <v>15</v>
      </c>
      <c r="D2083" s="2">
        <v>3</v>
      </c>
      <c r="E2083" s="3">
        <v>0</v>
      </c>
    </row>
    <row r="2084" spans="1:5" x14ac:dyDescent="0.2">
      <c r="A2084">
        <v>11058</v>
      </c>
      <c r="B2084">
        <v>21</v>
      </c>
      <c r="C2084" s="2">
        <v>10</v>
      </c>
      <c r="D2084" s="2">
        <v>3</v>
      </c>
      <c r="E2084" s="3">
        <v>0</v>
      </c>
    </row>
    <row r="2085" spans="1:5" x14ac:dyDescent="0.2">
      <c r="A2085">
        <v>11058</v>
      </c>
      <c r="B2085">
        <v>60</v>
      </c>
      <c r="C2085" s="2">
        <v>34</v>
      </c>
      <c r="D2085" s="2">
        <v>21</v>
      </c>
      <c r="E2085" s="3">
        <v>0</v>
      </c>
    </row>
    <row r="2086" spans="1:5" x14ac:dyDescent="0.2">
      <c r="A2086">
        <v>11058</v>
      </c>
      <c r="B2086">
        <v>61</v>
      </c>
      <c r="C2086" s="2">
        <v>28.5</v>
      </c>
      <c r="D2086" s="2">
        <v>4</v>
      </c>
      <c r="E2086" s="3">
        <v>0</v>
      </c>
    </row>
    <row r="2087" spans="1:5" x14ac:dyDescent="0.2">
      <c r="A2087">
        <v>11059</v>
      </c>
      <c r="B2087">
        <v>13</v>
      </c>
      <c r="C2087" s="2">
        <v>6</v>
      </c>
      <c r="D2087" s="2">
        <v>30</v>
      </c>
      <c r="E2087" s="3">
        <v>0</v>
      </c>
    </row>
    <row r="2088" spans="1:5" x14ac:dyDescent="0.2">
      <c r="A2088">
        <v>11059</v>
      </c>
      <c r="B2088">
        <v>17</v>
      </c>
      <c r="C2088" s="2">
        <v>39</v>
      </c>
      <c r="D2088" s="2">
        <v>12</v>
      </c>
      <c r="E2088" s="3">
        <v>0</v>
      </c>
    </row>
    <row r="2089" spans="1:5" x14ac:dyDescent="0.2">
      <c r="A2089">
        <v>11059</v>
      </c>
      <c r="B2089">
        <v>60</v>
      </c>
      <c r="C2089" s="2">
        <v>34</v>
      </c>
      <c r="D2089" s="2">
        <v>35</v>
      </c>
      <c r="E2089" s="3">
        <v>0</v>
      </c>
    </row>
    <row r="2090" spans="1:5" x14ac:dyDescent="0.2">
      <c r="A2090">
        <v>11060</v>
      </c>
      <c r="B2090">
        <v>60</v>
      </c>
      <c r="C2090" s="2">
        <v>34</v>
      </c>
      <c r="D2090" s="2">
        <v>4</v>
      </c>
      <c r="E2090" s="3">
        <v>0</v>
      </c>
    </row>
    <row r="2091" spans="1:5" x14ac:dyDescent="0.2">
      <c r="A2091">
        <v>11060</v>
      </c>
      <c r="B2091">
        <v>77</v>
      </c>
      <c r="C2091" s="2">
        <v>13</v>
      </c>
      <c r="D2091" s="2">
        <v>10</v>
      </c>
      <c r="E2091" s="3">
        <v>0</v>
      </c>
    </row>
    <row r="2092" spans="1:5" x14ac:dyDescent="0.2">
      <c r="A2092">
        <v>11061</v>
      </c>
      <c r="B2092">
        <v>60</v>
      </c>
      <c r="C2092" s="2">
        <v>34</v>
      </c>
      <c r="D2092" s="2">
        <v>15</v>
      </c>
      <c r="E2092" s="3">
        <v>0</v>
      </c>
    </row>
    <row r="2093" spans="1:5" x14ac:dyDescent="0.2">
      <c r="A2093">
        <v>11062</v>
      </c>
      <c r="B2093">
        <v>53</v>
      </c>
      <c r="C2093" s="2">
        <v>32.799999999999997</v>
      </c>
      <c r="D2093" s="2">
        <v>10</v>
      </c>
      <c r="E2093" s="3">
        <v>0.2</v>
      </c>
    </row>
    <row r="2094" spans="1:5" x14ac:dyDescent="0.2">
      <c r="A2094">
        <v>11062</v>
      </c>
      <c r="B2094">
        <v>70</v>
      </c>
      <c r="C2094" s="2">
        <v>15</v>
      </c>
      <c r="D2094" s="2">
        <v>12</v>
      </c>
      <c r="E2094" s="3">
        <v>0.2</v>
      </c>
    </row>
    <row r="2095" spans="1:5" x14ac:dyDescent="0.2">
      <c r="A2095">
        <v>11063</v>
      </c>
      <c r="B2095">
        <v>34</v>
      </c>
      <c r="C2095" s="2">
        <v>14</v>
      </c>
      <c r="D2095" s="2">
        <v>30</v>
      </c>
      <c r="E2095" s="3">
        <v>0</v>
      </c>
    </row>
    <row r="2096" spans="1:5" x14ac:dyDescent="0.2">
      <c r="A2096">
        <v>11063</v>
      </c>
      <c r="B2096">
        <v>40</v>
      </c>
      <c r="C2096" s="2">
        <v>18.399999999999999</v>
      </c>
      <c r="D2096" s="2">
        <v>40</v>
      </c>
      <c r="E2096" s="3">
        <v>0.1</v>
      </c>
    </row>
    <row r="2097" spans="1:5" x14ac:dyDescent="0.2">
      <c r="A2097">
        <v>11063</v>
      </c>
      <c r="B2097">
        <v>41</v>
      </c>
      <c r="C2097" s="2">
        <v>9.65</v>
      </c>
      <c r="D2097" s="2">
        <v>30</v>
      </c>
      <c r="E2097" s="3">
        <v>0.1</v>
      </c>
    </row>
    <row r="2098" spans="1:5" x14ac:dyDescent="0.2">
      <c r="A2098">
        <v>11064</v>
      </c>
      <c r="B2098">
        <v>17</v>
      </c>
      <c r="C2098" s="2">
        <v>39</v>
      </c>
      <c r="D2098" s="2">
        <v>77</v>
      </c>
      <c r="E2098" s="3">
        <v>0.1</v>
      </c>
    </row>
    <row r="2099" spans="1:5" x14ac:dyDescent="0.2">
      <c r="A2099">
        <v>11064</v>
      </c>
      <c r="B2099">
        <v>41</v>
      </c>
      <c r="C2099" s="2">
        <v>9.65</v>
      </c>
      <c r="D2099" s="2">
        <v>12</v>
      </c>
      <c r="E2099" s="3">
        <v>0</v>
      </c>
    </row>
    <row r="2100" spans="1:5" x14ac:dyDescent="0.2">
      <c r="A2100">
        <v>11064</v>
      </c>
      <c r="B2100">
        <v>53</v>
      </c>
      <c r="C2100" s="2">
        <v>32.799999999999997</v>
      </c>
      <c r="D2100" s="2">
        <v>25</v>
      </c>
      <c r="E2100" s="3">
        <v>0.1</v>
      </c>
    </row>
    <row r="2101" spans="1:5" x14ac:dyDescent="0.2">
      <c r="A2101">
        <v>11064</v>
      </c>
      <c r="B2101">
        <v>55</v>
      </c>
      <c r="C2101" s="2">
        <v>24</v>
      </c>
      <c r="D2101" s="2">
        <v>4</v>
      </c>
      <c r="E2101" s="3">
        <v>0.1</v>
      </c>
    </row>
    <row r="2102" spans="1:5" x14ac:dyDescent="0.2">
      <c r="A2102">
        <v>11064</v>
      </c>
      <c r="B2102">
        <v>68</v>
      </c>
      <c r="C2102" s="2">
        <v>12.5</v>
      </c>
      <c r="D2102" s="2">
        <v>55</v>
      </c>
      <c r="E2102" s="3">
        <v>0</v>
      </c>
    </row>
    <row r="2103" spans="1:5" x14ac:dyDescent="0.2">
      <c r="A2103">
        <v>11065</v>
      </c>
      <c r="B2103">
        <v>30</v>
      </c>
      <c r="C2103" s="2">
        <v>25.89</v>
      </c>
      <c r="D2103" s="2">
        <v>4</v>
      </c>
      <c r="E2103" s="3">
        <v>0.25</v>
      </c>
    </row>
    <row r="2104" spans="1:5" x14ac:dyDescent="0.2">
      <c r="A2104">
        <v>11065</v>
      </c>
      <c r="B2104">
        <v>54</v>
      </c>
      <c r="C2104" s="2">
        <v>7.45</v>
      </c>
      <c r="D2104" s="2">
        <v>20</v>
      </c>
      <c r="E2104" s="3">
        <v>0.25</v>
      </c>
    </row>
    <row r="2105" spans="1:5" x14ac:dyDescent="0.2">
      <c r="A2105">
        <v>11066</v>
      </c>
      <c r="B2105">
        <v>16</v>
      </c>
      <c r="C2105" s="2">
        <v>17.45</v>
      </c>
      <c r="D2105" s="2">
        <v>3</v>
      </c>
      <c r="E2105" s="3">
        <v>0</v>
      </c>
    </row>
    <row r="2106" spans="1:5" x14ac:dyDescent="0.2">
      <c r="A2106">
        <v>11066</v>
      </c>
      <c r="B2106">
        <v>19</v>
      </c>
      <c r="C2106" s="2">
        <v>9.1999999999999993</v>
      </c>
      <c r="D2106" s="2">
        <v>42</v>
      </c>
      <c r="E2106" s="3">
        <v>0</v>
      </c>
    </row>
    <row r="2107" spans="1:5" x14ac:dyDescent="0.2">
      <c r="A2107">
        <v>11066</v>
      </c>
      <c r="B2107">
        <v>34</v>
      </c>
      <c r="C2107" s="2">
        <v>14</v>
      </c>
      <c r="D2107" s="2">
        <v>35</v>
      </c>
      <c r="E2107" s="3">
        <v>0</v>
      </c>
    </row>
    <row r="2108" spans="1:5" x14ac:dyDescent="0.2">
      <c r="A2108">
        <v>11067</v>
      </c>
      <c r="B2108">
        <v>41</v>
      </c>
      <c r="C2108" s="2">
        <v>9.65</v>
      </c>
      <c r="D2108" s="2">
        <v>9</v>
      </c>
      <c r="E2108" s="3">
        <v>0</v>
      </c>
    </row>
    <row r="2109" spans="1:5" x14ac:dyDescent="0.2">
      <c r="A2109">
        <v>11068</v>
      </c>
      <c r="B2109">
        <v>28</v>
      </c>
      <c r="C2109" s="2">
        <v>45.6</v>
      </c>
      <c r="D2109" s="2">
        <v>8</v>
      </c>
      <c r="E2109" s="3">
        <v>0.15</v>
      </c>
    </row>
    <row r="2110" spans="1:5" x14ac:dyDescent="0.2">
      <c r="A2110">
        <v>11068</v>
      </c>
      <c r="B2110">
        <v>43</v>
      </c>
      <c r="C2110" s="2">
        <v>46</v>
      </c>
      <c r="D2110" s="2">
        <v>36</v>
      </c>
      <c r="E2110" s="3">
        <v>0.15</v>
      </c>
    </row>
    <row r="2111" spans="1:5" x14ac:dyDescent="0.2">
      <c r="A2111">
        <v>11068</v>
      </c>
      <c r="B2111">
        <v>77</v>
      </c>
      <c r="C2111" s="2">
        <v>13</v>
      </c>
      <c r="D2111" s="2">
        <v>28</v>
      </c>
      <c r="E2111" s="3">
        <v>0.15</v>
      </c>
    </row>
    <row r="2112" spans="1:5" x14ac:dyDescent="0.2">
      <c r="A2112">
        <v>11069</v>
      </c>
      <c r="B2112">
        <v>39</v>
      </c>
      <c r="C2112" s="2">
        <v>18</v>
      </c>
      <c r="D2112" s="2">
        <v>20</v>
      </c>
      <c r="E2112" s="3">
        <v>0</v>
      </c>
    </row>
    <row r="2113" spans="1:5" x14ac:dyDescent="0.2">
      <c r="A2113">
        <v>11070</v>
      </c>
      <c r="B2113">
        <v>1</v>
      </c>
      <c r="C2113" s="2">
        <v>18</v>
      </c>
      <c r="D2113" s="2">
        <v>40</v>
      </c>
      <c r="E2113" s="3">
        <v>0.15</v>
      </c>
    </row>
    <row r="2114" spans="1:5" x14ac:dyDescent="0.2">
      <c r="A2114">
        <v>11070</v>
      </c>
      <c r="B2114">
        <v>2</v>
      </c>
      <c r="C2114" s="2">
        <v>19</v>
      </c>
      <c r="D2114" s="2">
        <v>20</v>
      </c>
      <c r="E2114" s="3">
        <v>0.15</v>
      </c>
    </row>
    <row r="2115" spans="1:5" x14ac:dyDescent="0.2">
      <c r="A2115">
        <v>11070</v>
      </c>
      <c r="B2115">
        <v>16</v>
      </c>
      <c r="C2115" s="2">
        <v>17.45</v>
      </c>
      <c r="D2115" s="2">
        <v>30</v>
      </c>
      <c r="E2115" s="3">
        <v>0.15</v>
      </c>
    </row>
    <row r="2116" spans="1:5" x14ac:dyDescent="0.2">
      <c r="A2116">
        <v>11070</v>
      </c>
      <c r="B2116">
        <v>31</v>
      </c>
      <c r="C2116" s="2">
        <v>12.5</v>
      </c>
      <c r="D2116" s="2">
        <v>20</v>
      </c>
      <c r="E2116" s="3">
        <v>0</v>
      </c>
    </row>
    <row r="2117" spans="1:5" x14ac:dyDescent="0.2">
      <c r="A2117">
        <v>11071</v>
      </c>
      <c r="B2117">
        <v>7</v>
      </c>
      <c r="C2117" s="2">
        <v>30</v>
      </c>
      <c r="D2117" s="2">
        <v>15</v>
      </c>
      <c r="E2117" s="3">
        <v>0.05</v>
      </c>
    </row>
    <row r="2118" spans="1:5" x14ac:dyDescent="0.2">
      <c r="A2118">
        <v>11071</v>
      </c>
      <c r="B2118">
        <v>13</v>
      </c>
      <c r="C2118" s="2">
        <v>6</v>
      </c>
      <c r="D2118" s="2">
        <v>10</v>
      </c>
      <c r="E2118" s="3">
        <v>0.05</v>
      </c>
    </row>
    <row r="2119" spans="1:5" x14ac:dyDescent="0.2">
      <c r="A2119">
        <v>11072</v>
      </c>
      <c r="B2119">
        <v>2</v>
      </c>
      <c r="C2119" s="2">
        <v>19</v>
      </c>
      <c r="D2119" s="2">
        <v>8</v>
      </c>
      <c r="E2119" s="3">
        <v>0</v>
      </c>
    </row>
    <row r="2120" spans="1:5" x14ac:dyDescent="0.2">
      <c r="A2120">
        <v>11072</v>
      </c>
      <c r="B2120">
        <v>41</v>
      </c>
      <c r="C2120" s="2">
        <v>9.65</v>
      </c>
      <c r="D2120" s="2">
        <v>40</v>
      </c>
      <c r="E2120" s="3">
        <v>0</v>
      </c>
    </row>
    <row r="2121" spans="1:5" x14ac:dyDescent="0.2">
      <c r="A2121">
        <v>11072</v>
      </c>
      <c r="B2121">
        <v>50</v>
      </c>
      <c r="C2121" s="2">
        <v>16.25</v>
      </c>
      <c r="D2121" s="2">
        <v>22</v>
      </c>
      <c r="E2121" s="3">
        <v>0</v>
      </c>
    </row>
    <row r="2122" spans="1:5" x14ac:dyDescent="0.2">
      <c r="A2122">
        <v>11072</v>
      </c>
      <c r="B2122">
        <v>64</v>
      </c>
      <c r="C2122" s="2">
        <v>33.25</v>
      </c>
      <c r="D2122" s="2">
        <v>130</v>
      </c>
      <c r="E2122" s="3">
        <v>0</v>
      </c>
    </row>
    <row r="2123" spans="1:5" x14ac:dyDescent="0.2">
      <c r="A2123">
        <v>11073</v>
      </c>
      <c r="B2123">
        <v>11</v>
      </c>
      <c r="C2123" s="2">
        <v>21</v>
      </c>
      <c r="D2123" s="2">
        <v>10</v>
      </c>
      <c r="E2123" s="3">
        <v>0</v>
      </c>
    </row>
    <row r="2124" spans="1:5" x14ac:dyDescent="0.2">
      <c r="A2124">
        <v>11073</v>
      </c>
      <c r="B2124">
        <v>24</v>
      </c>
      <c r="C2124" s="2">
        <v>4.5</v>
      </c>
      <c r="D2124" s="2">
        <v>20</v>
      </c>
      <c r="E2124" s="3">
        <v>0</v>
      </c>
    </row>
    <row r="2125" spans="1:5" x14ac:dyDescent="0.2">
      <c r="A2125">
        <v>11074</v>
      </c>
      <c r="B2125">
        <v>16</v>
      </c>
      <c r="C2125" s="2">
        <v>17.45</v>
      </c>
      <c r="D2125" s="2">
        <v>14</v>
      </c>
      <c r="E2125" s="3">
        <v>0.05</v>
      </c>
    </row>
    <row r="2126" spans="1:5" x14ac:dyDescent="0.2">
      <c r="A2126">
        <v>11075</v>
      </c>
      <c r="B2126">
        <v>2</v>
      </c>
      <c r="C2126" s="2">
        <v>19</v>
      </c>
      <c r="D2126" s="2">
        <v>10</v>
      </c>
      <c r="E2126" s="3">
        <v>0.15</v>
      </c>
    </row>
    <row r="2127" spans="1:5" x14ac:dyDescent="0.2">
      <c r="A2127">
        <v>11075</v>
      </c>
      <c r="B2127">
        <v>46</v>
      </c>
      <c r="C2127" s="2">
        <v>12</v>
      </c>
      <c r="D2127" s="2">
        <v>30</v>
      </c>
      <c r="E2127" s="3">
        <v>0.15</v>
      </c>
    </row>
    <row r="2128" spans="1:5" x14ac:dyDescent="0.2">
      <c r="A2128">
        <v>11075</v>
      </c>
      <c r="B2128">
        <v>76</v>
      </c>
      <c r="C2128" s="2">
        <v>18</v>
      </c>
      <c r="D2128" s="2">
        <v>2</v>
      </c>
      <c r="E2128" s="3">
        <v>0.15</v>
      </c>
    </row>
    <row r="2129" spans="1:5" x14ac:dyDescent="0.2">
      <c r="A2129">
        <v>11076</v>
      </c>
      <c r="B2129">
        <v>6</v>
      </c>
      <c r="C2129" s="2">
        <v>25</v>
      </c>
      <c r="D2129" s="2">
        <v>20</v>
      </c>
      <c r="E2129" s="3">
        <v>0.25</v>
      </c>
    </row>
    <row r="2130" spans="1:5" x14ac:dyDescent="0.2">
      <c r="A2130">
        <v>11076</v>
      </c>
      <c r="B2130">
        <v>14</v>
      </c>
      <c r="C2130" s="2">
        <v>23.25</v>
      </c>
      <c r="D2130" s="2">
        <v>20</v>
      </c>
      <c r="E2130" s="3">
        <v>0.25</v>
      </c>
    </row>
    <row r="2131" spans="1:5" x14ac:dyDescent="0.2">
      <c r="A2131">
        <v>11076</v>
      </c>
      <c r="B2131">
        <v>19</v>
      </c>
      <c r="C2131" s="2">
        <v>9.1999999999999993</v>
      </c>
      <c r="D2131" s="2">
        <v>10</v>
      </c>
      <c r="E2131" s="3">
        <v>0.25</v>
      </c>
    </row>
    <row r="2132" spans="1:5" x14ac:dyDescent="0.2">
      <c r="A2132">
        <v>11077</v>
      </c>
      <c r="B2132">
        <v>2</v>
      </c>
      <c r="C2132" s="2">
        <v>19</v>
      </c>
      <c r="D2132" s="2">
        <v>24</v>
      </c>
      <c r="E2132" s="3">
        <v>0.2</v>
      </c>
    </row>
    <row r="2133" spans="1:5" x14ac:dyDescent="0.2">
      <c r="A2133">
        <v>11077</v>
      </c>
      <c r="B2133">
        <v>3</v>
      </c>
      <c r="C2133" s="2">
        <v>10</v>
      </c>
      <c r="D2133" s="2">
        <v>4</v>
      </c>
      <c r="E2133" s="3">
        <v>0</v>
      </c>
    </row>
    <row r="2134" spans="1:5" x14ac:dyDescent="0.2">
      <c r="A2134">
        <v>11077</v>
      </c>
      <c r="B2134">
        <v>4</v>
      </c>
      <c r="C2134" s="2">
        <v>22</v>
      </c>
      <c r="D2134" s="2">
        <v>1</v>
      </c>
      <c r="E2134" s="3">
        <v>0</v>
      </c>
    </row>
    <row r="2135" spans="1:5" x14ac:dyDescent="0.2">
      <c r="A2135">
        <v>11077</v>
      </c>
      <c r="B2135">
        <v>6</v>
      </c>
      <c r="C2135" s="2">
        <v>25</v>
      </c>
      <c r="D2135" s="2">
        <v>1</v>
      </c>
      <c r="E2135" s="3">
        <v>0.02</v>
      </c>
    </row>
    <row r="2136" spans="1:5" x14ac:dyDescent="0.2">
      <c r="A2136">
        <v>11077</v>
      </c>
      <c r="B2136">
        <v>7</v>
      </c>
      <c r="C2136" s="2">
        <v>30</v>
      </c>
      <c r="D2136" s="2">
        <v>1</v>
      </c>
      <c r="E2136" s="3">
        <v>0.05</v>
      </c>
    </row>
    <row r="2137" spans="1:5" x14ac:dyDescent="0.2">
      <c r="A2137">
        <v>11077</v>
      </c>
      <c r="B2137">
        <v>8</v>
      </c>
      <c r="C2137" s="2">
        <v>40</v>
      </c>
      <c r="D2137" s="2">
        <v>2</v>
      </c>
      <c r="E2137" s="3">
        <v>0.1</v>
      </c>
    </row>
    <row r="2138" spans="1:5" x14ac:dyDescent="0.2">
      <c r="A2138">
        <v>11077</v>
      </c>
      <c r="B2138">
        <v>10</v>
      </c>
      <c r="C2138" s="2">
        <v>31</v>
      </c>
      <c r="D2138" s="2">
        <v>1</v>
      </c>
      <c r="E2138" s="3">
        <v>0</v>
      </c>
    </row>
    <row r="2139" spans="1:5" x14ac:dyDescent="0.2">
      <c r="A2139">
        <v>11077</v>
      </c>
      <c r="B2139">
        <v>12</v>
      </c>
      <c r="C2139" s="2">
        <v>38</v>
      </c>
      <c r="D2139" s="2">
        <v>2</v>
      </c>
      <c r="E2139" s="3">
        <v>0.05</v>
      </c>
    </row>
    <row r="2140" spans="1:5" x14ac:dyDescent="0.2">
      <c r="A2140">
        <v>11077</v>
      </c>
      <c r="B2140">
        <v>13</v>
      </c>
      <c r="C2140" s="2">
        <v>6</v>
      </c>
      <c r="D2140" s="2">
        <v>4</v>
      </c>
      <c r="E2140" s="3">
        <v>0</v>
      </c>
    </row>
    <row r="2141" spans="1:5" x14ac:dyDescent="0.2">
      <c r="A2141">
        <v>11077</v>
      </c>
      <c r="B2141">
        <v>14</v>
      </c>
      <c r="C2141" s="2">
        <v>23.25</v>
      </c>
      <c r="D2141" s="2">
        <v>1</v>
      </c>
      <c r="E2141" s="3">
        <v>0.03</v>
      </c>
    </row>
    <row r="2142" spans="1:5" x14ac:dyDescent="0.2">
      <c r="A2142">
        <v>11077</v>
      </c>
      <c r="B2142">
        <v>16</v>
      </c>
      <c r="C2142" s="2">
        <v>17.45</v>
      </c>
      <c r="D2142" s="2">
        <v>2</v>
      </c>
      <c r="E2142" s="3">
        <v>0.03</v>
      </c>
    </row>
    <row r="2143" spans="1:5" x14ac:dyDescent="0.2">
      <c r="A2143">
        <v>11077</v>
      </c>
      <c r="B2143">
        <v>20</v>
      </c>
      <c r="C2143" s="2">
        <v>81</v>
      </c>
      <c r="D2143" s="2">
        <v>1</v>
      </c>
      <c r="E2143" s="3">
        <v>0.04</v>
      </c>
    </row>
    <row r="2144" spans="1:5" x14ac:dyDescent="0.2">
      <c r="A2144">
        <v>11077</v>
      </c>
      <c r="B2144">
        <v>23</v>
      </c>
      <c r="C2144" s="2">
        <v>9</v>
      </c>
      <c r="D2144" s="2">
        <v>2</v>
      </c>
      <c r="E2144" s="3">
        <v>0</v>
      </c>
    </row>
    <row r="2145" spans="1:5" x14ac:dyDescent="0.2">
      <c r="A2145">
        <v>11077</v>
      </c>
      <c r="B2145">
        <v>32</v>
      </c>
      <c r="C2145" s="2">
        <v>32</v>
      </c>
      <c r="D2145" s="2">
        <v>1</v>
      </c>
      <c r="E2145" s="3">
        <v>0</v>
      </c>
    </row>
    <row r="2146" spans="1:5" x14ac:dyDescent="0.2">
      <c r="A2146">
        <v>11077</v>
      </c>
      <c r="B2146">
        <v>39</v>
      </c>
      <c r="C2146" s="2">
        <v>18</v>
      </c>
      <c r="D2146" s="2">
        <v>2</v>
      </c>
      <c r="E2146" s="3">
        <v>0.05</v>
      </c>
    </row>
    <row r="2147" spans="1:5" x14ac:dyDescent="0.2">
      <c r="A2147">
        <v>11077</v>
      </c>
      <c r="B2147">
        <v>41</v>
      </c>
      <c r="C2147" s="2">
        <v>9.65</v>
      </c>
      <c r="D2147" s="2">
        <v>3</v>
      </c>
      <c r="E2147" s="3">
        <v>0</v>
      </c>
    </row>
    <row r="2148" spans="1:5" x14ac:dyDescent="0.2">
      <c r="A2148">
        <v>11077</v>
      </c>
      <c r="B2148">
        <v>46</v>
      </c>
      <c r="C2148" s="2">
        <v>12</v>
      </c>
      <c r="D2148" s="2">
        <v>3</v>
      </c>
      <c r="E2148" s="3">
        <v>0.02</v>
      </c>
    </row>
    <row r="2149" spans="1:5" x14ac:dyDescent="0.2">
      <c r="A2149">
        <v>11077</v>
      </c>
      <c r="B2149">
        <v>52</v>
      </c>
      <c r="C2149" s="2">
        <v>7</v>
      </c>
      <c r="D2149" s="2">
        <v>2</v>
      </c>
      <c r="E2149" s="3">
        <v>0</v>
      </c>
    </row>
    <row r="2150" spans="1:5" x14ac:dyDescent="0.2">
      <c r="A2150">
        <v>11077</v>
      </c>
      <c r="B2150">
        <v>55</v>
      </c>
      <c r="C2150" s="2">
        <v>24</v>
      </c>
      <c r="D2150" s="2">
        <v>2</v>
      </c>
      <c r="E2150" s="3">
        <v>0</v>
      </c>
    </row>
    <row r="2151" spans="1:5" x14ac:dyDescent="0.2">
      <c r="A2151">
        <v>11077</v>
      </c>
      <c r="B2151">
        <v>60</v>
      </c>
      <c r="C2151" s="2">
        <v>34</v>
      </c>
      <c r="D2151" s="2">
        <v>2</v>
      </c>
      <c r="E2151" s="3">
        <v>0.06</v>
      </c>
    </row>
    <row r="2152" spans="1:5" x14ac:dyDescent="0.2">
      <c r="A2152">
        <v>11077</v>
      </c>
      <c r="B2152">
        <v>64</v>
      </c>
      <c r="C2152" s="2">
        <v>33.25</v>
      </c>
      <c r="D2152" s="2">
        <v>2</v>
      </c>
      <c r="E2152" s="3">
        <v>0.03</v>
      </c>
    </row>
    <row r="2153" spans="1:5" x14ac:dyDescent="0.2">
      <c r="A2153">
        <v>11077</v>
      </c>
      <c r="B2153">
        <v>66</v>
      </c>
      <c r="C2153" s="2">
        <v>17</v>
      </c>
      <c r="D2153" s="2">
        <v>1</v>
      </c>
      <c r="E2153" s="3">
        <v>0</v>
      </c>
    </row>
    <row r="2154" spans="1:5" x14ac:dyDescent="0.2">
      <c r="A2154">
        <v>11077</v>
      </c>
      <c r="B2154">
        <v>73</v>
      </c>
      <c r="C2154" s="2">
        <v>15</v>
      </c>
      <c r="D2154" s="2">
        <v>2</v>
      </c>
      <c r="E2154" s="3">
        <v>0.01</v>
      </c>
    </row>
    <row r="2155" spans="1:5" x14ac:dyDescent="0.2">
      <c r="A2155">
        <v>11077</v>
      </c>
      <c r="B2155">
        <v>75</v>
      </c>
      <c r="C2155" s="2">
        <v>7.75</v>
      </c>
      <c r="D2155" s="2">
        <v>4</v>
      </c>
      <c r="E2155" s="3">
        <v>0</v>
      </c>
    </row>
    <row r="2156" spans="1:5" x14ac:dyDescent="0.2">
      <c r="A2156">
        <v>11077</v>
      </c>
      <c r="B2156">
        <v>77</v>
      </c>
      <c r="C2156" s="2">
        <v>13</v>
      </c>
      <c r="D2156" s="2">
        <v>2</v>
      </c>
      <c r="E2156" s="3">
        <v>0</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0080-BFE3-2846-B469-70303FAE9039}">
  <sheetPr codeName="Hoja8"/>
  <dimension ref="A1:J78"/>
  <sheetViews>
    <sheetView zoomScale="118" workbookViewId="0">
      <selection activeCell="H19" sqref="H19"/>
    </sheetView>
  </sheetViews>
  <sheetFormatPr baseColWidth="10" defaultRowHeight="16" x14ac:dyDescent="0.2"/>
  <cols>
    <col min="1" max="1" width="10.1640625" customWidth="1"/>
    <col min="2" max="2" width="29.33203125" bestFit="1" customWidth="1"/>
    <col min="3" max="3" width="10.5" customWidth="1"/>
    <col min="5" max="5" width="15" customWidth="1"/>
    <col min="7" max="7" width="12.5" customWidth="1"/>
    <col min="8" max="8" width="13.1640625" customWidth="1"/>
    <col min="9" max="9" width="12.33203125" customWidth="1"/>
    <col min="10" max="10" width="12.83203125" customWidth="1"/>
  </cols>
  <sheetData>
    <row r="1" spans="1:10" x14ac:dyDescent="0.2">
      <c r="A1" t="s">
        <v>417</v>
      </c>
      <c r="B1" t="s">
        <v>815</v>
      </c>
      <c r="C1" t="s">
        <v>816</v>
      </c>
      <c r="D1" t="s">
        <v>817</v>
      </c>
      <c r="E1" t="s">
        <v>818</v>
      </c>
      <c r="F1" t="s">
        <v>418</v>
      </c>
      <c r="G1" t="s">
        <v>819</v>
      </c>
      <c r="H1" t="s">
        <v>820</v>
      </c>
      <c r="I1" t="s">
        <v>821</v>
      </c>
      <c r="J1" t="s">
        <v>822</v>
      </c>
    </row>
    <row r="2" spans="1:10" x14ac:dyDescent="0.2">
      <c r="A2">
        <v>1</v>
      </c>
      <c r="B2" t="s">
        <v>823</v>
      </c>
      <c r="C2">
        <v>1</v>
      </c>
      <c r="D2">
        <v>1</v>
      </c>
      <c r="E2" t="s">
        <v>824</v>
      </c>
      <c r="F2" s="2">
        <v>18</v>
      </c>
      <c r="G2">
        <v>39</v>
      </c>
      <c r="H2">
        <v>0</v>
      </c>
      <c r="I2">
        <v>10</v>
      </c>
      <c r="J2">
        <v>0</v>
      </c>
    </row>
    <row r="3" spans="1:10" x14ac:dyDescent="0.2">
      <c r="A3">
        <v>2</v>
      </c>
      <c r="B3" t="s">
        <v>825</v>
      </c>
      <c r="C3">
        <v>1</v>
      </c>
      <c r="D3">
        <v>1</v>
      </c>
      <c r="E3" t="s">
        <v>826</v>
      </c>
      <c r="F3" s="2">
        <v>19</v>
      </c>
      <c r="G3">
        <v>17</v>
      </c>
      <c r="H3">
        <v>40</v>
      </c>
      <c r="I3">
        <v>25</v>
      </c>
      <c r="J3">
        <v>0</v>
      </c>
    </row>
    <row r="4" spans="1:10" x14ac:dyDescent="0.2">
      <c r="A4">
        <v>3</v>
      </c>
      <c r="B4" t="s">
        <v>827</v>
      </c>
      <c r="C4">
        <v>1</v>
      </c>
      <c r="D4">
        <v>2</v>
      </c>
      <c r="E4" t="s">
        <v>828</v>
      </c>
      <c r="F4" s="2">
        <v>10</v>
      </c>
      <c r="G4">
        <v>13</v>
      </c>
      <c r="H4">
        <v>70</v>
      </c>
      <c r="I4">
        <v>25</v>
      </c>
      <c r="J4">
        <v>0</v>
      </c>
    </row>
    <row r="5" spans="1:10" x14ac:dyDescent="0.2">
      <c r="A5">
        <v>4</v>
      </c>
      <c r="B5" t="s">
        <v>829</v>
      </c>
      <c r="C5">
        <v>2</v>
      </c>
      <c r="D5">
        <v>2</v>
      </c>
      <c r="E5" t="s">
        <v>830</v>
      </c>
      <c r="F5" s="2">
        <v>22</v>
      </c>
      <c r="G5">
        <v>53</v>
      </c>
      <c r="H5">
        <v>0</v>
      </c>
      <c r="I5">
        <v>0</v>
      </c>
      <c r="J5">
        <v>0</v>
      </c>
    </row>
    <row r="6" spans="1:10" x14ac:dyDescent="0.2">
      <c r="A6">
        <v>5</v>
      </c>
      <c r="B6" t="s">
        <v>831</v>
      </c>
      <c r="C6">
        <v>2</v>
      </c>
      <c r="D6">
        <v>2</v>
      </c>
      <c r="E6" t="s">
        <v>832</v>
      </c>
      <c r="F6" s="2">
        <v>21.35</v>
      </c>
      <c r="G6">
        <v>0</v>
      </c>
      <c r="H6">
        <v>0</v>
      </c>
      <c r="I6">
        <v>0</v>
      </c>
      <c r="J6">
        <v>1</v>
      </c>
    </row>
    <row r="7" spans="1:10" x14ac:dyDescent="0.2">
      <c r="A7">
        <v>6</v>
      </c>
      <c r="B7" t="s">
        <v>833</v>
      </c>
      <c r="C7">
        <v>3</v>
      </c>
      <c r="D7">
        <v>2</v>
      </c>
      <c r="E7" t="s">
        <v>834</v>
      </c>
      <c r="F7" s="2">
        <v>25</v>
      </c>
      <c r="G7">
        <v>120</v>
      </c>
      <c r="H7">
        <v>0</v>
      </c>
      <c r="I7">
        <v>25</v>
      </c>
      <c r="J7">
        <v>0</v>
      </c>
    </row>
    <row r="8" spans="1:10" x14ac:dyDescent="0.2">
      <c r="A8">
        <v>7</v>
      </c>
      <c r="B8" t="s">
        <v>835</v>
      </c>
      <c r="C8">
        <v>3</v>
      </c>
      <c r="D8">
        <v>7</v>
      </c>
      <c r="E8" t="s">
        <v>836</v>
      </c>
      <c r="F8" s="2">
        <v>30</v>
      </c>
      <c r="G8">
        <v>15</v>
      </c>
      <c r="H8">
        <v>0</v>
      </c>
      <c r="I8">
        <v>10</v>
      </c>
      <c r="J8">
        <v>0</v>
      </c>
    </row>
    <row r="9" spans="1:10" x14ac:dyDescent="0.2">
      <c r="A9">
        <v>8</v>
      </c>
      <c r="B9" t="s">
        <v>837</v>
      </c>
      <c r="C9">
        <v>3</v>
      </c>
      <c r="D9">
        <v>2</v>
      </c>
      <c r="E9" t="s">
        <v>838</v>
      </c>
      <c r="F9" s="2">
        <v>40</v>
      </c>
      <c r="G9">
        <v>6</v>
      </c>
      <c r="H9">
        <v>0</v>
      </c>
      <c r="I9">
        <v>0</v>
      </c>
      <c r="J9">
        <v>0</v>
      </c>
    </row>
    <row r="10" spans="1:10" x14ac:dyDescent="0.2">
      <c r="A10">
        <v>9</v>
      </c>
      <c r="B10" t="s">
        <v>839</v>
      </c>
      <c r="C10">
        <v>4</v>
      </c>
      <c r="D10">
        <v>6</v>
      </c>
      <c r="E10" t="s">
        <v>840</v>
      </c>
      <c r="F10" s="2">
        <v>97</v>
      </c>
      <c r="G10">
        <v>29</v>
      </c>
      <c r="H10">
        <v>0</v>
      </c>
      <c r="I10">
        <v>0</v>
      </c>
      <c r="J10">
        <v>1</v>
      </c>
    </row>
    <row r="11" spans="1:10" x14ac:dyDescent="0.2">
      <c r="A11">
        <v>10</v>
      </c>
      <c r="B11" t="s">
        <v>841</v>
      </c>
      <c r="C11">
        <v>4</v>
      </c>
      <c r="D11">
        <v>8</v>
      </c>
      <c r="E11" t="s">
        <v>842</v>
      </c>
      <c r="F11" s="2">
        <v>31</v>
      </c>
      <c r="G11">
        <v>31</v>
      </c>
      <c r="H11">
        <v>0</v>
      </c>
      <c r="I11">
        <v>0</v>
      </c>
      <c r="J11">
        <v>0</v>
      </c>
    </row>
    <row r="12" spans="1:10" x14ac:dyDescent="0.2">
      <c r="A12">
        <v>11</v>
      </c>
      <c r="B12" t="s">
        <v>843</v>
      </c>
      <c r="C12">
        <v>5</v>
      </c>
      <c r="D12">
        <v>4</v>
      </c>
      <c r="E12" t="s">
        <v>844</v>
      </c>
      <c r="F12" s="2">
        <v>21</v>
      </c>
      <c r="G12">
        <v>22</v>
      </c>
      <c r="H12">
        <v>30</v>
      </c>
      <c r="I12">
        <v>30</v>
      </c>
      <c r="J12">
        <v>0</v>
      </c>
    </row>
    <row r="13" spans="1:10" x14ac:dyDescent="0.2">
      <c r="A13">
        <v>12</v>
      </c>
      <c r="B13" t="s">
        <v>845</v>
      </c>
      <c r="C13">
        <v>5</v>
      </c>
      <c r="D13">
        <v>4</v>
      </c>
      <c r="E13" t="s">
        <v>846</v>
      </c>
      <c r="F13" s="2">
        <v>38</v>
      </c>
      <c r="G13">
        <v>86</v>
      </c>
      <c r="H13">
        <v>0</v>
      </c>
      <c r="I13">
        <v>0</v>
      </c>
      <c r="J13">
        <v>0</v>
      </c>
    </row>
    <row r="14" spans="1:10" x14ac:dyDescent="0.2">
      <c r="A14">
        <v>13</v>
      </c>
      <c r="B14" t="s">
        <v>847</v>
      </c>
      <c r="C14">
        <v>6</v>
      </c>
      <c r="D14">
        <v>8</v>
      </c>
      <c r="E14" t="s">
        <v>848</v>
      </c>
      <c r="F14" s="2">
        <v>6</v>
      </c>
      <c r="G14">
        <v>24</v>
      </c>
      <c r="H14">
        <v>0</v>
      </c>
      <c r="I14">
        <v>5</v>
      </c>
      <c r="J14">
        <v>0</v>
      </c>
    </row>
    <row r="15" spans="1:10" x14ac:dyDescent="0.2">
      <c r="A15">
        <v>14</v>
      </c>
      <c r="B15" t="s">
        <v>849</v>
      </c>
      <c r="C15">
        <v>6</v>
      </c>
      <c r="D15">
        <v>7</v>
      </c>
      <c r="E15" t="s">
        <v>850</v>
      </c>
      <c r="F15" s="2">
        <v>23.25</v>
      </c>
      <c r="G15">
        <v>35</v>
      </c>
      <c r="H15">
        <v>0</v>
      </c>
      <c r="I15">
        <v>0</v>
      </c>
      <c r="J15">
        <v>0</v>
      </c>
    </row>
    <row r="16" spans="1:10" x14ac:dyDescent="0.2">
      <c r="A16">
        <v>15</v>
      </c>
      <c r="B16" t="s">
        <v>851</v>
      </c>
      <c r="C16">
        <v>6</v>
      </c>
      <c r="D16">
        <v>2</v>
      </c>
      <c r="E16" t="s">
        <v>852</v>
      </c>
      <c r="F16" s="2">
        <v>15.5</v>
      </c>
      <c r="G16">
        <v>39</v>
      </c>
      <c r="H16">
        <v>0</v>
      </c>
      <c r="I16">
        <v>5</v>
      </c>
      <c r="J16">
        <v>0</v>
      </c>
    </row>
    <row r="17" spans="1:10" x14ac:dyDescent="0.2">
      <c r="A17">
        <v>16</v>
      </c>
      <c r="B17" t="s">
        <v>853</v>
      </c>
      <c r="C17">
        <v>7</v>
      </c>
      <c r="D17">
        <v>3</v>
      </c>
      <c r="E17" t="s">
        <v>854</v>
      </c>
      <c r="F17" s="2">
        <v>17.45</v>
      </c>
      <c r="G17">
        <v>29</v>
      </c>
      <c r="H17">
        <v>0</v>
      </c>
      <c r="I17">
        <v>10</v>
      </c>
      <c r="J17">
        <v>0</v>
      </c>
    </row>
    <row r="18" spans="1:10" x14ac:dyDescent="0.2">
      <c r="A18">
        <v>17</v>
      </c>
      <c r="B18" t="s">
        <v>855</v>
      </c>
      <c r="C18">
        <v>7</v>
      </c>
      <c r="D18">
        <v>6</v>
      </c>
      <c r="E18" t="s">
        <v>856</v>
      </c>
      <c r="F18" s="2">
        <v>39</v>
      </c>
      <c r="G18">
        <v>0</v>
      </c>
      <c r="H18">
        <v>0</v>
      </c>
      <c r="I18">
        <v>0</v>
      </c>
      <c r="J18">
        <v>1</v>
      </c>
    </row>
    <row r="19" spans="1:10" x14ac:dyDescent="0.2">
      <c r="A19">
        <v>18</v>
      </c>
      <c r="B19" t="s">
        <v>857</v>
      </c>
      <c r="C19">
        <v>7</v>
      </c>
      <c r="D19">
        <v>8</v>
      </c>
      <c r="E19" t="s">
        <v>858</v>
      </c>
      <c r="F19" s="2">
        <v>62.5</v>
      </c>
      <c r="G19">
        <v>42</v>
      </c>
      <c r="H19">
        <v>0</v>
      </c>
      <c r="I19">
        <v>0</v>
      </c>
      <c r="J19">
        <v>0</v>
      </c>
    </row>
    <row r="20" spans="1:10" x14ac:dyDescent="0.2">
      <c r="A20">
        <v>19</v>
      </c>
      <c r="B20" t="s">
        <v>859</v>
      </c>
      <c r="C20">
        <v>8</v>
      </c>
      <c r="D20">
        <v>3</v>
      </c>
      <c r="E20" t="s">
        <v>860</v>
      </c>
      <c r="F20" s="2">
        <v>9.1999999999999993</v>
      </c>
      <c r="G20">
        <v>25</v>
      </c>
      <c r="H20">
        <v>0</v>
      </c>
      <c r="I20">
        <v>5</v>
      </c>
      <c r="J20">
        <v>0</v>
      </c>
    </row>
    <row r="21" spans="1:10" x14ac:dyDescent="0.2">
      <c r="A21">
        <v>20</v>
      </c>
      <c r="B21" t="s">
        <v>861</v>
      </c>
      <c r="C21">
        <v>8</v>
      </c>
      <c r="D21">
        <v>3</v>
      </c>
      <c r="E21" t="s">
        <v>862</v>
      </c>
      <c r="F21" s="2">
        <v>81</v>
      </c>
      <c r="G21">
        <v>40</v>
      </c>
      <c r="H21">
        <v>0</v>
      </c>
      <c r="I21">
        <v>0</v>
      </c>
      <c r="J21">
        <v>0</v>
      </c>
    </row>
    <row r="22" spans="1:10" x14ac:dyDescent="0.2">
      <c r="A22">
        <v>21</v>
      </c>
      <c r="B22" t="s">
        <v>863</v>
      </c>
      <c r="C22">
        <v>8</v>
      </c>
      <c r="D22">
        <v>3</v>
      </c>
      <c r="E22" t="s">
        <v>864</v>
      </c>
      <c r="F22" s="2">
        <v>10</v>
      </c>
      <c r="G22">
        <v>3</v>
      </c>
      <c r="H22">
        <v>40</v>
      </c>
      <c r="I22">
        <v>5</v>
      </c>
      <c r="J22">
        <v>0</v>
      </c>
    </row>
    <row r="23" spans="1:10" x14ac:dyDescent="0.2">
      <c r="A23">
        <v>22</v>
      </c>
      <c r="B23" t="s">
        <v>865</v>
      </c>
      <c r="C23">
        <v>9</v>
      </c>
      <c r="D23">
        <v>5</v>
      </c>
      <c r="E23" t="s">
        <v>866</v>
      </c>
      <c r="F23" s="2">
        <v>21</v>
      </c>
      <c r="G23">
        <v>104</v>
      </c>
      <c r="H23">
        <v>0</v>
      </c>
      <c r="I23">
        <v>25</v>
      </c>
      <c r="J23">
        <v>0</v>
      </c>
    </row>
    <row r="24" spans="1:10" x14ac:dyDescent="0.2">
      <c r="A24">
        <v>23</v>
      </c>
      <c r="B24" t="s">
        <v>867</v>
      </c>
      <c r="C24">
        <v>9</v>
      </c>
      <c r="D24">
        <v>5</v>
      </c>
      <c r="E24" t="s">
        <v>868</v>
      </c>
      <c r="F24" s="2">
        <v>9</v>
      </c>
      <c r="G24">
        <v>61</v>
      </c>
      <c r="H24">
        <v>0</v>
      </c>
      <c r="I24">
        <v>25</v>
      </c>
      <c r="J24">
        <v>0</v>
      </c>
    </row>
    <row r="25" spans="1:10" x14ac:dyDescent="0.2">
      <c r="A25">
        <v>24</v>
      </c>
      <c r="B25" t="s">
        <v>869</v>
      </c>
      <c r="C25">
        <v>10</v>
      </c>
      <c r="D25">
        <v>1</v>
      </c>
      <c r="E25" t="s">
        <v>870</v>
      </c>
      <c r="F25" s="2">
        <v>4.5</v>
      </c>
      <c r="G25">
        <v>20</v>
      </c>
      <c r="H25">
        <v>0</v>
      </c>
      <c r="I25">
        <v>0</v>
      </c>
      <c r="J25">
        <v>1</v>
      </c>
    </row>
    <row r="26" spans="1:10" x14ac:dyDescent="0.2">
      <c r="A26">
        <v>25</v>
      </c>
      <c r="B26" t="s">
        <v>871</v>
      </c>
      <c r="C26">
        <v>11</v>
      </c>
      <c r="D26">
        <v>3</v>
      </c>
      <c r="E26" t="s">
        <v>872</v>
      </c>
      <c r="F26" s="2">
        <v>14</v>
      </c>
      <c r="G26">
        <v>76</v>
      </c>
      <c r="H26">
        <v>0</v>
      </c>
      <c r="I26">
        <v>30</v>
      </c>
      <c r="J26">
        <v>0</v>
      </c>
    </row>
    <row r="27" spans="1:10" x14ac:dyDescent="0.2">
      <c r="A27">
        <v>26</v>
      </c>
      <c r="B27" t="s">
        <v>873</v>
      </c>
      <c r="C27">
        <v>11</v>
      </c>
      <c r="D27">
        <v>3</v>
      </c>
      <c r="E27" t="s">
        <v>874</v>
      </c>
      <c r="F27" s="2">
        <v>31.23</v>
      </c>
      <c r="G27">
        <v>15</v>
      </c>
      <c r="H27">
        <v>0</v>
      </c>
      <c r="I27">
        <v>0</v>
      </c>
      <c r="J27">
        <v>0</v>
      </c>
    </row>
    <row r="28" spans="1:10" x14ac:dyDescent="0.2">
      <c r="A28">
        <v>27</v>
      </c>
      <c r="B28" t="s">
        <v>875</v>
      </c>
      <c r="C28">
        <v>11</v>
      </c>
      <c r="D28">
        <v>3</v>
      </c>
      <c r="E28" t="s">
        <v>876</v>
      </c>
      <c r="F28" s="2">
        <v>43.9</v>
      </c>
      <c r="G28">
        <v>49</v>
      </c>
      <c r="H28">
        <v>0</v>
      </c>
      <c r="I28">
        <v>30</v>
      </c>
      <c r="J28">
        <v>0</v>
      </c>
    </row>
    <row r="29" spans="1:10" x14ac:dyDescent="0.2">
      <c r="A29">
        <v>28</v>
      </c>
      <c r="B29" t="s">
        <v>877</v>
      </c>
      <c r="C29">
        <v>12</v>
      </c>
      <c r="D29">
        <v>7</v>
      </c>
      <c r="E29" t="s">
        <v>878</v>
      </c>
      <c r="F29" s="2">
        <v>45.6</v>
      </c>
      <c r="G29">
        <v>26</v>
      </c>
      <c r="H29">
        <v>0</v>
      </c>
      <c r="I29">
        <v>0</v>
      </c>
      <c r="J29">
        <v>1</v>
      </c>
    </row>
    <row r="30" spans="1:10" x14ac:dyDescent="0.2">
      <c r="A30">
        <v>29</v>
      </c>
      <c r="B30" t="s">
        <v>879</v>
      </c>
      <c r="C30">
        <v>12</v>
      </c>
      <c r="D30">
        <v>6</v>
      </c>
      <c r="E30" t="s">
        <v>880</v>
      </c>
      <c r="F30" s="2">
        <v>123.79</v>
      </c>
      <c r="G30">
        <v>0</v>
      </c>
      <c r="H30">
        <v>0</v>
      </c>
      <c r="I30">
        <v>0</v>
      </c>
      <c r="J30">
        <v>1</v>
      </c>
    </row>
    <row r="31" spans="1:10" x14ac:dyDescent="0.2">
      <c r="A31">
        <v>30</v>
      </c>
      <c r="B31" t="s">
        <v>881</v>
      </c>
      <c r="C31">
        <v>13</v>
      </c>
      <c r="D31">
        <v>8</v>
      </c>
      <c r="E31" t="s">
        <v>882</v>
      </c>
      <c r="F31" s="2">
        <v>25.89</v>
      </c>
      <c r="G31">
        <v>10</v>
      </c>
      <c r="H31">
        <v>0</v>
      </c>
      <c r="I31">
        <v>15</v>
      </c>
      <c r="J31">
        <v>0</v>
      </c>
    </row>
    <row r="32" spans="1:10" x14ac:dyDescent="0.2">
      <c r="A32">
        <v>31</v>
      </c>
      <c r="B32" t="s">
        <v>883</v>
      </c>
      <c r="C32">
        <v>14</v>
      </c>
      <c r="D32">
        <v>4</v>
      </c>
      <c r="E32" t="s">
        <v>884</v>
      </c>
      <c r="F32" s="2">
        <v>12.5</v>
      </c>
      <c r="G32">
        <v>0</v>
      </c>
      <c r="H32">
        <v>70</v>
      </c>
      <c r="I32">
        <v>20</v>
      </c>
      <c r="J32">
        <v>0</v>
      </c>
    </row>
    <row r="33" spans="1:10" x14ac:dyDescent="0.2">
      <c r="A33">
        <v>32</v>
      </c>
      <c r="B33" t="s">
        <v>885</v>
      </c>
      <c r="C33">
        <v>14</v>
      </c>
      <c r="D33">
        <v>4</v>
      </c>
      <c r="E33" t="s">
        <v>886</v>
      </c>
      <c r="F33" s="2">
        <v>32</v>
      </c>
      <c r="G33">
        <v>9</v>
      </c>
      <c r="H33">
        <v>40</v>
      </c>
      <c r="I33">
        <v>25</v>
      </c>
      <c r="J33">
        <v>0</v>
      </c>
    </row>
    <row r="34" spans="1:10" x14ac:dyDescent="0.2">
      <c r="A34">
        <v>33</v>
      </c>
      <c r="B34" t="s">
        <v>887</v>
      </c>
      <c r="C34">
        <v>15</v>
      </c>
      <c r="D34">
        <v>4</v>
      </c>
      <c r="E34" t="s">
        <v>888</v>
      </c>
      <c r="F34" s="2">
        <v>2.5</v>
      </c>
      <c r="G34">
        <v>112</v>
      </c>
      <c r="H34">
        <v>0</v>
      </c>
      <c r="I34">
        <v>20</v>
      </c>
      <c r="J34">
        <v>0</v>
      </c>
    </row>
    <row r="35" spans="1:10" x14ac:dyDescent="0.2">
      <c r="A35">
        <v>34</v>
      </c>
      <c r="B35" t="s">
        <v>889</v>
      </c>
      <c r="C35">
        <v>16</v>
      </c>
      <c r="D35">
        <v>1</v>
      </c>
      <c r="E35" t="s">
        <v>826</v>
      </c>
      <c r="F35" s="2">
        <v>14</v>
      </c>
      <c r="G35">
        <v>111</v>
      </c>
      <c r="H35">
        <v>0</v>
      </c>
      <c r="I35">
        <v>15</v>
      </c>
      <c r="J35">
        <v>0</v>
      </c>
    </row>
    <row r="36" spans="1:10" x14ac:dyDescent="0.2">
      <c r="A36">
        <v>35</v>
      </c>
      <c r="B36" t="s">
        <v>890</v>
      </c>
      <c r="C36">
        <v>16</v>
      </c>
      <c r="D36">
        <v>1</v>
      </c>
      <c r="E36" t="s">
        <v>826</v>
      </c>
      <c r="F36" s="2">
        <v>18</v>
      </c>
      <c r="G36">
        <v>20</v>
      </c>
      <c r="H36">
        <v>0</v>
      </c>
      <c r="I36">
        <v>15</v>
      </c>
      <c r="J36">
        <v>0</v>
      </c>
    </row>
    <row r="37" spans="1:10" x14ac:dyDescent="0.2">
      <c r="A37">
        <v>36</v>
      </c>
      <c r="B37" t="s">
        <v>891</v>
      </c>
      <c r="C37">
        <v>17</v>
      </c>
      <c r="D37">
        <v>8</v>
      </c>
      <c r="E37" t="s">
        <v>892</v>
      </c>
      <c r="F37" s="2">
        <v>19</v>
      </c>
      <c r="G37">
        <v>112</v>
      </c>
      <c r="H37">
        <v>0</v>
      </c>
      <c r="I37">
        <v>20</v>
      </c>
      <c r="J37">
        <v>0</v>
      </c>
    </row>
    <row r="38" spans="1:10" x14ac:dyDescent="0.2">
      <c r="A38">
        <v>37</v>
      </c>
      <c r="B38" t="s">
        <v>893</v>
      </c>
      <c r="C38">
        <v>17</v>
      </c>
      <c r="D38">
        <v>8</v>
      </c>
      <c r="E38" t="s">
        <v>894</v>
      </c>
      <c r="F38" s="2">
        <v>26</v>
      </c>
      <c r="G38">
        <v>11</v>
      </c>
      <c r="H38">
        <v>50</v>
      </c>
      <c r="I38">
        <v>25</v>
      </c>
      <c r="J38">
        <v>0</v>
      </c>
    </row>
    <row r="39" spans="1:10" x14ac:dyDescent="0.2">
      <c r="A39">
        <v>38</v>
      </c>
      <c r="B39" t="s">
        <v>895</v>
      </c>
      <c r="C39">
        <v>18</v>
      </c>
      <c r="D39">
        <v>1</v>
      </c>
      <c r="E39" t="s">
        <v>896</v>
      </c>
      <c r="F39" s="2">
        <v>263.5</v>
      </c>
      <c r="G39">
        <v>17</v>
      </c>
      <c r="H39">
        <v>0</v>
      </c>
      <c r="I39">
        <v>15</v>
      </c>
      <c r="J39">
        <v>0</v>
      </c>
    </row>
    <row r="40" spans="1:10" x14ac:dyDescent="0.2">
      <c r="A40">
        <v>39</v>
      </c>
      <c r="B40" t="s">
        <v>897</v>
      </c>
      <c r="C40">
        <v>18</v>
      </c>
      <c r="D40">
        <v>1</v>
      </c>
      <c r="E40" t="s">
        <v>898</v>
      </c>
      <c r="F40" s="2">
        <v>18</v>
      </c>
      <c r="G40">
        <v>69</v>
      </c>
      <c r="H40">
        <v>0</v>
      </c>
      <c r="I40">
        <v>5</v>
      </c>
      <c r="J40">
        <v>0</v>
      </c>
    </row>
    <row r="41" spans="1:10" x14ac:dyDescent="0.2">
      <c r="A41">
        <v>40</v>
      </c>
      <c r="B41" t="s">
        <v>899</v>
      </c>
      <c r="C41">
        <v>19</v>
      </c>
      <c r="D41">
        <v>8</v>
      </c>
      <c r="E41" t="s">
        <v>900</v>
      </c>
      <c r="F41" s="2">
        <v>18.399999999999999</v>
      </c>
      <c r="G41">
        <v>123</v>
      </c>
      <c r="H41">
        <v>0</v>
      </c>
      <c r="I41">
        <v>30</v>
      </c>
      <c r="J41">
        <v>0</v>
      </c>
    </row>
    <row r="42" spans="1:10" x14ac:dyDescent="0.2">
      <c r="A42">
        <v>41</v>
      </c>
      <c r="B42" t="s">
        <v>901</v>
      </c>
      <c r="C42">
        <v>19</v>
      </c>
      <c r="D42">
        <v>8</v>
      </c>
      <c r="E42" t="s">
        <v>902</v>
      </c>
      <c r="F42" s="2">
        <v>9.65</v>
      </c>
      <c r="G42">
        <v>85</v>
      </c>
      <c r="H42">
        <v>0</v>
      </c>
      <c r="I42">
        <v>10</v>
      </c>
      <c r="J42">
        <v>0</v>
      </c>
    </row>
    <row r="43" spans="1:10" x14ac:dyDescent="0.2">
      <c r="A43">
        <v>42</v>
      </c>
      <c r="B43" t="s">
        <v>903</v>
      </c>
      <c r="C43">
        <v>20</v>
      </c>
      <c r="D43">
        <v>5</v>
      </c>
      <c r="E43" t="s">
        <v>904</v>
      </c>
      <c r="F43" s="2">
        <v>14</v>
      </c>
      <c r="G43">
        <v>26</v>
      </c>
      <c r="H43">
        <v>0</v>
      </c>
      <c r="I43">
        <v>0</v>
      </c>
      <c r="J43">
        <v>1</v>
      </c>
    </row>
    <row r="44" spans="1:10" x14ac:dyDescent="0.2">
      <c r="A44">
        <v>43</v>
      </c>
      <c r="B44" t="s">
        <v>905</v>
      </c>
      <c r="C44">
        <v>20</v>
      </c>
      <c r="D44">
        <v>1</v>
      </c>
      <c r="E44" t="s">
        <v>906</v>
      </c>
      <c r="F44" s="2">
        <v>46</v>
      </c>
      <c r="G44">
        <v>17</v>
      </c>
      <c r="H44">
        <v>10</v>
      </c>
      <c r="I44">
        <v>25</v>
      </c>
      <c r="J44">
        <v>0</v>
      </c>
    </row>
    <row r="45" spans="1:10" x14ac:dyDescent="0.2">
      <c r="A45">
        <v>44</v>
      </c>
      <c r="B45" t="s">
        <v>907</v>
      </c>
      <c r="C45">
        <v>20</v>
      </c>
      <c r="D45">
        <v>2</v>
      </c>
      <c r="E45" t="s">
        <v>908</v>
      </c>
      <c r="F45" s="2">
        <v>19.45</v>
      </c>
      <c r="G45">
        <v>27</v>
      </c>
      <c r="H45">
        <v>0</v>
      </c>
      <c r="I45">
        <v>15</v>
      </c>
      <c r="J45">
        <v>0</v>
      </c>
    </row>
    <row r="46" spans="1:10" x14ac:dyDescent="0.2">
      <c r="A46">
        <v>45</v>
      </c>
      <c r="B46" t="s">
        <v>909</v>
      </c>
      <c r="C46">
        <v>21</v>
      </c>
      <c r="D46">
        <v>8</v>
      </c>
      <c r="E46" t="s">
        <v>910</v>
      </c>
      <c r="F46" s="2">
        <v>9.5</v>
      </c>
      <c r="G46">
        <v>5</v>
      </c>
      <c r="H46">
        <v>70</v>
      </c>
      <c r="I46">
        <v>15</v>
      </c>
      <c r="J46">
        <v>0</v>
      </c>
    </row>
    <row r="47" spans="1:10" x14ac:dyDescent="0.2">
      <c r="A47">
        <v>46</v>
      </c>
      <c r="B47" t="s">
        <v>911</v>
      </c>
      <c r="C47">
        <v>21</v>
      </c>
      <c r="D47">
        <v>8</v>
      </c>
      <c r="E47" t="s">
        <v>912</v>
      </c>
      <c r="F47" s="2">
        <v>12</v>
      </c>
      <c r="G47">
        <v>95</v>
      </c>
      <c r="H47">
        <v>0</v>
      </c>
      <c r="I47">
        <v>0</v>
      </c>
      <c r="J47">
        <v>0</v>
      </c>
    </row>
    <row r="48" spans="1:10" x14ac:dyDescent="0.2">
      <c r="A48">
        <v>47</v>
      </c>
      <c r="B48" t="s">
        <v>913</v>
      </c>
      <c r="C48">
        <v>22</v>
      </c>
      <c r="D48">
        <v>3</v>
      </c>
      <c r="E48" t="s">
        <v>914</v>
      </c>
      <c r="F48" s="2">
        <v>9.5</v>
      </c>
      <c r="G48">
        <v>36</v>
      </c>
      <c r="H48">
        <v>0</v>
      </c>
      <c r="I48">
        <v>0</v>
      </c>
      <c r="J48">
        <v>0</v>
      </c>
    </row>
    <row r="49" spans="1:10" x14ac:dyDescent="0.2">
      <c r="A49">
        <v>48</v>
      </c>
      <c r="B49" t="s">
        <v>915</v>
      </c>
      <c r="C49">
        <v>22</v>
      </c>
      <c r="D49">
        <v>3</v>
      </c>
      <c r="E49" t="s">
        <v>916</v>
      </c>
      <c r="F49" s="2">
        <v>12.75</v>
      </c>
      <c r="G49">
        <v>15</v>
      </c>
      <c r="H49">
        <v>70</v>
      </c>
      <c r="I49">
        <v>25</v>
      </c>
      <c r="J49">
        <v>0</v>
      </c>
    </row>
    <row r="50" spans="1:10" x14ac:dyDescent="0.2">
      <c r="A50">
        <v>49</v>
      </c>
      <c r="B50" t="s">
        <v>917</v>
      </c>
      <c r="C50">
        <v>23</v>
      </c>
      <c r="D50">
        <v>3</v>
      </c>
      <c r="E50" t="s">
        <v>918</v>
      </c>
      <c r="F50" s="2">
        <v>20</v>
      </c>
      <c r="G50">
        <v>10</v>
      </c>
      <c r="H50">
        <v>60</v>
      </c>
      <c r="I50">
        <v>15</v>
      </c>
      <c r="J50">
        <v>0</v>
      </c>
    </row>
    <row r="51" spans="1:10" x14ac:dyDescent="0.2">
      <c r="A51">
        <v>50</v>
      </c>
      <c r="B51" t="s">
        <v>919</v>
      </c>
      <c r="C51">
        <v>23</v>
      </c>
      <c r="D51">
        <v>3</v>
      </c>
      <c r="E51" t="s">
        <v>920</v>
      </c>
      <c r="F51" s="2">
        <v>16.25</v>
      </c>
      <c r="G51">
        <v>65</v>
      </c>
      <c r="H51">
        <v>0</v>
      </c>
      <c r="I51">
        <v>30</v>
      </c>
      <c r="J51">
        <v>0</v>
      </c>
    </row>
    <row r="52" spans="1:10" x14ac:dyDescent="0.2">
      <c r="A52">
        <v>51</v>
      </c>
      <c r="B52" t="s">
        <v>921</v>
      </c>
      <c r="C52">
        <v>24</v>
      </c>
      <c r="D52">
        <v>7</v>
      </c>
      <c r="E52" t="s">
        <v>922</v>
      </c>
      <c r="F52" s="2">
        <v>53</v>
      </c>
      <c r="G52">
        <v>20</v>
      </c>
      <c r="H52">
        <v>0</v>
      </c>
      <c r="I52">
        <v>10</v>
      </c>
      <c r="J52">
        <v>0</v>
      </c>
    </row>
    <row r="53" spans="1:10" x14ac:dyDescent="0.2">
      <c r="A53">
        <v>52</v>
      </c>
      <c r="B53" t="s">
        <v>923</v>
      </c>
      <c r="C53">
        <v>24</v>
      </c>
      <c r="D53">
        <v>5</v>
      </c>
      <c r="E53" t="s">
        <v>924</v>
      </c>
      <c r="F53" s="2">
        <v>7</v>
      </c>
      <c r="G53">
        <v>38</v>
      </c>
      <c r="H53">
        <v>0</v>
      </c>
      <c r="I53">
        <v>25</v>
      </c>
      <c r="J53">
        <v>0</v>
      </c>
    </row>
    <row r="54" spans="1:10" x14ac:dyDescent="0.2">
      <c r="A54">
        <v>53</v>
      </c>
      <c r="B54" t="s">
        <v>925</v>
      </c>
      <c r="C54">
        <v>24</v>
      </c>
      <c r="D54">
        <v>6</v>
      </c>
      <c r="E54" t="s">
        <v>926</v>
      </c>
      <c r="F54" s="2">
        <v>32.799999999999997</v>
      </c>
      <c r="G54">
        <v>0</v>
      </c>
      <c r="H54">
        <v>0</v>
      </c>
      <c r="I54">
        <v>0</v>
      </c>
      <c r="J54">
        <v>1</v>
      </c>
    </row>
    <row r="55" spans="1:10" x14ac:dyDescent="0.2">
      <c r="A55">
        <v>54</v>
      </c>
      <c r="B55" t="s">
        <v>927</v>
      </c>
      <c r="C55">
        <v>25</v>
      </c>
      <c r="D55">
        <v>6</v>
      </c>
      <c r="E55" t="s">
        <v>928</v>
      </c>
      <c r="F55" s="2">
        <v>7.45</v>
      </c>
      <c r="G55">
        <v>21</v>
      </c>
      <c r="H55">
        <v>0</v>
      </c>
      <c r="I55">
        <v>10</v>
      </c>
      <c r="J55">
        <v>0</v>
      </c>
    </row>
    <row r="56" spans="1:10" x14ac:dyDescent="0.2">
      <c r="A56">
        <v>55</v>
      </c>
      <c r="B56" t="s">
        <v>929</v>
      </c>
      <c r="C56">
        <v>25</v>
      </c>
      <c r="D56">
        <v>6</v>
      </c>
      <c r="E56" t="s">
        <v>930</v>
      </c>
      <c r="F56" s="2">
        <v>24</v>
      </c>
      <c r="G56">
        <v>115</v>
      </c>
      <c r="H56">
        <v>0</v>
      </c>
      <c r="I56">
        <v>20</v>
      </c>
      <c r="J56">
        <v>0</v>
      </c>
    </row>
    <row r="57" spans="1:10" x14ac:dyDescent="0.2">
      <c r="A57">
        <v>56</v>
      </c>
      <c r="B57" t="s">
        <v>931</v>
      </c>
      <c r="C57">
        <v>26</v>
      </c>
      <c r="D57">
        <v>5</v>
      </c>
      <c r="E57" t="s">
        <v>932</v>
      </c>
      <c r="F57" s="2">
        <v>38</v>
      </c>
      <c r="G57">
        <v>21</v>
      </c>
      <c r="H57">
        <v>10</v>
      </c>
      <c r="I57">
        <v>30</v>
      </c>
      <c r="J57">
        <v>0</v>
      </c>
    </row>
    <row r="58" spans="1:10" x14ac:dyDescent="0.2">
      <c r="A58">
        <v>57</v>
      </c>
      <c r="B58" t="s">
        <v>933</v>
      </c>
      <c r="C58">
        <v>26</v>
      </c>
      <c r="D58">
        <v>5</v>
      </c>
      <c r="E58" t="s">
        <v>932</v>
      </c>
      <c r="F58" s="2">
        <v>19.5</v>
      </c>
      <c r="G58">
        <v>36</v>
      </c>
      <c r="H58">
        <v>0</v>
      </c>
      <c r="I58">
        <v>20</v>
      </c>
      <c r="J58">
        <v>0</v>
      </c>
    </row>
    <row r="59" spans="1:10" x14ac:dyDescent="0.2">
      <c r="A59">
        <v>58</v>
      </c>
      <c r="B59" t="s">
        <v>934</v>
      </c>
      <c r="C59">
        <v>27</v>
      </c>
      <c r="D59">
        <v>8</v>
      </c>
      <c r="E59" t="s">
        <v>935</v>
      </c>
      <c r="F59" s="2">
        <v>13.25</v>
      </c>
      <c r="G59">
        <v>62</v>
      </c>
      <c r="H59">
        <v>0</v>
      </c>
      <c r="I59">
        <v>20</v>
      </c>
      <c r="J59">
        <v>0</v>
      </c>
    </row>
    <row r="60" spans="1:10" x14ac:dyDescent="0.2">
      <c r="A60">
        <v>59</v>
      </c>
      <c r="B60" t="s">
        <v>936</v>
      </c>
      <c r="C60">
        <v>28</v>
      </c>
      <c r="D60">
        <v>4</v>
      </c>
      <c r="E60" t="s">
        <v>937</v>
      </c>
      <c r="F60" s="2">
        <v>55</v>
      </c>
      <c r="G60">
        <v>79</v>
      </c>
      <c r="H60">
        <v>0</v>
      </c>
      <c r="I60">
        <v>0</v>
      </c>
      <c r="J60">
        <v>0</v>
      </c>
    </row>
    <row r="61" spans="1:10" x14ac:dyDescent="0.2">
      <c r="A61">
        <v>60</v>
      </c>
      <c r="B61" t="s">
        <v>938</v>
      </c>
      <c r="C61">
        <v>28</v>
      </c>
      <c r="D61">
        <v>4</v>
      </c>
      <c r="E61" t="s">
        <v>939</v>
      </c>
      <c r="F61" s="2">
        <v>34</v>
      </c>
      <c r="G61">
        <v>19</v>
      </c>
      <c r="H61">
        <v>0</v>
      </c>
      <c r="I61">
        <v>0</v>
      </c>
      <c r="J61">
        <v>0</v>
      </c>
    </row>
    <row r="62" spans="1:10" x14ac:dyDescent="0.2">
      <c r="A62">
        <v>61</v>
      </c>
      <c r="B62" t="s">
        <v>940</v>
      </c>
      <c r="C62">
        <v>29</v>
      </c>
      <c r="D62">
        <v>2</v>
      </c>
      <c r="E62" t="s">
        <v>941</v>
      </c>
      <c r="F62" s="2">
        <v>28.5</v>
      </c>
      <c r="G62">
        <v>113</v>
      </c>
      <c r="H62">
        <v>0</v>
      </c>
      <c r="I62">
        <v>25</v>
      </c>
      <c r="J62">
        <v>0</v>
      </c>
    </row>
    <row r="63" spans="1:10" x14ac:dyDescent="0.2">
      <c r="A63">
        <v>62</v>
      </c>
      <c r="B63" t="s">
        <v>942</v>
      </c>
      <c r="C63">
        <v>29</v>
      </c>
      <c r="D63">
        <v>3</v>
      </c>
      <c r="E63" t="s">
        <v>943</v>
      </c>
      <c r="F63" s="2">
        <v>49.3</v>
      </c>
      <c r="G63">
        <v>17</v>
      </c>
      <c r="H63">
        <v>0</v>
      </c>
      <c r="I63">
        <v>0</v>
      </c>
      <c r="J63">
        <v>0</v>
      </c>
    </row>
    <row r="64" spans="1:10" x14ac:dyDescent="0.2">
      <c r="A64">
        <v>63</v>
      </c>
      <c r="B64" t="s">
        <v>944</v>
      </c>
      <c r="C64">
        <v>7</v>
      </c>
      <c r="D64">
        <v>2</v>
      </c>
      <c r="E64" t="s">
        <v>945</v>
      </c>
      <c r="F64" s="2">
        <v>43.9</v>
      </c>
      <c r="G64">
        <v>24</v>
      </c>
      <c r="H64">
        <v>0</v>
      </c>
      <c r="I64">
        <v>5</v>
      </c>
      <c r="J64">
        <v>0</v>
      </c>
    </row>
    <row r="65" spans="1:10" x14ac:dyDescent="0.2">
      <c r="A65">
        <v>64</v>
      </c>
      <c r="B65" t="s">
        <v>946</v>
      </c>
      <c r="C65">
        <v>12</v>
      </c>
      <c r="D65">
        <v>5</v>
      </c>
      <c r="E65" t="s">
        <v>947</v>
      </c>
      <c r="F65" s="2">
        <v>33.25</v>
      </c>
      <c r="G65">
        <v>22</v>
      </c>
      <c r="H65">
        <v>80</v>
      </c>
      <c r="I65">
        <v>30</v>
      </c>
      <c r="J65">
        <v>0</v>
      </c>
    </row>
    <row r="66" spans="1:10" x14ac:dyDescent="0.2">
      <c r="A66">
        <v>65</v>
      </c>
      <c r="B66" t="s">
        <v>948</v>
      </c>
      <c r="C66">
        <v>2</v>
      </c>
      <c r="D66">
        <v>2</v>
      </c>
      <c r="E66" t="s">
        <v>949</v>
      </c>
      <c r="F66" s="2">
        <v>21.05</v>
      </c>
      <c r="G66">
        <v>76</v>
      </c>
      <c r="H66">
        <v>0</v>
      </c>
      <c r="I66">
        <v>0</v>
      </c>
      <c r="J66">
        <v>0</v>
      </c>
    </row>
    <row r="67" spans="1:10" x14ac:dyDescent="0.2">
      <c r="A67">
        <v>66</v>
      </c>
      <c r="B67" t="s">
        <v>950</v>
      </c>
      <c r="C67">
        <v>2</v>
      </c>
      <c r="D67">
        <v>2</v>
      </c>
      <c r="E67" t="s">
        <v>951</v>
      </c>
      <c r="F67" s="2">
        <v>17</v>
      </c>
      <c r="G67">
        <v>4</v>
      </c>
      <c r="H67">
        <v>100</v>
      </c>
      <c r="I67">
        <v>20</v>
      </c>
      <c r="J67">
        <v>0</v>
      </c>
    </row>
    <row r="68" spans="1:10" x14ac:dyDescent="0.2">
      <c r="A68">
        <v>67</v>
      </c>
      <c r="B68" t="s">
        <v>952</v>
      </c>
      <c r="C68">
        <v>16</v>
      </c>
      <c r="D68">
        <v>1</v>
      </c>
      <c r="E68" t="s">
        <v>826</v>
      </c>
      <c r="F68" s="2">
        <v>14</v>
      </c>
      <c r="G68">
        <v>52</v>
      </c>
      <c r="H68">
        <v>0</v>
      </c>
      <c r="I68">
        <v>10</v>
      </c>
      <c r="J68">
        <v>0</v>
      </c>
    </row>
    <row r="69" spans="1:10" x14ac:dyDescent="0.2">
      <c r="A69">
        <v>68</v>
      </c>
      <c r="B69" t="s">
        <v>953</v>
      </c>
      <c r="C69">
        <v>8</v>
      </c>
      <c r="D69">
        <v>3</v>
      </c>
      <c r="E69" t="s">
        <v>954</v>
      </c>
      <c r="F69" s="2">
        <v>12.5</v>
      </c>
      <c r="G69">
        <v>6</v>
      </c>
      <c r="H69">
        <v>10</v>
      </c>
      <c r="I69">
        <v>15</v>
      </c>
      <c r="J69">
        <v>0</v>
      </c>
    </row>
    <row r="70" spans="1:10" x14ac:dyDescent="0.2">
      <c r="A70">
        <v>69</v>
      </c>
      <c r="B70" t="s">
        <v>955</v>
      </c>
      <c r="C70">
        <v>15</v>
      </c>
      <c r="D70">
        <v>4</v>
      </c>
      <c r="E70" t="s">
        <v>956</v>
      </c>
      <c r="F70" s="2">
        <v>36</v>
      </c>
      <c r="G70">
        <v>26</v>
      </c>
      <c r="H70">
        <v>0</v>
      </c>
      <c r="I70">
        <v>15</v>
      </c>
      <c r="J70">
        <v>0</v>
      </c>
    </row>
    <row r="71" spans="1:10" x14ac:dyDescent="0.2">
      <c r="A71">
        <v>70</v>
      </c>
      <c r="B71" t="s">
        <v>957</v>
      </c>
      <c r="C71">
        <v>7</v>
      </c>
      <c r="D71">
        <v>1</v>
      </c>
      <c r="E71" t="s">
        <v>958</v>
      </c>
      <c r="F71" s="2">
        <v>15</v>
      </c>
      <c r="G71">
        <v>15</v>
      </c>
      <c r="H71">
        <v>10</v>
      </c>
      <c r="I71">
        <v>30</v>
      </c>
      <c r="J71">
        <v>0</v>
      </c>
    </row>
    <row r="72" spans="1:10" x14ac:dyDescent="0.2">
      <c r="A72">
        <v>71</v>
      </c>
      <c r="B72" t="s">
        <v>959</v>
      </c>
      <c r="C72">
        <v>15</v>
      </c>
      <c r="D72">
        <v>4</v>
      </c>
      <c r="E72" t="s">
        <v>846</v>
      </c>
      <c r="F72" s="2">
        <v>21.5</v>
      </c>
      <c r="G72">
        <v>26</v>
      </c>
      <c r="H72">
        <v>0</v>
      </c>
      <c r="I72">
        <v>0</v>
      </c>
      <c r="J72">
        <v>0</v>
      </c>
    </row>
    <row r="73" spans="1:10" x14ac:dyDescent="0.2">
      <c r="A73">
        <v>72</v>
      </c>
      <c r="B73" t="s">
        <v>960</v>
      </c>
      <c r="C73">
        <v>14</v>
      </c>
      <c r="D73">
        <v>4</v>
      </c>
      <c r="E73" t="s">
        <v>886</v>
      </c>
      <c r="F73" s="2">
        <v>34.799999999999997</v>
      </c>
      <c r="G73">
        <v>14</v>
      </c>
      <c r="H73">
        <v>0</v>
      </c>
      <c r="I73">
        <v>0</v>
      </c>
      <c r="J73">
        <v>0</v>
      </c>
    </row>
    <row r="74" spans="1:10" x14ac:dyDescent="0.2">
      <c r="A74">
        <v>73</v>
      </c>
      <c r="B74" t="s">
        <v>961</v>
      </c>
      <c r="C74">
        <v>17</v>
      </c>
      <c r="D74">
        <v>8</v>
      </c>
      <c r="E74" t="s">
        <v>962</v>
      </c>
      <c r="F74" s="2">
        <v>15</v>
      </c>
      <c r="G74">
        <v>101</v>
      </c>
      <c r="H74">
        <v>0</v>
      </c>
      <c r="I74">
        <v>5</v>
      </c>
      <c r="J74">
        <v>0</v>
      </c>
    </row>
    <row r="75" spans="1:10" x14ac:dyDescent="0.2">
      <c r="A75">
        <v>74</v>
      </c>
      <c r="B75" t="s">
        <v>963</v>
      </c>
      <c r="C75">
        <v>4</v>
      </c>
      <c r="D75">
        <v>7</v>
      </c>
      <c r="E75" t="s">
        <v>937</v>
      </c>
      <c r="F75" s="2">
        <v>10</v>
      </c>
      <c r="G75">
        <v>4</v>
      </c>
      <c r="H75">
        <v>20</v>
      </c>
      <c r="I75">
        <v>5</v>
      </c>
      <c r="J75">
        <v>0</v>
      </c>
    </row>
    <row r="76" spans="1:10" x14ac:dyDescent="0.2">
      <c r="A76">
        <v>75</v>
      </c>
      <c r="B76" t="s">
        <v>964</v>
      </c>
      <c r="C76">
        <v>12</v>
      </c>
      <c r="D76">
        <v>1</v>
      </c>
      <c r="E76" t="s">
        <v>965</v>
      </c>
      <c r="F76" s="2">
        <v>7.75</v>
      </c>
      <c r="G76">
        <v>125</v>
      </c>
      <c r="H76">
        <v>0</v>
      </c>
      <c r="I76">
        <v>25</v>
      </c>
      <c r="J76">
        <v>0</v>
      </c>
    </row>
    <row r="77" spans="1:10" x14ac:dyDescent="0.2">
      <c r="A77">
        <v>76</v>
      </c>
      <c r="B77" t="s">
        <v>966</v>
      </c>
      <c r="C77">
        <v>23</v>
      </c>
      <c r="D77">
        <v>1</v>
      </c>
      <c r="E77" t="s">
        <v>967</v>
      </c>
      <c r="F77" s="2">
        <v>18</v>
      </c>
      <c r="G77">
        <v>57</v>
      </c>
      <c r="H77">
        <v>0</v>
      </c>
      <c r="I77">
        <v>20</v>
      </c>
      <c r="J77">
        <v>0</v>
      </c>
    </row>
    <row r="78" spans="1:10" x14ac:dyDescent="0.2">
      <c r="A78">
        <v>77</v>
      </c>
      <c r="B78" t="s">
        <v>968</v>
      </c>
      <c r="C78">
        <v>12</v>
      </c>
      <c r="D78">
        <v>2</v>
      </c>
      <c r="E78" t="s">
        <v>969</v>
      </c>
      <c r="F78" s="2">
        <v>13</v>
      </c>
      <c r="G78">
        <v>32</v>
      </c>
      <c r="H78">
        <v>0</v>
      </c>
      <c r="I78">
        <v>15</v>
      </c>
      <c r="J78">
        <v>0</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7F4A-3203-5646-B7DF-167E5309D2E4}">
  <sheetPr codeName="Hoja9"/>
  <dimension ref="A1:K92"/>
  <sheetViews>
    <sheetView zoomScale="180" workbookViewId="0">
      <selection sqref="A1:K92"/>
    </sheetView>
  </sheetViews>
  <sheetFormatPr baseColWidth="10" defaultRowHeight="16" x14ac:dyDescent="0.2"/>
  <cols>
    <col min="1" max="1" width="11.83203125" customWidth="1"/>
    <col min="2" max="2" width="29.83203125" bestFit="1" customWidth="1"/>
    <col min="3" max="3" width="20.6640625" bestFit="1" customWidth="1"/>
    <col min="4" max="4" width="26.1640625" bestFit="1" customWidth="1"/>
    <col min="5" max="5" width="39" bestFit="1" customWidth="1"/>
    <col min="6" max="6" width="12.6640625" bestFit="1" customWidth="1"/>
    <col min="7" max="7" width="12.83203125" bestFit="1" customWidth="1"/>
    <col min="8" max="8" width="11.6640625" customWidth="1"/>
    <col min="9" max="9" width="10.6640625" bestFit="1" customWidth="1"/>
    <col min="10" max="11" width="14.83203125" bestFit="1" customWidth="1"/>
  </cols>
  <sheetData>
    <row r="1" spans="1:11" x14ac:dyDescent="0.2">
      <c r="A1" t="s">
        <v>1</v>
      </c>
      <c r="B1" t="s">
        <v>421</v>
      </c>
      <c r="C1" t="s">
        <v>422</v>
      </c>
      <c r="D1" t="s">
        <v>423</v>
      </c>
      <c r="E1" t="s">
        <v>424</v>
      </c>
      <c r="F1" t="s">
        <v>425</v>
      </c>
      <c r="G1" t="s">
        <v>426</v>
      </c>
      <c r="H1" t="s">
        <v>427</v>
      </c>
      <c r="I1" t="s">
        <v>428</v>
      </c>
      <c r="J1" t="s">
        <v>429</v>
      </c>
      <c r="K1" t="s">
        <v>430</v>
      </c>
    </row>
    <row r="2" spans="1:11" x14ac:dyDescent="0.2">
      <c r="A2" t="s">
        <v>401</v>
      </c>
      <c r="B2" t="s">
        <v>402</v>
      </c>
      <c r="C2" t="s">
        <v>431</v>
      </c>
      <c r="D2" t="s">
        <v>432</v>
      </c>
      <c r="E2" t="s">
        <v>403</v>
      </c>
      <c r="F2" t="s">
        <v>404</v>
      </c>
      <c r="G2" t="s">
        <v>18</v>
      </c>
      <c r="H2">
        <v>12209</v>
      </c>
      <c r="I2" t="s">
        <v>24</v>
      </c>
      <c r="J2" t="s">
        <v>433</v>
      </c>
      <c r="K2" t="s">
        <v>434</v>
      </c>
    </row>
    <row r="3" spans="1:11" x14ac:dyDescent="0.2">
      <c r="A3" t="s">
        <v>203</v>
      </c>
      <c r="B3" t="s">
        <v>204</v>
      </c>
      <c r="C3" t="s">
        <v>435</v>
      </c>
      <c r="D3" t="s">
        <v>436</v>
      </c>
      <c r="E3" t="s">
        <v>205</v>
      </c>
      <c r="F3" t="s">
        <v>71</v>
      </c>
      <c r="G3" t="s">
        <v>18</v>
      </c>
      <c r="H3">
        <v>5021</v>
      </c>
      <c r="I3" t="s">
        <v>72</v>
      </c>
      <c r="J3" t="s">
        <v>437</v>
      </c>
      <c r="K3" t="s">
        <v>438</v>
      </c>
    </row>
    <row r="4" spans="1:11" x14ac:dyDescent="0.2">
      <c r="A4" t="s">
        <v>288</v>
      </c>
      <c r="B4" t="s">
        <v>289</v>
      </c>
      <c r="C4" t="s">
        <v>439</v>
      </c>
      <c r="D4" t="s">
        <v>436</v>
      </c>
      <c r="E4" t="s">
        <v>290</v>
      </c>
      <c r="F4" t="s">
        <v>71</v>
      </c>
      <c r="G4" t="s">
        <v>18</v>
      </c>
      <c r="H4">
        <v>5023</v>
      </c>
      <c r="I4" t="s">
        <v>72</v>
      </c>
      <c r="J4" t="s">
        <v>440</v>
      </c>
      <c r="K4" t="s">
        <v>18</v>
      </c>
    </row>
    <row r="5" spans="1:11" x14ac:dyDescent="0.2">
      <c r="A5" t="s">
        <v>270</v>
      </c>
      <c r="B5" t="s">
        <v>271</v>
      </c>
      <c r="C5" t="s">
        <v>441</v>
      </c>
      <c r="D5" t="s">
        <v>432</v>
      </c>
      <c r="E5" t="s">
        <v>442</v>
      </c>
      <c r="F5" t="s">
        <v>167</v>
      </c>
      <c r="G5" t="s">
        <v>18</v>
      </c>
      <c r="H5" t="s">
        <v>443</v>
      </c>
      <c r="I5" t="s">
        <v>169</v>
      </c>
      <c r="J5" t="s">
        <v>444</v>
      </c>
      <c r="K5" t="s">
        <v>445</v>
      </c>
    </row>
    <row r="6" spans="1:11" x14ac:dyDescent="0.2">
      <c r="A6" t="s">
        <v>137</v>
      </c>
      <c r="B6" t="s">
        <v>138</v>
      </c>
      <c r="C6" t="s">
        <v>446</v>
      </c>
      <c r="D6" t="s">
        <v>447</v>
      </c>
      <c r="E6" t="s">
        <v>139</v>
      </c>
      <c r="F6" t="s">
        <v>140</v>
      </c>
      <c r="G6" t="s">
        <v>18</v>
      </c>
      <c r="H6" t="s">
        <v>141</v>
      </c>
      <c r="I6" t="s">
        <v>92</v>
      </c>
      <c r="J6" t="s">
        <v>448</v>
      </c>
      <c r="K6" t="s">
        <v>449</v>
      </c>
    </row>
    <row r="7" spans="1:11" x14ac:dyDescent="0.2">
      <c r="A7" t="s">
        <v>363</v>
      </c>
      <c r="B7" t="s">
        <v>364</v>
      </c>
      <c r="C7" t="s">
        <v>450</v>
      </c>
      <c r="D7" t="s">
        <v>432</v>
      </c>
      <c r="E7" t="s">
        <v>365</v>
      </c>
      <c r="F7" t="s">
        <v>366</v>
      </c>
      <c r="G7" t="s">
        <v>18</v>
      </c>
      <c r="H7">
        <v>68306</v>
      </c>
      <c r="I7" t="s">
        <v>24</v>
      </c>
      <c r="J7" t="s">
        <v>451</v>
      </c>
      <c r="K7" t="s">
        <v>452</v>
      </c>
    </row>
    <row r="8" spans="1:11" x14ac:dyDescent="0.2">
      <c r="A8" t="s">
        <v>93</v>
      </c>
      <c r="B8" t="s">
        <v>453</v>
      </c>
      <c r="C8" t="s">
        <v>454</v>
      </c>
      <c r="D8" t="s">
        <v>455</v>
      </c>
      <c r="E8" t="s">
        <v>95</v>
      </c>
      <c r="F8" t="s">
        <v>96</v>
      </c>
      <c r="G8" t="s">
        <v>18</v>
      </c>
      <c r="H8">
        <v>67000</v>
      </c>
      <c r="I8" t="s">
        <v>19</v>
      </c>
      <c r="J8" t="s">
        <v>456</v>
      </c>
      <c r="K8" t="s">
        <v>457</v>
      </c>
    </row>
    <row r="9" spans="1:11" x14ac:dyDescent="0.2">
      <c r="A9" t="s">
        <v>231</v>
      </c>
      <c r="B9" t="s">
        <v>232</v>
      </c>
      <c r="C9" t="s">
        <v>458</v>
      </c>
      <c r="D9" t="s">
        <v>436</v>
      </c>
      <c r="E9" t="s">
        <v>233</v>
      </c>
      <c r="F9" t="s">
        <v>149</v>
      </c>
      <c r="G9" t="s">
        <v>18</v>
      </c>
      <c r="H9">
        <v>28023</v>
      </c>
      <c r="I9" t="s">
        <v>150</v>
      </c>
      <c r="J9" t="s">
        <v>459</v>
      </c>
      <c r="K9" t="s">
        <v>460</v>
      </c>
    </row>
    <row r="10" spans="1:11" x14ac:dyDescent="0.2">
      <c r="A10" t="s">
        <v>239</v>
      </c>
      <c r="B10" t="s">
        <v>240</v>
      </c>
      <c r="C10" t="s">
        <v>461</v>
      </c>
      <c r="D10" t="s">
        <v>436</v>
      </c>
      <c r="E10" t="s">
        <v>241</v>
      </c>
      <c r="F10" t="s">
        <v>242</v>
      </c>
      <c r="G10" t="s">
        <v>18</v>
      </c>
      <c r="H10">
        <v>13008</v>
      </c>
      <c r="I10" t="s">
        <v>19</v>
      </c>
      <c r="J10" t="s">
        <v>462</v>
      </c>
      <c r="K10" t="s">
        <v>463</v>
      </c>
    </row>
    <row r="11" spans="1:11" x14ac:dyDescent="0.2">
      <c r="A11" t="s">
        <v>318</v>
      </c>
      <c r="B11" t="s">
        <v>319</v>
      </c>
      <c r="C11" t="s">
        <v>464</v>
      </c>
      <c r="D11" t="s">
        <v>465</v>
      </c>
      <c r="E11" t="s">
        <v>320</v>
      </c>
      <c r="F11" t="s">
        <v>321</v>
      </c>
      <c r="G11" t="s">
        <v>322</v>
      </c>
      <c r="H11" t="s">
        <v>323</v>
      </c>
      <c r="I11" t="s">
        <v>249</v>
      </c>
      <c r="J11" t="s">
        <v>466</v>
      </c>
      <c r="K11" t="s">
        <v>467</v>
      </c>
    </row>
    <row r="12" spans="1:11" x14ac:dyDescent="0.2">
      <c r="A12" t="s">
        <v>164</v>
      </c>
      <c r="B12" t="s">
        <v>165</v>
      </c>
      <c r="C12" t="s">
        <v>468</v>
      </c>
      <c r="D12" t="s">
        <v>432</v>
      </c>
      <c r="E12" t="s">
        <v>166</v>
      </c>
      <c r="F12" t="s">
        <v>167</v>
      </c>
      <c r="G12" t="s">
        <v>18</v>
      </c>
      <c r="H12" t="s">
        <v>168</v>
      </c>
      <c r="I12" t="s">
        <v>169</v>
      </c>
      <c r="J12" t="s">
        <v>469</v>
      </c>
      <c r="K12" t="s">
        <v>18</v>
      </c>
    </row>
    <row r="13" spans="1:11" x14ac:dyDescent="0.2">
      <c r="A13" t="s">
        <v>371</v>
      </c>
      <c r="B13" t="s">
        <v>372</v>
      </c>
      <c r="C13" t="s">
        <v>470</v>
      </c>
      <c r="D13" t="s">
        <v>471</v>
      </c>
      <c r="E13" t="s">
        <v>373</v>
      </c>
      <c r="F13" t="s">
        <v>336</v>
      </c>
      <c r="G13" t="s">
        <v>18</v>
      </c>
      <c r="H13">
        <v>1010</v>
      </c>
      <c r="I13" t="s">
        <v>337</v>
      </c>
      <c r="J13" t="s">
        <v>472</v>
      </c>
      <c r="K13" t="s">
        <v>473</v>
      </c>
    </row>
    <row r="14" spans="1:11" x14ac:dyDescent="0.2">
      <c r="A14" t="s">
        <v>68</v>
      </c>
      <c r="B14" t="s">
        <v>69</v>
      </c>
      <c r="C14" t="s">
        <v>474</v>
      </c>
      <c r="D14" t="s">
        <v>455</v>
      </c>
      <c r="E14" t="s">
        <v>70</v>
      </c>
      <c r="F14" t="s">
        <v>71</v>
      </c>
      <c r="G14" t="s">
        <v>18</v>
      </c>
      <c r="H14">
        <v>5022</v>
      </c>
      <c r="I14" t="s">
        <v>72</v>
      </c>
      <c r="J14" t="s">
        <v>475</v>
      </c>
      <c r="K14" t="s">
        <v>476</v>
      </c>
    </row>
    <row r="15" spans="1:11" x14ac:dyDescent="0.2">
      <c r="A15" t="s">
        <v>42</v>
      </c>
      <c r="B15" t="s">
        <v>43</v>
      </c>
      <c r="C15" t="s">
        <v>477</v>
      </c>
      <c r="D15" t="s">
        <v>436</v>
      </c>
      <c r="E15" t="s">
        <v>478</v>
      </c>
      <c r="F15" t="s">
        <v>45</v>
      </c>
      <c r="G15" t="s">
        <v>18</v>
      </c>
      <c r="H15">
        <v>3012</v>
      </c>
      <c r="I15" t="s">
        <v>46</v>
      </c>
      <c r="J15" t="s">
        <v>479</v>
      </c>
      <c r="K15" t="s">
        <v>18</v>
      </c>
    </row>
    <row r="16" spans="1:11" x14ac:dyDescent="0.2">
      <c r="A16" t="s">
        <v>170</v>
      </c>
      <c r="B16" t="s">
        <v>171</v>
      </c>
      <c r="C16" t="s">
        <v>480</v>
      </c>
      <c r="D16" t="s">
        <v>481</v>
      </c>
      <c r="E16" t="s">
        <v>172</v>
      </c>
      <c r="F16" t="s">
        <v>173</v>
      </c>
      <c r="G16" t="s">
        <v>55</v>
      </c>
      <c r="H16" t="s">
        <v>174</v>
      </c>
      <c r="I16" t="s">
        <v>31</v>
      </c>
      <c r="J16" t="s">
        <v>482</v>
      </c>
      <c r="K16" t="s">
        <v>18</v>
      </c>
    </row>
    <row r="17" spans="1:11" x14ac:dyDescent="0.2">
      <c r="A17" t="s">
        <v>347</v>
      </c>
      <c r="B17" t="s">
        <v>348</v>
      </c>
      <c r="C17" t="s">
        <v>483</v>
      </c>
      <c r="D17" t="s">
        <v>432</v>
      </c>
      <c r="E17" t="s">
        <v>349</v>
      </c>
      <c r="F17" t="s">
        <v>167</v>
      </c>
      <c r="G17" t="s">
        <v>18</v>
      </c>
      <c r="H17" t="s">
        <v>350</v>
      </c>
      <c r="I17" t="s">
        <v>169</v>
      </c>
      <c r="J17" t="s">
        <v>484</v>
      </c>
      <c r="K17" t="s">
        <v>485</v>
      </c>
    </row>
    <row r="18" spans="1:11" x14ac:dyDescent="0.2">
      <c r="A18" t="s">
        <v>280</v>
      </c>
      <c r="B18" t="s">
        <v>281</v>
      </c>
      <c r="C18" t="s">
        <v>486</v>
      </c>
      <c r="D18" t="s">
        <v>447</v>
      </c>
      <c r="E18" t="s">
        <v>282</v>
      </c>
      <c r="F18" t="s">
        <v>283</v>
      </c>
      <c r="G18" t="s">
        <v>18</v>
      </c>
      <c r="H18">
        <v>52066</v>
      </c>
      <c r="I18" t="s">
        <v>24</v>
      </c>
      <c r="J18" t="s">
        <v>487</v>
      </c>
      <c r="K18" t="s">
        <v>488</v>
      </c>
    </row>
    <row r="19" spans="1:11" x14ac:dyDescent="0.2">
      <c r="A19" t="s">
        <v>209</v>
      </c>
      <c r="B19" t="s">
        <v>210</v>
      </c>
      <c r="C19" t="s">
        <v>489</v>
      </c>
      <c r="D19" t="s">
        <v>436</v>
      </c>
      <c r="E19" t="s">
        <v>211</v>
      </c>
      <c r="F19" t="s">
        <v>212</v>
      </c>
      <c r="G19" t="s">
        <v>18</v>
      </c>
      <c r="H19">
        <v>44000</v>
      </c>
      <c r="I19" t="s">
        <v>19</v>
      </c>
      <c r="J19" t="s">
        <v>490</v>
      </c>
      <c r="K19" t="s">
        <v>491</v>
      </c>
    </row>
    <row r="20" spans="1:11" x14ac:dyDescent="0.2">
      <c r="A20" t="s">
        <v>284</v>
      </c>
      <c r="B20" t="s">
        <v>285</v>
      </c>
      <c r="C20" t="s">
        <v>492</v>
      </c>
      <c r="D20" t="s">
        <v>471</v>
      </c>
      <c r="E20" t="s">
        <v>286</v>
      </c>
      <c r="F20" t="s">
        <v>167</v>
      </c>
      <c r="G20" t="s">
        <v>18</v>
      </c>
      <c r="H20" t="s">
        <v>287</v>
      </c>
      <c r="I20" t="s">
        <v>169</v>
      </c>
      <c r="J20" t="s">
        <v>493</v>
      </c>
      <c r="K20" t="s">
        <v>494</v>
      </c>
    </row>
    <row r="21" spans="1:11" x14ac:dyDescent="0.2">
      <c r="A21" t="s">
        <v>63</v>
      </c>
      <c r="B21" t="s">
        <v>64</v>
      </c>
      <c r="C21" t="s">
        <v>495</v>
      </c>
      <c r="D21" t="s">
        <v>496</v>
      </c>
      <c r="E21" t="s">
        <v>65</v>
      </c>
      <c r="F21" t="s">
        <v>66</v>
      </c>
      <c r="G21" t="s">
        <v>18</v>
      </c>
      <c r="H21">
        <v>8010</v>
      </c>
      <c r="I21" t="s">
        <v>67</v>
      </c>
      <c r="J21" t="s">
        <v>497</v>
      </c>
      <c r="K21" t="s">
        <v>498</v>
      </c>
    </row>
    <row r="22" spans="1:11" x14ac:dyDescent="0.2">
      <c r="A22" t="s">
        <v>258</v>
      </c>
      <c r="B22" t="s">
        <v>259</v>
      </c>
      <c r="C22" t="s">
        <v>499</v>
      </c>
      <c r="D22" t="s">
        <v>500</v>
      </c>
      <c r="E22" t="s">
        <v>260</v>
      </c>
      <c r="F22" t="s">
        <v>173</v>
      </c>
      <c r="G22" t="s">
        <v>55</v>
      </c>
      <c r="H22" t="s">
        <v>261</v>
      </c>
      <c r="I22" t="s">
        <v>31</v>
      </c>
      <c r="J22" t="s">
        <v>501</v>
      </c>
      <c r="K22" t="s">
        <v>18</v>
      </c>
    </row>
    <row r="23" spans="1:11" x14ac:dyDescent="0.2">
      <c r="A23" t="s">
        <v>502</v>
      </c>
      <c r="B23" t="s">
        <v>503</v>
      </c>
      <c r="C23" t="s">
        <v>504</v>
      </c>
      <c r="D23" t="s">
        <v>465</v>
      </c>
      <c r="E23" t="s">
        <v>505</v>
      </c>
      <c r="F23" t="s">
        <v>149</v>
      </c>
      <c r="G23" t="s">
        <v>18</v>
      </c>
      <c r="H23">
        <v>28034</v>
      </c>
      <c r="I23" t="s">
        <v>150</v>
      </c>
      <c r="J23" t="s">
        <v>506</v>
      </c>
      <c r="K23" t="s">
        <v>507</v>
      </c>
    </row>
    <row r="24" spans="1:11" x14ac:dyDescent="0.2">
      <c r="A24" t="s">
        <v>329</v>
      </c>
      <c r="B24" t="s">
        <v>330</v>
      </c>
      <c r="C24" t="s">
        <v>508</v>
      </c>
      <c r="D24" t="s">
        <v>509</v>
      </c>
      <c r="E24" t="s">
        <v>331</v>
      </c>
      <c r="F24" t="s">
        <v>332</v>
      </c>
      <c r="G24" t="s">
        <v>18</v>
      </c>
      <c r="H24">
        <v>59000</v>
      </c>
      <c r="I24" t="s">
        <v>19</v>
      </c>
      <c r="J24" t="s">
        <v>510</v>
      </c>
      <c r="K24" t="s">
        <v>511</v>
      </c>
    </row>
    <row r="25" spans="1:11" x14ac:dyDescent="0.2">
      <c r="A25" t="s">
        <v>87</v>
      </c>
      <c r="B25" t="s">
        <v>88</v>
      </c>
      <c r="C25" t="s">
        <v>512</v>
      </c>
      <c r="D25" t="s">
        <v>436</v>
      </c>
      <c r="E25" t="s">
        <v>89</v>
      </c>
      <c r="F25" t="s">
        <v>90</v>
      </c>
      <c r="G25" t="s">
        <v>18</v>
      </c>
      <c r="H25" t="s">
        <v>91</v>
      </c>
      <c r="I25" t="s">
        <v>92</v>
      </c>
      <c r="J25" t="s">
        <v>513</v>
      </c>
      <c r="K25" t="s">
        <v>18</v>
      </c>
    </row>
    <row r="26" spans="1:11" x14ac:dyDescent="0.2">
      <c r="A26" t="s">
        <v>102</v>
      </c>
      <c r="B26" t="s">
        <v>103</v>
      </c>
      <c r="C26" t="s">
        <v>514</v>
      </c>
      <c r="D26" t="s">
        <v>455</v>
      </c>
      <c r="E26" t="s">
        <v>104</v>
      </c>
      <c r="F26" t="s">
        <v>105</v>
      </c>
      <c r="G26" t="s">
        <v>18</v>
      </c>
      <c r="H26">
        <v>80805</v>
      </c>
      <c r="I26" t="s">
        <v>24</v>
      </c>
      <c r="J26" t="s">
        <v>515</v>
      </c>
      <c r="K26" t="s">
        <v>516</v>
      </c>
    </row>
    <row r="27" spans="1:11" x14ac:dyDescent="0.2">
      <c r="A27" t="s">
        <v>405</v>
      </c>
      <c r="B27" t="s">
        <v>406</v>
      </c>
      <c r="C27" t="s">
        <v>517</v>
      </c>
      <c r="D27" t="s">
        <v>455</v>
      </c>
      <c r="E27" t="s">
        <v>407</v>
      </c>
      <c r="F27" t="s">
        <v>212</v>
      </c>
      <c r="G27" t="s">
        <v>18</v>
      </c>
      <c r="H27">
        <v>44000</v>
      </c>
      <c r="I27" t="s">
        <v>19</v>
      </c>
      <c r="J27" t="s">
        <v>518</v>
      </c>
      <c r="K27" t="s">
        <v>519</v>
      </c>
    </row>
    <row r="28" spans="1:11" x14ac:dyDescent="0.2">
      <c r="A28" t="s">
        <v>338</v>
      </c>
      <c r="B28" t="s">
        <v>339</v>
      </c>
      <c r="C28" t="s">
        <v>520</v>
      </c>
      <c r="D28" t="s">
        <v>432</v>
      </c>
      <c r="E28" t="s">
        <v>340</v>
      </c>
      <c r="F28" t="s">
        <v>341</v>
      </c>
      <c r="G28" t="s">
        <v>18</v>
      </c>
      <c r="H28">
        <v>10100</v>
      </c>
      <c r="I28" t="s">
        <v>129</v>
      </c>
      <c r="J28" t="s">
        <v>521</v>
      </c>
      <c r="K28" t="s">
        <v>522</v>
      </c>
    </row>
    <row r="29" spans="1:11" x14ac:dyDescent="0.2">
      <c r="A29" t="s">
        <v>234</v>
      </c>
      <c r="B29" t="s">
        <v>235</v>
      </c>
      <c r="C29" t="s">
        <v>523</v>
      </c>
      <c r="D29" t="s">
        <v>496</v>
      </c>
      <c r="E29" t="s">
        <v>236</v>
      </c>
      <c r="F29" t="s">
        <v>237</v>
      </c>
      <c r="G29" t="s">
        <v>18</v>
      </c>
      <c r="H29">
        <v>1675</v>
      </c>
      <c r="I29" t="s">
        <v>238</v>
      </c>
      <c r="J29" t="s">
        <v>524</v>
      </c>
      <c r="K29" t="s">
        <v>525</v>
      </c>
    </row>
    <row r="30" spans="1:11" x14ac:dyDescent="0.2">
      <c r="A30" t="s">
        <v>291</v>
      </c>
      <c r="B30" t="s">
        <v>526</v>
      </c>
      <c r="C30" t="s">
        <v>527</v>
      </c>
      <c r="D30" t="s">
        <v>455</v>
      </c>
      <c r="E30" t="s">
        <v>293</v>
      </c>
      <c r="F30" t="s">
        <v>294</v>
      </c>
      <c r="G30" t="s">
        <v>18</v>
      </c>
      <c r="H30">
        <v>8022</v>
      </c>
      <c r="I30" t="s">
        <v>150</v>
      </c>
      <c r="J30" t="s">
        <v>528</v>
      </c>
      <c r="K30" t="s">
        <v>529</v>
      </c>
    </row>
    <row r="31" spans="1:11" x14ac:dyDescent="0.2">
      <c r="A31" t="s">
        <v>189</v>
      </c>
      <c r="B31" t="s">
        <v>190</v>
      </c>
      <c r="C31" t="s">
        <v>530</v>
      </c>
      <c r="D31" t="s">
        <v>496</v>
      </c>
      <c r="E31" t="s">
        <v>191</v>
      </c>
      <c r="F31" t="s">
        <v>192</v>
      </c>
      <c r="G31" t="s">
        <v>18</v>
      </c>
      <c r="H31">
        <v>41101</v>
      </c>
      <c r="I31" t="s">
        <v>150</v>
      </c>
      <c r="J31" t="s">
        <v>531</v>
      </c>
      <c r="K31" t="s">
        <v>18</v>
      </c>
    </row>
    <row r="32" spans="1:11" x14ac:dyDescent="0.2">
      <c r="A32" t="s">
        <v>342</v>
      </c>
      <c r="B32" t="s">
        <v>343</v>
      </c>
      <c r="C32" t="s">
        <v>532</v>
      </c>
      <c r="D32" t="s">
        <v>481</v>
      </c>
      <c r="E32" t="s">
        <v>344</v>
      </c>
      <c r="F32" t="s">
        <v>345</v>
      </c>
      <c r="G32" t="s">
        <v>55</v>
      </c>
      <c r="H32" t="s">
        <v>346</v>
      </c>
      <c r="I32" t="s">
        <v>31</v>
      </c>
      <c r="J32" t="s">
        <v>533</v>
      </c>
      <c r="K32" t="s">
        <v>18</v>
      </c>
    </row>
    <row r="33" spans="1:11" x14ac:dyDescent="0.2">
      <c r="A33" t="s">
        <v>374</v>
      </c>
      <c r="B33" t="s">
        <v>375</v>
      </c>
      <c r="C33" t="s">
        <v>534</v>
      </c>
      <c r="D33" t="s">
        <v>455</v>
      </c>
      <c r="E33" t="s">
        <v>376</v>
      </c>
      <c r="F33" t="s">
        <v>377</v>
      </c>
      <c r="G33" t="s">
        <v>202</v>
      </c>
      <c r="H33">
        <v>97403</v>
      </c>
      <c r="I33" t="s">
        <v>86</v>
      </c>
      <c r="J33" t="s">
        <v>535</v>
      </c>
      <c r="K33" t="s">
        <v>18</v>
      </c>
    </row>
    <row r="34" spans="1:11" x14ac:dyDescent="0.2">
      <c r="A34" t="s">
        <v>106</v>
      </c>
      <c r="B34" t="s">
        <v>107</v>
      </c>
      <c r="C34" t="s">
        <v>536</v>
      </c>
      <c r="D34" t="s">
        <v>436</v>
      </c>
      <c r="E34" t="s">
        <v>108</v>
      </c>
      <c r="F34" t="s">
        <v>109</v>
      </c>
      <c r="G34" t="s">
        <v>110</v>
      </c>
      <c r="H34">
        <v>1081</v>
      </c>
      <c r="I34" t="s">
        <v>62</v>
      </c>
      <c r="J34" t="s">
        <v>537</v>
      </c>
      <c r="K34" t="s">
        <v>538</v>
      </c>
    </row>
    <row r="35" spans="1:11" x14ac:dyDescent="0.2">
      <c r="A35" t="s">
        <v>25</v>
      </c>
      <c r="B35" t="s">
        <v>26</v>
      </c>
      <c r="C35" t="s">
        <v>539</v>
      </c>
      <c r="D35" t="s">
        <v>465</v>
      </c>
      <c r="E35" t="s">
        <v>27</v>
      </c>
      <c r="F35" t="s">
        <v>28</v>
      </c>
      <c r="G35" t="s">
        <v>29</v>
      </c>
      <c r="H35" t="s">
        <v>30</v>
      </c>
      <c r="I35" t="s">
        <v>31</v>
      </c>
      <c r="J35" t="s">
        <v>540</v>
      </c>
      <c r="K35" t="s">
        <v>541</v>
      </c>
    </row>
    <row r="36" spans="1:11" x14ac:dyDescent="0.2">
      <c r="A36" t="s">
        <v>57</v>
      </c>
      <c r="B36" t="s">
        <v>58</v>
      </c>
      <c r="C36" t="s">
        <v>542</v>
      </c>
      <c r="D36" t="s">
        <v>432</v>
      </c>
      <c r="E36" t="s">
        <v>59</v>
      </c>
      <c r="F36" t="s">
        <v>60</v>
      </c>
      <c r="G36" t="s">
        <v>61</v>
      </c>
      <c r="H36">
        <v>5022</v>
      </c>
      <c r="I36" t="s">
        <v>62</v>
      </c>
      <c r="J36" t="s">
        <v>543</v>
      </c>
      <c r="K36" t="s">
        <v>544</v>
      </c>
    </row>
    <row r="37" spans="1:11" x14ac:dyDescent="0.2">
      <c r="A37" t="s">
        <v>309</v>
      </c>
      <c r="B37" t="s">
        <v>310</v>
      </c>
      <c r="C37" t="s">
        <v>545</v>
      </c>
      <c r="D37" t="s">
        <v>432</v>
      </c>
      <c r="E37" t="s">
        <v>311</v>
      </c>
      <c r="F37" t="s">
        <v>312</v>
      </c>
      <c r="G37" t="s">
        <v>202</v>
      </c>
      <c r="H37">
        <v>97827</v>
      </c>
      <c r="I37" t="s">
        <v>86</v>
      </c>
      <c r="J37" t="s">
        <v>546</v>
      </c>
      <c r="K37" t="s">
        <v>547</v>
      </c>
    </row>
    <row r="38" spans="1:11" x14ac:dyDescent="0.2">
      <c r="A38" t="s">
        <v>179</v>
      </c>
      <c r="B38" t="s">
        <v>180</v>
      </c>
      <c r="C38" t="s">
        <v>548</v>
      </c>
      <c r="D38" t="s">
        <v>481</v>
      </c>
      <c r="E38" t="s">
        <v>181</v>
      </c>
      <c r="F38" t="s">
        <v>182</v>
      </c>
      <c r="G38" t="s">
        <v>183</v>
      </c>
      <c r="H38" t="s">
        <v>18</v>
      </c>
      <c r="I38" t="s">
        <v>184</v>
      </c>
      <c r="J38" t="s">
        <v>549</v>
      </c>
      <c r="K38" t="s">
        <v>550</v>
      </c>
    </row>
    <row r="39" spans="1:11" x14ac:dyDescent="0.2">
      <c r="A39" t="s">
        <v>213</v>
      </c>
      <c r="B39" t="s">
        <v>214</v>
      </c>
      <c r="C39" t="s">
        <v>551</v>
      </c>
      <c r="D39" t="s">
        <v>455</v>
      </c>
      <c r="E39" t="s">
        <v>215</v>
      </c>
      <c r="F39" t="s">
        <v>216</v>
      </c>
      <c r="G39" t="s">
        <v>217</v>
      </c>
      <c r="H39" t="s">
        <v>218</v>
      </c>
      <c r="I39" t="s">
        <v>169</v>
      </c>
      <c r="J39" t="s">
        <v>552</v>
      </c>
      <c r="K39" t="s">
        <v>18</v>
      </c>
    </row>
    <row r="40" spans="1:11" x14ac:dyDescent="0.2">
      <c r="A40" t="s">
        <v>222</v>
      </c>
      <c r="B40" t="s">
        <v>223</v>
      </c>
      <c r="C40" t="s">
        <v>553</v>
      </c>
      <c r="D40" t="s">
        <v>481</v>
      </c>
      <c r="E40" t="s">
        <v>224</v>
      </c>
      <c r="F40" t="s">
        <v>225</v>
      </c>
      <c r="G40" t="s">
        <v>18</v>
      </c>
      <c r="H40">
        <v>14776</v>
      </c>
      <c r="I40" t="s">
        <v>24</v>
      </c>
      <c r="J40" t="s">
        <v>554</v>
      </c>
      <c r="K40" t="s">
        <v>18</v>
      </c>
    </row>
    <row r="41" spans="1:11" x14ac:dyDescent="0.2">
      <c r="A41" t="s">
        <v>413</v>
      </c>
      <c r="B41" t="s">
        <v>414</v>
      </c>
      <c r="C41" t="s">
        <v>555</v>
      </c>
      <c r="D41" t="s">
        <v>432</v>
      </c>
      <c r="E41" t="s">
        <v>415</v>
      </c>
      <c r="F41" t="s">
        <v>416</v>
      </c>
      <c r="G41" t="s">
        <v>18</v>
      </c>
      <c r="H41">
        <v>78000</v>
      </c>
      <c r="I41" t="s">
        <v>19</v>
      </c>
      <c r="J41" t="s">
        <v>556</v>
      </c>
      <c r="K41" t="s">
        <v>557</v>
      </c>
    </row>
    <row r="42" spans="1:11" x14ac:dyDescent="0.2">
      <c r="A42" t="s">
        <v>262</v>
      </c>
      <c r="B42" t="s">
        <v>263</v>
      </c>
      <c r="C42" t="s">
        <v>558</v>
      </c>
      <c r="D42" t="s">
        <v>496</v>
      </c>
      <c r="E42" t="s">
        <v>264</v>
      </c>
      <c r="F42" t="s">
        <v>265</v>
      </c>
      <c r="G42" t="s">
        <v>18</v>
      </c>
      <c r="H42">
        <v>31000</v>
      </c>
      <c r="I42" t="s">
        <v>19</v>
      </c>
      <c r="J42" t="s">
        <v>559</v>
      </c>
      <c r="K42" t="s">
        <v>560</v>
      </c>
    </row>
    <row r="43" spans="1:11" x14ac:dyDescent="0.2">
      <c r="A43" t="s">
        <v>358</v>
      </c>
      <c r="B43" t="s">
        <v>359</v>
      </c>
      <c r="C43" t="s">
        <v>561</v>
      </c>
      <c r="D43" t="s">
        <v>500</v>
      </c>
      <c r="E43" t="s">
        <v>562</v>
      </c>
      <c r="F43" t="s">
        <v>361</v>
      </c>
      <c r="G43" t="s">
        <v>322</v>
      </c>
      <c r="H43" t="s">
        <v>362</v>
      </c>
      <c r="I43" t="s">
        <v>249</v>
      </c>
      <c r="J43" t="s">
        <v>563</v>
      </c>
      <c r="K43" t="s">
        <v>564</v>
      </c>
    </row>
    <row r="44" spans="1:11" x14ac:dyDescent="0.2">
      <c r="A44" t="s">
        <v>354</v>
      </c>
      <c r="B44" t="s">
        <v>355</v>
      </c>
      <c r="C44" t="s">
        <v>565</v>
      </c>
      <c r="D44" t="s">
        <v>455</v>
      </c>
      <c r="E44" t="s">
        <v>356</v>
      </c>
      <c r="F44" t="s">
        <v>357</v>
      </c>
      <c r="G44" t="s">
        <v>115</v>
      </c>
      <c r="H44">
        <v>99362</v>
      </c>
      <c r="I44" t="s">
        <v>86</v>
      </c>
      <c r="J44" t="s">
        <v>566</v>
      </c>
      <c r="K44" t="s">
        <v>567</v>
      </c>
    </row>
    <row r="45" spans="1:11" x14ac:dyDescent="0.2">
      <c r="A45" t="s">
        <v>142</v>
      </c>
      <c r="B45" t="s">
        <v>143</v>
      </c>
      <c r="C45" t="s">
        <v>568</v>
      </c>
      <c r="D45" t="s">
        <v>432</v>
      </c>
      <c r="E45" t="s">
        <v>144</v>
      </c>
      <c r="F45" t="s">
        <v>145</v>
      </c>
      <c r="G45" t="s">
        <v>18</v>
      </c>
      <c r="H45">
        <v>60528</v>
      </c>
      <c r="I45" t="s">
        <v>24</v>
      </c>
      <c r="J45" t="s">
        <v>569</v>
      </c>
      <c r="K45" t="s">
        <v>570</v>
      </c>
    </row>
    <row r="46" spans="1:11" x14ac:dyDescent="0.2">
      <c r="A46" t="s">
        <v>387</v>
      </c>
      <c r="B46" t="s">
        <v>388</v>
      </c>
      <c r="C46" t="s">
        <v>571</v>
      </c>
      <c r="D46" t="s">
        <v>436</v>
      </c>
      <c r="E46" t="s">
        <v>389</v>
      </c>
      <c r="F46" t="s">
        <v>390</v>
      </c>
      <c r="G46" t="s">
        <v>391</v>
      </c>
      <c r="H46">
        <v>94117</v>
      </c>
      <c r="I46" t="s">
        <v>86</v>
      </c>
      <c r="J46" t="s">
        <v>572</v>
      </c>
      <c r="K46" t="s">
        <v>18</v>
      </c>
    </row>
    <row r="47" spans="1:11" x14ac:dyDescent="0.2">
      <c r="A47" t="s">
        <v>151</v>
      </c>
      <c r="B47" t="s">
        <v>152</v>
      </c>
      <c r="C47" t="s">
        <v>573</v>
      </c>
      <c r="D47" t="s">
        <v>465</v>
      </c>
      <c r="E47" t="s">
        <v>153</v>
      </c>
      <c r="F47" t="s">
        <v>154</v>
      </c>
      <c r="G47" t="s">
        <v>155</v>
      </c>
      <c r="H47">
        <v>3508</v>
      </c>
      <c r="I47" t="s">
        <v>62</v>
      </c>
      <c r="J47" t="s">
        <v>574</v>
      </c>
      <c r="K47" t="s">
        <v>575</v>
      </c>
    </row>
    <row r="48" spans="1:11" x14ac:dyDescent="0.2">
      <c r="A48" t="s">
        <v>324</v>
      </c>
      <c r="B48" t="s">
        <v>325</v>
      </c>
      <c r="C48" t="s">
        <v>576</v>
      </c>
      <c r="D48" t="s">
        <v>436</v>
      </c>
      <c r="E48" t="s">
        <v>326</v>
      </c>
      <c r="F48" t="s">
        <v>327</v>
      </c>
      <c r="G48" t="s">
        <v>328</v>
      </c>
      <c r="H48">
        <v>4980</v>
      </c>
      <c r="I48" t="s">
        <v>62</v>
      </c>
      <c r="J48" t="s">
        <v>577</v>
      </c>
      <c r="K48" t="s">
        <v>578</v>
      </c>
    </row>
    <row r="49" spans="1:11" x14ac:dyDescent="0.2">
      <c r="A49" t="s">
        <v>198</v>
      </c>
      <c r="B49" t="s">
        <v>199</v>
      </c>
      <c r="C49" t="s">
        <v>579</v>
      </c>
      <c r="D49" t="s">
        <v>496</v>
      </c>
      <c r="E49" t="s">
        <v>200</v>
      </c>
      <c r="F49" t="s">
        <v>201</v>
      </c>
      <c r="G49" t="s">
        <v>202</v>
      </c>
      <c r="H49">
        <v>97219</v>
      </c>
      <c r="I49" t="s">
        <v>86</v>
      </c>
      <c r="J49" t="s">
        <v>580</v>
      </c>
      <c r="K49" t="s">
        <v>581</v>
      </c>
    </row>
    <row r="50" spans="1:11" x14ac:dyDescent="0.2">
      <c r="A50" t="s">
        <v>125</v>
      </c>
      <c r="B50" t="s">
        <v>126</v>
      </c>
      <c r="C50" t="s">
        <v>582</v>
      </c>
      <c r="D50" t="s">
        <v>455</v>
      </c>
      <c r="E50" t="s">
        <v>127</v>
      </c>
      <c r="F50" t="s">
        <v>128</v>
      </c>
      <c r="G50" t="s">
        <v>18</v>
      </c>
      <c r="H50">
        <v>24100</v>
      </c>
      <c r="I50" t="s">
        <v>129</v>
      </c>
      <c r="J50" t="s">
        <v>583</v>
      </c>
      <c r="K50" t="s">
        <v>584</v>
      </c>
    </row>
    <row r="51" spans="1:11" x14ac:dyDescent="0.2">
      <c r="A51" t="s">
        <v>378</v>
      </c>
      <c r="B51" t="s">
        <v>379</v>
      </c>
      <c r="C51" t="s">
        <v>585</v>
      </c>
      <c r="D51" t="s">
        <v>471</v>
      </c>
      <c r="E51" t="s">
        <v>380</v>
      </c>
      <c r="F51" t="s">
        <v>381</v>
      </c>
      <c r="G51" t="s">
        <v>18</v>
      </c>
      <c r="H51" t="s">
        <v>382</v>
      </c>
      <c r="I51" t="s">
        <v>41</v>
      </c>
      <c r="J51" t="s">
        <v>586</v>
      </c>
      <c r="K51" t="s">
        <v>587</v>
      </c>
    </row>
    <row r="52" spans="1:11" x14ac:dyDescent="0.2">
      <c r="A52" t="s">
        <v>243</v>
      </c>
      <c r="B52" t="s">
        <v>244</v>
      </c>
      <c r="C52" t="s">
        <v>588</v>
      </c>
      <c r="D52" t="s">
        <v>500</v>
      </c>
      <c r="E52" t="s">
        <v>245</v>
      </c>
      <c r="F52" t="s">
        <v>246</v>
      </c>
      <c r="G52" t="s">
        <v>247</v>
      </c>
      <c r="H52" t="s">
        <v>248</v>
      </c>
      <c r="I52" t="s">
        <v>249</v>
      </c>
      <c r="J52" t="s">
        <v>589</v>
      </c>
      <c r="K52" t="s">
        <v>590</v>
      </c>
    </row>
    <row r="53" spans="1:11" x14ac:dyDescent="0.2">
      <c r="A53" t="s">
        <v>133</v>
      </c>
      <c r="B53" t="s">
        <v>134</v>
      </c>
      <c r="C53" t="s">
        <v>591</v>
      </c>
      <c r="D53" t="s">
        <v>500</v>
      </c>
      <c r="E53" t="s">
        <v>135</v>
      </c>
      <c r="F53" t="s">
        <v>136</v>
      </c>
      <c r="G53" t="s">
        <v>18</v>
      </c>
      <c r="H53">
        <v>4179</v>
      </c>
      <c r="I53" t="s">
        <v>24</v>
      </c>
      <c r="J53" t="s">
        <v>592</v>
      </c>
      <c r="K53" t="s">
        <v>18</v>
      </c>
    </row>
    <row r="54" spans="1:11" x14ac:dyDescent="0.2">
      <c r="A54" t="s">
        <v>367</v>
      </c>
      <c r="B54" t="s">
        <v>368</v>
      </c>
      <c r="C54" t="s">
        <v>593</v>
      </c>
      <c r="D54" t="s">
        <v>481</v>
      </c>
      <c r="E54" t="s">
        <v>369</v>
      </c>
      <c r="F54" t="s">
        <v>167</v>
      </c>
      <c r="G54" t="s">
        <v>18</v>
      </c>
      <c r="H54" t="s">
        <v>370</v>
      </c>
      <c r="I54" t="s">
        <v>169</v>
      </c>
      <c r="J54" t="s">
        <v>594</v>
      </c>
      <c r="K54" t="s">
        <v>595</v>
      </c>
    </row>
    <row r="55" spans="1:11" x14ac:dyDescent="0.2">
      <c r="A55" t="s">
        <v>333</v>
      </c>
      <c r="B55" t="s">
        <v>334</v>
      </c>
      <c r="C55" t="s">
        <v>596</v>
      </c>
      <c r="D55" t="s">
        <v>471</v>
      </c>
      <c r="E55" t="s">
        <v>335</v>
      </c>
      <c r="F55" t="s">
        <v>336</v>
      </c>
      <c r="G55" t="s">
        <v>18</v>
      </c>
      <c r="H55">
        <v>1010</v>
      </c>
      <c r="I55" t="s">
        <v>337</v>
      </c>
      <c r="J55" t="s">
        <v>597</v>
      </c>
      <c r="K55" t="s">
        <v>598</v>
      </c>
    </row>
    <row r="56" spans="1:11" x14ac:dyDescent="0.2">
      <c r="A56" t="s">
        <v>193</v>
      </c>
      <c r="B56" t="s">
        <v>194</v>
      </c>
      <c r="C56" t="s">
        <v>599</v>
      </c>
      <c r="D56" t="s">
        <v>432</v>
      </c>
      <c r="E56" t="s">
        <v>195</v>
      </c>
      <c r="F56" t="s">
        <v>196</v>
      </c>
      <c r="G56" t="s">
        <v>197</v>
      </c>
      <c r="H56">
        <v>99508</v>
      </c>
      <c r="I56" t="s">
        <v>86</v>
      </c>
      <c r="J56" t="s">
        <v>600</v>
      </c>
      <c r="K56" t="s">
        <v>601</v>
      </c>
    </row>
    <row r="57" spans="1:11" x14ac:dyDescent="0.2">
      <c r="A57" t="s">
        <v>73</v>
      </c>
      <c r="B57" t="s">
        <v>74</v>
      </c>
      <c r="C57" t="s">
        <v>602</v>
      </c>
      <c r="D57" t="s">
        <v>436</v>
      </c>
      <c r="E57" t="s">
        <v>75</v>
      </c>
      <c r="F57" t="s">
        <v>76</v>
      </c>
      <c r="G57" t="s">
        <v>18</v>
      </c>
      <c r="H57">
        <v>50739</v>
      </c>
      <c r="I57" t="s">
        <v>24</v>
      </c>
      <c r="J57" t="s">
        <v>603</v>
      </c>
      <c r="K57" t="s">
        <v>604</v>
      </c>
    </row>
    <row r="58" spans="1:11" x14ac:dyDescent="0.2">
      <c r="A58" t="s">
        <v>605</v>
      </c>
      <c r="B58" t="s">
        <v>606</v>
      </c>
      <c r="C58" t="s">
        <v>607</v>
      </c>
      <c r="D58" t="s">
        <v>436</v>
      </c>
      <c r="E58" t="s">
        <v>608</v>
      </c>
      <c r="F58" t="s">
        <v>412</v>
      </c>
      <c r="G58" t="s">
        <v>18</v>
      </c>
      <c r="H58">
        <v>75012</v>
      </c>
      <c r="I58" t="s">
        <v>19</v>
      </c>
      <c r="J58" t="s">
        <v>609</v>
      </c>
      <c r="K58" t="s">
        <v>610</v>
      </c>
    </row>
    <row r="59" spans="1:11" x14ac:dyDescent="0.2">
      <c r="A59" t="s">
        <v>219</v>
      </c>
      <c r="B59" t="s">
        <v>220</v>
      </c>
      <c r="C59" t="s">
        <v>611</v>
      </c>
      <c r="D59" t="s">
        <v>432</v>
      </c>
      <c r="E59" t="s">
        <v>221</v>
      </c>
      <c r="F59" t="s">
        <v>71</v>
      </c>
      <c r="G59" t="s">
        <v>18</v>
      </c>
      <c r="H59">
        <v>5033</v>
      </c>
      <c r="I59" t="s">
        <v>72</v>
      </c>
      <c r="J59" t="s">
        <v>612</v>
      </c>
      <c r="K59" t="s">
        <v>613</v>
      </c>
    </row>
    <row r="60" spans="1:11" x14ac:dyDescent="0.2">
      <c r="A60" t="s">
        <v>266</v>
      </c>
      <c r="B60" t="s">
        <v>267</v>
      </c>
      <c r="C60" t="s">
        <v>614</v>
      </c>
      <c r="D60" t="s">
        <v>496</v>
      </c>
      <c r="E60" t="s">
        <v>268</v>
      </c>
      <c r="F60" t="s">
        <v>269</v>
      </c>
      <c r="G60" t="s">
        <v>18</v>
      </c>
      <c r="H60">
        <v>5020</v>
      </c>
      <c r="I60" t="s">
        <v>67</v>
      </c>
      <c r="J60" t="s">
        <v>615</v>
      </c>
      <c r="K60" t="s">
        <v>616</v>
      </c>
    </row>
    <row r="61" spans="1:11" x14ac:dyDescent="0.2">
      <c r="A61" t="s">
        <v>250</v>
      </c>
      <c r="B61" t="s">
        <v>251</v>
      </c>
      <c r="C61" t="s">
        <v>617</v>
      </c>
      <c r="D61" t="s">
        <v>432</v>
      </c>
      <c r="E61" t="s">
        <v>252</v>
      </c>
      <c r="F61" t="s">
        <v>237</v>
      </c>
      <c r="G61" t="s">
        <v>18</v>
      </c>
      <c r="H61">
        <v>1756</v>
      </c>
      <c r="I61" t="s">
        <v>238</v>
      </c>
      <c r="J61" t="s">
        <v>618</v>
      </c>
      <c r="K61" t="s">
        <v>18</v>
      </c>
    </row>
    <row r="62" spans="1:11" x14ac:dyDescent="0.2">
      <c r="A62" t="s">
        <v>77</v>
      </c>
      <c r="B62" t="s">
        <v>78</v>
      </c>
      <c r="C62" t="s">
        <v>619</v>
      </c>
      <c r="D62" t="s">
        <v>465</v>
      </c>
      <c r="E62" t="s">
        <v>79</v>
      </c>
      <c r="F62" t="s">
        <v>28</v>
      </c>
      <c r="G62" t="s">
        <v>29</v>
      </c>
      <c r="H62" t="s">
        <v>80</v>
      </c>
      <c r="I62" t="s">
        <v>31</v>
      </c>
      <c r="J62" t="s">
        <v>620</v>
      </c>
      <c r="K62" t="s">
        <v>621</v>
      </c>
    </row>
    <row r="63" spans="1:11" x14ac:dyDescent="0.2">
      <c r="A63" t="s">
        <v>299</v>
      </c>
      <c r="B63" t="s">
        <v>300</v>
      </c>
      <c r="C63" t="s">
        <v>622</v>
      </c>
      <c r="D63" t="s">
        <v>500</v>
      </c>
      <c r="E63" t="s">
        <v>301</v>
      </c>
      <c r="F63" t="s">
        <v>173</v>
      </c>
      <c r="G63" t="s">
        <v>55</v>
      </c>
      <c r="H63" t="s">
        <v>302</v>
      </c>
      <c r="I63" t="s">
        <v>31</v>
      </c>
      <c r="J63" t="s">
        <v>623</v>
      </c>
      <c r="K63" t="s">
        <v>18</v>
      </c>
    </row>
    <row r="64" spans="1:11" x14ac:dyDescent="0.2">
      <c r="A64" t="s">
        <v>121</v>
      </c>
      <c r="B64" t="s">
        <v>122</v>
      </c>
      <c r="C64" t="s">
        <v>624</v>
      </c>
      <c r="D64" t="s">
        <v>465</v>
      </c>
      <c r="E64" t="s">
        <v>123</v>
      </c>
      <c r="F64" t="s">
        <v>124</v>
      </c>
      <c r="G64" t="s">
        <v>18</v>
      </c>
      <c r="H64">
        <v>1307</v>
      </c>
      <c r="I64" t="s">
        <v>24</v>
      </c>
      <c r="J64" t="s">
        <v>625</v>
      </c>
      <c r="K64" t="s">
        <v>18</v>
      </c>
    </row>
    <row r="65" spans="1:11" x14ac:dyDescent="0.2">
      <c r="A65" t="s">
        <v>351</v>
      </c>
      <c r="B65" t="s">
        <v>352</v>
      </c>
      <c r="C65" t="s">
        <v>626</v>
      </c>
      <c r="D65" t="s">
        <v>432</v>
      </c>
      <c r="E65" t="s">
        <v>353</v>
      </c>
      <c r="F65" t="s">
        <v>336</v>
      </c>
      <c r="G65" t="s">
        <v>18</v>
      </c>
      <c r="H65">
        <v>1010</v>
      </c>
      <c r="I65" t="s">
        <v>337</v>
      </c>
      <c r="J65" t="s">
        <v>627</v>
      </c>
      <c r="K65" t="s">
        <v>628</v>
      </c>
    </row>
    <row r="66" spans="1:11" x14ac:dyDescent="0.2">
      <c r="A66" t="s">
        <v>81</v>
      </c>
      <c r="B66" t="s">
        <v>82</v>
      </c>
      <c r="C66" t="s">
        <v>629</v>
      </c>
      <c r="D66" t="s">
        <v>630</v>
      </c>
      <c r="E66" t="s">
        <v>83</v>
      </c>
      <c r="F66" t="s">
        <v>84</v>
      </c>
      <c r="G66" t="s">
        <v>85</v>
      </c>
      <c r="H66">
        <v>87110</v>
      </c>
      <c r="I66" t="s">
        <v>86</v>
      </c>
      <c r="J66" t="s">
        <v>631</v>
      </c>
      <c r="K66" t="s">
        <v>632</v>
      </c>
    </row>
    <row r="67" spans="1:11" x14ac:dyDescent="0.2">
      <c r="A67" t="s">
        <v>160</v>
      </c>
      <c r="B67" t="s">
        <v>161</v>
      </c>
      <c r="C67" t="s">
        <v>633</v>
      </c>
      <c r="D67" t="s">
        <v>481</v>
      </c>
      <c r="E67" t="s">
        <v>162</v>
      </c>
      <c r="F67" t="s">
        <v>163</v>
      </c>
      <c r="G67" t="s">
        <v>18</v>
      </c>
      <c r="H67">
        <v>42100</v>
      </c>
      <c r="I67" t="s">
        <v>129</v>
      </c>
      <c r="J67" t="s">
        <v>634</v>
      </c>
      <c r="K67" t="s">
        <v>635</v>
      </c>
    </row>
    <row r="68" spans="1:11" x14ac:dyDescent="0.2">
      <c r="A68" t="s">
        <v>156</v>
      </c>
      <c r="B68" t="s">
        <v>157</v>
      </c>
      <c r="C68" t="s">
        <v>636</v>
      </c>
      <c r="D68" t="s">
        <v>509</v>
      </c>
      <c r="E68" t="s">
        <v>158</v>
      </c>
      <c r="F68" t="s">
        <v>28</v>
      </c>
      <c r="G68" t="s">
        <v>29</v>
      </c>
      <c r="H68" t="s">
        <v>159</v>
      </c>
      <c r="I68" t="s">
        <v>31</v>
      </c>
      <c r="J68" t="s">
        <v>637</v>
      </c>
      <c r="K68" t="s">
        <v>18</v>
      </c>
    </row>
    <row r="69" spans="1:11" x14ac:dyDescent="0.2">
      <c r="A69" t="s">
        <v>47</v>
      </c>
      <c r="B69" t="s">
        <v>48</v>
      </c>
      <c r="C69" t="s">
        <v>638</v>
      </c>
      <c r="D69" t="s">
        <v>496</v>
      </c>
      <c r="E69" t="s">
        <v>639</v>
      </c>
      <c r="F69" t="s">
        <v>50</v>
      </c>
      <c r="G69" t="s">
        <v>18</v>
      </c>
      <c r="H69">
        <v>1203</v>
      </c>
      <c r="I69" t="s">
        <v>46</v>
      </c>
      <c r="J69" t="s">
        <v>640</v>
      </c>
      <c r="K69" t="s">
        <v>18</v>
      </c>
    </row>
    <row r="70" spans="1:11" x14ac:dyDescent="0.2">
      <c r="A70" t="s">
        <v>146</v>
      </c>
      <c r="B70" t="s">
        <v>147</v>
      </c>
      <c r="C70" t="s">
        <v>641</v>
      </c>
      <c r="D70" t="s">
        <v>465</v>
      </c>
      <c r="E70" t="s">
        <v>148</v>
      </c>
      <c r="F70" t="s">
        <v>149</v>
      </c>
      <c r="G70" t="s">
        <v>18</v>
      </c>
      <c r="H70">
        <v>28001</v>
      </c>
      <c r="I70" t="s">
        <v>150</v>
      </c>
      <c r="J70" t="s">
        <v>642</v>
      </c>
      <c r="K70" t="s">
        <v>643</v>
      </c>
    </row>
    <row r="71" spans="1:11" x14ac:dyDescent="0.2">
      <c r="A71" t="s">
        <v>313</v>
      </c>
      <c r="B71" t="s">
        <v>314</v>
      </c>
      <c r="C71" t="s">
        <v>644</v>
      </c>
      <c r="D71" t="s">
        <v>436</v>
      </c>
      <c r="E71" t="s">
        <v>315</v>
      </c>
      <c r="F71" t="s">
        <v>316</v>
      </c>
      <c r="G71" t="s">
        <v>18</v>
      </c>
      <c r="H71">
        <v>4110</v>
      </c>
      <c r="I71" t="s">
        <v>317</v>
      </c>
      <c r="J71" t="s">
        <v>645</v>
      </c>
      <c r="K71" t="s">
        <v>646</v>
      </c>
    </row>
    <row r="72" spans="1:11" x14ac:dyDescent="0.2">
      <c r="A72" t="s">
        <v>226</v>
      </c>
      <c r="B72" t="s">
        <v>227</v>
      </c>
      <c r="C72" t="s">
        <v>647</v>
      </c>
      <c r="D72" t="s">
        <v>432</v>
      </c>
      <c r="E72" t="s">
        <v>228</v>
      </c>
      <c r="F72" t="s">
        <v>229</v>
      </c>
      <c r="G72" t="s">
        <v>230</v>
      </c>
      <c r="H72">
        <v>83720</v>
      </c>
      <c r="I72" t="s">
        <v>86</v>
      </c>
      <c r="J72" t="s">
        <v>648</v>
      </c>
      <c r="K72" t="s">
        <v>18</v>
      </c>
    </row>
    <row r="73" spans="1:11" x14ac:dyDescent="0.2">
      <c r="A73" t="s">
        <v>276</v>
      </c>
      <c r="B73" t="s">
        <v>277</v>
      </c>
      <c r="C73" t="s">
        <v>649</v>
      </c>
      <c r="D73" t="s">
        <v>496</v>
      </c>
      <c r="E73" t="s">
        <v>278</v>
      </c>
      <c r="F73" t="s">
        <v>167</v>
      </c>
      <c r="G73" t="s">
        <v>18</v>
      </c>
      <c r="H73" t="s">
        <v>279</v>
      </c>
      <c r="I73" t="s">
        <v>169</v>
      </c>
      <c r="J73" t="s">
        <v>650</v>
      </c>
      <c r="K73" t="s">
        <v>651</v>
      </c>
    </row>
    <row r="74" spans="1:11" x14ac:dyDescent="0.2">
      <c r="A74" t="s">
        <v>253</v>
      </c>
      <c r="B74" t="s">
        <v>254</v>
      </c>
      <c r="C74" t="s">
        <v>652</v>
      </c>
      <c r="D74" t="s">
        <v>436</v>
      </c>
      <c r="E74" t="s">
        <v>255</v>
      </c>
      <c r="F74" t="s">
        <v>256</v>
      </c>
      <c r="G74" t="s">
        <v>18</v>
      </c>
      <c r="H74">
        <v>1734</v>
      </c>
      <c r="I74" t="s">
        <v>257</v>
      </c>
      <c r="J74" t="s">
        <v>653</v>
      </c>
      <c r="K74" t="s">
        <v>654</v>
      </c>
    </row>
    <row r="75" spans="1:11" x14ac:dyDescent="0.2">
      <c r="A75" t="s">
        <v>409</v>
      </c>
      <c r="B75" t="s">
        <v>410</v>
      </c>
      <c r="C75" t="s">
        <v>655</v>
      </c>
      <c r="D75" t="s">
        <v>455</v>
      </c>
      <c r="E75" t="s">
        <v>411</v>
      </c>
      <c r="F75" t="s">
        <v>412</v>
      </c>
      <c r="G75" t="s">
        <v>18</v>
      </c>
      <c r="H75">
        <v>75016</v>
      </c>
      <c r="I75" t="s">
        <v>19</v>
      </c>
      <c r="J75" t="s">
        <v>656</v>
      </c>
      <c r="K75" t="s">
        <v>657</v>
      </c>
    </row>
    <row r="76" spans="1:11" x14ac:dyDescent="0.2">
      <c r="A76" t="s">
        <v>116</v>
      </c>
      <c r="B76" t="s">
        <v>117</v>
      </c>
      <c r="C76" t="s">
        <v>658</v>
      </c>
      <c r="D76" t="s">
        <v>496</v>
      </c>
      <c r="E76" t="s">
        <v>118</v>
      </c>
      <c r="F76" t="s">
        <v>119</v>
      </c>
      <c r="G76" t="s">
        <v>120</v>
      </c>
      <c r="H76">
        <v>82520</v>
      </c>
      <c r="I76" t="s">
        <v>86</v>
      </c>
      <c r="J76" t="s">
        <v>659</v>
      </c>
      <c r="K76" t="s">
        <v>660</v>
      </c>
    </row>
    <row r="77" spans="1:11" x14ac:dyDescent="0.2">
      <c r="A77" t="s">
        <v>36</v>
      </c>
      <c r="B77" t="s">
        <v>37</v>
      </c>
      <c r="C77" t="s">
        <v>661</v>
      </c>
      <c r="D77" t="s">
        <v>465</v>
      </c>
      <c r="E77" t="s">
        <v>38</v>
      </c>
      <c r="F77" t="s">
        <v>39</v>
      </c>
      <c r="G77" t="s">
        <v>18</v>
      </c>
      <c r="H77" t="s">
        <v>40</v>
      </c>
      <c r="I77" t="s">
        <v>41</v>
      </c>
      <c r="J77" t="s">
        <v>662</v>
      </c>
      <c r="K77" t="s">
        <v>663</v>
      </c>
    </row>
    <row r="78" spans="1:11" x14ac:dyDescent="0.2">
      <c r="A78" t="s">
        <v>206</v>
      </c>
      <c r="B78" t="s">
        <v>207</v>
      </c>
      <c r="C78" t="s">
        <v>664</v>
      </c>
      <c r="D78" t="s">
        <v>455</v>
      </c>
      <c r="E78" t="s">
        <v>208</v>
      </c>
      <c r="F78" t="s">
        <v>201</v>
      </c>
      <c r="G78" t="s">
        <v>202</v>
      </c>
      <c r="H78">
        <v>97201</v>
      </c>
      <c r="I78" t="s">
        <v>86</v>
      </c>
      <c r="J78" t="s">
        <v>665</v>
      </c>
      <c r="K78" t="s">
        <v>18</v>
      </c>
    </row>
    <row r="79" spans="1:11" x14ac:dyDescent="0.2">
      <c r="A79" t="s">
        <v>396</v>
      </c>
      <c r="B79" t="s">
        <v>397</v>
      </c>
      <c r="C79" t="s">
        <v>666</v>
      </c>
      <c r="D79" t="s">
        <v>500</v>
      </c>
      <c r="E79" t="s">
        <v>398</v>
      </c>
      <c r="F79" t="s">
        <v>399</v>
      </c>
      <c r="G79" t="s">
        <v>400</v>
      </c>
      <c r="H79">
        <v>59801</v>
      </c>
      <c r="I79" t="s">
        <v>86</v>
      </c>
      <c r="J79" t="s">
        <v>667</v>
      </c>
      <c r="K79" t="s">
        <v>668</v>
      </c>
    </row>
    <row r="80" spans="1:11" x14ac:dyDescent="0.2">
      <c r="A80" t="s">
        <v>20</v>
      </c>
      <c r="B80" t="s">
        <v>21</v>
      </c>
      <c r="C80" t="s">
        <v>669</v>
      </c>
      <c r="D80" t="s">
        <v>455</v>
      </c>
      <c r="E80" t="s">
        <v>22</v>
      </c>
      <c r="F80" t="s">
        <v>23</v>
      </c>
      <c r="G80" t="s">
        <v>18</v>
      </c>
      <c r="H80">
        <v>44087</v>
      </c>
      <c r="I80" t="s">
        <v>24</v>
      </c>
      <c r="J80" t="s">
        <v>670</v>
      </c>
      <c r="K80" t="s">
        <v>671</v>
      </c>
    </row>
    <row r="81" spans="1:11" x14ac:dyDescent="0.2">
      <c r="A81" t="s">
        <v>130</v>
      </c>
      <c r="B81" t="s">
        <v>131</v>
      </c>
      <c r="C81" t="s">
        <v>672</v>
      </c>
      <c r="D81" t="s">
        <v>436</v>
      </c>
      <c r="E81" t="s">
        <v>132</v>
      </c>
      <c r="F81" t="s">
        <v>71</v>
      </c>
      <c r="G81" t="s">
        <v>18</v>
      </c>
      <c r="H81">
        <v>5033</v>
      </c>
      <c r="I81" t="s">
        <v>72</v>
      </c>
      <c r="J81" t="s">
        <v>673</v>
      </c>
      <c r="K81" t="s">
        <v>18</v>
      </c>
    </row>
    <row r="82" spans="1:11" x14ac:dyDescent="0.2">
      <c r="A82" t="s">
        <v>175</v>
      </c>
      <c r="B82" t="s">
        <v>674</v>
      </c>
      <c r="C82" t="s">
        <v>675</v>
      </c>
      <c r="D82" t="s">
        <v>432</v>
      </c>
      <c r="E82" t="s">
        <v>177</v>
      </c>
      <c r="F82" t="s">
        <v>173</v>
      </c>
      <c r="G82" t="s">
        <v>55</v>
      </c>
      <c r="H82" t="s">
        <v>178</v>
      </c>
      <c r="I82" t="s">
        <v>31</v>
      </c>
      <c r="J82" t="s">
        <v>676</v>
      </c>
      <c r="K82" t="s">
        <v>677</v>
      </c>
    </row>
    <row r="83" spans="1:11" x14ac:dyDescent="0.2">
      <c r="A83" t="s">
        <v>383</v>
      </c>
      <c r="B83" t="s">
        <v>384</v>
      </c>
      <c r="C83" t="s">
        <v>678</v>
      </c>
      <c r="D83" t="s">
        <v>481</v>
      </c>
      <c r="E83" t="s">
        <v>385</v>
      </c>
      <c r="F83" t="s">
        <v>386</v>
      </c>
      <c r="G83" t="s">
        <v>115</v>
      </c>
      <c r="H83">
        <v>98034</v>
      </c>
      <c r="I83" t="s">
        <v>86</v>
      </c>
      <c r="J83" t="s">
        <v>679</v>
      </c>
      <c r="K83" t="s">
        <v>680</v>
      </c>
    </row>
    <row r="84" spans="1:11" x14ac:dyDescent="0.2">
      <c r="A84" t="s">
        <v>295</v>
      </c>
      <c r="B84" t="s">
        <v>296</v>
      </c>
      <c r="C84" t="s">
        <v>681</v>
      </c>
      <c r="D84" t="s">
        <v>496</v>
      </c>
      <c r="E84" t="s">
        <v>297</v>
      </c>
      <c r="F84" t="s">
        <v>298</v>
      </c>
      <c r="G84" t="s">
        <v>18</v>
      </c>
      <c r="H84">
        <v>8200</v>
      </c>
      <c r="I84" t="s">
        <v>257</v>
      </c>
      <c r="J84" t="s">
        <v>682</v>
      </c>
      <c r="K84" t="s">
        <v>683</v>
      </c>
    </row>
    <row r="85" spans="1:11" x14ac:dyDescent="0.2">
      <c r="A85" t="s">
        <v>32</v>
      </c>
      <c r="B85" t="s">
        <v>33</v>
      </c>
      <c r="C85" t="s">
        <v>684</v>
      </c>
      <c r="D85" t="s">
        <v>471</v>
      </c>
      <c r="E85" t="s">
        <v>34</v>
      </c>
      <c r="F85" t="s">
        <v>35</v>
      </c>
      <c r="G85" t="s">
        <v>18</v>
      </c>
      <c r="H85">
        <v>69004</v>
      </c>
      <c r="I85" t="s">
        <v>19</v>
      </c>
      <c r="J85" t="s">
        <v>685</v>
      </c>
      <c r="K85" t="s">
        <v>686</v>
      </c>
    </row>
    <row r="86" spans="1:11" x14ac:dyDescent="0.2">
      <c r="A86" t="s">
        <v>14</v>
      </c>
      <c r="B86" t="s">
        <v>15</v>
      </c>
      <c r="C86" t="s">
        <v>687</v>
      </c>
      <c r="D86" t="s">
        <v>465</v>
      </c>
      <c r="E86" t="s">
        <v>16</v>
      </c>
      <c r="F86" t="s">
        <v>17</v>
      </c>
      <c r="G86" t="s">
        <v>18</v>
      </c>
      <c r="H86">
        <v>51100</v>
      </c>
      <c r="I86" t="s">
        <v>19</v>
      </c>
      <c r="J86" t="s">
        <v>688</v>
      </c>
      <c r="K86" t="s">
        <v>689</v>
      </c>
    </row>
    <row r="87" spans="1:11" x14ac:dyDescent="0.2">
      <c r="A87" t="s">
        <v>185</v>
      </c>
      <c r="B87" t="s">
        <v>186</v>
      </c>
      <c r="C87" t="s">
        <v>690</v>
      </c>
      <c r="D87" t="s">
        <v>432</v>
      </c>
      <c r="E87" t="s">
        <v>187</v>
      </c>
      <c r="F87" t="s">
        <v>188</v>
      </c>
      <c r="G87" t="s">
        <v>18</v>
      </c>
      <c r="H87">
        <v>70563</v>
      </c>
      <c r="I87" t="s">
        <v>24</v>
      </c>
      <c r="J87" t="s">
        <v>691</v>
      </c>
      <c r="K87" t="s">
        <v>692</v>
      </c>
    </row>
    <row r="88" spans="1:11" x14ac:dyDescent="0.2">
      <c r="A88" t="s">
        <v>97</v>
      </c>
      <c r="B88" t="s">
        <v>98</v>
      </c>
      <c r="C88" t="s">
        <v>693</v>
      </c>
      <c r="D88" t="s">
        <v>465</v>
      </c>
      <c r="E88" t="s">
        <v>99</v>
      </c>
      <c r="F88" t="s">
        <v>100</v>
      </c>
      <c r="G88" t="s">
        <v>18</v>
      </c>
      <c r="H88">
        <v>90110</v>
      </c>
      <c r="I88" t="s">
        <v>101</v>
      </c>
      <c r="J88" t="s">
        <v>694</v>
      </c>
      <c r="K88" t="s">
        <v>694</v>
      </c>
    </row>
    <row r="89" spans="1:11" x14ac:dyDescent="0.2">
      <c r="A89" t="s">
        <v>51</v>
      </c>
      <c r="B89" t="s">
        <v>52</v>
      </c>
      <c r="C89" t="s">
        <v>695</v>
      </c>
      <c r="D89" t="s">
        <v>496</v>
      </c>
      <c r="E89" t="s">
        <v>53</v>
      </c>
      <c r="F89" t="s">
        <v>54</v>
      </c>
      <c r="G89" t="s">
        <v>55</v>
      </c>
      <c r="H89" t="s">
        <v>56</v>
      </c>
      <c r="I89" t="s">
        <v>31</v>
      </c>
      <c r="J89" t="s">
        <v>696</v>
      </c>
      <c r="K89" t="s">
        <v>18</v>
      </c>
    </row>
    <row r="90" spans="1:11" x14ac:dyDescent="0.2">
      <c r="A90" t="s">
        <v>111</v>
      </c>
      <c r="B90" t="s">
        <v>112</v>
      </c>
      <c r="C90" t="s">
        <v>697</v>
      </c>
      <c r="D90" t="s">
        <v>436</v>
      </c>
      <c r="E90" t="s">
        <v>698</v>
      </c>
      <c r="F90" t="s">
        <v>114</v>
      </c>
      <c r="G90" t="s">
        <v>115</v>
      </c>
      <c r="H90">
        <v>98128</v>
      </c>
      <c r="I90" t="s">
        <v>86</v>
      </c>
      <c r="J90" t="s">
        <v>699</v>
      </c>
      <c r="K90" t="s">
        <v>700</v>
      </c>
    </row>
    <row r="91" spans="1:11" x14ac:dyDescent="0.2">
      <c r="A91" t="s">
        <v>392</v>
      </c>
      <c r="B91" t="s">
        <v>393</v>
      </c>
      <c r="C91" t="s">
        <v>701</v>
      </c>
      <c r="D91" t="s">
        <v>702</v>
      </c>
      <c r="E91" t="s">
        <v>394</v>
      </c>
      <c r="F91" t="s">
        <v>395</v>
      </c>
      <c r="G91" t="s">
        <v>18</v>
      </c>
      <c r="H91">
        <v>21240</v>
      </c>
      <c r="I91" t="s">
        <v>101</v>
      </c>
      <c r="J91" t="s">
        <v>703</v>
      </c>
      <c r="K91" t="s">
        <v>703</v>
      </c>
    </row>
    <row r="92" spans="1:11" x14ac:dyDescent="0.2">
      <c r="A92" t="s">
        <v>303</v>
      </c>
      <c r="B92" t="s">
        <v>704</v>
      </c>
      <c r="C92" t="s">
        <v>705</v>
      </c>
      <c r="D92" t="s">
        <v>436</v>
      </c>
      <c r="E92" t="s">
        <v>305</v>
      </c>
      <c r="F92" t="s">
        <v>306</v>
      </c>
      <c r="G92" t="s">
        <v>18</v>
      </c>
      <c r="H92" t="s">
        <v>307</v>
      </c>
      <c r="I92" t="s">
        <v>308</v>
      </c>
      <c r="J92" t="s">
        <v>706</v>
      </c>
      <c r="K92" t="s">
        <v>706</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A8BCF5-2D7F-A743-AC66-744024E09F6C}">
  <sheetPr codeName="Hoja10"/>
  <dimension ref="A1:AA10"/>
  <sheetViews>
    <sheetView zoomScale="189" workbookViewId="0">
      <selection sqref="A1:AA10"/>
    </sheetView>
  </sheetViews>
  <sheetFormatPr baseColWidth="10" defaultRowHeight="16" x14ac:dyDescent="0.2"/>
  <cols>
    <col min="1" max="1" width="12" customWidth="1"/>
    <col min="4" max="4" width="25" customWidth="1"/>
    <col min="5" max="5" width="14.83203125" customWidth="1"/>
    <col min="6" max="6" width="9.83203125" customWidth="1"/>
    <col min="7" max="7" width="9.1640625" customWidth="1"/>
    <col min="8" max="8" width="28.5" bestFit="1" customWidth="1"/>
    <col min="11" max="11" width="11.5" customWidth="1"/>
    <col min="13" max="13" width="12" customWidth="1"/>
    <col min="18" max="18" width="20.1640625" bestFit="1" customWidth="1"/>
    <col min="19" max="19" width="16.33203125" customWidth="1"/>
    <col min="20" max="20" width="14.83203125" customWidth="1"/>
    <col min="21" max="21" width="13.5" customWidth="1"/>
    <col min="22" max="22" width="14.1640625" customWidth="1"/>
    <col min="23" max="23" width="14.5" customWidth="1"/>
    <col min="26" max="26" width="12.6640625" customWidth="1"/>
    <col min="27" max="27" width="16" customWidth="1"/>
  </cols>
  <sheetData>
    <row r="1" spans="1:27" x14ac:dyDescent="0.2">
      <c r="A1" t="s">
        <v>2</v>
      </c>
      <c r="B1" t="s">
        <v>707</v>
      </c>
      <c r="C1" t="s">
        <v>708</v>
      </c>
      <c r="D1" t="s">
        <v>709</v>
      </c>
      <c r="E1" t="s">
        <v>710</v>
      </c>
      <c r="F1" t="s">
        <v>711</v>
      </c>
      <c r="G1" t="s">
        <v>712</v>
      </c>
      <c r="H1" t="s">
        <v>424</v>
      </c>
      <c r="I1" t="s">
        <v>425</v>
      </c>
      <c r="J1" t="s">
        <v>426</v>
      </c>
      <c r="K1" t="s">
        <v>427</v>
      </c>
      <c r="L1" t="s">
        <v>428</v>
      </c>
      <c r="M1" t="s">
        <v>713</v>
      </c>
      <c r="N1" t="s">
        <v>714</v>
      </c>
      <c r="O1" t="s">
        <v>715</v>
      </c>
      <c r="P1" t="s">
        <v>716</v>
      </c>
      <c r="Q1" t="s">
        <v>717</v>
      </c>
      <c r="R1" t="s">
        <v>718</v>
      </c>
      <c r="S1" t="s">
        <v>719</v>
      </c>
      <c r="T1" t="s">
        <v>720</v>
      </c>
      <c r="U1" t="s">
        <v>721</v>
      </c>
      <c r="V1" t="s">
        <v>722</v>
      </c>
      <c r="W1" t="s">
        <v>723</v>
      </c>
      <c r="X1" t="s">
        <v>724</v>
      </c>
      <c r="Y1" t="s">
        <v>725</v>
      </c>
      <c r="Z1" t="s">
        <v>726</v>
      </c>
      <c r="AA1" t="s">
        <v>727</v>
      </c>
    </row>
    <row r="2" spans="1:27" x14ac:dyDescent="0.2">
      <c r="A2">
        <v>1</v>
      </c>
      <c r="B2" t="s">
        <v>728</v>
      </c>
      <c r="C2" t="s">
        <v>729</v>
      </c>
      <c r="D2" t="s">
        <v>432</v>
      </c>
      <c r="E2" t="s">
        <v>730</v>
      </c>
      <c r="F2" s="1">
        <v>17875</v>
      </c>
      <c r="G2" s="1">
        <v>33725</v>
      </c>
      <c r="H2" t="s">
        <v>731</v>
      </c>
      <c r="I2" t="s">
        <v>114</v>
      </c>
      <c r="J2" t="s">
        <v>115</v>
      </c>
      <c r="K2">
        <v>98122</v>
      </c>
      <c r="L2" t="s">
        <v>86</v>
      </c>
      <c r="M2" t="s">
        <v>732</v>
      </c>
      <c r="N2">
        <v>5467</v>
      </c>
      <c r="O2" t="s">
        <v>733</v>
      </c>
      <c r="P2">
        <v>2</v>
      </c>
      <c r="Q2" t="s">
        <v>734</v>
      </c>
      <c r="R2" t="s">
        <v>735</v>
      </c>
      <c r="S2" t="s">
        <v>736</v>
      </c>
      <c r="T2" t="s">
        <v>737</v>
      </c>
      <c r="U2">
        <v>0</v>
      </c>
      <c r="V2" t="s">
        <v>735</v>
      </c>
      <c r="W2">
        <v>1</v>
      </c>
      <c r="X2">
        <v>0</v>
      </c>
      <c r="Y2">
        <v>0</v>
      </c>
      <c r="Z2">
        <v>0</v>
      </c>
      <c r="AA2">
        <v>0</v>
      </c>
    </row>
    <row r="3" spans="1:27" x14ac:dyDescent="0.2">
      <c r="A3">
        <v>2</v>
      </c>
      <c r="B3" t="s">
        <v>738</v>
      </c>
      <c r="C3" t="s">
        <v>739</v>
      </c>
      <c r="D3" t="s">
        <v>740</v>
      </c>
      <c r="E3" t="s">
        <v>741</v>
      </c>
      <c r="F3" s="1">
        <v>19043</v>
      </c>
      <c r="G3" s="1">
        <v>33830</v>
      </c>
      <c r="H3" t="s">
        <v>742</v>
      </c>
      <c r="I3" t="s">
        <v>743</v>
      </c>
      <c r="J3" t="s">
        <v>115</v>
      </c>
      <c r="K3">
        <v>98401</v>
      </c>
      <c r="L3" t="s">
        <v>86</v>
      </c>
      <c r="M3" t="s">
        <v>744</v>
      </c>
      <c r="N3">
        <v>3457</v>
      </c>
      <c r="O3" t="s">
        <v>745</v>
      </c>
      <c r="P3" t="s">
        <v>18</v>
      </c>
      <c r="Q3" t="s">
        <v>746</v>
      </c>
      <c r="R3" t="s">
        <v>747</v>
      </c>
      <c r="S3" t="s">
        <v>748</v>
      </c>
      <c r="T3" t="s">
        <v>749</v>
      </c>
      <c r="U3">
        <v>1</v>
      </c>
      <c r="V3" t="s">
        <v>750</v>
      </c>
      <c r="W3">
        <v>0</v>
      </c>
      <c r="X3">
        <v>1</v>
      </c>
      <c r="Y3">
        <v>1</v>
      </c>
      <c r="Z3">
        <v>1</v>
      </c>
      <c r="AA3">
        <v>1</v>
      </c>
    </row>
    <row r="4" spans="1:27" x14ac:dyDescent="0.2">
      <c r="A4">
        <v>3</v>
      </c>
      <c r="B4" t="s">
        <v>751</v>
      </c>
      <c r="C4" t="s">
        <v>752</v>
      </c>
      <c r="D4" t="s">
        <v>432</v>
      </c>
      <c r="E4" t="s">
        <v>730</v>
      </c>
      <c r="F4" s="1">
        <v>23253</v>
      </c>
      <c r="G4" s="1">
        <v>33695</v>
      </c>
      <c r="H4" t="s">
        <v>753</v>
      </c>
      <c r="I4" t="s">
        <v>386</v>
      </c>
      <c r="J4" t="s">
        <v>115</v>
      </c>
      <c r="K4">
        <v>98033</v>
      </c>
      <c r="L4" t="s">
        <v>86</v>
      </c>
      <c r="M4" t="s">
        <v>754</v>
      </c>
      <c r="N4">
        <v>3355</v>
      </c>
      <c r="O4" t="s">
        <v>755</v>
      </c>
      <c r="P4">
        <v>2</v>
      </c>
      <c r="Q4" t="s">
        <v>756</v>
      </c>
      <c r="R4" t="s">
        <v>757</v>
      </c>
      <c r="S4" t="s">
        <v>758</v>
      </c>
      <c r="T4" t="s">
        <v>749</v>
      </c>
      <c r="U4">
        <v>0</v>
      </c>
      <c r="V4" t="s">
        <v>759</v>
      </c>
      <c r="W4">
        <v>1</v>
      </c>
      <c r="X4">
        <v>0</v>
      </c>
      <c r="Y4">
        <v>0</v>
      </c>
      <c r="Z4">
        <v>0</v>
      </c>
      <c r="AA4">
        <v>0</v>
      </c>
    </row>
    <row r="5" spans="1:27" x14ac:dyDescent="0.2">
      <c r="A5">
        <v>4</v>
      </c>
      <c r="B5" t="s">
        <v>760</v>
      </c>
      <c r="C5" t="s">
        <v>761</v>
      </c>
      <c r="D5" t="s">
        <v>432</v>
      </c>
      <c r="E5" t="s">
        <v>762</v>
      </c>
      <c r="F5" s="1">
        <v>13777</v>
      </c>
      <c r="G5" s="1">
        <v>34092</v>
      </c>
      <c r="H5" t="s">
        <v>763</v>
      </c>
      <c r="I5" t="s">
        <v>764</v>
      </c>
      <c r="J5" t="s">
        <v>115</v>
      </c>
      <c r="K5">
        <v>98052</v>
      </c>
      <c r="L5" t="s">
        <v>86</v>
      </c>
      <c r="M5" t="s">
        <v>765</v>
      </c>
      <c r="N5">
        <v>5176</v>
      </c>
      <c r="O5" t="s">
        <v>766</v>
      </c>
      <c r="P5">
        <v>2</v>
      </c>
      <c r="Q5" t="s">
        <v>767</v>
      </c>
      <c r="R5" t="s">
        <v>768</v>
      </c>
      <c r="S5" t="s">
        <v>769</v>
      </c>
      <c r="T5" t="s">
        <v>737</v>
      </c>
      <c r="U5">
        <v>1</v>
      </c>
      <c r="V5" t="s">
        <v>770</v>
      </c>
      <c r="W5">
        <v>0</v>
      </c>
      <c r="X5">
        <v>0</v>
      </c>
      <c r="Y5">
        <v>0</v>
      </c>
      <c r="Z5">
        <v>1</v>
      </c>
      <c r="AA5">
        <v>0</v>
      </c>
    </row>
    <row r="6" spans="1:27" x14ac:dyDescent="0.2">
      <c r="A6">
        <v>5</v>
      </c>
      <c r="B6" t="s">
        <v>771</v>
      </c>
      <c r="C6" t="s">
        <v>772</v>
      </c>
      <c r="D6" t="s">
        <v>496</v>
      </c>
      <c r="E6" t="s">
        <v>773</v>
      </c>
      <c r="F6" s="1">
        <v>20152</v>
      </c>
      <c r="G6" s="1">
        <v>34259</v>
      </c>
      <c r="H6" t="s">
        <v>774</v>
      </c>
      <c r="I6" t="s">
        <v>167</v>
      </c>
      <c r="J6" t="s">
        <v>18</v>
      </c>
      <c r="K6" t="s">
        <v>775</v>
      </c>
      <c r="L6" t="s">
        <v>169</v>
      </c>
      <c r="M6" t="s">
        <v>776</v>
      </c>
      <c r="N6">
        <v>3453</v>
      </c>
      <c r="O6" t="s">
        <v>777</v>
      </c>
      <c r="P6">
        <v>2</v>
      </c>
      <c r="Q6" t="s">
        <v>778</v>
      </c>
      <c r="R6" t="s">
        <v>779</v>
      </c>
      <c r="S6" t="s">
        <v>780</v>
      </c>
      <c r="T6" t="s">
        <v>781</v>
      </c>
      <c r="U6">
        <v>0</v>
      </c>
      <c r="V6" t="s">
        <v>779</v>
      </c>
      <c r="W6">
        <v>0</v>
      </c>
      <c r="X6">
        <v>0</v>
      </c>
      <c r="Y6">
        <v>0</v>
      </c>
      <c r="Z6">
        <v>1</v>
      </c>
      <c r="AA6">
        <v>0</v>
      </c>
    </row>
    <row r="7" spans="1:27" x14ac:dyDescent="0.2">
      <c r="A7">
        <v>6</v>
      </c>
      <c r="B7" t="s">
        <v>782</v>
      </c>
      <c r="C7" t="s">
        <v>783</v>
      </c>
      <c r="D7" t="s">
        <v>432</v>
      </c>
      <c r="E7" t="s">
        <v>773</v>
      </c>
      <c r="F7" s="1">
        <v>23194</v>
      </c>
      <c r="G7" s="1">
        <v>34259</v>
      </c>
      <c r="H7" t="s">
        <v>784</v>
      </c>
      <c r="I7" t="s">
        <v>167</v>
      </c>
      <c r="J7" t="s">
        <v>18</v>
      </c>
      <c r="K7" t="s">
        <v>785</v>
      </c>
      <c r="L7" t="s">
        <v>169</v>
      </c>
      <c r="M7" t="s">
        <v>786</v>
      </c>
      <c r="N7">
        <v>428</v>
      </c>
      <c r="O7" t="s">
        <v>787</v>
      </c>
      <c r="P7">
        <v>5</v>
      </c>
      <c r="Q7" t="s">
        <v>734</v>
      </c>
      <c r="R7" t="s">
        <v>788</v>
      </c>
      <c r="S7" t="s">
        <v>789</v>
      </c>
      <c r="T7" t="s">
        <v>781</v>
      </c>
      <c r="U7">
        <v>1</v>
      </c>
      <c r="V7" t="s">
        <v>750</v>
      </c>
      <c r="W7">
        <v>1</v>
      </c>
      <c r="X7">
        <v>0</v>
      </c>
      <c r="Y7">
        <v>0</v>
      </c>
      <c r="Z7">
        <v>1</v>
      </c>
      <c r="AA7">
        <v>0</v>
      </c>
    </row>
    <row r="8" spans="1:27" x14ac:dyDescent="0.2">
      <c r="A8">
        <v>7</v>
      </c>
      <c r="B8" t="s">
        <v>790</v>
      </c>
      <c r="C8" t="s">
        <v>791</v>
      </c>
      <c r="D8" t="s">
        <v>432</v>
      </c>
      <c r="E8" t="s">
        <v>773</v>
      </c>
      <c r="F8" s="1">
        <v>22065</v>
      </c>
      <c r="G8" s="1">
        <v>34336</v>
      </c>
      <c r="H8" t="s">
        <v>792</v>
      </c>
      <c r="I8" t="s">
        <v>167</v>
      </c>
      <c r="J8" t="s">
        <v>18</v>
      </c>
      <c r="K8" t="s">
        <v>793</v>
      </c>
      <c r="L8" t="s">
        <v>169</v>
      </c>
      <c r="M8" t="s">
        <v>794</v>
      </c>
      <c r="N8">
        <v>465</v>
      </c>
      <c r="O8" t="s">
        <v>795</v>
      </c>
      <c r="P8">
        <v>5</v>
      </c>
      <c r="Q8" t="s">
        <v>734</v>
      </c>
      <c r="R8" t="s">
        <v>768</v>
      </c>
      <c r="S8" t="s">
        <v>736</v>
      </c>
      <c r="T8" t="s">
        <v>737</v>
      </c>
      <c r="U8">
        <v>0</v>
      </c>
      <c r="V8" t="s">
        <v>770</v>
      </c>
      <c r="W8">
        <v>1</v>
      </c>
      <c r="X8">
        <v>0</v>
      </c>
      <c r="Y8">
        <v>0</v>
      </c>
      <c r="Z8">
        <v>1</v>
      </c>
      <c r="AA8">
        <v>0</v>
      </c>
    </row>
    <row r="9" spans="1:27" x14ac:dyDescent="0.2">
      <c r="A9">
        <v>8</v>
      </c>
      <c r="B9" t="s">
        <v>796</v>
      </c>
      <c r="C9" t="s">
        <v>797</v>
      </c>
      <c r="D9" t="s">
        <v>798</v>
      </c>
      <c r="E9" t="s">
        <v>730</v>
      </c>
      <c r="F9" s="1">
        <v>21194</v>
      </c>
      <c r="G9" s="1">
        <v>34398</v>
      </c>
      <c r="H9" t="s">
        <v>799</v>
      </c>
      <c r="I9" t="s">
        <v>114</v>
      </c>
      <c r="J9" t="s">
        <v>115</v>
      </c>
      <c r="K9">
        <v>98105</v>
      </c>
      <c r="L9" t="s">
        <v>86</v>
      </c>
      <c r="M9" t="s">
        <v>800</v>
      </c>
      <c r="N9">
        <v>2344</v>
      </c>
      <c r="O9" t="s">
        <v>801</v>
      </c>
      <c r="P9">
        <v>2</v>
      </c>
      <c r="Q9" t="s">
        <v>734</v>
      </c>
      <c r="R9" t="s">
        <v>735</v>
      </c>
      <c r="S9" t="s">
        <v>736</v>
      </c>
      <c r="T9" t="s">
        <v>737</v>
      </c>
      <c r="U9">
        <v>0</v>
      </c>
      <c r="V9" t="s">
        <v>735</v>
      </c>
      <c r="W9">
        <v>1</v>
      </c>
      <c r="X9">
        <v>1</v>
      </c>
      <c r="Y9">
        <v>0</v>
      </c>
      <c r="Z9">
        <v>0</v>
      </c>
      <c r="AA9">
        <v>1</v>
      </c>
    </row>
    <row r="10" spans="1:27" x14ac:dyDescent="0.2">
      <c r="A10">
        <v>9</v>
      </c>
      <c r="B10" t="s">
        <v>802</v>
      </c>
      <c r="C10" t="s">
        <v>803</v>
      </c>
      <c r="D10" t="s">
        <v>432</v>
      </c>
      <c r="E10" t="s">
        <v>730</v>
      </c>
      <c r="F10" s="1">
        <v>24134</v>
      </c>
      <c r="G10" s="1">
        <v>34653</v>
      </c>
      <c r="H10" t="s">
        <v>804</v>
      </c>
      <c r="I10" t="s">
        <v>167</v>
      </c>
      <c r="J10" t="s">
        <v>18</v>
      </c>
      <c r="K10" t="s">
        <v>805</v>
      </c>
      <c r="L10" t="s">
        <v>169</v>
      </c>
      <c r="M10" t="s">
        <v>806</v>
      </c>
      <c r="N10">
        <v>452</v>
      </c>
      <c r="O10" t="s">
        <v>807</v>
      </c>
      <c r="P10">
        <v>5</v>
      </c>
      <c r="Q10" t="s">
        <v>734</v>
      </c>
      <c r="R10" t="s">
        <v>768</v>
      </c>
      <c r="S10" t="s">
        <v>736</v>
      </c>
      <c r="T10" t="s">
        <v>737</v>
      </c>
      <c r="U10">
        <v>0</v>
      </c>
      <c r="V10" t="s">
        <v>770</v>
      </c>
      <c r="W10">
        <v>0</v>
      </c>
      <c r="X10">
        <v>1</v>
      </c>
      <c r="Y10">
        <v>1</v>
      </c>
      <c r="Z10">
        <v>0</v>
      </c>
      <c r="AA10">
        <v>1</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39C89-0A19-D848-BB0C-52DF1678DB19}">
  <sheetPr codeName="Hoja11"/>
  <dimension ref="A1:C4"/>
  <sheetViews>
    <sheetView zoomScale="175" workbookViewId="0">
      <selection sqref="A1:C4"/>
    </sheetView>
  </sheetViews>
  <sheetFormatPr baseColWidth="10" defaultRowHeight="16" x14ac:dyDescent="0.2"/>
  <cols>
    <col min="2" max="2" width="15.5" customWidth="1"/>
    <col min="3" max="3" width="18.5" customWidth="1"/>
  </cols>
  <sheetData>
    <row r="1" spans="1:3" x14ac:dyDescent="0.2">
      <c r="A1" t="s">
        <v>808</v>
      </c>
      <c r="B1" t="s">
        <v>421</v>
      </c>
      <c r="C1" t="s">
        <v>429</v>
      </c>
    </row>
    <row r="2" spans="1:3" x14ac:dyDescent="0.2">
      <c r="A2">
        <v>1</v>
      </c>
      <c r="B2" t="s">
        <v>809</v>
      </c>
      <c r="C2" t="s">
        <v>810</v>
      </c>
    </row>
    <row r="3" spans="1:3" x14ac:dyDescent="0.2">
      <c r="A3">
        <v>2</v>
      </c>
      <c r="B3" t="s">
        <v>811</v>
      </c>
      <c r="C3" t="s">
        <v>812</v>
      </c>
    </row>
    <row r="4" spans="1:3" x14ac:dyDescent="0.2">
      <c r="A4">
        <v>3</v>
      </c>
      <c r="B4" t="s">
        <v>813</v>
      </c>
      <c r="C4" t="s">
        <v>814</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4DBF1-3B6B-A44F-9E63-3A5FB9D3A6D2}">
  <sheetPr codeName="Hoja12"/>
  <dimension ref="A1:K30"/>
  <sheetViews>
    <sheetView zoomScale="75" workbookViewId="0">
      <selection sqref="A1:K30"/>
    </sheetView>
  </sheetViews>
  <sheetFormatPr baseColWidth="10" defaultRowHeight="16" x14ac:dyDescent="0.2"/>
  <cols>
    <col min="1" max="1" width="12" customWidth="1"/>
    <col min="2" max="2" width="35.1640625" bestFit="1" customWidth="1"/>
    <col min="3" max="3" width="22.6640625" bestFit="1" customWidth="1"/>
    <col min="4" max="4" width="24.5" bestFit="1" customWidth="1"/>
    <col min="5" max="5" width="50.83203125" bestFit="1" customWidth="1"/>
    <col min="6" max="6" width="12.83203125" bestFit="1" customWidth="1"/>
    <col min="7" max="7" width="8.6640625" customWidth="1"/>
    <col min="8" max="8" width="13" customWidth="1"/>
    <col min="9" max="9" width="11.1640625" bestFit="1" customWidth="1"/>
    <col min="10" max="11" width="13.5" bestFit="1" customWidth="1"/>
  </cols>
  <sheetData>
    <row r="1" spans="1:11" x14ac:dyDescent="0.2">
      <c r="A1" t="s">
        <v>816</v>
      </c>
      <c r="B1" t="s">
        <v>421</v>
      </c>
      <c r="C1" t="s">
        <v>422</v>
      </c>
      <c r="D1" t="s">
        <v>423</v>
      </c>
      <c r="E1" t="s">
        <v>424</v>
      </c>
      <c r="F1" t="s">
        <v>425</v>
      </c>
      <c r="G1" t="s">
        <v>426</v>
      </c>
      <c r="H1" t="s">
        <v>427</v>
      </c>
      <c r="I1" t="s">
        <v>428</v>
      </c>
      <c r="J1" t="s">
        <v>429</v>
      </c>
      <c r="K1" t="s">
        <v>430</v>
      </c>
    </row>
    <row r="2" spans="1:11" x14ac:dyDescent="0.2">
      <c r="A2">
        <v>1</v>
      </c>
      <c r="B2" t="s">
        <v>970</v>
      </c>
      <c r="C2" t="s">
        <v>971</v>
      </c>
      <c r="D2" t="s">
        <v>972</v>
      </c>
      <c r="E2" t="s">
        <v>973</v>
      </c>
      <c r="F2" t="s">
        <v>167</v>
      </c>
      <c r="G2" t="s">
        <v>18</v>
      </c>
      <c r="H2" t="s">
        <v>974</v>
      </c>
      <c r="I2" t="s">
        <v>169</v>
      </c>
      <c r="J2" t="s">
        <v>975</v>
      </c>
      <c r="K2" t="s">
        <v>18</v>
      </c>
    </row>
    <row r="3" spans="1:11" x14ac:dyDescent="0.2">
      <c r="A3">
        <v>2</v>
      </c>
      <c r="B3" t="s">
        <v>976</v>
      </c>
      <c r="C3" t="s">
        <v>977</v>
      </c>
      <c r="D3" t="s">
        <v>447</v>
      </c>
      <c r="E3" t="s">
        <v>978</v>
      </c>
      <c r="F3" t="s">
        <v>979</v>
      </c>
      <c r="G3" t="s">
        <v>980</v>
      </c>
      <c r="H3">
        <v>70117</v>
      </c>
      <c r="I3" t="s">
        <v>86</v>
      </c>
      <c r="J3" t="s">
        <v>981</v>
      </c>
      <c r="K3" t="s">
        <v>18</v>
      </c>
    </row>
    <row r="4" spans="1:11" x14ac:dyDescent="0.2">
      <c r="A4">
        <v>3</v>
      </c>
      <c r="B4" t="s">
        <v>982</v>
      </c>
      <c r="C4" t="s">
        <v>983</v>
      </c>
      <c r="D4" t="s">
        <v>432</v>
      </c>
      <c r="E4" t="s">
        <v>984</v>
      </c>
      <c r="F4" t="s">
        <v>985</v>
      </c>
      <c r="G4" t="s">
        <v>986</v>
      </c>
      <c r="H4">
        <v>48104</v>
      </c>
      <c r="I4" t="s">
        <v>86</v>
      </c>
      <c r="J4" t="s">
        <v>987</v>
      </c>
      <c r="K4" t="s">
        <v>988</v>
      </c>
    </row>
    <row r="5" spans="1:11" x14ac:dyDescent="0.2">
      <c r="A5">
        <v>4</v>
      </c>
      <c r="B5" t="s">
        <v>989</v>
      </c>
      <c r="C5" t="s">
        <v>990</v>
      </c>
      <c r="D5" t="s">
        <v>455</v>
      </c>
      <c r="E5" t="s">
        <v>991</v>
      </c>
      <c r="F5" t="s">
        <v>992</v>
      </c>
      <c r="G5" t="s">
        <v>18</v>
      </c>
      <c r="H5">
        <v>100</v>
      </c>
      <c r="I5" t="s">
        <v>993</v>
      </c>
      <c r="J5" t="s">
        <v>994</v>
      </c>
      <c r="K5" t="s">
        <v>18</v>
      </c>
    </row>
    <row r="6" spans="1:11" x14ac:dyDescent="0.2">
      <c r="A6">
        <v>5</v>
      </c>
      <c r="B6" t="s">
        <v>995</v>
      </c>
      <c r="C6" t="s">
        <v>996</v>
      </c>
      <c r="D6" t="s">
        <v>997</v>
      </c>
      <c r="E6" t="s">
        <v>998</v>
      </c>
      <c r="F6" t="s">
        <v>999</v>
      </c>
      <c r="G6" t="s">
        <v>1000</v>
      </c>
      <c r="H6">
        <v>33007</v>
      </c>
      <c r="I6" t="s">
        <v>150</v>
      </c>
      <c r="J6" t="s">
        <v>1001</v>
      </c>
      <c r="K6" t="s">
        <v>18</v>
      </c>
    </row>
    <row r="7" spans="1:11" x14ac:dyDescent="0.2">
      <c r="A7">
        <v>6</v>
      </c>
      <c r="B7" t="s">
        <v>1002</v>
      </c>
      <c r="C7" t="s">
        <v>1003</v>
      </c>
      <c r="D7" t="s">
        <v>1004</v>
      </c>
      <c r="E7" t="s">
        <v>1005</v>
      </c>
      <c r="F7" t="s">
        <v>1006</v>
      </c>
      <c r="G7" t="s">
        <v>18</v>
      </c>
      <c r="H7">
        <v>545</v>
      </c>
      <c r="I7" t="s">
        <v>993</v>
      </c>
      <c r="J7" t="s">
        <v>1007</v>
      </c>
      <c r="K7" t="s">
        <v>18</v>
      </c>
    </row>
    <row r="8" spans="1:11" x14ac:dyDescent="0.2">
      <c r="A8">
        <v>7</v>
      </c>
      <c r="B8" t="s">
        <v>853</v>
      </c>
      <c r="C8" t="s">
        <v>1008</v>
      </c>
      <c r="D8" t="s">
        <v>1009</v>
      </c>
      <c r="E8" t="s">
        <v>1010</v>
      </c>
      <c r="F8" t="s">
        <v>1011</v>
      </c>
      <c r="G8" t="s">
        <v>1012</v>
      </c>
      <c r="H8">
        <v>3058</v>
      </c>
      <c r="I8" t="s">
        <v>1013</v>
      </c>
      <c r="J8" t="s">
        <v>1014</v>
      </c>
      <c r="K8" t="s">
        <v>1015</v>
      </c>
    </row>
    <row r="9" spans="1:11" x14ac:dyDescent="0.2">
      <c r="A9">
        <v>8</v>
      </c>
      <c r="B9" t="s">
        <v>1016</v>
      </c>
      <c r="C9" t="s">
        <v>1008</v>
      </c>
      <c r="D9" t="s">
        <v>1017</v>
      </c>
      <c r="E9" t="s">
        <v>1018</v>
      </c>
      <c r="F9" t="s">
        <v>1019</v>
      </c>
      <c r="G9" t="s">
        <v>18</v>
      </c>
      <c r="H9" t="s">
        <v>1020</v>
      </c>
      <c r="I9" t="s">
        <v>169</v>
      </c>
      <c r="J9" t="s">
        <v>1021</v>
      </c>
      <c r="K9" t="s">
        <v>18</v>
      </c>
    </row>
    <row r="10" spans="1:11" x14ac:dyDescent="0.2">
      <c r="A10">
        <v>9</v>
      </c>
      <c r="B10" t="s">
        <v>1022</v>
      </c>
      <c r="C10" t="s">
        <v>1023</v>
      </c>
      <c r="D10" t="s">
        <v>471</v>
      </c>
      <c r="E10" t="s">
        <v>1024</v>
      </c>
      <c r="F10" t="s">
        <v>1025</v>
      </c>
      <c r="G10" t="s">
        <v>18</v>
      </c>
      <c r="H10" t="s">
        <v>1026</v>
      </c>
      <c r="I10" t="s">
        <v>92</v>
      </c>
      <c r="J10" t="s">
        <v>1027</v>
      </c>
      <c r="K10" t="s">
        <v>1028</v>
      </c>
    </row>
    <row r="11" spans="1:11" x14ac:dyDescent="0.2">
      <c r="A11">
        <v>10</v>
      </c>
      <c r="B11" t="s">
        <v>1029</v>
      </c>
      <c r="C11" t="s">
        <v>1030</v>
      </c>
      <c r="D11" t="s">
        <v>455</v>
      </c>
      <c r="E11" t="s">
        <v>1031</v>
      </c>
      <c r="F11" t="s">
        <v>173</v>
      </c>
      <c r="G11" t="s">
        <v>18</v>
      </c>
      <c r="H11">
        <v>5442</v>
      </c>
      <c r="I11" t="s">
        <v>31</v>
      </c>
      <c r="J11" t="s">
        <v>1032</v>
      </c>
      <c r="K11" t="s">
        <v>18</v>
      </c>
    </row>
    <row r="12" spans="1:11" x14ac:dyDescent="0.2">
      <c r="A12">
        <v>11</v>
      </c>
      <c r="B12" t="s">
        <v>1033</v>
      </c>
      <c r="C12" t="s">
        <v>1034</v>
      </c>
      <c r="D12" t="s">
        <v>496</v>
      </c>
      <c r="E12" t="s">
        <v>1035</v>
      </c>
      <c r="F12" t="s">
        <v>404</v>
      </c>
      <c r="G12" t="s">
        <v>18</v>
      </c>
      <c r="H12">
        <v>10785</v>
      </c>
      <c r="I12" t="s">
        <v>24</v>
      </c>
      <c r="J12" t="s">
        <v>1036</v>
      </c>
      <c r="K12" t="s">
        <v>18</v>
      </c>
    </row>
    <row r="13" spans="1:11" x14ac:dyDescent="0.2">
      <c r="A13">
        <v>12</v>
      </c>
      <c r="B13" t="s">
        <v>1037</v>
      </c>
      <c r="C13" t="s">
        <v>1038</v>
      </c>
      <c r="D13" t="s">
        <v>1039</v>
      </c>
      <c r="E13" t="s">
        <v>1040</v>
      </c>
      <c r="F13" t="s">
        <v>1041</v>
      </c>
      <c r="G13" t="s">
        <v>18</v>
      </c>
      <c r="H13">
        <v>60439</v>
      </c>
      <c r="I13" t="s">
        <v>24</v>
      </c>
      <c r="J13" t="s">
        <v>1042</v>
      </c>
      <c r="K13" t="s">
        <v>18</v>
      </c>
    </row>
    <row r="14" spans="1:11" x14ac:dyDescent="0.2">
      <c r="A14">
        <v>13</v>
      </c>
      <c r="B14" t="s">
        <v>1043</v>
      </c>
      <c r="C14" t="s">
        <v>1044</v>
      </c>
      <c r="D14" t="s">
        <v>1045</v>
      </c>
      <c r="E14" t="s">
        <v>1046</v>
      </c>
      <c r="F14" t="s">
        <v>1047</v>
      </c>
      <c r="G14" t="s">
        <v>18</v>
      </c>
      <c r="H14">
        <v>27478</v>
      </c>
      <c r="I14" t="s">
        <v>24</v>
      </c>
      <c r="J14" t="s">
        <v>1048</v>
      </c>
      <c r="K14" t="s">
        <v>1049</v>
      </c>
    </row>
    <row r="15" spans="1:11" x14ac:dyDescent="0.2">
      <c r="A15">
        <v>14</v>
      </c>
      <c r="B15" t="s">
        <v>1050</v>
      </c>
      <c r="C15" t="s">
        <v>1051</v>
      </c>
      <c r="D15" t="s">
        <v>432</v>
      </c>
      <c r="E15" t="s">
        <v>1052</v>
      </c>
      <c r="F15" t="s">
        <v>1053</v>
      </c>
      <c r="G15" t="s">
        <v>18</v>
      </c>
      <c r="H15">
        <v>48100</v>
      </c>
      <c r="I15" t="s">
        <v>129</v>
      </c>
      <c r="J15" t="s">
        <v>1054</v>
      </c>
      <c r="K15" t="s">
        <v>1055</v>
      </c>
    </row>
    <row r="16" spans="1:11" x14ac:dyDescent="0.2">
      <c r="A16">
        <v>15</v>
      </c>
      <c r="B16" t="s">
        <v>1056</v>
      </c>
      <c r="C16" t="s">
        <v>1057</v>
      </c>
      <c r="D16" t="s">
        <v>455</v>
      </c>
      <c r="E16" t="s">
        <v>1058</v>
      </c>
      <c r="F16" t="s">
        <v>1059</v>
      </c>
      <c r="G16" t="s">
        <v>18</v>
      </c>
      <c r="H16">
        <v>1320</v>
      </c>
      <c r="I16" t="s">
        <v>317</v>
      </c>
      <c r="J16" t="s">
        <v>1060</v>
      </c>
      <c r="K16" t="s">
        <v>18</v>
      </c>
    </row>
    <row r="17" spans="1:11" x14ac:dyDescent="0.2">
      <c r="A17">
        <v>16</v>
      </c>
      <c r="B17" t="s">
        <v>1061</v>
      </c>
      <c r="C17" t="s">
        <v>1062</v>
      </c>
      <c r="D17" t="s">
        <v>1063</v>
      </c>
      <c r="E17" t="s">
        <v>1064</v>
      </c>
      <c r="F17" t="s">
        <v>1065</v>
      </c>
      <c r="G17" t="s">
        <v>202</v>
      </c>
      <c r="H17">
        <v>97101</v>
      </c>
      <c r="I17" t="s">
        <v>86</v>
      </c>
      <c r="J17" t="s">
        <v>814</v>
      </c>
      <c r="K17" t="s">
        <v>18</v>
      </c>
    </row>
    <row r="18" spans="1:11" x14ac:dyDescent="0.2">
      <c r="A18">
        <v>17</v>
      </c>
      <c r="B18" t="s">
        <v>1066</v>
      </c>
      <c r="C18" t="s">
        <v>1067</v>
      </c>
      <c r="D18" t="s">
        <v>432</v>
      </c>
      <c r="E18" t="s">
        <v>1068</v>
      </c>
      <c r="F18" t="s">
        <v>1069</v>
      </c>
      <c r="G18" t="s">
        <v>18</v>
      </c>
      <c r="H18" t="s">
        <v>1070</v>
      </c>
      <c r="I18" t="s">
        <v>92</v>
      </c>
      <c r="J18" t="s">
        <v>1071</v>
      </c>
      <c r="K18" t="s">
        <v>18</v>
      </c>
    </row>
    <row r="19" spans="1:11" x14ac:dyDescent="0.2">
      <c r="A19">
        <v>18</v>
      </c>
      <c r="B19" t="s">
        <v>1072</v>
      </c>
      <c r="C19" t="s">
        <v>1073</v>
      </c>
      <c r="D19" t="s">
        <v>496</v>
      </c>
      <c r="E19" t="s">
        <v>1074</v>
      </c>
      <c r="F19" t="s">
        <v>412</v>
      </c>
      <c r="G19" t="s">
        <v>18</v>
      </c>
      <c r="H19">
        <v>75004</v>
      </c>
      <c r="I19" t="s">
        <v>19</v>
      </c>
      <c r="J19" t="s">
        <v>1075</v>
      </c>
      <c r="K19" t="s">
        <v>1076</v>
      </c>
    </row>
    <row r="20" spans="1:11" x14ac:dyDescent="0.2">
      <c r="A20">
        <v>19</v>
      </c>
      <c r="B20" t="s">
        <v>1077</v>
      </c>
      <c r="C20" t="s">
        <v>1078</v>
      </c>
      <c r="D20" t="s">
        <v>1079</v>
      </c>
      <c r="E20" t="s">
        <v>1080</v>
      </c>
      <c r="F20" t="s">
        <v>1081</v>
      </c>
      <c r="G20" t="s">
        <v>1082</v>
      </c>
      <c r="H20">
        <v>2134</v>
      </c>
      <c r="I20" t="s">
        <v>86</v>
      </c>
      <c r="J20" t="s">
        <v>1083</v>
      </c>
      <c r="K20" t="s">
        <v>1084</v>
      </c>
    </row>
    <row r="21" spans="1:11" x14ac:dyDescent="0.2">
      <c r="A21">
        <v>20</v>
      </c>
      <c r="B21" t="s">
        <v>1085</v>
      </c>
      <c r="C21" t="s">
        <v>1086</v>
      </c>
      <c r="D21" t="s">
        <v>436</v>
      </c>
      <c r="E21" t="s">
        <v>1087</v>
      </c>
      <c r="F21" t="s">
        <v>1088</v>
      </c>
      <c r="G21" t="s">
        <v>18</v>
      </c>
      <c r="H21">
        <v>512</v>
      </c>
      <c r="I21" t="s">
        <v>1088</v>
      </c>
      <c r="J21" t="s">
        <v>1089</v>
      </c>
      <c r="K21" t="s">
        <v>18</v>
      </c>
    </row>
    <row r="22" spans="1:11" x14ac:dyDescent="0.2">
      <c r="A22">
        <v>21</v>
      </c>
      <c r="B22" t="s">
        <v>1090</v>
      </c>
      <c r="C22" t="s">
        <v>1091</v>
      </c>
      <c r="D22" t="s">
        <v>496</v>
      </c>
      <c r="E22" t="s">
        <v>1092</v>
      </c>
      <c r="F22" t="s">
        <v>1093</v>
      </c>
      <c r="G22" t="s">
        <v>18</v>
      </c>
      <c r="H22">
        <v>2800</v>
      </c>
      <c r="I22" t="s">
        <v>257</v>
      </c>
      <c r="J22">
        <v>43844108</v>
      </c>
      <c r="K22">
        <v>43844115</v>
      </c>
    </row>
    <row r="23" spans="1:11" x14ac:dyDescent="0.2">
      <c r="A23">
        <v>22</v>
      </c>
      <c r="B23" t="s">
        <v>1094</v>
      </c>
      <c r="C23" t="s">
        <v>1095</v>
      </c>
      <c r="D23" t="s">
        <v>465</v>
      </c>
      <c r="E23" t="s">
        <v>1096</v>
      </c>
      <c r="F23" t="s">
        <v>1097</v>
      </c>
      <c r="G23" t="s">
        <v>18</v>
      </c>
      <c r="H23" t="s">
        <v>1098</v>
      </c>
      <c r="I23" t="s">
        <v>1099</v>
      </c>
      <c r="J23" t="s">
        <v>1100</v>
      </c>
      <c r="K23" t="s">
        <v>1101</v>
      </c>
    </row>
    <row r="24" spans="1:11" x14ac:dyDescent="0.2">
      <c r="A24">
        <v>23</v>
      </c>
      <c r="B24" t="s">
        <v>1102</v>
      </c>
      <c r="C24" t="s">
        <v>1103</v>
      </c>
      <c r="D24" t="s">
        <v>1104</v>
      </c>
      <c r="E24" t="s">
        <v>1105</v>
      </c>
      <c r="F24" t="s">
        <v>1106</v>
      </c>
      <c r="G24" t="s">
        <v>18</v>
      </c>
      <c r="H24">
        <v>53120</v>
      </c>
      <c r="I24" t="s">
        <v>101</v>
      </c>
      <c r="J24" t="s">
        <v>1107</v>
      </c>
      <c r="K24" t="s">
        <v>18</v>
      </c>
    </row>
    <row r="25" spans="1:11" x14ac:dyDescent="0.2">
      <c r="A25">
        <v>24</v>
      </c>
      <c r="B25" t="s">
        <v>1108</v>
      </c>
      <c r="C25" t="s">
        <v>1109</v>
      </c>
      <c r="D25" t="s">
        <v>1110</v>
      </c>
      <c r="E25" t="s">
        <v>1111</v>
      </c>
      <c r="F25" t="s">
        <v>1112</v>
      </c>
      <c r="G25" t="s">
        <v>1113</v>
      </c>
      <c r="H25">
        <v>2042</v>
      </c>
      <c r="I25" t="s">
        <v>1013</v>
      </c>
      <c r="J25" t="s">
        <v>1114</v>
      </c>
      <c r="K25" t="s">
        <v>1115</v>
      </c>
    </row>
    <row r="26" spans="1:11" x14ac:dyDescent="0.2">
      <c r="A26">
        <v>25</v>
      </c>
      <c r="B26" t="s">
        <v>1116</v>
      </c>
      <c r="C26" t="s">
        <v>1117</v>
      </c>
      <c r="D26" t="s">
        <v>455</v>
      </c>
      <c r="E26" t="s">
        <v>1118</v>
      </c>
      <c r="F26" t="s">
        <v>246</v>
      </c>
      <c r="G26" t="s">
        <v>247</v>
      </c>
      <c r="H26" t="s">
        <v>248</v>
      </c>
      <c r="I26" t="s">
        <v>249</v>
      </c>
      <c r="J26" t="s">
        <v>1119</v>
      </c>
      <c r="K26" t="s">
        <v>18</v>
      </c>
    </row>
    <row r="27" spans="1:11" x14ac:dyDescent="0.2">
      <c r="A27">
        <v>26</v>
      </c>
      <c r="B27" t="s">
        <v>1120</v>
      </c>
      <c r="C27" t="s">
        <v>1121</v>
      </c>
      <c r="D27" t="s">
        <v>447</v>
      </c>
      <c r="E27" t="s">
        <v>1122</v>
      </c>
      <c r="F27" t="s">
        <v>1123</v>
      </c>
      <c r="G27" t="s">
        <v>18</v>
      </c>
      <c r="H27">
        <v>84100</v>
      </c>
      <c r="I27" t="s">
        <v>129</v>
      </c>
      <c r="J27" t="s">
        <v>1124</v>
      </c>
      <c r="K27" t="s">
        <v>1125</v>
      </c>
    </row>
    <row r="28" spans="1:11" x14ac:dyDescent="0.2">
      <c r="A28">
        <v>27</v>
      </c>
      <c r="B28" t="s">
        <v>1126</v>
      </c>
      <c r="C28" t="s">
        <v>1127</v>
      </c>
      <c r="D28" t="s">
        <v>496</v>
      </c>
      <c r="E28" t="s">
        <v>1128</v>
      </c>
      <c r="F28" t="s">
        <v>1129</v>
      </c>
      <c r="G28" t="s">
        <v>18</v>
      </c>
      <c r="H28">
        <v>71300</v>
      </c>
      <c r="I28" t="s">
        <v>19</v>
      </c>
      <c r="J28" t="s">
        <v>1130</v>
      </c>
      <c r="K28" t="s">
        <v>18</v>
      </c>
    </row>
    <row r="29" spans="1:11" x14ac:dyDescent="0.2">
      <c r="A29">
        <v>28</v>
      </c>
      <c r="B29" t="s">
        <v>1131</v>
      </c>
      <c r="C29" t="s">
        <v>1132</v>
      </c>
      <c r="D29" t="s">
        <v>432</v>
      </c>
      <c r="E29" t="s">
        <v>1133</v>
      </c>
      <c r="F29" t="s">
        <v>1134</v>
      </c>
      <c r="G29" t="s">
        <v>18</v>
      </c>
      <c r="H29">
        <v>74000</v>
      </c>
      <c r="I29" t="s">
        <v>19</v>
      </c>
      <c r="J29" t="s">
        <v>1135</v>
      </c>
      <c r="K29" t="s">
        <v>1136</v>
      </c>
    </row>
    <row r="30" spans="1:11" x14ac:dyDescent="0.2">
      <c r="A30">
        <v>29</v>
      </c>
      <c r="B30" t="s">
        <v>1137</v>
      </c>
      <c r="C30" t="s">
        <v>1138</v>
      </c>
      <c r="D30" t="s">
        <v>465</v>
      </c>
      <c r="E30" t="s">
        <v>1139</v>
      </c>
      <c r="F30" t="s">
        <v>1140</v>
      </c>
      <c r="G30" t="s">
        <v>247</v>
      </c>
      <c r="H30" t="s">
        <v>1141</v>
      </c>
      <c r="I30" t="s">
        <v>249</v>
      </c>
      <c r="J30" t="s">
        <v>1142</v>
      </c>
      <c r="K30" t="s">
        <v>1143</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21962B-0AF2-724B-9C42-E7E5717FF59A}">
  <sheetPr codeName="Hoja13"/>
  <dimension ref="A1:C9"/>
  <sheetViews>
    <sheetView workbookViewId="0">
      <selection activeCell="C21" sqref="C21"/>
    </sheetView>
  </sheetViews>
  <sheetFormatPr baseColWidth="10" defaultRowHeight="16" x14ac:dyDescent="0.2"/>
  <cols>
    <col min="1" max="1" width="12.5" customWidth="1"/>
    <col min="2" max="2" width="15.6640625" customWidth="1"/>
    <col min="3" max="3" width="49.5" bestFit="1" customWidth="1"/>
  </cols>
  <sheetData>
    <row r="1" spans="1:3" x14ac:dyDescent="0.2">
      <c r="A1" t="s">
        <v>817</v>
      </c>
      <c r="B1" t="s">
        <v>1144</v>
      </c>
      <c r="C1" t="s">
        <v>1145</v>
      </c>
    </row>
    <row r="2" spans="1:3" x14ac:dyDescent="0.2">
      <c r="A2">
        <v>1</v>
      </c>
      <c r="B2" t="s">
        <v>1146</v>
      </c>
      <c r="C2" t="s">
        <v>1147</v>
      </c>
    </row>
    <row r="3" spans="1:3" x14ac:dyDescent="0.2">
      <c r="A3">
        <v>2</v>
      </c>
      <c r="B3" t="s">
        <v>1148</v>
      </c>
      <c r="C3" t="s">
        <v>1149</v>
      </c>
    </row>
    <row r="4" spans="1:3" x14ac:dyDescent="0.2">
      <c r="A4">
        <v>3</v>
      </c>
      <c r="B4" t="s">
        <v>1150</v>
      </c>
      <c r="C4" t="s">
        <v>1151</v>
      </c>
    </row>
    <row r="5" spans="1:3" x14ac:dyDescent="0.2">
      <c r="A5">
        <v>4</v>
      </c>
      <c r="B5" t="s">
        <v>1152</v>
      </c>
      <c r="C5" t="s">
        <v>1153</v>
      </c>
    </row>
    <row r="6" spans="1:3" x14ac:dyDescent="0.2">
      <c r="A6">
        <v>5</v>
      </c>
      <c r="B6" t="s">
        <v>1154</v>
      </c>
      <c r="C6" t="s">
        <v>1155</v>
      </c>
    </row>
    <row r="7" spans="1:3" x14ac:dyDescent="0.2">
      <c r="A7">
        <v>6</v>
      </c>
      <c r="B7" t="s">
        <v>1156</v>
      </c>
      <c r="C7" t="s">
        <v>1157</v>
      </c>
    </row>
    <row r="8" spans="1:3" x14ac:dyDescent="0.2">
      <c r="A8">
        <v>7</v>
      </c>
      <c r="B8" t="s">
        <v>1158</v>
      </c>
      <c r="C8" t="s">
        <v>1159</v>
      </c>
    </row>
    <row r="9" spans="1:3" x14ac:dyDescent="0.2">
      <c r="A9">
        <v>8</v>
      </c>
      <c r="B9" t="s">
        <v>1160</v>
      </c>
      <c r="C9" t="s">
        <v>1161</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18</vt:i4>
      </vt:variant>
    </vt:vector>
  </HeadingPairs>
  <TitlesOfParts>
    <vt:vector size="18" baseType="lpstr">
      <vt:lpstr>Schema</vt:lpstr>
      <vt:lpstr>Tablas</vt:lpstr>
      <vt:lpstr>TablasAnalisis</vt:lpstr>
      <vt:lpstr>KPI</vt:lpstr>
      <vt:lpstr>Dasboard-Orders</vt:lpstr>
      <vt:lpstr>Dashboard1</vt:lpstr>
      <vt:lpstr>Report2</vt:lpstr>
      <vt:lpstr>Dashboards2</vt:lpstr>
      <vt:lpstr>Dasboard3</vt:lpstr>
      <vt:lpstr>OrderCosts</vt:lpstr>
      <vt:lpstr>Orders</vt:lpstr>
      <vt:lpstr>OrderDetails</vt:lpstr>
      <vt:lpstr>Products</vt:lpstr>
      <vt:lpstr>Customers</vt:lpstr>
      <vt:lpstr>Employees</vt:lpstr>
      <vt:lpstr>Shippers</vt:lpstr>
      <vt:lpstr>Suppliers</vt:lpstr>
      <vt:lpstr>Categories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Alan Badillo Salas</dc:creator>
  <cp:lastModifiedBy>Alan Badillo Salas</cp:lastModifiedBy>
  <dcterms:created xsi:type="dcterms:W3CDTF">2025-08-18T23:07:45Z</dcterms:created>
  <dcterms:modified xsi:type="dcterms:W3CDTF">2025-08-20T01:01:26Z</dcterms:modified>
</cp:coreProperties>
</file>