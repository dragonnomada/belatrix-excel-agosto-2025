
<file path=[Content_Types].xml><?xml version="1.0" encoding="utf-8"?>
<Types xmlns="http://schemas.openxmlformats.org/package/2006/content-type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ink/ink9.xml" ContentType="application/inkml+xml"/>
  <Override PartName="/xl/ink/ink10.xml" ContentType="application/inkml+xml"/>
  <Override PartName="/xl/ink/ink11.xml" ContentType="application/inkml+xml"/>
  <Override PartName="/xl/ink/ink12.xml" ContentType="application/inkml+xml"/>
  <Override PartName="/xl/ink/ink13.xml" ContentType="application/inkml+xml"/>
  <Override PartName="/xl/ink/ink14.xml" ContentType="application/inkml+xml"/>
  <Override PartName="/xl/ink/ink15.xml" ContentType="application/inkml+xml"/>
  <Override PartName="/xl/ink/ink16.xml" ContentType="application/inkml+xml"/>
  <Override PartName="/xl/ink/ink17.xml" ContentType="application/inkml+xml"/>
  <Override PartName="/xl/ink/ink18.xml" ContentType="application/inkml+xml"/>
  <Override PartName="/xl/ink/ink19.xml" ContentType="application/inkml+xml"/>
  <Override PartName="/xl/ink/ink20.xml" ContentType="application/inkml+xml"/>
  <Override PartName="/xl/ink/ink21.xml" ContentType="application/inkml+xml"/>
  <Override PartName="/xl/ink/ink22.xml" ContentType="application/inkml+xml"/>
  <Override PartName="/xl/ink/ink23.xml" ContentType="application/inkml+xml"/>
  <Override PartName="/xl/ink/ink24.xml" ContentType="application/inkml+xml"/>
  <Override PartName="/xl/ink/ink25.xml" ContentType="application/inkml+xml"/>
  <Override PartName="/xl/ink/ink26.xml" ContentType="application/inkml+xml"/>
  <Override PartName="/xl/ink/ink27.xml" ContentType="application/inkml+xml"/>
  <Override PartName="/xl/ink/ink28.xml" ContentType="application/inkml+xml"/>
  <Override PartName="/xl/ink/ink29.xml" ContentType="application/inkml+xml"/>
  <Override PartName="/xl/ink/ink30.xml" ContentType="application/inkml+xml"/>
  <Override PartName="/xl/ink/ink31.xml" ContentType="application/inkml+xml"/>
  <Override PartName="/xl/ink/ink32.xml" ContentType="application/inkml+xml"/>
  <Override PartName="/xl/ink/ink33.xml" ContentType="application/inkml+xml"/>
  <Override PartName="/xl/ink/ink34.xml" ContentType="application/inkml+xml"/>
  <Override PartName="/xl/ink/ink35.xml" ContentType="application/inkml+xml"/>
  <Override PartName="/xl/ink/ink36.xml" ContentType="application/inkml+xml"/>
  <Override PartName="/xl/ink/ink37.xml" ContentType="application/inkml+xml"/>
  <Override PartName="/xl/ink/ink38.xml" ContentType="application/inkml+xml"/>
  <Override PartName="/xl/ink/ink39.xml" ContentType="application/inkml+xml"/>
  <Override PartName="/xl/ink/ink40.xml" ContentType="application/inkml+xml"/>
  <Override PartName="/xl/ink/ink41.xml" ContentType="application/inkml+xml"/>
  <Override PartName="/xl/ink/ink42.xml" ContentType="application/inkml+xml"/>
  <Override PartName="/xl/ink/ink43.xml" ContentType="application/inkml+xml"/>
  <Override PartName="/xl/ink/ink44.xml" ContentType="application/inkml+xml"/>
  <Override PartName="/xl/ink/ink45.xml" ContentType="application/inkml+xml"/>
  <Override PartName="/xl/ink/ink46.xml" ContentType="application/inkml+xml"/>
  <Override PartName="/xl/ink/ink47.xml" ContentType="application/inkml+xml"/>
  <Override PartName="/xl/ink/ink48.xml" ContentType="application/inkml+xml"/>
  <Override PartName="/xl/ink/ink49.xml" ContentType="application/inkml+xml"/>
  <Override PartName="/xl/ink/ink50.xml" ContentType="application/inkml+xml"/>
  <Override PartName="/xl/ink/ink51.xml" ContentType="application/inkml+xml"/>
  <Override PartName="/xl/ink/ink52.xml" ContentType="application/inkml+xml"/>
  <Override PartName="/xl/ink/ink53.xml" ContentType="application/inkml+xml"/>
  <Override PartName="/xl/ink/ink54.xml" ContentType="application/inkml+xml"/>
  <Override PartName="/xl/ink/ink55.xml" ContentType="application/inkml+xml"/>
  <Override PartName="/xl/ink/ink56.xml" ContentType="application/inkml+xml"/>
  <Override PartName="/xl/ink/ink57.xml" ContentType="application/inkml+xml"/>
  <Override PartName="/xl/ink/ink58.xml" ContentType="application/inkml+xml"/>
  <Override PartName="/xl/ink/ink59.xml" ContentType="application/inkml+xml"/>
  <Override PartName="/xl/ink/ink60.xml" ContentType="application/inkml+xml"/>
  <Override PartName="/xl/ink/ink61.xml" ContentType="application/inkml+xml"/>
  <Override PartName="/xl/ink/ink62.xml" ContentType="application/inkml+xml"/>
  <Override PartName="/xl/ink/ink63.xml" ContentType="application/inkml+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workbookPr defaultThemeVersion="202300"/>
  <mc:AlternateContent xmlns:mc="http://schemas.openxmlformats.org/markup-compatibility/2006">
    <mc:Choice Requires="x15">
      <x15ac:absPath xmlns:x15ac="http://schemas.microsoft.com/office/spreadsheetml/2010/11/ac" url="/Users/dragonnomada/Documents/Cursos 2025/BELATRIX-EXCEL/curso/sesion09/"/>
    </mc:Choice>
  </mc:AlternateContent>
  <xr:revisionPtr revIDLastSave="0" documentId="13_ncr:1_{563402BC-AA04-2346-8AA1-596C1352CDDE}" xr6:coauthVersionLast="47" xr6:coauthVersionMax="47" xr10:uidLastSave="{00000000-0000-0000-0000-000000000000}"/>
  <bookViews>
    <workbookView xWindow="-38400" yWindow="-3600" windowWidth="24360" windowHeight="21600" activeTab="4" xr2:uid="{D3E155B7-8606-594C-847E-051218EA8554}"/>
  </bookViews>
  <sheets>
    <sheet name="Schema" sheetId="1" r:id="rId1"/>
    <sheet name="Tablas" sheetId="10" r:id="rId2"/>
    <sheet name="TablasAnalisis" sheetId="12" r:id="rId3"/>
    <sheet name="KPI" sheetId="14" r:id="rId4"/>
    <sheet name="Dasboard-Orders" sheetId="13" r:id="rId5"/>
    <sheet name="Orders" sheetId="2" r:id="rId6"/>
    <sheet name="OrderDetails" sheetId="3" r:id="rId7"/>
    <sheet name="Products" sheetId="8" r:id="rId8"/>
    <sheet name="Customers" sheetId="4" r:id="rId9"/>
    <sheet name="Employees" sheetId="5" r:id="rId10"/>
    <sheet name="Shippers" sheetId="6" r:id="rId11"/>
    <sheet name="Suppliers" sheetId="7" r:id="rId12"/>
    <sheet name="Categories" sheetId="9" r:id="rId13"/>
  </sheets>
  <definedNames>
    <definedName name="_xleta.COUNTA" hidden="1" xlm="1">#NAME?</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9" i="13" l="1" a="1"/>
  <c r="H19" i="13" s="1"/>
  <c r="AA3" i="14" a="1"/>
  <c r="AA3" i="14"/>
  <c r="AA4" i="14" a="1"/>
  <c r="AA4" i="14"/>
  <c r="AA5" i="14" a="1"/>
  <c r="AA5" i="14" s="1"/>
  <c r="AA6" i="14" a="1"/>
  <c r="AA6" i="14"/>
  <c r="AA7" i="14" a="1"/>
  <c r="AA7" i="14" s="1"/>
  <c r="AA8" i="14" a="1"/>
  <c r="AA8" i="14" s="1"/>
  <c r="AA9" i="14" a="1"/>
  <c r="AA9" i="14" s="1"/>
  <c r="AA10" i="14" a="1"/>
  <c r="AA10" i="14" s="1"/>
  <c r="AA11" i="14" a="1"/>
  <c r="AA11" i="14"/>
  <c r="AA12" i="14" a="1"/>
  <c r="AA12" i="14" s="1"/>
  <c r="AA13" i="14" a="1"/>
  <c r="AA13" i="14" s="1"/>
  <c r="AA14" i="14" a="1"/>
  <c r="AA14" i="14" s="1"/>
  <c r="AA15" i="14" a="1"/>
  <c r="AA15" i="14"/>
  <c r="AA16" i="14" a="1"/>
  <c r="AA16" i="14" s="1"/>
  <c r="AA17" i="14" a="1"/>
  <c r="AA17" i="14" s="1"/>
  <c r="AA18" i="14" a="1"/>
  <c r="AA18" i="14"/>
  <c r="AA19" i="14" a="1"/>
  <c r="AA19" i="14" s="1"/>
  <c r="AA20" i="14" a="1"/>
  <c r="AA20" i="14"/>
  <c r="AA21" i="14" a="1"/>
  <c r="AA21" i="14" s="1"/>
  <c r="AA22" i="14" a="1"/>
  <c r="AA22" i="14"/>
  <c r="AA23" i="14" a="1"/>
  <c r="AA23" i="14" s="1"/>
  <c r="AA24" i="14" a="1"/>
  <c r="AA24" i="14"/>
  <c r="AA2" i="14" a="1"/>
  <c r="AA2" i="14" s="1"/>
  <c r="Z3" i="14"/>
  <c r="Z4" i="14"/>
  <c r="Z5" i="14"/>
  <c r="Z6" i="14"/>
  <c r="Z7" i="14"/>
  <c r="Z8" i="14"/>
  <c r="Z9" i="14"/>
  <c r="Z10" i="14"/>
  <c r="Z11" i="14"/>
  <c r="Z12" i="14"/>
  <c r="Z13" i="14"/>
  <c r="Z14" i="14"/>
  <c r="Z15" i="14"/>
  <c r="Z16" i="14"/>
  <c r="Z17" i="14"/>
  <c r="Z18" i="14"/>
  <c r="Z19" i="14"/>
  <c r="Z20" i="14"/>
  <c r="Z21" i="14"/>
  <c r="Z22" i="14"/>
  <c r="Z23" i="14"/>
  <c r="Z24" i="14"/>
  <c r="Z25" i="14"/>
  <c r="Z26" i="14"/>
  <c r="Z27" i="14"/>
  <c r="Z28" i="14"/>
  <c r="Z29" i="14"/>
  <c r="Z30" i="14"/>
  <c r="Z31" i="14"/>
  <c r="Z32" i="14"/>
  <c r="Z33" i="14"/>
  <c r="Z34" i="14"/>
  <c r="Z35" i="14"/>
  <c r="Z36" i="14"/>
  <c r="Z37" i="14"/>
  <c r="Z38" i="14"/>
  <c r="Z39" i="14"/>
  <c r="Z40" i="14"/>
  <c r="Z41" i="14"/>
  <c r="Z42" i="14"/>
  <c r="Z43" i="14"/>
  <c r="Z44" i="14"/>
  <c r="Z45" i="14"/>
  <c r="Z46" i="14"/>
  <c r="Z47" i="14"/>
  <c r="Z48" i="14"/>
  <c r="Z49" i="14"/>
  <c r="Z50" i="14"/>
  <c r="Z51" i="14"/>
  <c r="Z52" i="14"/>
  <c r="Z53" i="14"/>
  <c r="Z54" i="14"/>
  <c r="Z55" i="14"/>
  <c r="Z56" i="14"/>
  <c r="Z57" i="14"/>
  <c r="Z58" i="14"/>
  <c r="Z59" i="14"/>
  <c r="Z60" i="14"/>
  <c r="Z61" i="14"/>
  <c r="Z62" i="14"/>
  <c r="Z63" i="14"/>
  <c r="Z64" i="14"/>
  <c r="Z65" i="14"/>
  <c r="Z66" i="14"/>
  <c r="Z67" i="14"/>
  <c r="Z68" i="14"/>
  <c r="Z69" i="14"/>
  <c r="Z70" i="14"/>
  <c r="Z71" i="14"/>
  <c r="Z72" i="14"/>
  <c r="Z73" i="14"/>
  <c r="Z74" i="14"/>
  <c r="Z75" i="14"/>
  <c r="Z76" i="14"/>
  <c r="Z77" i="14"/>
  <c r="Z78" i="14"/>
  <c r="Z79" i="14"/>
  <c r="Z80" i="14"/>
  <c r="Z81" i="14"/>
  <c r="Z82" i="14"/>
  <c r="Z83" i="14"/>
  <c r="Z84" i="14"/>
  <c r="Z85" i="14"/>
  <c r="Z86" i="14"/>
  <c r="Z87" i="14"/>
  <c r="Z88" i="14"/>
  <c r="Z89" i="14"/>
  <c r="Z90" i="14"/>
  <c r="Z91" i="14"/>
  <c r="Z92" i="14"/>
  <c r="Z93" i="14"/>
  <c r="Z94" i="14"/>
  <c r="Z95" i="14"/>
  <c r="Z96" i="14"/>
  <c r="Z97" i="14"/>
  <c r="Z98" i="14"/>
  <c r="Z99" i="14"/>
  <c r="Z100" i="14"/>
  <c r="Z101" i="14"/>
  <c r="Z102" i="14"/>
  <c r="Z103" i="14"/>
  <c r="Z104" i="14"/>
  <c r="Z105" i="14"/>
  <c r="Z106" i="14"/>
  <c r="Z107" i="14"/>
  <c r="Z108" i="14"/>
  <c r="Z109" i="14"/>
  <c r="Z110" i="14"/>
  <c r="Z111" i="14"/>
  <c r="Z112" i="14"/>
  <c r="Z113" i="14"/>
  <c r="Z114" i="14"/>
  <c r="Z115" i="14"/>
  <c r="Z116" i="14"/>
  <c r="Z117" i="14"/>
  <c r="Z118" i="14"/>
  <c r="Z119" i="14"/>
  <c r="Z120" i="14"/>
  <c r="Z121" i="14"/>
  <c r="Z122" i="14"/>
  <c r="Z123" i="14"/>
  <c r="Z124" i="14"/>
  <c r="Z125" i="14"/>
  <c r="Z126" i="14"/>
  <c r="Z127" i="14"/>
  <c r="Z128" i="14"/>
  <c r="Z129" i="14"/>
  <c r="Z130" i="14"/>
  <c r="Z131" i="14"/>
  <c r="Z132" i="14"/>
  <c r="Z133" i="14"/>
  <c r="Z134" i="14"/>
  <c r="Z135" i="14"/>
  <c r="Z136" i="14"/>
  <c r="Z137" i="14"/>
  <c r="Z138" i="14"/>
  <c r="Z139" i="14"/>
  <c r="Z140" i="14"/>
  <c r="Z141" i="14"/>
  <c r="Z142" i="14"/>
  <c r="Z143" i="14"/>
  <c r="Z144" i="14"/>
  <c r="Z145" i="14"/>
  <c r="Z146" i="14"/>
  <c r="Z147" i="14"/>
  <c r="Z148" i="14"/>
  <c r="Z149" i="14"/>
  <c r="Z150" i="14"/>
  <c r="Z151" i="14"/>
  <c r="Z152" i="14"/>
  <c r="Z153" i="14"/>
  <c r="Z154" i="14"/>
  <c r="Z155" i="14"/>
  <c r="Z156" i="14"/>
  <c r="Z157" i="14"/>
  <c r="Z158" i="14"/>
  <c r="Z159" i="14"/>
  <c r="Z160" i="14"/>
  <c r="Z161" i="14"/>
  <c r="Z162" i="14"/>
  <c r="Z163" i="14"/>
  <c r="Z164" i="14"/>
  <c r="Z165" i="14"/>
  <c r="Z166" i="14"/>
  <c r="Z167" i="14"/>
  <c r="Z168" i="14"/>
  <c r="Z169" i="14"/>
  <c r="Z170" i="14"/>
  <c r="Z171" i="14"/>
  <c r="Z172" i="14"/>
  <c r="Z173" i="14"/>
  <c r="Z174" i="14"/>
  <c r="Z175" i="14"/>
  <c r="Z176" i="14"/>
  <c r="Z177" i="14"/>
  <c r="Z178" i="14"/>
  <c r="Z179" i="14"/>
  <c r="Z180" i="14"/>
  <c r="Z181" i="14"/>
  <c r="Z182" i="14"/>
  <c r="Z183" i="14"/>
  <c r="Z184" i="14"/>
  <c r="Z185" i="14"/>
  <c r="Z186" i="14"/>
  <c r="Z187" i="14"/>
  <c r="Z188" i="14"/>
  <c r="Z189" i="14"/>
  <c r="Z190" i="14"/>
  <c r="Z191" i="14"/>
  <c r="Z192" i="14"/>
  <c r="Z193" i="14"/>
  <c r="Z194" i="14"/>
  <c r="Z195" i="14"/>
  <c r="Z196" i="14"/>
  <c r="Z197" i="14"/>
  <c r="Z198" i="14"/>
  <c r="Z199" i="14"/>
  <c r="Z200" i="14"/>
  <c r="Z201" i="14"/>
  <c r="Z202" i="14"/>
  <c r="Z203" i="14"/>
  <c r="Z204" i="14"/>
  <c r="Z205" i="14"/>
  <c r="Z206" i="14"/>
  <c r="Z207" i="14"/>
  <c r="Z208" i="14"/>
  <c r="Z209" i="14"/>
  <c r="Z210" i="14"/>
  <c r="Z211" i="14"/>
  <c r="Z212" i="14"/>
  <c r="Z213" i="14"/>
  <c r="Z214" i="14"/>
  <c r="Z215" i="14"/>
  <c r="Z216" i="14"/>
  <c r="Z217" i="14"/>
  <c r="Z218" i="14"/>
  <c r="Z219" i="14"/>
  <c r="Z220" i="14"/>
  <c r="Z221" i="14"/>
  <c r="Z222" i="14"/>
  <c r="Z223" i="14"/>
  <c r="Z224" i="14"/>
  <c r="Z225" i="14"/>
  <c r="Z226" i="14"/>
  <c r="Z227" i="14"/>
  <c r="Z228" i="14"/>
  <c r="Z229" i="14"/>
  <c r="Z230" i="14"/>
  <c r="Z231" i="14"/>
  <c r="Z232" i="14"/>
  <c r="Z233" i="14"/>
  <c r="Z234" i="14"/>
  <c r="Z235" i="14"/>
  <c r="Z236" i="14"/>
  <c r="Z237" i="14"/>
  <c r="Z238" i="14"/>
  <c r="Z239" i="14"/>
  <c r="Z240" i="14"/>
  <c r="Z241" i="14"/>
  <c r="Z242" i="14"/>
  <c r="Z243" i="14"/>
  <c r="Z244" i="14"/>
  <c r="Z245" i="14"/>
  <c r="Z246" i="14"/>
  <c r="Z247" i="14"/>
  <c r="Z248" i="14"/>
  <c r="Z249" i="14"/>
  <c r="Z250" i="14"/>
  <c r="Z251" i="14"/>
  <c r="Z252" i="14"/>
  <c r="Z253" i="14"/>
  <c r="Z254" i="14"/>
  <c r="Z255" i="14"/>
  <c r="Z256" i="14"/>
  <c r="Z257" i="14"/>
  <c r="Z258" i="14"/>
  <c r="Z259" i="14"/>
  <c r="Z260" i="14"/>
  <c r="Z261" i="14"/>
  <c r="Z262" i="14"/>
  <c r="Z263" i="14"/>
  <c r="Z264" i="14"/>
  <c r="Z265" i="14"/>
  <c r="Z266" i="14"/>
  <c r="Z267" i="14"/>
  <c r="Z268" i="14"/>
  <c r="Z269" i="14"/>
  <c r="Z270" i="14"/>
  <c r="Z271" i="14"/>
  <c r="Z272" i="14"/>
  <c r="Z273" i="14"/>
  <c r="Z274" i="14"/>
  <c r="Z275" i="14"/>
  <c r="Z276" i="14"/>
  <c r="Z277" i="14"/>
  <c r="Z278" i="14"/>
  <c r="Z279" i="14"/>
  <c r="Z280" i="14"/>
  <c r="Z281" i="14"/>
  <c r="Z282" i="14"/>
  <c r="Z283" i="14"/>
  <c r="Z284" i="14"/>
  <c r="Z285" i="14"/>
  <c r="Z286" i="14"/>
  <c r="Z287" i="14"/>
  <c r="Z288" i="14"/>
  <c r="Z289" i="14"/>
  <c r="Z290" i="14"/>
  <c r="Z291" i="14"/>
  <c r="Z292" i="14"/>
  <c r="Z293" i="14"/>
  <c r="Z294" i="14"/>
  <c r="Z295" i="14"/>
  <c r="Z296" i="14"/>
  <c r="Z297" i="14"/>
  <c r="Z298" i="14"/>
  <c r="Z299" i="14"/>
  <c r="Z300" i="14"/>
  <c r="Z301" i="14"/>
  <c r="Z302" i="14"/>
  <c r="Z303" i="14"/>
  <c r="Z304" i="14"/>
  <c r="Z305" i="14"/>
  <c r="Z306" i="14"/>
  <c r="Z307" i="14"/>
  <c r="Z308" i="14"/>
  <c r="Z309" i="14"/>
  <c r="Z310" i="14"/>
  <c r="Z311" i="14"/>
  <c r="Z312" i="14"/>
  <c r="Z313" i="14"/>
  <c r="Z314" i="14"/>
  <c r="Z315" i="14"/>
  <c r="Z316" i="14"/>
  <c r="Z317" i="14"/>
  <c r="Z318" i="14"/>
  <c r="Z319" i="14"/>
  <c r="Z320" i="14"/>
  <c r="Z321" i="14"/>
  <c r="Z322" i="14"/>
  <c r="Z323" i="14"/>
  <c r="Z324" i="14"/>
  <c r="Z325" i="14"/>
  <c r="Z326" i="14"/>
  <c r="Z327" i="14"/>
  <c r="Z328" i="14"/>
  <c r="Z329" i="14"/>
  <c r="Z330" i="14"/>
  <c r="Z331" i="14"/>
  <c r="Z332" i="14"/>
  <c r="Z333" i="14"/>
  <c r="Z334" i="14"/>
  <c r="Z335" i="14"/>
  <c r="Z336" i="14"/>
  <c r="Z337" i="14"/>
  <c r="Z338" i="14"/>
  <c r="Z339" i="14"/>
  <c r="Z340" i="14"/>
  <c r="Z341" i="14"/>
  <c r="Z342" i="14"/>
  <c r="Z343" i="14"/>
  <c r="Z344" i="14"/>
  <c r="Z345" i="14"/>
  <c r="Z346" i="14"/>
  <c r="Z347" i="14"/>
  <c r="Z348" i="14"/>
  <c r="Z349" i="14"/>
  <c r="Z350" i="14"/>
  <c r="Z351" i="14"/>
  <c r="Z352" i="14"/>
  <c r="Z353" i="14"/>
  <c r="Z354" i="14"/>
  <c r="Z355" i="14"/>
  <c r="Z356" i="14"/>
  <c r="Z357" i="14"/>
  <c r="Z358" i="14"/>
  <c r="Z359" i="14"/>
  <c r="Z360" i="14"/>
  <c r="Z361" i="14"/>
  <c r="Z362" i="14"/>
  <c r="Z363" i="14"/>
  <c r="Z364" i="14"/>
  <c r="Z365" i="14"/>
  <c r="Z366" i="14"/>
  <c r="Z367" i="14"/>
  <c r="Z368" i="14"/>
  <c r="Z369" i="14"/>
  <c r="Z370" i="14"/>
  <c r="Z371" i="14"/>
  <c r="Z372" i="14"/>
  <c r="Z373" i="14"/>
  <c r="Z374" i="14"/>
  <c r="Z375" i="14"/>
  <c r="Z376" i="14"/>
  <c r="Z377" i="14"/>
  <c r="Z378" i="14"/>
  <c r="Z379" i="14"/>
  <c r="Z380" i="14"/>
  <c r="Z381" i="14"/>
  <c r="Z382" i="14"/>
  <c r="Z383" i="14"/>
  <c r="Z384" i="14"/>
  <c r="Z385" i="14"/>
  <c r="Z386" i="14"/>
  <c r="Z387" i="14"/>
  <c r="Z388" i="14"/>
  <c r="Z389" i="14"/>
  <c r="Z390" i="14"/>
  <c r="Z391" i="14"/>
  <c r="Z392" i="14"/>
  <c r="Z393" i="14"/>
  <c r="Z394" i="14"/>
  <c r="Z395" i="14"/>
  <c r="Z396" i="14"/>
  <c r="Z397" i="14"/>
  <c r="Z398" i="14"/>
  <c r="Z399" i="14"/>
  <c r="Z400" i="14"/>
  <c r="Z401" i="14"/>
  <c r="Z402" i="14"/>
  <c r="Z403" i="14"/>
  <c r="Z404" i="14"/>
  <c r="Z405" i="14"/>
  <c r="Z406" i="14"/>
  <c r="Z407" i="14"/>
  <c r="Z408" i="14"/>
  <c r="Z409" i="14"/>
  <c r="Z410" i="14"/>
  <c r="Z411" i="14"/>
  <c r="Z412" i="14"/>
  <c r="Z413" i="14"/>
  <c r="Z414" i="14"/>
  <c r="Z415" i="14"/>
  <c r="Z416" i="14"/>
  <c r="Z417" i="14"/>
  <c r="Z418" i="14"/>
  <c r="Z419" i="14"/>
  <c r="Z420" i="14"/>
  <c r="Z421" i="14"/>
  <c r="Z422" i="14"/>
  <c r="Z423" i="14"/>
  <c r="Z424" i="14"/>
  <c r="Z425" i="14"/>
  <c r="Z426" i="14"/>
  <c r="Z427" i="14"/>
  <c r="Z428" i="14"/>
  <c r="Z429" i="14"/>
  <c r="Z430" i="14"/>
  <c r="Z431" i="14"/>
  <c r="Z432" i="14"/>
  <c r="Z433" i="14"/>
  <c r="Z434" i="14"/>
  <c r="Z435" i="14"/>
  <c r="Z436" i="14"/>
  <c r="Z437" i="14"/>
  <c r="Z438" i="14"/>
  <c r="Z439" i="14"/>
  <c r="Z440" i="14"/>
  <c r="Z441" i="14"/>
  <c r="Z442" i="14"/>
  <c r="Z443" i="14"/>
  <c r="Z444" i="14"/>
  <c r="Z445" i="14"/>
  <c r="Z446" i="14"/>
  <c r="Z447" i="14"/>
  <c r="Z448" i="14"/>
  <c r="Z449" i="14"/>
  <c r="Z450" i="14"/>
  <c r="Z451" i="14"/>
  <c r="Z452" i="14"/>
  <c r="Z453" i="14"/>
  <c r="Z454" i="14"/>
  <c r="Z455" i="14"/>
  <c r="Z456" i="14"/>
  <c r="Z457" i="14"/>
  <c r="Z458" i="14"/>
  <c r="Z459" i="14"/>
  <c r="Z460" i="14"/>
  <c r="Z461" i="14"/>
  <c r="Z462" i="14"/>
  <c r="Z463" i="14"/>
  <c r="Z464" i="14"/>
  <c r="Z465" i="14"/>
  <c r="Z466" i="14"/>
  <c r="Z467" i="14"/>
  <c r="Z468" i="14"/>
  <c r="Z469" i="14"/>
  <c r="Z470" i="14"/>
  <c r="Z471" i="14"/>
  <c r="Z472" i="14"/>
  <c r="Z473" i="14"/>
  <c r="Z474" i="14"/>
  <c r="Z475" i="14"/>
  <c r="Z476" i="14"/>
  <c r="Z477" i="14"/>
  <c r="Z478" i="14"/>
  <c r="Z479" i="14"/>
  <c r="Z480" i="14"/>
  <c r="Z481" i="14"/>
  <c r="Z482" i="14"/>
  <c r="Z483" i="14"/>
  <c r="Z484" i="14"/>
  <c r="Z485" i="14"/>
  <c r="Z486" i="14"/>
  <c r="Z487" i="14"/>
  <c r="Z488" i="14"/>
  <c r="Z489" i="14"/>
  <c r="Z490" i="14"/>
  <c r="Z491" i="14"/>
  <c r="Z492" i="14"/>
  <c r="Z493" i="14"/>
  <c r="Z494" i="14"/>
  <c r="Z495" i="14"/>
  <c r="Z496" i="14"/>
  <c r="Z497" i="14"/>
  <c r="Z498" i="14"/>
  <c r="Z499" i="14"/>
  <c r="Z500" i="14"/>
  <c r="Z501" i="14"/>
  <c r="Z502" i="14"/>
  <c r="Z503" i="14"/>
  <c r="Z504" i="14"/>
  <c r="Z505" i="14"/>
  <c r="Z506" i="14"/>
  <c r="Z507" i="14"/>
  <c r="Z508" i="14"/>
  <c r="Z509" i="14"/>
  <c r="Z510" i="14"/>
  <c r="Z511" i="14"/>
  <c r="Z512" i="14"/>
  <c r="Z513" i="14"/>
  <c r="Z514" i="14"/>
  <c r="Z515" i="14"/>
  <c r="Z516" i="14"/>
  <c r="Z517" i="14"/>
  <c r="Z518" i="14"/>
  <c r="Z519" i="14"/>
  <c r="Z520" i="14"/>
  <c r="Z521" i="14"/>
  <c r="Z522" i="14"/>
  <c r="Z523" i="14"/>
  <c r="Z524" i="14"/>
  <c r="Z525" i="14"/>
  <c r="Z526" i="14"/>
  <c r="Z527" i="14"/>
  <c r="Z528" i="14"/>
  <c r="Z529" i="14"/>
  <c r="Z530" i="14"/>
  <c r="Z531" i="14"/>
  <c r="Z532" i="14"/>
  <c r="Z533" i="14"/>
  <c r="Z534" i="14"/>
  <c r="Z535" i="14"/>
  <c r="Z536" i="14"/>
  <c r="Z537" i="14"/>
  <c r="Z538" i="14"/>
  <c r="Z539" i="14"/>
  <c r="Z540" i="14"/>
  <c r="Z541" i="14"/>
  <c r="Z542" i="14"/>
  <c r="Z543" i="14"/>
  <c r="Z544" i="14"/>
  <c r="Z545" i="14"/>
  <c r="Z546" i="14"/>
  <c r="Z547" i="14"/>
  <c r="Z548" i="14"/>
  <c r="Z549" i="14"/>
  <c r="Z550" i="14"/>
  <c r="Z551" i="14"/>
  <c r="Z552" i="14"/>
  <c r="Z553" i="14"/>
  <c r="Z554" i="14"/>
  <c r="Z555" i="14"/>
  <c r="Z556" i="14"/>
  <c r="Z557" i="14"/>
  <c r="Z558" i="14"/>
  <c r="Z559" i="14"/>
  <c r="Z560" i="14"/>
  <c r="Z561" i="14"/>
  <c r="Z562" i="14"/>
  <c r="Z563" i="14"/>
  <c r="Z564" i="14"/>
  <c r="Z565" i="14"/>
  <c r="Z566" i="14"/>
  <c r="Z567" i="14"/>
  <c r="Z568" i="14"/>
  <c r="Z569" i="14"/>
  <c r="Z570" i="14"/>
  <c r="Z571" i="14"/>
  <c r="Z572" i="14"/>
  <c r="Z573" i="14"/>
  <c r="Z574" i="14"/>
  <c r="Z575" i="14"/>
  <c r="Z576" i="14"/>
  <c r="Z577" i="14"/>
  <c r="Z578" i="14"/>
  <c r="Z579" i="14"/>
  <c r="Z580" i="14"/>
  <c r="Z581" i="14"/>
  <c r="Z582" i="14"/>
  <c r="Z583" i="14"/>
  <c r="Z584" i="14"/>
  <c r="Z585" i="14"/>
  <c r="Z586" i="14"/>
  <c r="Z587" i="14"/>
  <c r="Z588" i="14"/>
  <c r="Z589" i="14"/>
  <c r="Z590" i="14"/>
  <c r="Z591" i="14"/>
  <c r="Z592" i="14"/>
  <c r="Z593" i="14"/>
  <c r="Z594" i="14"/>
  <c r="Z595" i="14"/>
  <c r="Z596" i="14"/>
  <c r="Z597" i="14"/>
  <c r="Z598" i="14"/>
  <c r="Z599" i="14"/>
  <c r="Z600" i="14"/>
  <c r="Z601" i="14"/>
  <c r="Z602" i="14"/>
  <c r="Z603" i="14"/>
  <c r="Z604" i="14"/>
  <c r="Z605" i="14"/>
  <c r="Z606" i="14"/>
  <c r="Z607" i="14"/>
  <c r="Z608" i="14"/>
  <c r="Z609" i="14"/>
  <c r="Z610" i="14"/>
  <c r="Z611" i="14"/>
  <c r="Z612" i="14"/>
  <c r="Z613" i="14"/>
  <c r="Z614" i="14"/>
  <c r="Z615" i="14"/>
  <c r="Z616" i="14"/>
  <c r="Z617" i="14"/>
  <c r="Z618" i="14"/>
  <c r="Z619" i="14"/>
  <c r="Z620" i="14"/>
  <c r="Z621" i="14"/>
  <c r="Z622" i="14"/>
  <c r="Z623" i="14"/>
  <c r="Z624" i="14"/>
  <c r="Z625" i="14"/>
  <c r="Z626" i="14"/>
  <c r="Z627" i="14"/>
  <c r="Z628" i="14"/>
  <c r="Z629" i="14"/>
  <c r="Z630" i="14"/>
  <c r="Z631" i="14"/>
  <c r="Z632" i="14"/>
  <c r="Z633" i="14"/>
  <c r="Z634" i="14"/>
  <c r="Z635" i="14"/>
  <c r="Z636" i="14"/>
  <c r="Z637" i="14"/>
  <c r="Z638" i="14"/>
  <c r="Z639" i="14"/>
  <c r="Z640" i="14"/>
  <c r="Z641" i="14"/>
  <c r="Z642" i="14"/>
  <c r="Z643" i="14"/>
  <c r="Z644" i="14"/>
  <c r="Z645" i="14"/>
  <c r="Z646" i="14"/>
  <c r="Z647" i="14"/>
  <c r="Z648" i="14"/>
  <c r="Z649" i="14"/>
  <c r="Z650" i="14"/>
  <c r="Z651" i="14"/>
  <c r="Z652" i="14"/>
  <c r="Z653" i="14"/>
  <c r="Z654" i="14"/>
  <c r="Z655" i="14"/>
  <c r="Z656" i="14"/>
  <c r="Z657" i="14"/>
  <c r="Z658" i="14"/>
  <c r="Z659" i="14"/>
  <c r="Z660" i="14"/>
  <c r="Z661" i="14"/>
  <c r="Z662" i="14"/>
  <c r="Z663" i="14"/>
  <c r="Z664" i="14"/>
  <c r="Z665" i="14"/>
  <c r="Z666" i="14"/>
  <c r="Z667" i="14"/>
  <c r="Z668" i="14"/>
  <c r="Z669" i="14"/>
  <c r="Z670" i="14"/>
  <c r="Z671" i="14"/>
  <c r="Z672" i="14"/>
  <c r="Z673" i="14"/>
  <c r="Z674" i="14"/>
  <c r="Z675" i="14"/>
  <c r="Z676" i="14"/>
  <c r="Z677" i="14"/>
  <c r="Z678" i="14"/>
  <c r="Z679" i="14"/>
  <c r="Z680" i="14"/>
  <c r="Z681" i="14"/>
  <c r="Z682" i="14"/>
  <c r="Z683" i="14"/>
  <c r="Z684" i="14"/>
  <c r="Z685" i="14"/>
  <c r="Z686" i="14"/>
  <c r="Z687" i="14"/>
  <c r="Z688" i="14"/>
  <c r="Z689" i="14"/>
  <c r="Z690" i="14"/>
  <c r="Z691" i="14"/>
  <c r="Z692" i="14"/>
  <c r="Z693" i="14"/>
  <c r="Z694" i="14"/>
  <c r="Z695" i="14"/>
  <c r="Z696" i="14"/>
  <c r="Z697" i="14"/>
  <c r="Z698" i="14"/>
  <c r="Z699" i="14"/>
  <c r="Z700" i="14"/>
  <c r="Z701" i="14"/>
  <c r="Z702" i="14"/>
  <c r="Z703" i="14"/>
  <c r="Z704" i="14"/>
  <c r="Z705" i="14"/>
  <c r="Z706" i="14"/>
  <c r="Z707" i="14"/>
  <c r="Z708" i="14"/>
  <c r="Z709" i="14"/>
  <c r="Z710" i="14"/>
  <c r="Z711" i="14"/>
  <c r="Z712" i="14"/>
  <c r="Z713" i="14"/>
  <c r="Z714" i="14"/>
  <c r="Z715" i="14"/>
  <c r="Z716" i="14"/>
  <c r="Z717" i="14"/>
  <c r="Z718" i="14"/>
  <c r="Z719" i="14"/>
  <c r="Z720" i="14"/>
  <c r="Z721" i="14"/>
  <c r="Z722" i="14"/>
  <c r="Z723" i="14"/>
  <c r="Z724" i="14"/>
  <c r="Z725" i="14"/>
  <c r="Z726" i="14"/>
  <c r="Z727" i="14"/>
  <c r="Z728" i="14"/>
  <c r="Z729" i="14"/>
  <c r="Z730" i="14"/>
  <c r="Z731" i="14"/>
  <c r="Z732" i="14"/>
  <c r="Z733" i="14"/>
  <c r="Z734" i="14"/>
  <c r="Z735" i="14"/>
  <c r="Z736" i="14"/>
  <c r="Z737" i="14"/>
  <c r="Z738" i="14"/>
  <c r="Z739" i="14"/>
  <c r="Z740" i="14"/>
  <c r="Z741" i="14"/>
  <c r="Z742" i="14"/>
  <c r="Z743" i="14"/>
  <c r="Z744" i="14"/>
  <c r="Z745" i="14"/>
  <c r="Z746" i="14"/>
  <c r="Z747" i="14"/>
  <c r="Z748" i="14"/>
  <c r="Z749" i="14"/>
  <c r="Z750" i="14"/>
  <c r="Z751" i="14"/>
  <c r="Z752" i="14"/>
  <c r="Z753" i="14"/>
  <c r="Z754" i="14"/>
  <c r="Z755" i="14"/>
  <c r="Z756" i="14"/>
  <c r="Z757" i="14"/>
  <c r="Z758" i="14"/>
  <c r="Z759" i="14"/>
  <c r="Z760" i="14"/>
  <c r="Z761" i="14"/>
  <c r="Z762" i="14"/>
  <c r="Z763" i="14"/>
  <c r="Z764" i="14"/>
  <c r="Z765" i="14"/>
  <c r="Z766" i="14"/>
  <c r="Z767" i="14"/>
  <c r="Z768" i="14"/>
  <c r="Z769" i="14"/>
  <c r="Z770" i="14"/>
  <c r="Z771" i="14"/>
  <c r="Z772" i="14"/>
  <c r="Z773" i="14"/>
  <c r="Z774" i="14"/>
  <c r="Z775" i="14"/>
  <c r="Z776" i="14"/>
  <c r="Z777" i="14"/>
  <c r="Z778" i="14"/>
  <c r="Z779" i="14"/>
  <c r="Z780" i="14"/>
  <c r="Z781" i="14"/>
  <c r="Z782" i="14"/>
  <c r="Z783" i="14"/>
  <c r="Z784" i="14"/>
  <c r="Z785" i="14"/>
  <c r="Z786" i="14"/>
  <c r="Z787" i="14"/>
  <c r="Z788" i="14"/>
  <c r="Z789" i="14"/>
  <c r="Z790" i="14"/>
  <c r="Z791" i="14"/>
  <c r="Z792" i="14"/>
  <c r="Z793" i="14"/>
  <c r="Z794" i="14"/>
  <c r="Z795" i="14"/>
  <c r="Z796" i="14"/>
  <c r="Z797" i="14"/>
  <c r="Z798" i="14"/>
  <c r="Z799" i="14"/>
  <c r="Z800" i="14"/>
  <c r="Z801" i="14"/>
  <c r="Z802" i="14"/>
  <c r="Z803" i="14"/>
  <c r="Z804" i="14"/>
  <c r="Z805" i="14"/>
  <c r="Z806" i="14"/>
  <c r="Z807" i="14"/>
  <c r="Z808" i="14"/>
  <c r="Z809" i="14"/>
  <c r="Z810" i="14"/>
  <c r="Z811" i="14"/>
  <c r="Z812" i="14"/>
  <c r="Z813" i="14"/>
  <c r="Z814" i="14"/>
  <c r="Z815" i="14"/>
  <c r="Z816" i="14"/>
  <c r="Z817" i="14"/>
  <c r="Z818" i="14"/>
  <c r="Z819" i="14"/>
  <c r="Z820" i="14"/>
  <c r="Z821" i="14"/>
  <c r="Z822" i="14"/>
  <c r="Z823" i="14"/>
  <c r="Z824" i="14"/>
  <c r="Z825" i="14"/>
  <c r="Z826" i="14"/>
  <c r="Z827" i="14"/>
  <c r="Z828" i="14"/>
  <c r="Z829" i="14"/>
  <c r="Z830" i="14"/>
  <c r="Z831" i="14"/>
  <c r="Z2" i="14"/>
  <c r="Y2" i="14" a="1"/>
  <c r="Y2" i="14" s="1"/>
  <c r="F19" i="13" a="1"/>
  <c r="F19" i="13" s="1"/>
  <c r="X3" i="14" a="1"/>
  <c r="X3" i="14" s="1"/>
  <c r="X4" i="14" a="1"/>
  <c r="X4" i="14" s="1"/>
  <c r="X5" i="14" a="1"/>
  <c r="X5" i="14" s="1"/>
  <c r="X6" i="14" a="1"/>
  <c r="X6" i="14" s="1"/>
  <c r="X7" i="14" a="1"/>
  <c r="X7" i="14" s="1"/>
  <c r="X8" i="14" a="1"/>
  <c r="X8" i="14" s="1"/>
  <c r="X9" i="14" a="1"/>
  <c r="X9" i="14" s="1"/>
  <c r="X10" i="14" a="1"/>
  <c r="X10" i="14" s="1"/>
  <c r="X11" i="14" a="1"/>
  <c r="X11" i="14" s="1"/>
  <c r="X12" i="14" a="1"/>
  <c r="X12" i="14" s="1"/>
  <c r="X13" i="14" a="1"/>
  <c r="X13" i="14" s="1"/>
  <c r="X14" i="14" a="1"/>
  <c r="X14" i="14" s="1"/>
  <c r="X15" i="14" a="1"/>
  <c r="X15" i="14" s="1"/>
  <c r="X16" i="14" a="1"/>
  <c r="X16" i="14" s="1"/>
  <c r="X17" i="14" a="1"/>
  <c r="X17" i="14" s="1"/>
  <c r="X18" i="14" a="1"/>
  <c r="X18" i="14" s="1"/>
  <c r="X19" i="14" a="1"/>
  <c r="X19" i="14" s="1"/>
  <c r="X20" i="14" a="1"/>
  <c r="X20" i="14" s="1"/>
  <c r="X21" i="14" a="1"/>
  <c r="X21" i="14" s="1"/>
  <c r="X22" i="14" a="1"/>
  <c r="X22" i="14" s="1"/>
  <c r="X23" i="14" a="1"/>
  <c r="X23" i="14" s="1"/>
  <c r="X24" i="14" a="1"/>
  <c r="X24" i="14" s="1"/>
  <c r="X2" i="14" a="1"/>
  <c r="X2" i="14" s="1"/>
  <c r="W2" i="14" a="1"/>
  <c r="W2" i="14" s="1"/>
  <c r="U3" i="14"/>
  <c r="V3" i="14" s="1"/>
  <c r="U4" i="14"/>
  <c r="V4" i="14"/>
  <c r="U5" i="14"/>
  <c r="V5" i="14"/>
  <c r="U6" i="14"/>
  <c r="V6" i="14" s="1"/>
  <c r="U7" i="14"/>
  <c r="V7" i="14" s="1"/>
  <c r="U8" i="14"/>
  <c r="V8" i="14"/>
  <c r="U9" i="14"/>
  <c r="V9" i="14"/>
  <c r="U10" i="14"/>
  <c r="V10" i="14"/>
  <c r="U11" i="14"/>
  <c r="V11" i="14" s="1"/>
  <c r="U12" i="14"/>
  <c r="V12" i="14"/>
  <c r="U13" i="14"/>
  <c r="V13" i="14"/>
  <c r="U14" i="14"/>
  <c r="V14" i="14" s="1"/>
  <c r="U15" i="14"/>
  <c r="V15" i="14" s="1"/>
  <c r="U16" i="14"/>
  <c r="V16" i="14"/>
  <c r="U17" i="14"/>
  <c r="V17" i="14"/>
  <c r="U18" i="14"/>
  <c r="V18" i="14"/>
  <c r="U19" i="14"/>
  <c r="V19" i="14" s="1"/>
  <c r="U20" i="14"/>
  <c r="V20" i="14"/>
  <c r="U21" i="14"/>
  <c r="V21" i="14"/>
  <c r="U22" i="14"/>
  <c r="V22" i="14" s="1"/>
  <c r="U23" i="14"/>
  <c r="V23" i="14" s="1"/>
  <c r="U24" i="14"/>
  <c r="V24" i="14"/>
  <c r="U25" i="14"/>
  <c r="V25" i="14"/>
  <c r="U26" i="14"/>
  <c r="V26" i="14"/>
  <c r="U27" i="14"/>
  <c r="V27" i="14" s="1"/>
  <c r="U28" i="14"/>
  <c r="V28" i="14"/>
  <c r="U29" i="14"/>
  <c r="V29" i="14"/>
  <c r="U30" i="14"/>
  <c r="V30" i="14" s="1"/>
  <c r="U31" i="14"/>
  <c r="V31" i="14" s="1"/>
  <c r="U32" i="14"/>
  <c r="V32" i="14"/>
  <c r="U33" i="14"/>
  <c r="V33" i="14"/>
  <c r="U34" i="14"/>
  <c r="V34" i="14"/>
  <c r="U35" i="14"/>
  <c r="V35" i="14" s="1"/>
  <c r="U36" i="14"/>
  <c r="V36" i="14"/>
  <c r="U37" i="14"/>
  <c r="V37" i="14"/>
  <c r="U38" i="14"/>
  <c r="V38" i="14"/>
  <c r="U39" i="14"/>
  <c r="V39" i="14" s="1"/>
  <c r="U40" i="14"/>
  <c r="V40" i="14"/>
  <c r="U41" i="14"/>
  <c r="V41" i="14"/>
  <c r="U42" i="14"/>
  <c r="V42" i="14"/>
  <c r="U43" i="14"/>
  <c r="V43" i="14" s="1"/>
  <c r="U44" i="14"/>
  <c r="V44" i="14"/>
  <c r="U45" i="14"/>
  <c r="V45" i="14"/>
  <c r="U46" i="14"/>
  <c r="V46" i="14" s="1"/>
  <c r="U47" i="14"/>
  <c r="V47" i="14" s="1"/>
  <c r="U48" i="14"/>
  <c r="V48" i="14"/>
  <c r="U49" i="14"/>
  <c r="V49" i="14"/>
  <c r="U50" i="14"/>
  <c r="V50" i="14"/>
  <c r="U51" i="14"/>
  <c r="V51" i="14" s="1"/>
  <c r="U52" i="14"/>
  <c r="V52" i="14"/>
  <c r="U53" i="14"/>
  <c r="V53" i="14"/>
  <c r="U54" i="14"/>
  <c r="V54" i="14"/>
  <c r="U55" i="14"/>
  <c r="V55" i="14" s="1"/>
  <c r="U56" i="14"/>
  <c r="V56" i="14"/>
  <c r="U57" i="14"/>
  <c r="V57" i="14"/>
  <c r="U58" i="14"/>
  <c r="V58" i="14"/>
  <c r="U59" i="14"/>
  <c r="V59" i="14" s="1"/>
  <c r="U60" i="14"/>
  <c r="V60" i="14"/>
  <c r="U61" i="14"/>
  <c r="V61" i="14"/>
  <c r="U62" i="14"/>
  <c r="V62" i="14" s="1"/>
  <c r="U63" i="14"/>
  <c r="V63" i="14" s="1"/>
  <c r="U64" i="14"/>
  <c r="V64" i="14"/>
  <c r="U65" i="14"/>
  <c r="V65" i="14"/>
  <c r="U66" i="14"/>
  <c r="V66" i="14"/>
  <c r="U67" i="14"/>
  <c r="V67" i="14" s="1"/>
  <c r="U68" i="14"/>
  <c r="V68" i="14"/>
  <c r="U69" i="14"/>
  <c r="V69" i="14"/>
  <c r="U70" i="14"/>
  <c r="V70" i="14" s="1"/>
  <c r="U71" i="14"/>
  <c r="V71" i="14" s="1"/>
  <c r="U72" i="14"/>
  <c r="V72" i="14"/>
  <c r="U73" i="14"/>
  <c r="V73" i="14"/>
  <c r="U74" i="14"/>
  <c r="V74" i="14"/>
  <c r="U75" i="14"/>
  <c r="V75" i="14" s="1"/>
  <c r="U76" i="14"/>
  <c r="V76" i="14"/>
  <c r="U77" i="14"/>
  <c r="V77" i="14"/>
  <c r="U78" i="14"/>
  <c r="V78" i="14" s="1"/>
  <c r="U79" i="14"/>
  <c r="V79" i="14" s="1"/>
  <c r="U80" i="14"/>
  <c r="V80" i="14"/>
  <c r="U81" i="14"/>
  <c r="V81" i="14"/>
  <c r="U82" i="14"/>
  <c r="V82" i="14"/>
  <c r="U83" i="14"/>
  <c r="V83" i="14" s="1"/>
  <c r="U84" i="14"/>
  <c r="V84" i="14"/>
  <c r="U85" i="14"/>
  <c r="V85" i="14"/>
  <c r="U86" i="14"/>
  <c r="V86" i="14"/>
  <c r="U87" i="14"/>
  <c r="V87" i="14" s="1"/>
  <c r="U88" i="14"/>
  <c r="V88" i="14"/>
  <c r="U89" i="14"/>
  <c r="V89" i="14"/>
  <c r="U90" i="14"/>
  <c r="V90" i="14"/>
  <c r="U91" i="14"/>
  <c r="V91" i="14" s="1"/>
  <c r="U92" i="14"/>
  <c r="V92" i="14"/>
  <c r="U93" i="14"/>
  <c r="V93" i="14"/>
  <c r="U94" i="14"/>
  <c r="V94" i="14" s="1"/>
  <c r="U95" i="14"/>
  <c r="V95" i="14" s="1"/>
  <c r="U96" i="14"/>
  <c r="V96" i="14"/>
  <c r="U97" i="14"/>
  <c r="V97" i="14"/>
  <c r="U98" i="14"/>
  <c r="V98" i="14" s="1"/>
  <c r="U99" i="14"/>
  <c r="V99" i="14" s="1"/>
  <c r="U100" i="14"/>
  <c r="V100" i="14"/>
  <c r="U101" i="14"/>
  <c r="V101" i="14" s="1"/>
  <c r="U102" i="14"/>
  <c r="V102" i="14"/>
  <c r="U103" i="14"/>
  <c r="V103" i="14" s="1"/>
  <c r="U104" i="14"/>
  <c r="V104" i="14"/>
  <c r="U105" i="14"/>
  <c r="V105" i="14"/>
  <c r="U106" i="14"/>
  <c r="V106" i="14"/>
  <c r="U107" i="14"/>
  <c r="V107" i="14" s="1"/>
  <c r="U108" i="14"/>
  <c r="V108" i="14"/>
  <c r="U109" i="14"/>
  <c r="V109" i="14"/>
  <c r="U110" i="14"/>
  <c r="V110" i="14" s="1"/>
  <c r="U111" i="14"/>
  <c r="V111" i="14" s="1"/>
  <c r="U112" i="14"/>
  <c r="V112" i="14"/>
  <c r="U113" i="14"/>
  <c r="V113" i="14"/>
  <c r="U114" i="14"/>
  <c r="V114" i="14"/>
  <c r="U115" i="14"/>
  <c r="V115" i="14" s="1"/>
  <c r="U116" i="14"/>
  <c r="V116" i="14"/>
  <c r="U117" i="14"/>
  <c r="V117" i="14" s="1"/>
  <c r="U118" i="14"/>
  <c r="V118" i="14"/>
  <c r="U119" i="14"/>
  <c r="V119" i="14" s="1"/>
  <c r="U120" i="14"/>
  <c r="V120" i="14"/>
  <c r="U121" i="14"/>
  <c r="V121" i="14"/>
  <c r="U122" i="14"/>
  <c r="V122" i="14"/>
  <c r="U123" i="14"/>
  <c r="V123" i="14" s="1"/>
  <c r="U124" i="14"/>
  <c r="V124" i="14"/>
  <c r="U125" i="14"/>
  <c r="V125" i="14"/>
  <c r="U126" i="14"/>
  <c r="V126" i="14" s="1"/>
  <c r="U127" i="14"/>
  <c r="V127" i="14" s="1"/>
  <c r="U128" i="14"/>
  <c r="V128" i="14"/>
  <c r="U129" i="14"/>
  <c r="V129" i="14"/>
  <c r="U130" i="14"/>
  <c r="V130" i="14"/>
  <c r="U131" i="14"/>
  <c r="V131" i="14" s="1"/>
  <c r="U132" i="14"/>
  <c r="V132" i="14"/>
  <c r="U133" i="14"/>
  <c r="V133" i="14"/>
  <c r="U134" i="14"/>
  <c r="V134" i="14" s="1"/>
  <c r="U135" i="14"/>
  <c r="V135" i="14" s="1"/>
  <c r="U136" i="14"/>
  <c r="V136" i="14"/>
  <c r="U137" i="14"/>
  <c r="V137" i="14"/>
  <c r="U138" i="14"/>
  <c r="V138" i="14"/>
  <c r="U139" i="14"/>
  <c r="V139" i="14" s="1"/>
  <c r="U140" i="14"/>
  <c r="V140" i="14" s="1"/>
  <c r="U141" i="14"/>
  <c r="V141" i="14"/>
  <c r="U142" i="14"/>
  <c r="V142" i="14"/>
  <c r="U143" i="14"/>
  <c r="V143" i="14" s="1"/>
  <c r="U144" i="14"/>
  <c r="V144" i="14" s="1"/>
  <c r="U145" i="14"/>
  <c r="V145" i="14"/>
  <c r="U146" i="14"/>
  <c r="V146" i="14"/>
  <c r="U147" i="14"/>
  <c r="V147" i="14" s="1"/>
  <c r="U148" i="14"/>
  <c r="V148" i="14"/>
  <c r="U149" i="14"/>
  <c r="V149" i="14" s="1"/>
  <c r="U150" i="14"/>
  <c r="V150" i="14"/>
  <c r="U151" i="14"/>
  <c r="V151" i="14" s="1"/>
  <c r="U152" i="14"/>
  <c r="V152" i="14"/>
  <c r="U153" i="14"/>
  <c r="V153" i="14"/>
  <c r="U154" i="14"/>
  <c r="V154" i="14"/>
  <c r="U155" i="14"/>
  <c r="V155" i="14" s="1"/>
  <c r="U156" i="14"/>
  <c r="V156" i="14" s="1"/>
  <c r="U157" i="14"/>
  <c r="V157" i="14"/>
  <c r="U158" i="14"/>
  <c r="V158" i="14" s="1"/>
  <c r="U159" i="14"/>
  <c r="V159" i="14" s="1"/>
  <c r="U160" i="14"/>
  <c r="V160" i="14" s="1"/>
  <c r="U161" i="14"/>
  <c r="V161" i="14" s="1"/>
  <c r="U162" i="14"/>
  <c r="V162" i="14"/>
  <c r="U163" i="14"/>
  <c r="V163" i="14" s="1"/>
  <c r="U164" i="14"/>
  <c r="V164" i="14"/>
  <c r="U165" i="14"/>
  <c r="V165" i="14"/>
  <c r="U166" i="14"/>
  <c r="V166" i="14"/>
  <c r="U167" i="14"/>
  <c r="V167" i="14" s="1"/>
  <c r="U168" i="14"/>
  <c r="V168" i="14"/>
  <c r="U169" i="14"/>
  <c r="V169" i="14" s="1"/>
  <c r="U170" i="14"/>
  <c r="V170" i="14" s="1"/>
  <c r="U171" i="14"/>
  <c r="V171" i="14" s="1"/>
  <c r="U172" i="14"/>
  <c r="V172" i="14" s="1"/>
  <c r="U173" i="14"/>
  <c r="V173" i="14"/>
  <c r="U174" i="14"/>
  <c r="V174" i="14" s="1"/>
  <c r="U175" i="14"/>
  <c r="V175" i="14" s="1"/>
  <c r="U176" i="14"/>
  <c r="V176" i="14"/>
  <c r="U177" i="14"/>
  <c r="V177" i="14"/>
  <c r="U178" i="14"/>
  <c r="V178" i="14"/>
  <c r="U179" i="14"/>
  <c r="V179" i="14" s="1"/>
  <c r="U180" i="14"/>
  <c r="V180" i="14" s="1"/>
  <c r="U181" i="14"/>
  <c r="V181" i="14" s="1"/>
  <c r="U182" i="14"/>
  <c r="V182" i="14"/>
  <c r="U183" i="14"/>
  <c r="V183" i="14" s="1"/>
  <c r="U184" i="14"/>
  <c r="V184" i="14" s="1"/>
  <c r="U185" i="14"/>
  <c r="V185" i="14" s="1"/>
  <c r="U186" i="14"/>
  <c r="V186" i="14"/>
  <c r="U187" i="14"/>
  <c r="V187" i="14" s="1"/>
  <c r="U188" i="14"/>
  <c r="V188" i="14"/>
  <c r="U189" i="14"/>
  <c r="V189" i="14"/>
  <c r="U190" i="14"/>
  <c r="V190" i="14" s="1"/>
  <c r="U191" i="14"/>
  <c r="V191" i="14" s="1"/>
  <c r="U192" i="14"/>
  <c r="V192" i="14"/>
  <c r="U193" i="14"/>
  <c r="V193" i="14"/>
  <c r="U194" i="14"/>
  <c r="V194" i="14"/>
  <c r="U195" i="14"/>
  <c r="V195" i="14" s="1"/>
  <c r="U196" i="14"/>
  <c r="V196" i="14"/>
  <c r="U197" i="14"/>
  <c r="V197" i="14" s="1"/>
  <c r="U198" i="14"/>
  <c r="V198" i="14" s="1"/>
  <c r="U199" i="14"/>
  <c r="V199" i="14" s="1"/>
  <c r="U200" i="14"/>
  <c r="V200" i="14"/>
  <c r="U201" i="14"/>
  <c r="V201" i="14"/>
  <c r="U202" i="14"/>
  <c r="V202" i="14"/>
  <c r="U203" i="14"/>
  <c r="V203" i="14" s="1"/>
  <c r="U204" i="14"/>
  <c r="V204" i="14" s="1"/>
  <c r="U205" i="14"/>
  <c r="V205" i="14"/>
  <c r="U206" i="14"/>
  <c r="V206" i="14"/>
  <c r="U207" i="14"/>
  <c r="V207" i="14" s="1"/>
  <c r="U208" i="14"/>
  <c r="V208" i="14" s="1"/>
  <c r="U209" i="14"/>
  <c r="V209" i="14"/>
  <c r="U210" i="14"/>
  <c r="V210" i="14"/>
  <c r="U211" i="14"/>
  <c r="V211" i="14" s="1"/>
  <c r="U212" i="14"/>
  <c r="V212" i="14"/>
  <c r="U213" i="14"/>
  <c r="V213" i="14" s="1"/>
  <c r="U214" i="14"/>
  <c r="V214" i="14"/>
  <c r="U215" i="14"/>
  <c r="V215" i="14" s="1"/>
  <c r="U216" i="14"/>
  <c r="V216" i="14"/>
  <c r="U217" i="14"/>
  <c r="V217" i="14"/>
  <c r="U218" i="14"/>
  <c r="V218" i="14"/>
  <c r="U219" i="14"/>
  <c r="V219" i="14" s="1"/>
  <c r="U220" i="14"/>
  <c r="V220" i="14"/>
  <c r="U221" i="14"/>
  <c r="V221" i="14" s="1"/>
  <c r="U222" i="14"/>
  <c r="V222" i="14" s="1"/>
  <c r="U223" i="14"/>
  <c r="V223" i="14" s="1"/>
  <c r="U224" i="14"/>
  <c r="V224" i="14" s="1"/>
  <c r="U225" i="14"/>
  <c r="V225" i="14"/>
  <c r="U226" i="14"/>
  <c r="V226" i="14" s="1"/>
  <c r="U227" i="14"/>
  <c r="V227" i="14" s="1"/>
  <c r="U228" i="14"/>
  <c r="V228" i="14"/>
  <c r="U229" i="14"/>
  <c r="V229" i="14"/>
  <c r="U230" i="14"/>
  <c r="V230" i="14"/>
  <c r="U231" i="14"/>
  <c r="V231" i="14" s="1"/>
  <c r="U232" i="14"/>
  <c r="V232" i="14"/>
  <c r="U233" i="14"/>
  <c r="V233" i="14" s="1"/>
  <c r="U234" i="14"/>
  <c r="V234" i="14"/>
  <c r="U235" i="14"/>
  <c r="V235" i="14" s="1"/>
  <c r="U236" i="14"/>
  <c r="V236" i="14" s="1"/>
  <c r="U237" i="14"/>
  <c r="V237" i="14"/>
  <c r="U238" i="14"/>
  <c r="V238" i="14" s="1"/>
  <c r="U239" i="14"/>
  <c r="V239" i="14" s="1"/>
  <c r="U240" i="14"/>
  <c r="V240" i="14"/>
  <c r="U241" i="14"/>
  <c r="V241" i="14"/>
  <c r="U242" i="14"/>
  <c r="V242" i="14"/>
  <c r="U243" i="14"/>
  <c r="V243" i="14" s="1"/>
  <c r="U244" i="14"/>
  <c r="V244" i="14"/>
  <c r="U245" i="14"/>
  <c r="V245" i="14" s="1"/>
  <c r="U246" i="14"/>
  <c r="V246" i="14"/>
  <c r="U247" i="14"/>
  <c r="V247" i="14" s="1"/>
  <c r="U248" i="14"/>
  <c r="V248" i="14" s="1"/>
  <c r="U249" i="14"/>
  <c r="V249" i="14"/>
  <c r="U250" i="14"/>
  <c r="V250" i="14"/>
  <c r="U251" i="14"/>
  <c r="V251" i="14" s="1"/>
  <c r="U252" i="14"/>
  <c r="V252" i="14"/>
  <c r="U253" i="14"/>
  <c r="V253" i="14"/>
  <c r="U254" i="14"/>
  <c r="V254" i="14" s="1"/>
  <c r="U255" i="14"/>
  <c r="V255" i="14" s="1"/>
  <c r="U256" i="14"/>
  <c r="V256" i="14"/>
  <c r="U257" i="14"/>
  <c r="V257" i="14"/>
  <c r="U258" i="14"/>
  <c r="V258" i="14"/>
  <c r="U259" i="14"/>
  <c r="V259" i="14" s="1"/>
  <c r="U260" i="14"/>
  <c r="V260" i="14"/>
  <c r="U261" i="14"/>
  <c r="V261" i="14"/>
  <c r="U262" i="14"/>
  <c r="V262" i="14" s="1"/>
  <c r="U263" i="14"/>
  <c r="V263" i="14" s="1"/>
  <c r="U264" i="14"/>
  <c r="V264" i="14"/>
  <c r="U265" i="14"/>
  <c r="V265" i="14"/>
  <c r="U266" i="14"/>
  <c r="V266" i="14"/>
  <c r="U267" i="14"/>
  <c r="V267" i="14" s="1"/>
  <c r="U268" i="14"/>
  <c r="V268" i="14" s="1"/>
  <c r="U269" i="14"/>
  <c r="V269" i="14"/>
  <c r="U270" i="14"/>
  <c r="V270" i="14"/>
  <c r="U271" i="14"/>
  <c r="V271" i="14" s="1"/>
  <c r="U272" i="14"/>
  <c r="V272" i="14" s="1"/>
  <c r="U273" i="14"/>
  <c r="V273" i="14"/>
  <c r="U274" i="14"/>
  <c r="V274" i="14" s="1"/>
  <c r="U275" i="14"/>
  <c r="V275" i="14" s="1"/>
  <c r="U276" i="14"/>
  <c r="V276" i="14"/>
  <c r="U277" i="14"/>
  <c r="V277" i="14" s="1"/>
  <c r="U278" i="14"/>
  <c r="V278" i="14"/>
  <c r="U279" i="14"/>
  <c r="V279" i="14" s="1"/>
  <c r="U280" i="14"/>
  <c r="V280" i="14"/>
  <c r="U281" i="14"/>
  <c r="V281" i="14"/>
  <c r="U282" i="14"/>
  <c r="V282" i="14"/>
  <c r="U283" i="14"/>
  <c r="V283" i="14" s="1"/>
  <c r="U284" i="14"/>
  <c r="V284" i="14" s="1"/>
  <c r="U285" i="14"/>
  <c r="V285" i="14"/>
  <c r="U286" i="14"/>
  <c r="V286" i="14" s="1"/>
  <c r="U287" i="14"/>
  <c r="V287" i="14" s="1"/>
  <c r="U288" i="14"/>
  <c r="V288" i="14"/>
  <c r="U289" i="14"/>
  <c r="V289" i="14" s="1"/>
  <c r="U290" i="14"/>
  <c r="V290" i="14"/>
  <c r="U291" i="14"/>
  <c r="V291" i="14" s="1"/>
  <c r="U292" i="14"/>
  <c r="V292" i="14"/>
  <c r="U293" i="14"/>
  <c r="V293" i="14"/>
  <c r="U294" i="14"/>
  <c r="V294" i="14"/>
  <c r="U295" i="14"/>
  <c r="V295" i="14" s="1"/>
  <c r="U296" i="14"/>
  <c r="V296" i="14"/>
  <c r="U297" i="14"/>
  <c r="V297" i="14"/>
  <c r="U298" i="14"/>
  <c r="V298" i="14" s="1"/>
  <c r="U299" i="14"/>
  <c r="V299" i="14" s="1"/>
  <c r="U300" i="14"/>
  <c r="V300" i="14" s="1"/>
  <c r="U301" i="14"/>
  <c r="V301" i="14" s="1"/>
  <c r="U302" i="14"/>
  <c r="V302" i="14"/>
  <c r="U303" i="14"/>
  <c r="V303" i="14" s="1"/>
  <c r="U304" i="14"/>
  <c r="V304" i="14"/>
  <c r="U305" i="14"/>
  <c r="V305" i="14"/>
  <c r="U306" i="14"/>
  <c r="V306" i="14"/>
  <c r="U307" i="14"/>
  <c r="V307" i="14" s="1"/>
  <c r="U308" i="14"/>
  <c r="V308" i="14" s="1"/>
  <c r="U309" i="14"/>
  <c r="V309" i="14" s="1"/>
  <c r="U310" i="14"/>
  <c r="V310" i="14" s="1"/>
  <c r="U311" i="14"/>
  <c r="V311" i="14" s="1"/>
  <c r="U312" i="14"/>
  <c r="V312" i="14"/>
  <c r="U313" i="14"/>
  <c r="V313" i="14" s="1"/>
  <c r="U314" i="14"/>
  <c r="V314" i="14"/>
  <c r="U315" i="14"/>
  <c r="V315" i="14" s="1"/>
  <c r="U316" i="14"/>
  <c r="V316" i="14"/>
  <c r="U317" i="14"/>
  <c r="V317" i="14"/>
  <c r="U318" i="14"/>
  <c r="V318" i="14" s="1"/>
  <c r="U319" i="14"/>
  <c r="V319" i="14" s="1"/>
  <c r="U320" i="14"/>
  <c r="V320" i="14"/>
  <c r="U321" i="14"/>
  <c r="V321" i="14"/>
  <c r="U322" i="14"/>
  <c r="V322" i="14"/>
  <c r="U323" i="14"/>
  <c r="V323" i="14" s="1"/>
  <c r="U324" i="14"/>
  <c r="V324" i="14" s="1"/>
  <c r="U325" i="14"/>
  <c r="V325" i="14" s="1"/>
  <c r="U326" i="14"/>
  <c r="V326" i="14"/>
  <c r="U327" i="14"/>
  <c r="V327" i="14" s="1"/>
  <c r="U328" i="14"/>
  <c r="V328" i="14"/>
  <c r="U329" i="14"/>
  <c r="V329" i="14" s="1"/>
  <c r="U330" i="14"/>
  <c r="V330" i="14"/>
  <c r="U331" i="14"/>
  <c r="V331" i="14" s="1"/>
  <c r="U332" i="14"/>
  <c r="V332" i="14" s="1"/>
  <c r="U333" i="14"/>
  <c r="V333" i="14"/>
  <c r="U334" i="14"/>
  <c r="V334" i="14" s="1"/>
  <c r="U335" i="14"/>
  <c r="V335" i="14" s="1"/>
  <c r="U336" i="14"/>
  <c r="V336" i="14"/>
  <c r="U337" i="14"/>
  <c r="V337" i="14"/>
  <c r="U338" i="14"/>
  <c r="V338" i="14"/>
  <c r="U339" i="14"/>
  <c r="V339" i="14" s="1"/>
  <c r="U340" i="14"/>
  <c r="V340" i="14"/>
  <c r="U341" i="14"/>
  <c r="V341" i="14" s="1"/>
  <c r="U342" i="14"/>
  <c r="V342" i="14" s="1"/>
  <c r="U343" i="14"/>
  <c r="V343" i="14"/>
  <c r="U344" i="14"/>
  <c r="V344" i="14" s="1"/>
  <c r="U345" i="14"/>
  <c r="V345" i="14" s="1"/>
  <c r="U346" i="14"/>
  <c r="V346" i="14"/>
  <c r="U347" i="14"/>
  <c r="V347" i="14"/>
  <c r="U348" i="14"/>
  <c r="V348" i="14"/>
  <c r="U349" i="14"/>
  <c r="V349" i="14" s="1"/>
  <c r="U350" i="14"/>
  <c r="V350" i="14"/>
  <c r="U351" i="14"/>
  <c r="V351" i="14" s="1"/>
  <c r="U352" i="14"/>
  <c r="V352" i="14"/>
  <c r="U353" i="14"/>
  <c r="V353" i="14" s="1"/>
  <c r="U354" i="14"/>
  <c r="V354" i="14"/>
  <c r="U355" i="14"/>
  <c r="V355" i="14"/>
  <c r="U356" i="14"/>
  <c r="V356" i="14"/>
  <c r="U357" i="14"/>
  <c r="V357" i="14" s="1"/>
  <c r="U358" i="14"/>
  <c r="V358" i="14" s="1"/>
  <c r="U359" i="14"/>
  <c r="V359" i="14"/>
  <c r="U360" i="14"/>
  <c r="V360" i="14" s="1"/>
  <c r="U361" i="14"/>
  <c r="V361" i="14" s="1"/>
  <c r="U362" i="14"/>
  <c r="V362" i="14" s="1"/>
  <c r="U363" i="14"/>
  <c r="V363" i="14"/>
  <c r="U364" i="14"/>
  <c r="V364" i="14"/>
  <c r="U365" i="14"/>
  <c r="V365" i="14" s="1"/>
  <c r="U366" i="14"/>
  <c r="V366" i="14" s="1"/>
  <c r="U367" i="14"/>
  <c r="V367" i="14" s="1"/>
  <c r="U368" i="14"/>
  <c r="V368" i="14"/>
  <c r="U369" i="14"/>
  <c r="V369" i="14" s="1"/>
  <c r="U370" i="14"/>
  <c r="V370" i="14"/>
  <c r="U371" i="14"/>
  <c r="V371" i="14" s="1"/>
  <c r="U372" i="14"/>
  <c r="V372" i="14"/>
  <c r="U373" i="14"/>
  <c r="V373" i="14" s="1"/>
  <c r="U374" i="14"/>
  <c r="V374" i="14" s="1"/>
  <c r="U375" i="14"/>
  <c r="V375" i="14" s="1"/>
  <c r="U376" i="14"/>
  <c r="V376" i="14" s="1"/>
  <c r="U377" i="14"/>
  <c r="V377" i="14" s="1"/>
  <c r="U378" i="14"/>
  <c r="V378" i="14"/>
  <c r="U379" i="14"/>
  <c r="V379" i="14"/>
  <c r="U380" i="14"/>
  <c r="V380" i="14" s="1"/>
  <c r="U381" i="14"/>
  <c r="V381" i="14" s="1"/>
  <c r="U382" i="14"/>
  <c r="V382" i="14"/>
  <c r="U383" i="14"/>
  <c r="V383" i="14" s="1"/>
  <c r="U384" i="14"/>
  <c r="V384" i="14"/>
  <c r="U385" i="14"/>
  <c r="V385" i="14" s="1"/>
  <c r="U386" i="14"/>
  <c r="V386" i="14"/>
  <c r="U387" i="14"/>
  <c r="V387" i="14"/>
  <c r="U388" i="14"/>
  <c r="V388" i="14"/>
  <c r="U389" i="14"/>
  <c r="V389" i="14" s="1"/>
  <c r="U390" i="14"/>
  <c r="V390" i="14" s="1"/>
  <c r="U391" i="14"/>
  <c r="V391" i="14"/>
  <c r="U392" i="14"/>
  <c r="V392" i="14" s="1"/>
  <c r="U393" i="14"/>
  <c r="V393" i="14" s="1"/>
  <c r="U394" i="14"/>
  <c r="V394" i="14" s="1"/>
  <c r="U395" i="14"/>
  <c r="V395" i="14"/>
  <c r="U396" i="14"/>
  <c r="V396" i="14"/>
  <c r="U397" i="14"/>
  <c r="V397" i="14" s="1"/>
  <c r="U398" i="14"/>
  <c r="V398" i="14"/>
  <c r="U399" i="14"/>
  <c r="V399" i="14" s="1"/>
  <c r="U400" i="14"/>
  <c r="V400" i="14"/>
  <c r="U401" i="14"/>
  <c r="V401" i="14" s="1"/>
  <c r="U402" i="14"/>
  <c r="V402" i="14"/>
  <c r="U403" i="14"/>
  <c r="V403" i="14"/>
  <c r="U404" i="14"/>
  <c r="V404" i="14"/>
  <c r="U405" i="14"/>
  <c r="V405" i="14" s="1"/>
  <c r="U406" i="14"/>
  <c r="V406" i="14" s="1"/>
  <c r="U407" i="14"/>
  <c r="V407" i="14" s="1"/>
  <c r="U408" i="14"/>
  <c r="V408" i="14" s="1"/>
  <c r="U409" i="14"/>
  <c r="V409" i="14" s="1"/>
  <c r="U410" i="14"/>
  <c r="V410" i="14"/>
  <c r="U411" i="14"/>
  <c r="V411" i="14"/>
  <c r="U412" i="14"/>
  <c r="V412" i="14" s="1"/>
  <c r="U413" i="14"/>
  <c r="V413" i="14" s="1"/>
  <c r="U414" i="14"/>
  <c r="V414" i="14"/>
  <c r="U415" i="14"/>
  <c r="V415" i="14" s="1"/>
  <c r="U416" i="14"/>
  <c r="V416" i="14" s="1"/>
  <c r="U417" i="14"/>
  <c r="V417" i="14" s="1"/>
  <c r="U418" i="14"/>
  <c r="V418" i="14"/>
  <c r="U419" i="14"/>
  <c r="V419" i="14"/>
  <c r="U420" i="14"/>
  <c r="V420" i="14"/>
  <c r="U421" i="14"/>
  <c r="V421" i="14" s="1"/>
  <c r="U422" i="14"/>
  <c r="V422" i="14" s="1"/>
  <c r="U423" i="14"/>
  <c r="V423" i="14"/>
  <c r="U424" i="14"/>
  <c r="V424" i="14" s="1"/>
  <c r="U425" i="14"/>
  <c r="V425" i="14" s="1"/>
  <c r="U426" i="14"/>
  <c r="V426" i="14"/>
  <c r="U427" i="14"/>
  <c r="V427" i="14"/>
  <c r="U428" i="14"/>
  <c r="V428" i="14"/>
  <c r="U429" i="14"/>
  <c r="V429" i="14" s="1"/>
  <c r="U430" i="14"/>
  <c r="V430" i="14"/>
  <c r="U431" i="14"/>
  <c r="V431" i="14" s="1"/>
  <c r="U432" i="14"/>
  <c r="V432" i="14"/>
  <c r="U433" i="14"/>
  <c r="V433" i="14" s="1"/>
  <c r="U434" i="14"/>
  <c r="V434" i="14"/>
  <c r="U435" i="14"/>
  <c r="V435" i="14"/>
  <c r="U436" i="14"/>
  <c r="V436" i="14"/>
  <c r="U437" i="14"/>
  <c r="V437" i="14" s="1"/>
  <c r="U438" i="14"/>
  <c r="V438" i="14" s="1"/>
  <c r="U439" i="14"/>
  <c r="V439" i="14"/>
  <c r="U440" i="14"/>
  <c r="V440" i="14" s="1"/>
  <c r="U441" i="14"/>
  <c r="V441" i="14" s="1"/>
  <c r="U442" i="14"/>
  <c r="V442" i="14"/>
  <c r="U443" i="14"/>
  <c r="V443" i="14"/>
  <c r="U444" i="14"/>
  <c r="V444" i="14"/>
  <c r="U445" i="14"/>
  <c r="V445" i="14" s="1"/>
  <c r="U446" i="14"/>
  <c r="V446" i="14"/>
  <c r="U447" i="14"/>
  <c r="V447" i="14" s="1"/>
  <c r="U448" i="14"/>
  <c r="V448" i="14" s="1"/>
  <c r="U449" i="14"/>
  <c r="V449" i="14" s="1"/>
  <c r="U450" i="14"/>
  <c r="V450" i="14"/>
  <c r="U451" i="14"/>
  <c r="V451" i="14"/>
  <c r="U452" i="14"/>
  <c r="V452" i="14"/>
  <c r="U453" i="14"/>
  <c r="V453" i="14" s="1"/>
  <c r="U454" i="14"/>
  <c r="V454" i="14" s="1"/>
  <c r="U455" i="14"/>
  <c r="V455" i="14"/>
  <c r="U456" i="14"/>
  <c r="V456" i="14" s="1"/>
  <c r="U457" i="14"/>
  <c r="V457" i="14" s="1"/>
  <c r="U458" i="14"/>
  <c r="V458" i="14"/>
  <c r="U459" i="14"/>
  <c r="V459" i="14"/>
  <c r="U460" i="14"/>
  <c r="V460" i="14"/>
  <c r="U461" i="14"/>
  <c r="V461" i="14" s="1"/>
  <c r="U462" i="14"/>
  <c r="V462" i="14" s="1"/>
  <c r="U463" i="14"/>
  <c r="V463" i="14" s="1"/>
  <c r="U464" i="14"/>
  <c r="V464" i="14"/>
  <c r="U465" i="14"/>
  <c r="V465" i="14" s="1"/>
  <c r="U466" i="14"/>
  <c r="V466" i="14"/>
  <c r="U467" i="14"/>
  <c r="V467" i="14" s="1"/>
  <c r="U468" i="14"/>
  <c r="V468" i="14"/>
  <c r="U469" i="14"/>
  <c r="V469" i="14" s="1"/>
  <c r="U470" i="14"/>
  <c r="V470" i="14" s="1"/>
  <c r="U471" i="14"/>
  <c r="V471" i="14"/>
  <c r="U472" i="14"/>
  <c r="V472" i="14" s="1"/>
  <c r="U473" i="14"/>
  <c r="V473" i="14" s="1"/>
  <c r="U474" i="14"/>
  <c r="V474" i="14"/>
  <c r="U475" i="14"/>
  <c r="V475" i="14"/>
  <c r="U476" i="14"/>
  <c r="V476" i="14"/>
  <c r="U477" i="14"/>
  <c r="V477" i="14" s="1"/>
  <c r="U478" i="14"/>
  <c r="V478" i="14"/>
  <c r="U479" i="14"/>
  <c r="V479" i="14" s="1"/>
  <c r="U480" i="14"/>
  <c r="V480" i="14"/>
  <c r="U481" i="14"/>
  <c r="V481" i="14" s="1"/>
  <c r="U482" i="14"/>
  <c r="V482" i="14"/>
  <c r="U483" i="14"/>
  <c r="V483" i="14"/>
  <c r="U484" i="14"/>
  <c r="V484" i="14"/>
  <c r="U485" i="14"/>
  <c r="V485" i="14" s="1"/>
  <c r="U486" i="14"/>
  <c r="V486" i="14" s="1"/>
  <c r="U487" i="14"/>
  <c r="V487" i="14"/>
  <c r="U488" i="14"/>
  <c r="V488" i="14" s="1"/>
  <c r="U489" i="14"/>
  <c r="V489" i="14" s="1"/>
  <c r="U490" i="14"/>
  <c r="V490" i="14" s="1"/>
  <c r="U491" i="14"/>
  <c r="V491" i="14"/>
  <c r="U492" i="14"/>
  <c r="V492" i="14"/>
  <c r="U493" i="14"/>
  <c r="V493" i="14" s="1"/>
  <c r="U494" i="14"/>
  <c r="V494" i="14" s="1"/>
  <c r="U495" i="14"/>
  <c r="V495" i="14" s="1"/>
  <c r="U496" i="14"/>
  <c r="V496" i="14"/>
  <c r="U497" i="14"/>
  <c r="V497" i="14" s="1"/>
  <c r="U498" i="14"/>
  <c r="V498" i="14"/>
  <c r="U499" i="14"/>
  <c r="V499" i="14" s="1"/>
  <c r="U500" i="14"/>
  <c r="V500" i="14"/>
  <c r="U501" i="14"/>
  <c r="V501" i="14" s="1"/>
  <c r="U502" i="14"/>
  <c r="V502" i="14" s="1"/>
  <c r="U503" i="14"/>
  <c r="V503" i="14" s="1"/>
  <c r="U504" i="14"/>
  <c r="V504" i="14" s="1"/>
  <c r="U505" i="14"/>
  <c r="V505" i="14" s="1"/>
  <c r="U506" i="14"/>
  <c r="V506" i="14"/>
  <c r="U507" i="14"/>
  <c r="V507" i="14"/>
  <c r="U508" i="14"/>
  <c r="V508" i="14" s="1"/>
  <c r="U509" i="14"/>
  <c r="V509" i="14" s="1"/>
  <c r="U510" i="14"/>
  <c r="V510" i="14"/>
  <c r="U511" i="14"/>
  <c r="V511" i="14" s="1"/>
  <c r="U512" i="14"/>
  <c r="V512" i="14"/>
  <c r="U513" i="14"/>
  <c r="V513" i="14" s="1"/>
  <c r="U514" i="14"/>
  <c r="V514" i="14"/>
  <c r="U515" i="14"/>
  <c r="V515" i="14"/>
  <c r="U516" i="14"/>
  <c r="V516" i="14"/>
  <c r="U517" i="14"/>
  <c r="V517" i="14" s="1"/>
  <c r="U518" i="14"/>
  <c r="V518" i="14" s="1"/>
  <c r="U519" i="14"/>
  <c r="V519" i="14"/>
  <c r="U520" i="14"/>
  <c r="V520" i="14" s="1"/>
  <c r="U521" i="14"/>
  <c r="V521" i="14" s="1"/>
  <c r="U522" i="14"/>
  <c r="V522" i="14" s="1"/>
  <c r="U523" i="14"/>
  <c r="V523" i="14"/>
  <c r="U524" i="14"/>
  <c r="V524" i="14"/>
  <c r="U525" i="14"/>
  <c r="V525" i="14" s="1"/>
  <c r="U526" i="14"/>
  <c r="V526" i="14"/>
  <c r="U527" i="14"/>
  <c r="V527" i="14" s="1"/>
  <c r="U528" i="14"/>
  <c r="V528" i="14"/>
  <c r="U529" i="14"/>
  <c r="V529" i="14" s="1"/>
  <c r="U530" i="14"/>
  <c r="V530" i="14"/>
  <c r="U531" i="14"/>
  <c r="V531" i="14"/>
  <c r="U532" i="14"/>
  <c r="V532" i="14"/>
  <c r="U533" i="14"/>
  <c r="V533" i="14" s="1"/>
  <c r="U534" i="14"/>
  <c r="V534" i="14" s="1"/>
  <c r="U535" i="14"/>
  <c r="V535" i="14" s="1"/>
  <c r="U536" i="14"/>
  <c r="V536" i="14" s="1"/>
  <c r="U537" i="14"/>
  <c r="V537" i="14" s="1"/>
  <c r="U538" i="14"/>
  <c r="V538" i="14"/>
  <c r="U539" i="14"/>
  <c r="V539" i="14"/>
  <c r="U540" i="14"/>
  <c r="V540" i="14" s="1"/>
  <c r="U541" i="14"/>
  <c r="V541" i="14" s="1"/>
  <c r="U542" i="14"/>
  <c r="V542" i="14"/>
  <c r="U543" i="14"/>
  <c r="V543" i="14" s="1"/>
  <c r="U544" i="14"/>
  <c r="V544" i="14" s="1"/>
  <c r="U545" i="14"/>
  <c r="V545" i="14" s="1"/>
  <c r="U546" i="14"/>
  <c r="V546" i="14"/>
  <c r="U547" i="14"/>
  <c r="V547" i="14"/>
  <c r="U548" i="14"/>
  <c r="V548" i="14"/>
  <c r="U549" i="14"/>
  <c r="V549" i="14" s="1"/>
  <c r="U550" i="14"/>
  <c r="V550" i="14" s="1"/>
  <c r="U551" i="14"/>
  <c r="V551" i="14"/>
  <c r="U552" i="14"/>
  <c r="V552" i="14" s="1"/>
  <c r="U553" i="14"/>
  <c r="V553" i="14" s="1"/>
  <c r="U554" i="14"/>
  <c r="V554" i="14"/>
  <c r="U555" i="14"/>
  <c r="V555" i="14"/>
  <c r="U556" i="14"/>
  <c r="V556" i="14"/>
  <c r="U557" i="14"/>
  <c r="V557" i="14" s="1"/>
  <c r="U558" i="14"/>
  <c r="V558" i="14"/>
  <c r="U559" i="14"/>
  <c r="V559" i="14" s="1"/>
  <c r="U560" i="14"/>
  <c r="V560" i="14"/>
  <c r="U561" i="14"/>
  <c r="V561" i="14" s="1"/>
  <c r="U562" i="14"/>
  <c r="V562" i="14"/>
  <c r="U563" i="14"/>
  <c r="V563" i="14"/>
  <c r="U564" i="14"/>
  <c r="V564" i="14"/>
  <c r="U565" i="14"/>
  <c r="V565" i="14" s="1"/>
  <c r="U566" i="14"/>
  <c r="V566" i="14" s="1"/>
  <c r="U567" i="14"/>
  <c r="V567" i="14"/>
  <c r="U568" i="14"/>
  <c r="V568" i="14" s="1"/>
  <c r="U569" i="14"/>
  <c r="V569" i="14" s="1"/>
  <c r="U570" i="14"/>
  <c r="V570" i="14"/>
  <c r="U571" i="14"/>
  <c r="V571" i="14"/>
  <c r="U572" i="14"/>
  <c r="V572" i="14"/>
  <c r="U573" i="14"/>
  <c r="V573" i="14" s="1"/>
  <c r="U574" i="14"/>
  <c r="V574" i="14"/>
  <c r="U575" i="14"/>
  <c r="V575" i="14" s="1"/>
  <c r="U576" i="14"/>
  <c r="V576" i="14" s="1"/>
  <c r="U577" i="14"/>
  <c r="V577" i="14" s="1"/>
  <c r="U578" i="14"/>
  <c r="V578" i="14"/>
  <c r="U579" i="14"/>
  <c r="V579" i="14"/>
  <c r="U580" i="14"/>
  <c r="V580" i="14"/>
  <c r="U581" i="14"/>
  <c r="V581" i="14" s="1"/>
  <c r="U582" i="14"/>
  <c r="V582" i="14" s="1"/>
  <c r="U583" i="14"/>
  <c r="V583" i="14"/>
  <c r="U584" i="14"/>
  <c r="V584" i="14" s="1"/>
  <c r="U585" i="14"/>
  <c r="V585" i="14" s="1"/>
  <c r="U586" i="14"/>
  <c r="V586" i="14" s="1"/>
  <c r="U587" i="14"/>
  <c r="V587" i="14"/>
  <c r="U588" i="14"/>
  <c r="V588" i="14" s="1"/>
  <c r="U589" i="14"/>
  <c r="V589" i="14"/>
  <c r="U590" i="14"/>
  <c r="V590" i="14" s="1"/>
  <c r="U591" i="14"/>
  <c r="V591" i="14"/>
  <c r="U592" i="14"/>
  <c r="V592" i="14" s="1"/>
  <c r="U593" i="14"/>
  <c r="V593" i="14"/>
  <c r="U594" i="14"/>
  <c r="V594" i="14" s="1"/>
  <c r="U595" i="14"/>
  <c r="V595" i="14"/>
  <c r="U596" i="14"/>
  <c r="V596" i="14" s="1"/>
  <c r="U597" i="14"/>
  <c r="V597" i="14" s="1"/>
  <c r="U598" i="14"/>
  <c r="V598" i="14" s="1"/>
  <c r="U599" i="14"/>
  <c r="V599" i="14"/>
  <c r="U600" i="14"/>
  <c r="V600" i="14" s="1"/>
  <c r="U601" i="14"/>
  <c r="V601" i="14" s="1"/>
  <c r="U602" i="14"/>
  <c r="V602" i="14" s="1"/>
  <c r="U603" i="14"/>
  <c r="V603" i="14"/>
  <c r="U604" i="14"/>
  <c r="V604" i="14" s="1"/>
  <c r="U605" i="14"/>
  <c r="V605" i="14"/>
  <c r="U606" i="14"/>
  <c r="V606" i="14" s="1"/>
  <c r="U607" i="14"/>
  <c r="V607" i="14"/>
  <c r="U608" i="14"/>
  <c r="V608" i="14" s="1"/>
  <c r="U609" i="14"/>
  <c r="V609" i="14"/>
  <c r="U610" i="14"/>
  <c r="V610" i="14" s="1"/>
  <c r="U611" i="14"/>
  <c r="V611" i="14"/>
  <c r="U612" i="14"/>
  <c r="V612" i="14" s="1"/>
  <c r="U613" i="14"/>
  <c r="V613" i="14" s="1"/>
  <c r="U614" i="14"/>
  <c r="V614" i="14" s="1"/>
  <c r="U615" i="14"/>
  <c r="V615" i="14"/>
  <c r="U616" i="14"/>
  <c r="V616" i="14" s="1"/>
  <c r="U617" i="14"/>
  <c r="V617" i="14" s="1"/>
  <c r="U618" i="14"/>
  <c r="V618" i="14" s="1"/>
  <c r="U619" i="14"/>
  <c r="V619" i="14"/>
  <c r="U620" i="14"/>
  <c r="V620" i="14" s="1"/>
  <c r="U621" i="14"/>
  <c r="V621" i="14"/>
  <c r="U622" i="14"/>
  <c r="V622" i="14" s="1"/>
  <c r="U623" i="14"/>
  <c r="V623" i="14"/>
  <c r="U624" i="14"/>
  <c r="V624" i="14" s="1"/>
  <c r="U625" i="14"/>
  <c r="V625" i="14"/>
  <c r="U626" i="14"/>
  <c r="V626" i="14" s="1"/>
  <c r="U627" i="14"/>
  <c r="V627" i="14"/>
  <c r="U628" i="14"/>
  <c r="V628" i="14" s="1"/>
  <c r="U629" i="14"/>
  <c r="V629" i="14" s="1"/>
  <c r="U630" i="14"/>
  <c r="V630" i="14" s="1"/>
  <c r="U631" i="14"/>
  <c r="V631" i="14"/>
  <c r="U632" i="14"/>
  <c r="V632" i="14" s="1"/>
  <c r="U633" i="14"/>
  <c r="V633" i="14" s="1"/>
  <c r="U634" i="14"/>
  <c r="V634" i="14" s="1"/>
  <c r="U635" i="14"/>
  <c r="V635" i="14"/>
  <c r="U636" i="14"/>
  <c r="V636" i="14" s="1"/>
  <c r="U637" i="14"/>
  <c r="V637" i="14"/>
  <c r="U638" i="14"/>
  <c r="V638" i="14" s="1"/>
  <c r="U639" i="14"/>
  <c r="V639" i="14"/>
  <c r="U640" i="14"/>
  <c r="V640" i="14" s="1"/>
  <c r="U641" i="14"/>
  <c r="V641" i="14"/>
  <c r="U642" i="14"/>
  <c r="V642" i="14" s="1"/>
  <c r="U643" i="14"/>
  <c r="V643" i="14"/>
  <c r="U644" i="14"/>
  <c r="V644" i="14" s="1"/>
  <c r="U645" i="14"/>
  <c r="V645" i="14" s="1"/>
  <c r="U646" i="14"/>
  <c r="V646" i="14" s="1"/>
  <c r="U647" i="14"/>
  <c r="V647" i="14"/>
  <c r="U648" i="14"/>
  <c r="V648" i="14" s="1"/>
  <c r="U649" i="14"/>
  <c r="V649" i="14" s="1"/>
  <c r="U650" i="14"/>
  <c r="V650" i="14" s="1"/>
  <c r="U651" i="14"/>
  <c r="V651" i="14"/>
  <c r="U652" i="14"/>
  <c r="V652" i="14" s="1"/>
  <c r="U653" i="14"/>
  <c r="V653" i="14"/>
  <c r="U654" i="14"/>
  <c r="V654" i="14" s="1"/>
  <c r="U655" i="14"/>
  <c r="V655" i="14"/>
  <c r="U656" i="14"/>
  <c r="V656" i="14" s="1"/>
  <c r="U657" i="14"/>
  <c r="V657" i="14"/>
  <c r="U658" i="14"/>
  <c r="V658" i="14" s="1"/>
  <c r="U659" i="14"/>
  <c r="V659" i="14"/>
  <c r="U660" i="14"/>
  <c r="V660" i="14" s="1"/>
  <c r="U661" i="14"/>
  <c r="V661" i="14" s="1"/>
  <c r="U662" i="14"/>
  <c r="V662" i="14" s="1"/>
  <c r="U663" i="14"/>
  <c r="V663" i="14"/>
  <c r="U664" i="14"/>
  <c r="V664" i="14" s="1"/>
  <c r="U665" i="14"/>
  <c r="V665" i="14" s="1"/>
  <c r="U666" i="14"/>
  <c r="V666" i="14" s="1"/>
  <c r="U667" i="14"/>
  <c r="V667" i="14"/>
  <c r="U668" i="14"/>
  <c r="V668" i="14" s="1"/>
  <c r="U669" i="14"/>
  <c r="V669" i="14"/>
  <c r="U670" i="14"/>
  <c r="V670" i="14" s="1"/>
  <c r="U671" i="14"/>
  <c r="V671" i="14"/>
  <c r="U672" i="14"/>
  <c r="V672" i="14" s="1"/>
  <c r="U673" i="14"/>
  <c r="V673" i="14"/>
  <c r="U674" i="14"/>
  <c r="V674" i="14" s="1"/>
  <c r="U675" i="14"/>
  <c r="V675" i="14"/>
  <c r="U676" i="14"/>
  <c r="V676" i="14" s="1"/>
  <c r="U677" i="14"/>
  <c r="V677" i="14" s="1"/>
  <c r="U678" i="14"/>
  <c r="V678" i="14" s="1"/>
  <c r="U679" i="14"/>
  <c r="V679" i="14" s="1"/>
  <c r="U680" i="14"/>
  <c r="V680" i="14" s="1"/>
  <c r="U681" i="14"/>
  <c r="V681" i="14" s="1"/>
  <c r="U682" i="14"/>
  <c r="V682" i="14" s="1"/>
  <c r="U683" i="14"/>
  <c r="V683" i="14" s="1"/>
  <c r="U684" i="14"/>
  <c r="V684" i="14" s="1"/>
  <c r="U685" i="14"/>
  <c r="V685" i="14"/>
  <c r="U686" i="14"/>
  <c r="V686" i="14" s="1"/>
  <c r="U687" i="14"/>
  <c r="V687" i="14"/>
  <c r="U688" i="14"/>
  <c r="V688" i="14" s="1"/>
  <c r="U689" i="14"/>
  <c r="V689" i="14"/>
  <c r="U690" i="14"/>
  <c r="V690" i="14" s="1"/>
  <c r="U691" i="14"/>
  <c r="V691" i="14"/>
  <c r="U692" i="14"/>
  <c r="V692" i="14" s="1"/>
  <c r="U693" i="14"/>
  <c r="V693" i="14" s="1"/>
  <c r="U694" i="14"/>
  <c r="V694" i="14" s="1"/>
  <c r="U695" i="14"/>
  <c r="V695" i="14" s="1"/>
  <c r="U696" i="14"/>
  <c r="V696" i="14" s="1"/>
  <c r="U697" i="14"/>
  <c r="V697" i="14" s="1"/>
  <c r="U698" i="14"/>
  <c r="V698" i="14" s="1"/>
  <c r="U699" i="14"/>
  <c r="V699" i="14" s="1"/>
  <c r="U700" i="14"/>
  <c r="V700" i="14" s="1"/>
  <c r="U701" i="14"/>
  <c r="V701" i="14"/>
  <c r="U702" i="14"/>
  <c r="V702" i="14" s="1"/>
  <c r="U703" i="14"/>
  <c r="V703" i="14"/>
  <c r="U704" i="14"/>
  <c r="V704" i="14" s="1"/>
  <c r="U705" i="14"/>
  <c r="V705" i="14"/>
  <c r="U706" i="14"/>
  <c r="V706" i="14" s="1"/>
  <c r="U707" i="14"/>
  <c r="V707" i="14"/>
  <c r="U708" i="14"/>
  <c r="V708" i="14" s="1"/>
  <c r="U709" i="14"/>
  <c r="V709" i="14" s="1"/>
  <c r="U710" i="14"/>
  <c r="V710" i="14" s="1"/>
  <c r="U711" i="14"/>
  <c r="V711" i="14" s="1"/>
  <c r="U712" i="14"/>
  <c r="V712" i="14" s="1"/>
  <c r="U713" i="14"/>
  <c r="V713" i="14" s="1"/>
  <c r="U714" i="14"/>
  <c r="V714" i="14" s="1"/>
  <c r="U715" i="14"/>
  <c r="V715" i="14" s="1"/>
  <c r="U716" i="14"/>
  <c r="V716" i="14" s="1"/>
  <c r="U717" i="14"/>
  <c r="V717" i="14"/>
  <c r="U718" i="14"/>
  <c r="V718" i="14" s="1"/>
  <c r="U719" i="14"/>
  <c r="V719" i="14"/>
  <c r="U720" i="14"/>
  <c r="V720" i="14" s="1"/>
  <c r="U721" i="14"/>
  <c r="V721" i="14"/>
  <c r="U722" i="14"/>
  <c r="V722" i="14" s="1"/>
  <c r="U723" i="14"/>
  <c r="V723" i="14"/>
  <c r="U724" i="14"/>
  <c r="V724" i="14" s="1"/>
  <c r="U725" i="14"/>
  <c r="V725" i="14" s="1"/>
  <c r="U726" i="14"/>
  <c r="V726" i="14" s="1"/>
  <c r="U727" i="14"/>
  <c r="V727" i="14" s="1"/>
  <c r="U728" i="14"/>
  <c r="V728" i="14" s="1"/>
  <c r="U729" i="14"/>
  <c r="V729" i="14" s="1"/>
  <c r="U730" i="14"/>
  <c r="V730" i="14" s="1"/>
  <c r="U731" i="14"/>
  <c r="V731" i="14" s="1"/>
  <c r="U732" i="14"/>
  <c r="V732" i="14" s="1"/>
  <c r="U733" i="14"/>
  <c r="V733" i="14"/>
  <c r="U734" i="14"/>
  <c r="V734" i="14" s="1"/>
  <c r="U735" i="14"/>
  <c r="V735" i="14"/>
  <c r="U736" i="14"/>
  <c r="V736" i="14" s="1"/>
  <c r="U737" i="14"/>
  <c r="V737" i="14"/>
  <c r="U738" i="14"/>
  <c r="V738" i="14" s="1"/>
  <c r="U739" i="14"/>
  <c r="V739" i="14"/>
  <c r="U740" i="14"/>
  <c r="V740" i="14" s="1"/>
  <c r="U741" i="14"/>
  <c r="V741" i="14" s="1"/>
  <c r="U742" i="14"/>
  <c r="V742" i="14" s="1"/>
  <c r="U743" i="14"/>
  <c r="V743" i="14" s="1"/>
  <c r="U744" i="14"/>
  <c r="V744" i="14" s="1"/>
  <c r="U745" i="14"/>
  <c r="V745" i="14" s="1"/>
  <c r="U746" i="14"/>
  <c r="V746" i="14" s="1"/>
  <c r="U747" i="14"/>
  <c r="V747" i="14" s="1"/>
  <c r="U748" i="14"/>
  <c r="V748" i="14" s="1"/>
  <c r="U749" i="14"/>
  <c r="V749" i="14"/>
  <c r="U750" i="14"/>
  <c r="V750" i="14" s="1"/>
  <c r="U751" i="14"/>
  <c r="V751" i="14"/>
  <c r="U752" i="14"/>
  <c r="V752" i="14" s="1"/>
  <c r="U753" i="14"/>
  <c r="V753" i="14"/>
  <c r="U754" i="14"/>
  <c r="V754" i="14" s="1"/>
  <c r="U755" i="14"/>
  <c r="V755" i="14"/>
  <c r="U756" i="14"/>
  <c r="V756" i="14" s="1"/>
  <c r="U757" i="14"/>
  <c r="V757" i="14" s="1"/>
  <c r="U758" i="14"/>
  <c r="V758" i="14" s="1"/>
  <c r="U759" i="14"/>
  <c r="V759" i="14" s="1"/>
  <c r="U760" i="14"/>
  <c r="V760" i="14" s="1"/>
  <c r="U761" i="14"/>
  <c r="V761" i="14" s="1"/>
  <c r="U762" i="14"/>
  <c r="V762" i="14" s="1"/>
  <c r="U763" i="14"/>
  <c r="V763" i="14" s="1"/>
  <c r="U764" i="14"/>
  <c r="V764" i="14" s="1"/>
  <c r="U765" i="14"/>
  <c r="V765" i="14"/>
  <c r="U766" i="14"/>
  <c r="V766" i="14" s="1"/>
  <c r="U767" i="14"/>
  <c r="V767" i="14"/>
  <c r="U768" i="14"/>
  <c r="V768" i="14" s="1"/>
  <c r="U769" i="14"/>
  <c r="V769" i="14"/>
  <c r="U770" i="14"/>
  <c r="V770" i="14" s="1"/>
  <c r="U771" i="14"/>
  <c r="V771" i="14"/>
  <c r="U772" i="14"/>
  <c r="V772" i="14" s="1"/>
  <c r="U773" i="14"/>
  <c r="V773" i="14" s="1"/>
  <c r="U774" i="14"/>
  <c r="V774" i="14" s="1"/>
  <c r="U775" i="14"/>
  <c r="V775" i="14" s="1"/>
  <c r="U776" i="14"/>
  <c r="V776" i="14" s="1"/>
  <c r="U777" i="14"/>
  <c r="V777" i="14" s="1"/>
  <c r="U778" i="14"/>
  <c r="V778" i="14" s="1"/>
  <c r="U779" i="14"/>
  <c r="V779" i="14" s="1"/>
  <c r="U780" i="14"/>
  <c r="V780" i="14" s="1"/>
  <c r="U781" i="14"/>
  <c r="V781" i="14"/>
  <c r="U782" i="14"/>
  <c r="V782" i="14" s="1"/>
  <c r="U783" i="14"/>
  <c r="V783" i="14" s="1"/>
  <c r="U784" i="14"/>
  <c r="V784" i="14"/>
  <c r="U785" i="14"/>
  <c r="V785" i="14"/>
  <c r="U786" i="14"/>
  <c r="V786" i="14" s="1"/>
  <c r="U787" i="14"/>
  <c r="V787" i="14"/>
  <c r="U788" i="14"/>
  <c r="V788" i="14" s="1"/>
  <c r="U789" i="14"/>
  <c r="V789" i="14" s="1"/>
  <c r="U790" i="14"/>
  <c r="V790" i="14" s="1"/>
  <c r="U791" i="14"/>
  <c r="V791" i="14" s="1"/>
  <c r="U792" i="14"/>
  <c r="V792" i="14" s="1"/>
  <c r="U793" i="14"/>
  <c r="V793" i="14"/>
  <c r="U794" i="14"/>
  <c r="V794" i="14" s="1"/>
  <c r="U795" i="14"/>
  <c r="V795" i="14"/>
  <c r="U796" i="14"/>
  <c r="V796" i="14"/>
  <c r="U797" i="14"/>
  <c r="V797" i="14" s="1"/>
  <c r="U798" i="14"/>
  <c r="V798" i="14" s="1"/>
  <c r="U799" i="14"/>
  <c r="V799" i="14"/>
  <c r="U800" i="14"/>
  <c r="V800" i="14" s="1"/>
  <c r="U801" i="14"/>
  <c r="V801" i="14" s="1"/>
  <c r="U802" i="14"/>
  <c r="V802" i="14" s="1"/>
  <c r="U803" i="14"/>
  <c r="V803" i="14" s="1"/>
  <c r="U804" i="14"/>
  <c r="V804" i="14"/>
  <c r="U805" i="14"/>
  <c r="V805" i="14"/>
  <c r="U806" i="14"/>
  <c r="V806" i="14" s="1"/>
  <c r="U807" i="14"/>
  <c r="V807" i="14"/>
  <c r="U808" i="14"/>
  <c r="V808" i="14"/>
  <c r="U809" i="14"/>
  <c r="V809" i="14" s="1"/>
  <c r="U810" i="14"/>
  <c r="V810" i="14" s="1"/>
  <c r="U811" i="14"/>
  <c r="V811" i="14" s="1"/>
  <c r="U812" i="14"/>
  <c r="V812" i="14" s="1"/>
  <c r="U813" i="14"/>
  <c r="V813" i="14"/>
  <c r="U814" i="14"/>
  <c r="V814" i="14" s="1"/>
  <c r="U815" i="14"/>
  <c r="V815" i="14" s="1"/>
  <c r="U816" i="14"/>
  <c r="V816" i="14"/>
  <c r="U817" i="14"/>
  <c r="V817" i="14"/>
  <c r="U818" i="14"/>
  <c r="V818" i="14" s="1"/>
  <c r="U819" i="14"/>
  <c r="V819" i="14"/>
  <c r="U820" i="14"/>
  <c r="V820" i="14" s="1"/>
  <c r="U821" i="14"/>
  <c r="V821" i="14" s="1"/>
  <c r="U822" i="14"/>
  <c r="V822" i="14" s="1"/>
  <c r="U823" i="14"/>
  <c r="V823" i="14" s="1"/>
  <c r="U824" i="14"/>
  <c r="V824" i="14" s="1"/>
  <c r="U825" i="14"/>
  <c r="V825" i="14"/>
  <c r="U826" i="14"/>
  <c r="V826" i="14" s="1"/>
  <c r="U827" i="14"/>
  <c r="V827" i="14"/>
  <c r="U828" i="14"/>
  <c r="V828" i="14"/>
  <c r="U829" i="14"/>
  <c r="V829" i="14" s="1"/>
  <c r="U830" i="14"/>
  <c r="V830" i="14" s="1"/>
  <c r="U831" i="14"/>
  <c r="V831" i="14"/>
  <c r="V2" i="14"/>
  <c r="U2" i="14"/>
  <c r="T3" i="14"/>
  <c r="T4" i="14"/>
  <c r="T5" i="14"/>
  <c r="T6" i="14"/>
  <c r="T7" i="14"/>
  <c r="T8" i="14"/>
  <c r="T9" i="14"/>
  <c r="T10" i="14"/>
  <c r="T11" i="14"/>
  <c r="T12" i="14"/>
  <c r="T13" i="14"/>
  <c r="T14" i="14"/>
  <c r="T15" i="14"/>
  <c r="T16" i="14"/>
  <c r="T17" i="14"/>
  <c r="T18" i="14"/>
  <c r="T19" i="14"/>
  <c r="T20" i="14"/>
  <c r="T21" i="14"/>
  <c r="T22" i="14"/>
  <c r="T23" i="14"/>
  <c r="T24" i="14"/>
  <c r="T25" i="14"/>
  <c r="T26" i="14"/>
  <c r="T27" i="14"/>
  <c r="T28" i="14"/>
  <c r="T29" i="14"/>
  <c r="T30" i="14"/>
  <c r="T31" i="14"/>
  <c r="T32" i="14"/>
  <c r="T33" i="14"/>
  <c r="T34" i="14"/>
  <c r="T35" i="14"/>
  <c r="T36" i="14"/>
  <c r="T37" i="14"/>
  <c r="T38" i="14"/>
  <c r="T39" i="14"/>
  <c r="T40" i="14"/>
  <c r="T41" i="14"/>
  <c r="T42" i="14"/>
  <c r="T43" i="14"/>
  <c r="T44" i="14"/>
  <c r="T45" i="14"/>
  <c r="T46" i="14"/>
  <c r="T47" i="14"/>
  <c r="T48" i="14"/>
  <c r="T49" i="14"/>
  <c r="T50" i="14"/>
  <c r="T51" i="14"/>
  <c r="T52" i="14"/>
  <c r="T53" i="14"/>
  <c r="T54" i="14"/>
  <c r="T55" i="14"/>
  <c r="T56" i="14"/>
  <c r="T57" i="14"/>
  <c r="T58" i="14"/>
  <c r="T59" i="14"/>
  <c r="T60" i="14"/>
  <c r="T61" i="14"/>
  <c r="T62" i="14"/>
  <c r="T63" i="14"/>
  <c r="T64" i="14"/>
  <c r="T65" i="14"/>
  <c r="T66" i="14"/>
  <c r="T67" i="14"/>
  <c r="T68" i="14"/>
  <c r="T69" i="14"/>
  <c r="T70" i="14"/>
  <c r="T71" i="14"/>
  <c r="T72" i="14"/>
  <c r="T73" i="14"/>
  <c r="T74" i="14"/>
  <c r="T75" i="14"/>
  <c r="T76" i="14"/>
  <c r="T77" i="14"/>
  <c r="T78" i="14"/>
  <c r="T79" i="14"/>
  <c r="T80" i="14"/>
  <c r="T81" i="14"/>
  <c r="T82" i="14"/>
  <c r="T83" i="14"/>
  <c r="T84" i="14"/>
  <c r="T85" i="14"/>
  <c r="T86" i="14"/>
  <c r="T87" i="14"/>
  <c r="T88" i="14"/>
  <c r="T89" i="14"/>
  <c r="T90" i="14"/>
  <c r="T91" i="14"/>
  <c r="T92" i="14"/>
  <c r="T93" i="14"/>
  <c r="T94" i="14"/>
  <c r="T95" i="14"/>
  <c r="T96" i="14"/>
  <c r="T97" i="14"/>
  <c r="T98" i="14"/>
  <c r="T99" i="14"/>
  <c r="T100" i="14"/>
  <c r="T101" i="14"/>
  <c r="T102" i="14"/>
  <c r="T103" i="14"/>
  <c r="T104" i="14"/>
  <c r="T105" i="14"/>
  <c r="T106" i="14"/>
  <c r="T107" i="14"/>
  <c r="T108" i="14"/>
  <c r="T109" i="14"/>
  <c r="T110" i="14"/>
  <c r="T111" i="14"/>
  <c r="T112" i="14"/>
  <c r="T113" i="14"/>
  <c r="T114" i="14"/>
  <c r="T115" i="14"/>
  <c r="T116" i="14"/>
  <c r="T117" i="14"/>
  <c r="T118" i="14"/>
  <c r="T119" i="14"/>
  <c r="T120" i="14"/>
  <c r="T121" i="14"/>
  <c r="T122" i="14"/>
  <c r="T123" i="14"/>
  <c r="T124" i="14"/>
  <c r="T125" i="14"/>
  <c r="T126" i="14"/>
  <c r="T127" i="14"/>
  <c r="T128" i="14"/>
  <c r="T129" i="14"/>
  <c r="T130" i="14"/>
  <c r="T131" i="14"/>
  <c r="T132" i="14"/>
  <c r="T133" i="14"/>
  <c r="T134" i="14"/>
  <c r="T135" i="14"/>
  <c r="T136" i="14"/>
  <c r="T137" i="14"/>
  <c r="T138" i="14"/>
  <c r="T139" i="14"/>
  <c r="T140" i="14"/>
  <c r="T141" i="14"/>
  <c r="T142" i="14"/>
  <c r="T143" i="14"/>
  <c r="T144" i="14"/>
  <c r="T145" i="14"/>
  <c r="T146" i="14"/>
  <c r="T147" i="14"/>
  <c r="T148" i="14"/>
  <c r="T149" i="14"/>
  <c r="T150" i="14"/>
  <c r="T151" i="14"/>
  <c r="T152" i="14"/>
  <c r="T153" i="14"/>
  <c r="T154" i="14"/>
  <c r="T155" i="14"/>
  <c r="T156" i="14"/>
  <c r="T157" i="14"/>
  <c r="T158" i="14"/>
  <c r="T159" i="14"/>
  <c r="T160" i="14"/>
  <c r="T161" i="14"/>
  <c r="T162" i="14"/>
  <c r="T163" i="14"/>
  <c r="T164" i="14"/>
  <c r="T165" i="14"/>
  <c r="T166" i="14"/>
  <c r="T167" i="14"/>
  <c r="T168" i="14"/>
  <c r="T169" i="14"/>
  <c r="T170" i="14"/>
  <c r="T171" i="14"/>
  <c r="T172" i="14"/>
  <c r="T173" i="14"/>
  <c r="T174" i="14"/>
  <c r="T175" i="14"/>
  <c r="T176" i="14"/>
  <c r="T177" i="14"/>
  <c r="T178" i="14"/>
  <c r="T179" i="14"/>
  <c r="T180" i="14"/>
  <c r="T181" i="14"/>
  <c r="T182" i="14"/>
  <c r="T183" i="14"/>
  <c r="T184" i="14"/>
  <c r="T185" i="14"/>
  <c r="T186" i="14"/>
  <c r="T187" i="14"/>
  <c r="T188" i="14"/>
  <c r="T189" i="14"/>
  <c r="T190" i="14"/>
  <c r="T191" i="14"/>
  <c r="T192" i="14"/>
  <c r="T193" i="14"/>
  <c r="T194" i="14"/>
  <c r="T195" i="14"/>
  <c r="T196" i="14"/>
  <c r="T197" i="14"/>
  <c r="T198" i="14"/>
  <c r="T199" i="14"/>
  <c r="T200" i="14"/>
  <c r="T201" i="14"/>
  <c r="T202" i="14"/>
  <c r="T203" i="14"/>
  <c r="T204" i="14"/>
  <c r="T205" i="14"/>
  <c r="T206" i="14"/>
  <c r="T207" i="14"/>
  <c r="T208" i="14"/>
  <c r="T209" i="14"/>
  <c r="T210" i="14"/>
  <c r="T211" i="14"/>
  <c r="T212" i="14"/>
  <c r="T213" i="14"/>
  <c r="T214" i="14"/>
  <c r="T215" i="14"/>
  <c r="T216" i="14"/>
  <c r="T217" i="14"/>
  <c r="T218" i="14"/>
  <c r="T219" i="14"/>
  <c r="T220" i="14"/>
  <c r="T221" i="14"/>
  <c r="T222" i="14"/>
  <c r="T223" i="14"/>
  <c r="T224" i="14"/>
  <c r="T225" i="14"/>
  <c r="T226" i="14"/>
  <c r="T227" i="14"/>
  <c r="T228" i="14"/>
  <c r="T229" i="14"/>
  <c r="T230" i="14"/>
  <c r="T231" i="14"/>
  <c r="T232" i="14"/>
  <c r="T233" i="14"/>
  <c r="T234" i="14"/>
  <c r="T235" i="14"/>
  <c r="T236" i="14"/>
  <c r="T237" i="14"/>
  <c r="T238" i="14"/>
  <c r="T239" i="14"/>
  <c r="T240" i="14"/>
  <c r="T241" i="14"/>
  <c r="T242" i="14"/>
  <c r="T243" i="14"/>
  <c r="T244" i="14"/>
  <c r="T245" i="14"/>
  <c r="T246" i="14"/>
  <c r="T247" i="14"/>
  <c r="T248" i="14"/>
  <c r="T249" i="14"/>
  <c r="T250" i="14"/>
  <c r="T251" i="14"/>
  <c r="T252" i="14"/>
  <c r="T253" i="14"/>
  <c r="T254" i="14"/>
  <c r="T255" i="14"/>
  <c r="T256" i="14"/>
  <c r="T257" i="14"/>
  <c r="T258" i="14"/>
  <c r="T259" i="14"/>
  <c r="T260" i="14"/>
  <c r="T261" i="14"/>
  <c r="T262" i="14"/>
  <c r="T263" i="14"/>
  <c r="T264" i="14"/>
  <c r="T265" i="14"/>
  <c r="T266" i="14"/>
  <c r="T267" i="14"/>
  <c r="T268" i="14"/>
  <c r="T269" i="14"/>
  <c r="T270" i="14"/>
  <c r="T271" i="14"/>
  <c r="T272" i="14"/>
  <c r="T273" i="14"/>
  <c r="T274" i="14"/>
  <c r="T275" i="14"/>
  <c r="T276" i="14"/>
  <c r="T277" i="14"/>
  <c r="T278" i="14"/>
  <c r="T279" i="14"/>
  <c r="T280" i="14"/>
  <c r="T281" i="14"/>
  <c r="T282" i="14"/>
  <c r="T283" i="14"/>
  <c r="T284" i="14"/>
  <c r="T285" i="14"/>
  <c r="T286" i="14"/>
  <c r="T287" i="14"/>
  <c r="T288" i="14"/>
  <c r="T289" i="14"/>
  <c r="T290" i="14"/>
  <c r="T291" i="14"/>
  <c r="T292" i="14"/>
  <c r="T293" i="14"/>
  <c r="T294" i="14"/>
  <c r="T295" i="14"/>
  <c r="T296" i="14"/>
  <c r="T297" i="14"/>
  <c r="T298" i="14"/>
  <c r="T299" i="14"/>
  <c r="T300" i="14"/>
  <c r="T301" i="14"/>
  <c r="T302" i="14"/>
  <c r="T303" i="14"/>
  <c r="T304" i="14"/>
  <c r="T305" i="14"/>
  <c r="T306" i="14"/>
  <c r="T307" i="14"/>
  <c r="T308" i="14"/>
  <c r="T309" i="14"/>
  <c r="T310" i="14"/>
  <c r="T311" i="14"/>
  <c r="T312" i="14"/>
  <c r="T313" i="14"/>
  <c r="T314" i="14"/>
  <c r="T315" i="14"/>
  <c r="T316" i="14"/>
  <c r="T317" i="14"/>
  <c r="T318" i="14"/>
  <c r="T319" i="14"/>
  <c r="T320" i="14"/>
  <c r="T321" i="14"/>
  <c r="T322" i="14"/>
  <c r="T323" i="14"/>
  <c r="T324" i="14"/>
  <c r="T325" i="14"/>
  <c r="T326" i="14"/>
  <c r="T327" i="14"/>
  <c r="T328" i="14"/>
  <c r="T329" i="14"/>
  <c r="T330" i="14"/>
  <c r="T331" i="14"/>
  <c r="T332" i="14"/>
  <c r="T333" i="14"/>
  <c r="T334" i="14"/>
  <c r="T335" i="14"/>
  <c r="T336" i="14"/>
  <c r="T337" i="14"/>
  <c r="T338" i="14"/>
  <c r="T339" i="14"/>
  <c r="T340" i="14"/>
  <c r="T341" i="14"/>
  <c r="T342" i="14"/>
  <c r="T343" i="14"/>
  <c r="T344" i="14"/>
  <c r="T345" i="14"/>
  <c r="T346" i="14"/>
  <c r="T347" i="14"/>
  <c r="T348" i="14"/>
  <c r="T349" i="14"/>
  <c r="T350" i="14"/>
  <c r="T351" i="14"/>
  <c r="T352" i="14"/>
  <c r="T353" i="14"/>
  <c r="T354" i="14"/>
  <c r="T355" i="14"/>
  <c r="T356" i="14"/>
  <c r="T357" i="14"/>
  <c r="T358" i="14"/>
  <c r="T359" i="14"/>
  <c r="T360" i="14"/>
  <c r="T361" i="14"/>
  <c r="T362" i="14"/>
  <c r="T363" i="14"/>
  <c r="T364" i="14"/>
  <c r="T365" i="14"/>
  <c r="T366" i="14"/>
  <c r="T367" i="14"/>
  <c r="T368" i="14"/>
  <c r="T369" i="14"/>
  <c r="T370" i="14"/>
  <c r="T371" i="14"/>
  <c r="T372" i="14"/>
  <c r="T373" i="14"/>
  <c r="T374" i="14"/>
  <c r="T375" i="14"/>
  <c r="T376" i="14"/>
  <c r="T377" i="14"/>
  <c r="T378" i="14"/>
  <c r="T379" i="14"/>
  <c r="T380" i="14"/>
  <c r="T381" i="14"/>
  <c r="T382" i="14"/>
  <c r="T383" i="14"/>
  <c r="T384" i="14"/>
  <c r="T385" i="14"/>
  <c r="T386" i="14"/>
  <c r="T387" i="14"/>
  <c r="T388" i="14"/>
  <c r="T389" i="14"/>
  <c r="T390" i="14"/>
  <c r="T391" i="14"/>
  <c r="T392" i="14"/>
  <c r="T393" i="14"/>
  <c r="T394" i="14"/>
  <c r="T395" i="14"/>
  <c r="T396" i="14"/>
  <c r="T397" i="14"/>
  <c r="T398" i="14"/>
  <c r="T399" i="14"/>
  <c r="T400" i="14"/>
  <c r="T401" i="14"/>
  <c r="T402" i="14"/>
  <c r="T403" i="14"/>
  <c r="T404" i="14"/>
  <c r="T405" i="14"/>
  <c r="T406" i="14"/>
  <c r="T407" i="14"/>
  <c r="T408" i="14"/>
  <c r="T409" i="14"/>
  <c r="T410" i="14"/>
  <c r="T411" i="14"/>
  <c r="T412" i="14"/>
  <c r="T413" i="14"/>
  <c r="T414" i="14"/>
  <c r="T415" i="14"/>
  <c r="T416" i="14"/>
  <c r="T417" i="14"/>
  <c r="T418" i="14"/>
  <c r="T419" i="14"/>
  <c r="T420" i="14"/>
  <c r="T421" i="14"/>
  <c r="T422" i="14"/>
  <c r="T423" i="14"/>
  <c r="T424" i="14"/>
  <c r="T425" i="14"/>
  <c r="T426" i="14"/>
  <c r="T427" i="14"/>
  <c r="T428" i="14"/>
  <c r="T429" i="14"/>
  <c r="T430" i="14"/>
  <c r="T431" i="14"/>
  <c r="T432" i="14"/>
  <c r="T433" i="14"/>
  <c r="T434" i="14"/>
  <c r="T435" i="14"/>
  <c r="T436" i="14"/>
  <c r="T437" i="14"/>
  <c r="T438" i="14"/>
  <c r="T439" i="14"/>
  <c r="T440" i="14"/>
  <c r="T441" i="14"/>
  <c r="T442" i="14"/>
  <c r="T443" i="14"/>
  <c r="T444" i="14"/>
  <c r="T445" i="14"/>
  <c r="T446" i="14"/>
  <c r="T447" i="14"/>
  <c r="T448" i="14"/>
  <c r="T449" i="14"/>
  <c r="T450" i="14"/>
  <c r="T451" i="14"/>
  <c r="T452" i="14"/>
  <c r="T453" i="14"/>
  <c r="T454" i="14"/>
  <c r="T455" i="14"/>
  <c r="T456" i="14"/>
  <c r="T457" i="14"/>
  <c r="T458" i="14"/>
  <c r="T459" i="14"/>
  <c r="T460" i="14"/>
  <c r="T461" i="14"/>
  <c r="T462" i="14"/>
  <c r="T463" i="14"/>
  <c r="T464" i="14"/>
  <c r="T465" i="14"/>
  <c r="T466" i="14"/>
  <c r="T467" i="14"/>
  <c r="T468" i="14"/>
  <c r="T469" i="14"/>
  <c r="T470" i="14"/>
  <c r="T471" i="14"/>
  <c r="T472" i="14"/>
  <c r="T473" i="14"/>
  <c r="T474" i="14"/>
  <c r="T475" i="14"/>
  <c r="T476" i="14"/>
  <c r="T477" i="14"/>
  <c r="T478" i="14"/>
  <c r="T479" i="14"/>
  <c r="T480" i="14"/>
  <c r="T481" i="14"/>
  <c r="T482" i="14"/>
  <c r="T483" i="14"/>
  <c r="T484" i="14"/>
  <c r="T485" i="14"/>
  <c r="T486" i="14"/>
  <c r="T487" i="14"/>
  <c r="T488" i="14"/>
  <c r="T489" i="14"/>
  <c r="T490" i="14"/>
  <c r="T491" i="14"/>
  <c r="T492" i="14"/>
  <c r="T493" i="14"/>
  <c r="T494" i="14"/>
  <c r="T495" i="14"/>
  <c r="T496" i="14"/>
  <c r="T497" i="14"/>
  <c r="T498" i="14"/>
  <c r="T499" i="14"/>
  <c r="T500" i="14"/>
  <c r="T501" i="14"/>
  <c r="T502" i="14"/>
  <c r="T503" i="14"/>
  <c r="T504" i="14"/>
  <c r="T505" i="14"/>
  <c r="T506" i="14"/>
  <c r="T507" i="14"/>
  <c r="T508" i="14"/>
  <c r="T509" i="14"/>
  <c r="T510" i="14"/>
  <c r="T511" i="14"/>
  <c r="T512" i="14"/>
  <c r="T513" i="14"/>
  <c r="T514" i="14"/>
  <c r="T515" i="14"/>
  <c r="T516" i="14"/>
  <c r="T517" i="14"/>
  <c r="T518" i="14"/>
  <c r="T519" i="14"/>
  <c r="T520" i="14"/>
  <c r="T521" i="14"/>
  <c r="T522" i="14"/>
  <c r="T523" i="14"/>
  <c r="T524" i="14"/>
  <c r="T525" i="14"/>
  <c r="T526" i="14"/>
  <c r="T527" i="14"/>
  <c r="T528" i="14"/>
  <c r="T529" i="14"/>
  <c r="T530" i="14"/>
  <c r="T531" i="14"/>
  <c r="T532" i="14"/>
  <c r="T533" i="14"/>
  <c r="T534" i="14"/>
  <c r="T535" i="14"/>
  <c r="T536" i="14"/>
  <c r="T537" i="14"/>
  <c r="T538" i="14"/>
  <c r="T539" i="14"/>
  <c r="T540" i="14"/>
  <c r="T541" i="14"/>
  <c r="T542" i="14"/>
  <c r="T543" i="14"/>
  <c r="T544" i="14"/>
  <c r="T545" i="14"/>
  <c r="T546" i="14"/>
  <c r="T547" i="14"/>
  <c r="T548" i="14"/>
  <c r="T549" i="14"/>
  <c r="T550" i="14"/>
  <c r="T551" i="14"/>
  <c r="T552" i="14"/>
  <c r="T553" i="14"/>
  <c r="T554" i="14"/>
  <c r="T555" i="14"/>
  <c r="T556" i="14"/>
  <c r="T557" i="14"/>
  <c r="T558" i="14"/>
  <c r="T559" i="14"/>
  <c r="T560" i="14"/>
  <c r="T561" i="14"/>
  <c r="T562" i="14"/>
  <c r="T563" i="14"/>
  <c r="T564" i="14"/>
  <c r="T565" i="14"/>
  <c r="T566" i="14"/>
  <c r="T567" i="14"/>
  <c r="T568" i="14"/>
  <c r="T569" i="14"/>
  <c r="T570" i="14"/>
  <c r="T571" i="14"/>
  <c r="T572" i="14"/>
  <c r="T573" i="14"/>
  <c r="T574" i="14"/>
  <c r="T575" i="14"/>
  <c r="T576" i="14"/>
  <c r="T577" i="14"/>
  <c r="T578" i="14"/>
  <c r="T579" i="14"/>
  <c r="T580" i="14"/>
  <c r="T581" i="14"/>
  <c r="T582" i="14"/>
  <c r="T583" i="14"/>
  <c r="T584" i="14"/>
  <c r="T585" i="14"/>
  <c r="T586" i="14"/>
  <c r="T587" i="14"/>
  <c r="T588" i="14"/>
  <c r="T589" i="14"/>
  <c r="T590" i="14"/>
  <c r="T591" i="14"/>
  <c r="T592" i="14"/>
  <c r="T593" i="14"/>
  <c r="T594" i="14"/>
  <c r="T595" i="14"/>
  <c r="T596" i="14"/>
  <c r="T597" i="14"/>
  <c r="T598" i="14"/>
  <c r="T599" i="14"/>
  <c r="T600" i="14"/>
  <c r="T601" i="14"/>
  <c r="T602" i="14"/>
  <c r="T603" i="14"/>
  <c r="T604" i="14"/>
  <c r="T605" i="14"/>
  <c r="T606" i="14"/>
  <c r="T607" i="14"/>
  <c r="T608" i="14"/>
  <c r="T609" i="14"/>
  <c r="T610" i="14"/>
  <c r="T611" i="14"/>
  <c r="T612" i="14"/>
  <c r="T613" i="14"/>
  <c r="T614" i="14"/>
  <c r="T615" i="14"/>
  <c r="T616" i="14"/>
  <c r="T617" i="14"/>
  <c r="T618" i="14"/>
  <c r="T619" i="14"/>
  <c r="T620" i="14"/>
  <c r="T621" i="14"/>
  <c r="T622" i="14"/>
  <c r="T623" i="14"/>
  <c r="T624" i="14"/>
  <c r="T625" i="14"/>
  <c r="T626" i="14"/>
  <c r="T627" i="14"/>
  <c r="T628" i="14"/>
  <c r="T629" i="14"/>
  <c r="T630" i="14"/>
  <c r="T631" i="14"/>
  <c r="T632" i="14"/>
  <c r="T633" i="14"/>
  <c r="T634" i="14"/>
  <c r="T635" i="14"/>
  <c r="T636" i="14"/>
  <c r="T637" i="14"/>
  <c r="T638" i="14"/>
  <c r="T639" i="14"/>
  <c r="T640" i="14"/>
  <c r="T641" i="14"/>
  <c r="T642" i="14"/>
  <c r="T643" i="14"/>
  <c r="T644" i="14"/>
  <c r="T645" i="14"/>
  <c r="T646" i="14"/>
  <c r="T647" i="14"/>
  <c r="T648" i="14"/>
  <c r="T649" i="14"/>
  <c r="T650" i="14"/>
  <c r="T651" i="14"/>
  <c r="T652" i="14"/>
  <c r="T653" i="14"/>
  <c r="T654" i="14"/>
  <c r="T655" i="14"/>
  <c r="T656" i="14"/>
  <c r="T657" i="14"/>
  <c r="T658" i="14"/>
  <c r="T659" i="14"/>
  <c r="T660" i="14"/>
  <c r="T661" i="14"/>
  <c r="T662" i="14"/>
  <c r="T663" i="14"/>
  <c r="T664" i="14"/>
  <c r="T665" i="14"/>
  <c r="T666" i="14"/>
  <c r="T667" i="14"/>
  <c r="T668" i="14"/>
  <c r="T669" i="14"/>
  <c r="T670" i="14"/>
  <c r="T671" i="14"/>
  <c r="T672" i="14"/>
  <c r="T673" i="14"/>
  <c r="T674" i="14"/>
  <c r="T675" i="14"/>
  <c r="T676" i="14"/>
  <c r="T677" i="14"/>
  <c r="T678" i="14"/>
  <c r="T679" i="14"/>
  <c r="T680" i="14"/>
  <c r="T681" i="14"/>
  <c r="T682" i="14"/>
  <c r="T683" i="14"/>
  <c r="T684" i="14"/>
  <c r="T685" i="14"/>
  <c r="T686" i="14"/>
  <c r="T687" i="14"/>
  <c r="T688" i="14"/>
  <c r="T689" i="14"/>
  <c r="T690" i="14"/>
  <c r="T691" i="14"/>
  <c r="T692" i="14"/>
  <c r="T693" i="14"/>
  <c r="T694" i="14"/>
  <c r="T695" i="14"/>
  <c r="T696" i="14"/>
  <c r="T697" i="14"/>
  <c r="T698" i="14"/>
  <c r="T699" i="14"/>
  <c r="T700" i="14"/>
  <c r="T701" i="14"/>
  <c r="T702" i="14"/>
  <c r="T703" i="14"/>
  <c r="T704" i="14"/>
  <c r="T705" i="14"/>
  <c r="T706" i="14"/>
  <c r="T707" i="14"/>
  <c r="T708" i="14"/>
  <c r="T709" i="14"/>
  <c r="T710" i="14"/>
  <c r="T711" i="14"/>
  <c r="T712" i="14"/>
  <c r="T713" i="14"/>
  <c r="T714" i="14"/>
  <c r="T715" i="14"/>
  <c r="T716" i="14"/>
  <c r="T717" i="14"/>
  <c r="T718" i="14"/>
  <c r="T719" i="14"/>
  <c r="T720" i="14"/>
  <c r="T721" i="14"/>
  <c r="T722" i="14"/>
  <c r="T723" i="14"/>
  <c r="T724" i="14"/>
  <c r="T725" i="14"/>
  <c r="T726" i="14"/>
  <c r="T727" i="14"/>
  <c r="T728" i="14"/>
  <c r="T729" i="14"/>
  <c r="T730" i="14"/>
  <c r="T731" i="14"/>
  <c r="T732" i="14"/>
  <c r="T733" i="14"/>
  <c r="T734" i="14"/>
  <c r="T735" i="14"/>
  <c r="T736" i="14"/>
  <c r="T737" i="14"/>
  <c r="T738" i="14"/>
  <c r="T739" i="14"/>
  <c r="T740" i="14"/>
  <c r="T741" i="14"/>
  <c r="T742" i="14"/>
  <c r="T743" i="14"/>
  <c r="T744" i="14"/>
  <c r="T745" i="14"/>
  <c r="T746" i="14"/>
  <c r="T747" i="14"/>
  <c r="T748" i="14"/>
  <c r="T749" i="14"/>
  <c r="T750" i="14"/>
  <c r="T751" i="14"/>
  <c r="T752" i="14"/>
  <c r="T753" i="14"/>
  <c r="T754" i="14"/>
  <c r="T755" i="14"/>
  <c r="T756" i="14"/>
  <c r="T757" i="14"/>
  <c r="T758" i="14"/>
  <c r="T759" i="14"/>
  <c r="T760" i="14"/>
  <c r="T761" i="14"/>
  <c r="T762" i="14"/>
  <c r="T763" i="14"/>
  <c r="T764" i="14"/>
  <c r="T765" i="14"/>
  <c r="T766" i="14"/>
  <c r="T767" i="14"/>
  <c r="T768" i="14"/>
  <c r="T769" i="14"/>
  <c r="T770" i="14"/>
  <c r="T771" i="14"/>
  <c r="T772" i="14"/>
  <c r="T773" i="14"/>
  <c r="T774" i="14"/>
  <c r="T775" i="14"/>
  <c r="T776" i="14"/>
  <c r="T777" i="14"/>
  <c r="T778" i="14"/>
  <c r="T779" i="14"/>
  <c r="T780" i="14"/>
  <c r="T781" i="14"/>
  <c r="T782" i="14"/>
  <c r="T783" i="14"/>
  <c r="T784" i="14"/>
  <c r="T785" i="14"/>
  <c r="T786" i="14"/>
  <c r="T787" i="14"/>
  <c r="T788" i="14"/>
  <c r="T789" i="14"/>
  <c r="T790" i="14"/>
  <c r="T791" i="14"/>
  <c r="T792" i="14"/>
  <c r="T793" i="14"/>
  <c r="T794" i="14"/>
  <c r="T795" i="14"/>
  <c r="T796" i="14"/>
  <c r="T797" i="14"/>
  <c r="T798" i="14"/>
  <c r="T799" i="14"/>
  <c r="T800" i="14"/>
  <c r="T801" i="14"/>
  <c r="T802" i="14"/>
  <c r="T803" i="14"/>
  <c r="T804" i="14"/>
  <c r="T805" i="14"/>
  <c r="T806" i="14"/>
  <c r="T807" i="14"/>
  <c r="T808" i="14"/>
  <c r="T809" i="14"/>
  <c r="T810" i="14"/>
  <c r="T811" i="14"/>
  <c r="T812" i="14"/>
  <c r="T813" i="14"/>
  <c r="T814" i="14"/>
  <c r="T815" i="14"/>
  <c r="T816" i="14"/>
  <c r="T817" i="14"/>
  <c r="T818" i="14"/>
  <c r="T819" i="14"/>
  <c r="T820" i="14"/>
  <c r="T821" i="14"/>
  <c r="T822" i="14"/>
  <c r="T823" i="14"/>
  <c r="T824" i="14"/>
  <c r="T825" i="14"/>
  <c r="T826" i="14"/>
  <c r="T827" i="14"/>
  <c r="T828" i="14"/>
  <c r="T829" i="14"/>
  <c r="T830" i="14"/>
  <c r="T831" i="14"/>
  <c r="T2" i="14"/>
  <c r="S2" i="14" a="1"/>
  <c r="S2" i="14" s="1"/>
  <c r="F8" i="13" a="1"/>
  <c r="F8" i="13" s="1"/>
  <c r="Q3" i="14" a="1"/>
  <c r="Q3" i="14" s="1"/>
  <c r="Q4" i="14" a="1"/>
  <c r="Q4" i="14" s="1"/>
  <c r="Q5" i="14" a="1"/>
  <c r="Q5" i="14" s="1"/>
  <c r="Q6" i="14" a="1"/>
  <c r="Q6" i="14"/>
  <c r="Q7" i="14" a="1"/>
  <c r="Q7" i="14" s="1"/>
  <c r="Q8" i="14" a="1"/>
  <c r="Q8" i="14" s="1"/>
  <c r="Q9" i="14" a="1"/>
  <c r="Q9" i="14" s="1"/>
  <c r="Q10" i="14" a="1"/>
  <c r="Q10" i="14" s="1"/>
  <c r="Q2" i="14" a="1"/>
  <c r="Q2" i="14" s="1"/>
  <c r="P3" i="14" a="1"/>
  <c r="P3" i="14" s="1"/>
  <c r="P4" i="14" a="1"/>
  <c r="P4" i="14" s="1"/>
  <c r="P5" i="14" a="1"/>
  <c r="P5" i="14" s="1"/>
  <c r="P6" i="14" a="1"/>
  <c r="P6" i="14" s="1"/>
  <c r="P7" i="14" a="1"/>
  <c r="P7" i="14" s="1"/>
  <c r="P8" i="14" a="1"/>
  <c r="P8" i="14" s="1"/>
  <c r="P9" i="14" a="1"/>
  <c r="P9" i="14" s="1"/>
  <c r="P10" i="14" a="1"/>
  <c r="P10" i="14" s="1"/>
  <c r="P2" i="14" a="1"/>
  <c r="P2" i="14" s="1"/>
  <c r="O2" i="14" a="1"/>
  <c r="O2" i="14" s="1"/>
  <c r="N2" i="14" a="1"/>
  <c r="N2" i="14" s="1"/>
  <c r="B31" i="13" a="1"/>
  <c r="B31" i="13" s="1"/>
  <c r="L3" i="14" a="1"/>
  <c r="L3" i="14" s="1"/>
  <c r="L4" i="14" a="1"/>
  <c r="L4" i="14" s="1"/>
  <c r="L2" i="14" a="1"/>
  <c r="L2" i="14" s="1"/>
  <c r="K2" i="14" a="1"/>
  <c r="K2" i="14" s="1"/>
  <c r="J2" i="14" a="1"/>
  <c r="J2" i="14" s="1"/>
  <c r="B19" i="13" a="1"/>
  <c r="B19" i="13" s="1"/>
  <c r="B8" i="13" a="1"/>
  <c r="B8" i="13" s="1"/>
  <c r="E2" i="14" a="1"/>
  <c r="E2" i="14" s="1"/>
  <c r="C2" i="14" a="1"/>
  <c r="C2" i="14" s="1"/>
  <c r="D14" i="14" a="1"/>
  <c r="D14" i="14" s="1"/>
  <c r="B2" i="14" a="1"/>
  <c r="B2" i="14" s="1"/>
  <c r="D5" i="13"/>
  <c r="B1" i="14"/>
  <c r="D89" i="14" l="1" a="1"/>
  <c r="D89" i="14" s="1"/>
  <c r="D81" i="14" a="1"/>
  <c r="D81" i="14" s="1"/>
  <c r="D73" i="14" a="1"/>
  <c r="D73" i="14" s="1"/>
  <c r="D65" i="14" a="1"/>
  <c r="D65" i="14" s="1"/>
  <c r="D57" i="14" a="1"/>
  <c r="D57" i="14" s="1"/>
  <c r="D49" i="14" a="1"/>
  <c r="D49" i="14" s="1"/>
  <c r="D41" i="14" a="1"/>
  <c r="D41" i="14" s="1"/>
  <c r="D33" i="14" a="1"/>
  <c r="D33" i="14" s="1"/>
  <c r="D25" i="14" a="1"/>
  <c r="D25" i="14" s="1"/>
  <c r="D17" i="14" a="1"/>
  <c r="D17" i="14" s="1"/>
  <c r="D9" i="14" a="1"/>
  <c r="D9" i="14" s="1"/>
  <c r="D88" i="14" a="1"/>
  <c r="D88" i="14" s="1"/>
  <c r="D80" i="14" a="1"/>
  <c r="D80" i="14" s="1"/>
  <c r="D72" i="14" a="1"/>
  <c r="D72" i="14" s="1"/>
  <c r="D64" i="14" a="1"/>
  <c r="D64" i="14" s="1"/>
  <c r="D56" i="14" a="1"/>
  <c r="D56" i="14" s="1"/>
  <c r="D48" i="14" a="1"/>
  <c r="D48" i="14" s="1"/>
  <c r="D40" i="14" a="1"/>
  <c r="D40" i="14" s="1"/>
  <c r="D32" i="14" a="1"/>
  <c r="D32" i="14" s="1"/>
  <c r="D24" i="14" a="1"/>
  <c r="D24" i="14" s="1"/>
  <c r="D16" i="14" a="1"/>
  <c r="D16" i="14" s="1"/>
  <c r="D8" i="14" a="1"/>
  <c r="D8" i="14" s="1"/>
  <c r="D87" i="14" a="1"/>
  <c r="D87" i="14" s="1"/>
  <c r="D79" i="14" a="1"/>
  <c r="D79" i="14" s="1"/>
  <c r="D71" i="14" a="1"/>
  <c r="D71" i="14" s="1"/>
  <c r="D63" i="14" a="1"/>
  <c r="D63" i="14" s="1"/>
  <c r="D55" i="14" a="1"/>
  <c r="D55" i="14" s="1"/>
  <c r="D47" i="14" a="1"/>
  <c r="D47" i="14" s="1"/>
  <c r="D39" i="14" a="1"/>
  <c r="D39" i="14" s="1"/>
  <c r="D31" i="14" a="1"/>
  <c r="D31" i="14" s="1"/>
  <c r="D23" i="14" a="1"/>
  <c r="D23" i="14" s="1"/>
  <c r="D15" i="14" a="1"/>
  <c r="D15" i="14" s="1"/>
  <c r="D7" i="14" a="1"/>
  <c r="D7" i="14" s="1"/>
  <c r="D6" i="14" a="1"/>
  <c r="D6" i="14" s="1"/>
  <c r="D77" i="14" a="1"/>
  <c r="D77" i="14" s="1"/>
  <c r="D69" i="14" a="1"/>
  <c r="D69" i="14" s="1"/>
  <c r="D61" i="14" a="1"/>
  <c r="D61" i="14" s="1"/>
  <c r="D53" i="14" a="1"/>
  <c r="D53" i="14" s="1"/>
  <c r="D45" i="14" a="1"/>
  <c r="D45" i="14" s="1"/>
  <c r="D37" i="14" a="1"/>
  <c r="D37" i="14" s="1"/>
  <c r="D29" i="14" a="1"/>
  <c r="D29" i="14" s="1"/>
  <c r="D21" i="14" a="1"/>
  <c r="D21" i="14" s="1"/>
  <c r="D13" i="14" a="1"/>
  <c r="D13" i="14" s="1"/>
  <c r="D5" i="14" a="1"/>
  <c r="D5" i="14" s="1"/>
  <c r="D78" i="14" a="1"/>
  <c r="D78" i="14" s="1"/>
  <c r="D30" i="14" a="1"/>
  <c r="D30" i="14" s="1"/>
  <c r="D92" i="14" a="1"/>
  <c r="D92" i="14" s="1"/>
  <c r="D84" i="14" a="1"/>
  <c r="D84" i="14" s="1"/>
  <c r="D76" i="14" a="1"/>
  <c r="D76" i="14" s="1"/>
  <c r="D68" i="14" a="1"/>
  <c r="D68" i="14" s="1"/>
  <c r="D60" i="14" a="1"/>
  <c r="D60" i="14" s="1"/>
  <c r="D52" i="14" a="1"/>
  <c r="D52" i="14" s="1"/>
  <c r="D44" i="14" a="1"/>
  <c r="D44" i="14" s="1"/>
  <c r="D36" i="14" a="1"/>
  <c r="D36" i="14" s="1"/>
  <c r="D28" i="14" a="1"/>
  <c r="D28" i="14" s="1"/>
  <c r="D20" i="14" a="1"/>
  <c r="D20" i="14" s="1"/>
  <c r="D12" i="14" a="1"/>
  <c r="D12" i="14" s="1"/>
  <c r="D4" i="14" a="1"/>
  <c r="D4" i="14" s="1"/>
  <c r="D38" i="14" a="1"/>
  <c r="D38" i="14" s="1"/>
  <c r="D2" i="14" a="1"/>
  <c r="D2" i="14" s="1"/>
  <c r="D91" i="14" a="1"/>
  <c r="D91" i="14" s="1"/>
  <c r="D83" i="14" a="1"/>
  <c r="D83" i="14" s="1"/>
  <c r="D75" i="14" a="1"/>
  <c r="D75" i="14" s="1"/>
  <c r="D67" i="14" a="1"/>
  <c r="D67" i="14" s="1"/>
  <c r="D59" i="14" a="1"/>
  <c r="D59" i="14" s="1"/>
  <c r="D51" i="14" a="1"/>
  <c r="D51" i="14" s="1"/>
  <c r="D43" i="14" a="1"/>
  <c r="D43" i="14" s="1"/>
  <c r="D35" i="14" a="1"/>
  <c r="D35" i="14" s="1"/>
  <c r="D27" i="14" a="1"/>
  <c r="D27" i="14" s="1"/>
  <c r="D19" i="14" a="1"/>
  <c r="D19" i="14" s="1"/>
  <c r="D11" i="14" a="1"/>
  <c r="D11" i="14" s="1"/>
  <c r="D3" i="14" a="1"/>
  <c r="D3" i="14" s="1"/>
  <c r="D86" i="14" a="1"/>
  <c r="D86" i="14" s="1"/>
  <c r="D70" i="14" a="1"/>
  <c r="D70" i="14" s="1"/>
  <c r="D62" i="14" a="1"/>
  <c r="D62" i="14" s="1"/>
  <c r="D54" i="14" a="1"/>
  <c r="D54" i="14" s="1"/>
  <c r="D46" i="14" a="1"/>
  <c r="D46" i="14" s="1"/>
  <c r="D22" i="14" a="1"/>
  <c r="D22" i="14" s="1"/>
  <c r="D85" i="14" a="1"/>
  <c r="D85" i="14" s="1"/>
  <c r="D90" i="14" a="1"/>
  <c r="D90" i="14" s="1"/>
  <c r="D82" i="14" a="1"/>
  <c r="D82" i="14" s="1"/>
  <c r="D74" i="14" a="1"/>
  <c r="D74" i="14" s="1"/>
  <c r="D66" i="14" a="1"/>
  <c r="D66" i="14" s="1"/>
  <c r="D58" i="14" a="1"/>
  <c r="D58" i="14" s="1"/>
  <c r="D50" i="14" a="1"/>
  <c r="D50" i="14" s="1"/>
  <c r="D42" i="14" a="1"/>
  <c r="D42" i="14" s="1"/>
  <c r="D34" i="14" a="1"/>
  <c r="D34" i="14" s="1"/>
  <c r="D26" i="14" a="1"/>
  <c r="D26" i="14" s="1"/>
  <c r="D18" i="14" a="1"/>
  <c r="D18" i="14" s="1"/>
  <c r="D10" i="14" a="1"/>
  <c r="D10" i="14"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<sst xmlns="http://schemas.openxmlformats.org/spreadsheetml/2006/main" count="7558" uniqueCount="1495">
  <si>
    <t>orderID</t>
  </si>
  <si>
    <t>customerID</t>
  </si>
  <si>
    <t>employeeID</t>
  </si>
  <si>
    <t>orderDate</t>
  </si>
  <si>
    <t>requiredDate</t>
  </si>
  <si>
    <t>shippedDate</t>
  </si>
  <si>
    <t>shipVia</t>
  </si>
  <si>
    <t xml:space="preserve"> freight </t>
  </si>
  <si>
    <t>shipName</t>
  </si>
  <si>
    <t>shipAddress</t>
  </si>
  <si>
    <t>shipCity</t>
  </si>
  <si>
    <t>shipRegion</t>
  </si>
  <si>
    <t>shipPostalCode</t>
  </si>
  <si>
    <t>shipCountry</t>
  </si>
  <si>
    <t>VINET</t>
  </si>
  <si>
    <t>Vins et alcools Chevalier</t>
  </si>
  <si>
    <t>59 rue de l'Abbaye</t>
  </si>
  <si>
    <t>Reims</t>
  </si>
  <si>
    <t>NULL</t>
  </si>
  <si>
    <t>France</t>
  </si>
  <si>
    <t>TOMSP</t>
  </si>
  <si>
    <t>Toms Spezialitäten</t>
  </si>
  <si>
    <t>Luisenstr. 48</t>
  </si>
  <si>
    <t>Münster</t>
  </si>
  <si>
    <t>Germany</t>
  </si>
  <si>
    <t>HANAR</t>
  </si>
  <si>
    <t>Hanari Carnes</t>
  </si>
  <si>
    <t>Rua do Paço 67</t>
  </si>
  <si>
    <t>Rio de Janeiro</t>
  </si>
  <si>
    <t>RJ</t>
  </si>
  <si>
    <t>05454-876</t>
  </si>
  <si>
    <t>Brazil</t>
  </si>
  <si>
    <t>VICTE</t>
  </si>
  <si>
    <t>Victuailles en stock</t>
  </si>
  <si>
    <t>2  rue du Commerce</t>
  </si>
  <si>
    <t>Lyon</t>
  </si>
  <si>
    <t>SUPRD</t>
  </si>
  <si>
    <t>Suprêmes délices</t>
  </si>
  <si>
    <t>Boulevard Tirou 255</t>
  </si>
  <si>
    <t>Charleroi</t>
  </si>
  <si>
    <t>B-6000</t>
  </si>
  <si>
    <t>Belgium</t>
  </si>
  <si>
    <t>CHOPS</t>
  </si>
  <si>
    <t>Chop-suey Chinese</t>
  </si>
  <si>
    <t>Hauptstr. 31</t>
  </si>
  <si>
    <t>Bern</t>
  </si>
  <si>
    <t>Switzerland</t>
  </si>
  <si>
    <t>RICSU</t>
  </si>
  <si>
    <t>Richter Supermarkt</t>
  </si>
  <si>
    <t>Starenweg 5</t>
  </si>
  <si>
    <t>Genève</t>
  </si>
  <si>
    <t>WELLI</t>
  </si>
  <si>
    <t>Wellington Importadora</t>
  </si>
  <si>
    <t>Rua do Mercado 12</t>
  </si>
  <si>
    <t>Resende</t>
  </si>
  <si>
    <t>SP</t>
  </si>
  <si>
    <t>08737-363</t>
  </si>
  <si>
    <t>HILAA</t>
  </si>
  <si>
    <t>HILARION-Abastos</t>
  </si>
  <si>
    <t>Carrera 22 con Ave. Carlos Soublette #8-35</t>
  </si>
  <si>
    <t>San Cristóbal</t>
  </si>
  <si>
    <t>Táchira</t>
  </si>
  <si>
    <t>Venezuela</t>
  </si>
  <si>
    <t>ERNSH</t>
  </si>
  <si>
    <t>Ernst Handel</t>
  </si>
  <si>
    <t>Kirchgasse 6</t>
  </si>
  <si>
    <t>Graz</t>
  </si>
  <si>
    <t>Austria</t>
  </si>
  <si>
    <t>CENTC</t>
  </si>
  <si>
    <t>Centro comercial Moctezuma</t>
  </si>
  <si>
    <t>Sierras de Granada 9993</t>
  </si>
  <si>
    <t>México D.F.</t>
  </si>
  <si>
    <t>Mexico</t>
  </si>
  <si>
    <t>OTTIK</t>
  </si>
  <si>
    <t>Ottilies Käseladen</t>
  </si>
  <si>
    <t>Mehrheimerstr. 369</t>
  </si>
  <si>
    <t>Köln</t>
  </si>
  <si>
    <t>QUEDE</t>
  </si>
  <si>
    <t>Que Delícia</t>
  </si>
  <si>
    <t>Rua da Panificadora 12</t>
  </si>
  <si>
    <t>02389-673</t>
  </si>
  <si>
    <t>RATTC</t>
  </si>
  <si>
    <t>Rattlesnake Canyon Grocery</t>
  </si>
  <si>
    <t>2817 Milton Dr.</t>
  </si>
  <si>
    <t>Albuquerque</t>
  </si>
  <si>
    <t>NM</t>
  </si>
  <si>
    <t>USA</t>
  </si>
  <si>
    <t>FOLKO</t>
  </si>
  <si>
    <t>Folk och fä HB</t>
  </si>
  <si>
    <t>Åkergatan 24</t>
  </si>
  <si>
    <t>Bräcke</t>
  </si>
  <si>
    <t>S-844 67</t>
  </si>
  <si>
    <t>Sweden</t>
  </si>
  <si>
    <t>BLONP</t>
  </si>
  <si>
    <t>Blondel père et fils</t>
  </si>
  <si>
    <t>24  place Kléber</t>
  </si>
  <si>
    <t>Strasbourg</t>
  </si>
  <si>
    <t>WARTH</t>
  </si>
  <si>
    <t>Wartian Herkku</t>
  </si>
  <si>
    <t>Torikatu 38</t>
  </si>
  <si>
    <t>Oulu</t>
  </si>
  <si>
    <t>Finland</t>
  </si>
  <si>
    <t>FRANK</t>
  </si>
  <si>
    <t>Frankenversand</t>
  </si>
  <si>
    <t>Berliner Platz 43</t>
  </si>
  <si>
    <t>München</t>
  </si>
  <si>
    <t>GROSR</t>
  </si>
  <si>
    <t>GROSELLA-Restaurante</t>
  </si>
  <si>
    <t>5ª Ave. Los Palos Grandes</t>
  </si>
  <si>
    <t>Caracas</t>
  </si>
  <si>
    <t>DF</t>
  </si>
  <si>
    <t>WHITC</t>
  </si>
  <si>
    <t>White Clover Markets</t>
  </si>
  <si>
    <t>1029 - 12th Ave. S.</t>
  </si>
  <si>
    <t>Seattle</t>
  </si>
  <si>
    <t>WA</t>
  </si>
  <si>
    <t>SPLIR</t>
  </si>
  <si>
    <t>Split Rail Beer &amp; Ale</t>
  </si>
  <si>
    <t>P.O. Box 555</t>
  </si>
  <si>
    <t>Lander</t>
  </si>
  <si>
    <t>WY</t>
  </si>
  <si>
    <t>QUICK</t>
  </si>
  <si>
    <t>QUICK-Stop</t>
  </si>
  <si>
    <t>Taucherstraße 10</t>
  </si>
  <si>
    <t>Cunewalde</t>
  </si>
  <si>
    <t>MAGAA</t>
  </si>
  <si>
    <t>Magazzini Alimentari Riuniti</t>
  </si>
  <si>
    <t>Via Ludovico il Moro 22</t>
  </si>
  <si>
    <t>Bergamo</t>
  </si>
  <si>
    <t>Italy</t>
  </si>
  <si>
    <t>TORTU</t>
  </si>
  <si>
    <t>Tortuga Restaurante</t>
  </si>
  <si>
    <t>Avda. Azteca 123</t>
  </si>
  <si>
    <t>MORGK</t>
  </si>
  <si>
    <t>Morgenstern Gesundkost</t>
  </si>
  <si>
    <t>Heerstr. 22</t>
  </si>
  <si>
    <t>Leipzig</t>
  </si>
  <si>
    <t>BERGS</t>
  </si>
  <si>
    <t>Berglunds snabbköp</t>
  </si>
  <si>
    <t>Berguvsvägen  8</t>
  </si>
  <si>
    <t>Luleå</t>
  </si>
  <si>
    <t>S-958 22</t>
  </si>
  <si>
    <t>LEHMS</t>
  </si>
  <si>
    <t>Lehmanns Marktstand</t>
  </si>
  <si>
    <t>Magazinweg 7</t>
  </si>
  <si>
    <t>Frankfurt a.M.</t>
  </si>
  <si>
    <t>ROMEY</t>
  </si>
  <si>
    <t>Romero y tomillo</t>
  </si>
  <si>
    <t>Gran Vía 1</t>
  </si>
  <si>
    <t>Madrid</t>
  </si>
  <si>
    <t>Spain</t>
  </si>
  <si>
    <t>LILAS</t>
  </si>
  <si>
    <t>LILA-Supermercado</t>
  </si>
  <si>
    <t>Carrera 52 con Ave. Bolívar #65-98 Llano Largo</t>
  </si>
  <si>
    <t>Barquisimeto</t>
  </si>
  <si>
    <t>Lara</t>
  </si>
  <si>
    <t>RICAR</t>
  </si>
  <si>
    <t>Ricardo Adocicados</t>
  </si>
  <si>
    <t>Av. Copacabana 267</t>
  </si>
  <si>
    <t>02389-890</t>
  </si>
  <si>
    <t>REGGC</t>
  </si>
  <si>
    <t>Reggiani Caseifici</t>
  </si>
  <si>
    <t>Strada Provinciale 124</t>
  </si>
  <si>
    <t>Reggio Emilia</t>
  </si>
  <si>
    <t>BSBEV</t>
  </si>
  <si>
    <t>B's Beverages</t>
  </si>
  <si>
    <t>Fauntleroy Circus</t>
  </si>
  <si>
    <t>London</t>
  </si>
  <si>
    <t>EC2 5NT</t>
  </si>
  <si>
    <t>UK</t>
  </si>
  <si>
    <t>COMMI</t>
  </si>
  <si>
    <t>Comércio Mineiro</t>
  </si>
  <si>
    <t>Av. dos Lusíadas 23</t>
  </si>
  <si>
    <t>Sao Paulo</t>
  </si>
  <si>
    <t>05432-043</t>
  </si>
  <si>
    <t>TRADH</t>
  </si>
  <si>
    <t>Tradiçao Hipermercados</t>
  </si>
  <si>
    <t>Av. Inês de Castro 414</t>
  </si>
  <si>
    <t>05634-030</t>
  </si>
  <si>
    <t>HUNGO</t>
  </si>
  <si>
    <t>Hungry Owl All-Night Grocers</t>
  </si>
  <si>
    <t>8 Johnstown Road</t>
  </si>
  <si>
    <t>Cork</t>
  </si>
  <si>
    <t>Co. Cork</t>
  </si>
  <si>
    <t>Ireland</t>
  </si>
  <si>
    <t>WANDK</t>
  </si>
  <si>
    <t>Die Wandernde Kuh</t>
  </si>
  <si>
    <t>Adenauerallee 900</t>
  </si>
  <si>
    <t>Stuttgart</t>
  </si>
  <si>
    <t>GODOS</t>
  </si>
  <si>
    <t>Godos Cocina Típica</t>
  </si>
  <si>
    <t>C/ Romero 33</t>
  </si>
  <si>
    <t>Sevilla</t>
  </si>
  <si>
    <t>OLDWO</t>
  </si>
  <si>
    <t>Old World Delicatessen</t>
  </si>
  <si>
    <t>2743 Bering St.</t>
  </si>
  <si>
    <t>Anchorage</t>
  </si>
  <si>
    <t>AK</t>
  </si>
  <si>
    <t>LONEP</t>
  </si>
  <si>
    <t>Lonesome Pine Restaurant</t>
  </si>
  <si>
    <t>89 Chiaroscuro Rd.</t>
  </si>
  <si>
    <t>Portland</t>
  </si>
  <si>
    <t>OR</t>
  </si>
  <si>
    <t>ANATR</t>
  </si>
  <si>
    <t>Ana Trujillo Emparedados y helados</t>
  </si>
  <si>
    <t>Avda. de la Constitución 2222</t>
  </si>
  <si>
    <t>THEBI</t>
  </si>
  <si>
    <t>The Big Cheese</t>
  </si>
  <si>
    <t>89 Jefferson Way Suite 2</t>
  </si>
  <si>
    <t>DUMON</t>
  </si>
  <si>
    <t>Du monde entier</t>
  </si>
  <si>
    <t>67  rue des Cinquante Otages</t>
  </si>
  <si>
    <t>Nantes</t>
  </si>
  <si>
    <t>ISLAT</t>
  </si>
  <si>
    <t>Island Trading</t>
  </si>
  <si>
    <t>Garden House Crowther Way</t>
  </si>
  <si>
    <t>Cowes</t>
  </si>
  <si>
    <t>Isle of Wight</t>
  </si>
  <si>
    <t>PO31 7PJ</t>
  </si>
  <si>
    <t>PERIC</t>
  </si>
  <si>
    <t>Pericles Comidas clásicas</t>
  </si>
  <si>
    <t>Calle Dr. Jorge Cash 321</t>
  </si>
  <si>
    <t>KOENE</t>
  </si>
  <si>
    <t>Königlich Essen</t>
  </si>
  <si>
    <t>Maubelstr. 90</t>
  </si>
  <si>
    <t>Brandenburg</t>
  </si>
  <si>
    <t>SAVEA</t>
  </si>
  <si>
    <t>Save-a-lot Markets</t>
  </si>
  <si>
    <t>187 Suffolk Ln.</t>
  </si>
  <si>
    <t>Boise</t>
  </si>
  <si>
    <t>ID</t>
  </si>
  <si>
    <t>BOLID</t>
  </si>
  <si>
    <t>Bólido Comidas preparadas</t>
  </si>
  <si>
    <t>C/ Araquil 67</t>
  </si>
  <si>
    <t>FURIB</t>
  </si>
  <si>
    <t>Furia Bacalhau e Frutos do Mar</t>
  </si>
  <si>
    <t>Jardim das rosas n. 32</t>
  </si>
  <si>
    <t>Lisboa</t>
  </si>
  <si>
    <t>Portugal</t>
  </si>
  <si>
    <t>BONAP</t>
  </si>
  <si>
    <t>Bon app'</t>
  </si>
  <si>
    <t>12  rue des Bouchers</t>
  </si>
  <si>
    <t>Marseille</t>
  </si>
  <si>
    <t>MEREP</t>
  </si>
  <si>
    <t>Mère Paillarde</t>
  </si>
  <si>
    <t>43 rue St. Laurent</t>
  </si>
  <si>
    <t>Montréal</t>
  </si>
  <si>
    <t>Québec</t>
  </si>
  <si>
    <t>H1J 1C3</t>
  </si>
  <si>
    <t>Canada</t>
  </si>
  <si>
    <t>PRINI</t>
  </si>
  <si>
    <t>Princesa Isabel Vinhos</t>
  </si>
  <si>
    <t>Estrada da saúde n. 58</t>
  </si>
  <si>
    <t>SIMOB</t>
  </si>
  <si>
    <t>Simons bistro</t>
  </si>
  <si>
    <t>Vinbæltet 34</t>
  </si>
  <si>
    <t>Kobenhavn</t>
  </si>
  <si>
    <t>Denmark</t>
  </si>
  <si>
    <t>FAMIA</t>
  </si>
  <si>
    <t>Familia Arquibaldo</t>
  </si>
  <si>
    <t>Rua Orós 92</t>
  </si>
  <si>
    <t>05442-030</t>
  </si>
  <si>
    <t>LAMAI</t>
  </si>
  <si>
    <t>La maison d'Asie</t>
  </si>
  <si>
    <t>1 rue Alsace-Lorraine</t>
  </si>
  <si>
    <t>Toulouse</t>
  </si>
  <si>
    <t>PICCO</t>
  </si>
  <si>
    <t>Piccolo und mehr</t>
  </si>
  <si>
    <t>Geislweg 14</t>
  </si>
  <si>
    <t>Salzburg</t>
  </si>
  <si>
    <t>AROUT</t>
  </si>
  <si>
    <t>Around the Horn</t>
  </si>
  <si>
    <t>Brook Farm Stratford St. Mary</t>
  </si>
  <si>
    <t>Colchester</t>
  </si>
  <si>
    <t>Essex</t>
  </si>
  <si>
    <t>CO7 6JX</t>
  </si>
  <si>
    <t>SEVES</t>
  </si>
  <si>
    <t>Seven Seas Imports</t>
  </si>
  <si>
    <t>90 Wadhurst Rd.</t>
  </si>
  <si>
    <t>OX15 4NB</t>
  </si>
  <si>
    <t>DRACD</t>
  </si>
  <si>
    <t>Drachenblut Delikatessen</t>
  </si>
  <si>
    <t>Walserweg 21</t>
  </si>
  <si>
    <t>Aachen</t>
  </si>
  <si>
    <t>EASTC</t>
  </si>
  <si>
    <t>Eastern Connection</t>
  </si>
  <si>
    <t>35 King George</t>
  </si>
  <si>
    <t>WX3 6FW</t>
  </si>
  <si>
    <t>ANTON</t>
  </si>
  <si>
    <t>Antonio Moreno Taquería</t>
  </si>
  <si>
    <t>Mataderos  2312</t>
  </si>
  <si>
    <t>GALED</t>
  </si>
  <si>
    <t>Galería del gastronómo</t>
  </si>
  <si>
    <t>Rambla de Cataluña 23</t>
  </si>
  <si>
    <t>Barcelona</t>
  </si>
  <si>
    <t>VAFFE</t>
  </si>
  <si>
    <t>Vaffeljernet</t>
  </si>
  <si>
    <t>Smagsloget 45</t>
  </si>
  <si>
    <t>Århus</t>
  </si>
  <si>
    <t>QUEEN</t>
  </si>
  <si>
    <t>Queen Cozinha</t>
  </si>
  <si>
    <t>Alameda dos Canàrios 891</t>
  </si>
  <si>
    <t>05487-020</t>
  </si>
  <si>
    <t>WOLZA</t>
  </si>
  <si>
    <t>Wolski Zajazd</t>
  </si>
  <si>
    <t>ul. Filtrowa 68</t>
  </si>
  <si>
    <t>Warszawa</t>
  </si>
  <si>
    <t>01-012</t>
  </si>
  <si>
    <t>Poland</t>
  </si>
  <si>
    <t>HUNGC</t>
  </si>
  <si>
    <t>Hungry Coyote Import Store</t>
  </si>
  <si>
    <t>City Center Plaza 516 Main St.</t>
  </si>
  <si>
    <t>Elgin</t>
  </si>
  <si>
    <t>SANTG</t>
  </si>
  <si>
    <t>Santé Gourmet</t>
  </si>
  <si>
    <t>Erling Skakkes gate 78</t>
  </si>
  <si>
    <t>Stavern</t>
  </si>
  <si>
    <t>Norway</t>
  </si>
  <si>
    <t>BOTTM</t>
  </si>
  <si>
    <t>Bottom-Dollar Markets</t>
  </si>
  <si>
    <t>23 Tsawassen Blvd.</t>
  </si>
  <si>
    <t>Tsawassen</t>
  </si>
  <si>
    <t>BC</t>
  </si>
  <si>
    <t>T2F 8M4</t>
  </si>
  <si>
    <t>LINOD</t>
  </si>
  <si>
    <t>LINO-Delicateses</t>
  </si>
  <si>
    <t>Ave. 5 de Mayo Porlamar</t>
  </si>
  <si>
    <t>I. de Margarita</t>
  </si>
  <si>
    <t>Nueva Esparta</t>
  </si>
  <si>
    <t>FOLIG</t>
  </si>
  <si>
    <t>Folies gourmandes</t>
  </si>
  <si>
    <t>184  chaussée de Tournai</t>
  </si>
  <si>
    <t>Lille</t>
  </si>
  <si>
    <t>OCEAN</t>
  </si>
  <si>
    <t>Océano Atlántico Ltda.</t>
  </si>
  <si>
    <t>Ing. Gustavo Moncada 8585 Piso 20-A</t>
  </si>
  <si>
    <t>Buenos Aires</t>
  </si>
  <si>
    <t>Argentina</t>
  </si>
  <si>
    <t>FRANS</t>
  </si>
  <si>
    <t>Franchi S.p.A.</t>
  </si>
  <si>
    <t>Via Monte Bianco 34</t>
  </si>
  <si>
    <t>Torino</t>
  </si>
  <si>
    <t>GOURL</t>
  </si>
  <si>
    <t>Gourmet Lanchonetes</t>
  </si>
  <si>
    <t>Av. Brasil 442</t>
  </si>
  <si>
    <t>Campinas</t>
  </si>
  <si>
    <t>04876-786</t>
  </si>
  <si>
    <t>CONSH</t>
  </si>
  <si>
    <t>Consolidated Holdings</t>
  </si>
  <si>
    <t>Berkeley Gardens 12  Brewery</t>
  </si>
  <si>
    <t>WX1 6LT</t>
  </si>
  <si>
    <t>RANCH</t>
  </si>
  <si>
    <t>Rancho grande</t>
  </si>
  <si>
    <t>Av. del Libertador 900</t>
  </si>
  <si>
    <t>LAZYK</t>
  </si>
  <si>
    <t>Lazy K Kountry Store</t>
  </si>
  <si>
    <t>12 Orchestra Terrace</t>
  </si>
  <si>
    <t>Walla Walla</t>
  </si>
  <si>
    <t>LAUGB</t>
  </si>
  <si>
    <t>Laughing Bacchus Wine Cellars</t>
  </si>
  <si>
    <t>2319 Elm St.</t>
  </si>
  <si>
    <t>Vancouver</t>
  </si>
  <si>
    <t>V3F 2K1</t>
  </si>
  <si>
    <t>BLAUS</t>
  </si>
  <si>
    <t>Blauer See Delikatessen</t>
  </si>
  <si>
    <t>Forsterstr. 57</t>
  </si>
  <si>
    <t>Mannheim</t>
  </si>
  <si>
    <t>NORTS</t>
  </si>
  <si>
    <t>North/South</t>
  </si>
  <si>
    <t>South House 300 Queensbridge</t>
  </si>
  <si>
    <t>SW7 1RZ</t>
  </si>
  <si>
    <t>CACTU</t>
  </si>
  <si>
    <t>Cactus Comidas para llevar</t>
  </si>
  <si>
    <t>Cerrito 333</t>
  </si>
  <si>
    <t>GREAL</t>
  </si>
  <si>
    <t>Great Lakes Food Market</t>
  </si>
  <si>
    <t>2732 Baker Blvd.</t>
  </si>
  <si>
    <t>Eugene</t>
  </si>
  <si>
    <t>MAISD</t>
  </si>
  <si>
    <t>Maison Dewey</t>
  </si>
  <si>
    <t>Rue Joseph-Bens 532</t>
  </si>
  <si>
    <t>Bruxelles</t>
  </si>
  <si>
    <t>B-1180</t>
  </si>
  <si>
    <t>TRAIH</t>
  </si>
  <si>
    <t>Trail's Head Gourmet Provisioners</t>
  </si>
  <si>
    <t>722 DaVinci Blvd.</t>
  </si>
  <si>
    <t>Kirkland</t>
  </si>
  <si>
    <t>LETSS</t>
  </si>
  <si>
    <t>Let's Stop N Shop</t>
  </si>
  <si>
    <t>87 Polk St. Suite 5</t>
  </si>
  <si>
    <t>San Francisco</t>
  </si>
  <si>
    <t>CA</t>
  </si>
  <si>
    <t>WILMK</t>
  </si>
  <si>
    <t>Wilman Kala</t>
  </si>
  <si>
    <t>Keskuskatu 45</t>
  </si>
  <si>
    <t>Helsinki</t>
  </si>
  <si>
    <t>THECR</t>
  </si>
  <si>
    <t>The Cracker Box</t>
  </si>
  <si>
    <t>55 Grizzly Peak Rd.</t>
  </si>
  <si>
    <t>Butte</t>
  </si>
  <si>
    <t>MT</t>
  </si>
  <si>
    <t>ALFKI</t>
  </si>
  <si>
    <t>Alfreds Futterkiste</t>
  </si>
  <si>
    <t>Obere Str. 57</t>
  </si>
  <si>
    <t>Berlin</t>
  </si>
  <si>
    <t>FRANR</t>
  </si>
  <si>
    <t>France restauration</t>
  </si>
  <si>
    <t>54  rue Royale</t>
  </si>
  <si>
    <t>Alfred's Futterkiste</t>
  </si>
  <si>
    <t>SPECD</t>
  </si>
  <si>
    <t>Spécialités du monde</t>
  </si>
  <si>
    <t>25  rue Lauriston</t>
  </si>
  <si>
    <t>Paris</t>
  </si>
  <si>
    <t>LACOR</t>
  </si>
  <si>
    <t>La corne d'abondance</t>
  </si>
  <si>
    <t>67  avenue de l'Europe</t>
  </si>
  <si>
    <t>Versailles</t>
  </si>
  <si>
    <t>productID</t>
  </si>
  <si>
    <t xml:space="preserve"> unitPrice </t>
  </si>
  <si>
    <t xml:space="preserve"> quantity </t>
  </si>
  <si>
    <t>discount</t>
  </si>
  <si>
    <t>companyName</t>
  </si>
  <si>
    <t>contactName</t>
  </si>
  <si>
    <t>contactTitle</t>
  </si>
  <si>
    <t>address</t>
  </si>
  <si>
    <t>city</t>
  </si>
  <si>
    <t>region</t>
  </si>
  <si>
    <t>postalCode</t>
  </si>
  <si>
    <t>country</t>
  </si>
  <si>
    <t>phone</t>
  </si>
  <si>
    <t>fax</t>
  </si>
  <si>
    <t>Maria Anders</t>
  </si>
  <si>
    <t>Sales Representative</t>
  </si>
  <si>
    <t>030-0074321</t>
  </si>
  <si>
    <t>030-0076545</t>
  </si>
  <si>
    <t>Ana Trujillo</t>
  </si>
  <si>
    <t>Owner</t>
  </si>
  <si>
    <t>(5) 555-4729</t>
  </si>
  <si>
    <t>(5) 555-3745</t>
  </si>
  <si>
    <t>Antonio Moreno</t>
  </si>
  <si>
    <t>(5) 555-3932</t>
  </si>
  <si>
    <t>Thomas Hardy</t>
  </si>
  <si>
    <t>120 Hanover Sq.</t>
  </si>
  <si>
    <t>WA1 1DP</t>
  </si>
  <si>
    <t>(171) 555-7788</t>
  </si>
  <si>
    <t>(171) 555-6750</t>
  </si>
  <si>
    <t>Christina Berglund</t>
  </si>
  <si>
    <t>Order Administrator</t>
  </si>
  <si>
    <t>0921-12 34 65</t>
  </si>
  <si>
    <t>0921-12 34 67</t>
  </si>
  <si>
    <t>Hanna Moos</t>
  </si>
  <si>
    <t>0621-08460</t>
  </si>
  <si>
    <t>0621-08924</t>
  </si>
  <si>
    <t>Blondesddsl père et fils</t>
  </si>
  <si>
    <t>Frédérique Citeaux</t>
  </si>
  <si>
    <t>Marketing Manager</t>
  </si>
  <si>
    <t>88.60.15.31</t>
  </si>
  <si>
    <t>88.60.15.32</t>
  </si>
  <si>
    <t>Martín Sommer</t>
  </si>
  <si>
    <t>(91) 555 22 82</t>
  </si>
  <si>
    <t>(91) 555 91 99</t>
  </si>
  <si>
    <t>Laurence Lebihan</t>
  </si>
  <si>
    <t>91.24.45.40</t>
  </si>
  <si>
    <t>91.24.45.41</t>
  </si>
  <si>
    <t>Elizabeth Lincoln</t>
  </si>
  <si>
    <t>Accounting Manager</t>
  </si>
  <si>
    <t>(604) 555-4729</t>
  </si>
  <si>
    <t>(604) 555-3745</t>
  </si>
  <si>
    <t>Victoria Ashworth</t>
  </si>
  <si>
    <t>(171) 555-1212</t>
  </si>
  <si>
    <t>Patricio Simpson</t>
  </si>
  <si>
    <t>Sales Agent</t>
  </si>
  <si>
    <t>(1) 135-5555</t>
  </si>
  <si>
    <t>(1) 135-4892</t>
  </si>
  <si>
    <t>Francisco Chang</t>
  </si>
  <si>
    <t>(5) 555-3392</t>
  </si>
  <si>
    <t>(5) 555-7293</t>
  </si>
  <si>
    <t>Yang Wang</t>
  </si>
  <si>
    <t>Hauptstr. 29</t>
  </si>
  <si>
    <t>0452-076545</t>
  </si>
  <si>
    <t>Pedro Afonso</t>
  </si>
  <si>
    <t>Sales Associate</t>
  </si>
  <si>
    <t>(11) 555-7647</t>
  </si>
  <si>
    <t>Elizabeth Brown</t>
  </si>
  <si>
    <t>(171) 555-2282</t>
  </si>
  <si>
    <t>(171) 555-9199</t>
  </si>
  <si>
    <t>Sven Ottlieb</t>
  </si>
  <si>
    <t>0241-039123</t>
  </si>
  <si>
    <t>0241-059428</t>
  </si>
  <si>
    <t>Janine Labrune</t>
  </si>
  <si>
    <t>40.67.88.88</t>
  </si>
  <si>
    <t>40.67.89.89</t>
  </si>
  <si>
    <t>Ann Devon</t>
  </si>
  <si>
    <t>(171) 555-0297</t>
  </si>
  <si>
    <t>(171) 555-3373</t>
  </si>
  <si>
    <t>Roland Mendel</t>
  </si>
  <si>
    <t>Sales Manager</t>
  </si>
  <si>
    <t>7675-3425</t>
  </si>
  <si>
    <t>7675-3426</t>
  </si>
  <si>
    <t>Aria Cruz</t>
  </si>
  <si>
    <t>Marketing Assistant</t>
  </si>
  <si>
    <t>(11) 555-9857</t>
  </si>
  <si>
    <t>FISSA</t>
  </si>
  <si>
    <t>FISSA Fabrica Inter. Salchichas S.A.</t>
  </si>
  <si>
    <t>Diego Roel</t>
  </si>
  <si>
    <t>C/ Moralzarzal 86</t>
  </si>
  <si>
    <t>(91) 555 94 44</t>
  </si>
  <si>
    <t>(91) 555 55 93</t>
  </si>
  <si>
    <t>Martine Rancé</t>
  </si>
  <si>
    <t>Assistant Sales Agent</t>
  </si>
  <si>
    <t>20.16.10.16</t>
  </si>
  <si>
    <t>20.16.10.17</t>
  </si>
  <si>
    <t>Maria Larsson</t>
  </si>
  <si>
    <t>0695-34 67 21</t>
  </si>
  <si>
    <t>Peter Franken</t>
  </si>
  <si>
    <t>089-0877310</t>
  </si>
  <si>
    <t>089-0877451</t>
  </si>
  <si>
    <t>Carine Schmitt</t>
  </si>
  <si>
    <t>40.32.21.21</t>
  </si>
  <si>
    <t>40.32.21.20</t>
  </si>
  <si>
    <t>Paolo Accorti</t>
  </si>
  <si>
    <t>011-4988260</t>
  </si>
  <si>
    <t>011-4988261</t>
  </si>
  <si>
    <t>Lino Rodriguez</t>
  </si>
  <si>
    <t>(1) 354-2534</t>
  </si>
  <si>
    <t>(1) 354-2535</t>
  </si>
  <si>
    <t>Galería del gastrónomo</t>
  </si>
  <si>
    <t>Eduardo Saavedra</t>
  </si>
  <si>
    <t>(93) 203 4560</t>
  </si>
  <si>
    <t>(93) 203 4561</t>
  </si>
  <si>
    <t>José Pedro Freyre</t>
  </si>
  <si>
    <t>(95) 555 82 82</t>
  </si>
  <si>
    <t>André Fonseca</t>
  </si>
  <si>
    <t>(11) 555-9482</t>
  </si>
  <si>
    <t>Howard Snyder</t>
  </si>
  <si>
    <t>(503) 555-7555</t>
  </si>
  <si>
    <t>Manuel Pereira</t>
  </si>
  <si>
    <t>(2) 283-2951</t>
  </si>
  <si>
    <t>(2) 283-3397</t>
  </si>
  <si>
    <t>Mario Pontes</t>
  </si>
  <si>
    <t>(21) 555-0091</t>
  </si>
  <si>
    <t>(21) 555-8765</t>
  </si>
  <si>
    <t>Carlos Hernández</t>
  </si>
  <si>
    <t>(5) 555-1340</t>
  </si>
  <si>
    <t>(5) 555-1948</t>
  </si>
  <si>
    <t>Yoshi Latimer</t>
  </si>
  <si>
    <t>(503) 555-6874</t>
  </si>
  <si>
    <t>(503) 555-2376</t>
  </si>
  <si>
    <t>Patricia McKenna</t>
  </si>
  <si>
    <t>2967 542</t>
  </si>
  <si>
    <t>2967 3333</t>
  </si>
  <si>
    <t>Helen Bennett</t>
  </si>
  <si>
    <t>(198) 555-8888</t>
  </si>
  <si>
    <t>Philip Cramer</t>
  </si>
  <si>
    <t>0555-09876</t>
  </si>
  <si>
    <t>Daniel Tonini</t>
  </si>
  <si>
    <t>30.59.84.10</t>
  </si>
  <si>
    <t>30.59.85.11</t>
  </si>
  <si>
    <t>Annette Roulet</t>
  </si>
  <si>
    <t>61.77.61.10</t>
  </si>
  <si>
    <t>61.77.61.11</t>
  </si>
  <si>
    <t>Yoshi Tannamuri</t>
  </si>
  <si>
    <t>1900 Oak St.</t>
  </si>
  <si>
    <t>(604) 555-3392</t>
  </si>
  <si>
    <t>(604) 555-7293</t>
  </si>
  <si>
    <t>John Steel</t>
  </si>
  <si>
    <t>(509) 555-7969</t>
  </si>
  <si>
    <t>(509) 555-6221</t>
  </si>
  <si>
    <t>Renate Messner</t>
  </si>
  <si>
    <t>069-0245984</t>
  </si>
  <si>
    <t>069-0245874</t>
  </si>
  <si>
    <t>Jaime Yorres</t>
  </si>
  <si>
    <t>(415) 555-5938</t>
  </si>
  <si>
    <t>Carlos González</t>
  </si>
  <si>
    <t>(9) 331-6954</t>
  </si>
  <si>
    <t>(9) 331-7256</t>
  </si>
  <si>
    <t>Felipe Izquierdo</t>
  </si>
  <si>
    <t>(8) 34-56-12</t>
  </si>
  <si>
    <t>(8) 34-93-93</t>
  </si>
  <si>
    <t>Fran Wilson</t>
  </si>
  <si>
    <t>(503) 555-9573</t>
  </si>
  <si>
    <t>(503) 555-9646</t>
  </si>
  <si>
    <t>Giovanni Rovelli</t>
  </si>
  <si>
    <t>035-640230</t>
  </si>
  <si>
    <t>035-640231</t>
  </si>
  <si>
    <t>Catherine Dewey</t>
  </si>
  <si>
    <t>(02) 201 24 67</t>
  </si>
  <si>
    <t>(02) 201 24 68</t>
  </si>
  <si>
    <t>Jean Fresnière</t>
  </si>
  <si>
    <t>(514) 555-8054</t>
  </si>
  <si>
    <t>(514) 555-8055</t>
  </si>
  <si>
    <t>Alexander Feuer</t>
  </si>
  <si>
    <t>0342-023176</t>
  </si>
  <si>
    <t>Simon Crowther</t>
  </si>
  <si>
    <t>(171) 555-7733</t>
  </si>
  <si>
    <t>(171) 555-2530</t>
  </si>
  <si>
    <t>Yvonne Moncada</t>
  </si>
  <si>
    <t>(1) 135-5333</t>
  </si>
  <si>
    <t>(1) 135-5535</t>
  </si>
  <si>
    <t>Rene Phillips</t>
  </si>
  <si>
    <t>(907) 555-7584</t>
  </si>
  <si>
    <t>(907) 555-2880</t>
  </si>
  <si>
    <t>Henriette Pfalzheim</t>
  </si>
  <si>
    <t>0221-0644327</t>
  </si>
  <si>
    <t>0221-0765721</t>
  </si>
  <si>
    <t>PARIS</t>
  </si>
  <si>
    <t>Paris spécialités</t>
  </si>
  <si>
    <t>Marie Bertrand</t>
  </si>
  <si>
    <t>265  boulevard Charonne</t>
  </si>
  <si>
    <t>(1) 42.34.22.66</t>
  </si>
  <si>
    <t>(1) 42.34.22.77</t>
  </si>
  <si>
    <t>Guillermo Fernández</t>
  </si>
  <si>
    <t>(5) 552-3745</t>
  </si>
  <si>
    <t>(5) 545-3745</t>
  </si>
  <si>
    <t>Georg Pipps</t>
  </si>
  <si>
    <t>6562-9722</t>
  </si>
  <si>
    <t>6562-9723</t>
  </si>
  <si>
    <t>Isabel de Castro</t>
  </si>
  <si>
    <t>(1) 356-5634</t>
  </si>
  <si>
    <t>Bernardo Batista</t>
  </si>
  <si>
    <t>(21) 555-4252</t>
  </si>
  <si>
    <t>(21) 555-4545</t>
  </si>
  <si>
    <t>Lúcia Carvalho</t>
  </si>
  <si>
    <t>(11) 555-1189</t>
  </si>
  <si>
    <t>Horst Kloss</t>
  </si>
  <si>
    <t>0372-035188</t>
  </si>
  <si>
    <t>Sergio Gutiérrez</t>
  </si>
  <si>
    <t>(1) 123-5555</t>
  </si>
  <si>
    <t>(1) 123-5556</t>
  </si>
  <si>
    <t>Paula Wilson</t>
  </si>
  <si>
    <t>Assistant Sales Representative</t>
  </si>
  <si>
    <t>(505) 555-5939</t>
  </si>
  <si>
    <t>(505) 555-3620</t>
  </si>
  <si>
    <t>Maurizio Moroni</t>
  </si>
  <si>
    <t>0522-556721</t>
  </si>
  <si>
    <t>0522-556722</t>
  </si>
  <si>
    <t>Janete Limeira</t>
  </si>
  <si>
    <t>(21) 555-3412</t>
  </si>
  <si>
    <t>Michael Holz</t>
  </si>
  <si>
    <t>Grenzacherweg 237</t>
  </si>
  <si>
    <t>0897-034214</t>
  </si>
  <si>
    <t>Alejandra Camino</t>
  </si>
  <si>
    <t>(91) 745 6200</t>
  </si>
  <si>
    <t>(91) 745 6210</t>
  </si>
  <si>
    <t>Jonas Bergulfsen</t>
  </si>
  <si>
    <t>07-98 92 35</t>
  </si>
  <si>
    <t>07-98 92 47</t>
  </si>
  <si>
    <t>Jose Pavarotti</t>
  </si>
  <si>
    <t>(208) 555-8097</t>
  </si>
  <si>
    <t>Hari Kumar</t>
  </si>
  <si>
    <t>(171) 555-1717</t>
  </si>
  <si>
    <t>(171) 555-5646</t>
  </si>
  <si>
    <t>Jytte Petersen</t>
  </si>
  <si>
    <t>31 12 34 56</t>
  </si>
  <si>
    <t>31 13 35 57</t>
  </si>
  <si>
    <t>Dominique Perrier</t>
  </si>
  <si>
    <t>(1) 47.55.60.10</t>
  </si>
  <si>
    <t>(1) 47.55.60.20</t>
  </si>
  <si>
    <t>Art Braunschweiger</t>
  </si>
  <si>
    <t>(307) 555-4680</t>
  </si>
  <si>
    <t>(307) 555-6525</t>
  </si>
  <si>
    <t>Pascale Cartrain</t>
  </si>
  <si>
    <t>(071) 23 67 22 20</t>
  </si>
  <si>
    <t>(071) 23 67 22 21</t>
  </si>
  <si>
    <t>Liz Nixon</t>
  </si>
  <si>
    <t>(503) 555-3612</t>
  </si>
  <si>
    <t>Liu Wong</t>
  </si>
  <si>
    <t>(406) 555-5834</t>
  </si>
  <si>
    <t>(406) 555-8083</t>
  </si>
  <si>
    <t>Karin Josephs</t>
  </si>
  <si>
    <t>0251-031259</t>
  </si>
  <si>
    <t>0251-035695</t>
  </si>
  <si>
    <t>Miguel Angel Paolino</t>
  </si>
  <si>
    <t>(5) 555-2933</t>
  </si>
  <si>
    <t>Tradição Hipermercados</t>
  </si>
  <si>
    <t>Anabela Domingues</t>
  </si>
  <si>
    <t>(11) 555-2167</t>
  </si>
  <si>
    <t>(11) 555-2168</t>
  </si>
  <si>
    <t>Helvetius Nagy</t>
  </si>
  <si>
    <t>(206) 555-8257</t>
  </si>
  <si>
    <t>(206) 555-2174</t>
  </si>
  <si>
    <t>Palle Ibsen</t>
  </si>
  <si>
    <t>86 21 32 43</t>
  </si>
  <si>
    <t>86 22 33 44</t>
  </si>
  <si>
    <t>Mary Saveley</t>
  </si>
  <si>
    <t>78.32.54.86</t>
  </si>
  <si>
    <t>78.32.54.87</t>
  </si>
  <si>
    <t>Paul Henriot</t>
  </si>
  <si>
    <t>26.47.15.10</t>
  </si>
  <si>
    <t>26.47.15.11</t>
  </si>
  <si>
    <t>Rita Müller</t>
  </si>
  <si>
    <t>0711-020361</t>
  </si>
  <si>
    <t>0711-035428</t>
  </si>
  <si>
    <t>Pirkko Koskitalo</t>
  </si>
  <si>
    <t>981-443655</t>
  </si>
  <si>
    <t>Paula Parente</t>
  </si>
  <si>
    <t>(14) 555-8122</t>
  </si>
  <si>
    <t>Karl Jablonski</t>
  </si>
  <si>
    <t>305 - 14th Ave. S. Suite 3B</t>
  </si>
  <si>
    <t>(206) 555-4112</t>
  </si>
  <si>
    <t>(206) 555-4115</t>
  </si>
  <si>
    <t>Matti Karttunen</t>
  </si>
  <si>
    <t>Owner/Marketing Assistant</t>
  </si>
  <si>
    <t>90-224 8858</t>
  </si>
  <si>
    <t>Wolski  Zajazd</t>
  </si>
  <si>
    <t>Zbyszek Piestrzeniewicz</t>
  </si>
  <si>
    <t>(26) 642-7012</t>
  </si>
  <si>
    <t>lastName</t>
  </si>
  <si>
    <t>firstName</t>
  </si>
  <si>
    <t>title</t>
  </si>
  <si>
    <t>titleOfCourtesy</t>
  </si>
  <si>
    <t>birthDate</t>
  </si>
  <si>
    <t>hireDate</t>
  </si>
  <si>
    <t>homePhone</t>
  </si>
  <si>
    <t>extension</t>
  </si>
  <si>
    <t>notes</t>
  </si>
  <si>
    <t>reportsTo</t>
  </si>
  <si>
    <t>photoPath</t>
  </si>
  <si>
    <t>education</t>
  </si>
  <si>
    <t>educationDegree</t>
  </si>
  <si>
    <t>educationMode</t>
  </si>
  <si>
    <t>specialization</t>
  </si>
  <si>
    <t>educationType</t>
  </si>
  <si>
    <t>educationExtra</t>
  </si>
  <si>
    <t>french</t>
  </si>
  <si>
    <t>german</t>
  </si>
  <si>
    <t>international</t>
  </si>
  <si>
    <t>languageDomain</t>
  </si>
  <si>
    <t>Davolio</t>
  </si>
  <si>
    <t>Nancy</t>
  </si>
  <si>
    <t>Ms.</t>
  </si>
  <si>
    <t>507 - 20th Ave. E. Apt. 2A</t>
  </si>
  <si>
    <t>(206) 555-9857</t>
  </si>
  <si>
    <t>Education includes a BA in psychology from Colorado State University in 1970.  She also completed "The Art of the Cold Call."  Nancy is a member of Toastmasters International.</t>
  </si>
  <si>
    <t>http://accweb/emmployees/davolio.bmp</t>
  </si>
  <si>
    <t>Psychology</t>
  </si>
  <si>
    <t>BA</t>
  </si>
  <si>
    <t>arts</t>
  </si>
  <si>
    <t>Fuller</t>
  </si>
  <si>
    <t>Andrew</t>
  </si>
  <si>
    <t>Vice President, Sales</t>
  </si>
  <si>
    <t>Dr.</t>
  </si>
  <si>
    <t>908 W. Capital Way</t>
  </si>
  <si>
    <t>Tacoma</t>
  </si>
  <si>
    <t>(206) 555-9482</t>
  </si>
  <si>
    <t>Andrew received his BTS commercial in 1974 and a Ph.D. in international marketing from the University of Dallas in 1981.  He is fluent in French and Italian and reads German.  He joined the company as a sales representative, was promoted to sales manager i</t>
  </si>
  <si>
    <t>http://accweb/emmployees/fuller.bmp</t>
  </si>
  <si>
    <t>International Marketing</t>
  </si>
  <si>
    <t>BTS, PhD</t>
  </si>
  <si>
    <t>science</t>
  </si>
  <si>
    <t>Marketing</t>
  </si>
  <si>
    <t>Leverling</t>
  </si>
  <si>
    <t>Janet</t>
  </si>
  <si>
    <t>722 Moss Bay Blvd.</t>
  </si>
  <si>
    <t>(206) 555-3412</t>
  </si>
  <si>
    <t>Janet has a BS degree in chemistry from Boston College (1984).  She has also completed a certificate program in food retailing management.  Janet was hired as a sales associate in 1991 and promoted to sales representative in February 1992.</t>
  </si>
  <si>
    <t>http://accweb/emmployees/leverling.bmp</t>
  </si>
  <si>
    <t>Chemistry</t>
  </si>
  <si>
    <t>BS</t>
  </si>
  <si>
    <t>Engineer</t>
  </si>
  <si>
    <t>Peacock</t>
  </si>
  <si>
    <t>Margaret</t>
  </si>
  <si>
    <t>Mrs.</t>
  </si>
  <si>
    <t>4110 Old Redmond Rd.</t>
  </si>
  <si>
    <t>Redmond</t>
  </si>
  <si>
    <t>(206) 555-8122</t>
  </si>
  <si>
    <t>Margaret holds a BA in English literature from Concordia College (1958) and an MA from the American Institute of Culinary Arts (1966).  She was assigned to the London office temporarily from July through November 1992.</t>
  </si>
  <si>
    <t>http://accweb/emmployees/peacock.bmp</t>
  </si>
  <si>
    <t>English Literature</t>
  </si>
  <si>
    <t>BA, MA</t>
  </si>
  <si>
    <t>Literature</t>
  </si>
  <si>
    <t>Buchanan</t>
  </si>
  <si>
    <t>Steven</t>
  </si>
  <si>
    <t>Mr.</t>
  </si>
  <si>
    <t>14 Garrett Hill</t>
  </si>
  <si>
    <t>SW1 8JR</t>
  </si>
  <si>
    <t>(71) 555-4848</t>
  </si>
  <si>
    <t>Steven Buchanan graduated from St. Andrews University, Scotland, with a BSC degree in 1976.  Upon joining the company as a sales representative in 1992, he spent 6 months in an orientation program at the Seattle office and then returned to his permanent po</t>
  </si>
  <si>
    <t>http://accweb/emmployees/buchanan.bmp</t>
  </si>
  <si>
    <t>Business</t>
  </si>
  <si>
    <t>BSc</t>
  </si>
  <si>
    <t>administration</t>
  </si>
  <si>
    <t>Suyama</t>
  </si>
  <si>
    <t>Michael</t>
  </si>
  <si>
    <t>Coventry House Miner Rd.</t>
  </si>
  <si>
    <t>EC2 7JR</t>
  </si>
  <si>
    <t>(71) 555-7773</t>
  </si>
  <si>
    <t>Michael is a graduate of Sussex University (MA, economics, 1983) and the University of California at Los Angeles (MBA, marketing, 1986).  He has also taken the courses "Multi-Cultural Selling" and "Time Management for the Sales Professional."  He is fluent</t>
  </si>
  <si>
    <t>Economics / Marketing</t>
  </si>
  <si>
    <t>MA, MBA</t>
  </si>
  <si>
    <t>King</t>
  </si>
  <si>
    <t>Robert</t>
  </si>
  <si>
    <t>Edgeham Hollow Winchester Way</t>
  </si>
  <si>
    <t>RG1 9SP</t>
  </si>
  <si>
    <t>(71) 555-5598</t>
  </si>
  <si>
    <t>Robert King served in the Peace Corps and traveled extensively before completing his degree in English at the University of Michigan in 1992, the year he joined the company.  After completing a course entitled "Selling in Europe," he was transferred to the</t>
  </si>
  <si>
    <t>Callahan</t>
  </si>
  <si>
    <t>Laura</t>
  </si>
  <si>
    <t>Inside Sales Coordinator</t>
  </si>
  <si>
    <t>4726 - 11th Ave. N.E.</t>
  </si>
  <si>
    <t>(206) 555-1189</t>
  </si>
  <si>
    <t>Laura received a BA in psychology from the University of Washington.  She has also completed a course in business French.  She reads and writes French.</t>
  </si>
  <si>
    <t>Dodsworth</t>
  </si>
  <si>
    <t>Anne</t>
  </si>
  <si>
    <t>7 Houndstooth Rd.</t>
  </si>
  <si>
    <t>WG2 7LT</t>
  </si>
  <si>
    <t>(71) 555-4444</t>
  </si>
  <si>
    <t>Anne has a BA degree in English from St. Lawrence College.  She is fluent in French and German.</t>
  </si>
  <si>
    <t>shipperID</t>
  </si>
  <si>
    <t>Speedy Express</t>
  </si>
  <si>
    <t>(503) 555-9831</t>
  </si>
  <si>
    <t>United Package</t>
  </si>
  <si>
    <t>(503) 555-3199</t>
  </si>
  <si>
    <t>Federal Shipping</t>
  </si>
  <si>
    <t>(503) 555-9931</t>
  </si>
  <si>
    <t>productName</t>
  </si>
  <si>
    <t>supplierID</t>
  </si>
  <si>
    <t>categoryID</t>
  </si>
  <si>
    <t>quantityPerUnit</t>
  </si>
  <si>
    <t>unitsInStock</t>
  </si>
  <si>
    <t>unitsOnOrder</t>
  </si>
  <si>
    <t>reorderLevel</t>
  </si>
  <si>
    <t>discontinued</t>
  </si>
  <si>
    <t>Chai</t>
  </si>
  <si>
    <t>10 boxes x 20 bags</t>
  </si>
  <si>
    <t>Chang</t>
  </si>
  <si>
    <t>24 - 12 oz bottles</t>
  </si>
  <si>
    <t>Aniseed Syrup</t>
  </si>
  <si>
    <t>12 - 550 ml bottles</t>
  </si>
  <si>
    <t>Chef Anton's Cajun Seasoning</t>
  </si>
  <si>
    <t>48 - 6 oz jars</t>
  </si>
  <si>
    <t>Chef Anton's Gumbo Mix</t>
  </si>
  <si>
    <t>36 boxes</t>
  </si>
  <si>
    <t>Grandma's Boysenberry Spread</t>
  </si>
  <si>
    <t>12 - 8 oz jars</t>
  </si>
  <si>
    <t>Uncle Bob's Organic Dried Pears</t>
  </si>
  <si>
    <t>12 - 1 lb pkgs.</t>
  </si>
  <si>
    <t>Northwoods Cranberry Sauce</t>
  </si>
  <si>
    <t>12 - 12 oz jars</t>
  </si>
  <si>
    <t>Mishi Kobe Niku</t>
  </si>
  <si>
    <t>18 - 500 g pkgs.</t>
  </si>
  <si>
    <t>Ikura</t>
  </si>
  <si>
    <t>12 - 200 ml jars</t>
  </si>
  <si>
    <t>Queso Cabrales</t>
  </si>
  <si>
    <t>1 kg pkg.</t>
  </si>
  <si>
    <t>Queso Manchego La Pastora</t>
  </si>
  <si>
    <t>10 - 500 g pkgs.</t>
  </si>
  <si>
    <t>Konbu</t>
  </si>
  <si>
    <t>2 kg box</t>
  </si>
  <si>
    <t>Tofu</t>
  </si>
  <si>
    <t>40 - 100 g pkgs.</t>
  </si>
  <si>
    <t>Genen Shouyu</t>
  </si>
  <si>
    <t>24 - 250 ml bottles</t>
  </si>
  <si>
    <t>Pavlova</t>
  </si>
  <si>
    <t>32 - 500 g boxes</t>
  </si>
  <si>
    <t>Alice Mutton</t>
  </si>
  <si>
    <t>20 - 1 kg tins</t>
  </si>
  <si>
    <t>Carnarvon Tigers</t>
  </si>
  <si>
    <t>16 kg pkg.</t>
  </si>
  <si>
    <t>Teatime Chocolate Biscuits</t>
  </si>
  <si>
    <t>10 boxes x 12 pieces</t>
  </si>
  <si>
    <t>Sir Rodney's Marmalade</t>
  </si>
  <si>
    <t>30 gift boxes</t>
  </si>
  <si>
    <t>Sir Rodney's Scones</t>
  </si>
  <si>
    <t>24 pkgs. x 4 pieces</t>
  </si>
  <si>
    <t>Gustaf's Knäckebröd</t>
  </si>
  <si>
    <t>24 - 500 g pkgs.</t>
  </si>
  <si>
    <t>Tunnbröd</t>
  </si>
  <si>
    <t>12 - 250 g pkgs.</t>
  </si>
  <si>
    <t>Guaraná Fantástica</t>
  </si>
  <si>
    <t>12 - 355 ml cans</t>
  </si>
  <si>
    <t>NuNuCa Nuß-Nougat-Creme</t>
  </si>
  <si>
    <t>20 - 450 g glasses</t>
  </si>
  <si>
    <t>Gumbär Gummibärchen</t>
  </si>
  <si>
    <t>100 - 250 g bags</t>
  </si>
  <si>
    <t>Schoggi Schokolade</t>
  </si>
  <si>
    <t>100 - 100 g pieces</t>
  </si>
  <si>
    <t>Rössle Sauerkraut</t>
  </si>
  <si>
    <t>25 - 825 g cans</t>
  </si>
  <si>
    <t>Thüringer Rostbratwurst</t>
  </si>
  <si>
    <t>50 bags x 30 sausgs.</t>
  </si>
  <si>
    <t>Nord-Ost Matjeshering</t>
  </si>
  <si>
    <t>10 - 200 g glasses</t>
  </si>
  <si>
    <t>Gorgonzola Telino</t>
  </si>
  <si>
    <t>12 - 100 g pkgs</t>
  </si>
  <si>
    <t>Mascarpone Fabioli</t>
  </si>
  <si>
    <t>24 - 200 g pkgs.</t>
  </si>
  <si>
    <t>Geitost</t>
  </si>
  <si>
    <t>500 g</t>
  </si>
  <si>
    <t>Sasquatch Ale</t>
  </si>
  <si>
    <t>Steeleye Stout</t>
  </si>
  <si>
    <t>Inlagd Sill</t>
  </si>
  <si>
    <t>24 - 250 g  jars</t>
  </si>
  <si>
    <t>Gravad lax</t>
  </si>
  <si>
    <t>12 - 500 g pkgs.</t>
  </si>
  <si>
    <t>Côte de Blaye</t>
  </si>
  <si>
    <t>12 - 75 cl bottles</t>
  </si>
  <si>
    <t>Chartreuse verte</t>
  </si>
  <si>
    <t>750 cc per bottle</t>
  </si>
  <si>
    <t>Boston Crab Meat</t>
  </si>
  <si>
    <t>24 - 4 oz tins</t>
  </si>
  <si>
    <t>Jack's New England Clam Chowder</t>
  </si>
  <si>
    <t>12 - 12 oz cans</t>
  </si>
  <si>
    <t>Singaporean Hokkien Fried Mee</t>
  </si>
  <si>
    <t>32 - 1 kg pkgs.</t>
  </si>
  <si>
    <t>Ipoh Coffee</t>
  </si>
  <si>
    <t>16 - 500 g tins</t>
  </si>
  <si>
    <t>Gula Malacca</t>
  </si>
  <si>
    <t>20 - 2 kg bags</t>
  </si>
  <si>
    <t>Rogede sild</t>
  </si>
  <si>
    <t>1k pkg.</t>
  </si>
  <si>
    <t>Spegesild</t>
  </si>
  <si>
    <t>4 - 450 g glasses</t>
  </si>
  <si>
    <t>Zaanse koeken</t>
  </si>
  <si>
    <t>10 - 4 oz boxes</t>
  </si>
  <si>
    <t>Chocolade</t>
  </si>
  <si>
    <t>10 pkgs.</t>
  </si>
  <si>
    <t>Maxilaku</t>
  </si>
  <si>
    <t>24 - 50 g pkgs.</t>
  </si>
  <si>
    <t>Valkoinen suklaa</t>
  </si>
  <si>
    <t>12 - 100 g bars</t>
  </si>
  <si>
    <t>Manjimup Dried Apples</t>
  </si>
  <si>
    <t>50 - 300 g pkgs.</t>
  </si>
  <si>
    <t>Filo Mix</t>
  </si>
  <si>
    <t>16 - 2 kg boxes</t>
  </si>
  <si>
    <t>Perth Pasties</t>
  </si>
  <si>
    <t>48 pieces</t>
  </si>
  <si>
    <t>Tourtière</t>
  </si>
  <si>
    <t>16 pies</t>
  </si>
  <si>
    <t>Pâté chinois</t>
  </si>
  <si>
    <t>24 boxes x 2 pies</t>
  </si>
  <si>
    <t>Gnocchi di nonna Alice</t>
  </si>
  <si>
    <t>24 - 250 g pkgs.</t>
  </si>
  <si>
    <t>Ravioli Angelo</t>
  </si>
  <si>
    <t>Escargots de Bourgogne</t>
  </si>
  <si>
    <t>24 pieces</t>
  </si>
  <si>
    <t>Raclette Courdavault</t>
  </si>
  <si>
    <t>5 kg pkg.</t>
  </si>
  <si>
    <t>Camembert Pierrot</t>
  </si>
  <si>
    <t>15 - 300 g rounds</t>
  </si>
  <si>
    <t>Sirop d'érable</t>
  </si>
  <si>
    <t>24 - 500 ml bottles</t>
  </si>
  <si>
    <t>Tarte au sucre</t>
  </si>
  <si>
    <t>48 pies</t>
  </si>
  <si>
    <t>Vegie-spread</t>
  </si>
  <si>
    <t>15 - 625 g jars</t>
  </si>
  <si>
    <t>Wimmers gute Semmelknödel</t>
  </si>
  <si>
    <t>20 bags x 4 pieces</t>
  </si>
  <si>
    <t>Louisiana Fiery Hot Pepper Sauce</t>
  </si>
  <si>
    <t>32 - 8 oz bottles</t>
  </si>
  <si>
    <t>Louisiana Hot Spiced Okra</t>
  </si>
  <si>
    <t>24 - 8 oz jars</t>
  </si>
  <si>
    <t>Laughing Lumberjack Lager</t>
  </si>
  <si>
    <t>Scottish Longbreads</t>
  </si>
  <si>
    <t>10 boxes x 8 pieces</t>
  </si>
  <si>
    <t>Gudbrandsdalsost</t>
  </si>
  <si>
    <t>10 kg pkg.</t>
  </si>
  <si>
    <t>Outback Lager</t>
  </si>
  <si>
    <t>24 - 355 ml bottles</t>
  </si>
  <si>
    <t>Flotemysost</t>
  </si>
  <si>
    <t>Mozzarella di Giovanni</t>
  </si>
  <si>
    <t>Röd Kaviar</t>
  </si>
  <si>
    <t>24 - 150 g jars</t>
  </si>
  <si>
    <t>Longlife Tofu</t>
  </si>
  <si>
    <t>Rhönbräu Klosterbier</t>
  </si>
  <si>
    <t>24 - 0.5 l bottles</t>
  </si>
  <si>
    <t>Lakkalikööri</t>
  </si>
  <si>
    <t>500 ml</t>
  </si>
  <si>
    <t>Original Frankfurter grüne Soße</t>
  </si>
  <si>
    <t>12 boxes</t>
  </si>
  <si>
    <t>Exotic Liquids</t>
  </si>
  <si>
    <t>Charlotte Cooper</t>
  </si>
  <si>
    <t>Purchasing Manager</t>
  </si>
  <si>
    <t>49 Gilbert St.</t>
  </si>
  <si>
    <t>EC1 4SD</t>
  </si>
  <si>
    <t>(171) 555-2222</t>
  </si>
  <si>
    <t>New Orleans Cajun Delights</t>
  </si>
  <si>
    <t>Shelley Burke</t>
  </si>
  <si>
    <t>P.O. Box 78934</t>
  </si>
  <si>
    <t>New Orleans</t>
  </si>
  <si>
    <t>LA</t>
  </si>
  <si>
    <t>(100) 555-4822</t>
  </si>
  <si>
    <t>Grandma Kelly's Homestead</t>
  </si>
  <si>
    <t>Regina Murphy</t>
  </si>
  <si>
    <t>707 Oxford Rd.</t>
  </si>
  <si>
    <t>Ann Arbor</t>
  </si>
  <si>
    <t>MI</t>
  </si>
  <si>
    <t>(313) 555-5735</t>
  </si>
  <si>
    <t>(313) 555-3349</t>
  </si>
  <si>
    <t>Tokyo Traders</t>
  </si>
  <si>
    <t>Yoshi Nagase</t>
  </si>
  <si>
    <t>9-8 Sekimai Musashino-shi</t>
  </si>
  <si>
    <t>Tokyo</t>
  </si>
  <si>
    <t>Japan</t>
  </si>
  <si>
    <t>(03) 3555-5011</t>
  </si>
  <si>
    <t>Cooperativa de Quesos 'Las Cabras'</t>
  </si>
  <si>
    <t>Antonio del Valle Saavedra</t>
  </si>
  <si>
    <t>Export Administrator</t>
  </si>
  <si>
    <t>Calle del Rosal 4</t>
  </si>
  <si>
    <t>Oviedo</t>
  </si>
  <si>
    <t>Asturias</t>
  </si>
  <si>
    <t>(98) 598 76 54</t>
  </si>
  <si>
    <t>Mayumi's</t>
  </si>
  <si>
    <t>Mayumi Ohno</t>
  </si>
  <si>
    <t>Marketing Representative</t>
  </si>
  <si>
    <t>92 Setsuko Chuo-ku</t>
  </si>
  <si>
    <t>Osaka</t>
  </si>
  <si>
    <t>(06) 431-7877</t>
  </si>
  <si>
    <t> Ltd.</t>
  </si>
  <si>
    <t>Ian Devling</t>
  </si>
  <si>
    <t>Marketing Manager 74 Rose St. Moonie Ponds</t>
  </si>
  <si>
    <t>Melbourne</t>
  </si>
  <si>
    <t>Victoria</t>
  </si>
  <si>
    <t>Australia</t>
  </si>
  <si>
    <t>(03) 444-2343</t>
  </si>
  <si>
    <t>(03) 444-6588</t>
  </si>
  <si>
    <t>Specialty Biscuits</t>
  </si>
  <si>
    <t>Peter Wilson</t>
  </si>
  <si>
    <t>Sales Representative 29 King's Way</t>
  </si>
  <si>
    <t>Manchester</t>
  </si>
  <si>
    <t>M14 GSD</t>
  </si>
  <si>
    <t>(161) 555-4448</t>
  </si>
  <si>
    <t>PB Knäckebröd AB</t>
  </si>
  <si>
    <t>Lars Peterson</t>
  </si>
  <si>
    <t>Kaloadagatan 13</t>
  </si>
  <si>
    <t>Göteborg</t>
  </si>
  <si>
    <t>S-345 67</t>
  </si>
  <si>
    <t>031-987 65 43</t>
  </si>
  <si>
    <t>031-987 65 91</t>
  </si>
  <si>
    <t>Refrescos Americanas LTDA</t>
  </si>
  <si>
    <t>Carlos Diaz</t>
  </si>
  <si>
    <t>Av. das Americanas 12.890</t>
  </si>
  <si>
    <t>(11) 555 4640</t>
  </si>
  <si>
    <t>Heli Süßwaren GmbH &amp; Co. KG</t>
  </si>
  <si>
    <t>Petra Winkler</t>
  </si>
  <si>
    <t>Tiergartenstraße 5</t>
  </si>
  <si>
    <t>(010) 9984510</t>
  </si>
  <si>
    <t>Plutzer Lebensmittelgroßmärkte AG</t>
  </si>
  <si>
    <t>Martin Bein</t>
  </si>
  <si>
    <t>International Marketing Mgr.</t>
  </si>
  <si>
    <t>Bogenallee 51</t>
  </si>
  <si>
    <t>Frankfurt</t>
  </si>
  <si>
    <t>(069) 992755</t>
  </si>
  <si>
    <t>Nord-Ost-Fisch Handelsgesellschaft mbH</t>
  </si>
  <si>
    <t>Sven Petersen</t>
  </si>
  <si>
    <t>Coordinator Foreign Markets</t>
  </si>
  <si>
    <t>Frahmredder 112a</t>
  </si>
  <si>
    <t>Cuxhaven</t>
  </si>
  <si>
    <t>(04721) 8713</t>
  </si>
  <si>
    <t>(04721) 8714</t>
  </si>
  <si>
    <t>Formaggi Fortini s.r.l.</t>
  </si>
  <si>
    <t>Elio Rossi</t>
  </si>
  <si>
    <t>Viale Dante 75</t>
  </si>
  <si>
    <t>Ravenna</t>
  </si>
  <si>
    <t>(0544) 60323</t>
  </si>
  <si>
    <t>(0544) 60603</t>
  </si>
  <si>
    <t>Norske Meierier</t>
  </si>
  <si>
    <t>Beate Vileid</t>
  </si>
  <si>
    <t>Hatlevegen 5</t>
  </si>
  <si>
    <t>Sandvika</t>
  </si>
  <si>
    <t>(0)2-953010</t>
  </si>
  <si>
    <t>Bigfoot Breweries</t>
  </si>
  <si>
    <t>Cheryl Saylor</t>
  </si>
  <si>
    <t>Regional Account Rep.</t>
  </si>
  <si>
    <t>3400 - 8th Avenue Suite 210</t>
  </si>
  <si>
    <t>Bend</t>
  </si>
  <si>
    <t>Svensk Sjöföda AB</t>
  </si>
  <si>
    <t>Michael Björn</t>
  </si>
  <si>
    <t>Brovallavägen 231</t>
  </si>
  <si>
    <t>Stockholm</t>
  </si>
  <si>
    <t>S-123 45</t>
  </si>
  <si>
    <t>08-123 45 67</t>
  </si>
  <si>
    <t>Aux joyeux ecclésiastiques</t>
  </si>
  <si>
    <t>Guylène Nodier</t>
  </si>
  <si>
    <t>203  Rue des Francs-Bourgeois</t>
  </si>
  <si>
    <t>(1) 03.83.00.68</t>
  </si>
  <si>
    <t>(1) 03.83.00.62</t>
  </si>
  <si>
    <t>New England Seafood Cannery</t>
  </si>
  <si>
    <t>Robb Merchant</t>
  </si>
  <si>
    <t>Wholesale Account Agent</t>
  </si>
  <si>
    <t>Order Processing Dept. 2100 Paul Revere Blvd.</t>
  </si>
  <si>
    <t>Boston</t>
  </si>
  <si>
    <t>MA</t>
  </si>
  <si>
    <t>(617) 555-3267</t>
  </si>
  <si>
    <t>(617) 555-3389</t>
  </si>
  <si>
    <t>Leka Trading</t>
  </si>
  <si>
    <t>Chandra Leka</t>
  </si>
  <si>
    <t>471 Serangoon Loop Suite #402</t>
  </si>
  <si>
    <t>Singapore</t>
  </si>
  <si>
    <t>555-8787</t>
  </si>
  <si>
    <t>Lyngbysild</t>
  </si>
  <si>
    <t>Niels Petersen</t>
  </si>
  <si>
    <t>Lyngbysild Fiskebakken 10</t>
  </si>
  <si>
    <t>Lyngby</t>
  </si>
  <si>
    <t>Zaanse Snoepfabriek</t>
  </si>
  <si>
    <t>Dirk Luchte</t>
  </si>
  <si>
    <t>Verkoop Rijnweg 22</t>
  </si>
  <si>
    <t>Zaandam</t>
  </si>
  <si>
    <t>9999 ZZ</t>
  </si>
  <si>
    <t>Netherlands</t>
  </si>
  <si>
    <t>(12345) 1212</t>
  </si>
  <si>
    <t>(12345) 1210</t>
  </si>
  <si>
    <t>Karkki Oy</t>
  </si>
  <si>
    <t>Anne Heikkonen</t>
  </si>
  <si>
    <t>Product Manager</t>
  </si>
  <si>
    <t>Valtakatu 12</t>
  </si>
  <si>
    <t>Lappeenranta</t>
  </si>
  <si>
    <t>(953) 10956</t>
  </si>
  <si>
    <t>G'day</t>
  </si>
  <si>
    <t> Mate</t>
  </si>
  <si>
    <t>Wendy Mackenzie</t>
  </si>
  <si>
    <t>Sales Representative 170 Prince Edward Parade Hunter's Hill</t>
  </si>
  <si>
    <t>Sydney</t>
  </si>
  <si>
    <t>NSW</t>
  </si>
  <si>
    <t>(02) 555-5914</t>
  </si>
  <si>
    <t>(02) 555-4873</t>
  </si>
  <si>
    <t>Ma Maison</t>
  </si>
  <si>
    <t>Jean-Guy Lauzon</t>
  </si>
  <si>
    <t>2960 Rue St. Laurent</t>
  </si>
  <si>
    <t>(514) 555-9022</t>
  </si>
  <si>
    <t>Pasta Buttini s.r.l.</t>
  </si>
  <si>
    <t>Giovanni Giudici</t>
  </si>
  <si>
    <t>Via dei Gelsomini 153</t>
  </si>
  <si>
    <t>Salerno</t>
  </si>
  <si>
    <t>(089) 6547665</t>
  </si>
  <si>
    <t>(089) 6547667</t>
  </si>
  <si>
    <t>Escargots Nouveaux</t>
  </si>
  <si>
    <t>Marie Delamare</t>
  </si>
  <si>
    <t>22  rue H. Voiron</t>
  </si>
  <si>
    <t>Montceau</t>
  </si>
  <si>
    <t>85.57.00.07</t>
  </si>
  <si>
    <t>Gai pâturage</t>
  </si>
  <si>
    <t>Eliane Noz</t>
  </si>
  <si>
    <t>Bat. B 3  rue des Alpes</t>
  </si>
  <si>
    <t>Annecy</t>
  </si>
  <si>
    <t>38.76.98.06</t>
  </si>
  <si>
    <t>38.76.98.58</t>
  </si>
  <si>
    <t>Forêts d'érables</t>
  </si>
  <si>
    <t>Chantal Goulet</t>
  </si>
  <si>
    <t>148 rue Chasseur</t>
  </si>
  <si>
    <t>Ste-Hyacinthe</t>
  </si>
  <si>
    <t>J2S 7S8</t>
  </si>
  <si>
    <t>(514) 555-2955</t>
  </si>
  <si>
    <t>(514) 555-2921</t>
  </si>
  <si>
    <t>categoryName</t>
  </si>
  <si>
    <t>description</t>
  </si>
  <si>
    <t>Beverages</t>
  </si>
  <si>
    <t>Soft drinks, coffees, teas, beers, and ales</t>
  </si>
  <si>
    <t>Condiments</t>
  </si>
  <si>
    <t>Sweet and savory sauces, relishes, spreads, and seasonings</t>
  </si>
  <si>
    <t>Confections</t>
  </si>
  <si>
    <t>Desserts, candies, and sweet breads</t>
  </si>
  <si>
    <t>Dairy Products</t>
  </si>
  <si>
    <t>Cheeses</t>
  </si>
  <si>
    <t>Grains/Cereals</t>
  </si>
  <si>
    <t>Breads, crackers, pasta, and cereal</t>
  </si>
  <si>
    <t>Meat/Poultry</t>
  </si>
  <si>
    <t>Prepared meats</t>
  </si>
  <si>
    <t>Produce</t>
  </si>
  <si>
    <t>Dried fruit and bean curd</t>
  </si>
  <si>
    <t>Seafood</t>
  </si>
  <si>
    <t>Seaweed and fish</t>
  </si>
  <si>
    <t>Nombre</t>
  </si>
  <si>
    <t>Rango</t>
  </si>
  <si>
    <t>Campo</t>
  </si>
  <si>
    <t>Tipo</t>
  </si>
  <si>
    <t>Faltantes</t>
  </si>
  <si>
    <t>Descripcion</t>
  </si>
  <si>
    <t>Analizable</t>
  </si>
  <si>
    <t>Orders</t>
  </si>
  <si>
    <t>A2:A831</t>
  </si>
  <si>
    <t>#Orden</t>
  </si>
  <si>
    <t>B2:B831</t>
  </si>
  <si>
    <t>#Cliente</t>
  </si>
  <si>
    <t>C2:C831</t>
  </si>
  <si>
    <t>#Empleado</t>
  </si>
  <si>
    <t>D2:D831</t>
  </si>
  <si>
    <t>Fecha</t>
  </si>
  <si>
    <t>Fecha de solicitud</t>
  </si>
  <si>
    <t>E2:E831</t>
  </si>
  <si>
    <t>Fecha de requerimiento</t>
  </si>
  <si>
    <t>F2:F831</t>
  </si>
  <si>
    <t>Fecha de envío</t>
  </si>
  <si>
    <t>G2:G831</t>
  </si>
  <si>
    <t>#Transportista</t>
  </si>
  <si>
    <t>H2:H831</t>
  </si>
  <si>
    <t>Moneda</t>
  </si>
  <si>
    <t>Costo de envío</t>
  </si>
  <si>
    <t>I2:I831</t>
  </si>
  <si>
    <t>Texto</t>
  </si>
  <si>
    <t>Nombre del comercio de envío</t>
  </si>
  <si>
    <t>J2:J831</t>
  </si>
  <si>
    <t>Dirección envío</t>
  </si>
  <si>
    <t>K2:K831</t>
  </si>
  <si>
    <t>Categoria</t>
  </si>
  <si>
    <t>Ciudad de envío</t>
  </si>
  <si>
    <t>L2:L831</t>
  </si>
  <si>
    <t>Región de envío</t>
  </si>
  <si>
    <t>M2:M831</t>
  </si>
  <si>
    <t>Código postal envío</t>
  </si>
  <si>
    <t>N2:N831</t>
  </si>
  <si>
    <t>País envío</t>
  </si>
  <si>
    <t>OrderDetails</t>
  </si>
  <si>
    <t>A2:A2156</t>
  </si>
  <si>
    <t>B2:B2156</t>
  </si>
  <si>
    <t>#Producto</t>
  </si>
  <si>
    <t>C2:C2156</t>
  </si>
  <si>
    <t>Precio unitario</t>
  </si>
  <si>
    <t>D2:D2156</t>
  </si>
  <si>
    <t>Entero</t>
  </si>
  <si>
    <t>Cantidad solicitada</t>
  </si>
  <si>
    <t>E2:E2156</t>
  </si>
  <si>
    <t>Porcentaje</t>
  </si>
  <si>
    <t>Descuento aplicado</t>
  </si>
  <si>
    <t>Customers</t>
  </si>
  <si>
    <t>A2:A92</t>
  </si>
  <si>
    <t>B2:B92</t>
  </si>
  <si>
    <t>Nombre del comercio</t>
  </si>
  <si>
    <t>C2:C92</t>
  </si>
  <si>
    <t>Persona de contacto del comercio</t>
  </si>
  <si>
    <t>D2:D92</t>
  </si>
  <si>
    <t>Puesto de la persona de contacto del comercio</t>
  </si>
  <si>
    <t>E2:E92</t>
  </si>
  <si>
    <t>Dirección del comercio</t>
  </si>
  <si>
    <t>F2:F92</t>
  </si>
  <si>
    <t>Ciudad del comercio</t>
  </si>
  <si>
    <t>G2:G92</t>
  </si>
  <si>
    <t>Región del comercio</t>
  </si>
  <si>
    <t>H2:H92</t>
  </si>
  <si>
    <t>Código postal comercio</t>
  </si>
  <si>
    <t>I2:I92</t>
  </si>
  <si>
    <t>País del comercio</t>
  </si>
  <si>
    <t>J2:J92</t>
  </si>
  <si>
    <t>Teléfono del comercio</t>
  </si>
  <si>
    <t>K2:K92</t>
  </si>
  <si>
    <t>Fax del comercio</t>
  </si>
  <si>
    <t>Employees</t>
  </si>
  <si>
    <t>A2:A9</t>
  </si>
  <si>
    <t>B2:B9</t>
  </si>
  <si>
    <t>Apellido del empleado</t>
  </si>
  <si>
    <t>C2:C9</t>
  </si>
  <si>
    <t>Nombre del empleado</t>
  </si>
  <si>
    <t>D2:D9</t>
  </si>
  <si>
    <t>Puesto</t>
  </si>
  <si>
    <t>E2:E9</t>
  </si>
  <si>
    <t>Referencia educativa</t>
  </si>
  <si>
    <t>F2:F9</t>
  </si>
  <si>
    <t>Fecha de nacimiento</t>
  </si>
  <si>
    <t>G2:G9</t>
  </si>
  <si>
    <t>Fecha de contratación</t>
  </si>
  <si>
    <t>H2:H9</t>
  </si>
  <si>
    <t>Dirección del empleado</t>
  </si>
  <si>
    <t>I2:I9</t>
  </si>
  <si>
    <t>Ciudad del empleado</t>
  </si>
  <si>
    <t>J2:J9</t>
  </si>
  <si>
    <t>Región del empleado</t>
  </si>
  <si>
    <t>K2:K9</t>
  </si>
  <si>
    <t>Código postal del empleado</t>
  </si>
  <si>
    <t>L2:L9</t>
  </si>
  <si>
    <t>País del empleado</t>
  </si>
  <si>
    <t>M2:M9</t>
  </si>
  <si>
    <t>Teléfono del empleado</t>
  </si>
  <si>
    <t>N2:N9</t>
  </si>
  <si>
    <t>Extensión del teléfono</t>
  </si>
  <si>
    <t>O2:O9</t>
  </si>
  <si>
    <t>Notas y comentarios</t>
  </si>
  <si>
    <t>P2:P9</t>
  </si>
  <si>
    <t>ID del jefe inmediato</t>
  </si>
  <si>
    <t>Q2:Q9</t>
  </si>
  <si>
    <t>Foto del empleado</t>
  </si>
  <si>
    <t>R2:R9</t>
  </si>
  <si>
    <t>Educación principal</t>
  </si>
  <si>
    <t>S2:S9</t>
  </si>
  <si>
    <t>Grado académico (BA, MA, PhD…)</t>
  </si>
  <si>
    <t>T2:T9</t>
  </si>
  <si>
    <t>Área / modalidad (Arts, Science…)</t>
  </si>
  <si>
    <t>U2:U9</t>
  </si>
  <si>
    <t>Binario</t>
  </si>
  <si>
    <t>Especialización académica</t>
  </si>
  <si>
    <t>V2:V9</t>
  </si>
  <si>
    <t>Tipo de educación (Psychology…)</t>
  </si>
  <si>
    <t>W2:W9</t>
  </si>
  <si>
    <t>Cursos adicionales o certificados</t>
  </si>
  <si>
    <t>X2:X9</t>
  </si>
  <si>
    <t>Habla francés</t>
  </si>
  <si>
    <t>Y2:Y9</t>
  </si>
  <si>
    <t>Habla alemán</t>
  </si>
  <si>
    <t>Z2:Z9</t>
  </si>
  <si>
    <t>Experiencia internacional</t>
  </si>
  <si>
    <t>AA2:AA9</t>
  </si>
  <si>
    <t>Enfoque en idiomas</t>
  </si>
  <si>
    <t>Shippers</t>
  </si>
  <si>
    <t>A2:A3</t>
  </si>
  <si>
    <t>B2:B3</t>
  </si>
  <si>
    <t>Nombre del transportista</t>
  </si>
  <si>
    <t>C2:C3</t>
  </si>
  <si>
    <t>Teléfono del transportista</t>
  </si>
  <si>
    <t>Products</t>
  </si>
  <si>
    <t>A2:A78</t>
  </si>
  <si>
    <t>B2:B78</t>
  </si>
  <si>
    <t>Nombre del producto</t>
  </si>
  <si>
    <t>C2:C78</t>
  </si>
  <si>
    <t>#Proveedor</t>
  </si>
  <si>
    <t>D2:D78</t>
  </si>
  <si>
    <t>#CategoríaProducto</t>
  </si>
  <si>
    <t>E2:E78</t>
  </si>
  <si>
    <t>Cantidad por pedido</t>
  </si>
  <si>
    <t>F2:F78</t>
  </si>
  <si>
    <t>G2:G78</t>
  </si>
  <si>
    <t>Unidades disponibles</t>
  </si>
  <si>
    <t>H2:H78</t>
  </si>
  <si>
    <t>Unidades en espera de abastecimiento</t>
  </si>
  <si>
    <t>I2:I78</t>
  </si>
  <si>
    <t>Nivel de abastecimiento</t>
  </si>
  <si>
    <t>J2:J78</t>
  </si>
  <si>
    <t>Descontinuado</t>
  </si>
  <si>
    <t>Suppliers</t>
  </si>
  <si>
    <t>A2:A30</t>
  </si>
  <si>
    <t>B2:B30</t>
  </si>
  <si>
    <t>Nombre del proveedor</t>
  </si>
  <si>
    <t>C2:C30</t>
  </si>
  <si>
    <t>Persona de contacto del proveedor</t>
  </si>
  <si>
    <t>D2:D30</t>
  </si>
  <si>
    <t>Puesto de la persona de contacto del proveedor</t>
  </si>
  <si>
    <t>E2:E30</t>
  </si>
  <si>
    <t>Dirección del proveedor</t>
  </si>
  <si>
    <t>F2:F30</t>
  </si>
  <si>
    <t>Ciudad del proveedor</t>
  </si>
  <si>
    <t>G2:G30</t>
  </si>
  <si>
    <t>Región del proveedor</t>
  </si>
  <si>
    <t>H2:H30</t>
  </si>
  <si>
    <t>Código postal proveedor</t>
  </si>
  <si>
    <t>I2:I30</t>
  </si>
  <si>
    <t>País del proveedor</t>
  </si>
  <si>
    <t>J2:J30</t>
  </si>
  <si>
    <t>Teléfono del proveedor</t>
  </si>
  <si>
    <t>K2:K30</t>
  </si>
  <si>
    <t>Fax del proveedor</t>
  </si>
  <si>
    <t>Categories</t>
  </si>
  <si>
    <t>A2:A8</t>
  </si>
  <si>
    <t>B2:B8</t>
  </si>
  <si>
    <t>Nombre de la categoría</t>
  </si>
  <si>
    <t>C2:C8</t>
  </si>
  <si>
    <t>Descripción de la categoría</t>
  </si>
  <si>
    <t>D2:D8</t>
  </si>
  <si>
    <t>drinks</t>
  </si>
  <si>
    <t>Bebidas</t>
  </si>
  <si>
    <t>E2:E8</t>
  </si>
  <si>
    <t>species</t>
  </si>
  <si>
    <t>Especies</t>
  </si>
  <si>
    <t>F2:F8</t>
  </si>
  <si>
    <t>candies</t>
  </si>
  <si>
    <t>Dulces</t>
  </si>
  <si>
    <t>G2:G8</t>
  </si>
  <si>
    <t>foods</t>
  </si>
  <si>
    <t>Alimentos</t>
  </si>
  <si>
    <t>H2:H8</t>
  </si>
  <si>
    <t>fruits</t>
  </si>
  <si>
    <t>Frutos y semillas</t>
  </si>
  <si>
    <t>I2:I8</t>
  </si>
  <si>
    <t>meat</t>
  </si>
  <si>
    <t>Carnes</t>
  </si>
  <si>
    <t>J2:J8</t>
  </si>
  <si>
    <t>bread</t>
  </si>
  <si>
    <t>Pan y cereales</t>
  </si>
  <si>
    <t>AnalisisSimple</t>
  </si>
  <si>
    <t>Indicador</t>
  </si>
  <si>
    <t>Total de órdenes</t>
  </si>
  <si>
    <t>TO</t>
  </si>
  <si>
    <t>Órdenes por cliente</t>
  </si>
  <si>
    <t>TOC</t>
  </si>
  <si>
    <t>• Órdenes por empleado
•  Clientes por empleado</t>
  </si>
  <si>
    <t>TOE
TO-CE</t>
  </si>
  <si>
    <t>Órdenes por fecha de solicitud</t>
  </si>
  <si>
    <t>TO-FS</t>
  </si>
  <si>
    <t>Días de requerimiento desde la solicitud</t>
  </si>
  <si>
    <t>D-S</t>
  </si>
  <si>
    <t>• Días de envío desde la solicitud
• Días de adelanto antes del requerimiento</t>
  </si>
  <si>
    <t>D-ES
D-AR</t>
  </si>
  <si>
    <t>Órdenes por transportista</t>
  </si>
  <si>
    <t>T-OT</t>
  </si>
  <si>
    <t>freight</t>
  </si>
  <si>
    <t>• Costo promedio de envío
• Costo total de envío
• Costo total de envío por cliente
• Costo total de envío por empleado
• Costo promedio de envío por empleado
• Costo total de envío por ciudad
• Costo total de envío por país
• Costo promedio de envío por país</t>
  </si>
  <si>
    <t xml:space="preserve">CXV
CYV
CY-VC
CY-VE
CY-VJ
CY-VK
CX-VK </t>
  </si>
  <si>
    <t>Órdenes por ciudad</t>
  </si>
  <si>
    <t>TOJ</t>
  </si>
  <si>
    <t>Órdenes por país</t>
  </si>
  <si>
    <t>TOK</t>
  </si>
  <si>
    <t>Total de detalles de órdenes</t>
  </si>
  <si>
    <t>T-OD</t>
  </si>
  <si>
    <t>Total de productos por orden (x cantidad)</t>
  </si>
  <si>
    <t>TOP</t>
  </si>
  <si>
    <t>unitPrice</t>
  </si>
  <si>
    <t>• Precio total por orden (x cantidad)
• Precio promedio por orden (x cantidad)
• Precio promedio por producto (x cantidad)
• Precio total por producto (x cantidad)</t>
  </si>
  <si>
    <t>UY
UX
UXP
UYP</t>
  </si>
  <si>
    <t>quantity</t>
  </si>
  <si>
    <t>Unidades por orden y producto</t>
  </si>
  <si>
    <t>QP</t>
  </si>
  <si>
    <t>• Descuento total por orden (precio x cantidad)
• Descuento total por orden y producto (precio x cantidad)</t>
  </si>
  <si>
    <t>DY
DYP</t>
  </si>
  <si>
    <t>Total de clientes</t>
  </si>
  <si>
    <t>TC</t>
  </si>
  <si>
    <t>• Clientes por puesto
• Total de propietarios
• Porcentaje de propietarios</t>
  </si>
  <si>
    <t>T-CH
T-CW
G-CW</t>
  </si>
  <si>
    <t>Clientes por ciudad</t>
  </si>
  <si>
    <t>T-CJ</t>
  </si>
  <si>
    <t>Clientes por país</t>
  </si>
  <si>
    <t>T-CK</t>
  </si>
  <si>
    <t>Total de Empleados</t>
  </si>
  <si>
    <t>TE</t>
  </si>
  <si>
    <t>Empleados por puesto</t>
  </si>
  <si>
    <t>E1</t>
  </si>
  <si>
    <t>Empleados por título educativo</t>
  </si>
  <si>
    <t>E2</t>
  </si>
  <si>
    <t>Empleados por edad</t>
  </si>
  <si>
    <t>Empleados por antigüedad en meses de contratación</t>
  </si>
  <si>
    <t>E3</t>
  </si>
  <si>
    <t>Empleados por ciudad</t>
  </si>
  <si>
    <t>EJ</t>
  </si>
  <si>
    <t>Empleados por país</t>
  </si>
  <si>
    <t>EK</t>
  </si>
  <si>
    <t>Empleados por jefe</t>
  </si>
  <si>
    <t>EE</t>
  </si>
  <si>
    <t>Empleados por carrera</t>
  </si>
  <si>
    <t>E4</t>
  </si>
  <si>
    <t>Empleados por tipo de carrera</t>
  </si>
  <si>
    <t>E5</t>
  </si>
  <si>
    <t>Empleados especialidos</t>
  </si>
  <si>
    <t>E6</t>
  </si>
  <si>
    <t>Empleados por tipo de educación</t>
  </si>
  <si>
    <t>E7</t>
  </si>
  <si>
    <t>Empleados por cursos extra</t>
  </si>
  <si>
    <t>E8</t>
  </si>
  <si>
    <t>Empleados con dominio del francés</t>
  </si>
  <si>
    <t>E9</t>
  </si>
  <si>
    <t>Empleados con dominio del alemán</t>
  </si>
  <si>
    <t>E-10</t>
  </si>
  <si>
    <t>Empleados con experiencia internacional</t>
  </si>
  <si>
    <t>E-11</t>
  </si>
  <si>
    <t>Empleados con enfoque en lenguas</t>
  </si>
  <si>
    <t>E-12</t>
  </si>
  <si>
    <t>Total de transportistas</t>
  </si>
  <si>
    <t>T-T</t>
  </si>
  <si>
    <t>Total de productos</t>
  </si>
  <si>
    <t>TP</t>
  </si>
  <si>
    <t>Total de productos por proveedor</t>
  </si>
  <si>
    <t>TPR</t>
  </si>
  <si>
    <t>Total de productos por categoría</t>
  </si>
  <si>
    <t>TPZ</t>
  </si>
  <si>
    <t>• Top de productos baratos
• Top de productos caros
• Precio promedio de los productos
• Precio mínimo de los productos
• Precio máximo de los productos
• Precio Q1 de los productos
• Precio Q2 de los productos
• Precio Q3 de los productos
• Precio máximo ajustado de los productos
• Precio mínimo ajustado de los productos</t>
  </si>
  <si>
    <t xml:space="preserve">LP-A
LP-B
XP
AP
BP
Q1P
Q2P
Q3P
A*P
B*P
</t>
  </si>
  <si>
    <t>• Productos sin existencias
• Total de productos sin existencias
• Precio acumulado en existencias por producto
• Total acumulado en existencia de los productos</t>
  </si>
  <si>
    <t>LP1
TP1
SP1
TSP1</t>
  </si>
  <si>
    <t>• Productos en abacestimiento
• Total de productos en abastecimiento
• Precio acumulado en abastecimiento por producto
• Total acumulado en abastecimiento de los productos</t>
  </si>
  <si>
    <t>LP2
TP2
SP2
TSP2</t>
  </si>
  <si>
    <t>• Demanda de los productos</t>
  </si>
  <si>
    <t>FP</t>
  </si>
  <si>
    <t>• Productos desconcontinuados
• Total de productos desconcontinuados
• Total acumulado de existencias en productos descontinuados
• Total acumulado de abastecimiento en productos descontinuados</t>
  </si>
  <si>
    <t>LP3
TP3
SP3
TSP3</t>
  </si>
  <si>
    <t>Total de proveedores</t>
  </si>
  <si>
    <t>TR</t>
  </si>
  <si>
    <t>Total de proveedores por puesto del contacto</t>
  </si>
  <si>
    <t>TR1</t>
  </si>
  <si>
    <t>Total de proveedores por ciudad</t>
  </si>
  <si>
    <t>TRJ</t>
  </si>
  <si>
    <t>Total de proveedores por país</t>
  </si>
  <si>
    <t>TRK</t>
  </si>
  <si>
    <t>Total de categorías</t>
  </si>
  <si>
    <t>TZ</t>
  </si>
  <si>
    <t>Z1</t>
  </si>
  <si>
    <t>Z2</t>
  </si>
  <si>
    <t>Z3</t>
  </si>
  <si>
    <t>Z4</t>
  </si>
  <si>
    <t>Z5</t>
  </si>
  <si>
    <t>Z6</t>
  </si>
  <si>
    <t>Z7</t>
  </si>
  <si>
    <t>Z8</t>
  </si>
  <si>
    <t>Dashboard de Órdenes</t>
  </si>
  <si>
    <t>Total</t>
  </si>
  <si>
    <t>Cliente</t>
  </si>
  <si>
    <t>Órdenes</t>
  </si>
  <si>
    <t>Empleado</t>
  </si>
  <si>
    <t>Clientes</t>
  </si>
  <si>
    <t>Desde</t>
  </si>
  <si>
    <t>Hasta</t>
  </si>
  <si>
    <t>Mes</t>
  </si>
  <si>
    <t>Transportista</t>
  </si>
  <si>
    <t>Días comp.</t>
  </si>
  <si>
    <t>Días env.</t>
  </si>
  <si>
    <t>Días falt.</t>
  </si>
  <si>
    <t xml:space="preserve"> </t>
  </si>
  <si>
    <t>TOE</t>
  </si>
  <si>
    <t>TO-CE</t>
  </si>
  <si>
    <t>D-ER</t>
  </si>
  <si>
    <t>D-AR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</si>
</sst>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Red]\-&quot;$&quot;#,##0.00"/>
    <numFmt numFmtId="171" formatCode="mmmm/yy"/>
    <numFmt numFmtId="173" formatCode="0.0"/>
  </numFmts>
  <fonts count="4" x14ac:knownFonts="1">
    <font>
      <sz val="12"/>
      <color theme="1"/>
      <name val="Aptos Narrow"/>
      <family val="2"/>
      <scheme val="minor"/>
    </font>
    <font>
      <sz val="12"/>
      <color theme="0"/>
      <name val="Aptos Narrow"/>
      <family val="2"/>
      <scheme val="minor"/>
    </font>
    <font>
      <sz val="12"/>
      <color rgb="FF000000"/>
      <name val="Aptos Narrow"/>
      <family val="2"/>
      <scheme val="minor"/>
    </font>
    <font>
      <sz val="12"/>
      <name val="Aptos Narrow"/>
    </font>
  </fonts>
  <fills count="10">
    <fill>
      <patternFill patternType="none"/>
    </fill>
    <fill>
      <patternFill patternType="gray125"/>
    </fill>
    <fill>
      <patternFill patternType="solid">
        <fgColor theme="8" tint="0.79998168889431442"/>
        <bgColor indexed="64"/>
      </patternFill>
    </fill>
    <fill>
      <patternFill patternType="solid">
        <fgColor rgb="FF00206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2"/>
        <bgColor indexed="64"/>
      </patternFill>
    </fill>
    <fill>
      <patternFill patternType="solid">
        <fgColor theme="4" tint="0.79998168889431442"/>
        <bgColor indexed="64"/>
      </patternFill>
    </fill>
    <fill>
      <patternFill patternType="solid">
        <fgColor theme="3" tint="0.89999084444715716"/>
        <bgColor indexed="64"/>
      </patternFill>
    </fill>
    <fill>
      <patternFill patternType="solid">
        <fgColor theme="1"/>
        <bgColor indexed="64"/>
      </patternFill>
    </fill>
  </fills>
  <borders count="18">
    <border>
      <left/>
      <right/>
      <top/>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s>
  <cellStyleXfs count="1">
    <xf numFmtId="0" fontId="0" fillId="0" borderId="0"/>
  </cellStyleXfs>
  <cellXfs count="64">
    <xf numFmtId="0" fontId="0" fillId="0" borderId="0" xfId="0"/>
    <xf numFmtId="14" fontId="0" fillId="0" borderId="0" xfId="0" applyNumberFormat="1"/>
    <xf numFmtId="8" fontId="0" fillId="0" borderId="0" xfId="0" applyNumberFormat="1"/>
    <xf numFmtId="9" fontId="0" fillId="0" borderId="0" xfId="0" applyNumberFormat="1"/>
    <xf numFmtId="0" fontId="0" fillId="0" borderId="1" xfId="0" applyBorder="1"/>
    <xf numFmtId="0" fontId="0" fillId="2" borderId="2" xfId="0" applyFill="1" applyBorder="1" applyAlignment="1">
      <alignment horizontal="center" vertical="center"/>
    </xf>
    <xf numFmtId="0" fontId="0" fillId="2" borderId="0" xfId="0" applyFill="1" applyAlignment="1">
      <alignment horizontal="center" vertical="center"/>
    </xf>
    <xf numFmtId="0" fontId="0" fillId="2" borderId="1" xfId="0" applyFill="1" applyBorder="1" applyAlignment="1">
      <alignment horizontal="center" vertical="center"/>
    </xf>
    <xf numFmtId="0" fontId="1" fillId="3" borderId="1" xfId="0" applyFont="1" applyFill="1" applyBorder="1"/>
    <xf numFmtId="0" fontId="0" fillId="0" borderId="2" xfId="0" applyBorder="1" applyAlignment="1">
      <alignment horizontal="center" vertical="center"/>
    </xf>
    <xf numFmtId="0" fontId="0" fillId="0" borderId="2" xfId="0" applyBorder="1"/>
    <xf numFmtId="0" fontId="0" fillId="0" borderId="0" xfId="0" applyBorder="1" applyAlignment="1">
      <alignment horizontal="center" vertical="center"/>
    </xf>
    <xf numFmtId="0" fontId="0" fillId="0" borderId="0" xfId="0" applyBorder="1"/>
    <xf numFmtId="0" fontId="0" fillId="0" borderId="1" xfId="0" applyBorder="1" applyAlignment="1">
      <alignment horizontal="center" vertical="center"/>
    </xf>
    <xf numFmtId="0" fontId="0" fillId="4" borderId="2" xfId="0" applyFill="1" applyBorder="1" applyAlignment="1">
      <alignment horizontal="center" vertical="center"/>
    </xf>
    <xf numFmtId="0" fontId="0" fillId="4" borderId="0" xfId="0" applyFill="1" applyBorder="1" applyAlignment="1">
      <alignment horizontal="center" vertical="center"/>
    </xf>
    <xf numFmtId="0" fontId="0" fillId="4" borderId="1" xfId="0" applyFill="1" applyBorder="1" applyAlignment="1">
      <alignment horizontal="center" vertical="center"/>
    </xf>
    <xf numFmtId="0" fontId="0" fillId="5" borderId="2" xfId="0" applyFill="1" applyBorder="1" applyAlignment="1">
      <alignment horizontal="center" vertical="center"/>
    </xf>
    <xf numFmtId="0" fontId="0" fillId="6" borderId="0" xfId="0" applyFill="1"/>
    <xf numFmtId="0" fontId="0" fillId="5" borderId="0" xfId="0" applyFill="1" applyBorder="1" applyAlignment="1">
      <alignment horizontal="center" vertical="center"/>
    </xf>
    <xf numFmtId="0" fontId="0" fillId="6" borderId="0" xfId="0" applyFill="1" applyBorder="1"/>
    <xf numFmtId="0" fontId="0" fillId="5" borderId="1" xfId="0" applyFill="1" applyBorder="1" applyAlignment="1">
      <alignment horizontal="center" vertical="center"/>
    </xf>
    <xf numFmtId="0" fontId="0" fillId="6" borderId="1" xfId="0" applyFill="1" applyBorder="1"/>
    <xf numFmtId="0" fontId="0" fillId="7" borderId="2" xfId="0" applyFill="1" applyBorder="1" applyAlignment="1">
      <alignment horizontal="center" vertical="center"/>
    </xf>
    <xf numFmtId="0" fontId="0" fillId="7" borderId="0" xfId="0" applyFill="1" applyBorder="1" applyAlignment="1">
      <alignment horizontal="center" vertical="center"/>
    </xf>
    <xf numFmtId="0" fontId="0" fillId="7" borderId="1" xfId="0" applyFill="1" applyBorder="1" applyAlignment="1">
      <alignment horizontal="center" vertical="center"/>
    </xf>
    <xf numFmtId="0" fontId="0" fillId="8" borderId="2" xfId="0" applyFill="1" applyBorder="1" applyAlignment="1">
      <alignment horizontal="center" vertical="center"/>
    </xf>
    <xf numFmtId="0" fontId="0" fillId="8" borderId="0" xfId="0" applyFill="1" applyBorder="1" applyAlignment="1">
      <alignment horizontal="center" vertical="center"/>
    </xf>
    <xf numFmtId="0" fontId="0" fillId="8" borderId="1" xfId="0" applyFill="1" applyBorder="1" applyAlignment="1">
      <alignment horizontal="center" vertical="center"/>
    </xf>
    <xf numFmtId="0" fontId="0" fillId="2" borderId="0" xfId="0" applyFill="1" applyBorder="1" applyAlignment="1">
      <alignment horizontal="center" vertical="center"/>
    </xf>
    <xf numFmtId="0" fontId="0" fillId="0" borderId="0" xfId="0" applyBorder="1" applyAlignment="1">
      <alignment wrapText="1"/>
    </xf>
    <xf numFmtId="0" fontId="0" fillId="0" borderId="1" xfId="0" applyBorder="1" applyAlignment="1">
      <alignment wrapText="1"/>
    </xf>
    <xf numFmtId="0" fontId="0" fillId="0" borderId="3" xfId="0" applyBorder="1"/>
    <xf numFmtId="0" fontId="2" fillId="0" borderId="0" xfId="0" applyFont="1"/>
    <xf numFmtId="171" fontId="2" fillId="0" borderId="0" xfId="0" applyNumberFormat="1" applyFont="1"/>
    <xf numFmtId="0" fontId="2" fillId="0" borderId="4" xfId="0" applyFont="1" applyBorder="1"/>
    <xf numFmtId="0" fontId="0" fillId="0" borderId="5" xfId="0" applyBorder="1"/>
    <xf numFmtId="0" fontId="0" fillId="0" borderId="4" xfId="0" applyBorder="1"/>
    <xf numFmtId="0" fontId="2" fillId="0" borderId="6" xfId="0" applyFont="1" applyBorder="1"/>
    <xf numFmtId="0" fontId="0" fillId="0" borderId="7" xfId="0" applyBorder="1"/>
    <xf numFmtId="0" fontId="0" fillId="0" borderId="8" xfId="0" applyBorder="1"/>
    <xf numFmtId="0" fontId="2" fillId="0" borderId="0" xfId="0" applyFont="1" applyBorder="1"/>
    <xf numFmtId="0" fontId="2" fillId="0" borderId="7" xfId="0" applyFont="1" applyBorder="1"/>
    <xf numFmtId="171" fontId="2" fillId="0" borderId="4" xfId="0" applyNumberFormat="1" applyFont="1" applyBorder="1"/>
    <xf numFmtId="0" fontId="0" fillId="0" borderId="0" xfId="0" applyNumberFormat="1" applyBorder="1"/>
    <xf numFmtId="171" fontId="2" fillId="0" borderId="6" xfId="0" applyNumberFormat="1" applyFont="1" applyBorder="1"/>
    <xf numFmtId="0" fontId="0" fillId="0" borderId="7" xfId="0" applyNumberFormat="1" applyBorder="1"/>
    <xf numFmtId="0" fontId="0" fillId="0" borderId="6" xfId="0" applyBorder="1"/>
    <xf numFmtId="0" fontId="0" fillId="0" borderId="9" xfId="0" applyBorder="1"/>
    <xf numFmtId="0" fontId="0" fillId="0" borderId="10" xfId="0" applyBorder="1"/>
    <xf numFmtId="0" fontId="0" fillId="0" borderId="14" xfId="0" applyBorder="1"/>
    <xf numFmtId="0" fontId="0" fillId="0" borderId="15" xfId="0" applyBorder="1"/>
    <xf numFmtId="0" fontId="1" fillId="9" borderId="0" xfId="0" applyFont="1" applyFill="1" applyAlignment="1">
      <alignment horizontal="center" vertical="center"/>
    </xf>
    <xf numFmtId="14" fontId="0" fillId="8" borderId="9" xfId="0" applyNumberFormat="1" applyFill="1" applyBorder="1"/>
    <xf numFmtId="14" fontId="0" fillId="8" borderId="10" xfId="0" applyNumberFormat="1" applyFill="1" applyBorder="1"/>
    <xf numFmtId="0" fontId="0" fillId="6" borderId="16" xfId="0" applyFill="1" applyBorder="1"/>
    <xf numFmtId="0" fontId="0" fillId="6" borderId="17" xfId="0" applyFill="1" applyBorder="1"/>
    <xf numFmtId="0" fontId="0" fillId="6" borderId="11" xfId="0" applyFill="1" applyBorder="1"/>
    <xf numFmtId="0" fontId="0" fillId="6" borderId="12" xfId="0" applyFill="1" applyBorder="1"/>
    <xf numFmtId="0" fontId="0" fillId="6" borderId="13" xfId="0" applyFill="1" applyBorder="1"/>
    <xf numFmtId="173" fontId="0" fillId="0" borderId="0" xfId="0" applyNumberFormat="1"/>
    <xf numFmtId="1" fontId="0" fillId="0" borderId="0" xfId="0" applyNumberFormat="1"/>
    <xf numFmtId="173" fontId="0" fillId="0" borderId="0" xfId="0" applyNumberFormat="1" applyBorder="1"/>
    <xf numFmtId="173" fontId="0" fillId="0" borderId="7" xfId="0" applyNumberFormat="1" applyBorder="1"/>
  </cellXfs>
  <cellStyles count="1">
    <cellStyle name="Normal" xfId="0" builtinId="0"/>
  </cellStyles>
  <dxfs count="9">
    <dxf>
      <numFmt numFmtId="19" formatCode="dd/mm/yy"/>
    </dxf>
    <dxf>
      <numFmt numFmtId="19" formatCode="dd/mm/yy"/>
    </dxf>
    <dxf>
      <numFmt numFmtId="12" formatCode="&quot;$&quot;#,##0.00;[Red]\-&quot;$&quot;#,##0.00"/>
    </dxf>
    <dxf>
      <numFmt numFmtId="13" formatCode="0%"/>
    </dxf>
    <dxf>
      <numFmt numFmtId="12" formatCode="&quot;$&quot;#,##0.00;[Red]\-&quot;$&quot;#,##0.00"/>
    </dxf>
    <dxf>
      <numFmt numFmtId="12" formatCode="&quot;$&quot;#,##0.00;[Red]\-&quot;$&quot;#,##0.00"/>
    </dxf>
    <dxf>
      <numFmt numFmtId="12" formatCode="&quot;$&quot;#,##0.00;[Red]\-&quot;$&quot;#,##0.00"/>
    </dxf>
    <dxf>
      <numFmt numFmtId="19" formatCode="dd/mm/yy"/>
    </dxf>
    <dxf>
      <numFmt numFmtId="19" formatCode="dd/mm/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6" Type="http://schemas.openxmlformats.org/officeDocument/2006/relationships/customXml" Target="../ink/ink13.xml"/><Relationship Id="rId117" Type="http://schemas.openxmlformats.org/officeDocument/2006/relationships/customXml" Target="../ink/ink60.xml"/><Relationship Id="rId21" Type="http://schemas.openxmlformats.org/officeDocument/2006/relationships/image" Target="../media/image11.png"/><Relationship Id="rId42" Type="http://schemas.openxmlformats.org/officeDocument/2006/relationships/customXml" Target="../ink/ink21.xml"/><Relationship Id="rId47" Type="http://schemas.openxmlformats.org/officeDocument/2006/relationships/image" Target="../media/image24.png"/><Relationship Id="rId63" Type="http://schemas.openxmlformats.org/officeDocument/2006/relationships/image" Target="../media/image31.png"/><Relationship Id="rId68" Type="http://schemas.openxmlformats.org/officeDocument/2006/relationships/customXml" Target="../ink/ink35.xml"/><Relationship Id="rId84" Type="http://schemas.openxmlformats.org/officeDocument/2006/relationships/customXml" Target="../ink/ink43.xml"/><Relationship Id="rId89" Type="http://schemas.openxmlformats.org/officeDocument/2006/relationships/image" Target="../media/image44.png"/><Relationship Id="rId112" Type="http://schemas.openxmlformats.org/officeDocument/2006/relationships/image" Target="../media/image55.png"/><Relationship Id="rId16" Type="http://schemas.openxmlformats.org/officeDocument/2006/relationships/customXml" Target="../ink/ink8.xml"/><Relationship Id="rId107" Type="http://schemas.openxmlformats.org/officeDocument/2006/relationships/customXml" Target="../ink/ink55.xml"/><Relationship Id="rId11" Type="http://schemas.openxmlformats.org/officeDocument/2006/relationships/image" Target="../media/image6.png"/><Relationship Id="rId32" Type="http://schemas.openxmlformats.org/officeDocument/2006/relationships/customXml" Target="../ink/ink16.xml"/><Relationship Id="rId37" Type="http://schemas.openxmlformats.org/officeDocument/2006/relationships/image" Target="../media/image19.png"/><Relationship Id="rId53" Type="http://schemas.openxmlformats.org/officeDocument/2006/relationships/image" Target="../media/image26.png"/><Relationship Id="rId58" Type="http://schemas.openxmlformats.org/officeDocument/2006/relationships/customXml" Target="../ink/ink30.xml"/><Relationship Id="rId74" Type="http://schemas.openxmlformats.org/officeDocument/2006/relationships/customXml" Target="../ink/ink38.xml"/><Relationship Id="rId79" Type="http://schemas.openxmlformats.org/officeDocument/2006/relationships/image" Target="../media/image39.png"/><Relationship Id="rId102" Type="http://schemas.openxmlformats.org/officeDocument/2006/relationships/customXml" Target="../ink/ink52.xml"/><Relationship Id="rId123" Type="http://schemas.openxmlformats.org/officeDocument/2006/relationships/image" Target="../media/image60.png"/><Relationship Id="rId5" Type="http://schemas.openxmlformats.org/officeDocument/2006/relationships/image" Target="../media/image3.png"/><Relationship Id="rId90" Type="http://schemas.openxmlformats.org/officeDocument/2006/relationships/customXml" Target="../ink/ink46.xml"/><Relationship Id="rId95" Type="http://schemas.openxmlformats.org/officeDocument/2006/relationships/image" Target="../media/image47.png"/><Relationship Id="rId22" Type="http://schemas.openxmlformats.org/officeDocument/2006/relationships/customXml" Target="../ink/ink11.xml"/><Relationship Id="rId27" Type="http://schemas.openxmlformats.org/officeDocument/2006/relationships/image" Target="../media/image14.png"/><Relationship Id="rId43" Type="http://schemas.openxmlformats.org/officeDocument/2006/relationships/image" Target="../media/image22.png"/><Relationship Id="rId48" Type="http://schemas.openxmlformats.org/officeDocument/2006/relationships/customXml" Target="../ink/ink24.xml"/><Relationship Id="rId64" Type="http://schemas.openxmlformats.org/officeDocument/2006/relationships/customXml" Target="../ink/ink33.xml"/><Relationship Id="rId69" Type="http://schemas.openxmlformats.org/officeDocument/2006/relationships/image" Target="../media/image34.png"/><Relationship Id="rId113" Type="http://schemas.openxmlformats.org/officeDocument/2006/relationships/customXml" Target="../ink/ink58.xml"/><Relationship Id="rId118" Type="http://schemas.openxmlformats.org/officeDocument/2006/relationships/image" Target="../media/image58.png"/><Relationship Id="rId80" Type="http://schemas.openxmlformats.org/officeDocument/2006/relationships/customXml" Target="../ink/ink41.xml"/><Relationship Id="rId85" Type="http://schemas.openxmlformats.org/officeDocument/2006/relationships/image" Target="../media/image42.png"/><Relationship Id="rId12" Type="http://schemas.openxmlformats.org/officeDocument/2006/relationships/customXml" Target="../ink/ink6.xml"/><Relationship Id="rId17" Type="http://schemas.openxmlformats.org/officeDocument/2006/relationships/image" Target="../media/image9.png"/><Relationship Id="rId33" Type="http://schemas.openxmlformats.org/officeDocument/2006/relationships/image" Target="../media/image17.png"/><Relationship Id="rId38" Type="http://schemas.openxmlformats.org/officeDocument/2006/relationships/customXml" Target="../ink/ink19.xml"/><Relationship Id="rId59" Type="http://schemas.openxmlformats.org/officeDocument/2006/relationships/image" Target="../media/image29.png"/><Relationship Id="rId103" Type="http://schemas.openxmlformats.org/officeDocument/2006/relationships/image" Target="../media/image51.png"/><Relationship Id="rId108" Type="http://schemas.openxmlformats.org/officeDocument/2006/relationships/image" Target="../media/image53.png"/><Relationship Id="rId54" Type="http://schemas.openxmlformats.org/officeDocument/2006/relationships/customXml" Target="../ink/ink28.xml"/><Relationship Id="rId70" Type="http://schemas.openxmlformats.org/officeDocument/2006/relationships/customXml" Target="../ink/ink36.xml"/><Relationship Id="rId75" Type="http://schemas.openxmlformats.org/officeDocument/2006/relationships/image" Target="../media/image37.png"/><Relationship Id="rId91" Type="http://schemas.openxmlformats.org/officeDocument/2006/relationships/image" Target="../media/image45.png"/><Relationship Id="rId96" Type="http://schemas.openxmlformats.org/officeDocument/2006/relationships/customXml" Target="../ink/ink49.xml"/><Relationship Id="rId1" Type="http://schemas.openxmlformats.org/officeDocument/2006/relationships/image" Target="../media/image1.png"/><Relationship Id="rId6" Type="http://schemas.openxmlformats.org/officeDocument/2006/relationships/customXml" Target="../ink/ink3.xml"/><Relationship Id="rId23" Type="http://schemas.openxmlformats.org/officeDocument/2006/relationships/image" Target="../media/image12.png"/><Relationship Id="rId28" Type="http://schemas.openxmlformats.org/officeDocument/2006/relationships/customXml" Target="../ink/ink14.xml"/><Relationship Id="rId49" Type="http://schemas.openxmlformats.org/officeDocument/2006/relationships/customXml" Target="../ink/ink25.xml"/><Relationship Id="rId114" Type="http://schemas.openxmlformats.org/officeDocument/2006/relationships/image" Target="../media/image56.png"/><Relationship Id="rId119" Type="http://schemas.openxmlformats.org/officeDocument/2006/relationships/customXml" Target="../ink/ink61.xml"/><Relationship Id="rId44" Type="http://schemas.openxmlformats.org/officeDocument/2006/relationships/customXml" Target="../ink/ink22.xml"/><Relationship Id="rId60" Type="http://schemas.openxmlformats.org/officeDocument/2006/relationships/customXml" Target="../ink/ink31.xml"/><Relationship Id="rId65" Type="http://schemas.openxmlformats.org/officeDocument/2006/relationships/image" Target="../media/image32.png"/><Relationship Id="rId81" Type="http://schemas.openxmlformats.org/officeDocument/2006/relationships/image" Target="../media/image40.png"/><Relationship Id="rId86" Type="http://schemas.openxmlformats.org/officeDocument/2006/relationships/customXml" Target="../ink/ink44.xml"/><Relationship Id="rId4" Type="http://schemas.openxmlformats.org/officeDocument/2006/relationships/customXml" Target="../ink/ink2.xml"/><Relationship Id="rId9" Type="http://schemas.openxmlformats.org/officeDocument/2006/relationships/image" Target="../media/image5.png"/><Relationship Id="rId13" Type="http://schemas.openxmlformats.org/officeDocument/2006/relationships/image" Target="../media/image7.png"/><Relationship Id="rId18" Type="http://schemas.openxmlformats.org/officeDocument/2006/relationships/customXml" Target="../ink/ink9.xml"/><Relationship Id="rId39" Type="http://schemas.openxmlformats.org/officeDocument/2006/relationships/image" Target="../media/image20.png"/><Relationship Id="rId109" Type="http://schemas.openxmlformats.org/officeDocument/2006/relationships/customXml" Target="../ink/ink56.xml"/><Relationship Id="rId34" Type="http://schemas.openxmlformats.org/officeDocument/2006/relationships/customXml" Target="../ink/ink17.xml"/><Relationship Id="rId50" Type="http://schemas.openxmlformats.org/officeDocument/2006/relationships/customXml" Target="../ink/ink26.xml"/><Relationship Id="rId55" Type="http://schemas.openxmlformats.org/officeDocument/2006/relationships/image" Target="../media/image27.png"/><Relationship Id="rId76" Type="http://schemas.openxmlformats.org/officeDocument/2006/relationships/customXml" Target="../ink/ink39.xml"/><Relationship Id="rId97" Type="http://schemas.openxmlformats.org/officeDocument/2006/relationships/image" Target="../media/image48.png"/><Relationship Id="rId104" Type="http://schemas.openxmlformats.org/officeDocument/2006/relationships/customXml" Target="../ink/ink53.xml"/><Relationship Id="rId120" Type="http://schemas.openxmlformats.org/officeDocument/2006/relationships/image" Target="../media/image59.png"/><Relationship Id="rId7" Type="http://schemas.openxmlformats.org/officeDocument/2006/relationships/image" Target="../media/image4.png"/><Relationship Id="rId71" Type="http://schemas.openxmlformats.org/officeDocument/2006/relationships/image" Target="../media/image35.png"/><Relationship Id="rId92" Type="http://schemas.openxmlformats.org/officeDocument/2006/relationships/customXml" Target="../ink/ink47.xml"/><Relationship Id="rId2" Type="http://schemas.openxmlformats.org/officeDocument/2006/relationships/customXml" Target="../ink/ink1.xml"/><Relationship Id="rId29" Type="http://schemas.openxmlformats.org/officeDocument/2006/relationships/image" Target="../media/image15.png"/><Relationship Id="rId24" Type="http://schemas.openxmlformats.org/officeDocument/2006/relationships/customXml" Target="../ink/ink12.xml"/><Relationship Id="rId40" Type="http://schemas.openxmlformats.org/officeDocument/2006/relationships/customXml" Target="../ink/ink20.xml"/><Relationship Id="rId45" Type="http://schemas.openxmlformats.org/officeDocument/2006/relationships/image" Target="../media/image23.png"/><Relationship Id="rId66" Type="http://schemas.openxmlformats.org/officeDocument/2006/relationships/customXml" Target="../ink/ink34.xml"/><Relationship Id="rId87" Type="http://schemas.openxmlformats.org/officeDocument/2006/relationships/image" Target="../media/image43.png"/><Relationship Id="rId110" Type="http://schemas.openxmlformats.org/officeDocument/2006/relationships/image" Target="../media/image54.png"/><Relationship Id="rId115" Type="http://schemas.openxmlformats.org/officeDocument/2006/relationships/customXml" Target="../ink/ink59.xml"/><Relationship Id="rId61" Type="http://schemas.openxmlformats.org/officeDocument/2006/relationships/image" Target="../media/image30.png"/><Relationship Id="rId82" Type="http://schemas.openxmlformats.org/officeDocument/2006/relationships/customXml" Target="../ink/ink42.xml"/><Relationship Id="rId19" Type="http://schemas.openxmlformats.org/officeDocument/2006/relationships/image" Target="../media/image10.png"/><Relationship Id="rId14" Type="http://schemas.openxmlformats.org/officeDocument/2006/relationships/customXml" Target="../ink/ink7.xml"/><Relationship Id="rId30" Type="http://schemas.openxmlformats.org/officeDocument/2006/relationships/customXml" Target="../ink/ink15.xml"/><Relationship Id="rId35" Type="http://schemas.openxmlformats.org/officeDocument/2006/relationships/image" Target="../media/image18.png"/><Relationship Id="rId56" Type="http://schemas.openxmlformats.org/officeDocument/2006/relationships/customXml" Target="../ink/ink29.xml"/><Relationship Id="rId77" Type="http://schemas.openxmlformats.org/officeDocument/2006/relationships/image" Target="../media/image38.png"/><Relationship Id="rId100" Type="http://schemas.openxmlformats.org/officeDocument/2006/relationships/customXml" Target="../ink/ink51.xml"/><Relationship Id="rId105" Type="http://schemas.openxmlformats.org/officeDocument/2006/relationships/image" Target="../media/image52.png"/><Relationship Id="rId8" Type="http://schemas.openxmlformats.org/officeDocument/2006/relationships/customXml" Target="../ink/ink4.xml"/><Relationship Id="rId51" Type="http://schemas.openxmlformats.org/officeDocument/2006/relationships/image" Target="../media/image25.png"/><Relationship Id="rId72" Type="http://schemas.openxmlformats.org/officeDocument/2006/relationships/customXml" Target="../ink/ink37.xml"/><Relationship Id="rId93" Type="http://schemas.openxmlformats.org/officeDocument/2006/relationships/image" Target="../media/image46.png"/><Relationship Id="rId98" Type="http://schemas.openxmlformats.org/officeDocument/2006/relationships/customXml" Target="../ink/ink50.xml"/><Relationship Id="rId121" Type="http://schemas.openxmlformats.org/officeDocument/2006/relationships/customXml" Target="../ink/ink62.xml"/><Relationship Id="rId3" Type="http://schemas.openxmlformats.org/officeDocument/2006/relationships/image" Target="../media/image2.png"/><Relationship Id="rId25" Type="http://schemas.openxmlformats.org/officeDocument/2006/relationships/image" Target="../media/image13.png"/><Relationship Id="rId46" Type="http://schemas.openxmlformats.org/officeDocument/2006/relationships/customXml" Target="../ink/ink23.xml"/><Relationship Id="rId67" Type="http://schemas.openxmlformats.org/officeDocument/2006/relationships/image" Target="../media/image33.png"/><Relationship Id="rId116" Type="http://schemas.openxmlformats.org/officeDocument/2006/relationships/image" Target="../media/image57.png"/><Relationship Id="rId20" Type="http://schemas.openxmlformats.org/officeDocument/2006/relationships/customXml" Target="../ink/ink10.xml"/><Relationship Id="rId41" Type="http://schemas.openxmlformats.org/officeDocument/2006/relationships/image" Target="../media/image21.png"/><Relationship Id="rId62" Type="http://schemas.openxmlformats.org/officeDocument/2006/relationships/customXml" Target="../ink/ink32.xml"/><Relationship Id="rId83" Type="http://schemas.openxmlformats.org/officeDocument/2006/relationships/image" Target="../media/image41.png"/><Relationship Id="rId88" Type="http://schemas.openxmlformats.org/officeDocument/2006/relationships/customXml" Target="../ink/ink45.xml"/><Relationship Id="rId111" Type="http://schemas.openxmlformats.org/officeDocument/2006/relationships/customXml" Target="../ink/ink57.xml"/><Relationship Id="rId15" Type="http://schemas.openxmlformats.org/officeDocument/2006/relationships/image" Target="../media/image8.png"/><Relationship Id="rId36" Type="http://schemas.openxmlformats.org/officeDocument/2006/relationships/customXml" Target="../ink/ink18.xml"/><Relationship Id="rId57" Type="http://schemas.openxmlformats.org/officeDocument/2006/relationships/image" Target="../media/image28.png"/><Relationship Id="rId106" Type="http://schemas.openxmlformats.org/officeDocument/2006/relationships/customXml" Target="../ink/ink54.xml"/><Relationship Id="rId10" Type="http://schemas.openxmlformats.org/officeDocument/2006/relationships/customXml" Target="../ink/ink5.xml"/><Relationship Id="rId31" Type="http://schemas.openxmlformats.org/officeDocument/2006/relationships/image" Target="../media/image16.png"/><Relationship Id="rId52" Type="http://schemas.openxmlformats.org/officeDocument/2006/relationships/customXml" Target="../ink/ink27.xml"/><Relationship Id="rId73" Type="http://schemas.openxmlformats.org/officeDocument/2006/relationships/image" Target="../media/image36.png"/><Relationship Id="rId78" Type="http://schemas.openxmlformats.org/officeDocument/2006/relationships/customXml" Target="../ink/ink40.xml"/><Relationship Id="rId94" Type="http://schemas.openxmlformats.org/officeDocument/2006/relationships/customXml" Target="../ink/ink48.xml"/><Relationship Id="rId99" Type="http://schemas.openxmlformats.org/officeDocument/2006/relationships/image" Target="../media/image49.png"/><Relationship Id="rId101" Type="http://schemas.openxmlformats.org/officeDocument/2006/relationships/image" Target="../media/image50.png"/><Relationship Id="rId122" Type="http://schemas.openxmlformats.org/officeDocument/2006/relationships/customXml" Target="../ink/ink63.xml"/></Relationships>
</file>

<file path=xl/drawings/drawing1.xml><?xml version="1.0" encoding="utf-8"?>
<xdr:wsDr xmlns:xdr="http://schemas.openxmlformats.org/drawingml/2006/spreadsheetDrawing" xmlns:a="http://schemas.openxmlformats.org/drawingml/2006/main">
  <xdr:twoCellAnchor editAs="oneCell">
    <xdr:from>
      <xdr:col>0</xdr:col>
      <xdr:colOff>25400</xdr:colOff>
      <xdr:row>0</xdr:row>
      <xdr:rowOff>0</xdr:rowOff>
    </xdr:from>
    <xdr:to>
      <xdr:col>7</xdr:col>
      <xdr:colOff>720811</xdr:colOff>
      <xdr:row>15</xdr:row>
      <xdr:rowOff>104025</xdr:rowOff>
    </xdr:to>
    <xdr:pic>
      <xdr:nvPicPr>
        <xdr:cNvPr id="2" name="Imagen 1">
          <a:extLst>
            <a:ext uri="{FF2B5EF4-FFF2-40B4-BE49-F238E27FC236}">
              <a16:creationId xmlns:a16="http://schemas.microsoft.com/office/drawing/2014/main" id="{C04D611D-CAE2-4D2E-D695-1C30A186E040}"/>
            </a:ext>
          </a:extLst>
        </xdr:cNvPr>
        <xdr:cNvPicPr>
          <a:picLocks noChangeAspect="1"/>
        </xdr:cNvPicPr>
      </xdr:nvPicPr>
      <xdr:blipFill>
        <a:blip xmlns:r="http://schemas.openxmlformats.org/officeDocument/2006/relationships" r:embed="rId1"/>
        <a:stretch>
          <a:fillRect/>
        </a:stretch>
      </xdr:blipFill>
      <xdr:spPr>
        <a:xfrm>
          <a:off x="25400" y="0"/>
          <a:ext cx="6461897" cy="3193214"/>
        </a:xfrm>
        <a:prstGeom prst="rect">
          <a:avLst/>
        </a:prstGeom>
      </xdr:spPr>
    </xdr:pic>
    <xdr:clientData/>
  </xdr:twoCellAnchor>
  <xdr:twoCellAnchor editAs="oneCell">
    <xdr:from>
      <xdr:col>5</xdr:col>
      <xdr:colOff>161638</xdr:colOff>
      <xdr:row>13</xdr:row>
      <xdr:rowOff>25881</xdr:rowOff>
    </xdr:from>
    <xdr:to>
      <xdr:col>5</xdr:col>
      <xdr:colOff>743758</xdr:colOff>
      <xdr:row>14</xdr:row>
      <xdr:rowOff>83506</xdr:rowOff>
    </xdr:to>
    <mc:AlternateContent xmlns:mc="http://schemas.openxmlformats.org/markup-compatibility/2006">
      <mc:Choice xmlns:xdr14="http://schemas.microsoft.com/office/excel/2010/spreadsheetDrawing" Requires="xdr14">
        <xdr:contentPart xmlns:r="http://schemas.openxmlformats.org/officeDocument/2006/relationships" r:id="rId2">
          <xdr14:nvContentPartPr>
            <xdr14:cNvPr id="8" name="Entrada de lápiz 7">
              <a:extLst>
                <a:ext uri="{FF2B5EF4-FFF2-40B4-BE49-F238E27FC236}">
                  <a16:creationId xmlns:a16="http://schemas.microsoft.com/office/drawing/2014/main" id="{3FE16951-4E97-B6FB-1735-DC54E9550C2F}"/>
                </a:ext>
              </a:extLst>
            </xdr14:cNvPr>
            <xdr14:cNvContentPartPr/>
          </xdr14:nvContentPartPr>
          <xdr14:nvPr macro=""/>
          <xdr14:xfrm>
            <a:off x="4299840" y="2622960"/>
            <a:ext cx="582120" cy="257400"/>
          </xdr14:xfrm>
        </xdr:contentPart>
      </mc:Choice>
      <mc:Fallback>
        <xdr:pic>
          <xdr:nvPicPr>
            <xdr:cNvPr id="8" name="Entrada de lápiz 7">
              <a:extLst>
                <a:ext uri="{FF2B5EF4-FFF2-40B4-BE49-F238E27FC236}">
                  <a16:creationId xmlns:a16="http://schemas.microsoft.com/office/drawing/2014/main" id="{3FE16951-4E97-B6FB-1735-DC54E9550C2F}"/>
                </a:ext>
              </a:extLst>
            </xdr:cNvPr>
            <xdr:cNvPicPr/>
          </xdr:nvPicPr>
          <xdr:blipFill>
            <a:blip xmlns:r="http://schemas.openxmlformats.org/officeDocument/2006/relationships" r:embed="rId3"/>
            <a:stretch>
              <a:fillRect/>
            </a:stretch>
          </xdr:blipFill>
          <xdr:spPr>
            <a:xfrm>
              <a:off x="4293720" y="2616849"/>
              <a:ext cx="594360" cy="269623"/>
            </a:xfrm>
            <a:prstGeom prst="rect">
              <a:avLst/>
            </a:prstGeom>
          </xdr:spPr>
        </xdr:pic>
      </mc:Fallback>
    </mc:AlternateContent>
    <xdr:clientData/>
  </xdr:twoCellAnchor>
  <xdr:twoCellAnchor editAs="oneCell">
    <xdr:from>
      <xdr:col>5</xdr:col>
      <xdr:colOff>307798</xdr:colOff>
      <xdr:row>1</xdr:row>
      <xdr:rowOff>187225</xdr:rowOff>
    </xdr:from>
    <xdr:to>
      <xdr:col>5</xdr:col>
      <xdr:colOff>471238</xdr:colOff>
      <xdr:row>1</xdr:row>
      <xdr:rowOff>187585</xdr:rowOff>
    </xdr:to>
    <mc:AlternateContent xmlns:mc="http://schemas.openxmlformats.org/markup-compatibility/2006">
      <mc:Choice xmlns:xdr14="http://schemas.microsoft.com/office/excel/2010/spreadsheetDrawing" Requires="xdr14">
        <xdr:contentPart xmlns:r="http://schemas.openxmlformats.org/officeDocument/2006/relationships" r:id="rId4">
          <xdr14:nvContentPartPr>
            <xdr14:cNvPr id="9" name="Entrada de lápiz 8">
              <a:extLst>
                <a:ext uri="{FF2B5EF4-FFF2-40B4-BE49-F238E27FC236}">
                  <a16:creationId xmlns:a16="http://schemas.microsoft.com/office/drawing/2014/main" id="{61B7C8F2-1A31-F63B-F3D8-64F561825F68}"/>
                </a:ext>
              </a:extLst>
            </xdr14:cNvPr>
            <xdr14:cNvContentPartPr/>
          </xdr14:nvContentPartPr>
          <xdr14:nvPr macro=""/>
          <xdr14:xfrm>
            <a:off x="4446000" y="387000"/>
            <a:ext cx="163440" cy="360"/>
          </xdr14:xfrm>
        </xdr:contentPart>
      </mc:Choice>
      <mc:Fallback>
        <xdr:pic>
          <xdr:nvPicPr>
            <xdr:cNvPr id="9" name="Entrada de lápiz 8">
              <a:extLst>
                <a:ext uri="{FF2B5EF4-FFF2-40B4-BE49-F238E27FC236}">
                  <a16:creationId xmlns:a16="http://schemas.microsoft.com/office/drawing/2014/main" id="{61B7C8F2-1A31-F63B-F3D8-64F561825F68}"/>
                </a:ext>
              </a:extLst>
            </xdr:cNvPr>
            <xdr:cNvPicPr/>
          </xdr:nvPicPr>
          <xdr:blipFill>
            <a:blip xmlns:r="http://schemas.openxmlformats.org/officeDocument/2006/relationships" r:embed="rId5"/>
            <a:stretch>
              <a:fillRect/>
            </a:stretch>
          </xdr:blipFill>
          <xdr:spPr>
            <a:xfrm>
              <a:off x="4439880" y="380880"/>
              <a:ext cx="175680" cy="12600"/>
            </a:xfrm>
            <a:prstGeom prst="rect">
              <a:avLst/>
            </a:prstGeom>
          </xdr:spPr>
        </xdr:pic>
      </mc:Fallback>
    </mc:AlternateContent>
    <xdr:clientData/>
  </xdr:twoCellAnchor>
  <xdr:twoCellAnchor editAs="oneCell">
    <xdr:from>
      <xdr:col>3</xdr:col>
      <xdr:colOff>656279</xdr:colOff>
      <xdr:row>5</xdr:row>
      <xdr:rowOff>170044</xdr:rowOff>
    </xdr:from>
    <xdr:to>
      <xdr:col>4</xdr:col>
      <xdr:colOff>282958</xdr:colOff>
      <xdr:row>6</xdr:row>
      <xdr:rowOff>99148</xdr:rowOff>
    </xdr:to>
    <mc:AlternateContent xmlns:mc="http://schemas.openxmlformats.org/markup-compatibility/2006">
      <mc:Choice xmlns:xdr14="http://schemas.microsoft.com/office/excel/2010/spreadsheetDrawing" Requires="xdr14">
        <xdr:contentPart xmlns:r="http://schemas.openxmlformats.org/officeDocument/2006/relationships" r:id="rId6">
          <xdr14:nvContentPartPr>
            <xdr14:cNvPr id="15" name="Entrada de lápiz 14">
              <a:extLst>
                <a:ext uri="{FF2B5EF4-FFF2-40B4-BE49-F238E27FC236}">
                  <a16:creationId xmlns:a16="http://schemas.microsoft.com/office/drawing/2014/main" id="{ED8CCDF3-2AFA-98F0-93AB-1D8B9FF3606F}"/>
                </a:ext>
              </a:extLst>
            </xdr14:cNvPr>
            <xdr14:cNvContentPartPr/>
          </xdr14:nvContentPartPr>
          <xdr14:nvPr macro=""/>
          <xdr14:xfrm>
            <a:off x="3139200" y="1168920"/>
            <a:ext cx="454320" cy="128880"/>
          </xdr14:xfrm>
        </xdr:contentPart>
      </mc:Choice>
      <mc:Fallback>
        <xdr:pic>
          <xdr:nvPicPr>
            <xdr:cNvPr id="15" name="Entrada de lápiz 14">
              <a:extLst>
                <a:ext uri="{FF2B5EF4-FFF2-40B4-BE49-F238E27FC236}">
                  <a16:creationId xmlns:a16="http://schemas.microsoft.com/office/drawing/2014/main" id="{ED8CCDF3-2AFA-98F0-93AB-1D8B9FF3606F}"/>
                </a:ext>
              </a:extLst>
            </xdr:cNvPr>
            <xdr:cNvPicPr/>
          </xdr:nvPicPr>
          <xdr:blipFill>
            <a:blip xmlns:r="http://schemas.openxmlformats.org/officeDocument/2006/relationships" r:embed="rId7"/>
            <a:stretch>
              <a:fillRect/>
            </a:stretch>
          </xdr:blipFill>
          <xdr:spPr>
            <a:xfrm>
              <a:off x="3133085" y="1162800"/>
              <a:ext cx="466550" cy="141120"/>
            </a:xfrm>
            <a:prstGeom prst="rect">
              <a:avLst/>
            </a:prstGeom>
          </xdr:spPr>
        </xdr:pic>
      </mc:Fallback>
    </mc:AlternateContent>
    <xdr:clientData/>
  </xdr:twoCellAnchor>
  <xdr:twoCellAnchor editAs="oneCell">
    <xdr:from>
      <xdr:col>3</xdr:col>
      <xdr:colOff>749879</xdr:colOff>
      <xdr:row>1</xdr:row>
      <xdr:rowOff>73105</xdr:rowOff>
    </xdr:from>
    <xdr:to>
      <xdr:col>4</xdr:col>
      <xdr:colOff>65518</xdr:colOff>
      <xdr:row>2</xdr:row>
      <xdr:rowOff>140809</xdr:rowOff>
    </xdr:to>
    <mc:AlternateContent xmlns:mc="http://schemas.openxmlformats.org/markup-compatibility/2006">
      <mc:Choice xmlns:xdr14="http://schemas.microsoft.com/office/excel/2010/spreadsheetDrawing" Requires="xdr14">
        <xdr:contentPart xmlns:r="http://schemas.openxmlformats.org/officeDocument/2006/relationships" r:id="rId8">
          <xdr14:nvContentPartPr>
            <xdr14:cNvPr id="16" name="Entrada de lápiz 15">
              <a:extLst>
                <a:ext uri="{FF2B5EF4-FFF2-40B4-BE49-F238E27FC236}">
                  <a16:creationId xmlns:a16="http://schemas.microsoft.com/office/drawing/2014/main" id="{82F5D4F3-06E4-CD1C-675F-FCD3C52A4E27}"/>
                </a:ext>
              </a:extLst>
            </xdr14:cNvPr>
            <xdr14:cNvContentPartPr/>
          </xdr14:nvContentPartPr>
          <xdr14:nvPr macro=""/>
          <xdr14:xfrm>
            <a:off x="3232800" y="272880"/>
            <a:ext cx="143280" cy="267480"/>
          </xdr14:xfrm>
        </xdr:contentPart>
      </mc:Choice>
      <mc:Fallback>
        <xdr:pic>
          <xdr:nvPicPr>
            <xdr:cNvPr id="16" name="Entrada de lápiz 15">
              <a:extLst>
                <a:ext uri="{FF2B5EF4-FFF2-40B4-BE49-F238E27FC236}">
                  <a16:creationId xmlns:a16="http://schemas.microsoft.com/office/drawing/2014/main" id="{82F5D4F3-06E4-CD1C-675F-FCD3C52A4E27}"/>
                </a:ext>
              </a:extLst>
            </xdr:cNvPr>
            <xdr:cNvPicPr/>
          </xdr:nvPicPr>
          <xdr:blipFill>
            <a:blip xmlns:r="http://schemas.openxmlformats.org/officeDocument/2006/relationships" r:embed="rId9"/>
            <a:stretch>
              <a:fillRect/>
            </a:stretch>
          </xdr:blipFill>
          <xdr:spPr>
            <a:xfrm>
              <a:off x="3226680" y="266760"/>
              <a:ext cx="155520" cy="279720"/>
            </a:xfrm>
            <a:prstGeom prst="rect">
              <a:avLst/>
            </a:prstGeom>
          </xdr:spPr>
        </xdr:pic>
      </mc:Fallback>
    </mc:AlternateContent>
    <xdr:clientData/>
  </xdr:twoCellAnchor>
  <xdr:twoCellAnchor editAs="oneCell">
    <xdr:from>
      <xdr:col>4</xdr:col>
      <xdr:colOff>122398</xdr:colOff>
      <xdr:row>1</xdr:row>
      <xdr:rowOff>190465</xdr:rowOff>
    </xdr:from>
    <xdr:to>
      <xdr:col>4</xdr:col>
      <xdr:colOff>199078</xdr:colOff>
      <xdr:row>2</xdr:row>
      <xdr:rowOff>74209</xdr:rowOff>
    </xdr:to>
    <mc:AlternateContent xmlns:mc="http://schemas.openxmlformats.org/markup-compatibility/2006">
      <mc:Choice xmlns:xdr14="http://schemas.microsoft.com/office/excel/2010/spreadsheetDrawing" Requires="xdr14">
        <xdr:contentPart xmlns:r="http://schemas.openxmlformats.org/officeDocument/2006/relationships" r:id="rId10">
          <xdr14:nvContentPartPr>
            <xdr14:cNvPr id="19" name="Entrada de lápiz 18">
              <a:extLst>
                <a:ext uri="{FF2B5EF4-FFF2-40B4-BE49-F238E27FC236}">
                  <a16:creationId xmlns:a16="http://schemas.microsoft.com/office/drawing/2014/main" id="{02E84809-6BA7-1F00-C4E6-29F923CD879D}"/>
                </a:ext>
              </a:extLst>
            </xdr14:cNvPr>
            <xdr14:cNvContentPartPr/>
          </xdr14:nvContentPartPr>
          <xdr14:nvPr macro=""/>
          <xdr14:xfrm>
            <a:off x="3432960" y="390240"/>
            <a:ext cx="76680" cy="83520"/>
          </xdr14:xfrm>
        </xdr:contentPart>
      </mc:Choice>
      <mc:Fallback>
        <xdr:pic>
          <xdr:nvPicPr>
            <xdr:cNvPr id="19" name="Entrada de lápiz 18">
              <a:extLst>
                <a:ext uri="{FF2B5EF4-FFF2-40B4-BE49-F238E27FC236}">
                  <a16:creationId xmlns:a16="http://schemas.microsoft.com/office/drawing/2014/main" id="{02E84809-6BA7-1F00-C4E6-29F923CD879D}"/>
                </a:ext>
              </a:extLst>
            </xdr:cNvPr>
            <xdr:cNvPicPr/>
          </xdr:nvPicPr>
          <xdr:blipFill>
            <a:blip xmlns:r="http://schemas.openxmlformats.org/officeDocument/2006/relationships" r:embed="rId11"/>
            <a:stretch>
              <a:fillRect/>
            </a:stretch>
          </xdr:blipFill>
          <xdr:spPr>
            <a:xfrm>
              <a:off x="3426840" y="384120"/>
              <a:ext cx="88920" cy="95760"/>
            </a:xfrm>
            <a:prstGeom prst="rect">
              <a:avLst/>
            </a:prstGeom>
          </xdr:spPr>
        </xdr:pic>
      </mc:Fallback>
    </mc:AlternateContent>
    <xdr:clientData/>
  </xdr:twoCellAnchor>
  <xdr:twoCellAnchor editAs="oneCell">
    <xdr:from>
      <xdr:col>4</xdr:col>
      <xdr:colOff>132118</xdr:colOff>
      <xdr:row>1</xdr:row>
      <xdr:rowOff>198385</xdr:rowOff>
    </xdr:from>
    <xdr:to>
      <xdr:col>4</xdr:col>
      <xdr:colOff>206998</xdr:colOff>
      <xdr:row>2</xdr:row>
      <xdr:rowOff>82129</xdr:rowOff>
    </xdr:to>
    <mc:AlternateContent xmlns:mc="http://schemas.openxmlformats.org/markup-compatibility/2006">
      <mc:Choice xmlns:xdr14="http://schemas.microsoft.com/office/excel/2010/spreadsheetDrawing" Requires="xdr14">
        <xdr:contentPart xmlns:r="http://schemas.openxmlformats.org/officeDocument/2006/relationships" r:id="rId12">
          <xdr14:nvContentPartPr>
            <xdr14:cNvPr id="22" name="Entrada de lápiz 21">
              <a:extLst>
                <a:ext uri="{FF2B5EF4-FFF2-40B4-BE49-F238E27FC236}">
                  <a16:creationId xmlns:a16="http://schemas.microsoft.com/office/drawing/2014/main" id="{58AE4649-C0D1-7272-7E47-B3CB5B69FE6C}"/>
                </a:ext>
              </a:extLst>
            </xdr14:cNvPr>
            <xdr14:cNvContentPartPr/>
          </xdr14:nvContentPartPr>
          <xdr14:nvPr macro=""/>
          <xdr14:xfrm>
            <a:off x="3442680" y="398160"/>
            <a:ext cx="74880" cy="83520"/>
          </xdr14:xfrm>
        </xdr:contentPart>
      </mc:Choice>
      <mc:Fallback>
        <xdr:pic>
          <xdr:nvPicPr>
            <xdr:cNvPr id="22" name="Entrada de lápiz 21">
              <a:extLst>
                <a:ext uri="{FF2B5EF4-FFF2-40B4-BE49-F238E27FC236}">
                  <a16:creationId xmlns:a16="http://schemas.microsoft.com/office/drawing/2014/main" id="{58AE4649-C0D1-7272-7E47-B3CB5B69FE6C}"/>
                </a:ext>
              </a:extLst>
            </xdr:cNvPr>
            <xdr:cNvPicPr/>
          </xdr:nvPicPr>
          <xdr:blipFill>
            <a:blip xmlns:r="http://schemas.openxmlformats.org/officeDocument/2006/relationships" r:embed="rId13"/>
            <a:stretch>
              <a:fillRect/>
            </a:stretch>
          </xdr:blipFill>
          <xdr:spPr>
            <a:xfrm>
              <a:off x="3436560" y="392040"/>
              <a:ext cx="87120" cy="95760"/>
            </a:xfrm>
            <a:prstGeom prst="rect">
              <a:avLst/>
            </a:prstGeom>
          </xdr:spPr>
        </xdr:pic>
      </mc:Fallback>
    </mc:AlternateContent>
    <xdr:clientData/>
  </xdr:twoCellAnchor>
  <xdr:twoCellAnchor editAs="oneCell">
    <xdr:from>
      <xdr:col>3</xdr:col>
      <xdr:colOff>730079</xdr:colOff>
      <xdr:row>15</xdr:row>
      <xdr:rowOff>110891</xdr:rowOff>
    </xdr:from>
    <xdr:to>
      <xdr:col>3</xdr:col>
      <xdr:colOff>826919</xdr:colOff>
      <xdr:row>16</xdr:row>
      <xdr:rowOff>89316</xdr:rowOff>
    </xdr:to>
    <mc:AlternateContent xmlns:mc="http://schemas.openxmlformats.org/markup-compatibility/2006">
      <mc:Choice xmlns:xdr14="http://schemas.microsoft.com/office/excel/2010/spreadsheetDrawing" Requires="xdr14">
        <xdr:contentPart xmlns:r="http://schemas.openxmlformats.org/officeDocument/2006/relationships" r:id="rId14">
          <xdr14:nvContentPartPr>
            <xdr14:cNvPr id="23" name="Entrada de lápiz 22">
              <a:extLst>
                <a:ext uri="{FF2B5EF4-FFF2-40B4-BE49-F238E27FC236}">
                  <a16:creationId xmlns:a16="http://schemas.microsoft.com/office/drawing/2014/main" id="{B29C4FCF-E973-95F4-D3D7-FB50A868B55B}"/>
                </a:ext>
              </a:extLst>
            </xdr14:cNvPr>
            <xdr14:cNvContentPartPr/>
          </xdr14:nvContentPartPr>
          <xdr14:nvPr macro=""/>
          <xdr14:xfrm>
            <a:off x="3213000" y="3107520"/>
            <a:ext cx="96840" cy="178200"/>
          </xdr14:xfrm>
        </xdr:contentPart>
      </mc:Choice>
      <mc:Fallback>
        <xdr:pic>
          <xdr:nvPicPr>
            <xdr:cNvPr id="23" name="Entrada de lápiz 22">
              <a:extLst>
                <a:ext uri="{FF2B5EF4-FFF2-40B4-BE49-F238E27FC236}">
                  <a16:creationId xmlns:a16="http://schemas.microsoft.com/office/drawing/2014/main" id="{B29C4FCF-E973-95F4-D3D7-FB50A868B55B}"/>
                </a:ext>
              </a:extLst>
            </xdr:cNvPr>
            <xdr:cNvPicPr/>
          </xdr:nvPicPr>
          <xdr:blipFill>
            <a:blip xmlns:r="http://schemas.openxmlformats.org/officeDocument/2006/relationships" r:embed="rId15"/>
            <a:stretch>
              <a:fillRect/>
            </a:stretch>
          </xdr:blipFill>
          <xdr:spPr>
            <a:xfrm>
              <a:off x="3206880" y="3101400"/>
              <a:ext cx="109080" cy="190440"/>
            </a:xfrm>
            <a:prstGeom prst="rect">
              <a:avLst/>
            </a:prstGeom>
          </xdr:spPr>
        </xdr:pic>
      </mc:Fallback>
    </mc:AlternateContent>
    <xdr:clientData/>
  </xdr:twoCellAnchor>
  <xdr:twoCellAnchor editAs="oneCell">
    <xdr:from>
      <xdr:col>6</xdr:col>
      <xdr:colOff>810357</xdr:colOff>
      <xdr:row>7</xdr:row>
      <xdr:rowOff>110693</xdr:rowOff>
    </xdr:from>
    <xdr:to>
      <xdr:col>7</xdr:col>
      <xdr:colOff>146157</xdr:colOff>
      <xdr:row>8</xdr:row>
      <xdr:rowOff>43758</xdr:rowOff>
    </xdr:to>
    <mc:AlternateContent xmlns:mc="http://schemas.openxmlformats.org/markup-compatibility/2006">
      <mc:Choice xmlns:xdr14="http://schemas.microsoft.com/office/excel/2010/spreadsheetDrawing" Requires="xdr14">
        <xdr:contentPart xmlns:r="http://schemas.openxmlformats.org/officeDocument/2006/relationships" r:id="rId16">
          <xdr14:nvContentPartPr>
            <xdr14:cNvPr id="26" name="Entrada de lápiz 25">
              <a:extLst>
                <a:ext uri="{FF2B5EF4-FFF2-40B4-BE49-F238E27FC236}">
                  <a16:creationId xmlns:a16="http://schemas.microsoft.com/office/drawing/2014/main" id="{240F0B61-7335-C28C-A40D-20E4915EDBFF}"/>
                </a:ext>
              </a:extLst>
            </xdr14:cNvPr>
            <xdr14:cNvContentPartPr/>
          </xdr14:nvContentPartPr>
          <xdr14:nvPr macro=""/>
          <xdr14:xfrm>
            <a:off x="5776200" y="1509120"/>
            <a:ext cx="163440" cy="132840"/>
          </xdr14:xfrm>
        </xdr:contentPart>
      </mc:Choice>
      <mc:Fallback>
        <xdr:pic>
          <xdr:nvPicPr>
            <xdr:cNvPr id="26" name="Entrada de lápiz 25">
              <a:extLst>
                <a:ext uri="{FF2B5EF4-FFF2-40B4-BE49-F238E27FC236}">
                  <a16:creationId xmlns:a16="http://schemas.microsoft.com/office/drawing/2014/main" id="{240F0B61-7335-C28C-A40D-20E4915EDBFF}"/>
                </a:ext>
              </a:extLst>
            </xdr:cNvPr>
            <xdr:cNvPicPr/>
          </xdr:nvPicPr>
          <xdr:blipFill>
            <a:blip xmlns:r="http://schemas.openxmlformats.org/officeDocument/2006/relationships" r:embed="rId17"/>
            <a:stretch>
              <a:fillRect/>
            </a:stretch>
          </xdr:blipFill>
          <xdr:spPr>
            <a:xfrm>
              <a:off x="5770080" y="1503000"/>
              <a:ext cx="175680" cy="145080"/>
            </a:xfrm>
            <a:prstGeom prst="rect">
              <a:avLst/>
            </a:prstGeom>
          </xdr:spPr>
        </xdr:pic>
      </mc:Fallback>
    </mc:AlternateContent>
    <xdr:clientData/>
  </xdr:twoCellAnchor>
  <xdr:twoCellAnchor editAs="oneCell">
    <xdr:from>
      <xdr:col>7</xdr:col>
      <xdr:colOff>114837</xdr:colOff>
      <xdr:row>13</xdr:row>
      <xdr:rowOff>76281</xdr:rowOff>
    </xdr:from>
    <xdr:to>
      <xdr:col>7</xdr:col>
      <xdr:colOff>196197</xdr:colOff>
      <xdr:row>14</xdr:row>
      <xdr:rowOff>19066</xdr:rowOff>
    </xdr:to>
    <mc:AlternateContent xmlns:mc="http://schemas.openxmlformats.org/markup-compatibility/2006">
      <mc:Choice xmlns:xdr14="http://schemas.microsoft.com/office/excel/2010/spreadsheetDrawing" Requires="xdr14">
        <xdr:contentPart xmlns:r="http://schemas.openxmlformats.org/officeDocument/2006/relationships" r:id="rId18">
          <xdr14:nvContentPartPr>
            <xdr14:cNvPr id="27" name="Entrada de lápiz 26">
              <a:extLst>
                <a:ext uri="{FF2B5EF4-FFF2-40B4-BE49-F238E27FC236}">
                  <a16:creationId xmlns:a16="http://schemas.microsoft.com/office/drawing/2014/main" id="{2A6BE100-C4BB-97AE-458B-3231B30F3025}"/>
                </a:ext>
              </a:extLst>
            </xdr14:cNvPr>
            <xdr14:cNvContentPartPr/>
          </xdr14:nvContentPartPr>
          <xdr14:nvPr macro=""/>
          <xdr14:xfrm>
            <a:off x="5908320" y="2673360"/>
            <a:ext cx="81360" cy="142560"/>
          </xdr14:xfrm>
        </xdr:contentPart>
      </mc:Choice>
      <mc:Fallback>
        <xdr:pic>
          <xdr:nvPicPr>
            <xdr:cNvPr id="27" name="Entrada de lápiz 26">
              <a:extLst>
                <a:ext uri="{FF2B5EF4-FFF2-40B4-BE49-F238E27FC236}">
                  <a16:creationId xmlns:a16="http://schemas.microsoft.com/office/drawing/2014/main" id="{2A6BE100-C4BB-97AE-458B-3231B30F3025}"/>
                </a:ext>
              </a:extLst>
            </xdr:cNvPr>
            <xdr:cNvPicPr/>
          </xdr:nvPicPr>
          <xdr:blipFill>
            <a:blip xmlns:r="http://schemas.openxmlformats.org/officeDocument/2006/relationships" r:embed="rId19"/>
            <a:stretch>
              <a:fillRect/>
            </a:stretch>
          </xdr:blipFill>
          <xdr:spPr>
            <a:xfrm>
              <a:off x="5902200" y="2667240"/>
              <a:ext cx="93600" cy="154800"/>
            </a:xfrm>
            <a:prstGeom prst="rect">
              <a:avLst/>
            </a:prstGeom>
          </xdr:spPr>
        </xdr:pic>
      </mc:Fallback>
    </mc:AlternateContent>
    <xdr:clientData/>
  </xdr:twoCellAnchor>
  <xdr:twoCellAnchor editAs="oneCell">
    <xdr:from>
      <xdr:col>2</xdr:col>
      <xdr:colOff>139679</xdr:colOff>
      <xdr:row>9</xdr:row>
      <xdr:rowOff>189582</xdr:rowOff>
    </xdr:from>
    <xdr:to>
      <xdr:col>2</xdr:col>
      <xdr:colOff>431999</xdr:colOff>
      <xdr:row>10</xdr:row>
      <xdr:rowOff>156127</xdr:rowOff>
    </xdr:to>
    <mc:AlternateContent xmlns:mc="http://schemas.openxmlformats.org/markup-compatibility/2006">
      <mc:Choice xmlns:xdr14="http://schemas.microsoft.com/office/excel/2010/spreadsheetDrawing" Requires="xdr14">
        <xdr:contentPart xmlns:r="http://schemas.openxmlformats.org/officeDocument/2006/relationships" r:id="rId20">
          <xdr14:nvContentPartPr>
            <xdr14:cNvPr id="33" name="Entrada de lápiz 32">
              <a:extLst>
                <a:ext uri="{FF2B5EF4-FFF2-40B4-BE49-F238E27FC236}">
                  <a16:creationId xmlns:a16="http://schemas.microsoft.com/office/drawing/2014/main" id="{A290DBEA-E261-E7A2-E754-E1207E0117EB}"/>
                </a:ext>
              </a:extLst>
            </xdr14:cNvPr>
            <xdr14:cNvContentPartPr/>
          </xdr14:nvContentPartPr>
          <xdr14:nvPr macro=""/>
          <xdr14:xfrm>
            <a:off x="1794960" y="1987560"/>
            <a:ext cx="292320" cy="166320"/>
          </xdr14:xfrm>
        </xdr:contentPart>
      </mc:Choice>
      <mc:Fallback>
        <xdr:pic>
          <xdr:nvPicPr>
            <xdr:cNvPr id="33" name="Entrada de lápiz 32">
              <a:extLst>
                <a:ext uri="{FF2B5EF4-FFF2-40B4-BE49-F238E27FC236}">
                  <a16:creationId xmlns:a16="http://schemas.microsoft.com/office/drawing/2014/main" id="{A290DBEA-E261-E7A2-E754-E1207E0117EB}"/>
                </a:ext>
              </a:extLst>
            </xdr:cNvPr>
            <xdr:cNvPicPr/>
          </xdr:nvPicPr>
          <xdr:blipFill>
            <a:blip xmlns:r="http://schemas.openxmlformats.org/officeDocument/2006/relationships" r:embed="rId21"/>
            <a:stretch>
              <a:fillRect/>
            </a:stretch>
          </xdr:blipFill>
          <xdr:spPr>
            <a:xfrm>
              <a:off x="1788832" y="1981440"/>
              <a:ext cx="304575" cy="178560"/>
            </a:xfrm>
            <a:prstGeom prst="rect">
              <a:avLst/>
            </a:prstGeom>
          </xdr:spPr>
        </xdr:pic>
      </mc:Fallback>
    </mc:AlternateContent>
    <xdr:clientData/>
  </xdr:twoCellAnchor>
  <xdr:twoCellAnchor editAs="oneCell">
    <xdr:from>
      <xdr:col>0</xdr:col>
      <xdr:colOff>381960</xdr:colOff>
      <xdr:row>7</xdr:row>
      <xdr:rowOff>59573</xdr:rowOff>
    </xdr:from>
    <xdr:to>
      <xdr:col>0</xdr:col>
      <xdr:colOff>630720</xdr:colOff>
      <xdr:row>8</xdr:row>
      <xdr:rowOff>16398</xdr:rowOff>
    </xdr:to>
    <mc:AlternateContent xmlns:mc="http://schemas.openxmlformats.org/markup-compatibility/2006">
      <mc:Choice xmlns:xdr14="http://schemas.microsoft.com/office/excel/2010/spreadsheetDrawing" Requires="xdr14">
        <xdr:contentPart xmlns:r="http://schemas.openxmlformats.org/officeDocument/2006/relationships" r:id="rId22">
          <xdr14:nvContentPartPr>
            <xdr14:cNvPr id="36" name="Entrada de lápiz 35">
              <a:extLst>
                <a:ext uri="{FF2B5EF4-FFF2-40B4-BE49-F238E27FC236}">
                  <a16:creationId xmlns:a16="http://schemas.microsoft.com/office/drawing/2014/main" id="{19B1EBFA-9D25-DAE4-31AA-355E7554430A}"/>
                </a:ext>
              </a:extLst>
            </xdr14:cNvPr>
            <xdr14:cNvContentPartPr/>
          </xdr14:nvContentPartPr>
          <xdr14:nvPr macro=""/>
          <xdr14:xfrm>
            <a:off x="381960" y="1458000"/>
            <a:ext cx="248760" cy="156600"/>
          </xdr14:xfrm>
        </xdr:contentPart>
      </mc:Choice>
      <mc:Fallback>
        <xdr:pic>
          <xdr:nvPicPr>
            <xdr:cNvPr id="36" name="Entrada de lápiz 35">
              <a:extLst>
                <a:ext uri="{FF2B5EF4-FFF2-40B4-BE49-F238E27FC236}">
                  <a16:creationId xmlns:a16="http://schemas.microsoft.com/office/drawing/2014/main" id="{19B1EBFA-9D25-DAE4-31AA-355E7554430A}"/>
                </a:ext>
              </a:extLst>
            </xdr:cNvPr>
            <xdr:cNvPicPr/>
          </xdr:nvPicPr>
          <xdr:blipFill>
            <a:blip xmlns:r="http://schemas.openxmlformats.org/officeDocument/2006/relationships" r:embed="rId23"/>
            <a:stretch>
              <a:fillRect/>
            </a:stretch>
          </xdr:blipFill>
          <xdr:spPr>
            <a:xfrm>
              <a:off x="375849" y="1451880"/>
              <a:ext cx="260982" cy="168840"/>
            </a:xfrm>
            <a:prstGeom prst="rect">
              <a:avLst/>
            </a:prstGeom>
          </xdr:spPr>
        </xdr:pic>
      </mc:Fallback>
    </mc:AlternateContent>
    <xdr:clientData/>
  </xdr:twoCellAnchor>
  <xdr:twoCellAnchor editAs="oneCell">
    <xdr:from>
      <xdr:col>0</xdr:col>
      <xdr:colOff>408600</xdr:colOff>
      <xdr:row>13</xdr:row>
      <xdr:rowOff>27681</xdr:rowOff>
    </xdr:from>
    <xdr:to>
      <xdr:col>0</xdr:col>
      <xdr:colOff>546120</xdr:colOff>
      <xdr:row>14</xdr:row>
      <xdr:rowOff>111946</xdr:rowOff>
    </xdr:to>
    <mc:AlternateContent xmlns:mc="http://schemas.openxmlformats.org/markup-compatibility/2006">
      <mc:Choice xmlns:xdr14="http://schemas.microsoft.com/office/excel/2010/spreadsheetDrawing" Requires="xdr14">
        <xdr:contentPart xmlns:r="http://schemas.openxmlformats.org/officeDocument/2006/relationships" r:id="rId24">
          <xdr14:nvContentPartPr>
            <xdr14:cNvPr id="39" name="Entrada de lápiz 38">
              <a:extLst>
                <a:ext uri="{FF2B5EF4-FFF2-40B4-BE49-F238E27FC236}">
                  <a16:creationId xmlns:a16="http://schemas.microsoft.com/office/drawing/2014/main" id="{0004775A-2BCA-D2C8-9BA8-8214652972FF}"/>
                </a:ext>
              </a:extLst>
            </xdr14:cNvPr>
            <xdr14:cNvContentPartPr/>
          </xdr14:nvContentPartPr>
          <xdr14:nvPr macro=""/>
          <xdr14:xfrm>
            <a:off x="408600" y="2624760"/>
            <a:ext cx="137520" cy="284040"/>
          </xdr14:xfrm>
        </xdr:contentPart>
      </mc:Choice>
      <mc:Fallback>
        <xdr:pic>
          <xdr:nvPicPr>
            <xdr:cNvPr id="39" name="Entrada de lápiz 38">
              <a:extLst>
                <a:ext uri="{FF2B5EF4-FFF2-40B4-BE49-F238E27FC236}">
                  <a16:creationId xmlns:a16="http://schemas.microsoft.com/office/drawing/2014/main" id="{0004775A-2BCA-D2C8-9BA8-8214652972FF}"/>
                </a:ext>
              </a:extLst>
            </xdr:cNvPr>
            <xdr:cNvPicPr/>
          </xdr:nvPicPr>
          <xdr:blipFill>
            <a:blip xmlns:r="http://schemas.openxmlformats.org/officeDocument/2006/relationships" r:embed="rId25"/>
            <a:stretch>
              <a:fillRect/>
            </a:stretch>
          </xdr:blipFill>
          <xdr:spPr>
            <a:xfrm>
              <a:off x="402480" y="2618640"/>
              <a:ext cx="149760" cy="296280"/>
            </a:xfrm>
            <a:prstGeom prst="rect">
              <a:avLst/>
            </a:prstGeom>
          </xdr:spPr>
        </xdr:pic>
      </mc:Fallback>
    </mc:AlternateContent>
    <xdr:clientData/>
  </xdr:twoCellAnchor>
  <xdr:twoCellAnchor editAs="oneCell">
    <xdr:from>
      <xdr:col>7</xdr:col>
      <xdr:colOff>216717</xdr:colOff>
      <xdr:row>1</xdr:row>
      <xdr:rowOff>194425</xdr:rowOff>
    </xdr:from>
    <xdr:to>
      <xdr:col>7</xdr:col>
      <xdr:colOff>336957</xdr:colOff>
      <xdr:row>2</xdr:row>
      <xdr:rowOff>2569</xdr:rowOff>
    </xdr:to>
    <mc:AlternateContent xmlns:mc="http://schemas.openxmlformats.org/markup-compatibility/2006">
      <mc:Choice xmlns:xdr14="http://schemas.microsoft.com/office/excel/2010/spreadsheetDrawing" Requires="xdr14">
        <xdr:contentPart xmlns:r="http://schemas.openxmlformats.org/officeDocument/2006/relationships" r:id="rId26">
          <xdr14:nvContentPartPr>
            <xdr14:cNvPr id="40" name="Entrada de lápiz 39">
              <a:extLst>
                <a:ext uri="{FF2B5EF4-FFF2-40B4-BE49-F238E27FC236}">
                  <a16:creationId xmlns:a16="http://schemas.microsoft.com/office/drawing/2014/main" id="{E9EA79FE-B1AE-9F67-A9B2-93898BCC706E}"/>
                </a:ext>
              </a:extLst>
            </xdr14:cNvPr>
            <xdr14:cNvContentPartPr/>
          </xdr14:nvContentPartPr>
          <xdr14:nvPr macro=""/>
          <xdr14:xfrm>
            <a:off x="6010200" y="394200"/>
            <a:ext cx="120240" cy="7920"/>
          </xdr14:xfrm>
        </xdr:contentPart>
      </mc:Choice>
      <mc:Fallback>
        <xdr:pic>
          <xdr:nvPicPr>
            <xdr:cNvPr id="40" name="Entrada de lápiz 39">
              <a:extLst>
                <a:ext uri="{FF2B5EF4-FFF2-40B4-BE49-F238E27FC236}">
                  <a16:creationId xmlns:a16="http://schemas.microsoft.com/office/drawing/2014/main" id="{E9EA79FE-B1AE-9F67-A9B2-93898BCC706E}"/>
                </a:ext>
              </a:extLst>
            </xdr:cNvPr>
            <xdr:cNvPicPr/>
          </xdr:nvPicPr>
          <xdr:blipFill>
            <a:blip xmlns:r="http://schemas.openxmlformats.org/officeDocument/2006/relationships" r:embed="rId27"/>
            <a:stretch>
              <a:fillRect/>
            </a:stretch>
          </xdr:blipFill>
          <xdr:spPr>
            <a:xfrm>
              <a:off x="6004080" y="388080"/>
              <a:ext cx="132480" cy="20160"/>
            </a:xfrm>
            <a:prstGeom prst="rect">
              <a:avLst/>
            </a:prstGeom>
          </xdr:spPr>
        </xdr:pic>
      </mc:Fallback>
    </mc:AlternateContent>
    <xdr:clientData/>
  </xdr:twoCellAnchor>
  <xdr:twoCellAnchor editAs="oneCell">
    <xdr:from>
      <xdr:col>4</xdr:col>
      <xdr:colOff>16558</xdr:colOff>
      <xdr:row>8</xdr:row>
      <xdr:rowOff>100278</xdr:rowOff>
    </xdr:from>
    <xdr:to>
      <xdr:col>4</xdr:col>
      <xdr:colOff>171358</xdr:colOff>
      <xdr:row>8</xdr:row>
      <xdr:rowOff>100638</xdr:rowOff>
    </xdr:to>
    <mc:AlternateContent xmlns:mc="http://schemas.openxmlformats.org/markup-compatibility/2006">
      <mc:Choice xmlns:xdr14="http://schemas.microsoft.com/office/excel/2010/spreadsheetDrawing" Requires="xdr14">
        <xdr:contentPart xmlns:r="http://schemas.openxmlformats.org/officeDocument/2006/relationships" r:id="rId28">
          <xdr14:nvContentPartPr>
            <xdr14:cNvPr id="41" name="Entrada de lápiz 40">
              <a:extLst>
                <a:ext uri="{FF2B5EF4-FFF2-40B4-BE49-F238E27FC236}">
                  <a16:creationId xmlns:a16="http://schemas.microsoft.com/office/drawing/2014/main" id="{1D3DA79D-FAD8-8988-A1D9-BCC069EA3040}"/>
                </a:ext>
              </a:extLst>
            </xdr14:cNvPr>
            <xdr14:cNvContentPartPr/>
          </xdr14:nvContentPartPr>
          <xdr14:nvPr macro=""/>
          <xdr14:xfrm>
            <a:off x="3327120" y="1698480"/>
            <a:ext cx="154800" cy="360"/>
          </xdr14:xfrm>
        </xdr:contentPart>
      </mc:Choice>
      <mc:Fallback>
        <xdr:pic>
          <xdr:nvPicPr>
            <xdr:cNvPr id="41" name="Entrada de lápiz 40">
              <a:extLst>
                <a:ext uri="{FF2B5EF4-FFF2-40B4-BE49-F238E27FC236}">
                  <a16:creationId xmlns:a16="http://schemas.microsoft.com/office/drawing/2014/main" id="{1D3DA79D-FAD8-8988-A1D9-BCC069EA3040}"/>
                </a:ext>
              </a:extLst>
            </xdr:cNvPr>
            <xdr:cNvPicPr/>
          </xdr:nvPicPr>
          <xdr:blipFill>
            <a:blip xmlns:r="http://schemas.openxmlformats.org/officeDocument/2006/relationships" r:embed="rId29"/>
            <a:stretch>
              <a:fillRect/>
            </a:stretch>
          </xdr:blipFill>
          <xdr:spPr>
            <a:xfrm>
              <a:off x="3321000" y="1692360"/>
              <a:ext cx="167040" cy="12600"/>
            </a:xfrm>
            <a:prstGeom prst="rect">
              <a:avLst/>
            </a:prstGeom>
          </xdr:spPr>
        </xdr:pic>
      </mc:Fallback>
    </mc:AlternateContent>
    <xdr:clientData/>
  </xdr:twoCellAnchor>
  <xdr:twoCellAnchor editAs="oneCell">
    <xdr:from>
      <xdr:col>7</xdr:col>
      <xdr:colOff>118077</xdr:colOff>
      <xdr:row>10</xdr:row>
      <xdr:rowOff>25087</xdr:rowOff>
    </xdr:from>
    <xdr:to>
      <xdr:col>7</xdr:col>
      <xdr:colOff>215637</xdr:colOff>
      <xdr:row>10</xdr:row>
      <xdr:rowOff>25447</xdr:rowOff>
    </xdr:to>
    <mc:AlternateContent xmlns:mc="http://schemas.openxmlformats.org/markup-compatibility/2006">
      <mc:Choice xmlns:xdr14="http://schemas.microsoft.com/office/excel/2010/spreadsheetDrawing" Requires="xdr14">
        <xdr:contentPart xmlns:r="http://schemas.openxmlformats.org/officeDocument/2006/relationships" r:id="rId30">
          <xdr14:nvContentPartPr>
            <xdr14:cNvPr id="42" name="Entrada de lápiz 41">
              <a:extLst>
                <a:ext uri="{FF2B5EF4-FFF2-40B4-BE49-F238E27FC236}">
                  <a16:creationId xmlns:a16="http://schemas.microsoft.com/office/drawing/2014/main" id="{95982DFF-46E6-2BE9-FC45-37B12588AEBD}"/>
                </a:ext>
              </a:extLst>
            </xdr14:cNvPr>
            <xdr14:cNvContentPartPr/>
          </xdr14:nvContentPartPr>
          <xdr14:nvPr macro=""/>
          <xdr14:xfrm>
            <a:off x="5911560" y="2022840"/>
            <a:ext cx="97560" cy="360"/>
          </xdr14:xfrm>
        </xdr:contentPart>
      </mc:Choice>
      <mc:Fallback>
        <xdr:pic>
          <xdr:nvPicPr>
            <xdr:cNvPr id="42" name="Entrada de lápiz 41">
              <a:extLst>
                <a:ext uri="{FF2B5EF4-FFF2-40B4-BE49-F238E27FC236}">
                  <a16:creationId xmlns:a16="http://schemas.microsoft.com/office/drawing/2014/main" id="{95982DFF-46E6-2BE9-FC45-37B12588AEBD}"/>
                </a:ext>
              </a:extLst>
            </xdr:cNvPr>
            <xdr:cNvPicPr/>
          </xdr:nvPicPr>
          <xdr:blipFill>
            <a:blip xmlns:r="http://schemas.openxmlformats.org/officeDocument/2006/relationships" r:embed="rId31"/>
            <a:stretch>
              <a:fillRect/>
            </a:stretch>
          </xdr:blipFill>
          <xdr:spPr>
            <a:xfrm>
              <a:off x="5905440" y="2016720"/>
              <a:ext cx="109800" cy="12600"/>
            </a:xfrm>
            <a:prstGeom prst="rect">
              <a:avLst/>
            </a:prstGeom>
          </xdr:spPr>
        </xdr:pic>
      </mc:Fallback>
    </mc:AlternateContent>
    <xdr:clientData/>
  </xdr:twoCellAnchor>
  <xdr:twoCellAnchor editAs="oneCell">
    <xdr:from>
      <xdr:col>2</xdr:col>
      <xdr:colOff>264239</xdr:colOff>
      <xdr:row>1</xdr:row>
      <xdr:rowOff>182905</xdr:rowOff>
    </xdr:from>
    <xdr:to>
      <xdr:col>2</xdr:col>
      <xdr:colOff>370799</xdr:colOff>
      <xdr:row>1</xdr:row>
      <xdr:rowOff>183265</xdr:rowOff>
    </xdr:to>
    <mc:AlternateContent xmlns:mc="http://schemas.openxmlformats.org/markup-compatibility/2006">
      <mc:Choice xmlns:xdr14="http://schemas.microsoft.com/office/excel/2010/spreadsheetDrawing" Requires="xdr14">
        <xdr:contentPart xmlns:r="http://schemas.openxmlformats.org/officeDocument/2006/relationships" r:id="rId32">
          <xdr14:nvContentPartPr>
            <xdr14:cNvPr id="43" name="Entrada de lápiz 42">
              <a:extLst>
                <a:ext uri="{FF2B5EF4-FFF2-40B4-BE49-F238E27FC236}">
                  <a16:creationId xmlns:a16="http://schemas.microsoft.com/office/drawing/2014/main" id="{1C186A6E-F394-9C6D-BF1B-B223D4334C49}"/>
                </a:ext>
              </a:extLst>
            </xdr14:cNvPr>
            <xdr14:cNvContentPartPr/>
          </xdr14:nvContentPartPr>
          <xdr14:nvPr macro=""/>
          <xdr14:xfrm>
            <a:off x="1919520" y="382680"/>
            <a:ext cx="106560" cy="360"/>
          </xdr14:xfrm>
        </xdr:contentPart>
      </mc:Choice>
      <mc:Fallback>
        <xdr:pic>
          <xdr:nvPicPr>
            <xdr:cNvPr id="43" name="Entrada de lápiz 42">
              <a:extLst>
                <a:ext uri="{FF2B5EF4-FFF2-40B4-BE49-F238E27FC236}">
                  <a16:creationId xmlns:a16="http://schemas.microsoft.com/office/drawing/2014/main" id="{1C186A6E-F394-9C6D-BF1B-B223D4334C49}"/>
                </a:ext>
              </a:extLst>
            </xdr:cNvPr>
            <xdr:cNvPicPr/>
          </xdr:nvPicPr>
          <xdr:blipFill>
            <a:blip xmlns:r="http://schemas.openxmlformats.org/officeDocument/2006/relationships" r:embed="rId33"/>
            <a:stretch>
              <a:fillRect/>
            </a:stretch>
          </xdr:blipFill>
          <xdr:spPr>
            <a:xfrm>
              <a:off x="1913400" y="376560"/>
              <a:ext cx="118800" cy="12600"/>
            </a:xfrm>
            <a:prstGeom prst="rect">
              <a:avLst/>
            </a:prstGeom>
          </xdr:spPr>
        </xdr:pic>
      </mc:Fallback>
    </mc:AlternateContent>
    <xdr:clientData/>
  </xdr:twoCellAnchor>
  <xdr:twoCellAnchor editAs="oneCell">
    <xdr:from>
      <xdr:col>0</xdr:col>
      <xdr:colOff>588600</xdr:colOff>
      <xdr:row>1</xdr:row>
      <xdr:rowOff>176065</xdr:rowOff>
    </xdr:from>
    <xdr:to>
      <xdr:col>0</xdr:col>
      <xdr:colOff>713520</xdr:colOff>
      <xdr:row>1</xdr:row>
      <xdr:rowOff>178225</xdr:rowOff>
    </xdr:to>
    <mc:AlternateContent xmlns:mc="http://schemas.openxmlformats.org/markup-compatibility/2006">
      <mc:Choice xmlns:xdr14="http://schemas.microsoft.com/office/excel/2010/spreadsheetDrawing" Requires="xdr14">
        <xdr:contentPart xmlns:r="http://schemas.openxmlformats.org/officeDocument/2006/relationships" r:id="rId34">
          <xdr14:nvContentPartPr>
            <xdr14:cNvPr id="44" name="Entrada de lápiz 43">
              <a:extLst>
                <a:ext uri="{FF2B5EF4-FFF2-40B4-BE49-F238E27FC236}">
                  <a16:creationId xmlns:a16="http://schemas.microsoft.com/office/drawing/2014/main" id="{5EC94B92-31B0-913E-FA82-F4370FC74F51}"/>
                </a:ext>
              </a:extLst>
            </xdr14:cNvPr>
            <xdr14:cNvContentPartPr/>
          </xdr14:nvContentPartPr>
          <xdr14:nvPr macro=""/>
          <xdr14:xfrm>
            <a:off x="588600" y="375840"/>
            <a:ext cx="124920" cy="2160"/>
          </xdr14:xfrm>
        </xdr:contentPart>
      </mc:Choice>
      <mc:Fallback>
        <xdr:pic>
          <xdr:nvPicPr>
            <xdr:cNvPr id="44" name="Entrada de lápiz 43">
              <a:extLst>
                <a:ext uri="{FF2B5EF4-FFF2-40B4-BE49-F238E27FC236}">
                  <a16:creationId xmlns:a16="http://schemas.microsoft.com/office/drawing/2014/main" id="{5EC94B92-31B0-913E-FA82-F4370FC74F51}"/>
                </a:ext>
              </a:extLst>
            </xdr:cNvPr>
            <xdr:cNvPicPr/>
          </xdr:nvPicPr>
          <xdr:blipFill>
            <a:blip xmlns:r="http://schemas.openxmlformats.org/officeDocument/2006/relationships" r:embed="rId35"/>
            <a:stretch>
              <a:fillRect/>
            </a:stretch>
          </xdr:blipFill>
          <xdr:spPr>
            <a:xfrm>
              <a:off x="582480" y="369720"/>
              <a:ext cx="137160" cy="14400"/>
            </a:xfrm>
            <a:prstGeom prst="rect">
              <a:avLst/>
            </a:prstGeom>
          </xdr:spPr>
        </xdr:pic>
      </mc:Fallback>
    </mc:AlternateContent>
    <xdr:clientData/>
  </xdr:twoCellAnchor>
  <xdr:twoCellAnchor editAs="oneCell">
    <xdr:from>
      <xdr:col>0</xdr:col>
      <xdr:colOff>634680</xdr:colOff>
      <xdr:row>9</xdr:row>
      <xdr:rowOff>152862</xdr:rowOff>
    </xdr:from>
    <xdr:to>
      <xdr:col>0</xdr:col>
      <xdr:colOff>729720</xdr:colOff>
      <xdr:row>9</xdr:row>
      <xdr:rowOff>153222</xdr:rowOff>
    </xdr:to>
    <mc:AlternateContent xmlns:mc="http://schemas.openxmlformats.org/markup-compatibility/2006">
      <mc:Choice xmlns:xdr14="http://schemas.microsoft.com/office/excel/2010/spreadsheetDrawing" Requires="xdr14">
        <xdr:contentPart xmlns:r="http://schemas.openxmlformats.org/officeDocument/2006/relationships" r:id="rId36">
          <xdr14:nvContentPartPr>
            <xdr14:cNvPr id="45" name="Entrada de lápiz 44">
              <a:extLst>
                <a:ext uri="{FF2B5EF4-FFF2-40B4-BE49-F238E27FC236}">
                  <a16:creationId xmlns:a16="http://schemas.microsoft.com/office/drawing/2014/main" id="{9B75220D-C678-7319-757D-6088705C9030}"/>
                </a:ext>
              </a:extLst>
            </xdr14:cNvPr>
            <xdr14:cNvContentPartPr/>
          </xdr14:nvContentPartPr>
          <xdr14:nvPr macro=""/>
          <xdr14:xfrm>
            <a:off x="634680" y="1950840"/>
            <a:ext cx="95040" cy="360"/>
          </xdr14:xfrm>
        </xdr:contentPart>
      </mc:Choice>
      <mc:Fallback>
        <xdr:pic>
          <xdr:nvPicPr>
            <xdr:cNvPr id="45" name="Entrada de lápiz 44">
              <a:extLst>
                <a:ext uri="{FF2B5EF4-FFF2-40B4-BE49-F238E27FC236}">
                  <a16:creationId xmlns:a16="http://schemas.microsoft.com/office/drawing/2014/main" id="{9B75220D-C678-7319-757D-6088705C9030}"/>
                </a:ext>
              </a:extLst>
            </xdr:cNvPr>
            <xdr:cNvPicPr/>
          </xdr:nvPicPr>
          <xdr:blipFill>
            <a:blip xmlns:r="http://schemas.openxmlformats.org/officeDocument/2006/relationships" r:embed="rId37"/>
            <a:stretch>
              <a:fillRect/>
            </a:stretch>
          </xdr:blipFill>
          <xdr:spPr>
            <a:xfrm>
              <a:off x="628560" y="1944720"/>
              <a:ext cx="107280" cy="12600"/>
            </a:xfrm>
            <a:prstGeom prst="rect">
              <a:avLst/>
            </a:prstGeom>
          </xdr:spPr>
        </xdr:pic>
      </mc:Fallback>
    </mc:AlternateContent>
    <xdr:clientData/>
  </xdr:twoCellAnchor>
  <xdr:twoCellAnchor editAs="oneCell">
    <xdr:from>
      <xdr:col>1</xdr:col>
      <xdr:colOff>316080</xdr:colOff>
      <xdr:row>1</xdr:row>
      <xdr:rowOff>36745</xdr:rowOff>
    </xdr:from>
    <xdr:to>
      <xdr:col>1</xdr:col>
      <xdr:colOff>352080</xdr:colOff>
      <xdr:row>1</xdr:row>
      <xdr:rowOff>37105</xdr:rowOff>
    </xdr:to>
    <mc:AlternateContent xmlns:mc="http://schemas.openxmlformats.org/markup-compatibility/2006">
      <mc:Choice xmlns:xdr14="http://schemas.microsoft.com/office/excel/2010/spreadsheetDrawing" Requires="xdr14">
        <xdr:contentPart xmlns:r="http://schemas.openxmlformats.org/officeDocument/2006/relationships" r:id="rId38">
          <xdr14:nvContentPartPr>
            <xdr14:cNvPr id="46" name="Entrada de lápiz 45">
              <a:extLst>
                <a:ext uri="{FF2B5EF4-FFF2-40B4-BE49-F238E27FC236}">
                  <a16:creationId xmlns:a16="http://schemas.microsoft.com/office/drawing/2014/main" id="{E10917CF-7575-19E1-FD41-B9EB94722851}"/>
                </a:ext>
              </a:extLst>
            </xdr14:cNvPr>
            <xdr14:cNvContentPartPr/>
          </xdr14:nvContentPartPr>
          <xdr14:nvPr macro=""/>
          <xdr14:xfrm>
            <a:off x="1143720" y="236520"/>
            <a:ext cx="36000" cy="360"/>
          </xdr14:xfrm>
        </xdr:contentPart>
      </mc:Choice>
      <mc:Fallback>
        <xdr:pic>
          <xdr:nvPicPr>
            <xdr:cNvPr id="46" name="Entrada de lápiz 45">
              <a:extLst>
                <a:ext uri="{FF2B5EF4-FFF2-40B4-BE49-F238E27FC236}">
                  <a16:creationId xmlns:a16="http://schemas.microsoft.com/office/drawing/2014/main" id="{E10917CF-7575-19E1-FD41-B9EB94722851}"/>
                </a:ext>
              </a:extLst>
            </xdr:cNvPr>
            <xdr:cNvPicPr/>
          </xdr:nvPicPr>
          <xdr:blipFill>
            <a:blip xmlns:r="http://schemas.openxmlformats.org/officeDocument/2006/relationships" r:embed="rId39"/>
            <a:stretch>
              <a:fillRect/>
            </a:stretch>
          </xdr:blipFill>
          <xdr:spPr>
            <a:xfrm>
              <a:off x="1090080" y="128880"/>
              <a:ext cx="143640" cy="216000"/>
            </a:xfrm>
            <a:prstGeom prst="rect">
              <a:avLst/>
            </a:prstGeom>
          </xdr:spPr>
        </xdr:pic>
      </mc:Fallback>
    </mc:AlternateContent>
    <xdr:clientData/>
  </xdr:twoCellAnchor>
  <xdr:twoCellAnchor editAs="oneCell">
    <xdr:from>
      <xdr:col>1</xdr:col>
      <xdr:colOff>312480</xdr:colOff>
      <xdr:row>8</xdr:row>
      <xdr:rowOff>193158</xdr:rowOff>
    </xdr:from>
    <xdr:to>
      <xdr:col>1</xdr:col>
      <xdr:colOff>362880</xdr:colOff>
      <xdr:row>8</xdr:row>
      <xdr:rowOff>193518</xdr:rowOff>
    </xdr:to>
    <mc:AlternateContent xmlns:mc="http://schemas.openxmlformats.org/markup-compatibility/2006">
      <mc:Choice xmlns:xdr14="http://schemas.microsoft.com/office/excel/2010/spreadsheetDrawing" Requires="xdr14">
        <xdr:contentPart xmlns:r="http://schemas.openxmlformats.org/officeDocument/2006/relationships" r:id="rId40">
          <xdr14:nvContentPartPr>
            <xdr14:cNvPr id="47" name="Entrada de lápiz 46">
              <a:extLst>
                <a:ext uri="{FF2B5EF4-FFF2-40B4-BE49-F238E27FC236}">
                  <a16:creationId xmlns:a16="http://schemas.microsoft.com/office/drawing/2014/main" id="{BECBE08D-6DDD-59FE-C437-C4A11A6A26D7}"/>
                </a:ext>
              </a:extLst>
            </xdr14:cNvPr>
            <xdr14:cNvContentPartPr/>
          </xdr14:nvContentPartPr>
          <xdr14:nvPr macro=""/>
          <xdr14:xfrm>
            <a:off x="1140120" y="1791360"/>
            <a:ext cx="50400" cy="360"/>
          </xdr14:xfrm>
        </xdr:contentPart>
      </mc:Choice>
      <mc:Fallback>
        <xdr:pic>
          <xdr:nvPicPr>
            <xdr:cNvPr id="47" name="Entrada de lápiz 46">
              <a:extLst>
                <a:ext uri="{FF2B5EF4-FFF2-40B4-BE49-F238E27FC236}">
                  <a16:creationId xmlns:a16="http://schemas.microsoft.com/office/drawing/2014/main" id="{BECBE08D-6DDD-59FE-C437-C4A11A6A26D7}"/>
                </a:ext>
              </a:extLst>
            </xdr:cNvPr>
            <xdr:cNvPicPr/>
          </xdr:nvPicPr>
          <xdr:blipFill>
            <a:blip xmlns:r="http://schemas.openxmlformats.org/officeDocument/2006/relationships" r:embed="rId41"/>
            <a:stretch>
              <a:fillRect/>
            </a:stretch>
          </xdr:blipFill>
          <xdr:spPr>
            <a:xfrm>
              <a:off x="1086480" y="1683720"/>
              <a:ext cx="158040" cy="216000"/>
            </a:xfrm>
            <a:prstGeom prst="rect">
              <a:avLst/>
            </a:prstGeom>
          </xdr:spPr>
        </xdr:pic>
      </mc:Fallback>
    </mc:AlternateContent>
    <xdr:clientData/>
  </xdr:twoCellAnchor>
  <xdr:twoCellAnchor editAs="oneCell">
    <xdr:from>
      <xdr:col>3</xdr:col>
      <xdr:colOff>4679</xdr:colOff>
      <xdr:row>1</xdr:row>
      <xdr:rowOff>21265</xdr:rowOff>
    </xdr:from>
    <xdr:to>
      <xdr:col>3</xdr:col>
      <xdr:colOff>43199</xdr:colOff>
      <xdr:row>1</xdr:row>
      <xdr:rowOff>21625</xdr:rowOff>
    </xdr:to>
    <mc:AlternateContent xmlns:mc="http://schemas.openxmlformats.org/markup-compatibility/2006">
      <mc:Choice xmlns:xdr14="http://schemas.microsoft.com/office/excel/2010/spreadsheetDrawing" Requires="xdr14">
        <xdr:contentPart xmlns:r="http://schemas.openxmlformats.org/officeDocument/2006/relationships" r:id="rId42">
          <xdr14:nvContentPartPr>
            <xdr14:cNvPr id="48" name="Entrada de lápiz 47">
              <a:extLst>
                <a:ext uri="{FF2B5EF4-FFF2-40B4-BE49-F238E27FC236}">
                  <a16:creationId xmlns:a16="http://schemas.microsoft.com/office/drawing/2014/main" id="{C5FFB36C-0C33-11F2-8151-10FF45650643}"/>
                </a:ext>
              </a:extLst>
            </xdr14:cNvPr>
            <xdr14:cNvContentPartPr/>
          </xdr14:nvContentPartPr>
          <xdr14:nvPr macro=""/>
          <xdr14:xfrm>
            <a:off x="2487600" y="221040"/>
            <a:ext cx="38520" cy="360"/>
          </xdr14:xfrm>
        </xdr:contentPart>
      </mc:Choice>
      <mc:Fallback>
        <xdr:pic>
          <xdr:nvPicPr>
            <xdr:cNvPr id="48" name="Entrada de lápiz 47">
              <a:extLst>
                <a:ext uri="{FF2B5EF4-FFF2-40B4-BE49-F238E27FC236}">
                  <a16:creationId xmlns:a16="http://schemas.microsoft.com/office/drawing/2014/main" id="{C5FFB36C-0C33-11F2-8151-10FF45650643}"/>
                </a:ext>
              </a:extLst>
            </xdr:cNvPr>
            <xdr:cNvPicPr/>
          </xdr:nvPicPr>
          <xdr:blipFill>
            <a:blip xmlns:r="http://schemas.openxmlformats.org/officeDocument/2006/relationships" r:embed="rId43"/>
            <a:stretch>
              <a:fillRect/>
            </a:stretch>
          </xdr:blipFill>
          <xdr:spPr>
            <a:xfrm>
              <a:off x="2433960" y="113040"/>
              <a:ext cx="146160" cy="216000"/>
            </a:xfrm>
            <a:prstGeom prst="rect">
              <a:avLst/>
            </a:prstGeom>
          </xdr:spPr>
        </xdr:pic>
      </mc:Fallback>
    </mc:AlternateContent>
    <xdr:clientData/>
  </xdr:twoCellAnchor>
  <xdr:twoCellAnchor editAs="oneCell">
    <xdr:from>
      <xdr:col>4</xdr:col>
      <xdr:colOff>674638</xdr:colOff>
      <xdr:row>1</xdr:row>
      <xdr:rowOff>40345</xdr:rowOff>
    </xdr:from>
    <xdr:to>
      <xdr:col>4</xdr:col>
      <xdr:colOff>728638</xdr:colOff>
      <xdr:row>1</xdr:row>
      <xdr:rowOff>40705</xdr:rowOff>
    </xdr:to>
    <mc:AlternateContent xmlns:mc="http://schemas.openxmlformats.org/markup-compatibility/2006">
      <mc:Choice xmlns:xdr14="http://schemas.microsoft.com/office/excel/2010/spreadsheetDrawing" Requires="xdr14">
        <xdr:contentPart xmlns:r="http://schemas.openxmlformats.org/officeDocument/2006/relationships" r:id="rId44">
          <xdr14:nvContentPartPr>
            <xdr14:cNvPr id="49" name="Entrada de lápiz 48">
              <a:extLst>
                <a:ext uri="{FF2B5EF4-FFF2-40B4-BE49-F238E27FC236}">
                  <a16:creationId xmlns:a16="http://schemas.microsoft.com/office/drawing/2014/main" id="{2A6A392D-B48C-A750-34A9-85ABE890E6F4}"/>
                </a:ext>
              </a:extLst>
            </xdr14:cNvPr>
            <xdr14:cNvContentPartPr/>
          </xdr14:nvContentPartPr>
          <xdr14:nvPr macro=""/>
          <xdr14:xfrm>
            <a:off x="3985200" y="240120"/>
            <a:ext cx="54000" cy="360"/>
          </xdr14:xfrm>
        </xdr:contentPart>
      </mc:Choice>
      <mc:Fallback>
        <xdr:pic>
          <xdr:nvPicPr>
            <xdr:cNvPr id="49" name="Entrada de lápiz 48">
              <a:extLst>
                <a:ext uri="{FF2B5EF4-FFF2-40B4-BE49-F238E27FC236}">
                  <a16:creationId xmlns:a16="http://schemas.microsoft.com/office/drawing/2014/main" id="{2A6A392D-B48C-A750-34A9-85ABE890E6F4}"/>
                </a:ext>
              </a:extLst>
            </xdr:cNvPr>
            <xdr:cNvPicPr/>
          </xdr:nvPicPr>
          <xdr:blipFill>
            <a:blip xmlns:r="http://schemas.openxmlformats.org/officeDocument/2006/relationships" r:embed="rId45"/>
            <a:stretch>
              <a:fillRect/>
            </a:stretch>
          </xdr:blipFill>
          <xdr:spPr>
            <a:xfrm>
              <a:off x="3931200" y="132480"/>
              <a:ext cx="161640" cy="216000"/>
            </a:xfrm>
            <a:prstGeom prst="rect">
              <a:avLst/>
            </a:prstGeom>
          </xdr:spPr>
        </xdr:pic>
      </mc:Fallback>
    </mc:AlternateContent>
    <xdr:clientData/>
  </xdr:twoCellAnchor>
  <xdr:twoCellAnchor editAs="oneCell">
    <xdr:from>
      <xdr:col>4</xdr:col>
      <xdr:colOff>517678</xdr:colOff>
      <xdr:row>7</xdr:row>
      <xdr:rowOff>134813</xdr:rowOff>
    </xdr:from>
    <xdr:to>
      <xdr:col>4</xdr:col>
      <xdr:colOff>542518</xdr:colOff>
      <xdr:row>7</xdr:row>
      <xdr:rowOff>135173</xdr:rowOff>
    </xdr:to>
    <mc:AlternateContent xmlns:mc="http://schemas.openxmlformats.org/markup-compatibility/2006">
      <mc:Choice xmlns:xdr14="http://schemas.microsoft.com/office/excel/2010/spreadsheetDrawing" Requires="xdr14">
        <xdr:contentPart xmlns:r="http://schemas.openxmlformats.org/officeDocument/2006/relationships" r:id="rId46">
          <xdr14:nvContentPartPr>
            <xdr14:cNvPr id="50" name="Entrada de lápiz 49">
              <a:extLst>
                <a:ext uri="{FF2B5EF4-FFF2-40B4-BE49-F238E27FC236}">
                  <a16:creationId xmlns:a16="http://schemas.microsoft.com/office/drawing/2014/main" id="{479242FE-09FD-6DFF-91E9-668EC607F715}"/>
                </a:ext>
              </a:extLst>
            </xdr14:cNvPr>
            <xdr14:cNvContentPartPr/>
          </xdr14:nvContentPartPr>
          <xdr14:nvPr macro=""/>
          <xdr14:xfrm>
            <a:off x="3828240" y="1533240"/>
            <a:ext cx="24840" cy="360"/>
          </xdr14:xfrm>
        </xdr:contentPart>
      </mc:Choice>
      <mc:Fallback>
        <xdr:pic>
          <xdr:nvPicPr>
            <xdr:cNvPr id="50" name="Entrada de lápiz 49">
              <a:extLst>
                <a:ext uri="{FF2B5EF4-FFF2-40B4-BE49-F238E27FC236}">
                  <a16:creationId xmlns:a16="http://schemas.microsoft.com/office/drawing/2014/main" id="{479242FE-09FD-6DFF-91E9-668EC607F715}"/>
                </a:ext>
              </a:extLst>
            </xdr:cNvPr>
            <xdr:cNvPicPr/>
          </xdr:nvPicPr>
          <xdr:blipFill>
            <a:blip xmlns:r="http://schemas.openxmlformats.org/officeDocument/2006/relationships" r:embed="rId47"/>
            <a:stretch>
              <a:fillRect/>
            </a:stretch>
          </xdr:blipFill>
          <xdr:spPr>
            <a:xfrm>
              <a:off x="3774600" y="1425240"/>
              <a:ext cx="132480" cy="216000"/>
            </a:xfrm>
            <a:prstGeom prst="rect">
              <a:avLst/>
            </a:prstGeom>
          </xdr:spPr>
        </xdr:pic>
      </mc:Fallback>
    </mc:AlternateContent>
    <xdr:clientData/>
  </xdr:twoCellAnchor>
  <xdr:twoCellAnchor editAs="oneCell">
    <xdr:from>
      <xdr:col>6</xdr:col>
      <xdr:colOff>342357</xdr:colOff>
      <xdr:row>1</xdr:row>
      <xdr:rowOff>46825</xdr:rowOff>
    </xdr:from>
    <xdr:to>
      <xdr:col>6</xdr:col>
      <xdr:colOff>392397</xdr:colOff>
      <xdr:row>1</xdr:row>
      <xdr:rowOff>47185</xdr:rowOff>
    </xdr:to>
    <mc:AlternateContent xmlns:mc="http://schemas.openxmlformats.org/markup-compatibility/2006">
      <mc:Choice xmlns:xdr14="http://schemas.microsoft.com/office/excel/2010/spreadsheetDrawing" Requires="xdr14">
        <xdr:contentPart xmlns:r="http://schemas.openxmlformats.org/officeDocument/2006/relationships" r:id="rId48">
          <xdr14:nvContentPartPr>
            <xdr14:cNvPr id="51" name="Entrada de lápiz 50">
              <a:extLst>
                <a:ext uri="{FF2B5EF4-FFF2-40B4-BE49-F238E27FC236}">
                  <a16:creationId xmlns:a16="http://schemas.microsoft.com/office/drawing/2014/main" id="{BB5C2E75-BEE7-61AE-F319-D31972F40310}"/>
                </a:ext>
              </a:extLst>
            </xdr14:cNvPr>
            <xdr14:cNvContentPartPr/>
          </xdr14:nvContentPartPr>
          <xdr14:nvPr macro=""/>
          <xdr14:xfrm>
            <a:off x="5308200" y="246600"/>
            <a:ext cx="50040" cy="360"/>
          </xdr14:xfrm>
        </xdr:contentPart>
      </mc:Choice>
      <mc:Fallback>
        <xdr:pic>
          <xdr:nvPicPr>
            <xdr:cNvPr id="51" name="Entrada de lápiz 50">
              <a:extLst>
                <a:ext uri="{FF2B5EF4-FFF2-40B4-BE49-F238E27FC236}">
                  <a16:creationId xmlns:a16="http://schemas.microsoft.com/office/drawing/2014/main" id="{BB5C2E75-BEE7-61AE-F319-D31972F40310}"/>
                </a:ext>
              </a:extLst>
            </xdr:cNvPr>
            <xdr:cNvPicPr/>
          </xdr:nvPicPr>
          <xdr:blipFill>
            <a:blip xmlns:r="http://schemas.openxmlformats.org/officeDocument/2006/relationships" r:embed="rId41"/>
            <a:stretch>
              <a:fillRect/>
            </a:stretch>
          </xdr:blipFill>
          <xdr:spPr>
            <a:xfrm>
              <a:off x="5254200" y="138600"/>
              <a:ext cx="157680" cy="216000"/>
            </a:xfrm>
            <a:prstGeom prst="rect">
              <a:avLst/>
            </a:prstGeom>
          </xdr:spPr>
        </xdr:pic>
      </mc:Fallback>
    </mc:AlternateContent>
    <xdr:clientData/>
  </xdr:twoCellAnchor>
  <xdr:twoCellAnchor editAs="oneCell">
    <xdr:from>
      <xdr:col>6</xdr:col>
      <xdr:colOff>351357</xdr:colOff>
      <xdr:row>9</xdr:row>
      <xdr:rowOff>56022</xdr:rowOff>
    </xdr:from>
    <xdr:to>
      <xdr:col>6</xdr:col>
      <xdr:colOff>389877</xdr:colOff>
      <xdr:row>9</xdr:row>
      <xdr:rowOff>56382</xdr:rowOff>
    </xdr:to>
    <mc:AlternateContent xmlns:mc="http://schemas.openxmlformats.org/markup-compatibility/2006">
      <mc:Choice xmlns:xdr14="http://schemas.microsoft.com/office/excel/2010/spreadsheetDrawing" Requires="xdr14">
        <xdr:contentPart xmlns:r="http://schemas.openxmlformats.org/officeDocument/2006/relationships" r:id="rId49">
          <xdr14:nvContentPartPr>
            <xdr14:cNvPr id="52" name="Entrada de lápiz 51">
              <a:extLst>
                <a:ext uri="{FF2B5EF4-FFF2-40B4-BE49-F238E27FC236}">
                  <a16:creationId xmlns:a16="http://schemas.microsoft.com/office/drawing/2014/main" id="{41BC20D5-CC3D-10B0-A34E-912A0FA3599C}"/>
                </a:ext>
              </a:extLst>
            </xdr14:cNvPr>
            <xdr14:cNvContentPartPr/>
          </xdr14:nvContentPartPr>
          <xdr14:nvPr macro=""/>
          <xdr14:xfrm>
            <a:off x="5317200" y="1854000"/>
            <a:ext cx="38520" cy="360"/>
          </xdr14:xfrm>
        </xdr:contentPart>
      </mc:Choice>
      <mc:Fallback>
        <xdr:pic>
          <xdr:nvPicPr>
            <xdr:cNvPr id="52" name="Entrada de lápiz 51">
              <a:extLst>
                <a:ext uri="{FF2B5EF4-FFF2-40B4-BE49-F238E27FC236}">
                  <a16:creationId xmlns:a16="http://schemas.microsoft.com/office/drawing/2014/main" id="{41BC20D5-CC3D-10B0-A34E-912A0FA3599C}"/>
                </a:ext>
              </a:extLst>
            </xdr:cNvPr>
            <xdr:cNvPicPr/>
          </xdr:nvPicPr>
          <xdr:blipFill>
            <a:blip xmlns:r="http://schemas.openxmlformats.org/officeDocument/2006/relationships" r:embed="rId43"/>
            <a:stretch>
              <a:fillRect/>
            </a:stretch>
          </xdr:blipFill>
          <xdr:spPr>
            <a:xfrm>
              <a:off x="5263560" y="1746000"/>
              <a:ext cx="146160" cy="216000"/>
            </a:xfrm>
            <a:prstGeom prst="rect">
              <a:avLst/>
            </a:prstGeom>
          </xdr:spPr>
        </xdr:pic>
      </mc:Fallback>
    </mc:AlternateContent>
    <xdr:clientData/>
  </xdr:twoCellAnchor>
  <xdr:twoCellAnchor editAs="oneCell">
    <xdr:from>
      <xdr:col>8</xdr:col>
      <xdr:colOff>571316</xdr:colOff>
      <xdr:row>1</xdr:row>
      <xdr:rowOff>108025</xdr:rowOff>
    </xdr:from>
    <xdr:to>
      <xdr:col>9</xdr:col>
      <xdr:colOff>561236</xdr:colOff>
      <xdr:row>2</xdr:row>
      <xdr:rowOff>178969</xdr:rowOff>
    </xdr:to>
    <mc:AlternateContent xmlns:mc="http://schemas.openxmlformats.org/markup-compatibility/2006">
      <mc:Choice xmlns:xdr14="http://schemas.microsoft.com/office/excel/2010/spreadsheetDrawing" Requires="xdr14">
        <xdr:contentPart xmlns:r="http://schemas.openxmlformats.org/officeDocument/2006/relationships" r:id="rId50">
          <xdr14:nvContentPartPr>
            <xdr14:cNvPr id="58" name="Entrada de lápiz 57">
              <a:extLst>
                <a:ext uri="{FF2B5EF4-FFF2-40B4-BE49-F238E27FC236}">
                  <a16:creationId xmlns:a16="http://schemas.microsoft.com/office/drawing/2014/main" id="{3C40697E-B6CF-22A4-82B8-DFD1C67A0D5D}"/>
                </a:ext>
              </a:extLst>
            </xdr14:cNvPr>
            <xdr14:cNvContentPartPr/>
          </xdr14:nvContentPartPr>
          <xdr14:nvPr macro=""/>
          <xdr14:xfrm>
            <a:off x="7192440" y="307800"/>
            <a:ext cx="817560" cy="270720"/>
          </xdr14:xfrm>
        </xdr:contentPart>
      </mc:Choice>
      <mc:Fallback>
        <xdr:pic>
          <xdr:nvPicPr>
            <xdr:cNvPr id="58" name="Entrada de lápiz 57">
              <a:extLst>
                <a:ext uri="{FF2B5EF4-FFF2-40B4-BE49-F238E27FC236}">
                  <a16:creationId xmlns:a16="http://schemas.microsoft.com/office/drawing/2014/main" id="{3C40697E-B6CF-22A4-82B8-DFD1C67A0D5D}"/>
                </a:ext>
              </a:extLst>
            </xdr:cNvPr>
            <xdr:cNvPicPr/>
          </xdr:nvPicPr>
          <xdr:blipFill>
            <a:blip xmlns:r="http://schemas.openxmlformats.org/officeDocument/2006/relationships" r:embed="rId51"/>
            <a:stretch>
              <a:fillRect/>
            </a:stretch>
          </xdr:blipFill>
          <xdr:spPr>
            <a:xfrm>
              <a:off x="7186323" y="301672"/>
              <a:ext cx="829795" cy="282976"/>
            </a:xfrm>
            <a:prstGeom prst="rect">
              <a:avLst/>
            </a:prstGeom>
          </xdr:spPr>
        </xdr:pic>
      </mc:Fallback>
    </mc:AlternateContent>
    <xdr:clientData/>
  </xdr:twoCellAnchor>
  <xdr:twoCellAnchor editAs="oneCell">
    <xdr:from>
      <xdr:col>9</xdr:col>
      <xdr:colOff>718916</xdr:colOff>
      <xdr:row>2</xdr:row>
      <xdr:rowOff>30649</xdr:rowOff>
    </xdr:from>
    <xdr:to>
      <xdr:col>11</xdr:col>
      <xdr:colOff>741595</xdr:colOff>
      <xdr:row>3</xdr:row>
      <xdr:rowOff>34994</xdr:rowOff>
    </xdr:to>
    <mc:AlternateContent xmlns:mc="http://schemas.openxmlformats.org/markup-compatibility/2006">
      <mc:Choice xmlns:xdr14="http://schemas.microsoft.com/office/excel/2010/spreadsheetDrawing" Requires="xdr14">
        <xdr:contentPart xmlns:r="http://schemas.openxmlformats.org/officeDocument/2006/relationships" r:id="rId52">
          <xdr14:nvContentPartPr>
            <xdr14:cNvPr id="70" name="Entrada de lápiz 69">
              <a:extLst>
                <a:ext uri="{FF2B5EF4-FFF2-40B4-BE49-F238E27FC236}">
                  <a16:creationId xmlns:a16="http://schemas.microsoft.com/office/drawing/2014/main" id="{0F23B467-7107-5A12-EFB3-0576477B0AE6}"/>
                </a:ext>
              </a:extLst>
            </xdr14:cNvPr>
            <xdr14:cNvContentPartPr/>
          </xdr14:nvContentPartPr>
          <xdr14:nvPr macro=""/>
          <xdr14:xfrm>
            <a:off x="8167680" y="430200"/>
            <a:ext cx="1677960" cy="204120"/>
          </xdr14:xfrm>
        </xdr:contentPart>
      </mc:Choice>
      <mc:Fallback>
        <xdr:pic>
          <xdr:nvPicPr>
            <xdr:cNvPr id="70" name="Entrada de lápiz 69">
              <a:extLst>
                <a:ext uri="{FF2B5EF4-FFF2-40B4-BE49-F238E27FC236}">
                  <a16:creationId xmlns:a16="http://schemas.microsoft.com/office/drawing/2014/main" id="{0F23B467-7107-5A12-EFB3-0576477B0AE6}"/>
                </a:ext>
              </a:extLst>
            </xdr:cNvPr>
            <xdr:cNvPicPr/>
          </xdr:nvPicPr>
          <xdr:blipFill>
            <a:blip xmlns:r="http://schemas.openxmlformats.org/officeDocument/2006/relationships" r:embed="rId53"/>
            <a:stretch>
              <a:fillRect/>
            </a:stretch>
          </xdr:blipFill>
          <xdr:spPr>
            <a:xfrm>
              <a:off x="8161560" y="424080"/>
              <a:ext cx="1690200" cy="216360"/>
            </a:xfrm>
            <a:prstGeom prst="rect">
              <a:avLst/>
            </a:prstGeom>
          </xdr:spPr>
        </xdr:pic>
      </mc:Fallback>
    </mc:AlternateContent>
    <xdr:clientData/>
  </xdr:twoCellAnchor>
  <xdr:twoCellAnchor editAs="oneCell">
    <xdr:from>
      <xdr:col>12</xdr:col>
      <xdr:colOff>27355</xdr:colOff>
      <xdr:row>2</xdr:row>
      <xdr:rowOff>55849</xdr:rowOff>
    </xdr:from>
    <xdr:to>
      <xdr:col>12</xdr:col>
      <xdr:colOff>376915</xdr:colOff>
      <xdr:row>3</xdr:row>
      <xdr:rowOff>2954</xdr:rowOff>
    </xdr:to>
    <mc:AlternateContent xmlns:mc="http://schemas.openxmlformats.org/markup-compatibility/2006">
      <mc:Choice xmlns:xdr14="http://schemas.microsoft.com/office/excel/2010/spreadsheetDrawing" Requires="xdr14">
        <xdr:contentPart xmlns:r="http://schemas.openxmlformats.org/officeDocument/2006/relationships" r:id="rId54">
          <xdr14:nvContentPartPr>
            <xdr14:cNvPr id="73" name="Entrada de lápiz 72">
              <a:extLst>
                <a:ext uri="{FF2B5EF4-FFF2-40B4-BE49-F238E27FC236}">
                  <a16:creationId xmlns:a16="http://schemas.microsoft.com/office/drawing/2014/main" id="{8C8108FD-3BAC-CD6A-320E-E8F458F51F3C}"/>
                </a:ext>
              </a:extLst>
            </xdr14:cNvPr>
            <xdr14:cNvContentPartPr/>
          </xdr14:nvContentPartPr>
          <xdr14:nvPr macro=""/>
          <xdr14:xfrm>
            <a:off x="9959040" y="455400"/>
            <a:ext cx="349560" cy="146880"/>
          </xdr14:xfrm>
        </xdr:contentPart>
      </mc:Choice>
      <mc:Fallback>
        <xdr:pic>
          <xdr:nvPicPr>
            <xdr:cNvPr id="73" name="Entrada de lápiz 72">
              <a:extLst>
                <a:ext uri="{FF2B5EF4-FFF2-40B4-BE49-F238E27FC236}">
                  <a16:creationId xmlns:a16="http://schemas.microsoft.com/office/drawing/2014/main" id="{8C8108FD-3BAC-CD6A-320E-E8F458F51F3C}"/>
                </a:ext>
              </a:extLst>
            </xdr:cNvPr>
            <xdr:cNvPicPr/>
          </xdr:nvPicPr>
          <xdr:blipFill>
            <a:blip xmlns:r="http://schemas.openxmlformats.org/officeDocument/2006/relationships" r:embed="rId55"/>
            <a:stretch>
              <a:fillRect/>
            </a:stretch>
          </xdr:blipFill>
          <xdr:spPr>
            <a:xfrm>
              <a:off x="9952920" y="449280"/>
              <a:ext cx="361800" cy="159120"/>
            </a:xfrm>
            <a:prstGeom prst="rect">
              <a:avLst/>
            </a:prstGeom>
          </xdr:spPr>
        </xdr:pic>
      </mc:Fallback>
    </mc:AlternateContent>
    <xdr:clientData/>
  </xdr:twoCellAnchor>
  <xdr:twoCellAnchor editAs="oneCell">
    <xdr:from>
      <xdr:col>12</xdr:col>
      <xdr:colOff>478795</xdr:colOff>
      <xdr:row>1</xdr:row>
      <xdr:rowOff>199465</xdr:rowOff>
    </xdr:from>
    <xdr:to>
      <xdr:col>14</xdr:col>
      <xdr:colOff>105474</xdr:colOff>
      <xdr:row>4</xdr:row>
      <xdr:rowOff>33939</xdr:rowOff>
    </xdr:to>
    <mc:AlternateContent xmlns:mc="http://schemas.openxmlformats.org/markup-compatibility/2006">
      <mc:Choice xmlns:xdr14="http://schemas.microsoft.com/office/excel/2010/spreadsheetDrawing" Requires="xdr14">
        <xdr:contentPart xmlns:r="http://schemas.openxmlformats.org/officeDocument/2006/relationships" r:id="rId56">
          <xdr14:nvContentPartPr>
            <xdr14:cNvPr id="81" name="Entrada de lápiz 80">
              <a:extLst>
                <a:ext uri="{FF2B5EF4-FFF2-40B4-BE49-F238E27FC236}">
                  <a16:creationId xmlns:a16="http://schemas.microsoft.com/office/drawing/2014/main" id="{A86C6507-98F1-3220-95AC-CE039A9FDCAC}"/>
                </a:ext>
              </a:extLst>
            </xdr14:cNvPr>
            <xdr14:cNvContentPartPr/>
          </xdr14:nvContentPartPr>
          <xdr14:nvPr macro=""/>
          <xdr14:xfrm>
            <a:off x="10410480" y="399240"/>
            <a:ext cx="1281960" cy="433800"/>
          </xdr14:xfrm>
        </xdr:contentPart>
      </mc:Choice>
      <mc:Fallback>
        <xdr:pic>
          <xdr:nvPicPr>
            <xdr:cNvPr id="81" name="Entrada de lápiz 80">
              <a:extLst>
                <a:ext uri="{FF2B5EF4-FFF2-40B4-BE49-F238E27FC236}">
                  <a16:creationId xmlns:a16="http://schemas.microsoft.com/office/drawing/2014/main" id="{A86C6507-98F1-3220-95AC-CE039A9FDCAC}"/>
                </a:ext>
              </a:extLst>
            </xdr:cNvPr>
            <xdr:cNvPicPr/>
          </xdr:nvPicPr>
          <xdr:blipFill>
            <a:blip xmlns:r="http://schemas.openxmlformats.org/officeDocument/2006/relationships" r:embed="rId57"/>
            <a:stretch>
              <a:fillRect/>
            </a:stretch>
          </xdr:blipFill>
          <xdr:spPr>
            <a:xfrm>
              <a:off x="10404362" y="393120"/>
              <a:ext cx="1294197" cy="446040"/>
            </a:xfrm>
            <a:prstGeom prst="rect">
              <a:avLst/>
            </a:prstGeom>
          </xdr:spPr>
        </xdr:pic>
      </mc:Fallback>
    </mc:AlternateContent>
    <xdr:clientData/>
  </xdr:twoCellAnchor>
  <xdr:twoCellAnchor editAs="oneCell">
    <xdr:from>
      <xdr:col>14</xdr:col>
      <xdr:colOff>257754</xdr:colOff>
      <xdr:row>2</xdr:row>
      <xdr:rowOff>153049</xdr:rowOff>
    </xdr:from>
    <xdr:to>
      <xdr:col>14</xdr:col>
      <xdr:colOff>404634</xdr:colOff>
      <xdr:row>2</xdr:row>
      <xdr:rowOff>153409</xdr:rowOff>
    </xdr:to>
    <mc:AlternateContent xmlns:mc="http://schemas.openxmlformats.org/markup-compatibility/2006">
      <mc:Choice xmlns:xdr14="http://schemas.microsoft.com/office/excel/2010/spreadsheetDrawing" Requires="xdr14">
        <xdr:contentPart xmlns:r="http://schemas.openxmlformats.org/officeDocument/2006/relationships" r:id="rId58">
          <xdr14:nvContentPartPr>
            <xdr14:cNvPr id="82" name="Entrada de lápiz 81">
              <a:extLst>
                <a:ext uri="{FF2B5EF4-FFF2-40B4-BE49-F238E27FC236}">
                  <a16:creationId xmlns:a16="http://schemas.microsoft.com/office/drawing/2014/main" id="{096C6DDB-E0B2-2165-D11E-BC1A040FCF84}"/>
                </a:ext>
              </a:extLst>
            </xdr14:cNvPr>
            <xdr14:cNvContentPartPr/>
          </xdr14:nvContentPartPr>
          <xdr14:nvPr macro=""/>
          <xdr14:xfrm>
            <a:off x="11844720" y="552600"/>
            <a:ext cx="146880" cy="360"/>
          </xdr14:xfrm>
        </xdr:contentPart>
      </mc:Choice>
      <mc:Fallback>
        <xdr:pic>
          <xdr:nvPicPr>
            <xdr:cNvPr id="82" name="Entrada de lápiz 81">
              <a:extLst>
                <a:ext uri="{FF2B5EF4-FFF2-40B4-BE49-F238E27FC236}">
                  <a16:creationId xmlns:a16="http://schemas.microsoft.com/office/drawing/2014/main" id="{096C6DDB-E0B2-2165-D11E-BC1A040FCF84}"/>
                </a:ext>
              </a:extLst>
            </xdr:cNvPr>
            <xdr:cNvPicPr/>
          </xdr:nvPicPr>
          <xdr:blipFill>
            <a:blip xmlns:r="http://schemas.openxmlformats.org/officeDocument/2006/relationships" r:embed="rId59"/>
            <a:stretch>
              <a:fillRect/>
            </a:stretch>
          </xdr:blipFill>
          <xdr:spPr>
            <a:xfrm>
              <a:off x="11838600" y="546480"/>
              <a:ext cx="159120" cy="12600"/>
            </a:xfrm>
            <a:prstGeom prst="rect">
              <a:avLst/>
            </a:prstGeom>
          </xdr:spPr>
        </xdr:pic>
      </mc:Fallback>
    </mc:AlternateContent>
    <xdr:clientData/>
  </xdr:twoCellAnchor>
  <xdr:twoCellAnchor editAs="oneCell">
    <xdr:from>
      <xdr:col>14</xdr:col>
      <xdr:colOff>539274</xdr:colOff>
      <xdr:row>2</xdr:row>
      <xdr:rowOff>55489</xdr:rowOff>
    </xdr:from>
    <xdr:to>
      <xdr:col>14</xdr:col>
      <xdr:colOff>640434</xdr:colOff>
      <xdr:row>3</xdr:row>
      <xdr:rowOff>23114</xdr:rowOff>
    </xdr:to>
    <mc:AlternateContent xmlns:mc="http://schemas.openxmlformats.org/markup-compatibility/2006">
      <mc:Choice xmlns:xdr14="http://schemas.microsoft.com/office/excel/2010/spreadsheetDrawing" Requires="xdr14">
        <xdr:contentPart xmlns:r="http://schemas.openxmlformats.org/officeDocument/2006/relationships" r:id="rId60">
          <xdr14:nvContentPartPr>
            <xdr14:cNvPr id="83" name="Entrada de lápiz 82">
              <a:extLst>
                <a:ext uri="{FF2B5EF4-FFF2-40B4-BE49-F238E27FC236}">
                  <a16:creationId xmlns:a16="http://schemas.microsoft.com/office/drawing/2014/main" id="{596ED14D-5BCB-8ADA-8AF8-10F0CF671AF4}"/>
                </a:ext>
              </a:extLst>
            </xdr14:cNvPr>
            <xdr14:cNvContentPartPr/>
          </xdr14:nvContentPartPr>
          <xdr14:nvPr macro=""/>
          <xdr14:xfrm>
            <a:off x="12126240" y="455040"/>
            <a:ext cx="101160" cy="167400"/>
          </xdr14:xfrm>
        </xdr:contentPart>
      </mc:Choice>
      <mc:Fallback>
        <xdr:pic>
          <xdr:nvPicPr>
            <xdr:cNvPr id="83" name="Entrada de lápiz 82">
              <a:extLst>
                <a:ext uri="{FF2B5EF4-FFF2-40B4-BE49-F238E27FC236}">
                  <a16:creationId xmlns:a16="http://schemas.microsoft.com/office/drawing/2014/main" id="{596ED14D-5BCB-8ADA-8AF8-10F0CF671AF4}"/>
                </a:ext>
              </a:extLst>
            </xdr:cNvPr>
            <xdr:cNvPicPr/>
          </xdr:nvPicPr>
          <xdr:blipFill>
            <a:blip xmlns:r="http://schemas.openxmlformats.org/officeDocument/2006/relationships" r:embed="rId61"/>
            <a:stretch>
              <a:fillRect/>
            </a:stretch>
          </xdr:blipFill>
          <xdr:spPr>
            <a:xfrm>
              <a:off x="12120120" y="448920"/>
              <a:ext cx="113400" cy="179640"/>
            </a:xfrm>
            <a:prstGeom prst="rect">
              <a:avLst/>
            </a:prstGeom>
          </xdr:spPr>
        </xdr:pic>
      </mc:Fallback>
    </mc:AlternateContent>
    <xdr:clientData/>
  </xdr:twoCellAnchor>
  <xdr:twoCellAnchor editAs="oneCell">
    <xdr:from>
      <xdr:col>14</xdr:col>
      <xdr:colOff>823674</xdr:colOff>
      <xdr:row>1</xdr:row>
      <xdr:rowOff>52945</xdr:rowOff>
    </xdr:from>
    <xdr:to>
      <xdr:col>15</xdr:col>
      <xdr:colOff>105113</xdr:colOff>
      <xdr:row>2</xdr:row>
      <xdr:rowOff>171049</xdr:rowOff>
    </xdr:to>
    <mc:AlternateContent xmlns:mc="http://schemas.openxmlformats.org/markup-compatibility/2006">
      <mc:Choice xmlns:xdr14="http://schemas.microsoft.com/office/excel/2010/spreadsheetDrawing" Requires="xdr14">
        <xdr:contentPart xmlns:r="http://schemas.openxmlformats.org/officeDocument/2006/relationships" r:id="rId62">
          <xdr14:nvContentPartPr>
            <xdr14:cNvPr id="84" name="Entrada de lápiz 83">
              <a:extLst>
                <a:ext uri="{FF2B5EF4-FFF2-40B4-BE49-F238E27FC236}">
                  <a16:creationId xmlns:a16="http://schemas.microsoft.com/office/drawing/2014/main" id="{11BEF67E-2F73-C7E0-C165-6F8137BE7BDC}"/>
                </a:ext>
              </a:extLst>
            </xdr14:cNvPr>
            <xdr14:cNvContentPartPr/>
          </xdr14:nvContentPartPr>
          <xdr14:nvPr macro=""/>
          <xdr14:xfrm>
            <a:off x="12410640" y="252720"/>
            <a:ext cx="109080" cy="317880"/>
          </xdr14:xfrm>
        </xdr:contentPart>
      </mc:Choice>
      <mc:Fallback>
        <xdr:pic>
          <xdr:nvPicPr>
            <xdr:cNvPr id="84" name="Entrada de lápiz 83">
              <a:extLst>
                <a:ext uri="{FF2B5EF4-FFF2-40B4-BE49-F238E27FC236}">
                  <a16:creationId xmlns:a16="http://schemas.microsoft.com/office/drawing/2014/main" id="{11BEF67E-2F73-C7E0-C165-6F8137BE7BDC}"/>
                </a:ext>
              </a:extLst>
            </xdr:cNvPr>
            <xdr:cNvPicPr/>
          </xdr:nvPicPr>
          <xdr:blipFill>
            <a:blip xmlns:r="http://schemas.openxmlformats.org/officeDocument/2006/relationships" r:embed="rId63"/>
            <a:stretch>
              <a:fillRect/>
            </a:stretch>
          </xdr:blipFill>
          <xdr:spPr>
            <a:xfrm>
              <a:off x="12404520" y="246600"/>
              <a:ext cx="121320" cy="330120"/>
            </a:xfrm>
            <a:prstGeom prst="rect">
              <a:avLst/>
            </a:prstGeom>
          </xdr:spPr>
        </xdr:pic>
      </mc:Fallback>
    </mc:AlternateContent>
    <xdr:clientData/>
  </xdr:twoCellAnchor>
  <xdr:twoCellAnchor editAs="oneCell">
    <xdr:from>
      <xdr:col>15</xdr:col>
      <xdr:colOff>282593</xdr:colOff>
      <xdr:row>2</xdr:row>
      <xdr:rowOff>85369</xdr:rowOff>
    </xdr:from>
    <xdr:to>
      <xdr:col>16</xdr:col>
      <xdr:colOff>178553</xdr:colOff>
      <xdr:row>3</xdr:row>
      <xdr:rowOff>151274</xdr:rowOff>
    </xdr:to>
    <mc:AlternateContent xmlns:mc="http://schemas.openxmlformats.org/markup-compatibility/2006">
      <mc:Choice xmlns:xdr14="http://schemas.microsoft.com/office/excel/2010/spreadsheetDrawing" Requires="xdr14">
        <xdr:contentPart xmlns:r="http://schemas.openxmlformats.org/officeDocument/2006/relationships" r:id="rId64">
          <xdr14:nvContentPartPr>
            <xdr14:cNvPr id="92" name="Entrada de lápiz 91">
              <a:extLst>
                <a:ext uri="{FF2B5EF4-FFF2-40B4-BE49-F238E27FC236}">
                  <a16:creationId xmlns:a16="http://schemas.microsoft.com/office/drawing/2014/main" id="{5C35B5CA-3CA0-F78F-84AF-0140F6F21A30}"/>
                </a:ext>
              </a:extLst>
            </xdr14:cNvPr>
            <xdr14:cNvContentPartPr/>
          </xdr14:nvContentPartPr>
          <xdr14:nvPr macro=""/>
          <xdr14:xfrm>
            <a:off x="12697200" y="484920"/>
            <a:ext cx="723600" cy="265680"/>
          </xdr14:xfrm>
        </xdr:contentPart>
      </mc:Choice>
      <mc:Fallback>
        <xdr:pic>
          <xdr:nvPicPr>
            <xdr:cNvPr id="92" name="Entrada de lápiz 91">
              <a:extLst>
                <a:ext uri="{FF2B5EF4-FFF2-40B4-BE49-F238E27FC236}">
                  <a16:creationId xmlns:a16="http://schemas.microsoft.com/office/drawing/2014/main" id="{5C35B5CA-3CA0-F78F-84AF-0140F6F21A30}"/>
                </a:ext>
              </a:extLst>
            </xdr:cNvPr>
            <xdr:cNvPicPr/>
          </xdr:nvPicPr>
          <xdr:blipFill>
            <a:blip xmlns:r="http://schemas.openxmlformats.org/officeDocument/2006/relationships" r:embed="rId65"/>
            <a:stretch>
              <a:fillRect/>
            </a:stretch>
          </xdr:blipFill>
          <xdr:spPr>
            <a:xfrm>
              <a:off x="12691083" y="478800"/>
              <a:ext cx="735834" cy="277920"/>
            </a:xfrm>
            <a:prstGeom prst="rect">
              <a:avLst/>
            </a:prstGeom>
          </xdr:spPr>
        </xdr:pic>
      </mc:Fallback>
    </mc:AlternateContent>
    <xdr:clientData/>
  </xdr:twoCellAnchor>
  <xdr:twoCellAnchor editAs="oneCell">
    <xdr:from>
      <xdr:col>9</xdr:col>
      <xdr:colOff>803876</xdr:colOff>
      <xdr:row>1</xdr:row>
      <xdr:rowOff>85345</xdr:rowOff>
    </xdr:from>
    <xdr:to>
      <xdr:col>12</xdr:col>
      <xdr:colOff>116995</xdr:colOff>
      <xdr:row>2</xdr:row>
      <xdr:rowOff>27409</xdr:rowOff>
    </xdr:to>
    <mc:AlternateContent xmlns:mc="http://schemas.openxmlformats.org/markup-compatibility/2006">
      <mc:Choice xmlns:xdr14="http://schemas.microsoft.com/office/excel/2010/spreadsheetDrawing" Requires="xdr14">
        <xdr:contentPart xmlns:r="http://schemas.openxmlformats.org/officeDocument/2006/relationships" r:id="rId66">
          <xdr14:nvContentPartPr>
            <xdr14:cNvPr id="95" name="Entrada de lápiz 94">
              <a:extLst>
                <a:ext uri="{FF2B5EF4-FFF2-40B4-BE49-F238E27FC236}">
                  <a16:creationId xmlns:a16="http://schemas.microsoft.com/office/drawing/2014/main" id="{D3DC0E78-3B02-7076-1E66-42E8F34B2068}"/>
                </a:ext>
              </a:extLst>
            </xdr14:cNvPr>
            <xdr14:cNvContentPartPr/>
          </xdr14:nvContentPartPr>
          <xdr14:nvPr macro=""/>
          <xdr14:xfrm>
            <a:off x="8252640" y="285120"/>
            <a:ext cx="1796040" cy="141840"/>
          </xdr14:xfrm>
        </xdr:contentPart>
      </mc:Choice>
      <mc:Fallback>
        <xdr:pic>
          <xdr:nvPicPr>
            <xdr:cNvPr id="95" name="Entrada de lápiz 94">
              <a:extLst>
                <a:ext uri="{FF2B5EF4-FFF2-40B4-BE49-F238E27FC236}">
                  <a16:creationId xmlns:a16="http://schemas.microsoft.com/office/drawing/2014/main" id="{D3DC0E78-3B02-7076-1E66-42E8F34B2068}"/>
                </a:ext>
              </a:extLst>
            </xdr:cNvPr>
            <xdr:cNvPicPr/>
          </xdr:nvPicPr>
          <xdr:blipFill>
            <a:blip xmlns:r="http://schemas.openxmlformats.org/officeDocument/2006/relationships" r:embed="rId67"/>
            <a:stretch>
              <a:fillRect/>
            </a:stretch>
          </xdr:blipFill>
          <xdr:spPr>
            <a:xfrm>
              <a:off x="8246521" y="279000"/>
              <a:ext cx="1808278" cy="154080"/>
            </a:xfrm>
            <a:prstGeom prst="rect">
              <a:avLst/>
            </a:prstGeom>
          </xdr:spPr>
        </xdr:pic>
      </mc:Fallback>
    </mc:AlternateContent>
    <xdr:clientData/>
  </xdr:twoCellAnchor>
  <xdr:twoCellAnchor editAs="oneCell">
    <xdr:from>
      <xdr:col>14</xdr:col>
      <xdr:colOff>296634</xdr:colOff>
      <xdr:row>1</xdr:row>
      <xdr:rowOff>150865</xdr:rowOff>
    </xdr:from>
    <xdr:to>
      <xdr:col>14</xdr:col>
      <xdr:colOff>378714</xdr:colOff>
      <xdr:row>2</xdr:row>
      <xdr:rowOff>62329</xdr:rowOff>
    </xdr:to>
    <mc:AlternateContent xmlns:mc="http://schemas.openxmlformats.org/markup-compatibility/2006">
      <mc:Choice xmlns:xdr14="http://schemas.microsoft.com/office/excel/2010/spreadsheetDrawing" Requires="xdr14">
        <xdr:contentPart xmlns:r="http://schemas.openxmlformats.org/officeDocument/2006/relationships" r:id="rId68">
          <xdr14:nvContentPartPr>
            <xdr14:cNvPr id="96" name="Entrada de lápiz 95">
              <a:extLst>
                <a:ext uri="{FF2B5EF4-FFF2-40B4-BE49-F238E27FC236}">
                  <a16:creationId xmlns:a16="http://schemas.microsoft.com/office/drawing/2014/main" id="{9DE37640-F359-7429-89C4-20B4C01A7C8F}"/>
                </a:ext>
              </a:extLst>
            </xdr14:cNvPr>
            <xdr14:cNvContentPartPr/>
          </xdr14:nvContentPartPr>
          <xdr14:nvPr macro=""/>
          <xdr14:xfrm>
            <a:off x="11883600" y="350640"/>
            <a:ext cx="82080" cy="111240"/>
          </xdr14:xfrm>
        </xdr:contentPart>
      </mc:Choice>
      <mc:Fallback>
        <xdr:pic>
          <xdr:nvPicPr>
            <xdr:cNvPr id="96" name="Entrada de lápiz 95">
              <a:extLst>
                <a:ext uri="{FF2B5EF4-FFF2-40B4-BE49-F238E27FC236}">
                  <a16:creationId xmlns:a16="http://schemas.microsoft.com/office/drawing/2014/main" id="{9DE37640-F359-7429-89C4-20B4C01A7C8F}"/>
                </a:ext>
              </a:extLst>
            </xdr:cNvPr>
            <xdr:cNvPicPr/>
          </xdr:nvPicPr>
          <xdr:blipFill>
            <a:blip xmlns:r="http://schemas.openxmlformats.org/officeDocument/2006/relationships" r:embed="rId69"/>
            <a:stretch>
              <a:fillRect/>
            </a:stretch>
          </xdr:blipFill>
          <xdr:spPr>
            <a:xfrm>
              <a:off x="11877480" y="344520"/>
              <a:ext cx="94320" cy="123480"/>
            </a:xfrm>
            <a:prstGeom prst="rect">
              <a:avLst/>
            </a:prstGeom>
          </xdr:spPr>
        </xdr:pic>
      </mc:Fallback>
    </mc:AlternateContent>
    <xdr:clientData/>
  </xdr:twoCellAnchor>
  <xdr:twoCellAnchor editAs="oneCell">
    <xdr:from>
      <xdr:col>9</xdr:col>
      <xdr:colOff>220316</xdr:colOff>
      <xdr:row>3</xdr:row>
      <xdr:rowOff>93674</xdr:rowOff>
    </xdr:from>
    <xdr:to>
      <xdr:col>9</xdr:col>
      <xdr:colOff>237596</xdr:colOff>
      <xdr:row>8</xdr:row>
      <xdr:rowOff>31518</xdr:rowOff>
    </xdr:to>
    <mc:AlternateContent xmlns:mc="http://schemas.openxmlformats.org/markup-compatibility/2006">
      <mc:Choice xmlns:xdr14="http://schemas.microsoft.com/office/excel/2010/spreadsheetDrawing" Requires="xdr14">
        <xdr:contentPart xmlns:r="http://schemas.openxmlformats.org/officeDocument/2006/relationships" r:id="rId70">
          <xdr14:nvContentPartPr>
            <xdr14:cNvPr id="97" name="Entrada de lápiz 96">
              <a:extLst>
                <a:ext uri="{FF2B5EF4-FFF2-40B4-BE49-F238E27FC236}">
                  <a16:creationId xmlns:a16="http://schemas.microsoft.com/office/drawing/2014/main" id="{F8BCF126-50F3-EC96-94B1-F12419C8F771}"/>
                </a:ext>
              </a:extLst>
            </xdr14:cNvPr>
            <xdr14:cNvContentPartPr/>
          </xdr14:nvContentPartPr>
          <xdr14:nvPr macro=""/>
          <xdr14:xfrm>
            <a:off x="7669080" y="693000"/>
            <a:ext cx="17280" cy="936720"/>
          </xdr14:xfrm>
        </xdr:contentPart>
      </mc:Choice>
      <mc:Fallback>
        <xdr:pic>
          <xdr:nvPicPr>
            <xdr:cNvPr id="97" name="Entrada de lápiz 96">
              <a:extLst>
                <a:ext uri="{FF2B5EF4-FFF2-40B4-BE49-F238E27FC236}">
                  <a16:creationId xmlns:a16="http://schemas.microsoft.com/office/drawing/2014/main" id="{F8BCF126-50F3-EC96-94B1-F12419C8F771}"/>
                </a:ext>
              </a:extLst>
            </xdr:cNvPr>
            <xdr:cNvPicPr/>
          </xdr:nvPicPr>
          <xdr:blipFill>
            <a:blip xmlns:r="http://schemas.openxmlformats.org/officeDocument/2006/relationships" r:embed="rId71"/>
            <a:stretch>
              <a:fillRect/>
            </a:stretch>
          </xdr:blipFill>
          <xdr:spPr>
            <a:xfrm>
              <a:off x="7662960" y="686880"/>
              <a:ext cx="29520" cy="948960"/>
            </a:xfrm>
            <a:prstGeom prst="rect">
              <a:avLst/>
            </a:prstGeom>
          </xdr:spPr>
        </xdr:pic>
      </mc:Fallback>
    </mc:AlternateContent>
    <xdr:clientData/>
  </xdr:twoCellAnchor>
  <xdr:twoCellAnchor editAs="oneCell">
    <xdr:from>
      <xdr:col>9</xdr:col>
      <xdr:colOff>327596</xdr:colOff>
      <xdr:row>5</xdr:row>
      <xdr:rowOff>191284</xdr:rowOff>
    </xdr:from>
    <xdr:to>
      <xdr:col>9</xdr:col>
      <xdr:colOff>438476</xdr:colOff>
      <xdr:row>6</xdr:row>
      <xdr:rowOff>121828</xdr:rowOff>
    </xdr:to>
    <mc:AlternateContent xmlns:mc="http://schemas.openxmlformats.org/markup-compatibility/2006">
      <mc:Choice xmlns:xdr14="http://schemas.microsoft.com/office/excel/2010/spreadsheetDrawing" Requires="xdr14">
        <xdr:contentPart xmlns:r="http://schemas.openxmlformats.org/officeDocument/2006/relationships" r:id="rId72">
          <xdr14:nvContentPartPr>
            <xdr14:cNvPr id="102" name="Entrada de lápiz 101">
              <a:extLst>
                <a:ext uri="{FF2B5EF4-FFF2-40B4-BE49-F238E27FC236}">
                  <a16:creationId xmlns:a16="http://schemas.microsoft.com/office/drawing/2014/main" id="{BA0E3C68-6052-9903-C289-DD1597053859}"/>
                </a:ext>
              </a:extLst>
            </xdr14:cNvPr>
            <xdr14:cNvContentPartPr/>
          </xdr14:nvContentPartPr>
          <xdr14:nvPr macro=""/>
          <xdr14:xfrm>
            <a:off x="7776360" y="1190160"/>
            <a:ext cx="110880" cy="130320"/>
          </xdr14:xfrm>
        </xdr:contentPart>
      </mc:Choice>
      <mc:Fallback>
        <xdr:pic>
          <xdr:nvPicPr>
            <xdr:cNvPr id="102" name="Entrada de lápiz 101">
              <a:extLst>
                <a:ext uri="{FF2B5EF4-FFF2-40B4-BE49-F238E27FC236}">
                  <a16:creationId xmlns:a16="http://schemas.microsoft.com/office/drawing/2014/main" id="{BA0E3C68-6052-9903-C289-DD1597053859}"/>
                </a:ext>
              </a:extLst>
            </xdr:cNvPr>
            <xdr:cNvPicPr/>
          </xdr:nvPicPr>
          <xdr:blipFill>
            <a:blip xmlns:r="http://schemas.openxmlformats.org/officeDocument/2006/relationships" r:embed="rId73"/>
            <a:stretch>
              <a:fillRect/>
            </a:stretch>
          </xdr:blipFill>
          <xdr:spPr>
            <a:xfrm>
              <a:off x="7770220" y="1184040"/>
              <a:ext cx="123160" cy="142560"/>
            </a:xfrm>
            <a:prstGeom prst="rect">
              <a:avLst/>
            </a:prstGeom>
          </xdr:spPr>
        </xdr:pic>
      </mc:Fallback>
    </mc:AlternateContent>
    <xdr:clientData/>
  </xdr:twoCellAnchor>
  <xdr:twoCellAnchor editAs="oneCell">
    <xdr:from>
      <xdr:col>9</xdr:col>
      <xdr:colOff>84956</xdr:colOff>
      <xdr:row>7</xdr:row>
      <xdr:rowOff>108173</xdr:rowOff>
    </xdr:from>
    <xdr:to>
      <xdr:col>9</xdr:col>
      <xdr:colOff>409676</xdr:colOff>
      <xdr:row>8</xdr:row>
      <xdr:rowOff>10638</xdr:rowOff>
    </xdr:to>
    <mc:AlternateContent xmlns:mc="http://schemas.openxmlformats.org/markup-compatibility/2006">
      <mc:Choice xmlns:xdr14="http://schemas.microsoft.com/office/excel/2010/spreadsheetDrawing" Requires="xdr14">
        <xdr:contentPart xmlns:r="http://schemas.openxmlformats.org/officeDocument/2006/relationships" r:id="rId74">
          <xdr14:nvContentPartPr>
            <xdr14:cNvPr id="105" name="Entrada de lápiz 104">
              <a:extLst>
                <a:ext uri="{FF2B5EF4-FFF2-40B4-BE49-F238E27FC236}">
                  <a16:creationId xmlns:a16="http://schemas.microsoft.com/office/drawing/2014/main" id="{E188FAA6-05C3-6377-6D76-2113D6DE13D2}"/>
                </a:ext>
              </a:extLst>
            </xdr14:cNvPr>
            <xdr14:cNvContentPartPr/>
          </xdr14:nvContentPartPr>
          <xdr14:nvPr macro=""/>
          <xdr14:xfrm>
            <a:off x="7533720" y="1506600"/>
            <a:ext cx="324720" cy="102240"/>
          </xdr14:xfrm>
        </xdr:contentPart>
      </mc:Choice>
      <mc:Fallback>
        <xdr:pic>
          <xdr:nvPicPr>
            <xdr:cNvPr id="105" name="Entrada de lápiz 104">
              <a:extLst>
                <a:ext uri="{FF2B5EF4-FFF2-40B4-BE49-F238E27FC236}">
                  <a16:creationId xmlns:a16="http://schemas.microsoft.com/office/drawing/2014/main" id="{E188FAA6-05C3-6377-6D76-2113D6DE13D2}"/>
                </a:ext>
              </a:extLst>
            </xdr:cNvPr>
            <xdr:cNvPicPr/>
          </xdr:nvPicPr>
          <xdr:blipFill>
            <a:blip xmlns:r="http://schemas.openxmlformats.org/officeDocument/2006/relationships" r:embed="rId75"/>
            <a:stretch>
              <a:fillRect/>
            </a:stretch>
          </xdr:blipFill>
          <xdr:spPr>
            <a:xfrm>
              <a:off x="7527600" y="1500480"/>
              <a:ext cx="336960" cy="114480"/>
            </a:xfrm>
            <a:prstGeom prst="rect">
              <a:avLst/>
            </a:prstGeom>
          </xdr:spPr>
        </xdr:pic>
      </mc:Fallback>
    </mc:AlternateContent>
    <xdr:clientData/>
  </xdr:twoCellAnchor>
  <xdr:twoCellAnchor editAs="oneCell">
    <xdr:from>
      <xdr:col>8</xdr:col>
      <xdr:colOff>671396</xdr:colOff>
      <xdr:row>8</xdr:row>
      <xdr:rowOff>148158</xdr:rowOff>
    </xdr:from>
    <xdr:to>
      <xdr:col>10</xdr:col>
      <xdr:colOff>267116</xdr:colOff>
      <xdr:row>10</xdr:row>
      <xdr:rowOff>31567</xdr:rowOff>
    </xdr:to>
    <mc:AlternateContent xmlns:mc="http://schemas.openxmlformats.org/markup-compatibility/2006">
      <mc:Choice xmlns:xdr14="http://schemas.microsoft.com/office/excel/2010/spreadsheetDrawing" Requires="xdr14">
        <xdr:contentPart xmlns:r="http://schemas.openxmlformats.org/officeDocument/2006/relationships" r:id="rId76">
          <xdr14:nvContentPartPr>
            <xdr14:cNvPr id="114" name="Entrada de lápiz 113">
              <a:extLst>
                <a:ext uri="{FF2B5EF4-FFF2-40B4-BE49-F238E27FC236}">
                  <a16:creationId xmlns:a16="http://schemas.microsoft.com/office/drawing/2014/main" id="{B4DE9B3F-C388-4F52-C99A-A79271E3B480}"/>
                </a:ext>
              </a:extLst>
            </xdr14:cNvPr>
            <xdr14:cNvContentPartPr/>
          </xdr14:nvContentPartPr>
          <xdr14:nvPr macro=""/>
          <xdr14:xfrm>
            <a:off x="7292520" y="1746360"/>
            <a:ext cx="1251000" cy="282960"/>
          </xdr14:xfrm>
        </xdr:contentPart>
      </mc:Choice>
      <mc:Fallback>
        <xdr:pic>
          <xdr:nvPicPr>
            <xdr:cNvPr id="114" name="Entrada de lápiz 113">
              <a:extLst>
                <a:ext uri="{FF2B5EF4-FFF2-40B4-BE49-F238E27FC236}">
                  <a16:creationId xmlns:a16="http://schemas.microsoft.com/office/drawing/2014/main" id="{B4DE9B3F-C388-4F52-C99A-A79271E3B480}"/>
                </a:ext>
              </a:extLst>
            </xdr:cNvPr>
            <xdr:cNvPicPr/>
          </xdr:nvPicPr>
          <xdr:blipFill>
            <a:blip xmlns:r="http://schemas.openxmlformats.org/officeDocument/2006/relationships" r:embed="rId77"/>
            <a:stretch>
              <a:fillRect/>
            </a:stretch>
          </xdr:blipFill>
          <xdr:spPr>
            <a:xfrm>
              <a:off x="7286400" y="1740240"/>
              <a:ext cx="1263240" cy="295200"/>
            </a:xfrm>
            <a:prstGeom prst="rect">
              <a:avLst/>
            </a:prstGeom>
          </xdr:spPr>
        </xdr:pic>
      </mc:Fallback>
    </mc:AlternateContent>
    <xdr:clientData/>
  </xdr:twoCellAnchor>
  <xdr:twoCellAnchor editAs="oneCell">
    <xdr:from>
      <xdr:col>10</xdr:col>
      <xdr:colOff>393476</xdr:colOff>
      <xdr:row>9</xdr:row>
      <xdr:rowOff>86262</xdr:rowOff>
    </xdr:from>
    <xdr:to>
      <xdr:col>10</xdr:col>
      <xdr:colOff>529196</xdr:colOff>
      <xdr:row>9</xdr:row>
      <xdr:rowOff>86622</xdr:rowOff>
    </xdr:to>
    <mc:AlternateContent xmlns:mc="http://schemas.openxmlformats.org/markup-compatibility/2006">
      <mc:Choice xmlns:xdr14="http://schemas.microsoft.com/office/excel/2010/spreadsheetDrawing" Requires="xdr14">
        <xdr:contentPart xmlns:r="http://schemas.openxmlformats.org/officeDocument/2006/relationships" r:id="rId78">
          <xdr14:nvContentPartPr>
            <xdr14:cNvPr id="115" name="Entrada de lápiz 114">
              <a:extLst>
                <a:ext uri="{FF2B5EF4-FFF2-40B4-BE49-F238E27FC236}">
                  <a16:creationId xmlns:a16="http://schemas.microsoft.com/office/drawing/2014/main" id="{CA4649BB-25C3-26A5-33CE-3B8D4BADAA4B}"/>
                </a:ext>
              </a:extLst>
            </xdr14:cNvPr>
            <xdr14:cNvContentPartPr/>
          </xdr14:nvContentPartPr>
          <xdr14:nvPr macro=""/>
          <xdr14:xfrm>
            <a:off x="8669880" y="1884240"/>
            <a:ext cx="135720" cy="360"/>
          </xdr14:xfrm>
        </xdr:contentPart>
      </mc:Choice>
      <mc:Fallback>
        <xdr:pic>
          <xdr:nvPicPr>
            <xdr:cNvPr id="115" name="Entrada de lápiz 114">
              <a:extLst>
                <a:ext uri="{FF2B5EF4-FFF2-40B4-BE49-F238E27FC236}">
                  <a16:creationId xmlns:a16="http://schemas.microsoft.com/office/drawing/2014/main" id="{CA4649BB-25C3-26A5-33CE-3B8D4BADAA4B}"/>
                </a:ext>
              </a:extLst>
            </xdr:cNvPr>
            <xdr:cNvPicPr/>
          </xdr:nvPicPr>
          <xdr:blipFill>
            <a:blip xmlns:r="http://schemas.openxmlformats.org/officeDocument/2006/relationships" r:embed="rId79"/>
            <a:stretch>
              <a:fillRect/>
            </a:stretch>
          </xdr:blipFill>
          <xdr:spPr>
            <a:xfrm>
              <a:off x="8663760" y="1878120"/>
              <a:ext cx="147960" cy="12600"/>
            </a:xfrm>
            <a:prstGeom prst="rect">
              <a:avLst/>
            </a:prstGeom>
          </xdr:spPr>
        </xdr:pic>
      </mc:Fallback>
    </mc:AlternateContent>
    <xdr:clientData/>
  </xdr:twoCellAnchor>
  <xdr:twoCellAnchor editAs="oneCell">
    <xdr:from>
      <xdr:col>10</xdr:col>
      <xdr:colOff>679676</xdr:colOff>
      <xdr:row>9</xdr:row>
      <xdr:rowOff>28662</xdr:rowOff>
    </xdr:from>
    <xdr:to>
      <xdr:col>12</xdr:col>
      <xdr:colOff>206275</xdr:colOff>
      <xdr:row>10</xdr:row>
      <xdr:rowOff>166207</xdr:rowOff>
    </xdr:to>
    <mc:AlternateContent xmlns:mc="http://schemas.openxmlformats.org/markup-compatibility/2006">
      <mc:Choice xmlns:xdr14="http://schemas.microsoft.com/office/excel/2010/spreadsheetDrawing" Requires="xdr14">
        <xdr:contentPart xmlns:r="http://schemas.openxmlformats.org/officeDocument/2006/relationships" r:id="rId80">
          <xdr14:nvContentPartPr>
            <xdr14:cNvPr id="125" name="Entrada de lápiz 124">
              <a:extLst>
                <a:ext uri="{FF2B5EF4-FFF2-40B4-BE49-F238E27FC236}">
                  <a16:creationId xmlns:a16="http://schemas.microsoft.com/office/drawing/2014/main" id="{55E3F4C2-FB29-6419-C875-047920796065}"/>
                </a:ext>
              </a:extLst>
            </xdr14:cNvPr>
            <xdr14:cNvContentPartPr/>
          </xdr14:nvContentPartPr>
          <xdr14:nvPr macro=""/>
          <xdr14:xfrm>
            <a:off x="8956080" y="1826640"/>
            <a:ext cx="1181880" cy="337320"/>
          </xdr14:xfrm>
        </xdr:contentPart>
      </mc:Choice>
      <mc:Fallback>
        <xdr:pic>
          <xdr:nvPicPr>
            <xdr:cNvPr id="125" name="Entrada de lápiz 124">
              <a:extLst>
                <a:ext uri="{FF2B5EF4-FFF2-40B4-BE49-F238E27FC236}">
                  <a16:creationId xmlns:a16="http://schemas.microsoft.com/office/drawing/2014/main" id="{55E3F4C2-FB29-6419-C875-047920796065}"/>
                </a:ext>
              </a:extLst>
            </xdr:cNvPr>
            <xdr:cNvPicPr/>
          </xdr:nvPicPr>
          <xdr:blipFill>
            <a:blip xmlns:r="http://schemas.openxmlformats.org/officeDocument/2006/relationships" r:embed="rId81"/>
            <a:stretch>
              <a:fillRect/>
            </a:stretch>
          </xdr:blipFill>
          <xdr:spPr>
            <a:xfrm>
              <a:off x="8949960" y="1820513"/>
              <a:ext cx="1194120" cy="349573"/>
            </a:xfrm>
            <a:prstGeom prst="rect">
              <a:avLst/>
            </a:prstGeom>
          </xdr:spPr>
        </xdr:pic>
      </mc:Fallback>
    </mc:AlternateContent>
    <xdr:clientData/>
  </xdr:twoCellAnchor>
  <xdr:twoCellAnchor editAs="oneCell">
    <xdr:from>
      <xdr:col>12</xdr:col>
      <xdr:colOff>377635</xdr:colOff>
      <xdr:row>9</xdr:row>
      <xdr:rowOff>161142</xdr:rowOff>
    </xdr:from>
    <xdr:to>
      <xdr:col>12</xdr:col>
      <xdr:colOff>456115</xdr:colOff>
      <xdr:row>9</xdr:row>
      <xdr:rowOff>162222</xdr:rowOff>
    </xdr:to>
    <mc:AlternateContent xmlns:mc="http://schemas.openxmlformats.org/markup-compatibility/2006">
      <mc:Choice xmlns:xdr14="http://schemas.microsoft.com/office/excel/2010/spreadsheetDrawing" Requires="xdr14">
        <xdr:contentPart xmlns:r="http://schemas.openxmlformats.org/officeDocument/2006/relationships" r:id="rId82">
          <xdr14:nvContentPartPr>
            <xdr14:cNvPr id="126" name="Entrada de lápiz 125">
              <a:extLst>
                <a:ext uri="{FF2B5EF4-FFF2-40B4-BE49-F238E27FC236}">
                  <a16:creationId xmlns:a16="http://schemas.microsoft.com/office/drawing/2014/main" id="{7595AB86-661C-31A4-8541-0460A525AAE9}"/>
                </a:ext>
              </a:extLst>
            </xdr14:cNvPr>
            <xdr14:cNvContentPartPr/>
          </xdr14:nvContentPartPr>
          <xdr14:nvPr macro=""/>
          <xdr14:xfrm>
            <a:off x="10309320" y="1959120"/>
            <a:ext cx="78480" cy="1080"/>
          </xdr14:xfrm>
        </xdr:contentPart>
      </mc:Choice>
      <mc:Fallback>
        <xdr:pic>
          <xdr:nvPicPr>
            <xdr:cNvPr id="126" name="Entrada de lápiz 125">
              <a:extLst>
                <a:ext uri="{FF2B5EF4-FFF2-40B4-BE49-F238E27FC236}">
                  <a16:creationId xmlns:a16="http://schemas.microsoft.com/office/drawing/2014/main" id="{7595AB86-661C-31A4-8541-0460A525AAE9}"/>
                </a:ext>
              </a:extLst>
            </xdr:cNvPr>
            <xdr:cNvPicPr/>
          </xdr:nvPicPr>
          <xdr:blipFill>
            <a:blip xmlns:r="http://schemas.openxmlformats.org/officeDocument/2006/relationships" r:embed="rId83"/>
            <a:stretch>
              <a:fillRect/>
            </a:stretch>
          </xdr:blipFill>
          <xdr:spPr>
            <a:xfrm>
              <a:off x="10303200" y="1953000"/>
              <a:ext cx="90720" cy="13320"/>
            </a:xfrm>
            <a:prstGeom prst="rect">
              <a:avLst/>
            </a:prstGeom>
          </xdr:spPr>
        </xdr:pic>
      </mc:Fallback>
    </mc:AlternateContent>
    <xdr:clientData/>
  </xdr:twoCellAnchor>
  <xdr:twoCellAnchor editAs="oneCell">
    <xdr:from>
      <xdr:col>12</xdr:col>
      <xdr:colOff>629275</xdr:colOff>
      <xdr:row>8</xdr:row>
      <xdr:rowOff>141678</xdr:rowOff>
    </xdr:from>
    <xdr:to>
      <xdr:col>14</xdr:col>
      <xdr:colOff>352794</xdr:colOff>
      <xdr:row>10</xdr:row>
      <xdr:rowOff>144967</xdr:rowOff>
    </xdr:to>
    <mc:AlternateContent xmlns:mc="http://schemas.openxmlformats.org/markup-compatibility/2006">
      <mc:Choice xmlns:xdr14="http://schemas.microsoft.com/office/excel/2010/spreadsheetDrawing" Requires="xdr14">
        <xdr:contentPart xmlns:r="http://schemas.openxmlformats.org/officeDocument/2006/relationships" r:id="rId84">
          <xdr14:nvContentPartPr>
            <xdr14:cNvPr id="139" name="Entrada de lápiz 138">
              <a:extLst>
                <a:ext uri="{FF2B5EF4-FFF2-40B4-BE49-F238E27FC236}">
                  <a16:creationId xmlns:a16="http://schemas.microsoft.com/office/drawing/2014/main" id="{290C1F29-D936-B962-1ECD-E1A8AD502739}"/>
                </a:ext>
              </a:extLst>
            </xdr14:cNvPr>
            <xdr14:cNvContentPartPr/>
          </xdr14:nvContentPartPr>
          <xdr14:nvPr macro=""/>
          <xdr14:xfrm>
            <a:off x="10560960" y="1739880"/>
            <a:ext cx="1378800" cy="402840"/>
          </xdr14:xfrm>
        </xdr:contentPart>
      </mc:Choice>
      <mc:Fallback>
        <xdr:pic>
          <xdr:nvPicPr>
            <xdr:cNvPr id="139" name="Entrada de lápiz 138">
              <a:extLst>
                <a:ext uri="{FF2B5EF4-FFF2-40B4-BE49-F238E27FC236}">
                  <a16:creationId xmlns:a16="http://schemas.microsoft.com/office/drawing/2014/main" id="{290C1F29-D936-B962-1ECD-E1A8AD502739}"/>
                </a:ext>
              </a:extLst>
            </xdr:cNvPr>
            <xdr:cNvPicPr/>
          </xdr:nvPicPr>
          <xdr:blipFill>
            <a:blip xmlns:r="http://schemas.openxmlformats.org/officeDocument/2006/relationships" r:embed="rId85"/>
            <a:stretch>
              <a:fillRect/>
            </a:stretch>
          </xdr:blipFill>
          <xdr:spPr>
            <a:xfrm>
              <a:off x="10554840" y="1733760"/>
              <a:ext cx="1391040" cy="415080"/>
            </a:xfrm>
            <a:prstGeom prst="rect">
              <a:avLst/>
            </a:prstGeom>
          </xdr:spPr>
        </xdr:pic>
      </mc:Fallback>
    </mc:AlternateContent>
    <xdr:clientData/>
  </xdr:twoCellAnchor>
  <xdr:twoCellAnchor editAs="oneCell">
    <xdr:from>
      <xdr:col>9</xdr:col>
      <xdr:colOff>228596</xdr:colOff>
      <xdr:row>13</xdr:row>
      <xdr:rowOff>79521</xdr:rowOff>
    </xdr:from>
    <xdr:to>
      <xdr:col>10</xdr:col>
      <xdr:colOff>344156</xdr:colOff>
      <xdr:row>14</xdr:row>
      <xdr:rowOff>155866</xdr:rowOff>
    </xdr:to>
    <mc:AlternateContent xmlns:mc="http://schemas.openxmlformats.org/markup-compatibility/2006">
      <mc:Choice xmlns:xdr14="http://schemas.microsoft.com/office/excel/2010/spreadsheetDrawing" Requires="xdr14">
        <xdr:contentPart xmlns:r="http://schemas.openxmlformats.org/officeDocument/2006/relationships" r:id="rId86">
          <xdr14:nvContentPartPr>
            <xdr14:cNvPr id="151" name="Entrada de lápiz 150">
              <a:extLst>
                <a:ext uri="{FF2B5EF4-FFF2-40B4-BE49-F238E27FC236}">
                  <a16:creationId xmlns:a16="http://schemas.microsoft.com/office/drawing/2014/main" id="{D9C20311-09C6-61E4-2FD7-8FBCC14DB160}"/>
                </a:ext>
              </a:extLst>
            </xdr14:cNvPr>
            <xdr14:cNvContentPartPr/>
          </xdr14:nvContentPartPr>
          <xdr14:nvPr macro=""/>
          <xdr14:xfrm>
            <a:off x="7677360" y="2676600"/>
            <a:ext cx="943200" cy="276120"/>
          </xdr14:xfrm>
        </xdr:contentPart>
      </mc:Choice>
      <mc:Fallback>
        <xdr:pic>
          <xdr:nvPicPr>
            <xdr:cNvPr id="151" name="Entrada de lápiz 150">
              <a:extLst>
                <a:ext uri="{FF2B5EF4-FFF2-40B4-BE49-F238E27FC236}">
                  <a16:creationId xmlns:a16="http://schemas.microsoft.com/office/drawing/2014/main" id="{D9C20311-09C6-61E4-2FD7-8FBCC14DB160}"/>
                </a:ext>
              </a:extLst>
            </xdr:cNvPr>
            <xdr:cNvPicPr/>
          </xdr:nvPicPr>
          <xdr:blipFill>
            <a:blip xmlns:r="http://schemas.openxmlformats.org/officeDocument/2006/relationships" r:embed="rId87"/>
            <a:stretch>
              <a:fillRect/>
            </a:stretch>
          </xdr:blipFill>
          <xdr:spPr>
            <a:xfrm>
              <a:off x="7671240" y="2670480"/>
              <a:ext cx="955440" cy="288360"/>
            </a:xfrm>
            <a:prstGeom prst="rect">
              <a:avLst/>
            </a:prstGeom>
          </xdr:spPr>
        </xdr:pic>
      </mc:Fallback>
    </mc:AlternateContent>
    <xdr:clientData/>
  </xdr:twoCellAnchor>
  <xdr:twoCellAnchor editAs="oneCell">
    <xdr:from>
      <xdr:col>10</xdr:col>
      <xdr:colOff>601556</xdr:colOff>
      <xdr:row>13</xdr:row>
      <xdr:rowOff>74841</xdr:rowOff>
    </xdr:from>
    <xdr:to>
      <xdr:col>10</xdr:col>
      <xdr:colOff>603716</xdr:colOff>
      <xdr:row>14</xdr:row>
      <xdr:rowOff>191146</xdr:rowOff>
    </xdr:to>
    <mc:AlternateContent xmlns:mc="http://schemas.openxmlformats.org/markup-compatibility/2006">
      <mc:Choice xmlns:xdr14="http://schemas.microsoft.com/office/excel/2010/spreadsheetDrawing" Requires="xdr14">
        <xdr:contentPart xmlns:r="http://schemas.openxmlformats.org/officeDocument/2006/relationships" r:id="rId88">
          <xdr14:nvContentPartPr>
            <xdr14:cNvPr id="152" name="Entrada de lápiz 151">
              <a:extLst>
                <a:ext uri="{FF2B5EF4-FFF2-40B4-BE49-F238E27FC236}">
                  <a16:creationId xmlns:a16="http://schemas.microsoft.com/office/drawing/2014/main" id="{29FCF3D2-DAD5-0765-D7ED-1489E877B37C}"/>
                </a:ext>
              </a:extLst>
            </xdr14:cNvPr>
            <xdr14:cNvContentPartPr/>
          </xdr14:nvContentPartPr>
          <xdr14:nvPr macro=""/>
          <xdr14:xfrm>
            <a:off x="8877960" y="2671920"/>
            <a:ext cx="2160" cy="316080"/>
          </xdr14:xfrm>
        </xdr:contentPart>
      </mc:Choice>
      <mc:Fallback>
        <xdr:pic>
          <xdr:nvPicPr>
            <xdr:cNvPr id="152" name="Entrada de lápiz 151">
              <a:extLst>
                <a:ext uri="{FF2B5EF4-FFF2-40B4-BE49-F238E27FC236}">
                  <a16:creationId xmlns:a16="http://schemas.microsoft.com/office/drawing/2014/main" id="{29FCF3D2-DAD5-0765-D7ED-1489E877B37C}"/>
                </a:ext>
              </a:extLst>
            </xdr:cNvPr>
            <xdr:cNvPicPr/>
          </xdr:nvPicPr>
          <xdr:blipFill>
            <a:blip xmlns:r="http://schemas.openxmlformats.org/officeDocument/2006/relationships" r:embed="rId89"/>
            <a:stretch>
              <a:fillRect/>
            </a:stretch>
          </xdr:blipFill>
          <xdr:spPr>
            <a:xfrm>
              <a:off x="8871840" y="2665800"/>
              <a:ext cx="14400" cy="328320"/>
            </a:xfrm>
            <a:prstGeom prst="rect">
              <a:avLst/>
            </a:prstGeom>
          </xdr:spPr>
        </xdr:pic>
      </mc:Fallback>
    </mc:AlternateContent>
    <xdr:clientData/>
  </xdr:twoCellAnchor>
  <xdr:twoCellAnchor editAs="oneCell">
    <xdr:from>
      <xdr:col>10</xdr:col>
      <xdr:colOff>826556</xdr:colOff>
      <xdr:row>13</xdr:row>
      <xdr:rowOff>192921</xdr:rowOff>
    </xdr:from>
    <xdr:to>
      <xdr:col>13</xdr:col>
      <xdr:colOff>306354</xdr:colOff>
      <xdr:row>15</xdr:row>
      <xdr:rowOff>39611</xdr:rowOff>
    </xdr:to>
    <mc:AlternateContent xmlns:mc="http://schemas.openxmlformats.org/markup-compatibility/2006">
      <mc:Choice xmlns:xdr14="http://schemas.microsoft.com/office/excel/2010/spreadsheetDrawing" Requires="xdr14">
        <xdr:contentPart xmlns:r="http://schemas.openxmlformats.org/officeDocument/2006/relationships" r:id="rId90">
          <xdr14:nvContentPartPr>
            <xdr14:cNvPr id="162" name="Entrada de lápiz 161">
              <a:extLst>
                <a:ext uri="{FF2B5EF4-FFF2-40B4-BE49-F238E27FC236}">
                  <a16:creationId xmlns:a16="http://schemas.microsoft.com/office/drawing/2014/main" id="{EF5DB279-A388-4648-4715-D898D7FC5C9A}"/>
                </a:ext>
              </a:extLst>
            </xdr14:cNvPr>
            <xdr14:cNvContentPartPr/>
          </xdr14:nvContentPartPr>
          <xdr14:nvPr macro=""/>
          <xdr14:xfrm>
            <a:off x="9102960" y="2790000"/>
            <a:ext cx="1962720" cy="246240"/>
          </xdr14:xfrm>
        </xdr:contentPart>
      </mc:Choice>
      <mc:Fallback>
        <xdr:pic>
          <xdr:nvPicPr>
            <xdr:cNvPr id="162" name="Entrada de lápiz 161">
              <a:extLst>
                <a:ext uri="{FF2B5EF4-FFF2-40B4-BE49-F238E27FC236}">
                  <a16:creationId xmlns:a16="http://schemas.microsoft.com/office/drawing/2014/main" id="{EF5DB279-A388-4648-4715-D898D7FC5C9A}"/>
                </a:ext>
              </a:extLst>
            </xdr:cNvPr>
            <xdr:cNvPicPr/>
          </xdr:nvPicPr>
          <xdr:blipFill>
            <a:blip xmlns:r="http://schemas.openxmlformats.org/officeDocument/2006/relationships" r:embed="rId91"/>
            <a:stretch>
              <a:fillRect/>
            </a:stretch>
          </xdr:blipFill>
          <xdr:spPr>
            <a:xfrm>
              <a:off x="9096840" y="2783880"/>
              <a:ext cx="1974960" cy="258480"/>
            </a:xfrm>
            <a:prstGeom prst="rect">
              <a:avLst/>
            </a:prstGeom>
          </xdr:spPr>
        </xdr:pic>
      </mc:Fallback>
    </mc:AlternateContent>
    <xdr:clientData/>
  </xdr:twoCellAnchor>
  <xdr:twoCellAnchor editAs="oneCell">
    <xdr:from>
      <xdr:col>13</xdr:col>
      <xdr:colOff>445314</xdr:colOff>
      <xdr:row>13</xdr:row>
      <xdr:rowOff>100041</xdr:rowOff>
    </xdr:from>
    <xdr:to>
      <xdr:col>13</xdr:col>
      <xdr:colOff>608394</xdr:colOff>
      <xdr:row>15</xdr:row>
      <xdr:rowOff>66611</xdr:rowOff>
    </xdr:to>
    <mc:AlternateContent xmlns:mc="http://schemas.openxmlformats.org/markup-compatibility/2006">
      <mc:Choice xmlns:xdr14="http://schemas.microsoft.com/office/excel/2010/spreadsheetDrawing" Requires="xdr14">
        <xdr:contentPart xmlns:r="http://schemas.openxmlformats.org/officeDocument/2006/relationships" r:id="rId92">
          <xdr14:nvContentPartPr>
            <xdr14:cNvPr id="163" name="Entrada de lápiz 162">
              <a:extLst>
                <a:ext uri="{FF2B5EF4-FFF2-40B4-BE49-F238E27FC236}">
                  <a16:creationId xmlns:a16="http://schemas.microsoft.com/office/drawing/2014/main" id="{75C76CA2-02BA-8962-25A8-2A7A25163DE5}"/>
                </a:ext>
              </a:extLst>
            </xdr14:cNvPr>
            <xdr14:cNvContentPartPr/>
          </xdr14:nvContentPartPr>
          <xdr14:nvPr macro=""/>
          <xdr14:xfrm>
            <a:off x="11204640" y="2697120"/>
            <a:ext cx="163080" cy="366120"/>
          </xdr14:xfrm>
        </xdr:contentPart>
      </mc:Choice>
      <mc:Fallback>
        <xdr:pic>
          <xdr:nvPicPr>
            <xdr:cNvPr id="163" name="Entrada de lápiz 162">
              <a:extLst>
                <a:ext uri="{FF2B5EF4-FFF2-40B4-BE49-F238E27FC236}">
                  <a16:creationId xmlns:a16="http://schemas.microsoft.com/office/drawing/2014/main" id="{75C76CA2-02BA-8962-25A8-2A7A25163DE5}"/>
                </a:ext>
              </a:extLst>
            </xdr:cNvPr>
            <xdr:cNvPicPr/>
          </xdr:nvPicPr>
          <xdr:blipFill>
            <a:blip xmlns:r="http://schemas.openxmlformats.org/officeDocument/2006/relationships" r:embed="rId93"/>
            <a:stretch>
              <a:fillRect/>
            </a:stretch>
          </xdr:blipFill>
          <xdr:spPr>
            <a:xfrm>
              <a:off x="11198520" y="2691000"/>
              <a:ext cx="175320" cy="378360"/>
            </a:xfrm>
            <a:prstGeom prst="rect">
              <a:avLst/>
            </a:prstGeom>
          </xdr:spPr>
        </xdr:pic>
      </mc:Fallback>
    </mc:AlternateContent>
    <xdr:clientData/>
  </xdr:twoCellAnchor>
  <xdr:twoCellAnchor editAs="oneCell">
    <xdr:from>
      <xdr:col>8</xdr:col>
      <xdr:colOff>776156</xdr:colOff>
      <xdr:row>13</xdr:row>
      <xdr:rowOff>48201</xdr:rowOff>
    </xdr:from>
    <xdr:to>
      <xdr:col>9</xdr:col>
      <xdr:colOff>80636</xdr:colOff>
      <xdr:row>15</xdr:row>
      <xdr:rowOff>112691</xdr:rowOff>
    </xdr:to>
    <mc:AlternateContent xmlns:mc="http://schemas.openxmlformats.org/markup-compatibility/2006">
      <mc:Choice xmlns:xdr14="http://schemas.microsoft.com/office/excel/2010/spreadsheetDrawing" Requires="xdr14">
        <xdr:contentPart xmlns:r="http://schemas.openxmlformats.org/officeDocument/2006/relationships" r:id="rId94">
          <xdr14:nvContentPartPr>
            <xdr14:cNvPr id="164" name="Entrada de lápiz 163">
              <a:extLst>
                <a:ext uri="{FF2B5EF4-FFF2-40B4-BE49-F238E27FC236}">
                  <a16:creationId xmlns:a16="http://schemas.microsoft.com/office/drawing/2014/main" id="{D8AA0542-6890-8F73-6950-336BD609C80F}"/>
                </a:ext>
              </a:extLst>
            </xdr14:cNvPr>
            <xdr14:cNvContentPartPr/>
          </xdr14:nvContentPartPr>
          <xdr14:nvPr macro=""/>
          <xdr14:xfrm>
            <a:off x="7397280" y="2645280"/>
            <a:ext cx="132120" cy="464040"/>
          </xdr14:xfrm>
        </xdr:contentPart>
      </mc:Choice>
      <mc:Fallback>
        <xdr:pic>
          <xdr:nvPicPr>
            <xdr:cNvPr id="164" name="Entrada de lápiz 163">
              <a:extLst>
                <a:ext uri="{FF2B5EF4-FFF2-40B4-BE49-F238E27FC236}">
                  <a16:creationId xmlns:a16="http://schemas.microsoft.com/office/drawing/2014/main" id="{D8AA0542-6890-8F73-6950-336BD609C80F}"/>
                </a:ext>
              </a:extLst>
            </xdr:cNvPr>
            <xdr:cNvPicPr/>
          </xdr:nvPicPr>
          <xdr:blipFill>
            <a:blip xmlns:r="http://schemas.openxmlformats.org/officeDocument/2006/relationships" r:embed="rId95"/>
            <a:stretch>
              <a:fillRect/>
            </a:stretch>
          </xdr:blipFill>
          <xdr:spPr>
            <a:xfrm>
              <a:off x="7391160" y="2639160"/>
              <a:ext cx="144360" cy="476280"/>
            </a:xfrm>
            <a:prstGeom prst="rect">
              <a:avLst/>
            </a:prstGeom>
          </xdr:spPr>
        </xdr:pic>
      </mc:Fallback>
    </mc:AlternateContent>
    <xdr:clientData/>
  </xdr:twoCellAnchor>
  <xdr:twoCellAnchor editAs="oneCell">
    <xdr:from>
      <xdr:col>14</xdr:col>
      <xdr:colOff>61194</xdr:colOff>
      <xdr:row>13</xdr:row>
      <xdr:rowOff>189321</xdr:rowOff>
    </xdr:from>
    <xdr:to>
      <xdr:col>14</xdr:col>
      <xdr:colOff>188994</xdr:colOff>
      <xdr:row>14</xdr:row>
      <xdr:rowOff>138586</xdr:rowOff>
    </xdr:to>
    <mc:AlternateContent xmlns:mc="http://schemas.openxmlformats.org/markup-compatibility/2006">
      <mc:Choice xmlns:xdr14="http://schemas.microsoft.com/office/excel/2010/spreadsheetDrawing" Requires="xdr14">
        <xdr:contentPart xmlns:r="http://schemas.openxmlformats.org/officeDocument/2006/relationships" r:id="rId96">
          <xdr14:nvContentPartPr>
            <xdr14:cNvPr id="165" name="Entrada de lápiz 164">
              <a:extLst>
                <a:ext uri="{FF2B5EF4-FFF2-40B4-BE49-F238E27FC236}">
                  <a16:creationId xmlns:a16="http://schemas.microsoft.com/office/drawing/2014/main" id="{E5E7BE87-85F3-755F-F9F3-FC7D9CA36547}"/>
                </a:ext>
              </a:extLst>
            </xdr14:cNvPr>
            <xdr14:cNvContentPartPr/>
          </xdr14:nvContentPartPr>
          <xdr14:nvPr macro=""/>
          <xdr14:xfrm>
            <a:off x="11648160" y="2786400"/>
            <a:ext cx="127800" cy="149040"/>
          </xdr14:xfrm>
        </xdr:contentPart>
      </mc:Choice>
      <mc:Fallback>
        <xdr:pic>
          <xdr:nvPicPr>
            <xdr:cNvPr id="165" name="Entrada de lápiz 164">
              <a:extLst>
                <a:ext uri="{FF2B5EF4-FFF2-40B4-BE49-F238E27FC236}">
                  <a16:creationId xmlns:a16="http://schemas.microsoft.com/office/drawing/2014/main" id="{E5E7BE87-85F3-755F-F9F3-FC7D9CA36547}"/>
                </a:ext>
              </a:extLst>
            </xdr:cNvPr>
            <xdr:cNvPicPr/>
          </xdr:nvPicPr>
          <xdr:blipFill>
            <a:blip xmlns:r="http://schemas.openxmlformats.org/officeDocument/2006/relationships" r:embed="rId97"/>
            <a:stretch>
              <a:fillRect/>
            </a:stretch>
          </xdr:blipFill>
          <xdr:spPr>
            <a:xfrm>
              <a:off x="11642040" y="2780280"/>
              <a:ext cx="140040" cy="161280"/>
            </a:xfrm>
            <a:prstGeom prst="rect">
              <a:avLst/>
            </a:prstGeom>
          </xdr:spPr>
        </xdr:pic>
      </mc:Fallback>
    </mc:AlternateContent>
    <xdr:clientData/>
  </xdr:twoCellAnchor>
  <xdr:twoCellAnchor editAs="oneCell">
    <xdr:from>
      <xdr:col>14</xdr:col>
      <xdr:colOff>34554</xdr:colOff>
      <xdr:row>14</xdr:row>
      <xdr:rowOff>125626</xdr:rowOff>
    </xdr:from>
    <xdr:to>
      <xdr:col>14</xdr:col>
      <xdr:colOff>254514</xdr:colOff>
      <xdr:row>15</xdr:row>
      <xdr:rowOff>41051</xdr:rowOff>
    </xdr:to>
    <mc:AlternateContent xmlns:mc="http://schemas.openxmlformats.org/markup-compatibility/2006">
      <mc:Choice xmlns:xdr14="http://schemas.microsoft.com/office/excel/2010/spreadsheetDrawing" Requires="xdr14">
        <xdr:contentPart xmlns:r="http://schemas.openxmlformats.org/officeDocument/2006/relationships" r:id="rId98">
          <xdr14:nvContentPartPr>
            <xdr14:cNvPr id="166" name="Entrada de lápiz 165">
              <a:extLst>
                <a:ext uri="{FF2B5EF4-FFF2-40B4-BE49-F238E27FC236}">
                  <a16:creationId xmlns:a16="http://schemas.microsoft.com/office/drawing/2014/main" id="{B5832813-EEA3-2DA2-D6CE-40BA192A966C}"/>
                </a:ext>
              </a:extLst>
            </xdr14:cNvPr>
            <xdr14:cNvContentPartPr/>
          </xdr14:nvContentPartPr>
          <xdr14:nvPr macro=""/>
          <xdr14:xfrm>
            <a:off x="11621520" y="2922480"/>
            <a:ext cx="219960" cy="115200"/>
          </xdr14:xfrm>
        </xdr:contentPart>
      </mc:Choice>
      <mc:Fallback>
        <xdr:pic>
          <xdr:nvPicPr>
            <xdr:cNvPr id="166" name="Entrada de lápiz 165">
              <a:extLst>
                <a:ext uri="{FF2B5EF4-FFF2-40B4-BE49-F238E27FC236}">
                  <a16:creationId xmlns:a16="http://schemas.microsoft.com/office/drawing/2014/main" id="{B5832813-EEA3-2DA2-D6CE-40BA192A966C}"/>
                </a:ext>
              </a:extLst>
            </xdr:cNvPr>
            <xdr:cNvPicPr/>
          </xdr:nvPicPr>
          <xdr:blipFill>
            <a:blip xmlns:r="http://schemas.openxmlformats.org/officeDocument/2006/relationships" r:embed="rId99"/>
            <a:stretch>
              <a:fillRect/>
            </a:stretch>
          </xdr:blipFill>
          <xdr:spPr>
            <a:xfrm>
              <a:off x="11615400" y="2916360"/>
              <a:ext cx="232200" cy="127440"/>
            </a:xfrm>
            <a:prstGeom prst="rect">
              <a:avLst/>
            </a:prstGeom>
          </xdr:spPr>
        </xdr:pic>
      </mc:Fallback>
    </mc:AlternateContent>
    <xdr:clientData/>
  </xdr:twoCellAnchor>
  <xdr:twoCellAnchor editAs="oneCell">
    <xdr:from>
      <xdr:col>14</xdr:col>
      <xdr:colOff>379074</xdr:colOff>
      <xdr:row>13</xdr:row>
      <xdr:rowOff>176721</xdr:rowOff>
    </xdr:from>
    <xdr:to>
      <xdr:col>14</xdr:col>
      <xdr:colOff>764634</xdr:colOff>
      <xdr:row>14</xdr:row>
      <xdr:rowOff>188626</xdr:rowOff>
    </xdr:to>
    <mc:AlternateContent xmlns:mc="http://schemas.openxmlformats.org/markup-compatibility/2006">
      <mc:Choice xmlns:xdr14="http://schemas.microsoft.com/office/excel/2010/spreadsheetDrawing" Requires="xdr14">
        <xdr:contentPart xmlns:r="http://schemas.openxmlformats.org/officeDocument/2006/relationships" r:id="rId100">
          <xdr14:nvContentPartPr>
            <xdr14:cNvPr id="171" name="Entrada de lápiz 170">
              <a:extLst>
                <a:ext uri="{FF2B5EF4-FFF2-40B4-BE49-F238E27FC236}">
                  <a16:creationId xmlns:a16="http://schemas.microsoft.com/office/drawing/2014/main" id="{3DDC1C76-7B40-87E3-2FFE-23DE2EAE42CF}"/>
                </a:ext>
              </a:extLst>
            </xdr14:cNvPr>
            <xdr14:cNvContentPartPr/>
          </xdr14:nvContentPartPr>
          <xdr14:nvPr macro=""/>
          <xdr14:xfrm>
            <a:off x="11966040" y="2773800"/>
            <a:ext cx="385560" cy="211680"/>
          </xdr14:xfrm>
        </xdr:contentPart>
      </mc:Choice>
      <mc:Fallback>
        <xdr:pic>
          <xdr:nvPicPr>
            <xdr:cNvPr id="171" name="Entrada de lápiz 170">
              <a:extLst>
                <a:ext uri="{FF2B5EF4-FFF2-40B4-BE49-F238E27FC236}">
                  <a16:creationId xmlns:a16="http://schemas.microsoft.com/office/drawing/2014/main" id="{3DDC1C76-7B40-87E3-2FFE-23DE2EAE42CF}"/>
                </a:ext>
              </a:extLst>
            </xdr:cNvPr>
            <xdr:cNvPicPr/>
          </xdr:nvPicPr>
          <xdr:blipFill>
            <a:blip xmlns:r="http://schemas.openxmlformats.org/officeDocument/2006/relationships" r:embed="rId101"/>
            <a:stretch>
              <a:fillRect/>
            </a:stretch>
          </xdr:blipFill>
          <xdr:spPr>
            <a:xfrm>
              <a:off x="11959920" y="2767680"/>
              <a:ext cx="397800" cy="223920"/>
            </a:xfrm>
            <a:prstGeom prst="rect">
              <a:avLst/>
            </a:prstGeom>
          </xdr:spPr>
        </xdr:pic>
      </mc:Fallback>
    </mc:AlternateContent>
    <xdr:clientData/>
  </xdr:twoCellAnchor>
  <xdr:twoCellAnchor editAs="oneCell">
    <xdr:from>
      <xdr:col>8</xdr:col>
      <xdr:colOff>824036</xdr:colOff>
      <xdr:row>16</xdr:row>
      <xdr:rowOff>191916</xdr:rowOff>
    </xdr:from>
    <xdr:to>
      <xdr:col>9</xdr:col>
      <xdr:colOff>71636</xdr:colOff>
      <xdr:row>18</xdr:row>
      <xdr:rowOff>128245</xdr:rowOff>
    </xdr:to>
    <mc:AlternateContent xmlns:mc="http://schemas.openxmlformats.org/markup-compatibility/2006">
      <mc:Choice xmlns:xdr14="http://schemas.microsoft.com/office/excel/2010/spreadsheetDrawing" Requires="xdr14">
        <xdr:contentPart xmlns:r="http://schemas.openxmlformats.org/officeDocument/2006/relationships" r:id="rId102">
          <xdr14:nvContentPartPr>
            <xdr14:cNvPr id="172" name="Entrada de lápiz 171">
              <a:extLst>
                <a:ext uri="{FF2B5EF4-FFF2-40B4-BE49-F238E27FC236}">
                  <a16:creationId xmlns:a16="http://schemas.microsoft.com/office/drawing/2014/main" id="{AF5F9A0A-12EE-1A32-F41D-1CC365BF32F6}"/>
                </a:ext>
              </a:extLst>
            </xdr14:cNvPr>
            <xdr14:cNvContentPartPr/>
          </xdr14:nvContentPartPr>
          <xdr14:nvPr macro=""/>
          <xdr14:xfrm>
            <a:off x="7445160" y="3388320"/>
            <a:ext cx="75240" cy="335880"/>
          </xdr14:xfrm>
        </xdr:contentPart>
      </mc:Choice>
      <mc:Fallback>
        <xdr:pic>
          <xdr:nvPicPr>
            <xdr:cNvPr id="172" name="Entrada de lápiz 171">
              <a:extLst>
                <a:ext uri="{FF2B5EF4-FFF2-40B4-BE49-F238E27FC236}">
                  <a16:creationId xmlns:a16="http://schemas.microsoft.com/office/drawing/2014/main" id="{AF5F9A0A-12EE-1A32-F41D-1CC365BF32F6}"/>
                </a:ext>
              </a:extLst>
            </xdr:cNvPr>
            <xdr:cNvPicPr/>
          </xdr:nvPicPr>
          <xdr:blipFill>
            <a:blip xmlns:r="http://schemas.openxmlformats.org/officeDocument/2006/relationships" r:embed="rId103"/>
            <a:stretch>
              <a:fillRect/>
            </a:stretch>
          </xdr:blipFill>
          <xdr:spPr>
            <a:xfrm>
              <a:off x="7439040" y="3382200"/>
              <a:ext cx="87480" cy="348120"/>
            </a:xfrm>
            <a:prstGeom prst="rect">
              <a:avLst/>
            </a:prstGeom>
          </xdr:spPr>
        </xdr:pic>
      </mc:Fallback>
    </mc:AlternateContent>
    <xdr:clientData/>
  </xdr:twoCellAnchor>
  <xdr:twoCellAnchor editAs="oneCell">
    <xdr:from>
      <xdr:col>9</xdr:col>
      <xdr:colOff>245156</xdr:colOff>
      <xdr:row>17</xdr:row>
      <xdr:rowOff>42540</xdr:rowOff>
    </xdr:from>
    <xdr:to>
      <xdr:col>9</xdr:col>
      <xdr:colOff>339116</xdr:colOff>
      <xdr:row>17</xdr:row>
      <xdr:rowOff>189060</xdr:rowOff>
    </xdr:to>
    <mc:AlternateContent xmlns:mc="http://schemas.openxmlformats.org/markup-compatibility/2006">
      <mc:Choice xmlns:xdr14="http://schemas.microsoft.com/office/excel/2010/spreadsheetDrawing" Requires="xdr14">
        <xdr:contentPart xmlns:r="http://schemas.openxmlformats.org/officeDocument/2006/relationships" r:id="rId104">
          <xdr14:nvContentPartPr>
            <xdr14:cNvPr id="173" name="Entrada de lápiz 172">
              <a:extLst>
                <a:ext uri="{FF2B5EF4-FFF2-40B4-BE49-F238E27FC236}">
                  <a16:creationId xmlns:a16="http://schemas.microsoft.com/office/drawing/2014/main" id="{0857F470-1604-A83C-B5F8-6620C1AC161D}"/>
                </a:ext>
              </a:extLst>
            </xdr14:cNvPr>
            <xdr14:cNvContentPartPr/>
          </xdr14:nvContentPartPr>
          <xdr14:nvPr macro=""/>
          <xdr14:xfrm>
            <a:off x="7693920" y="3438720"/>
            <a:ext cx="93960" cy="146520"/>
          </xdr14:xfrm>
        </xdr:contentPart>
      </mc:Choice>
      <mc:Fallback>
        <xdr:pic>
          <xdr:nvPicPr>
            <xdr:cNvPr id="173" name="Entrada de lápiz 172">
              <a:extLst>
                <a:ext uri="{FF2B5EF4-FFF2-40B4-BE49-F238E27FC236}">
                  <a16:creationId xmlns:a16="http://schemas.microsoft.com/office/drawing/2014/main" id="{0857F470-1604-A83C-B5F8-6620C1AC161D}"/>
                </a:ext>
              </a:extLst>
            </xdr:cNvPr>
            <xdr:cNvPicPr/>
          </xdr:nvPicPr>
          <xdr:blipFill>
            <a:blip xmlns:r="http://schemas.openxmlformats.org/officeDocument/2006/relationships" r:embed="rId105"/>
            <a:stretch>
              <a:fillRect/>
            </a:stretch>
          </xdr:blipFill>
          <xdr:spPr>
            <a:xfrm>
              <a:off x="7687800" y="3432600"/>
              <a:ext cx="106200" cy="158760"/>
            </a:xfrm>
            <a:prstGeom prst="rect">
              <a:avLst/>
            </a:prstGeom>
          </xdr:spPr>
        </xdr:pic>
      </mc:Fallback>
    </mc:AlternateContent>
    <xdr:clientData/>
  </xdr:twoCellAnchor>
  <xdr:twoCellAnchor editAs="oneCell">
    <xdr:from>
      <xdr:col>10</xdr:col>
      <xdr:colOff>664196</xdr:colOff>
      <xdr:row>16</xdr:row>
      <xdr:rowOff>129276</xdr:rowOff>
    </xdr:from>
    <xdr:to>
      <xdr:col>10</xdr:col>
      <xdr:colOff>664556</xdr:colOff>
      <xdr:row>18</xdr:row>
      <xdr:rowOff>40765</xdr:rowOff>
    </xdr:to>
    <mc:AlternateContent xmlns:mc="http://schemas.openxmlformats.org/markup-compatibility/2006">
      <mc:Choice xmlns:xdr14="http://schemas.microsoft.com/office/excel/2010/spreadsheetDrawing" Requires="xdr14">
        <xdr:contentPart xmlns:r="http://schemas.openxmlformats.org/officeDocument/2006/relationships" r:id="rId106">
          <xdr14:nvContentPartPr>
            <xdr14:cNvPr id="178" name="Entrada de lápiz 177">
              <a:extLst>
                <a:ext uri="{FF2B5EF4-FFF2-40B4-BE49-F238E27FC236}">
                  <a16:creationId xmlns:a16="http://schemas.microsoft.com/office/drawing/2014/main" id="{9AA69D51-0364-DA36-C3D4-605AF57E39F0}"/>
                </a:ext>
              </a:extLst>
            </xdr14:cNvPr>
            <xdr14:cNvContentPartPr/>
          </xdr14:nvContentPartPr>
          <xdr14:nvPr macro=""/>
          <xdr14:xfrm>
            <a:off x="8940600" y="3325680"/>
            <a:ext cx="360" cy="311040"/>
          </xdr14:xfrm>
        </xdr:contentPart>
      </mc:Choice>
      <mc:Fallback>
        <xdr:pic>
          <xdr:nvPicPr>
            <xdr:cNvPr id="178" name="Entrada de lápiz 177">
              <a:extLst>
                <a:ext uri="{FF2B5EF4-FFF2-40B4-BE49-F238E27FC236}">
                  <a16:creationId xmlns:a16="http://schemas.microsoft.com/office/drawing/2014/main" id="{9AA69D51-0364-DA36-C3D4-605AF57E39F0}"/>
                </a:ext>
              </a:extLst>
            </xdr:cNvPr>
            <xdr:cNvPicPr/>
          </xdr:nvPicPr>
          <xdr:blipFill>
            <a:blip xmlns:r="http://schemas.openxmlformats.org/officeDocument/2006/relationships" r:embed="rId89"/>
            <a:stretch>
              <a:fillRect/>
            </a:stretch>
          </xdr:blipFill>
          <xdr:spPr>
            <a:xfrm>
              <a:off x="8934480" y="3319560"/>
              <a:ext cx="12600" cy="323280"/>
            </a:xfrm>
            <a:prstGeom prst="rect">
              <a:avLst/>
            </a:prstGeom>
          </xdr:spPr>
        </xdr:pic>
      </mc:Fallback>
    </mc:AlternateContent>
    <xdr:clientData/>
  </xdr:twoCellAnchor>
  <xdr:twoCellAnchor editAs="oneCell">
    <xdr:from>
      <xdr:col>9</xdr:col>
      <xdr:colOff>500396</xdr:colOff>
      <xdr:row>16</xdr:row>
      <xdr:rowOff>193356</xdr:rowOff>
    </xdr:from>
    <xdr:to>
      <xdr:col>10</xdr:col>
      <xdr:colOff>446756</xdr:colOff>
      <xdr:row>18</xdr:row>
      <xdr:rowOff>18805</xdr:rowOff>
    </xdr:to>
    <mc:AlternateContent xmlns:mc="http://schemas.openxmlformats.org/markup-compatibility/2006">
      <mc:Choice xmlns:xdr14="http://schemas.microsoft.com/office/excel/2010/spreadsheetDrawing" Requires="xdr14">
        <xdr:contentPart xmlns:r="http://schemas.openxmlformats.org/officeDocument/2006/relationships" r:id="rId107">
          <xdr14:nvContentPartPr>
            <xdr14:cNvPr id="179" name="Entrada de lápiz 178">
              <a:extLst>
                <a:ext uri="{FF2B5EF4-FFF2-40B4-BE49-F238E27FC236}">
                  <a16:creationId xmlns:a16="http://schemas.microsoft.com/office/drawing/2014/main" id="{04822ABB-ADDF-076D-B055-F9A4A8F03919}"/>
                </a:ext>
              </a:extLst>
            </xdr14:cNvPr>
            <xdr14:cNvContentPartPr/>
          </xdr14:nvContentPartPr>
          <xdr14:nvPr macro=""/>
          <xdr14:xfrm>
            <a:off x="7949160" y="3389760"/>
            <a:ext cx="774000" cy="225000"/>
          </xdr14:xfrm>
        </xdr:contentPart>
      </mc:Choice>
      <mc:Fallback>
        <xdr:pic>
          <xdr:nvPicPr>
            <xdr:cNvPr id="179" name="Entrada de lápiz 178">
              <a:extLst>
                <a:ext uri="{FF2B5EF4-FFF2-40B4-BE49-F238E27FC236}">
                  <a16:creationId xmlns:a16="http://schemas.microsoft.com/office/drawing/2014/main" id="{04822ABB-ADDF-076D-B055-F9A4A8F03919}"/>
                </a:ext>
              </a:extLst>
            </xdr:cNvPr>
            <xdr:cNvPicPr/>
          </xdr:nvPicPr>
          <xdr:blipFill>
            <a:blip xmlns:r="http://schemas.openxmlformats.org/officeDocument/2006/relationships" r:embed="rId108"/>
            <a:stretch>
              <a:fillRect/>
            </a:stretch>
          </xdr:blipFill>
          <xdr:spPr>
            <a:xfrm>
              <a:off x="7943040" y="3383640"/>
              <a:ext cx="786240" cy="237240"/>
            </a:xfrm>
            <a:prstGeom prst="rect">
              <a:avLst/>
            </a:prstGeom>
          </xdr:spPr>
        </xdr:pic>
      </mc:Fallback>
    </mc:AlternateContent>
    <xdr:clientData/>
  </xdr:twoCellAnchor>
  <xdr:twoCellAnchor editAs="oneCell">
    <xdr:from>
      <xdr:col>8</xdr:col>
      <xdr:colOff>334796</xdr:colOff>
      <xdr:row>1</xdr:row>
      <xdr:rowOff>92185</xdr:rowOff>
    </xdr:from>
    <xdr:to>
      <xdr:col>8</xdr:col>
      <xdr:colOff>529916</xdr:colOff>
      <xdr:row>2</xdr:row>
      <xdr:rowOff>23089</xdr:rowOff>
    </xdr:to>
    <mc:AlternateContent xmlns:mc="http://schemas.openxmlformats.org/markup-compatibility/2006">
      <mc:Choice xmlns:xdr14="http://schemas.microsoft.com/office/excel/2010/spreadsheetDrawing" Requires="xdr14">
        <xdr:contentPart xmlns:r="http://schemas.openxmlformats.org/officeDocument/2006/relationships" r:id="rId109">
          <xdr14:nvContentPartPr>
            <xdr14:cNvPr id="182" name="Entrada de lápiz 181">
              <a:extLst>
                <a:ext uri="{FF2B5EF4-FFF2-40B4-BE49-F238E27FC236}">
                  <a16:creationId xmlns:a16="http://schemas.microsoft.com/office/drawing/2014/main" id="{AD580681-AA22-4EA8-47CC-4F6F351DE415}"/>
                </a:ext>
              </a:extLst>
            </xdr14:cNvPr>
            <xdr14:cNvContentPartPr/>
          </xdr14:nvContentPartPr>
          <xdr14:nvPr macro=""/>
          <xdr14:xfrm>
            <a:off x="6955920" y="291960"/>
            <a:ext cx="195120" cy="130680"/>
          </xdr14:xfrm>
        </xdr:contentPart>
      </mc:Choice>
      <mc:Fallback>
        <xdr:pic>
          <xdr:nvPicPr>
            <xdr:cNvPr id="182" name="Entrada de lápiz 181">
              <a:extLst>
                <a:ext uri="{FF2B5EF4-FFF2-40B4-BE49-F238E27FC236}">
                  <a16:creationId xmlns:a16="http://schemas.microsoft.com/office/drawing/2014/main" id="{AD580681-AA22-4EA8-47CC-4F6F351DE415}"/>
                </a:ext>
              </a:extLst>
            </xdr:cNvPr>
            <xdr:cNvPicPr/>
          </xdr:nvPicPr>
          <xdr:blipFill>
            <a:blip xmlns:r="http://schemas.openxmlformats.org/officeDocument/2006/relationships" r:embed="rId110"/>
            <a:stretch>
              <a:fillRect/>
            </a:stretch>
          </xdr:blipFill>
          <xdr:spPr>
            <a:xfrm>
              <a:off x="6949800" y="285840"/>
              <a:ext cx="207360" cy="142920"/>
            </a:xfrm>
            <a:prstGeom prst="rect">
              <a:avLst/>
            </a:prstGeom>
          </xdr:spPr>
        </xdr:pic>
      </mc:Fallback>
    </mc:AlternateContent>
    <xdr:clientData/>
  </xdr:twoCellAnchor>
  <xdr:twoCellAnchor editAs="oneCell">
    <xdr:from>
      <xdr:col>13</xdr:col>
      <xdr:colOff>473754</xdr:colOff>
      <xdr:row>7</xdr:row>
      <xdr:rowOff>85853</xdr:rowOff>
    </xdr:from>
    <xdr:to>
      <xdr:col>13</xdr:col>
      <xdr:colOff>579594</xdr:colOff>
      <xdr:row>8</xdr:row>
      <xdr:rowOff>197118</xdr:rowOff>
    </xdr:to>
    <mc:AlternateContent xmlns:mc="http://schemas.openxmlformats.org/markup-compatibility/2006">
      <mc:Choice xmlns:xdr14="http://schemas.microsoft.com/office/excel/2010/spreadsheetDrawing" Requires="xdr14">
        <xdr:contentPart xmlns:r="http://schemas.openxmlformats.org/officeDocument/2006/relationships" r:id="rId111">
          <xdr14:nvContentPartPr>
            <xdr14:cNvPr id="185" name="Entrada de lápiz 184">
              <a:extLst>
                <a:ext uri="{FF2B5EF4-FFF2-40B4-BE49-F238E27FC236}">
                  <a16:creationId xmlns:a16="http://schemas.microsoft.com/office/drawing/2014/main" id="{B1216387-4A1F-F249-B6E4-8CFA8AB7B32B}"/>
                </a:ext>
              </a:extLst>
            </xdr14:cNvPr>
            <xdr14:cNvContentPartPr/>
          </xdr14:nvContentPartPr>
          <xdr14:nvPr macro=""/>
          <xdr14:xfrm>
            <a:off x="11233080" y="1484280"/>
            <a:ext cx="105840" cy="311040"/>
          </xdr14:xfrm>
        </xdr:contentPart>
      </mc:Choice>
      <mc:Fallback>
        <xdr:pic>
          <xdr:nvPicPr>
            <xdr:cNvPr id="185" name="Entrada de lápiz 184">
              <a:extLst>
                <a:ext uri="{FF2B5EF4-FFF2-40B4-BE49-F238E27FC236}">
                  <a16:creationId xmlns:a16="http://schemas.microsoft.com/office/drawing/2014/main" id="{B1216387-4A1F-F249-B6E4-8CFA8AB7B32B}"/>
                </a:ext>
              </a:extLst>
            </xdr:cNvPr>
            <xdr:cNvPicPr/>
          </xdr:nvPicPr>
          <xdr:blipFill>
            <a:blip xmlns:r="http://schemas.openxmlformats.org/officeDocument/2006/relationships" r:embed="rId112"/>
            <a:stretch>
              <a:fillRect/>
            </a:stretch>
          </xdr:blipFill>
          <xdr:spPr>
            <a:xfrm>
              <a:off x="11226960" y="1478153"/>
              <a:ext cx="118080" cy="323294"/>
            </a:xfrm>
            <a:prstGeom prst="rect">
              <a:avLst/>
            </a:prstGeom>
          </xdr:spPr>
        </xdr:pic>
      </mc:Fallback>
    </mc:AlternateContent>
    <xdr:clientData/>
  </xdr:twoCellAnchor>
  <xdr:twoCellAnchor editAs="oneCell">
    <xdr:from>
      <xdr:col>9</xdr:col>
      <xdr:colOff>630356</xdr:colOff>
      <xdr:row>5</xdr:row>
      <xdr:rowOff>143044</xdr:rowOff>
    </xdr:from>
    <xdr:to>
      <xdr:col>10</xdr:col>
      <xdr:colOff>488876</xdr:colOff>
      <xdr:row>6</xdr:row>
      <xdr:rowOff>183028</xdr:rowOff>
    </xdr:to>
    <mc:AlternateContent xmlns:mc="http://schemas.openxmlformats.org/markup-compatibility/2006">
      <mc:Choice xmlns:xdr14="http://schemas.microsoft.com/office/excel/2010/spreadsheetDrawing" Requires="xdr14">
        <xdr:contentPart xmlns:r="http://schemas.openxmlformats.org/officeDocument/2006/relationships" r:id="rId113">
          <xdr14:nvContentPartPr>
            <xdr14:cNvPr id="193" name="Entrada de lápiz 192">
              <a:extLst>
                <a:ext uri="{FF2B5EF4-FFF2-40B4-BE49-F238E27FC236}">
                  <a16:creationId xmlns:a16="http://schemas.microsoft.com/office/drawing/2014/main" id="{B99E3F53-A722-2D2B-ECA4-67226E0A57C3}"/>
                </a:ext>
              </a:extLst>
            </xdr14:cNvPr>
            <xdr14:cNvContentPartPr/>
          </xdr14:nvContentPartPr>
          <xdr14:nvPr macro=""/>
          <xdr14:xfrm>
            <a:off x="8079120" y="1141920"/>
            <a:ext cx="686160" cy="239760"/>
          </xdr14:xfrm>
        </xdr:contentPart>
      </mc:Choice>
      <mc:Fallback>
        <xdr:pic>
          <xdr:nvPicPr>
            <xdr:cNvPr id="193" name="Entrada de lápiz 192">
              <a:extLst>
                <a:ext uri="{FF2B5EF4-FFF2-40B4-BE49-F238E27FC236}">
                  <a16:creationId xmlns:a16="http://schemas.microsoft.com/office/drawing/2014/main" id="{B99E3F53-A722-2D2B-ECA4-67226E0A57C3}"/>
                </a:ext>
              </a:extLst>
            </xdr:cNvPr>
            <xdr:cNvPicPr/>
          </xdr:nvPicPr>
          <xdr:blipFill>
            <a:blip xmlns:r="http://schemas.openxmlformats.org/officeDocument/2006/relationships" r:embed="rId114"/>
            <a:stretch>
              <a:fillRect/>
            </a:stretch>
          </xdr:blipFill>
          <xdr:spPr>
            <a:xfrm>
              <a:off x="8073000" y="1135800"/>
              <a:ext cx="698400" cy="252000"/>
            </a:xfrm>
            <a:prstGeom prst="rect">
              <a:avLst/>
            </a:prstGeom>
          </xdr:spPr>
        </xdr:pic>
      </mc:Fallback>
    </mc:AlternateContent>
    <xdr:clientData/>
  </xdr:twoCellAnchor>
  <xdr:twoCellAnchor editAs="oneCell">
    <xdr:from>
      <xdr:col>13</xdr:col>
      <xdr:colOff>542154</xdr:colOff>
      <xdr:row>16</xdr:row>
      <xdr:rowOff>198756</xdr:rowOff>
    </xdr:from>
    <xdr:to>
      <xdr:col>13</xdr:col>
      <xdr:colOff>647994</xdr:colOff>
      <xdr:row>18</xdr:row>
      <xdr:rowOff>115285</xdr:rowOff>
    </xdr:to>
    <mc:AlternateContent xmlns:mc="http://schemas.openxmlformats.org/markup-compatibility/2006">
      <mc:Choice xmlns:xdr14="http://schemas.microsoft.com/office/excel/2010/spreadsheetDrawing" Requires="xdr14">
        <xdr:contentPart xmlns:r="http://schemas.openxmlformats.org/officeDocument/2006/relationships" r:id="rId115">
          <xdr14:nvContentPartPr>
            <xdr14:cNvPr id="203" name="Entrada de lápiz 202">
              <a:extLst>
                <a:ext uri="{FF2B5EF4-FFF2-40B4-BE49-F238E27FC236}">
                  <a16:creationId xmlns:a16="http://schemas.microsoft.com/office/drawing/2014/main" id="{AF110F1B-FB9C-3CEF-0B3E-DED2564E57D0}"/>
                </a:ext>
              </a:extLst>
            </xdr14:cNvPr>
            <xdr14:cNvContentPartPr/>
          </xdr14:nvContentPartPr>
          <xdr14:nvPr macro=""/>
          <xdr14:xfrm>
            <a:off x="11301480" y="3395160"/>
            <a:ext cx="105840" cy="316080"/>
          </xdr14:xfrm>
        </xdr:contentPart>
      </mc:Choice>
      <mc:Fallback>
        <xdr:pic>
          <xdr:nvPicPr>
            <xdr:cNvPr id="203" name="Entrada de lápiz 202">
              <a:extLst>
                <a:ext uri="{FF2B5EF4-FFF2-40B4-BE49-F238E27FC236}">
                  <a16:creationId xmlns:a16="http://schemas.microsoft.com/office/drawing/2014/main" id="{AF110F1B-FB9C-3CEF-0B3E-DED2564E57D0}"/>
                </a:ext>
              </a:extLst>
            </xdr:cNvPr>
            <xdr:cNvPicPr/>
          </xdr:nvPicPr>
          <xdr:blipFill>
            <a:blip xmlns:r="http://schemas.openxmlformats.org/officeDocument/2006/relationships" r:embed="rId116"/>
            <a:stretch>
              <a:fillRect/>
            </a:stretch>
          </xdr:blipFill>
          <xdr:spPr>
            <a:xfrm>
              <a:off x="11295360" y="3389040"/>
              <a:ext cx="118080" cy="328320"/>
            </a:xfrm>
            <a:prstGeom prst="rect">
              <a:avLst/>
            </a:prstGeom>
          </xdr:spPr>
        </xdr:pic>
      </mc:Fallback>
    </mc:AlternateContent>
    <xdr:clientData/>
  </xdr:twoCellAnchor>
  <xdr:twoCellAnchor editAs="oneCell">
    <xdr:from>
      <xdr:col>11</xdr:col>
      <xdr:colOff>82435</xdr:colOff>
      <xdr:row>16</xdr:row>
      <xdr:rowOff>192996</xdr:rowOff>
    </xdr:from>
    <xdr:to>
      <xdr:col>13</xdr:col>
      <xdr:colOff>285114</xdr:colOff>
      <xdr:row>19</xdr:row>
      <xdr:rowOff>52310</xdr:rowOff>
    </xdr:to>
    <mc:AlternateContent xmlns:mc="http://schemas.openxmlformats.org/markup-compatibility/2006">
      <mc:Choice xmlns:xdr14="http://schemas.microsoft.com/office/excel/2010/spreadsheetDrawing" Requires="xdr14">
        <xdr:contentPart xmlns:r="http://schemas.openxmlformats.org/officeDocument/2006/relationships" r:id="rId117">
          <xdr14:nvContentPartPr>
            <xdr14:cNvPr id="204" name="Entrada de lápiz 203">
              <a:extLst>
                <a:ext uri="{FF2B5EF4-FFF2-40B4-BE49-F238E27FC236}">
                  <a16:creationId xmlns:a16="http://schemas.microsoft.com/office/drawing/2014/main" id="{400371E1-B660-8FEA-A7CB-B93EF551D7A0}"/>
                </a:ext>
              </a:extLst>
            </xdr14:cNvPr>
            <xdr14:cNvContentPartPr/>
          </xdr14:nvContentPartPr>
          <xdr14:nvPr macro=""/>
          <xdr14:xfrm>
            <a:off x="9186480" y="3389400"/>
            <a:ext cx="1857960" cy="458640"/>
          </xdr14:xfrm>
        </xdr:contentPart>
      </mc:Choice>
      <mc:Fallback>
        <xdr:pic>
          <xdr:nvPicPr>
            <xdr:cNvPr id="204" name="Entrada de lápiz 203">
              <a:extLst>
                <a:ext uri="{FF2B5EF4-FFF2-40B4-BE49-F238E27FC236}">
                  <a16:creationId xmlns:a16="http://schemas.microsoft.com/office/drawing/2014/main" id="{400371E1-B660-8FEA-A7CB-B93EF551D7A0}"/>
                </a:ext>
              </a:extLst>
            </xdr:cNvPr>
            <xdr:cNvPicPr/>
          </xdr:nvPicPr>
          <xdr:blipFill>
            <a:blip xmlns:r="http://schemas.openxmlformats.org/officeDocument/2006/relationships" r:embed="rId118"/>
            <a:stretch>
              <a:fillRect/>
            </a:stretch>
          </xdr:blipFill>
          <xdr:spPr>
            <a:xfrm>
              <a:off x="9180360" y="3383280"/>
              <a:ext cx="1870200" cy="470880"/>
            </a:xfrm>
            <a:prstGeom prst="rect">
              <a:avLst/>
            </a:prstGeom>
          </xdr:spPr>
        </xdr:pic>
      </mc:Fallback>
    </mc:AlternateContent>
    <xdr:clientData/>
  </xdr:twoCellAnchor>
  <xdr:twoCellAnchor editAs="oneCell">
    <xdr:from>
      <xdr:col>12</xdr:col>
      <xdr:colOff>424795</xdr:colOff>
      <xdr:row>8</xdr:row>
      <xdr:rowOff>159678</xdr:rowOff>
    </xdr:from>
    <xdr:to>
      <xdr:col>12</xdr:col>
      <xdr:colOff>425155</xdr:colOff>
      <xdr:row>9</xdr:row>
      <xdr:rowOff>46662</xdr:rowOff>
    </xdr:to>
    <mc:AlternateContent xmlns:mc="http://schemas.openxmlformats.org/markup-compatibility/2006">
      <mc:Choice xmlns:xdr14="http://schemas.microsoft.com/office/excel/2010/spreadsheetDrawing" Requires="xdr14">
        <xdr:contentPart xmlns:r="http://schemas.openxmlformats.org/officeDocument/2006/relationships" r:id="rId119">
          <xdr14:nvContentPartPr>
            <xdr14:cNvPr id="205" name="Entrada de lápiz 204">
              <a:extLst>
                <a:ext uri="{FF2B5EF4-FFF2-40B4-BE49-F238E27FC236}">
                  <a16:creationId xmlns:a16="http://schemas.microsoft.com/office/drawing/2014/main" id="{0F912C2B-E08C-C73B-7C23-675121370AB9}"/>
                </a:ext>
              </a:extLst>
            </xdr14:cNvPr>
            <xdr14:cNvContentPartPr/>
          </xdr14:nvContentPartPr>
          <xdr14:nvPr macro=""/>
          <xdr14:xfrm>
            <a:off x="10356480" y="1757880"/>
            <a:ext cx="360" cy="86760"/>
          </xdr14:xfrm>
        </xdr:contentPart>
      </mc:Choice>
      <mc:Fallback>
        <xdr:pic>
          <xdr:nvPicPr>
            <xdr:cNvPr id="205" name="Entrada de lápiz 204">
              <a:extLst>
                <a:ext uri="{FF2B5EF4-FFF2-40B4-BE49-F238E27FC236}">
                  <a16:creationId xmlns:a16="http://schemas.microsoft.com/office/drawing/2014/main" id="{0F912C2B-E08C-C73B-7C23-675121370AB9}"/>
                </a:ext>
              </a:extLst>
            </xdr:cNvPr>
            <xdr:cNvPicPr/>
          </xdr:nvPicPr>
          <xdr:blipFill>
            <a:blip xmlns:r="http://schemas.openxmlformats.org/officeDocument/2006/relationships" r:embed="rId120"/>
            <a:stretch>
              <a:fillRect/>
            </a:stretch>
          </xdr:blipFill>
          <xdr:spPr>
            <a:xfrm>
              <a:off x="10350360" y="1751760"/>
              <a:ext cx="12600" cy="99000"/>
            </a:xfrm>
            <a:prstGeom prst="rect">
              <a:avLst/>
            </a:prstGeom>
          </xdr:spPr>
        </xdr:pic>
      </mc:Fallback>
    </mc:AlternateContent>
    <xdr:clientData/>
  </xdr:twoCellAnchor>
  <xdr:twoCellAnchor editAs="oneCell">
    <xdr:from>
      <xdr:col>10</xdr:col>
      <xdr:colOff>433796</xdr:colOff>
      <xdr:row>8</xdr:row>
      <xdr:rowOff>131598</xdr:rowOff>
    </xdr:from>
    <xdr:to>
      <xdr:col>10</xdr:col>
      <xdr:colOff>434156</xdr:colOff>
      <xdr:row>9</xdr:row>
      <xdr:rowOff>14262</xdr:rowOff>
    </xdr:to>
    <mc:AlternateContent xmlns:mc="http://schemas.openxmlformats.org/markup-compatibility/2006">
      <mc:Choice xmlns:xdr14="http://schemas.microsoft.com/office/excel/2010/spreadsheetDrawing" Requires="xdr14">
        <xdr:contentPart xmlns:r="http://schemas.openxmlformats.org/officeDocument/2006/relationships" r:id="rId121">
          <xdr14:nvContentPartPr>
            <xdr14:cNvPr id="206" name="Entrada de lápiz 205">
              <a:extLst>
                <a:ext uri="{FF2B5EF4-FFF2-40B4-BE49-F238E27FC236}">
                  <a16:creationId xmlns:a16="http://schemas.microsoft.com/office/drawing/2014/main" id="{5BDB673E-5441-4A62-0791-2994AC528EB2}"/>
                </a:ext>
              </a:extLst>
            </xdr14:cNvPr>
            <xdr14:cNvContentPartPr/>
          </xdr14:nvContentPartPr>
          <xdr14:nvPr macro=""/>
          <xdr14:xfrm>
            <a:off x="8710200" y="1729800"/>
            <a:ext cx="360" cy="82440"/>
          </xdr14:xfrm>
        </xdr:contentPart>
      </mc:Choice>
      <mc:Fallback>
        <xdr:pic>
          <xdr:nvPicPr>
            <xdr:cNvPr id="206" name="Entrada de lápiz 205">
              <a:extLst>
                <a:ext uri="{FF2B5EF4-FFF2-40B4-BE49-F238E27FC236}">
                  <a16:creationId xmlns:a16="http://schemas.microsoft.com/office/drawing/2014/main" id="{5BDB673E-5441-4A62-0791-2994AC528EB2}"/>
                </a:ext>
              </a:extLst>
            </xdr:cNvPr>
            <xdr:cNvPicPr/>
          </xdr:nvPicPr>
          <xdr:blipFill>
            <a:blip xmlns:r="http://schemas.openxmlformats.org/officeDocument/2006/relationships" r:embed="rId120"/>
            <a:stretch>
              <a:fillRect/>
            </a:stretch>
          </xdr:blipFill>
          <xdr:spPr>
            <a:xfrm>
              <a:off x="8704080" y="1723680"/>
              <a:ext cx="12600" cy="94680"/>
            </a:xfrm>
            <a:prstGeom prst="rect">
              <a:avLst/>
            </a:prstGeom>
          </xdr:spPr>
        </xdr:pic>
      </mc:Fallback>
    </mc:AlternateContent>
    <xdr:clientData/>
  </xdr:twoCellAnchor>
  <xdr:twoCellAnchor editAs="oneCell">
    <xdr:from>
      <xdr:col>14</xdr:col>
      <xdr:colOff>50394</xdr:colOff>
      <xdr:row>17</xdr:row>
      <xdr:rowOff>43980</xdr:rowOff>
    </xdr:from>
    <xdr:to>
      <xdr:col>14</xdr:col>
      <xdr:colOff>791634</xdr:colOff>
      <xdr:row>18</xdr:row>
      <xdr:rowOff>53365</xdr:rowOff>
    </xdr:to>
    <mc:AlternateContent xmlns:mc="http://schemas.openxmlformats.org/markup-compatibility/2006">
      <mc:Choice xmlns:xdr14="http://schemas.microsoft.com/office/excel/2010/spreadsheetDrawing" Requires="xdr14">
        <xdr:contentPart xmlns:r="http://schemas.openxmlformats.org/officeDocument/2006/relationships" r:id="rId122">
          <xdr14:nvContentPartPr>
            <xdr14:cNvPr id="211" name="Entrada de lápiz 210">
              <a:extLst>
                <a:ext uri="{FF2B5EF4-FFF2-40B4-BE49-F238E27FC236}">
                  <a16:creationId xmlns:a16="http://schemas.microsoft.com/office/drawing/2014/main" id="{D3BBA031-1687-EC42-3519-74189CEF5B47}"/>
                </a:ext>
              </a:extLst>
            </xdr14:cNvPr>
            <xdr14:cNvContentPartPr/>
          </xdr14:nvContentPartPr>
          <xdr14:nvPr macro=""/>
          <xdr14:xfrm>
            <a:off x="11637360" y="3440160"/>
            <a:ext cx="741240" cy="209160"/>
          </xdr14:xfrm>
        </xdr:contentPart>
      </mc:Choice>
      <mc:Fallback>
        <xdr:pic>
          <xdr:nvPicPr>
            <xdr:cNvPr id="211" name="Entrada de lápiz 210">
              <a:extLst>
                <a:ext uri="{FF2B5EF4-FFF2-40B4-BE49-F238E27FC236}">
                  <a16:creationId xmlns:a16="http://schemas.microsoft.com/office/drawing/2014/main" id="{D3BBA031-1687-EC42-3519-74189CEF5B47}"/>
                </a:ext>
              </a:extLst>
            </xdr:cNvPr>
            <xdr:cNvPicPr/>
          </xdr:nvPicPr>
          <xdr:blipFill>
            <a:blip xmlns:r="http://schemas.openxmlformats.org/officeDocument/2006/relationships" r:embed="rId123"/>
            <a:stretch>
              <a:fillRect/>
            </a:stretch>
          </xdr:blipFill>
          <xdr:spPr>
            <a:xfrm>
              <a:off x="11631237" y="3434029"/>
              <a:ext cx="753486" cy="221421"/>
            </a:xfrm>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2265</xdr:colOff>
          <xdr:row>1</xdr:row>
          <xdr:rowOff>213717</xdr:rowOff>
        </xdr:from>
        <xdr:to>
          <xdr:col>10</xdr:col>
          <xdr:colOff>0</xdr:colOff>
          <xdr:row>3</xdr:row>
          <xdr:rowOff>1</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DAED6AE7-EACC-E090-5FC9-DFFBC35D132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200" b="0" i="0" u="none" strike="noStrike" baseline="0">
                  <a:solidFill>
                    <a:srgbClr val="000000"/>
                  </a:solidFill>
                  <a:latin typeface="Aptos Narrow" charset="0"/>
                </a:rPr>
                <a:t>Calcular</a:t>
              </a:r>
            </a:p>
          </xdr:txBody>
        </xdr:sp>
        <xdr:clientData fPrintsWithSheet="0"/>
      </xdr:twoCellAnchor>
    </mc:Choice>
    <mc:Fallback/>
  </mc:AlternateContent>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0:50.275"/>
    </inkml:context>
    <inkml:brush xml:id="br0">
      <inkml:brushProperty name="width" value="0.035" units="cm"/>
      <inkml:brushProperty name="height" value="0.035" units="cm"/>
      <inkml:brushProperty name="color" value="#E71224"/>
    </inkml:brush>
  </inkml:definitions>
  <inkml:trace contextRef="#ctx0" brushRef="#br0">116 5 24575,'-4'-3'0,"-1"1"0,-5 2 0,-3 1 0,-4 5 0,-2 8 0,2 7 0,3 7 0,4 3 0,6-1 0,2 2 0,2-1 0,0-1 0,0-3 0,1-5 0,6-4 0,6-3 0,10-5 0,8-4 0,4-4 0,-1-3 0,-3-4 0,-5-3 0,-4-4 0,-4-2 0,-3 0 0,-3-2 0,-2-1 0,0-2 0,-3-1 0,0 0 0,-3-1 0,-2 1 0,-1 3 0,-1 1 0,0 0 0,-1 4 0,-4-1 0,-7 2 0,-6 1 0,-5 2 0,-1 4 0,3 3 0,-1 0 0,1 1 0,0 0 0,1 2 0,1 2 0,4 1 0,3 0 0,5-2 0,3-2 0</inkml:trace>
  <inkml:trace contextRef="#ctx0" brushRef="#br0" timeOffset="1440">62 337 24575,'-9'0'0,"-1"5"0,2 6 0,0 8 0,1 7 0,3 3 0,3 2 0,0 0 0,1 0 0,3-1 0,8-3 0,11-2 0,12-1 0,6-4 0,1-2 0,-2-4 0,-6-5 0,-4-4 0,-4-5 0,-3-7 0,-2-7 0,-3-8 0,-4-3 0,-1-2 0,-5-1 0,-3-2 0,-2-3 0,-2 2 0,0 3 0,0 5 0,-1 4 0,-4 4 0,-5 2 0,-6 2 0,-7 3 0,-4 0 0,-6 0 0,-4 2 0,1 2 0,4 2 0,7 2 0,9 0 0,8 0 0,4 0 0</inkml:trace>
  <inkml:trace contextRef="#ctx0" brushRef="#br0" timeOffset="2627">539 58 24575,'15'0'0,"14"0"0,18 0 0,13 0 0,3 0 0,-8 0 0,-14 5 0,-18 8 0,-12 11 0,-8 10 0,-9 7 0,-13 4 0,-8-2 0,-10-2 0,3-10 0,7-7 0,6-7 0,13-8 0,12-4 0,17-3 0,16 1 0,9 5 0,0 7 0,-8 6 0,-10 1 0,-10 0 0,-7 0 0,-6-1 0,-4 3 0,-5 0 0,-8 2 0,-10 0 0,-8-4 0,-6-2 0,-1-4 0,2-4 0,6-3 0,9-3 0,4-4 0,4 0 0,2-2 0,2 0 0,1-2 0,2 0 0,2 0 0,2-1 0</inkml:trace>
  <inkml:trace contextRef="#ctx0" brushRef="#br0" timeOffset="4296">1279 166 24575,'-1'-6'0,"-3"6"0,-2 5 0,0 9 0,-2 8 0,1 7 0,2 6 0,0 5 0,3 2 0,0-3 0,1-8 0,1-9 0,0-7 0,0-4 0,0-1 0,0 0 0,2 2 0,3 3 0,4 1 0,3 1 0,1-3 0,0-3 0,3-1 0,0-1 0,2 0 0,3 0 0,1-1 0,2-2 0,0-2 0,-3-3 0,1-2 0,-1-3 0,-1-5 0,0-7 0,-2-5 0,-3-3 0,-1-2 0,-3 2 0,-2-1 0,-2 0 0,-2 1 0,-1-2 0,-3 3 0,0-1 0,0 0 0,-1-1 0,-3 0 0,-2-1 0,-4 1 0,-4 2 0,-2 2 0,-3 5 0,0 3 0,-1 2 0,1 2 0,-1 1 0,1 1 0,1 2 0,1 2 0,3 1 0,0 1 0,1 0 0,0 1 0,-2 0 0,-2 0 0,-1 1 0,-1 2 0,2 3 0,3 1 0,4 1 0,2-1 0,3-3 0,1-1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0:57.679"/>
    </inkml:context>
    <inkml:brush xml:id="br0">
      <inkml:brushProperty name="width" value="0.035" units="cm"/>
      <inkml:brushProperty name="height" value="0.035" units="cm"/>
      <inkml:brushProperty name="color" value="#E71224"/>
    </inkml:brush>
  </inkml:definitions>
  <inkml:trace contextRef="#ctx0" brushRef="#br0">0 1 24575,'8'0'0,"7"0"0,10 0 0,11 0 0,10 0 0,3 0 0,2 0 0,1 0 0,-5 0 0,-5 0 0,-10 0 0,-10 0 0,-7 0 0,-7 0 0,-3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1:29.108"/>
    </inkml:context>
    <inkml:brush xml:id="br0">
      <inkml:brushProperty name="width" value="0.035" units="cm"/>
      <inkml:brushProperty name="height" value="0.035" units="cm"/>
      <inkml:brushProperty name="color" value="#E71224"/>
    </inkml:brush>
  </inkml:definitions>
  <inkml:trace contextRef="#ctx0" brushRef="#br0">0 105 24575,'0'-6'0,"6"-2"0,9-2 0,5 2 0,8 3 0,-3 3 0,-6 2 0,-2 0 0,-6 0 0,-2 0 0,-2 2 0,-4 5 0,0 3 0,-2 6 0,-1 2 0,0 2 0,-4 1 0,-3-1 0,-3 1 0,-1-3 0,2-4 0,3 0 0,4-2 0,1-2 0,1-1 0,1 0 0,4-1 0,5 1 0,4-1 0,5-2 0,-1-1 0,-1-3 0,0 0 0,-1 0 0,-3-2 0,-1 0 0,-6 0 0,-2 0 0</inkml:trace>
  <inkml:trace contextRef="#ctx0" brushRef="#br0" timeOffset="760">440 120 24575,'0'24'0,"0"2"0,0 5 0,0-3 0,0-7 0,0-6 0,0-5 0,0-3 0,0-3 0,0-1 0</inkml:trace>
  <inkml:trace contextRef="#ctx0" brushRef="#br0" timeOffset="1655">746 53 24575,'-7'0'0,"-4"0"0,-2 0 0,-1 0 0,-1-1 0,6 5 0,4 6 0,2 8 0,5 7 0,4-1 0,6-2 0,4-6 0,2-3 0,-2-4 0,-3-3 0,-2-1 0,-2 0 0,-2 0 0,-2 2 0,-2-1 0,-2 0 0,-1 1 0,0 0 0,-1 4 0,-2 0 0,-5 1 0,-2-1 0,-4-4 0,-3-3 0,0-2 0,0-1 0,3-1 0,5 0 0,1 0 0,5 0 0,-1 0 0</inkml:trace>
  <inkml:trace contextRef="#ctx0" brushRef="#br0" timeOffset="2897">1076 0 24575,'-7'0'0,"-1"0"0,0 0 0,0 0 0,3 0 0,1 1 0,1 5 0,2 6 0,0 4 0,1 1 0,0-4 0,0-5 0,0-2 0,0 1 0,0 2 0,2 1 0,3 3 0,4-1 0,4 0 0,2 2 0,-1-3 0,0 2 0,-1 0 0,-1 1 0,-1 1 0,-1 1 0,-2 0 0,-3 0 0,-3 0 0,-2-1 0,0 0 0,0-3 0,0-1 0,-2-2 0,-3-4 0,-6-2 0,-5-2 0,-4-1 0,-5 0 0,0 0 0,2 0 0,3 0 0,6 0 0,8 0 0,2 0 0</inkml:trace>
  <inkml:trace contextRef="#ctx0" brushRef="#br0" timeOffset="3894">1050 26 24575,'21'0'0,"4"0"0,3 0 0,-1 0 0,-4 0 0,-3 0 0,-2 0 0,-2 0 0,-2 0 0,-3 0 0,-5 0 0,-3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1:39.216"/>
    </inkml:context>
    <inkml:brush xml:id="br0">
      <inkml:brushProperty name="width" value="0.035" units="cm"/>
      <inkml:brushProperty name="height" value="0.035" units="cm"/>
      <inkml:brushProperty name="color" value="#E71224"/>
    </inkml:brush>
  </inkml:definitions>
  <inkml:trace contextRef="#ctx0" brushRef="#br0">0 742 24575,'6'0'0,"5"0"0,4 0 0,5 0 0,3 0 0,1 0 0,2 0 0,0 0 0,-1 0 0,-2 0 0,-3 0 0,-1 0 0,-1 0 0,3 0 0,-1 0 0,1 0 0,-3 0 0,-4 0 0,-3 0 0,-3-1 0,-4-5 0,-1-7 0,-2-6 0,-1-5 0,0-4 0,0-2 0,0-3 0,0-2 0,0 1 0,0 2 0,0-1 0,0 3 0,0 1 0,0 1 0,0 6 0,0 4 0,0 4 0,0 3 0,0 1 0,0 3 0,0 1 0,0-2 0,0-1 0,0-2 0,0-1 0,0 2 0,0 1 0,0 2 0,0 1 0,0 0 0,0-2 0,1-2 0,0-2 0,1 1 0,-1 1 0,-1 2 0,0 1 0,0 1 0,0-1 0,1 0 0,0-1 0,1 2 0,-1 0 0,0 1 0,0 0 0,0 0 0,0 0 0,0-1 0,-1 1 0,0 0 0,0 0 0,0 0 0,0-3 0,0-3 0,1-1 0,1 2 0,-1 4 0,0 4 0,-1 4 0,0-1 0,0 1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1:42.365"/>
    </inkml:context>
    <inkml:brush xml:id="br0">
      <inkml:brushProperty name="width" value="0.035" units="cm"/>
      <inkml:brushProperty name="height" value="0.035" units="cm"/>
      <inkml:brushProperty name="color" value="#E71224"/>
    </inkml:brush>
  </inkml:definitions>
  <inkml:trace contextRef="#ctx0" brushRef="#br0">30 0 24575,'0'11'0,"4"6"0,7 10 0,4 4 0,7 1 0,-1-2 0,0-5 0,-3-5 0,-5-8 0,-5-4 0,-4-6 0,-2-1 0</inkml:trace>
  <inkml:trace contextRef="#ctx0" brushRef="#br0" timeOffset="1706">0 231 24575,'1'-9'0,"5"-1"0,4-3 0,6 0 0,0 3 0,-2 2 0,-2 0 0,-4 2 0,0 1 0,-1-2 0,1 1 0,0-3 0,2-1 0,1-2 0,-1 0 0,-1 1 0,0 1 0,-1 2 0,0 2 0,-3 1 0,-1 2 0,-2 0 0,1 0 0,1 0 0,0-1 0,0 0 0,0 0 0,-2 1 0,0 1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1:50.125"/>
    </inkml:context>
    <inkml:brush xml:id="br0">
      <inkml:brushProperty name="width" value="0.035" units="cm"/>
      <inkml:brushProperty name="height" value="0.035" units="cm"/>
      <inkml:brushProperty name="color" value="#E71224"/>
    </inkml:brush>
  </inkml:definitions>
  <inkml:trace contextRef="#ctx0" brushRef="#br0">108 0 24575,'0'15'0,"0"8"0,0 10 0,0 7 0,0-2 0,0-6 0,0-9 0,0-8 0,0-7 0,0-4 0</inkml:trace>
  <inkml:trace contextRef="#ctx0" brushRef="#br0" timeOffset="1467">0 131 24575,'10'0'0,"3"0"0,9 0 0,4 0 0,2 0 0,-7 0 0,-5 0 0,-7 0 0,-1 0 0,-1 0 0,0 0 0,-1 0 0,1 0 0,0 0 0,1 0 0,-1 0 0,-4 0 0,-1 0 0</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2:26.103"/>
    </inkml:context>
    <inkml:brush xml:id="br0">
      <inkml:brushProperty name="width" value="0.035" units="cm"/>
      <inkml:brushProperty name="height" value="0.035" units="cm"/>
      <inkml:brushProperty name="color" value="#E71224"/>
    </inkml:brush>
  </inkml:definitions>
  <inkml:trace contextRef="#ctx0" brushRef="#br0">269 0 24575,'-14'0'0,"-4"0"0,-10 0 0,-5 0 0,-2 0 0,2 0 0,2 3 0,5 5 0,6 5 0,6 5 0,5 3 0,4 0 0,3 0 0,2 1 0,0-3 0,0-1 0,4-3 0,5-3 0,6-3 0,6-4 0,5-3 0,2-6 0,-1-7 0,-1-3 0,-5-3 0,-5 4 0,-5 3 0,-3 5 0,-5 5 0,-1 7 0,-2 7 0,0 7 0,0 7 0,0 3 0,0 2 0,0-1 0,0-2 0,0 0 0,0-1 0,0-3 0,0-4 0,0-5 0,0-3 0,0-3 0,0-3 0,0-3 0,0-2 0</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2:55.935"/>
    </inkml:context>
    <inkml:brush xml:id="br0">
      <inkml:brushProperty name="width" value="0.035" units="cm"/>
      <inkml:brushProperty name="height" value="0.035" units="cm"/>
      <inkml:brushProperty name="color" value="#E71224"/>
    </inkml:brush>
  </inkml:definitions>
  <inkml:trace contextRef="#ctx0" brushRef="#br0">220 0 24575,'-7'0'0,"-6"0"0,-8 0 0,-6 0 0,-2 0 0,0 0 0,4 2 0,5 4 0,5 4 0,2 5 0,3 1 0,3 2 0,4-2 0,3 1 0,0-2 0,0-3 0,0-2 0,3-2 0,6-1 0,4-4 0,3-1 0,-2-2 0,-3 0 0,-1-2 0,-2-1 0,1-5 0,1-5 0,2-2 0,0 0 0,-1 3 0,-2 3 0,-3 2 0,-3 2 0,-1 0 0,-1 1 0,1 0 0,1 0 0,-1 0 0,1 0 0,-1-1 0,-1 3 0,-1 2 0,1 4 0,0 6 0,2 5 0,1 6 0,0 3 0,-1 1 0,-2 1 0,0 2 0,-1 3 0,0 1 0,0-1 0,0-4 0,0-7 0,0-6 0,0-5 0,0-3 0,0-2 0,0-2 0</inkml:trace>
  <inkml:trace contextRef="#ctx0" brushRef="#br0" timeOffset="1240">453 6 24575,'0'21'0,"0"5"0,0 7 0,0 5 0,0-1 0,0-5 0,0-6 0,0-6 0,0-5 0,0-5 0,0-2 0,0-2 0,0 0 0,0 4 0,0 1 0,0 1 0,0 2 0,0-3 0,0-1 0,0-2 0,0-3 0,0-2 0</inkml:trace>
</inkml:ink>
</file>

<file path=xl/ink/ink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3:15.570"/>
    </inkml:context>
    <inkml:brush xml:id="br0">
      <inkml:brushProperty name="width" value="0.035" units="cm"/>
      <inkml:brushProperty name="height" value="0.035" units="cm"/>
      <inkml:brushProperty name="color" value="#E71224"/>
    </inkml:brush>
  </inkml:definitions>
  <inkml:trace contextRef="#ctx0" brushRef="#br0">8 0 24575,'21'0'0,"3"0"0,4 0 0,0 0 0,-3 0 0,-3 1 0,-6 0 0,-6 3 0,-6 1 0,-3 2 0,0 3 0,-1 2 0,0 3 0,-1 4 0,-4 1 0,-5 1 0,-6-1 0,-4-2 0,0-3 0,1-2 0,5-5 0,4-3 0,4-1 0,3-2 0,2 2 0,2 2 0,6 1 0,8 4 0,7 4 0,4 3 0,-2 0 0,-2-3 0,-5-2 0,-6-3 0,-2-2 0,-4 0 0,-3-2 0,0 1 0,-6 1 0,-3 0 0,-4 1 0,-5-1 0,-2-2 0,-3-3 0,0-2 0,-2 0 0,3 0 0,1 1 0,1-1 0,4 0 0,3-1 0,2 0 0,2 0 0,4 0 0,0 0 0</inkml:trace>
</inkml:ink>
</file>

<file path=xl/ink/ink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3:34.015"/>
    </inkml:context>
    <inkml:brush xml:id="br0">
      <inkml:brushProperty name="width" value="0.035" units="cm"/>
      <inkml:brushProperty name="height" value="0.035" units="cm"/>
      <inkml:brushProperty name="color" value="#E71224"/>
    </inkml:brush>
  </inkml:definitions>
  <inkml:trace contextRef="#ctx0" brushRef="#br0">1 34 24575,'11'0'0,"7"0"0,15 0 0,9 0 0,8 0 0,2 0 0,-5 0 0,-8 0 0,-13 6 0,-13 5 0,-7 9 0,-4 10 0,-4 7 0,-6 9 0,-7 6 0,-4-1 0,1-5 0,5-10 0,4-12 0,4-6 0,1-11 0,3-3 0</inkml:trace>
  <inkml:trace contextRef="#ctx0" brushRef="#br0" timeOffset="668">181 260 24575,'22'0'0,"3"0"0,6 0 0,2 0 0,-5 0 0,-8 0 0,-9 0 0,-7 0 0</inkml:trace>
  <inkml:trace contextRef="#ctx0" brushRef="#br0" timeOffset="1721">584 5 24575,'17'-2'0,"4"0"0,10 2 0,4 0 0,-5 0 0,-2 0 0,-9 0 0,-4 0 0,-5 0 0,-4 4 0,-2 3 0,-3 6 0,0 7 0,-1 12 0,-5 7 0,-6 11 0,-6 7 0,-5-1 0,-1 2 0,4-11 0,5-12 0,5-10 0,5-14 0,2-5 0</inkml:trace>
  <inkml:trace contextRef="#ctx0" brushRef="#br0" timeOffset="2601">548 252 24575,'26'0'0,"6"0"0,7 0 0,-3 0 0,-7 0 0,-10 0 0,-8 0 0,-2 0 0,-2 0 0,-1 0 0,1 0 0,-1 0 0,1 0 0,0 0 0,0 0 0,1 0 0,-4 0 0,-1 0 0</inkml:trace>
</inkml:ink>
</file>

<file path=xl/ink/ink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4:08.174"/>
    </inkml:context>
    <inkml:brush xml:id="br0">
      <inkml:brushProperty name="width" value="0.035" units="cm"/>
      <inkml:brushProperty name="height" value="0.035" units="cm"/>
      <inkml:brushProperty name="color" value="#E71224"/>
    </inkml:brush>
  </inkml:definitions>
  <inkml:trace contextRef="#ctx0" brushRef="#br0">0 20 24575,'11'0'0,"3"0"0,2 0 0,5 0 0,4 0 0,1 0 0,-2 0 0,-5 2 0,-7 1 0,-5 1 0,-4 3 0,-2 3 0,-3 4 0,-6 2 0,-5 1 0,-4 0 0,0 0 0,5-2 0,2-2 0,5-4 0,2-3 0,2 0 0,0 0 0,1 0 0,0 2 0,0 0 0,0 0 0,1 1 0,2-1 0,5-1 0,5 1 0,3-2 0,3 0 0,0 1 0,-1-1 0,-1 0 0,-2-1 0,-2-1 0,-4-3 0,0-1 0,-2 0 0,1 0 0,-3 1 0,-1-1 0,-2 1 0</inkml:trace>
  <inkml:trace contextRef="#ctx0" brushRef="#br0" timeOffset="1775">657 5 24575,'-5'-3'0,"-2"1"0,-3 2 0,-2 0 0,-2 0 0,-1 0 0,0 0 0,2 0 0,3 0 0,1 1 0,3 2 0,0 4 0,-1 8 0,-1 7 0,0 1 0,1-2 0,3-8 0,0-5 0,1 0 0,0-2 0,1 0 0,4-2 0,4 0 0,4-1 0,3-1 0,2-1 0,1-1 0,1 0 0,4 0 0,-1 0 0,-1-2 0,-2-3 0,-4-1 0,-5 0 0,-3 1 0,-1 0 0,-3 0 0,2-1 0,-2-1 0,1 0 0,0 0 0,0 3 0,-1 5 0,1 10 0,-2 11 0,0 9 0,0 5 0,0 0 0,0-3 0,0-4 0,0-7 0,0-6 0,0-3 0,0-3 0,0-2 0,0 1 0,0-1 0,0 0 0,0 1 0,0-1 0,0 1 0,0-1 0,0-1 0,0-1 0,0-2 0,1 0 0,-1-1 0,1-2 0</inkml:trace>
</inkml:ink>
</file>

<file path=xl/ink/ink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4:12.229"/>
    </inkml:context>
    <inkml:brush xml:id="br0">
      <inkml:brushProperty name="width" value="0.035" units="cm"/>
      <inkml:brushProperty name="height" value="0.035" units="cm"/>
      <inkml:brushProperty name="color" value="#E71224"/>
    </inkml:brush>
  </inkml:definitions>
  <inkml:trace contextRef="#ctx0" brushRef="#br0">299 0 24575,'-12'0'0,"-5"0"0,-3 0 0,-4 0 0,-1 0 0,-1 0 0,2 0 0,0 2 0,4 3 0,5 3 0,3 7 0,2 2 0,2 5 0,3 5 0,2 4 0,3 6 0,0 3 0,0 0 0,0-4 0,4-7 0,4-7 0,7-5 0,6-6 0,3-5 0,2-4 0,-2-2 0,-2-2 0,-3-3 0,-3-5 0,-2-5 0,-2-2 0,-1-2 0,-1-2 0,-3 0 0,-3-2 0,-2 2 0,-2-1 0,1 1 0,-1 2 0,0 1 0,0 3 0,0 2 0,-1 2 0,-1 3 0,-3 2 0,-2 2 0,-2 1 0,1 2 0,0 1 0,1 0 0,1 0 0,3 0 0,1 0 0</inkml:trace>
  <inkml:trace contextRef="#ctx0" brushRef="#br0" timeOffset="1698">178 438 24575,'-7'-2'0,"-1"0"0,-3 3 0,-3 6 0,-4 6 0,-2 5 0,0 4 0,2-1 0,3 0 0,3 1 0,3 1 0,1 1 0,1 2 0,2-2 0,1-2 0,3-3 0,1-5 0,0-1 0,3-4 0,5 0 0,6 0 0,6 0 0,3 0 0,3 0 0,-1-4 0,-2-1 0,0-3 0,0-1 0,2 0 0,1-2 0,1-5 0,-3-3 0,-4-2 0,-4-1 0,-4 0 0,-2-1 0,0-2 0,-1 2 0,-2-2 0,-3-1 0,-1 0 0,-3-1 0,0-3 0,0 0 0,-1-2 0,0 1 0,-3 1 0,-1 3 0,-1 2 0,0 3 0,1 5 0,0 3 0,-1 3 0,-1-1 0,-4 1 0,-1 0 0,-3-1 0,1 2 0,1-1 0,1 2 0,0 0 0,-1 0 0,0 0 0,0 0 0,1 0 0,4 0 0,4 0 0,1 0 0</inkml:trace>
</inkml:ink>
</file>

<file path=xl/ink/ink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4:37.919"/>
    </inkml:context>
    <inkml:brush xml:id="br0">
      <inkml:brushProperty name="width" value="0.035" units="cm"/>
      <inkml:brushProperty name="height" value="0.035" units="cm"/>
      <inkml:brushProperty name="color" value="#E71224"/>
    </inkml:brush>
  </inkml:definitions>
  <inkml:trace contextRef="#ctx0" brushRef="#br0">0 0 24575,'12'0'0,"7"0"0,13 0 0,14 0 0,6 0 0,1 0 0,-9 0 0,-13 0 0,-9 0 0,-11 2 0,-4 0 0,-4 3 0,-2 1 0,-1-2 0,0-1 0</inkml:trace>
</inkml:ink>
</file>

<file path=xl/ink/ink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4:40.842"/>
    </inkml:context>
    <inkml:brush xml:id="br0">
      <inkml:brushProperty name="width" value="0.035" units="cm"/>
      <inkml:brushProperty name="height" value="0.035" units="cm"/>
      <inkml:brushProperty name="color" value="#E71224"/>
    </inkml:brush>
  </inkml:definitions>
  <inkml:trace contextRef="#ctx0" brushRef="#br0">0 0 24575,'34'0'0,"5"0"0,14 0 0,6 0 0,2 0 0,-2 0 0,-11 0 0,-12 0 0,-12 0 0,-14 0 0,-5 0 0,-3 0 0</inkml:trace>
</inkml:ink>
</file>

<file path=xl/ink/ink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4:45.484"/>
    </inkml:context>
    <inkml:brush xml:id="br0">
      <inkml:brushProperty name="width" value="0.035" units="cm"/>
      <inkml:brushProperty name="height" value="0.035" units="cm"/>
      <inkml:brushProperty name="color" value="#E71224"/>
    </inkml:brush>
  </inkml:definitions>
  <inkml:trace contextRef="#ctx0" brushRef="#br0">1 1 24575,'7'0'0,"5"0"0,8 0 0,5 0 0,3 0 0,-1 0 0,-4 0 0,0 0 0,-2 0 0,-1 0 0,0 0 0,-3 0 0,-4 0 0,-5 0 0,-4 0 0,-2 0 0</inkml:trace>
</inkml:ink>
</file>

<file path=xl/ink/ink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4:47.801"/>
    </inkml:context>
    <inkml:brush xml:id="br0">
      <inkml:brushProperty name="width" value="0.035" units="cm"/>
      <inkml:brushProperty name="height" value="0.035" units="cm"/>
      <inkml:brushProperty name="color" value="#E71224"/>
    </inkml:brush>
  </inkml:definitions>
  <inkml:trace contextRef="#ctx0" brushRef="#br0">1 1 24575,'15'0'0,"8"0"0,12 0 0,11 0 0,1 0 0,-4 0 0,-7 0 0,-13 0 0,-7 0 0,-8 0 0,-5 0 0</inkml:trace>
</inkml:ink>
</file>

<file path=xl/ink/ink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4:50.044"/>
    </inkml:context>
    <inkml:brush xml:id="br0">
      <inkml:brushProperty name="width" value="0.035" units="cm"/>
      <inkml:brushProperty name="height" value="0.035" units="cm"/>
      <inkml:brushProperty name="color" value="#E71224"/>
    </inkml:brush>
  </inkml:definitions>
  <inkml:trace contextRef="#ctx0" brushRef="#br0">0 5 24575,'8'0'0,"4"0"0,8 0 0,7 0 0,10 0 0,6 0 0,3 0 0,-1 0 0,-9 0 0,-5 0 0,-11 0 0,-7-2 0,-7 1 0,-4-1 0</inkml:trace>
</inkml:ink>
</file>

<file path=xl/ink/ink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4:52.685"/>
    </inkml:context>
    <inkml:brush xml:id="br0">
      <inkml:brushProperty name="width" value="0.035" units="cm"/>
      <inkml:brushProperty name="height" value="0.035" units="cm"/>
      <inkml:brushProperty name="color" value="#E71224"/>
    </inkml:brush>
  </inkml:definitions>
  <inkml:trace contextRef="#ctx0" brushRef="#br0">1 0 24575,'10'0'0,"6"0"0,13 0 0,10 0 0,6 0 0,-1 0 0,-11 0 0,-10 0 0,-9 0 0,-8 0 0,-3 0 0</inkml:trace>
</inkml:ink>
</file>

<file path=xl/ink/ink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08-18T23:25:14.384"/>
    </inkml:context>
    <inkml:brush xml:id="br0">
      <inkml:brushProperty name="width" value="0.3" units="cm"/>
      <inkml:brushProperty name="height" value="0.6" units="cm"/>
      <inkml:brushProperty name="color" value="#FFFC00"/>
      <inkml:brushProperty name="tip" value="rectangle"/>
      <inkml:brushProperty name="rasterOp" value="maskPen"/>
    </inkml:brush>
  </inkml:definitions>
  <inkml:trace contextRef="#ctx0" brushRef="#br0">1 1,'41'0,"-7"0,-21 0,-2 0</inkml:trace>
</inkml:ink>
</file>

<file path=xl/ink/ink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08-18T23:25:16.025"/>
    </inkml:context>
    <inkml:brush xml:id="br0">
      <inkml:brushProperty name="width" value="0.3" units="cm"/>
      <inkml:brushProperty name="height" value="0.6" units="cm"/>
      <inkml:brushProperty name="color" value="#FFFC00"/>
      <inkml:brushProperty name="tip" value="rectangle"/>
      <inkml:brushProperty name="rasterOp" value="maskPen"/>
    </inkml:brush>
  </inkml:definitions>
  <inkml:trace contextRef="#ctx0" brushRef="#br0">1 1,'60'0,"-10"0,-33 0,-9 0,-4 0</inkml:trace>
</inkml:ink>
</file>

<file path=xl/ink/ink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08-18T23:25:17.868"/>
    </inkml:context>
    <inkml:brush xml:id="br0">
      <inkml:brushProperty name="width" value="0.3" units="cm"/>
      <inkml:brushProperty name="height" value="0.6" units="cm"/>
      <inkml:brushProperty name="color" value="#FFFC00"/>
      <inkml:brushProperty name="tip" value="rectangle"/>
      <inkml:brushProperty name="rasterOp" value="maskPen"/>
    </inkml:brush>
  </inkml:definitions>
  <inkml:trace contextRef="#ctx0" brushRef="#br0">1 0,'44'0,"-9"0,-25 0,-2 0,1 0</inkml:trace>
</inkml:ink>
</file>

<file path=xl/ink/ink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08-18T23:25:19.655"/>
    </inkml:context>
    <inkml:brush xml:id="br0">
      <inkml:brushProperty name="width" value="0.3" units="cm"/>
      <inkml:brushProperty name="height" value="0.6" units="cm"/>
      <inkml:brushProperty name="color" value="#FFFC00"/>
      <inkml:brushProperty name="tip" value="rectangle"/>
      <inkml:brushProperty name="rasterOp" value="maskPen"/>
    </inkml:brush>
  </inkml:definitions>
  <inkml:trace contextRef="#ctx0" brushRef="#br0">0 1,'55'0,"-8"0,-27 0,-5 0,-2 0</inkml:trace>
</inkml:ink>
</file>

<file path=xl/ink/ink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08-18T23:25:21.521"/>
    </inkml:context>
    <inkml:brush xml:id="br0">
      <inkml:brushProperty name="width" value="0.3" units="cm"/>
      <inkml:brushProperty name="height" value="0.6" units="cm"/>
      <inkml:brushProperty name="color" value="#FFFC00"/>
      <inkml:brushProperty name="tip" value="rectangle"/>
      <inkml:brushProperty name="rasterOp" value="maskPen"/>
    </inkml:brush>
  </inkml:definitions>
  <inkml:trace contextRef="#ctx0" brushRef="#br0">1 0,'37'0,"-7"0</inkml:trace>
</inkml:ink>
</file>

<file path=xl/ink/ink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08-18T23:25:23.615"/>
    </inkml:context>
    <inkml:brush xml:id="br0">
      <inkml:brushProperty name="width" value="0.3" units="cm"/>
      <inkml:brushProperty name="height" value="0.6" units="cm"/>
      <inkml:brushProperty name="color" value="#FFFC00"/>
      <inkml:brushProperty name="tip" value="rectangle"/>
      <inkml:brushProperty name="rasterOp" value="maskPen"/>
    </inkml:brush>
  </inkml:definitions>
  <inkml:trace contextRef="#ctx0" brushRef="#br0">0 0,'57'0,"-8"0,-32 0,-7 0,-5 0</inkml:trace>
</inkml:ink>
</file>

<file path=xl/ink/ink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08-18T23:25:25.601"/>
    </inkml:context>
    <inkml:brush xml:id="br0">
      <inkml:brushProperty name="width" value="0.3" units="cm"/>
      <inkml:brushProperty name="height" value="0.6" units="cm"/>
      <inkml:brushProperty name="color" value="#FFFC00"/>
      <inkml:brushProperty name="tip" value="rectangle"/>
      <inkml:brushProperty name="rasterOp" value="maskPen"/>
    </inkml:brush>
  </inkml:definitions>
  <inkml:trace contextRef="#ctx0" brushRef="#br0">1 0,'44'0,"-8"0,-24 0,-4 0,-2 0</inkml:trace>
</inkml:ink>
</file>

<file path=xl/ink/ink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5:34.898"/>
    </inkml:context>
    <inkml:brush xml:id="br0">
      <inkml:brushProperty name="width" value="0.035" units="cm"/>
      <inkml:brushProperty name="height" value="0.035" units="cm"/>
      <inkml:brushProperty name="color" value="#E71224"/>
    </inkml:brush>
  </inkml:definitions>
  <inkml:trace contextRef="#ctx0" brushRef="#br0">85 145 24575,'-7'-3'0,"-2"1"0,-2 2 0,-1 9 0,-2 7 0,1 12 0,3 5 0,4 4 0,4 0 0,2-2 0,0-6 0,4-5 0,10-5 0,11-4 0,10-4 0,2-5 0,-5-3 0,-4-3 0,-4 0 0,-1 0 0,2-1 0,1-3 0,0-4 0,-3-5 0,-4-6 0,-4-5 0,-4-2 0,-2-4 0,-4 0 0,-2-1 0,-2-1 0,-1 4 0,-2 2 0,-3 3 0,-5 5 0,-3 6 0,-2 4 0,-1 4 0,-5 2 0,-6 1 0,-7 1 0,-5 0 0,-2 2 0,2 2 0,5 4 0,8 4 0,9 0 0,8-5 0,6-2 0</inkml:trace>
  <inkml:trace contextRef="#ctx0" brushRef="#br0" timeOffset="1363">531 331 24575,'3'5'0,"-1"1"0,-2 3 0,0 2 0,0 2 0,0 2 0,0 0 0,0 1 0,0-1 0,0 1 0,0-1 0,1-1 0,1-3 0,0-1 0,1-5 0,-2-5 0,2-9 0,0-11 0,1-4 0,2-4 0,3 1 0,2 3 0,2 4 0,-1 6 0,-1 4 0,0 4 0,-1 2 0,0 3 0,-3 1 0,1-1 0,2-1 0,4-2 0,2-3 0,1 1 0,-8 1 0,-2 3 0</inkml:trace>
  <inkml:trace contextRef="#ctx0" brushRef="#br0" timeOffset="2603">1180 1 24575,'0'15'0,"0"9"0,0 15 0,0 9 0,0 2 0,0-3 0,0-9 0,0-14 0,0-9 0,0-7 0,0-1 0,0 3 0,0 7 0,0 3 0,0 4 0,0 0 0,0-3 0,0-4 0,-1-5 0,-4-11 0,-9-9 0,-6-6 0,-6-3 0,-1 2 0,1 3 0,2 3 0,2 6 0,2 1 0,2 6 0,2 10 0,1 13 0,4 10 0,3 3 0,5-5 0,2-6 0,1-7 0,2-6 0,3-4 0,5-4 0,7-4 0,6-2 0,1-3 0,0-3 0,-5-3 0,-5 0 0,-8 2 0,-2 3 0</inkml:trace>
  <inkml:trace contextRef="#ctx0" brushRef="#br0" timeOffset="3483">1352 566 24575,'9'0'0,"9"-2"0,7-2 0,5-7 0,-3-5 0,-8-6 0,-8-3 0,-5-3 0,-4-2 0,-1 0 0,-1 3 0,0 6 0,-1 6 0,-4 6 0,-6 5 0,-9 8 0,-3 14 0,-4 14 0,3 14 0,6 5 0,5 4 0,7-4 0,5-5 0,8-5 0,13-10 0,15-7 0,15-8 0,2-7 0,-5-5 0,-9-3 0,-12-2 0,-8-1 0,-11 0 0,-4 0 0</inkml:trace>
  <inkml:trace contextRef="#ctx0" brushRef="#br0" timeOffset="4564">1857 483 24575,'0'5'0,"0"0"0,0 1 0,0-1 0,0 3 0,3 4 0,6 6 0,6 6 0,5 5 0,0 3 0,-3-1 0,-5-5 0,-3-6 0,-3-6 0,-4-6 0,1-7 0,-4-8 0,-1-9 0,-3-10 0,0-7 0,2-4 0,2-1 0,1 1 0,0 7 0,0 4 0,1 7 0,3 5 0,4 3 0,7 4 0,6 2 0,11 2 0,9 1 0,5 1 0,1 1 0,-8 0 0,-11 0 0,-8 0 0,-12 0 0,-3 0 0</inkml:trace>
</inkml:ink>
</file>

<file path=xl/ink/ink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5:44.144"/>
    </inkml:context>
    <inkml:brush xml:id="br0">
      <inkml:brushProperty name="width" value="0.035" units="cm"/>
      <inkml:brushProperty name="height" value="0.035" units="cm"/>
      <inkml:brushProperty name="color" value="#E71224"/>
    </inkml:brush>
  </inkml:definitions>
  <inkml:trace contextRef="#ctx0" brushRef="#br0">1 182 24575,'13'0'0,"15"0"0,21 0 0,13 0 0,9 0 0,-5 0 0,-9 0 0,-12 0 0,-16 0 0,-14-2 0,-8-1 0,-5 0 0,-2 0 0</inkml:trace>
  <inkml:trace contextRef="#ctx0" brushRef="#br0" timeOffset="2893">1022 5 24575,'-6'-3'0,"-8"1"0,-7 2 0,-6 0 0,-4 0 0,2 1 0,0 4 0,3 8 0,3 8 0,5 7 0,4 2 0,6 1 0,5-2 0,1-2 0,2 0 0,0-3 0,7 0 0,9 2 0,10-2 0,10-1 0,4-5 0,0-5 0,-1-2 0,-7-4 0,-9-2 0,-7-4 0,-5-1 0,-5 1 0,-1 0 0,-3 0 0</inkml:trace>
  <inkml:trace contextRef="#ctx0" brushRef="#br0" timeOffset="3828">1326 261 24575,'0'9'0,"0"6"0,0 23 0,0 5 0,9 0 0,10-5 0,15-10 0,9-11 0,2-8 0,5-10 0,-3-15 0,-5-15 0,-9-21 0,-10-14 0,-7 4 0,-5 5 0,-5 16 0,-4 12 0,-2 14 0,0 7 0</inkml:trace>
  <inkml:trace contextRef="#ctx0" brushRef="#br0" timeOffset="4575">2110 135 24575,'-21'-3'0,"1"1"0,-4 1 0,4 1 0,4-1 0,4 5 0,7 7 0,3 6 0,1 7 0,4 2 0,8-1 0,16 0 0,11-2 0,4 0 0,-2 0 0,-12-1 0,-9 0 0,-9-1 0,-6 1 0,-5 1 0,-5 2 0,-7-2 0,-9 0 0,-5-5 0,1-4 0,1-3 0,4-4 0,0-3 0,2-2 0,1-5 0,-1-5 0,9 3 0,2-2 0</inkml:trace>
  <inkml:trace contextRef="#ctx0" brushRef="#br0" timeOffset="5094">2480 29 24575,'-2'-4'0,"0"26"0,1 13 0,1 30 0,0 7 0,0 4 0,0-8 0,0-8 0,0-18 0,0-15 0,0-14 0,0-8 0</inkml:trace>
  <inkml:trace contextRef="#ctx0" brushRef="#br0" timeOffset="5428">2330 272 24575,'21'0'0,"7"0"0,12 0 0,2 0 0,-5 0 0,-10 0 0,-15 0 0,-6 0 0</inkml:trace>
  <inkml:trace contextRef="#ctx0" brushRef="#br0" timeOffset="6442">2778 272 24575,'-1'11'0,"-1"5"0,1 11 0,0 7 0,1 5 0,10 0 0,8-7 0,11-10 0,13-10 0,2-11 0,0-14 0,-4-17 0,-6-15 0,-3-7 0,-7 2 0,-9 10 0,-9 6 0,-5 7 0,-8 5 0,-10 6 0,-11 5 0,-10 5 0,-2 3 0,-3 10 0,2 10 0,2 8 0,2 8 0,8-4 0,9-5 0,9-11 0,7-7 0</inkml:trace>
  <inkml:trace contextRef="#ctx0" brushRef="#br0" timeOffset="7881">3279 206 24575,'0'14'0,"2"8"0,1 13 0,3 6 0,0-2 0,-1-7 0,-1-10 0,-2-13 0,1-17 0,5-22 0,7-20 0,5-14 0,4 2 0,-2 12 0,-2 19 0,0 17 0,0 13 0,1 14 0,-4 9 0,-3 8 0,-3-1 0,-4-7 0,-3-8 0,0-7 0,0-4 0,9-6 0,10-8 0,9-10 0,2-4 0,-5 3 0,-7 8 0,-7 9 0,-4 3 0,-2 6 0,-2 9 0,0 8 0,-1 8 0,-1 4 0,-2 0 0,-1-3 0,-2-1 0,0-3 0,-1-4 0,1-8 0,-2-7 0</inkml:trace>
  <inkml:trace contextRef="#ctx0" brushRef="#br0" timeOffset="8909">3848 334 20011,'5'-5'0,"-1"2"2138,5 1-2138,3 2 775,10 0-775,7 0 400,2 0-400,-1-2 1251,-6-2-1251,-4-4 0,-7-4 0,-4-3 0,-5-2 0,-1-1 0,-2 2 0,-2 1 0,-4 2 0,-7 3 0,-8 2 0,-5 3 0,0 4 0,0 0 0,5 1 0,2 1 0,3 3 0,4 7 0,2 9 0,4 9 0,3 8 0,1 5 0,6 0 0,7-3 0,7-4 0,8-9 0,3-6 0,-1-7 0,-2-6 0,-3-4 0,-4-3 0,-9 0 0,-4-1 0</inkml:trace>
  <inkml:trace contextRef="#ctx0" brushRef="#br0" timeOffset="9869">4257 277 24575,'10'7'0,"5"11"0,7 13 0,1 8 0,-4 3 0,-5-2 0,-7-7 0,-4-11 0,-2-14 0,-1-15 0,0-15 0,0-11 0,0-10 0,3-6 0,5-1 0,5 6 0,2 5 0,1 11 0,0 10 0,2 8 0,7 5 0,5 3 0,2 2 0,0 2 0,-4 1 0,-7 1 0,-5 0 0,-6-1 0,-5 2 0,-4 2 0,-1-3 0,0 1 0</inkml:trace>
</inkml:ink>
</file>

<file path=xl/ink/ink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5:58.855"/>
    </inkml:context>
    <inkml:brush xml:id="br0">
      <inkml:brushProperty name="width" value="0.035" units="cm"/>
      <inkml:brushProperty name="height" value="0.035" units="cm"/>
      <inkml:brushProperty name="color" value="#E71224"/>
    </inkml:brush>
  </inkml:definitions>
  <inkml:trace contextRef="#ctx0" brushRef="#br0">1 293 24575,'6'3'0,"9"-1"0,14-2 0,12 0 0,7 0 0,1 0 0,-6 0 0,-8 0 0,-7 0 0,-10 0 0,-9 0 0,-5 0 0</inkml:trace>
  <inkml:trace contextRef="#ctx0" brushRef="#br0" timeOffset="1187">654 150 24575,'14'0'0,"10"0"0,11 0 0,12 0 0,1 0 0,-6 0 0,-7-1 0,-12-2 0,-10-3 0,-6-3 0,-5-5 0,-2-3 0,-1-4 0,-4-1 0,-6 1 0,-6 4 0,-6 5 0,-8 7 0,-8 3 0,-5 5 0,-2 10 0,4 10 0,6 12 0,10 6 0,10-1 0,9 2 0,5-2 0,4-1 0,7-4 0,10-5 0,11-5 0,10-7 0,5-4 0,4-7 0,0-5 0,-5-7 0,-11-3 0,-9-1 0,-9 0 0,-7 5 0,-3 1 0</inkml:trace>
</inkml:ink>
</file>

<file path=xl/ink/ink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6:04.617"/>
    </inkml:context>
    <inkml:brush xml:id="br0">
      <inkml:brushProperty name="width" value="0.035" units="cm"/>
      <inkml:brushProperty name="height" value="0.035" units="cm"/>
      <inkml:brushProperty name="color" value="#E71224"/>
    </inkml:brush>
  </inkml:definitions>
  <inkml:trace contextRef="#ctx0" brushRef="#br0">2 220 24575,'-2'6'0,"4"14"0,5 15 0,1 15 0,-2 5 0,-1-4 0,-2-6 0,1-18 0,4-16 0,6-20 0,6-13 0,2-5 0,-1 3 0,-3 9 0,-2 6 0,-4 7 0,-2 2 0,-1 0 0,-1 2 0,1 3 0,-1 1 0,5 0 0,7-2 0,9-9 0,6-9 0,5-6 0,-2-2 0,-3 7 0,-3 7 0,-5 6 0,-4 3 0,-3 5 0,-3 2 0,-3 3 0,1-1 0,0-1 0,2-1 0,2 0 0,-2-1 0,-2 1 0,-3 4 0,-6 2 0,-2-5 0,-4 0 0</inkml:trace>
  <inkml:trace contextRef="#ctx0" brushRef="#br0" timeOffset="1214">827 385 10783,'6'16'0,"1"3"5016,3 12-5016,1 13 2399,1 17-2399,-3 5 1379,-5 4-1379,-2-8 4998,-2-13-4998,0-9 0,-1-18 0,-1-19 0,-4-23 0,-1-27 0,1-21 0,2-14 0,4-4 0,1 7 0,3 13 0,2 19 0,4 18 0,2 10 0,3 9 0,5 6 0,2 2 0,4 2 0,2 1 0,-2 3 0,0 5 0,-6 6 0,-4 3 0,-5 0 0,-4 1 0,-4-1 0,-1 1 0,-5-1 0,-6 0 0,-9-3 0,-9-1 0,-4-4 0,-1-3 0,1-1 0,5-3 0,3-1 0,8-2 0,4 0 0,6 0 0,2 0 0</inkml:trace>
  <inkml:trace contextRef="#ctx0" brushRef="#br0" timeOffset="1866">1410 0 24575,'0'49'0,"0"9"0,0 15 0,0 5 0,0-2 0,0-9 0,0-9 0,0-17 0,0-13 0,0-11 0,0-9 0,0-4 0</inkml:trace>
  <inkml:trace contextRef="#ctx0" brushRef="#br0" timeOffset="2654">1808 424 24575,'-4'-3'0,"-1"1"0,0 7 0,1 10 0,2 14 0,2 12 0,0 6 0,1-2 0,10-10 0,21-12 0,24-13 0,16-17 0,2-20 0,-10-16 0,-16-10 0,-15 3 0,-18 9 0,-12 6 0,-14 8 0,-12 7 0,-9 7 0,-6 6 0,2 4 0,2 2 0,2 7 0,2 6 0,3 6 0,6 0 0,6-3 0,5-4 0,6-7 0,1 0 0</inkml:trace>
  <inkml:trace contextRef="#ctx0" brushRef="#br0" timeOffset="3724">2334 381 24575,'0'7'0,"0"5"0,0 9 0,3 9 0,3 4 0,4-3 0,4-9 0,4-9 0,1-6 0,3-5 0,-1-7 0,-3-7 0,-3-10 0,-5-6 0,-4-1 0,-2 5 0,-2 7 0,-1 8 0,2 12 0,5 16 0,4 17 0,3 16 0,0 10 0,-2 7 0,-3 6 0,-5 2 0,-8-3 0,-10-2 0,-13-6 0,-11-9 0,-7-7 0,-1-12 0,1-14 0,5-12 0,9-8 0,7-7 0,9-6 0,5-3 0,4-4 0,3 2 0,1 3 0,0-1 0,1 7 0,0 0 0</inkml:trace>
  <inkml:trace contextRef="#ctx0" brushRef="#br0" timeOffset="4936">2684 416 24575,'12'0'0,"8"0"0,8 0 0,12 0 0,3 0 0,-2-1 0,-7-1 0,-11-1 0,-10-1 0,-7 1 0,-8-2 0,-6 0 0,-8-4 0,-4 0 0,-4 0 0,1 1 0,3 4 0,4 0 0,3 2 0,3 5 0,4 7 0,2 10 0,3 9 0,1 2 0,0-1 0,1-7 0,3-5 0,3-5 0,4-5 0,2-2 0,2-1 0,2-2 0,0 0 0,3-2 0,2-1 0,-1-2 0,-2-1 0,-9 0 0,-5 1 0</inkml:trace>
  <inkml:trace contextRef="#ctx0" brushRef="#br0" timeOffset="5949">3198 475 24575,'10'0'0,"12"-3"0,12-7 0,11-7 0,5-4 0,-7 1 0,-9 6 0,-15 6 0,-9 2 0,-5 2 0,-4-3 0,0-3 0,-1-2 0,-6-1 0,-6 2 0,-7 0 0,-10 4 0,-2 3 0,-4 3 0,1 9 0,4 9 0,5 11 0,6 12 0,8 5 0,5 4 0,4 0 0,4-5 0,7-10 0,10-7 0,10-10 0,8-7 0,7-4 0,0-5 0,2-1 0,-6 0 0,-9-2 0,-8-2 0,-9 0 0,-7 1 0,-4 2 0</inkml:trace>
</inkml:ink>
</file>

<file path=xl/ink/ink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6:13.379"/>
    </inkml:context>
    <inkml:brush xml:id="br0">
      <inkml:brushProperty name="width" value="0.035" units="cm"/>
      <inkml:brushProperty name="height" value="0.035" units="cm"/>
      <inkml:brushProperty name="color" value="#E71224"/>
    </inkml:brush>
  </inkml:definitions>
  <inkml:trace contextRef="#ctx0" brushRef="#br0">1 0 24575,'32'0'0,"14"0"0,17 0 0,6 0 0,-2 0 0,-14 0 0,-15 0 0,-13 0 0,-17 0 0,-3 0 0</inkml:trace>
</inkml:ink>
</file>

<file path=xl/ink/ink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6:14.329"/>
    </inkml:context>
    <inkml:brush xml:id="br0">
      <inkml:brushProperty name="width" value="0.035" units="cm"/>
      <inkml:brushProperty name="height" value="0.035" units="cm"/>
      <inkml:brushProperty name="color" value="#E71224"/>
    </inkml:brush>
  </inkml:definitions>
  <inkml:trace contextRef="#ctx0" brushRef="#br0">246 7 24575,'-22'-3'0,"5"1"0,-5 1 0,1 1 0,-1 0 0,-2 0 0,0 2 0,0 8 0,5 7 0,6 7 0,7 3 0,7 0 0,7-3 0,14-4 0,11-2 0,6-3 0,-2 3 0,-8 2 0,-7-1 0,-4 4 0,-6 0 0,-2 2 0,-2 2 0,-2-3 0,-3 0 0,-2-4 0,-4-2 0,-7-1 0,-8-7 0,-11-2 0,-9-5 0,-2-3 0,-2-5 0,5-5 0,8-2 0,9 1 0,10 6 0,6 3 0</inkml:trace>
</inkml:ink>
</file>

<file path=xl/ink/ink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6:15.342"/>
    </inkml:context>
    <inkml:brush xml:id="br0">
      <inkml:brushProperty name="width" value="0.035" units="cm"/>
      <inkml:brushProperty name="height" value="0.035" units="cm"/>
      <inkml:brushProperty name="color" value="#E71224"/>
    </inkml:brush>
  </inkml:definitions>
  <inkml:trace contextRef="#ctx0" brushRef="#br0">5 0 24575,'-3'18'0,"1"17"0,2 31 0,0 30 0,0-37 0,0 1 0,0 2 0,0 0 0,0-5 0,0-2 0,0 37 0,0-28 0,0-23 0,0-21 0,1-18 0,6-14 0,8-12 0,6-10 0,5-2 0,-3 6 0,-3 8 0,0 11 0,0 6 0,3 6 0,0 9 0,-2 11 0,-1 11 0,-3 5 0,-3 0 0,-4-5 0,-3-8 0,-2-5 0,-3-4 0,0-4 0,0-1 0,-1 0 0,1-6 0,-2 1 0</inkml:trace>
</inkml:ink>
</file>

<file path=xl/ink/ink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6:15.982"/>
    </inkml:context>
    <inkml:brush xml:id="br0">
      <inkml:brushProperty name="width" value="0.035" units="cm"/>
      <inkml:brushProperty name="height" value="0.035" units="cm"/>
      <inkml:brushProperty name="color" value="#E71224"/>
    </inkml:brush>
  </inkml:definitions>
  <inkml:trace contextRef="#ctx0" brushRef="#br0">0 165 24575,'3'29'0,"-1"-1"0,-1 5 0,-1-4 0,0-4 0,0-7 0,0-10 0,0-18 0,0-23 0,0 12 0,0-6 0</inkml:trace>
  <inkml:trace contextRef="#ctx0" brushRef="#br0" timeOffset="267">6 0 24575,'0'0'0</inkml:trace>
  <inkml:trace contextRef="#ctx0" brushRef="#br0" timeOffset="1412">280 182 24575,'0'12'0,"0"5"0,1 13 0,1 12 0,-1 17 0,3 8 0,-2 4 0,0 0 0,0-6 0,-2-11 0,0-11 0,0-20 0,0-22 0,0-25 0,0-27 0,0-19 0,0-13 0,3 5 0,2 8 0,4 14 0,1 19 0,0 11 0,-1 9 0,2 3 0,3 2 0,0 1 0,2 2 0,-2 3 0,-2 3 0,-2 2 0,0 1 0,1 2 0,1 6 0,0 4 0,-2 3 0,-1 1 0,-2-1 0,-3-1 0,-2 1 0,-2 2 0,-3 0 0,-4 0 0,-5-2 0,-8-2 0,-5-4 0,-2-2 0,-2-4 0,3-2 0,6-1 0,3 0 0,7-3 0,5 2 0,2-2 0</inkml:trace>
  <inkml:trace contextRef="#ctx0" brushRef="#br0" timeOffset="2870">765 179 24575,'3'89'0,"-1"-3"0,-2-26 0,0 1 0,0-5 0,0-11 0,0-15 0,0-15 0,-1-12 0,0-10 0,-5-11 0,-4-16 0,-2-14 0,-1-10 0,2-9 0,5 1 0,3 1 0,2 7 0,1 13 0,0 10 0,1 12 0,2 8 0,5 6 0,5 5 0,7 1 0,5 1 0,1 0 0,1 1 0,-2 1 0,-5 0 0,-4 0 0,-3 0 0,-3 3 0,-3 5 0,-3 5 0,-1 3 0,-3 1 0,0 0 0,-1 0 0,-2 2 0,-6 1 0,-4 1 0,-4-2 0,-3-2 0,-1-3 0,-1-3 0,0-1 0,3-4 0,4-3 0,8-1 0,2-2 0</inkml:trace>
  <inkml:trace contextRef="#ctx0" brushRef="#br0" timeOffset="3947">1106 173 24575,'16'0'0,"10"0"0,13 0 0,7-4 0,-5-2 0,-8-1 0,-11 0 0,-10 1 0,-7 1 0,-5 0 0,-5-2 0,-3 1 0,-7-3 0,-8 3 0,-6 2 0,-5 2 0,0 2 0,5 0 0,4 2 0,6 2 0,7 4 0,3 5 0,6 4 0,1 6 0,2 3 0,0 1 0,3-1 0,4-3 0,4-4 0,8-3 0,5-2 0,3-3 0,1-2 0,-2-3 0,-6-3 0,-6-3 0,-7 0 0,-3 0 0</inkml:trace>
  <inkml:trace contextRef="#ctx0" brushRef="#br0" timeOffset="5098">1547 180 24575,'7'0'0,"3"0"0,4 2 0,5 10 0,4 10 0,3 13 0,-4 3 0,-4-5 0,-8-8 0,-7-11 0,-1-6 0,-2-13 0,0-16 0,0-17 0,-1-13 0,-1-4 0,0 8 0,0 8 0,2 11 0,2 8 0,7 4 0,9 5 0,9 2 0,8 2 0,2 2 0,0 3 0,-3 2 0,-4 0 0,-4-1 0,-6 1 0,-4 1 0,-4 0 0,-4 2 0,-4 0 0,-3 1 0,-1-1 0,0-1 0</inkml:trace>
</inkml:ink>
</file>

<file path=xl/ink/ink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6:32.934"/>
    </inkml:context>
    <inkml:brush xml:id="br0">
      <inkml:brushProperty name="width" value="0.035" units="cm"/>
      <inkml:brushProperty name="height" value="0.035" units="cm"/>
      <inkml:brushProperty name="color" value="#E71224"/>
    </inkml:brush>
  </inkml:definitions>
  <inkml:trace contextRef="#ctx0" brushRef="#br0">44 81 24575,'0'-8'0,"0"-5"0,0-4 0,0-2 0,0 3 0,0 8 0,0 11 0,0 16 0,0 10 0,0 7 0,0 3 0,-2 0 0,-3-4 0,-4-4 0,-2-7 0,2-6 0,2-5 0,6-5 0,10-4 0,9-1 0,9-4 0,0-2 0,-4 0 0,-6-1 0,-10 3 0,-2 0 0</inkml:trace>
  <inkml:trace contextRef="#ctx0" brushRef="#br0" timeOffset="2108">4875 193 24575,'2'-12'0,"2"-4"0,1-3 0,-1-4 0,-2 1 0,-1 1 0,-1 6 0,0 5 0,0 9 0,0 10 0,0 12 0,0 9 0,0 9 0,-2 3 0,-1 0 0,-4-3 0,0-7 0,-1-8 0,3-8 0,1-5 0,0-5 0,-1-3 0,-3-2 0,-3-1 0,-2 0 0,0 0 0,2 0 0,1 0 0,6 1 0,9 0 0,12 2 0,12 2 0,6-1 0,-1 0 0,-4-1 0,-7-2 0,-6 1 0,-6-2 0,-5 0 0,-2 0 0</inkml:trace>
</inkml:ink>
</file>

<file path=xl/ink/ink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6:38.977"/>
    </inkml:context>
    <inkml:brush xml:id="br0">
      <inkml:brushProperty name="width" value="0.035" units="cm"/>
      <inkml:brushProperty name="height" value="0.035" units="cm"/>
      <inkml:brushProperty name="color" value="#E71224"/>
    </inkml:brush>
  </inkml:definitions>
  <inkml:trace contextRef="#ctx0" brushRef="#br0">53 44 24575,'3'-8'0,"1"-1"0,0 1 0,-1 0 0,-2 1 0,-1 4 0,1 13 0,-1 8 0,1 15 0,1 1 0,0 0 0,-1-3 0,0-7 0,-1-8 0,0-4 0,0-3 0,0-2 0,0-2 0,-1 0 0,-2-2 0,-3 1 0,-3 0 0,-3 0 0,0-1 0,1-2 0,1-1 0,3 0 0,3 1 0,5 1 0,10 3 0,11 2 0,7 1 0,3-1 0,-3-3 0,-7-2 0,-6-2 0,-5 0 0,-2 0 0,-2 2 0,0 2 0,-1 0 0,0-1 0,-1-1 0,-1-2 0,0 0 0,-1 0 0,-1 0 0</inkml:trace>
</inkml:ink>
</file>

<file path=xl/ink/ink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6:44.591"/>
    </inkml:context>
    <inkml:brush xml:id="br0">
      <inkml:brushProperty name="width" value="0.035" units="cm"/>
      <inkml:brushProperty name="height" value="0.035" units="cm"/>
      <inkml:brushProperty name="color" value="#E71224"/>
    </inkml:brush>
  </inkml:definitions>
  <inkml:trace contextRef="#ctx0" brushRef="#br0">48 1 24575,'0'22'0,"0"17"0,0 28 0,0 32 0,0-35 0,0 3 0,0 11 0,0 2-462,0 6 0,0 3 462,-1 1 0,-1 1 0,0-3 0,-1-2 0,0-5 0,-1-3 0,0-4 0,1-2 0,0-6 0,0-1 113,1-4 1,-1-2-114,0-1 0,1-1 0,-1-4 0,1-1 0,-2 48 0,3-2 0,1-11 697,0-8-697,0-12 0,0-10 0,0-3 0,0-4 0,0-4 0,0-4 0,0-8 0,0-9 0,0-7 0,0-6 0,0-5 0,0-4 0</inkml:trace>
</inkml:ink>
</file>

<file path=xl/ink/ink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6:55.302"/>
    </inkml:context>
    <inkml:brush xml:id="br0">
      <inkml:brushProperty name="width" value="0.035" units="cm"/>
      <inkml:brushProperty name="height" value="0.035" units="cm"/>
      <inkml:brushProperty name="color" value="#E71224"/>
    </inkml:brush>
  </inkml:definitions>
  <inkml:trace contextRef="#ctx0" brushRef="#br0">69 1 24575,'0'12'0,"0"10"0,0 15 0,0 5 0,0 0 0,0-6 0,0-9 0,0-7 0,0-8 0,0-8 0,0-1 0</inkml:trace>
  <inkml:trace contextRef="#ctx0" brushRef="#br0" timeOffset="735">10 184 24575,'9'0'0,"7"0"0,14 0 0,5 0 0,5 0 0,-2 0 0,-8 0 0,-2 0 0,-8 0 0,-4 0 0,-2 0 0,-3 0 0,-4 0 0,-4 0 0,-3 0 0</inkml:trace>
  <inkml:trace contextRef="#ctx0" brushRef="#br0" timeOffset="1696">227 115 24575,'-14'11'0,"-1"6"0,-5 5 0,-4 5 0,-3-1 0,0-2 0,2-2 0,2-3 0,5-4 0,4-3 0,4-4 0,5-3 0,2-3 0,2-2 0</inkml:trace>
  <inkml:trace contextRef="#ctx0" brushRef="#br0" timeOffset="2535">1 133 24575,'17'3'0,"0"4"0,3 7 0,0 4 0,0 3 0,-1-1 0,-1 2 0,0-2 0,1 1 0,0-2 0,2-2 0,-2-2 0,0-4 0,-5-2 0,-3-3 0,-6-2 0,-2-2 0</inkml:trace>
</inkml:ink>
</file>

<file path=xl/ink/ink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7:02.640"/>
    </inkml:context>
    <inkml:brush xml:id="br0">
      <inkml:brushProperty name="width" value="0.035" units="cm"/>
      <inkml:brushProperty name="height" value="0.035" units="cm"/>
      <inkml:brushProperty name="color" value="#E71224"/>
    </inkml:brush>
  </inkml:definitions>
  <inkml:trace contextRef="#ctx0" brushRef="#br0">322 1 24575,'-11'1'0,"-11"8"0,-11 8 0,-10 12 0,-4 9 0,4 2 0,4-2 0,9-7 0,9-8 0,6-8 0,5-6 0,6-4 0,1-4 0</inkml:trace>
  <inkml:trace contextRef="#ctx0" brushRef="#br0" timeOffset="999">415 1 24575,'12'0'0,"3"1"0,5 3 0,6 7 0,5 7 0,3 8 0,7 4 0,3 1 0,3 0 0,-1-2 0,-3-4 0,-7-5 0,-9-3 0,-6-5 0,-9-4 0,-2 0 0,-2-3 0,-2-1 0,-1-2 0,-2-1 0</inkml:trace>
</inkml:ink>
</file>

<file path=xl/ink/ink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7:05.545"/>
    </inkml:context>
    <inkml:brush xml:id="br0">
      <inkml:brushProperty name="width" value="0.035" units="cm"/>
      <inkml:brushProperty name="height" value="0.035" units="cm"/>
      <inkml:brushProperty name="color" value="#E71224"/>
    </inkml:brush>
  </inkml:definitions>
  <inkml:trace contextRef="#ctx0" brushRef="#br0">24 98 24575,'0'37'0,"0"14"0,0 28 0,0-30 0,0 3 0,0 2 0,0 0 0,0-3 0,0-1 0,0 37 0,0-26 0,0-19 0,0-22 0,0-20 0,-2-22 0,-2-23 0,-1-14 0,-1-13 0,2-5 0,2 2 0,2 0 0,3 10 0,3 13 0,4 12 0,4 9 0,3 8 0,4 6 0,8 6 0,7 4 0,5 3 0,2 2 0,-3 3 0,-9 5 0,-8 7 0,-8 7 0,-7 5 0,-3 0 0,-3 1 0,-4 0 0,-5-2 0,-5 0 0,-7-1 0,-4 0 0,-5-3 0,-3-2 0,0-2 0,-3-5 0,1-3 0,2-4 0,4-3 0,6-1 0,8-1 0,4-1 0,4-1 0,3-2 0,1 2 0,1 1 0</inkml:trace>
  <inkml:trace contextRef="#ctx0" brushRef="#br0" timeOffset="1136">568 269 24575,'6'22'0,"-1"0"0,-5-3 0,0 7 0,0 12 0,0 5 0,0 3 0,0-6 0,0-11 0,0-11 0,0-13 0,-1-11 0,-1-12 0,-1-11 0,0-6 0,1-2 0,1 4 0,1 5 0,0 4 0,3 5 0,6 1 0,11 1 0,9 3 0,8 2 0,4 4 0,-4 3 0,-2 3 0,-8 2 0,-9 1 0,-4 0 0,-7 1 0,-4 2 0,-1-2 0,-1 0 0</inkml:trace>
  <inkml:trace contextRef="#ctx0" brushRef="#br0" timeOffset="2136">1156 283 24575,'-7'3'0,"3"8"0,1 11 0,2 14 0,1 9 0,0 3 0,0-7 0,8-13 0,12-12 0,15-12 0,13-18 0,2-17 0,-6-14 0,-8-9 0,-13 7 0,-8 7 0,-10 9 0,-8 10 0,-12 4 0,-8 5 0,-7 5 0,0 4 0,1 3 0,3 3 0,2 5 0,4 2 0,4 2 0,3-2 0,1-2 0,7-4 0,-1-1 0</inkml:trace>
  <inkml:trace contextRef="#ctx0" brushRef="#br0" timeOffset="3349">1792 0 24575,'0'15'0,"0"10"0,0 19 0,0 10 0,0 11 0,0-3 0,0-8 0,0-10 0,1-17 0,-1-12 0,-3-13 0,-8-7 0,-12-6 0,-11-4 0,-4 1 0,2 4 0,5 4 0,7 3 0,6 2 0,7 1 0,6 5 0,2 8 0,3 12 0,-1 9 0,1 4 0,2-2 0,1-8 0,4-6 0,1-8 0,3-5 0,9-3 0,9-2 0,10-4 0,2-3 0,-4-3 0,-8-1 0,-8 0 0,-8 3 0,-6 2 0,-4 1 0</inkml:trace>
  <inkml:trace contextRef="#ctx0" brushRef="#br0" timeOffset="4137">2027 415 24575,'0'10'0,"0"6"0,0 10 0,2 5 0,3 1 0,6-5 0,8-6 0,6-8 0,4-6 0,5-5 0,0-3 0,-1-7 0,-4-12 0,-7-10 0,-7-11 0,-4-5 0,-5 0 0,-2 1 0,-2 6 0,-1 10 0,-1 7 0,0 11 0,0 6 0</inkml:trace>
  <inkml:trace contextRef="#ctx0" brushRef="#br0" timeOffset="4830">2591 325 24575,'-18'0'0,"-2"0"0,-6 0 0,0 0 0,-5 6 0,12 7 0,3 12 0,13 9 0,3 6 0,0-1 0,1-1 0,5-6 0,8-8 0,9-5 0,10-9 0,7-4 0,8-4 0,-2-6 0,-6-1 0,-11 0 0,-15 1 0,-7 4 0</inkml:trace>
  <inkml:trace contextRef="#ctx0" brushRef="#br0" timeOffset="5631">3077 50 24575,'-3'9'0,"1"12"0,2 27 0,0 35 0,0-32 0,0 1 0,0 2 0,0 1 0,0 43 0,0-26 0,0-16 0,0-20 0,0-14 0,0-6 0,0-2 0,0-3 0,0 1 0,0-2 0,0-3 0,0-3 0,0-1 0</inkml:trace>
  <inkml:trace contextRef="#ctx0" brushRef="#br0" timeOffset="6231">2953 460 24575,'10'0'0,"18"0"0,29 0 0,22 0 0,15 0 0,-2 0 0,-19 0 0,-18 0 0,-31 0 0,-14 0 0</inkml:trace>
</inkml:ink>
</file>

<file path=xl/ink/ink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7:20.231"/>
    </inkml:context>
    <inkml:brush xml:id="br0">
      <inkml:brushProperty name="width" value="0.035" units="cm"/>
      <inkml:brushProperty name="height" value="0.035" units="cm"/>
      <inkml:brushProperty name="color" value="#E71224"/>
    </inkml:brush>
  </inkml:definitions>
  <inkml:trace contextRef="#ctx0" brushRef="#br0">1 0 24575,'30'0'0,"10"0"0,16 0 0,7 0 0,-6 0 0,-7 0 0,-15 0 0,-13 0 0,-9 0 0,-8 0 0,-1 0 0</inkml:trace>
</inkml:ink>
</file>

<file path=xl/ink/ink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7:23.113"/>
    </inkml:context>
    <inkml:brush xml:id="br0">
      <inkml:brushProperty name="width" value="0.035" units="cm"/>
      <inkml:brushProperty name="height" value="0.035" units="cm"/>
      <inkml:brushProperty name="color" value="#E71224"/>
    </inkml:brush>
  </inkml:definitions>
  <inkml:trace contextRef="#ctx0" brushRef="#br0">118 15 24575,'-11'-3'0,"-4"1"0,-8 2 0,-3 0 0,5 2 0,7 5 0,8 8 0,4 5 0,5 5 0,7 1 0,9-2 0,7 0 0,3-2 0,-3 0 0,-4-1 0,-5 0 0,-5 0 0,-5 0 0,-3 0 0,-4 0 0,-6-1 0,-8-1 0,-4-3 0,-3-4 0,-1-5 0,2-3 0,1-3 0,3-2 0,4-1 0,2-1 0,5 0 0,1 2 0</inkml:trace>
  <inkml:trace contextRef="#ctx0" brushRef="#br0" timeOffset="881">404 61 24575,'0'12'0,"0"6"0,0 7 0,0 7 0,0 3 0,0-4 0,0 0 0,6-5 0,4-5 0,7-3 0,4-6 0,1-4 0,0-4 0,-1-2 0,-1-2 0,0-5 0,1-6 0,0-8 0,-3-5 0,-3 0 0,-4 3 0,-3 1 0,-1 3 0,-2-1 0,-3-2 0,0-2 0,-1-1 0,-1 4 0,0 3 0,0 6 0,0 4 0,0 3 0</inkml:trace>
  <inkml:trace contextRef="#ctx0" brushRef="#br0" timeOffset="1841">1069 133 24575,'0'14'0,"0"14"0,0 17 0,0 24 0,0 20 0,0 5 0,0 3 0,0-9 0,0-18 0,0-15 0,0-25 0,-1-26 0,-7-24 0,-6-28 0,-3-14 0,-3-12 0,6-9 0,4-1 0,4 2 0,4 14 0,2 17 0,7 19 0,10 12 0,13 11 0,14 6 0,8 3 0,4 6 0,-3 5 0,-10 5 0,-13 0 0,-11-4 0,-10-2 0,-6 1 0,-16 4 0,-20 2 0,-21 4 0,-18-3 0,-1-5 0,5-5 0,15-6 0,25-2 0,13 0 0</inkml:trace>
  <inkml:trace contextRef="#ctx0" brushRef="#br0" timeOffset="3068">1431 117 24575,'10'5'0,"4"9"0,3 13 0,5 16 0,-2 11 0,-5 12 0,-4 10 0,-2 7 0,-3 5 0,-1-1 0,-2-2 0,-3-15 0,0-14 0,0-19 0,0-17 0,0-12 0,-5-39 0,-4-7 0,-4-43 0,0-5 0,9 36 0,0-1 0,2-5 0,0-1 0,1 4 0,1 0 0,-1 2 0,2 1 0,-1-36 0,4 21 0,5 15 0,4 20 0,5 14 0,2 9 0,2 9 0,3 11 0,2 10 0,-1 9 0,-2 3 0,-5-4 0,-3-7 0,-4-4 0,-5-4 0,-3-2 0,-3 0 0,-7 0 0,-11-1 0,-15 1 0,-15 0 0,-6-3 0,4-5 0,8-3 0,22-3 0,7 0 0</inkml:trace>
  <inkml:trace contextRef="#ctx0" brushRef="#br0" timeOffset="3826">1839 7 24575,'0'13'0,"0"7"0,0 12 0,0 10 0,0 11 0,0 9 0,0 1 0,0-4 0,0-15 0,1-13 0,1-10 0,0-12 0,0-2 0</inkml:trace>
  <inkml:trace contextRef="#ctx0" brushRef="#br0" timeOffset="4322">2069 332 24575,'0'22'0,"0"2"0,0 8 0,0-3 0,0-5 0,0-11 0,0-17 0,0-8 0</inkml:trace>
  <inkml:trace contextRef="#ctx0" brushRef="#br0" timeOffset="4574">2069 1 24575,'0'0'0</inkml:trace>
  <inkml:trace contextRef="#ctx0" brushRef="#br0" timeOffset="5362">2380 297 24575,'23'0'0,"10"-2"0,14-8 0,10-8 0,-7-6 0,-8 1 0,-16 5 0,-15 6 0,-10 4 0,-13 2 0,-13 2 0,-17 1 0,-11 2 0,0 1 0,4 6 0,11 9 0,13 10 0,9 13 0,11 4 0,6 8 0,12-2 0,13-3 0,14-7 0,6-12 0,-3-7 0,-5-7 0,-8-6 0,-14-4 0,-5-1 0</inkml:trace>
  <inkml:trace contextRef="#ctx0" brushRef="#br0" timeOffset="6254">2913 234 24575,'18'26'0,"6"7"0,6 8 0,1 5 0,-5-4 0,-6-7 0,-4-9 0,-9-14 0,-7-16 0,-1-13 0,-2-14 0,2-6 0,1-5 0,1 3 0,9 0 0,9 6 0,7 7 0,4 7 0,-5 10 0,-3 6 0,-3 1 0,-5 4 0,-2 3 0,-2 1 0,-3 2 0,-2-4 0,-3-1 0</inkml:trace>
</inkml:ink>
</file>

<file path=xl/ink/ink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7:31.462"/>
    </inkml:context>
    <inkml:brush xml:id="br0">
      <inkml:brushProperty name="width" value="0.035" units="cm"/>
      <inkml:brushProperty name="height" value="0.035" units="cm"/>
      <inkml:brushProperty name="color" value="#E71224"/>
    </inkml:brush>
  </inkml:definitions>
  <inkml:trace contextRef="#ctx0" brushRef="#br0">1 2 24575,'19'0'0,"8"0"0,12 0 0,2 0 0,-7 0 0,-9 0 0,-8 0 0,-9-1 0,-2 1 0</inkml:trace>
</inkml:ink>
</file>

<file path=xl/ink/ink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7:32.650"/>
    </inkml:context>
    <inkml:brush xml:id="br0">
      <inkml:brushProperty name="width" value="0.035" units="cm"/>
      <inkml:brushProperty name="height" value="0.035" units="cm"/>
      <inkml:brushProperty name="color" value="#E71224"/>
    </inkml:brush>
  </inkml:definitions>
  <inkml:trace contextRef="#ctx0" brushRef="#br0">382 406 24575,'-32'0'0,"-6"0"0,-8 0 0,-3 4 0,-3 14 0,8 10 0,4 15 0,9 6 0,11-5 0,3-1 0,9-10 0,4-8 0,5-4 0,15-8 0,15-4 0,15-4 0,7-4 0,-4-1 0,-8 0 0,-14 0 0,-13 0 0,-8 0 0</inkml:trace>
  <inkml:trace contextRef="#ctx0" brushRef="#br0" timeOffset="947">804 522 24575,'0'-2'0,"-5"0"0,-9 1 0,-10 1 0,-5 0 0,-1 0 0,6 0 0,6 2 0,5 6 0,6 10 0,3 10 0,2 7 0,2-1 0,0-5 0,1-10 0,6-8 0,9-10 0,7-10 0,3-5 0,-1-4 0,-8 1 0,-3 5 0,-3 6 0,-4 10 0,1 10 0,-1 11 0,2 7 0,2-1 0,-2-5 0,1-7 0,-2-7 0,1-6 0,-1-2 0,-3-4 0,-2 0 0</inkml:trace>
  <inkml:trace contextRef="#ctx0" brushRef="#br0" timeOffset="1572">1115 2 24575,'3'-1'0,"-1"9"0,-1 14 0,-1 29 0,0 28 0,0-28 0,0 2 0,0 2 0,0 0 0,0-3 0,0-1 0,0 35 0,0-24 0,0-18 0,0-24 0,0-10 0</inkml:trace>
  <inkml:trace contextRef="#ctx0" brushRef="#br0" timeOffset="2028">1010 545 24575,'10'0'0,"8"0"0,12 0 0,10 0 0,10 0 0,-4 0 0,-5 0 0,-10 0 0,-10 0 0,-8 0 0,-7 0 0,-4 0 0</inkml:trace>
  <inkml:trace contextRef="#ctx0" brushRef="#br0" timeOffset="2853">1579 587 24575,'9'0'0,"10"0"0,6-2 0,7-6 0,2-8 0,-4-6 0,-4-2 0,-10 3 0,-8 4 0,-5 4 0,-24 2 0,-11 6 0,-23 1 0,-2 5 0,4 4 0,9 3 0,13 3 0,11 4 0,12 4 0,9 6 0,11 8 0,11 3 0,13 0 0,9-6 0,-2-8 0,-1-8 0,-8-7 0,-4-6 0,0-1 0,2-6 0,-13 5 0,-2-5 0</inkml:trace>
  <inkml:trace contextRef="#ctx0" brushRef="#br0" timeOffset="4096">2357 531 24575,'-3'-3'0,"-5"1"0,-7 2 0,-7 0 0,-4 0 0,0 0 0,3 0 0,2 0 0,1 0 0,2 5 0,1 7 0,4 8 0,2 6 0,4 0 0,2-3 0,2-4 0,4-7 0,2-2 0,7-4 0,6-3 0,6 0 0,3-3 0,1 0 0,-2-3 0,-1-3 0,-5-3 0,-5-3 0,-2 3 0,-4 0 0,0 1 0,-3 1 0,-1 1 0,0 1 0,1 2 0,1 6 0,2 11 0,2 12 0,1 13 0,0 11 0,-2 6 0,-2 4 0,-3 1 0,-2-6 0,-2-6 0,-3-11 0,-7-11 0,-8-11 0,-11-8 0,-6-5 0,-3-4 0,2-3 0,8-2 0,9-1 0,9-2 0,6 3 0,3 0 0,2 1 0,0 3 0,0 0 0</inkml:trace>
  <inkml:trace contextRef="#ctx0" brushRef="#br0" timeOffset="5268">2632 634 24575,'-3'5'0,"1"9"0,2 10 0,0 5 0,0-4 0,5-5 0,4-7 0,8-7 0,6-3 0,4-4 0,4-7 0,0-9 0,-2-8 0,-6-6 0,-6-1 0,-6 0 0,-5 3 0,-3 1 0,-2 4 0,-1 4 0,0 6 0,-1 5 0,-5 4 0,-8 3 0,-9 1 0,-10 1 0,-3 0 0,2 0 0,5 0 0,10 0 0,5 1 0,7 3 0,2 2 0,2 0 0,2 0 0,0 0 0,-3 0 0,2-2 0,-2-1 0</inkml:trace>
  <inkml:trace contextRef="#ctx0" brushRef="#br0" timeOffset="6187">3047 500 24575,'0'16'0,"0"11"0,1 13 0,3 6 0,1-4 0,0-12 0,-2-14 0,-2-16 0,-1-15 0,0-14 0,0-7 0,0-4 0,3 1 0,6 4 0,4 6 0,7 8 0,0 8 0,0 5 0,2 4 0,-2 2 0,-3 0 0,-3 2 0,-4 0 0,-2-1 0,-4 1 0,-1-1 0</inkml:trace>
  <inkml:trace contextRef="#ctx0" brushRef="#br0" timeOffset="7711">3519 467 24575,'0'24'0,"0"2"0,0 2 0,0-5 0,0-6 0,0-6 0,0-4 0,0 0 0,0-1 0,0 0 0,0 1 0,0-1 0,0 1 0,0 0 0,0 0 0,0 0 0,0-2 0,0-4 0,0-4 0</inkml:trace>
  <inkml:trace contextRef="#ctx0" brushRef="#br0" timeOffset="10245">3570 535 24575,'0'10'0,"0"6"0,0 10 0,0 9 0,0 3 0,-1-4 0,0-8 0,4-10 0,2-5 0,4-5 0,2-3 0,2-2 0,2-1 0,4-3 0,5-7 0,3-12 0,1-9 0,-2-8 0,-5-1 0,-5 5 0,-4 5 0,-6 9 0,-1 7 0,-4 7 0,-1 10 0,0 13 0,0 13 0,2 9 0,1 6 0,3 3 0,-1 0 0,-2-3 0,-1-4 0,-2-5 0,-1-4 0,-4-4 0,-4-5 0,-5-3 0,-5-3 0,-2-2 0,-2-2 0,1-3 0,-3-2 0,0-2 0,0-3 0,2-1 0,4-1 0,2 0 0,5 0 0,3 0 0,3-1 0,3-13 0,1 9 0,2-9 0</inkml:trace>
</inkml:ink>
</file>

<file path=xl/ink/ink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8:20.414"/>
    </inkml:context>
    <inkml:brush xml:id="br0">
      <inkml:brushProperty name="width" value="0.035" units="cm"/>
      <inkml:brushProperty name="height" value="0.035" units="cm"/>
    </inkml:brush>
  </inkml:definitions>
  <inkml:trace contextRef="#ctx0" brushRef="#br0">49 66 12124,'-12'0'0,"3"0"4794,-1 0-4794,4 4 2166,1 7-2166,2 17 1217,1 22-1217,1 16 4274,0 10-4274,1 0 0,1-8 0,10-9 0,15-18 0,18-20 0,14-20 0,3-24 0,-3-16 0,-13-10 0,-11-1 0,-15 6 0,-10 8 0,-12 5 0,-15 3 0,-12 3 0,-12 5 0,0 3 0,4 5 0,7 4 0,10 4 0,7 3 0,6 1 0,1 0 0,2 0 0,0 0 0,3 0 0,0 0 0</inkml:trace>
  <inkml:trace contextRef="#ctx0" brushRef="#br0" timeOffset="1120">561 292 24575,'3'16'0,"1"-1"0,1 2 0,0-4 0,2-1 0,0-2 0,-1 1 0,1 0 0,1 4 0,0 1 0,-1 2 0,0 0 0,-2 1 0,0 3 0,0 1 0,0 2 0,0 0 0,-2-5 0,2-2 0,-2-8 0,-2-8 0,1-9 0,-2-8 0,0-3 0,0-5 0,0-3 0,0-5 0,0-1 0,1-1 0,4 3 0,5 7 0,8 7 0,6 6 0,6 4 0,4 3 0,1 2 0,-2 1 0,-6 0 0,-6 1 0,-6 2 0,-8-2 0,-3 2 0</inkml:trace>
  <inkml:trace contextRef="#ctx0" brushRef="#br0" timeOffset="2241">1394 0 24575,'0'33'0,"0"13"0,0 20 0,0 18 0,1 0 0,4-3 0,4-12 0,1-20 0,0-12 0,-5-20 0,-10-14 0,-9-10 0,-13-7 0,-12-3 0,-1 3 0,2 4 0,11 5 0,8 3 0,4 6 0,3 10 0,2 12 0,2 12 0,4 4 0,2-3 0,3-8 0,7-10 0,12-9 0,12-14 0,10-13 0,3-14 0,-7-7 0,-8 2 0,-9 7 0,-8 10 0,-6 8 0,-3 4 0</inkml:trace>
  <inkml:trace contextRef="#ctx0" brushRef="#br0" timeOffset="3162">1758 553 24575,'20'0'0,"9"-1"0,9-5 0,5-9 0,-3-11 0,-7-7 0,-8-4 0,-10 3 0,-9 6 0,-5 7 0,-10 8 0,-10 4 0,-12 5 0,-7 3 0,0 1 0,6 1 0,9 6 0,5 8 0,8 14 0,3 10 0,3 10 0,4 3 0,0 1 0,0-2 0,4-5 0,6-8 0,4-9 0,9-11 0,7-7 0,5-8 0,1-5 0,-1-7 0,-8-1 0,-8 1 0,-8 5 0,-8 3 0</inkml:trace>
  <inkml:trace contextRef="#ctx0" brushRef="#br0" timeOffset="4041">2276 476 24575,'6'25'0,"4"5"0,8 7 0,8 3 0,-1-2 0,-1-4 0,-4-7 0,-7-9 0,-4-9 0,-4-7 0,-6-10 0,-1-10 0,-2-14 0,1-13 0,2-6 0,1-2 0,2 8 0,5 11 0,7 11 0,6 11 0,5 6 0,0 4 0,1 2 0,-2 2 0,-5 1 0,-5 0 0,-3-1 0,-5 0 0,-2-2 0,-3 0 0</inkml:trace>
</inkml:ink>
</file>

<file path=xl/ink/ink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8:25.949"/>
    </inkml:context>
    <inkml:brush xml:id="br0">
      <inkml:brushProperty name="width" value="0.035" units="cm"/>
      <inkml:brushProperty name="height" value="0.035" units="cm"/>
    </inkml:brush>
  </inkml:definitions>
  <inkml:trace contextRef="#ctx0" brushRef="#br0">6 1 24575,'-3'15'0,"1"19"0,2 27 0,0 26 0,0-35 0,0 1 0,0 6 0,0 1 0,0-2 0,0-1 0,0-6 0,0-1 0,0 37 0,0-24 0,0-15 0,0-19 0,0-19 0,0-7 0</inkml:trace>
</inkml:ink>
</file>

<file path=xl/ink/ink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8:26.669"/>
    </inkml:context>
    <inkml:brush xml:id="br0">
      <inkml:brushProperty name="width" value="0.035" units="cm"/>
      <inkml:brushProperty name="height" value="0.035" units="cm"/>
    </inkml:brush>
  </inkml:definitions>
  <inkml:trace contextRef="#ctx0" brushRef="#br0">180 107 24575,'-16'0'0,"-5"0"0,-10 3 0,-3 9 0,3 12 0,6 15 0,12 14 0,6 8 0,6 1 0,1-4 0,6-12 0,15-13 0,18-13 0,20-10 0,9-8 0,5-9 0,-6-6 0,-10-5 0,-15 2 0,-21 6 0,-11 6 0</inkml:trace>
  <inkml:trace contextRef="#ctx0" brushRef="#br0" timeOffset="842">708 283 16738,'3'9'0,"-2"3"3448,0 9-3448,-1 10 1347,2 11-1347,4 2 715,7-3-715,7-9 2327,5-11-2327,10-8 0,9-8 0,3-11 0,-1-12 0,-11-13 0,-10-9 0,-8-1 0,-9 6 0,-4 9 0,-4 7 0,-1 2 0,-2 5 0,-2 3 0,2 4 0,0 3 0</inkml:trace>
  <inkml:trace contextRef="#ctx0" brushRef="#br0" timeOffset="1828">1521 228 24575,'-8'-3'0,"-7"1"0,-9 2 0,-4 0 0,3 3 0,6 4 0,7 2 0,3 6 0,4 4 0,2 2 0,2 7 0,1-2 0,9 2 0,10-2 0,14-7 0,14-2 0,0-5 0,-2-1 0,-9 0 0,-10 0 0,-8 4 0,-5 3 0,-3 4 0,-2 2 0,-3 0 0,-3 0 0,-2-4 0,0-2 0,-10-3 0,-11-6 0,-15-3 0,-10-3 0,-3-3 0,4 0 0,11-2 0,9-2 0,14 1 0,5-1 0</inkml:trace>
  <inkml:trace contextRef="#ctx0" brushRef="#br0" timeOffset="2469">2223 1 24575,'0'14'0,"0"16"0,0 20 0,0 13 0,0 7 0,0 1 0,0-1 0,0-1 0,0-5 0,0-10 0,0-11 0,0-12 0,0-17 0,0-7 0</inkml:trace>
  <inkml:trace contextRef="#ctx0" brushRef="#br0" timeOffset="2854">2086 400 24575,'20'0'0,"21"0"0,28 0 0,13 0 0,4 0 0,-18 0 0,-18 0 0,-16 0 0,-22 0 0,-4 0 0</inkml:trace>
  <inkml:trace contextRef="#ctx0" brushRef="#br0" timeOffset="3643">2946 400 24575,'-3'12'0,"2"5"0,-1 10 0,3 2 0,2-2 0,7-4 0,9-9 0,12-7 0,11-5 0,5-5 0,2-6 0,-3-8 0,-11-7 0,-11-6 0,-12 0 0,-12-1 0,-15 2 0,-12 4 0,-10 6 0,-5 8 0,1 5 0,2 4 0,5 4 0,5 4 0,6 6 0,5 1 0,5 0 0,6-3 0,3-6 0,3-1 0</inkml:trace>
  <inkml:trace contextRef="#ctx0" brushRef="#br0" timeOffset="4816">3485 255 24575,'10'12'0,"4"8"0,6 13 0,2 11 0,-2 5 0,-3 5 0,-5-4 0,-6-10 0,-4-14 0,-2-15 0,0-13 0,0-16 0,0-11 0,0-12 0,1-3 0,2 6 0,5 6 0,5 9 0,4 8 0,4 7 0,4 4 0,1 5 0,1 4 0,-2 6 0,-7 2 0,-3 0 0,-5-4 0,-3-5 0,-1-1 0,2-7 0,3-4 0,0-5 0,3-2 0,1 3 0,0 2 0,3 4 0,2 3 0,2 1 0,0 7 0,-1 9 0,-5 10 0,-2 9 0,-4 2 0,-3-5 0,-2-5 0,-2-6 0,-2-6 0,-1-3 0,0-6 0,0 0 0</inkml:trace>
  <inkml:trace contextRef="#ctx0" brushRef="#br0" timeOffset="5737">4283 441 24575,'18'0'0,"3"-1"0,5-4 0,1-4 0,-1-4 0,-6-3 0,-5-1 0,-6-2 0,-4-1 0,-3 0 0,-1-2 0,-4 3 0,-6 4 0,-10 5 0,-8 4 0,-7 3 0,-1 3 0,2 7 0,4 7 0,9 9 0,8 11 0,7 8 0,4 9 0,4 7 0,7-1 0,5-9 0,5-12 0,3-11 0,8-11 0,13-8 0,12-14 0,6-13 0,-2-7 0,-28 9 0,-9 6 0</inkml:trace>
  <inkml:trace contextRef="#ctx0" brushRef="#br0" timeOffset="6669">4939 301 24575,'-2'11'0,"4"8"0,11 14 0,7 10 0,9 9 0,0 0 0,-1-7 0,-4-8 0,-7-13 0,-5-12 0,-5-9 0,-4-7 0,-2-7 0,-1-10 0,0-6 0,0-9 0,0-7 0,1-1 0,5 3 0,9 4 0,11 8 0,9 9 0,4 7 0,-1 8 0,0 3 0,-5 2 0,-4 2 0,-5 2 0,-6 1 0,-4 1 0,-5-2 0,-6 0 0,-1-2 0,-2 1 0</inkml:trace>
</inkml:ink>
</file>

<file path=xl/ink/ink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8:48.531"/>
    </inkml:context>
    <inkml:brush xml:id="br0">
      <inkml:brushProperty name="width" value="0.035" units="cm"/>
      <inkml:brushProperty name="height" value="0.035" units="cm"/>
    </inkml:brush>
  </inkml:definitions>
  <inkml:trace contextRef="#ctx0" brushRef="#br0">0 1 24575,'33'36'0,"11"12"0,16 22 0,-23-25 0,-1 2 0,1 1 0,-3 0 0,-3 1 0,-2 0 0,17 39 0,-18-19 0,-9-13 0,-9-17 0,-5-12 0,-3-5 0,-1-1 0,-2 5 0,-4 8 0,-5 9 0,-3 5 0,-1 3 0,7-22 0,3-6 0</inkml:trace>
</inkml:ink>
</file>

<file path=xl/ink/ink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8:49.918"/>
    </inkml:context>
    <inkml:brush xml:id="br0">
      <inkml:brushProperty name="width" value="0.035" units="cm"/>
      <inkml:brushProperty name="height" value="0.035" units="cm"/>
    </inkml:brush>
  </inkml:definitions>
  <inkml:trace contextRef="#ctx0" brushRef="#br0">366 1 24575,'-18'0'0,"3"1"0,-4 8 0,-1 18 0,-6 23 0,-10 27 0,14-30 0,-1 1 0,-3 5 0,0 2 0,1 5 0,1 1 0,2 2 0,3 2 0,4 3 0,3 1 0,5-5 0,2-2 0,2-1 0,1-2 0,1-7 0,2-4 0,7 29 0,9-18 0,11-28 0,-9-16 0,-3-9 0</inkml:trace>
</inkml:ink>
</file>

<file path=xl/ink/ink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8:51.292"/>
    </inkml:context>
    <inkml:brush xml:id="br0">
      <inkml:brushProperty name="width" value="0.035" units="cm"/>
      <inkml:brushProperty name="height" value="0.035" units="cm"/>
    </inkml:brush>
  </inkml:definitions>
  <inkml:trace contextRef="#ctx0" brushRef="#br0">354 0 24575,'-25'0'0,"-9"0"0,-10 0 0,-8 0 0,-1 11 0,5 10 0,4 19 0,14 12 0,14 6 0,9 9 0,13-6 0,12-8 0,18-19 0,15-18 0,9-20 0,-8-16 0,-10-17 0,-9-13 0,-13 3 0,-4 4 0,-9 11 0,-5 10 0,-7 6 0,-11 5 0,-13 5 0,-13 3 0,-7 2 0,-2 1 0,3 0 0,10 1 0,10 2 0,11-1 0,9 1 0,5-2 0</inkml:trace>
</inkml:ink>
</file>

<file path=xl/ink/ink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8:52.213"/>
    </inkml:context>
    <inkml:brush xml:id="br0">
      <inkml:brushProperty name="width" value="0.035" units="cm"/>
      <inkml:brushProperty name="height" value="0.035" units="cm"/>
    </inkml:brush>
  </inkml:definitions>
  <inkml:trace contextRef="#ctx0" brushRef="#br0">6 117 24575,'-3'8'0,"2"-1"0,0 3 0,1-1 0,-1 6 0,1 3 0,0 4 0,0 3 0,4 2 0,11 0 0,23-6 0,29-8 0,22-13 0,5-9 0,-5-15 0,-16-9 0,-17-8 0,-13 0 0,-19 8 0,-11 1 0,-8 7 0,-8 2 0,-10 3 0,-13 5 0,-15 2 0,-9 7 0,-4 2 0,-1 5 0,4 8 0,6 10 0,8 8 0,9 4 0,10-3 0,8-4 0,7-11 0,2-4 0</inkml:trace>
</inkml:ink>
</file>

<file path=xl/ink/ink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8:55.387"/>
    </inkml:context>
    <inkml:brush xml:id="br0">
      <inkml:brushProperty name="width" value="0.035" units="cm"/>
      <inkml:brushProperty name="height" value="0.035" units="cm"/>
    </inkml:brush>
  </inkml:definitions>
  <inkml:trace contextRef="#ctx0" brushRef="#br0">103 1 24575,'19'0'0,"6"0"0,10 0 0,2 0 0,-7 0 0,-10 3 0,-8 4 0,-7 9 0,-3 11 0,-6 8 0,-6 7 0,-5 0 0,-3-3 0,4-9 0,5-9 0,4-9 0,3-5 0,4-1 0,3 1 0,6 2 0,3 7 0,3 8 0,-2 8 0,-1 3 0,-4-3 0,-4-6 0,-4-7 0,-9-4 0,-11-4 0,-10-1 0,-12 1 0,-5 0 0,-1 0 0,3-1 0,10-1 0,10-2 0,9-4 0,9-2 0,1-1 0</inkml:trace>
  <inkml:trace contextRef="#ctx0" brushRef="#br0" timeOffset="986">647 97 24575,'-8'16'0,"0"12"0,0 13 0,3 12 0,3 6 0,2-2 0,4-4 0,11-11 0,15-14 0,16-10 0,6-11 0,-1-5 0,-8-2 0,-7-2 0,-3-5 0,-4-7 0,1-7 0,-3-5 0,-4-2 0,-6-1 0,-6-2 0,-6-3 0,-3-3 0,-6 0 0,-8 2 0,-10 2 0,-10 4 0,-4 5 0,-1 5 0,4 8 0,5 5 0,6 3 0,4 2 0,2 1 0,2 1 0,0 2 0,-1 5 0,1 4 0,5-4 0,4-1 0</inkml:trace>
</inkml:ink>
</file>

<file path=xl/ink/ink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8:58.976"/>
    </inkml:context>
    <inkml:brush xml:id="br0">
      <inkml:brushProperty name="width" value="0.035" units="cm"/>
      <inkml:brushProperty name="height" value="0.035" units="cm"/>
    </inkml:brush>
  </inkml:definitions>
  <inkml:trace contextRef="#ctx0" brushRef="#br0">99 2 24575,'-7'-2'0,"-5"13"0,-3 20 0,-2 22 0,-2 27 0,12-31 0,1 3 0,1 4 0,1 3 0,1 3 0,1 0 0,1-2 0,1-2 0,0-6 0,0-2 0,6 31 0,11-30 0,15-23 0,10-18 0,-2-9 0,-8-1 0,-12 0 0,-9 1 0,-5 4 0,-4 3 0,-2-1 0,0-1 0</inkml:trace>
</inkml:ink>
</file>

<file path=xl/ink/ink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8:59.913"/>
    </inkml:context>
    <inkml:brush xml:id="br0">
      <inkml:brushProperty name="width" value="0.035" units="cm"/>
      <inkml:brushProperty name="height" value="0.035" units="cm"/>
    </inkml:brush>
  </inkml:definitions>
  <inkml:trace contextRef="#ctx0" brushRef="#br0">30 152 24575,'-14'15'0,"5"-3"0,3 4 0,6-2 0,0 9 0,0 6 0,0 5 0,0 3 0,3-6 0,6-7 0,9-10 0,11-8 0,5-12 0,2-11 0,0-13 0,-7-11 0,-3-1 0,-7 3 0,-6 5 0,-5 4 0,-8 0 0,-7-1 0,-12 0 0,-11 3 0,-5 6 0,-1 8 0,7 6 0,7 4 0,9 5 0,4 4 0,6 8 0,2 7 0,1-6 0,0-1 0</inkml:trace>
</inkml:ink>
</file>

<file path=xl/ink/ink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9:04.724"/>
    </inkml:context>
    <inkml:brush xml:id="br0">
      <inkml:brushProperty name="width" value="0.035" units="cm"/>
      <inkml:brushProperty name="height" value="0.035" units="cm"/>
    </inkml:brush>
  </inkml:definitions>
  <inkml:trace contextRef="#ctx0" brushRef="#br0">0 1 24575,'0'13'0,"0"16"0,0 27 0,0 32 0,0-30 0,0 3 0,0 4 0,0 1 0,0 1 0,0-2 0,0-6 0,0-3 0,0 29 0,0-27 0,0-32 0,0-15 0</inkml:trace>
</inkml:ink>
</file>

<file path=xl/ink/ink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9:00.722"/>
    </inkml:context>
    <inkml:brush xml:id="br0">
      <inkml:brushProperty name="width" value="0.035" units="cm"/>
      <inkml:brushProperty name="height" value="0.035" units="cm"/>
    </inkml:brush>
  </inkml:definitions>
  <inkml:trace contextRef="#ctx0" brushRef="#br0">0 292 24575,'15'26'0,"3"6"0,7 12 0,0 2 0,4 2 0,-2-7 0,-3-8 0,-4-6 0,-8-12 0,-5-11 0,-6-13 0,0-13 0,-1-16 0,1-12 0,-1-7 0,3 4 0,6 13 0,3 13 0,5 11 0,0 10 0,1 4 0,5 2 0,1 1 0,-10-1 0,-3 1 0</inkml:trace>
  <inkml:trace contextRef="#ctx0" brushRef="#br0" timeOffset="1480">975 0 24575,'2'15'0,"0"12"0,-2 19 0,0 17 0,0 12 0,0-4 0,1-4 0,1-12 0,0-17 0,2-14 0,-3-17 0,-6-9 0,-11-7 0,-12 1 0,-13 2 0,-8 2 0,0 4 0,8 3 0,13 7 0,15 7 0,7 6 0,7 3 0,4 0 0,7-3 0,7-5 0,5-5 0,3-8 0,-1-4 0,3-10 0,1-9 0,3-6 0,-15 7 0,-3 5 0</inkml:trace>
  <inkml:trace contextRef="#ctx0" brushRef="#br0" timeOffset="2322">1207 440 24575,'13'0'0,"8"-3"0,15-6 0,10-11 0,-1-11 0,-2-4 0,-13 0 0,-11 4 0,-9 6 0,-7 7 0,-3 8 0,-3 5 0,-5 3 0,-6 1 0,-4 4 0,-4 11 0,1 10 0,-2 13 0,2 6 0,6 4 0,6 2 0,6 0 0,6-3 0,8-8 0,16-10 0,15-11 0,10-8 0,-1-12 0,-6-8 0,-10-1 0,-18 3 0,-6 4 0</inkml:trace>
  <inkml:trace contextRef="#ctx0" brushRef="#br0" timeOffset="3268">1765 344 24575,'0'19'0,"6"9"0,2 10 0,6 4 0,1 3 0,-2-5 0,-2-4 0,-4-14 0,-2-19 0,-3-30 0,-1-23 0,-1-15 0,3-3 0,5 13 0,5 11 0,5 16 0,5 12 0,3 9 0,3 4 0,1 2 0,1 1 0,-3 0 0,-3 0 0,-5 0 0,-3 0 0,-2 0 0,-6 0 0,-2 0 0</inkml:trace>
</inkml:ink>
</file>

<file path=xl/ink/ink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9:07.272"/>
    </inkml:context>
    <inkml:brush xml:id="br0">
      <inkml:brushProperty name="width" value="0.035" units="cm"/>
      <inkml:brushProperty name="height" value="0.035" units="cm"/>
    </inkml:brush>
  </inkml:definitions>
  <inkml:trace contextRef="#ctx0" brushRef="#br0">0 155 24575,'28'0'0,"11"0"0,12 0 0,7 0 0,-3 0 0,-7 0 0,-10 0 0,-11 0 0,-15 0 0,-6 0 0</inkml:trace>
  <inkml:trace contextRef="#ctx0" brushRef="#br0" timeOffset="960">362 0 24575,'0'11'0,"0"9"0,0 11 0,0 9 0,0 4 0,0-2 0,0-2 0,0-10 0,0-9 0,0-12 0,0-10 0,0-12 0,0-14 0,0-11 0,0-6 0,0 3 0,0 12 0,0 10 0,1 10 0,3 5 0,7 7 0,8 12 0,9 10 0,2 9 0,0 4 0,-6-2 0,-7-6 0,-6-6 0,-6-7 0,-5-3 0,-6-1 0,-8-2 0,-7 0 0,-4-2 0,3 0 0,5-3 0,9-3 0,3-2 0</inkml:trace>
</inkml:ink>
</file>

<file path=xl/ink/ink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9:09.914"/>
    </inkml:context>
    <inkml:brush xml:id="br0">
      <inkml:brushProperty name="width" value="0.035" units="cm"/>
      <inkml:brushProperty name="height" value="0.035" units="cm"/>
    </inkml:brush>
  </inkml:definitions>
  <inkml:trace contextRef="#ctx0" brushRef="#br0">119 1 24575,'0'25'0,"0"13"0,0 25 0,0 12 0,0 1 0,0-1 0,0-10 0,0-7 0,0-12 0,0-9 0,0-10 0,0-7 0,0-6 0,0-7 0,0-3 0</inkml:trace>
  <inkml:trace contextRef="#ctx0" brushRef="#br0" timeOffset="1172">1 576 24575,'15'0'0,"13"0"0,12 0 0,9 0 0,1 0 0,-8 0 0,-8 0 0,-14 0 0,-11 0 0,-13 0 0,-12 0 0,-13 0 0,-11 0 0,-4 0 0,1 0 0,4 0 0,11 0 0,8 0 0,9 2 0,5 4 0,3 8 0,3 9 0,2 6 0,4 2 0,5-1 0,2-4 0,0-4 0,-3-3 0,0-2 0,-1-1 0,0-2 0,0-1 0,-1-2 0,1-3 0,-1-4 0,0-2 0,-1-2 0,0-4 0,2-8 0,6-10 0,6-10 0,4-1 0,1 2 0,-6 8 0,-5 9 0,-4 6 0,-7 4 0,0 3 0</inkml:trace>
</inkml:ink>
</file>

<file path=xl/ink/ink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9:23.757"/>
    </inkml:context>
    <inkml:brush xml:id="br0">
      <inkml:brushProperty name="width" value="0.035" units="cm"/>
      <inkml:brushProperty name="height" value="0.035" units="cm"/>
    </inkml:brush>
  </inkml:definitions>
  <inkml:trace contextRef="#ctx0" brushRef="#br0">78 27 24575,'-12'6'0,"-1"6"0,-3 12 0,2 11 0,4 7 0,2 8 0,6-2 0,0-3 0,2-6 0,0-9 0,1-4 0,5-7 0,8-3 0,12 0 0,7 2 0,0 1 0,-6-3 0,-10-3 0,-5-4 0,-4-3 0,-3-2 0,-2 0 0,-2-2 0,-1 0 0</inkml:trace>
  <inkml:trace contextRef="#ctx0" brushRef="#br0" timeOffset="1055">329 259 24575,'15'0'0,"0"0"0,0 0 0,-3 0 0,-1 0 0,0 0 0,0 0 0,1 0 0,-1 0 0,-3 3 0,-4 6 0,-2 8 0,-3 6 0,-4 5 0,-6 1 0,-2-3 0,-2-1 0,5-8 0,4-3 0,3-4 0,2-4 0,1 1 0,0-1 0,3-1 0,4-1 0,4-1 0,3-2 0,1-1 0,2 0 0,0 0 0,1-1 0,0-2 0,-2-2 0,-3 0 0,-6 2 0,-4 1 0</inkml:trace>
  <inkml:trace contextRef="#ctx0" brushRef="#br0" timeOffset="1707">767 244 24575,'2'12'0,"1"9"0,-3 12 0,0 11 0,0 5 0,0 1 0,0-7 0,0-12 0,0-13 0,0-10 0,0-4 0</inkml:trace>
  <inkml:trace contextRef="#ctx0" brushRef="#br0" timeOffset="2547">1153 274 24575,'-7'-3'0,"-2"1"0,-6 2 0,-5 0 0,-4-1 0,-2 4 0,3 4 0,7 5 0,8 6 0,6 2 0,1 2 0,1-2 0,0-1 0,1-2 0,4-3 0,6-2 0,7-2 0,8-1 0,0-1 0,-1 1 0,-5-2 0,-4 0 0,-6-1 0,-3-1 0,-2-1 0,-3 0 0,0 0 0,-1 1 0,-3-2 0,-4 0 0,-6 0 0,-6-1 0,-3 0 0,-2-1 0,0 0 0,11-1 0,2 0 0</inkml:trace>
  <inkml:trace contextRef="#ctx0" brushRef="#br0" timeOffset="3454">1486 196 24575,'-12'-3'0,"-7"1"0,-9 4 0,-5 8 0,-1 7 0,7 7 0,7 1 0,9-3 0,6-6 0,4-2 0,3-4 0,4 0 0,10-1 0,13-1 0,9 0 0,5-3 0,-2-1 0,-7 1 0,-6 1 0,-7 2 0,-5 2 0,-6 2 0,-5 1 0,-3 0 0,-5-2 0,-7 0 0,-8-2 0,-7 1 0,-1-2 0,2-1 0,4-2 0,6-2 0,3-2 0,6-1 0,2 0 0</inkml:trace>
  <inkml:trace contextRef="#ctx0" brushRef="#br0" timeOffset="4494">1566 0 24575,'15'0'0,"11"6"0,7 6 0,6 11 0,3 11 0,-5 7 0,0 7 0,-5 2 0,-6 1 0,-6-5 0,-6 0 0,-5-3 0,-3-2 0,-4-1 0,-1-4 0,-1-1 0,0-4 0,-1-6 0,0-2 0,-2-12 0,1 0 0,-1-7 0,0 0 0,1-2 0,0 1 0</inkml:trace>
</inkml:ink>
</file>

<file path=xl/ink/ink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9:38.510"/>
    </inkml:context>
    <inkml:brush xml:id="br0">
      <inkml:brushProperty name="width" value="0.035" units="cm"/>
      <inkml:brushProperty name="height" value="0.035" units="cm"/>
    </inkml:brush>
  </inkml:definitions>
  <inkml:trace contextRef="#ctx0" brushRef="#br0">0 0 24575,'29'15'0,"11"15"0,10 19 0,3 14 0,-4 9 0,-14 6 0,-12 5 0,-11 7 0,-9-2 0,-4-6 0,-3-11 0,-3-17 0,-2-12 0,1-16 0,2-11 0,2-6 0,-1-3 0,2-3 0,0-2 0</inkml:trace>
</inkml:ink>
</file>

<file path=xl/ink/ink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9:30.947"/>
    </inkml:context>
    <inkml:brush xml:id="br0">
      <inkml:brushProperty name="width" value="0.035" units="cm"/>
      <inkml:brushProperty name="height" value="0.035" units="cm"/>
    </inkml:brush>
  </inkml:definitions>
  <inkml:trace contextRef="#ctx0" brushRef="#br0">310 190 24575,'-30'0'0,"-15"5"0,-14 7 0,-2 14 0,9 14 0,17 12 0,15 10 0,12 2 0,20-4 0,17-10 0,18-15 0,15-13 0,2-12 0,1-7 0,-29-2 0,-8-1 0</inkml:trace>
  <inkml:trace contextRef="#ctx0" brushRef="#br0" timeOffset="907">995 326 24575,'-13'0'0,"-9"0"0,-17 0 0,-10 0 0,-6 0 0,4 1 0,11 5 0,10 9 0,13 11 0,8 9 0,9 5 0,17-7 0,22-11 0,24-11 0,20-12 0,-2-10 0,-3-14 0,-16-12 0,-18-5 0,-12 5 0,-15 11 0,-8 12 0,-4 13 0,0 16 0,1 15 0,3 7 0,3 3 0,2-3 0,1-8 0,0-7 0,-1-7 0,-6-10 0,-2-1 0</inkml:trace>
  <inkml:trace contextRef="#ctx0" brushRef="#br0" timeOffset="1521">1683 1 24575,'0'7'0,"0"12"0,0 21 0,0 23 0,0 13 0,0 7 0,0 1 0,0-3 0,0-2 0,0-15 0,0-16 0,0-16 0,0-17 0,0-8 0</inkml:trace>
  <inkml:trace contextRef="#ctx0" brushRef="#br0" timeOffset="1986">1599 495 24575,'34'-2'0,"17"-8"0,17-8 0,3-5 0,-13 3 0,-29 9 0,-14 7 0</inkml:trace>
  <inkml:trace contextRef="#ctx0" brushRef="#br0" timeOffset="3015">2216 520 24575,'14'-2'0,"13"-8"0,20-15 0,12-8 0,11-8 0,-8 3 0,-12 10 0,-16 7 0,-19 11 0,-9 5 0,-8 0 0,-9 1 0,-11 0 0,-13 2 0,-6 0 0,-1 2 0,2 6 0,4 10 0,6 11 0,8 13 0,8 8 0,7 5 0,4 0 0,11-2 0,13-10 0,18-8 0,16-9 0,9-10 0,4-6 0,-2-6 0,-8-5 0,-14-2 0,-14-2 0,-12 2 0,-11 2 0,-3 2 0</inkml:trace>
  <inkml:trace contextRef="#ctx0" brushRef="#br0" timeOffset="4055">3176 401 24575,'-3'-5'0,"-7"2"0,-12 1 0,-10 2 0,-9 0 0,3 0 0,5 0 0,10 10 0,10 11 0,7 17 0,4 13 0,2-2 0,0-7 0,2-16 0,5-11 0,6-10 0,6-14 0,4-10 0,0-12 0,-3-3 0,-4 9 0,-5 10 0,-2 9 0,1 10 0,5 14 0,8 23 0,3 23 0,1 24 0,-16-38 0,-2 1 0,2 48 0,-6-2 0,-5-13 0,-7-19 0,-5-16 0,-10-19 0,-7-14 0,-6-8 0,-6-7 0,1-6 0,0-5 0,7-4 0,8-2 0,9 1 0,8-3 0,6-8 0,2 12 0,1-3 0</inkml:trace>
  <inkml:trace contextRef="#ctx0" brushRef="#br0" timeOffset="4842">3524 469 24575,'-6'-3'0,"-1"1"0,-2 2 0,-2 0 0,0 2 0,3 7 0,4 10 0,3 15 0,1 10 0,12 1 0,10-7 0,16-12 0,12-12 0,6-8 0,1-4 0,-4-6 0,-8-8 0,-15-10 0,-10-9 0,-10-3 0,-6-1 0,-9 3 0,-13 6 0,-13 7 0,-12 4 0,-3 6 0,5 4 0,7 3 0,10 2 0,8 0 0,7 0 0,5 0 0,1 0 0</inkml:trace>
  <inkml:trace contextRef="#ctx0" brushRef="#br0" timeOffset="5655">3998 457 24575,'13'10'0,"2"6"0,5 12 0,3 4 0,-3 2 0,-3-5 0,-7-7 0,-4-9 0,-5-11 0,-1-21 0,0-20 0,2-17 0,6-13 0,9 2 0,9 8 0,5 10 0,-1 17 0,-3 14 0,-4 10 0,-4 6 0,-1 1 0,1 1 0,-2 0 0,1 0 0,-9 0 0,-3 0 0</inkml:trace>
  <inkml:trace contextRef="#ctx0" brushRef="#br0" timeOffset="6682">4751 346 24575,'10'11'0,"6"4"0,9 4 0,8-2 0,0-5 0,-2-5 0,-6-3 0,-7-2 0,-5-3 0,-4-6 0,-2-6 0,-3-4 0,0-3 0,-1 6 0,0 5 0,1 6 0,5 11 0,6 15 0,9 21 0,8 24 0,-1 14 0,-5 8 0,-7-2 0,-10-12 0,-3-12 0,-5-15 0,-12-10 0,-13-4 0,-14-5 0,-10-4 0,3-6 0,9-5 0,17-7 0,10-4 0</inkml:trace>
</inkml:ink>
</file>

<file path=xl/ink/ink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9:46.073"/>
    </inkml:context>
    <inkml:brush xml:id="br0">
      <inkml:brushProperty name="width" value="0.035" units="cm"/>
      <inkml:brushProperty name="height" value="0.035" units="cm"/>
      <inkml:brushProperty name="color" value="#E71224"/>
    </inkml:brush>
  </inkml:definitions>
  <inkml:trace contextRef="#ctx0" brushRef="#br0">0 1 24575,'0'11'0,"0"5"0,0 7 0,0 3 0,0-1 0,0-6 0,0-4 0,0-5 0,0 2 0,0 3 0,0 3 0,0 1 0,0-5 0,0-4 0,0-6 0,0-2 0</inkml:trace>
</inkml:ink>
</file>

<file path=xl/ink/ink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9:47.326"/>
    </inkml:context>
    <inkml:brush xml:id="br0">
      <inkml:brushProperty name="width" value="0.035" units="cm"/>
      <inkml:brushProperty name="height" value="0.035" units="cm"/>
      <inkml:brushProperty name="color" value="#E71224"/>
    </inkml:brush>
  </inkml:definitions>
  <inkml:trace contextRef="#ctx0" brushRef="#br0">1 0 24575,'0'38'0,"0"2"0,0 5 0,0-2 0,0-9 0,0-16 0,0-8 0</inkml:trace>
</inkml:ink>
</file>

<file path=xl/ink/ink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9:52.887"/>
    </inkml:context>
    <inkml:brush xml:id="br0">
      <inkml:brushProperty name="width" value="0.035" units="cm"/>
      <inkml:brushProperty name="height" value="0.035" units="cm"/>
    </inkml:brush>
  </inkml:definitions>
  <inkml:trace contextRef="#ctx0" brushRef="#br0">1 139 24575,'3'-8'0,"7"2"0,18 3 0,23 1 0,11 1 0,10 1 0,-7 0 0,-11 0 0,-12 0 0,-15 1 0,-14 5 0,-7 11 0,-7 16 0,-12 14 0,-8 9 0,-10 2 0,-3-5 0,7-3 0,6-7 0,10-9 0,6-9 0,9-9 0,11-6 0,15-4 0,10-2 0,6-2 0,-2-2 0,-6-2 0,-2-2 0,-3-2 0,-5-2 0,-3 2 0,-5-2 0,-4 0 0,-3 0 0,-6 4 0,-2 1 0</inkml:trace>
  <inkml:trace contextRef="#ctx0" brushRef="#br0" timeOffset="600">913 26 24575,'0'43'0,"0"8"0,0 16 0,0 5 0,0-1 0,0-4 0,0-10 0,0-13 0,0-16 0,0-15 0,0-9 0</inkml:trace>
  <inkml:trace contextRef="#ctx0" brushRef="#br0" timeOffset="1428">1374 164 15394,'0'-9'0,"-4"3"3913,-5 1-3913,-8 4 1585,-10 0-1585,-3 1 853,4 0-853,6 0 2830,9 1-2830,7 3 0,2 2 0,8 8 0,12 6 0,11 2 0,13 2 0,7-4 0,-3 0 0,-5 0 0,-10 1 0,-11-1 0,-4 7 0,-10-6 0,-2 6 0,-11-5 0,-9 2 0,-5 2 0,-4-6 0,4-4 0,3-4 0,4-6 0,2-1 0,-2-3 0,-1-4 0,0-2 0,3-2 0,6 0 0,2 2 0,3 2 0</inkml:trace>
  <inkml:trace contextRef="#ctx0" brushRef="#br0" timeOffset="2376">1956 7 24575,'-30'-3'0,"1"1"0,-5 1 0,8 1 0,5 0 0,8 0 0,3 2 0,2 4 0,3 6 0,2 8 0,2 6 0,1 1 0,5 2 0,9-2 0,11-5 0,10-2 0,6-6 0,-3-1 0,-3 0 0,-8-1 0,-6 1 0,-5 4 0,-4 2 0,-4 4 0,-5 3 0,-1-1 0,-2 0 0,-2-4 0,-9-1 0,-10-2 0,-11-2 0,-8-3 0,-2-4 0,0-4 0,1-4 0,7-1 0,8 0 0,7-1 0,9-3 0,5 2 0,3-1 0</inkml:trace>
</inkm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DE4148-1626-E34C-AC6F-5AD35B8352E0}" name="Orders" displayName="Orders" ref="A1:N831" totalsRowShown="0">
  <autoFilter ref="A1:N831" xr:uid="{01DE4148-1626-E34C-AC6F-5AD35B8352E0}"/>
  <tableColumns count="14">
    <tableColumn id="1" xr3:uid="{AC606588-EB87-2447-9923-A6F19DC06A20}" name="orderID"/>
    <tableColumn id="2" xr3:uid="{DBDA4EB2-3668-B442-ADDF-6BFBF39FDA5F}" name="customerID"/>
    <tableColumn id="3" xr3:uid="{91732B2D-A0B9-3940-A365-96716A622166}" name="employeeID"/>
    <tableColumn id="4" xr3:uid="{253D8D88-F5D0-B843-A6C0-3A1CA4E32BBB}" name="orderDate" dataDxfId="8"/>
    <tableColumn id="5" xr3:uid="{F06AB0D2-586E-B147-A15C-8AB3FE525FEA}" name="requiredDate" dataDxfId="7"/>
    <tableColumn id="6" xr3:uid="{3F6DBB83-A543-E947-889C-63F99B539F22}" name="shippedDate"/>
    <tableColumn id="7" xr3:uid="{22F6953C-2BE1-6040-A690-BF807CA337F4}" name="shipVia"/>
    <tableColumn id="8" xr3:uid="{F6A54CE5-6596-624D-9610-DFC740D4A37A}" name=" freight " dataDxfId="6"/>
    <tableColumn id="9" xr3:uid="{6BEA80D4-9C5B-2C4D-AB94-74D0C7CF0DDA}" name="shipName"/>
    <tableColumn id="10" xr3:uid="{888D6FAD-C0F2-DF49-944D-4B759FE0CD8B}" name="shipAddress"/>
    <tableColumn id="11" xr3:uid="{94949D8D-3F30-AF46-B312-C44259C78825}" name="shipCity"/>
    <tableColumn id="12" xr3:uid="{0E383982-33DA-944A-97BD-945A8223C510}" name="shipRegion"/>
    <tableColumn id="13" xr3:uid="{E6615C95-7811-AA4B-81C0-79E8654FA00C}" name="shipPostalCode"/>
    <tableColumn id="14" xr3:uid="{51B25212-8835-8549-9F45-C9208940156A}" name="shipCountry"/>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B9A8104-47A0-3549-A6EA-688E2F69E2D4}" name="OrderDetails" displayName="OrderDetails" ref="A1:E2156" totalsRowShown="0">
  <autoFilter ref="A1:E2156" xr:uid="{4B9A8104-47A0-3549-A6EA-688E2F69E2D4}"/>
  <tableColumns count="5">
    <tableColumn id="1" xr3:uid="{5503C426-1310-5F48-99E0-924ED9BDF465}" name="orderID"/>
    <tableColumn id="2" xr3:uid="{D574601C-0783-DF4E-922A-8E5B15E0BFF6}" name="productID"/>
    <tableColumn id="3" xr3:uid="{A870784C-B265-A34C-91F9-8B296B9FAF46}" name=" unitPrice " dataDxfId="5"/>
    <tableColumn id="4" xr3:uid="{9D6178BA-4142-6A4A-A09F-27295B4FD8EF}" name=" quantity " dataDxfId="4"/>
    <tableColumn id="5" xr3:uid="{04389240-CF3B-664E-92B7-49E1D32B23C5}" name="discount" dataDxfId="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3CAEE7B-B596-A849-B27D-829AA049AD57}" name="Products" displayName="Products" ref="A1:J78" totalsRowShown="0">
  <autoFilter ref="A1:J78" xr:uid="{B3CAEE7B-B596-A849-B27D-829AA049AD57}"/>
  <tableColumns count="10">
    <tableColumn id="1" xr3:uid="{539699D0-3162-6C48-95D6-CEB58C2F2DBB}" name="productID"/>
    <tableColumn id="2" xr3:uid="{9605F830-0EBA-1F42-8F2C-2EF709CCC57D}" name="productName"/>
    <tableColumn id="3" xr3:uid="{8525126F-1EA8-BC4F-B7FD-F894DD7D30EF}" name="supplierID"/>
    <tableColumn id="4" xr3:uid="{2DF1A90A-CACD-A648-888B-DC7CD0D35111}" name="categoryID"/>
    <tableColumn id="5" xr3:uid="{014E278A-F30B-F24C-8DF3-D763C708A073}" name="quantityPerUnit"/>
    <tableColumn id="6" xr3:uid="{90281F2B-6A6A-2945-A9CB-124E1E479512}" name=" unitPrice " dataDxfId="2"/>
    <tableColumn id="7" xr3:uid="{5280AEE9-AEC3-5247-98EC-424F729A6660}" name="unitsInStock"/>
    <tableColumn id="8" xr3:uid="{31026C30-4E09-524C-9E28-B31ED11EF0EB}" name="unitsOnOrder"/>
    <tableColumn id="9" xr3:uid="{B6E2E17F-8ADD-FF43-B25E-64D18717D003}" name="reorderLevel"/>
    <tableColumn id="10" xr3:uid="{5D7380AC-3701-0441-8F1F-956EC667582B}" name="discontinued"/>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8EA171D-C9E4-AE4D-8C88-2A24AB206F9E}" name="Customers" displayName="Customers" ref="A1:K92" totalsRowShown="0">
  <autoFilter ref="A1:K92" xr:uid="{B8EA171D-C9E4-AE4D-8C88-2A24AB206F9E}"/>
  <tableColumns count="11">
    <tableColumn id="1" xr3:uid="{2AFEBCDA-EF5C-1046-97ED-A13C10B20C19}" name="customerID"/>
    <tableColumn id="2" xr3:uid="{6BF36C69-6265-5B49-A1D0-01393E1B6B07}" name="companyName"/>
    <tableColumn id="3" xr3:uid="{96AD9265-8F79-4A45-8407-9168B1DFBB0F}" name="contactName"/>
    <tableColumn id="4" xr3:uid="{D9DA7AEB-D97D-1047-AF63-368DB43C7F5C}" name="contactTitle"/>
    <tableColumn id="5" xr3:uid="{986F630D-102C-B04C-8741-AF805F0A1FE0}" name="address"/>
    <tableColumn id="6" xr3:uid="{20AD1CFF-6316-CA46-987C-D5CC8D81C203}" name="city"/>
    <tableColumn id="7" xr3:uid="{EDC1ED0F-B869-8A41-AD37-34A483710641}" name="region"/>
    <tableColumn id="8" xr3:uid="{13E7361D-EC6E-584C-A3BF-48E5841F124D}" name="postalCode"/>
    <tableColumn id="9" xr3:uid="{60C5DDE9-E93B-F946-8640-984CFCC09647}" name="country"/>
    <tableColumn id="10" xr3:uid="{AE5806A0-8B62-194D-81F2-A848F1DCFEEF}" name="phone"/>
    <tableColumn id="11" xr3:uid="{36EC5AEF-D072-644E-B9BA-E8B40A7BB860}" name="fax"/>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81A1B7A-6C2A-3B47-90CF-FBC3DC477C8E}" name="Employee" displayName="Employee" ref="A1:AA10" totalsRowShown="0">
  <autoFilter ref="A1:AA10" xr:uid="{181A1B7A-6C2A-3B47-90CF-FBC3DC477C8E}"/>
  <tableColumns count="27">
    <tableColumn id="1" xr3:uid="{02A4BD53-4E9D-3F43-952A-F6A6CBB6EC5B}" name="employeeID"/>
    <tableColumn id="2" xr3:uid="{9AEEAC0B-7BAD-A244-9284-98AE188BCF7C}" name="lastName"/>
    <tableColumn id="3" xr3:uid="{55BA252E-1779-C74A-90C5-001742048CFA}" name="firstName"/>
    <tableColumn id="4" xr3:uid="{A66B32EF-8514-004F-9210-919E03CD7473}" name="title"/>
    <tableColumn id="5" xr3:uid="{73111BAD-E380-BE44-9994-1779C086767B}" name="titleOfCourtesy"/>
    <tableColumn id="6" xr3:uid="{8B2E0906-E2A2-9844-98AB-FD12DF579C56}" name="birthDate" dataDxfId="1"/>
    <tableColumn id="7" xr3:uid="{3F7BBA44-BCF3-484C-A815-F225AF8518DE}" name="hireDate" dataDxfId="0"/>
    <tableColumn id="8" xr3:uid="{27FAA954-06FA-2D45-8B99-9C690A42EC6C}" name="address"/>
    <tableColumn id="9" xr3:uid="{6A053701-A453-694F-B637-AEE830EC93B2}" name="city"/>
    <tableColumn id="10" xr3:uid="{140F076A-9F1C-1746-BFCB-4D30522309E6}" name="region"/>
    <tableColumn id="11" xr3:uid="{90D1FA18-98EB-484A-AF2E-B98B711D21F6}" name="postalCode"/>
    <tableColumn id="12" xr3:uid="{59B551B5-C182-7B4B-8470-ED5283C9E6EB}" name="country"/>
    <tableColumn id="13" xr3:uid="{56871C9D-F327-5C4E-B683-ADECF1EF6C43}" name="homePhone"/>
    <tableColumn id="14" xr3:uid="{AE437C50-AA18-8646-BEDC-01F18D9215A0}" name="extension"/>
    <tableColumn id="15" xr3:uid="{F69F52FF-9EF0-A646-A413-342A4886DA64}" name="notes"/>
    <tableColumn id="16" xr3:uid="{A96C9EF9-1D04-0D4A-8B5B-CCEB2FC72948}" name="reportsTo"/>
    <tableColumn id="17" xr3:uid="{87484999-EEEE-B741-B079-0F3CF4685F84}" name="photoPath"/>
    <tableColumn id="18" xr3:uid="{F3720EDC-597A-0947-ABE6-FC4945D4BE8F}" name="education"/>
    <tableColumn id="19" xr3:uid="{4B73AAB4-C878-D942-A7CB-2ABE77C2DC87}" name="educationDegree"/>
    <tableColumn id="20" xr3:uid="{D12057DD-FEC8-E744-A618-B0CE7EB25B31}" name="educationMode"/>
    <tableColumn id="21" xr3:uid="{BB87356F-EDFA-3F46-9ACE-E32DEE0F097D}" name="specialization"/>
    <tableColumn id="22" xr3:uid="{741E398E-F8B2-0B4B-963C-438083CAEAFE}" name="educationType"/>
    <tableColumn id="23" xr3:uid="{2AAF4216-73FF-0A4B-AE8F-FC986A6EBBB5}" name="educationExtra"/>
    <tableColumn id="24" xr3:uid="{8716ED65-2CFD-2C41-8608-3F5AE82DABFC}" name="french"/>
    <tableColumn id="25" xr3:uid="{053EA7BB-D37D-0E42-BA2C-B4310FE6F247}" name="german"/>
    <tableColumn id="26" xr3:uid="{CE79536E-53FA-2343-A902-1DE6A87ABF8C}" name="international"/>
    <tableColumn id="27" xr3:uid="{F24C7439-5835-B344-B616-7999AE521853}" name="languageDomai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BA04F54-43FC-FF49-A7DD-7A89A6D74383}" name="Shippers" displayName="Shippers" ref="A1:C4" totalsRowShown="0">
  <autoFilter ref="A1:C4" xr:uid="{8BA04F54-43FC-FF49-A7DD-7A89A6D74383}"/>
  <tableColumns count="3">
    <tableColumn id="1" xr3:uid="{FA48A6D0-37EC-F343-84E6-4FDA7F68B4B8}" name="shipperID"/>
    <tableColumn id="2" xr3:uid="{355FA750-DF2F-AF42-8B39-F37B631078B6}" name="companyName"/>
    <tableColumn id="3" xr3:uid="{C4ACB168-A578-EA4A-881B-0D42D8CFE184}" name="phone"/>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323FD17-DBDE-8C4F-80DB-2CFFA97AE04E}" name="Suppliers" displayName="Suppliers" ref="A1:K30" totalsRowShown="0">
  <autoFilter ref="A1:K30" xr:uid="{F323FD17-DBDE-8C4F-80DB-2CFFA97AE04E}"/>
  <tableColumns count="11">
    <tableColumn id="1" xr3:uid="{0EAC8A43-6EB4-F74E-9261-9AADF1B62BC6}" name="supplierID"/>
    <tableColumn id="2" xr3:uid="{5DB5BC99-0144-5446-A1CC-85FA24818E9F}" name="companyName"/>
    <tableColumn id="3" xr3:uid="{77AE45A1-B864-7D45-9D47-C6A110D67316}" name="contactName"/>
    <tableColumn id="4" xr3:uid="{8C63DCD7-CAED-5347-B91F-AA1EEF57C7B0}" name="contactTitle"/>
    <tableColumn id="5" xr3:uid="{AFFF9C46-F3B7-7D46-B663-36AD08879C5B}" name="address"/>
    <tableColumn id="6" xr3:uid="{2C63F34A-78CE-B84E-AEBD-F107B8F9F545}" name="city"/>
    <tableColumn id="7" xr3:uid="{8DE20F92-C607-7049-B59C-C066C53F4D2B}" name="region"/>
    <tableColumn id="8" xr3:uid="{BC72BB46-CC9F-3741-912E-41711F6CA697}" name="postalCode"/>
    <tableColumn id="9" xr3:uid="{BCB9B7A3-898A-154E-801E-7B226DBF28A5}" name="country"/>
    <tableColumn id="10" xr3:uid="{4734B212-2B47-974E-AF01-5244B03946C0}" name="phone"/>
    <tableColumn id="11" xr3:uid="{B1805CC4-08B9-564E-8F79-031000BFB447}" name="fax"/>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7190DB6-209D-1949-B887-CE01A038A2EA}" name="Cetegory" displayName="Cetegory" ref="A1:C9" totalsRowShown="0">
  <autoFilter ref="A1:C9" xr:uid="{07190DB6-209D-1949-B887-CE01A038A2EA}"/>
  <tableColumns count="3">
    <tableColumn id="1" xr3:uid="{96E112A1-2A82-934D-8D61-7012BF446307}" name="categoryID"/>
    <tableColumn id="2" xr3:uid="{7A293848-D381-7A47-B5F3-AADFADB52C3D}" name="categoryName"/>
    <tableColumn id="3" xr3:uid="{A306D78D-0E1D-B348-B751-7E3C69CB301D}" name="descriptio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AD248-91A9-264B-99CF-2ED62CED1D79}">
  <dimension ref="A1"/>
  <sheetViews>
    <sheetView zoomScale="178" workbookViewId="0">
      <selection activeCell="J4" sqref="J4"/>
    </sheetView>
  </sheetViews>
  <sheetFormatPr baseColWidth="10" defaultRowHeight="16" x14ac:dyDescent="0.2"/>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6CF3C-6E0E-EC47-B446-7A607E55D451}">
  <dimension ref="A1:G92"/>
  <sheetViews>
    <sheetView zoomScale="180" workbookViewId="0">
      <selection activeCell="F8" sqref="F8"/>
    </sheetView>
  </sheetViews>
  <sheetFormatPr baseColWidth="10" defaultRowHeight="16" x14ac:dyDescent="0.2"/>
  <cols>
    <col min="2" max="2" width="9.33203125" hidden="1" customWidth="1"/>
    <col min="3" max="3" width="15.1640625" bestFit="1" customWidth="1"/>
    <col min="4" max="4" width="10" bestFit="1" customWidth="1"/>
    <col min="5" max="5" width="8.83203125" bestFit="1" customWidth="1"/>
    <col min="6" max="6" width="40" bestFit="1" customWidth="1"/>
    <col min="7" max="7" width="9.5" bestFit="1" customWidth="1"/>
  </cols>
  <sheetData>
    <row r="1" spans="1:7" x14ac:dyDescent="0.2">
      <c r="A1" s="8" t="s">
        <v>1162</v>
      </c>
      <c r="B1" s="8" t="s">
        <v>1163</v>
      </c>
      <c r="C1" s="8" t="s">
        <v>1164</v>
      </c>
      <c r="D1" s="8" t="s">
        <v>1165</v>
      </c>
      <c r="E1" s="8" t="s">
        <v>1166</v>
      </c>
      <c r="F1" s="8" t="s">
        <v>1167</v>
      </c>
      <c r="G1" s="8" t="s">
        <v>1168</v>
      </c>
    </row>
    <row r="2" spans="1:7" x14ac:dyDescent="0.2">
      <c r="A2" s="5" t="s">
        <v>1169</v>
      </c>
      <c r="B2" t="s">
        <v>1170</v>
      </c>
      <c r="C2" t="s">
        <v>0</v>
      </c>
      <c r="D2" t="s">
        <v>230</v>
      </c>
      <c r="E2">
        <v>0</v>
      </c>
      <c r="F2" t="s">
        <v>1171</v>
      </c>
      <c r="G2">
        <v>1</v>
      </c>
    </row>
    <row r="3" spans="1:7" x14ac:dyDescent="0.2">
      <c r="A3" s="6"/>
      <c r="B3" t="s">
        <v>1172</v>
      </c>
      <c r="C3" t="s">
        <v>1</v>
      </c>
      <c r="D3" t="s">
        <v>230</v>
      </c>
      <c r="E3">
        <v>0</v>
      </c>
      <c r="F3" t="s">
        <v>1173</v>
      </c>
      <c r="G3">
        <v>1</v>
      </c>
    </row>
    <row r="4" spans="1:7" x14ac:dyDescent="0.2">
      <c r="A4" s="6"/>
      <c r="B4" t="s">
        <v>1174</v>
      </c>
      <c r="C4" t="s">
        <v>2</v>
      </c>
      <c r="D4" t="s">
        <v>230</v>
      </c>
      <c r="E4">
        <v>0</v>
      </c>
      <c r="F4" t="s">
        <v>1175</v>
      </c>
      <c r="G4">
        <v>1</v>
      </c>
    </row>
    <row r="5" spans="1:7" x14ac:dyDescent="0.2">
      <c r="A5" s="6"/>
      <c r="B5" t="s">
        <v>1176</v>
      </c>
      <c r="C5" t="s">
        <v>3</v>
      </c>
      <c r="D5" t="s">
        <v>1177</v>
      </c>
      <c r="E5">
        <v>0</v>
      </c>
      <c r="F5" t="s">
        <v>1178</v>
      </c>
      <c r="G5">
        <v>1</v>
      </c>
    </row>
    <row r="6" spans="1:7" x14ac:dyDescent="0.2">
      <c r="A6" s="6"/>
      <c r="B6" t="s">
        <v>1179</v>
      </c>
      <c r="C6" t="s">
        <v>4</v>
      </c>
      <c r="D6" t="s">
        <v>1177</v>
      </c>
      <c r="E6">
        <v>0</v>
      </c>
      <c r="F6" t="s">
        <v>1180</v>
      </c>
      <c r="G6">
        <v>1</v>
      </c>
    </row>
    <row r="7" spans="1:7" x14ac:dyDescent="0.2">
      <c r="A7" s="6"/>
      <c r="B7" t="s">
        <v>1181</v>
      </c>
      <c r="C7" t="s">
        <v>5</v>
      </c>
      <c r="D7" t="s">
        <v>1177</v>
      </c>
      <c r="E7">
        <v>21</v>
      </c>
      <c r="F7" t="s">
        <v>1182</v>
      </c>
      <c r="G7">
        <v>1</v>
      </c>
    </row>
    <row r="8" spans="1:7" x14ac:dyDescent="0.2">
      <c r="A8" s="6"/>
      <c r="B8" t="s">
        <v>1183</v>
      </c>
      <c r="C8" t="s">
        <v>6</v>
      </c>
      <c r="D8" t="s">
        <v>230</v>
      </c>
      <c r="E8">
        <v>0</v>
      </c>
      <c r="F8" t="s">
        <v>1184</v>
      </c>
      <c r="G8">
        <v>1</v>
      </c>
    </row>
    <row r="9" spans="1:7" x14ac:dyDescent="0.2">
      <c r="A9" s="6"/>
      <c r="B9" t="s">
        <v>1185</v>
      </c>
      <c r="C9" t="s">
        <v>7</v>
      </c>
      <c r="D9" t="s">
        <v>1186</v>
      </c>
      <c r="E9">
        <v>0</v>
      </c>
      <c r="F9" t="s">
        <v>1187</v>
      </c>
      <c r="G9">
        <v>1</v>
      </c>
    </row>
    <row r="10" spans="1:7" x14ac:dyDescent="0.2">
      <c r="A10" s="6"/>
      <c r="B10" t="s">
        <v>1188</v>
      </c>
      <c r="C10" s="18" t="s">
        <v>8</v>
      </c>
      <c r="D10" s="18" t="s">
        <v>1189</v>
      </c>
      <c r="E10" s="18">
        <v>0</v>
      </c>
      <c r="F10" s="18" t="s">
        <v>1190</v>
      </c>
      <c r="G10" s="18">
        <v>0</v>
      </c>
    </row>
    <row r="11" spans="1:7" x14ac:dyDescent="0.2">
      <c r="A11" s="6"/>
      <c r="B11" t="s">
        <v>1191</v>
      </c>
      <c r="C11" s="18" t="s">
        <v>9</v>
      </c>
      <c r="D11" s="18" t="s">
        <v>1189</v>
      </c>
      <c r="E11" s="18">
        <v>0</v>
      </c>
      <c r="F11" s="18" t="s">
        <v>1192</v>
      </c>
      <c r="G11" s="18">
        <v>0</v>
      </c>
    </row>
    <row r="12" spans="1:7" x14ac:dyDescent="0.2">
      <c r="A12" s="6"/>
      <c r="B12" t="s">
        <v>1193</v>
      </c>
      <c r="C12" t="s">
        <v>10</v>
      </c>
      <c r="D12" t="s">
        <v>1194</v>
      </c>
      <c r="E12">
        <v>0</v>
      </c>
      <c r="F12" t="s">
        <v>1195</v>
      </c>
      <c r="G12">
        <v>1</v>
      </c>
    </row>
    <row r="13" spans="1:7" x14ac:dyDescent="0.2">
      <c r="A13" s="6"/>
      <c r="B13" t="s">
        <v>1196</v>
      </c>
      <c r="C13" s="18" t="s">
        <v>11</v>
      </c>
      <c r="D13" s="18" t="s">
        <v>1194</v>
      </c>
      <c r="E13" s="18">
        <v>507</v>
      </c>
      <c r="F13" s="18" t="s">
        <v>1197</v>
      </c>
      <c r="G13" s="18">
        <v>0</v>
      </c>
    </row>
    <row r="14" spans="1:7" x14ac:dyDescent="0.2">
      <c r="A14" s="6"/>
      <c r="B14" t="s">
        <v>1198</v>
      </c>
      <c r="C14" s="18" t="s">
        <v>12</v>
      </c>
      <c r="D14" s="18" t="s">
        <v>1189</v>
      </c>
      <c r="E14" s="18">
        <v>19</v>
      </c>
      <c r="F14" s="18" t="s">
        <v>1199</v>
      </c>
      <c r="G14" s="18">
        <v>0</v>
      </c>
    </row>
    <row r="15" spans="1:7" x14ac:dyDescent="0.2">
      <c r="A15" s="7"/>
      <c r="B15" s="4" t="s">
        <v>1200</v>
      </c>
      <c r="C15" s="4" t="s">
        <v>13</v>
      </c>
      <c r="D15" s="4" t="s">
        <v>1194</v>
      </c>
      <c r="E15" s="4">
        <v>0</v>
      </c>
      <c r="F15" s="4" t="s">
        <v>1201</v>
      </c>
      <c r="G15" s="4">
        <v>1</v>
      </c>
    </row>
    <row r="16" spans="1:7" x14ac:dyDescent="0.2">
      <c r="A16" s="14" t="s">
        <v>1202</v>
      </c>
      <c r="B16" s="10" t="s">
        <v>1203</v>
      </c>
      <c r="C16" s="10" t="s">
        <v>0</v>
      </c>
      <c r="D16" s="10" t="s">
        <v>230</v>
      </c>
      <c r="E16" s="10">
        <v>0</v>
      </c>
      <c r="F16" s="10" t="s">
        <v>1171</v>
      </c>
      <c r="G16" s="10">
        <v>1</v>
      </c>
    </row>
    <row r="17" spans="1:7" x14ac:dyDescent="0.2">
      <c r="A17" s="15"/>
      <c r="B17" s="12" t="s">
        <v>1204</v>
      </c>
      <c r="C17" s="12" t="s">
        <v>417</v>
      </c>
      <c r="D17" s="12" t="s">
        <v>230</v>
      </c>
      <c r="E17" s="12">
        <v>0</v>
      </c>
      <c r="F17" s="12" t="s">
        <v>1205</v>
      </c>
      <c r="G17" s="12">
        <v>1</v>
      </c>
    </row>
    <row r="18" spans="1:7" x14ac:dyDescent="0.2">
      <c r="A18" s="15"/>
      <c r="B18" s="12" t="s">
        <v>1206</v>
      </c>
      <c r="C18" s="12" t="s">
        <v>418</v>
      </c>
      <c r="D18" s="12" t="s">
        <v>1186</v>
      </c>
      <c r="E18" s="12">
        <v>0</v>
      </c>
      <c r="F18" s="12" t="s">
        <v>1207</v>
      </c>
      <c r="G18" s="12">
        <v>1</v>
      </c>
    </row>
    <row r="19" spans="1:7" x14ac:dyDescent="0.2">
      <c r="A19" s="15"/>
      <c r="B19" s="12" t="s">
        <v>1208</v>
      </c>
      <c r="C19" s="12" t="s">
        <v>419</v>
      </c>
      <c r="D19" s="12" t="s">
        <v>1209</v>
      </c>
      <c r="E19" s="12">
        <v>0</v>
      </c>
      <c r="F19" s="12" t="s">
        <v>1210</v>
      </c>
      <c r="G19" s="12">
        <v>1</v>
      </c>
    </row>
    <row r="20" spans="1:7" x14ac:dyDescent="0.2">
      <c r="A20" s="16"/>
      <c r="B20" s="4" t="s">
        <v>1211</v>
      </c>
      <c r="C20" s="4" t="s">
        <v>420</v>
      </c>
      <c r="D20" s="4" t="s">
        <v>1212</v>
      </c>
      <c r="E20" s="4">
        <v>0</v>
      </c>
      <c r="F20" s="4" t="s">
        <v>1213</v>
      </c>
      <c r="G20" s="4">
        <v>1</v>
      </c>
    </row>
    <row r="21" spans="1:7" x14ac:dyDescent="0.2">
      <c r="A21" s="17" t="s">
        <v>1214</v>
      </c>
      <c r="B21" s="10" t="s">
        <v>1215</v>
      </c>
      <c r="C21" s="10" t="s">
        <v>1</v>
      </c>
      <c r="D21" s="10" t="s">
        <v>230</v>
      </c>
      <c r="E21" s="10">
        <v>0</v>
      </c>
      <c r="F21" s="10" t="s">
        <v>1173</v>
      </c>
      <c r="G21" s="10">
        <v>1</v>
      </c>
    </row>
    <row r="22" spans="1:7" x14ac:dyDescent="0.2">
      <c r="A22" s="19"/>
      <c r="B22" s="12" t="s">
        <v>1216</v>
      </c>
      <c r="C22" s="12" t="s">
        <v>421</v>
      </c>
      <c r="D22" s="12" t="s">
        <v>1189</v>
      </c>
      <c r="E22" s="12">
        <v>0</v>
      </c>
      <c r="F22" s="12" t="s">
        <v>1217</v>
      </c>
      <c r="G22" s="12">
        <v>0</v>
      </c>
    </row>
    <row r="23" spans="1:7" x14ac:dyDescent="0.2">
      <c r="A23" s="19"/>
      <c r="B23" s="12" t="s">
        <v>1218</v>
      </c>
      <c r="C23" s="12" t="s">
        <v>422</v>
      </c>
      <c r="D23" s="12" t="s">
        <v>1189</v>
      </c>
      <c r="E23" s="12">
        <v>0</v>
      </c>
      <c r="F23" s="12" t="s">
        <v>1219</v>
      </c>
      <c r="G23" s="12">
        <v>0</v>
      </c>
    </row>
    <row r="24" spans="1:7" x14ac:dyDescent="0.2">
      <c r="A24" s="19"/>
      <c r="B24" s="12" t="s">
        <v>1220</v>
      </c>
      <c r="C24" s="12" t="s">
        <v>423</v>
      </c>
      <c r="D24" s="12" t="s">
        <v>1194</v>
      </c>
      <c r="E24" s="12">
        <v>0</v>
      </c>
      <c r="F24" s="12" t="s">
        <v>1221</v>
      </c>
      <c r="G24" s="12">
        <v>1</v>
      </c>
    </row>
    <row r="25" spans="1:7" x14ac:dyDescent="0.2">
      <c r="A25" s="19"/>
      <c r="B25" s="12" t="s">
        <v>1222</v>
      </c>
      <c r="C25" s="20" t="s">
        <v>424</v>
      </c>
      <c r="D25" s="20" t="s">
        <v>1189</v>
      </c>
      <c r="E25" s="20">
        <v>0</v>
      </c>
      <c r="F25" s="20" t="s">
        <v>1223</v>
      </c>
      <c r="G25" s="20">
        <v>0</v>
      </c>
    </row>
    <row r="26" spans="1:7" x14ac:dyDescent="0.2">
      <c r="A26" s="19"/>
      <c r="B26" s="12" t="s">
        <v>1224</v>
      </c>
      <c r="C26" s="12" t="s">
        <v>425</v>
      </c>
      <c r="D26" s="12" t="s">
        <v>1194</v>
      </c>
      <c r="E26" s="12">
        <v>0</v>
      </c>
      <c r="F26" s="12" t="s">
        <v>1225</v>
      </c>
      <c r="G26" s="12">
        <v>1</v>
      </c>
    </row>
    <row r="27" spans="1:7" x14ac:dyDescent="0.2">
      <c r="A27" s="19"/>
      <c r="B27" s="12" t="s">
        <v>1226</v>
      </c>
      <c r="C27" s="20" t="s">
        <v>426</v>
      </c>
      <c r="D27" s="20" t="s">
        <v>1194</v>
      </c>
      <c r="E27" s="20">
        <v>60</v>
      </c>
      <c r="F27" s="20" t="s">
        <v>1227</v>
      </c>
      <c r="G27" s="20">
        <v>0</v>
      </c>
    </row>
    <row r="28" spans="1:7" x14ac:dyDescent="0.2">
      <c r="A28" s="19"/>
      <c r="B28" s="12" t="s">
        <v>1228</v>
      </c>
      <c r="C28" s="20" t="s">
        <v>427</v>
      </c>
      <c r="D28" s="20" t="s">
        <v>1189</v>
      </c>
      <c r="E28" s="20">
        <v>1</v>
      </c>
      <c r="F28" s="20" t="s">
        <v>1229</v>
      </c>
      <c r="G28" s="20">
        <v>0</v>
      </c>
    </row>
    <row r="29" spans="1:7" x14ac:dyDescent="0.2">
      <c r="A29" s="19"/>
      <c r="B29" s="12" t="s">
        <v>1230</v>
      </c>
      <c r="C29" s="12" t="s">
        <v>428</v>
      </c>
      <c r="D29" s="12" t="s">
        <v>1194</v>
      </c>
      <c r="E29" s="12">
        <v>0</v>
      </c>
      <c r="F29" s="12" t="s">
        <v>1231</v>
      </c>
      <c r="G29" s="12">
        <v>1</v>
      </c>
    </row>
    <row r="30" spans="1:7" x14ac:dyDescent="0.2">
      <c r="A30" s="19"/>
      <c r="B30" s="12" t="s">
        <v>1232</v>
      </c>
      <c r="C30" s="20" t="s">
        <v>429</v>
      </c>
      <c r="D30" s="20" t="s">
        <v>1189</v>
      </c>
      <c r="E30" s="20">
        <v>0</v>
      </c>
      <c r="F30" s="20" t="s">
        <v>1233</v>
      </c>
      <c r="G30" s="20">
        <v>0</v>
      </c>
    </row>
    <row r="31" spans="1:7" x14ac:dyDescent="0.2">
      <c r="A31" s="21"/>
      <c r="B31" s="4" t="s">
        <v>1234</v>
      </c>
      <c r="C31" s="22" t="s">
        <v>430</v>
      </c>
      <c r="D31" s="22" t="s">
        <v>1189</v>
      </c>
      <c r="E31" s="22">
        <v>22</v>
      </c>
      <c r="F31" s="22" t="s">
        <v>1235</v>
      </c>
      <c r="G31" s="22">
        <v>0</v>
      </c>
    </row>
    <row r="32" spans="1:7" x14ac:dyDescent="0.2">
      <c r="A32" s="23" t="s">
        <v>1236</v>
      </c>
      <c r="B32" s="10" t="s">
        <v>1237</v>
      </c>
      <c r="C32" s="10" t="s">
        <v>2</v>
      </c>
      <c r="D32" s="10" t="s">
        <v>230</v>
      </c>
      <c r="E32" s="10">
        <v>0</v>
      </c>
      <c r="F32" s="10" t="s">
        <v>1175</v>
      </c>
      <c r="G32" s="10">
        <v>1</v>
      </c>
    </row>
    <row r="33" spans="1:7" x14ac:dyDescent="0.2">
      <c r="A33" s="24"/>
      <c r="B33" s="12" t="s">
        <v>1238</v>
      </c>
      <c r="C33" s="20" t="s">
        <v>707</v>
      </c>
      <c r="D33" s="20" t="s">
        <v>1189</v>
      </c>
      <c r="E33" s="20">
        <v>0</v>
      </c>
      <c r="F33" s="20" t="s">
        <v>1239</v>
      </c>
      <c r="G33" s="20">
        <v>0</v>
      </c>
    </row>
    <row r="34" spans="1:7" x14ac:dyDescent="0.2">
      <c r="A34" s="24"/>
      <c r="B34" s="12" t="s">
        <v>1240</v>
      </c>
      <c r="C34" s="20" t="s">
        <v>708</v>
      </c>
      <c r="D34" s="20" t="s">
        <v>1189</v>
      </c>
      <c r="E34" s="20">
        <v>0</v>
      </c>
      <c r="F34" s="20" t="s">
        <v>1241</v>
      </c>
      <c r="G34" s="20">
        <v>0</v>
      </c>
    </row>
    <row r="35" spans="1:7" x14ac:dyDescent="0.2">
      <c r="A35" s="24"/>
      <c r="B35" s="12" t="s">
        <v>1242</v>
      </c>
      <c r="C35" s="12" t="s">
        <v>709</v>
      </c>
      <c r="D35" s="12" t="s">
        <v>1194</v>
      </c>
      <c r="E35" s="12">
        <v>0</v>
      </c>
      <c r="F35" s="12" t="s">
        <v>1243</v>
      </c>
      <c r="G35" s="12">
        <v>1</v>
      </c>
    </row>
    <row r="36" spans="1:7" x14ac:dyDescent="0.2">
      <c r="A36" s="24"/>
      <c r="B36" s="12" t="s">
        <v>1244</v>
      </c>
      <c r="C36" s="12" t="s">
        <v>710</v>
      </c>
      <c r="D36" s="12" t="s">
        <v>1194</v>
      </c>
      <c r="E36" s="12">
        <v>0</v>
      </c>
      <c r="F36" s="12" t="s">
        <v>1245</v>
      </c>
      <c r="G36" s="12">
        <v>1</v>
      </c>
    </row>
    <row r="37" spans="1:7" x14ac:dyDescent="0.2">
      <c r="A37" s="24"/>
      <c r="B37" s="12" t="s">
        <v>1246</v>
      </c>
      <c r="C37" s="12" t="s">
        <v>711</v>
      </c>
      <c r="D37" s="12" t="s">
        <v>1177</v>
      </c>
      <c r="E37" s="12">
        <v>0</v>
      </c>
      <c r="F37" s="12" t="s">
        <v>1247</v>
      </c>
      <c r="G37" s="12">
        <v>1</v>
      </c>
    </row>
    <row r="38" spans="1:7" x14ac:dyDescent="0.2">
      <c r="A38" s="24"/>
      <c r="B38" s="12" t="s">
        <v>1248</v>
      </c>
      <c r="C38" s="12" t="s">
        <v>712</v>
      </c>
      <c r="D38" s="12" t="s">
        <v>1177</v>
      </c>
      <c r="E38" s="12">
        <v>0</v>
      </c>
      <c r="F38" s="12" t="s">
        <v>1249</v>
      </c>
      <c r="G38" s="12">
        <v>1</v>
      </c>
    </row>
    <row r="39" spans="1:7" x14ac:dyDescent="0.2">
      <c r="A39" s="24"/>
      <c r="B39" s="12" t="s">
        <v>1250</v>
      </c>
      <c r="C39" s="20" t="s">
        <v>424</v>
      </c>
      <c r="D39" s="20" t="s">
        <v>1189</v>
      </c>
      <c r="E39" s="20">
        <v>0</v>
      </c>
      <c r="F39" s="20" t="s">
        <v>1251</v>
      </c>
      <c r="G39" s="20">
        <v>0</v>
      </c>
    </row>
    <row r="40" spans="1:7" x14ac:dyDescent="0.2">
      <c r="A40" s="24"/>
      <c r="B40" s="12" t="s">
        <v>1252</v>
      </c>
      <c r="C40" s="12" t="s">
        <v>425</v>
      </c>
      <c r="D40" s="12" t="s">
        <v>1194</v>
      </c>
      <c r="E40" s="12">
        <v>0</v>
      </c>
      <c r="F40" s="12" t="s">
        <v>1253</v>
      </c>
      <c r="G40" s="12">
        <v>1</v>
      </c>
    </row>
    <row r="41" spans="1:7" x14ac:dyDescent="0.2">
      <c r="A41" s="24"/>
      <c r="B41" s="12" t="s">
        <v>1254</v>
      </c>
      <c r="C41" s="20" t="s">
        <v>426</v>
      </c>
      <c r="D41" s="20" t="s">
        <v>1194</v>
      </c>
      <c r="E41" s="20">
        <v>3</v>
      </c>
      <c r="F41" s="20" t="s">
        <v>1255</v>
      </c>
      <c r="G41" s="20">
        <v>0</v>
      </c>
    </row>
    <row r="42" spans="1:7" x14ac:dyDescent="0.2">
      <c r="A42" s="24"/>
      <c r="B42" s="12" t="s">
        <v>1256</v>
      </c>
      <c r="C42" s="20" t="s">
        <v>427</v>
      </c>
      <c r="D42" s="20" t="s">
        <v>1189</v>
      </c>
      <c r="E42" s="20">
        <v>0</v>
      </c>
      <c r="F42" s="20" t="s">
        <v>1257</v>
      </c>
      <c r="G42" s="20">
        <v>0</v>
      </c>
    </row>
    <row r="43" spans="1:7" x14ac:dyDescent="0.2">
      <c r="A43" s="24"/>
      <c r="B43" s="12" t="s">
        <v>1258</v>
      </c>
      <c r="C43" s="12" t="s">
        <v>428</v>
      </c>
      <c r="D43" s="12" t="s">
        <v>1194</v>
      </c>
      <c r="E43" s="12">
        <v>0</v>
      </c>
      <c r="F43" s="12" t="s">
        <v>1259</v>
      </c>
      <c r="G43" s="12">
        <v>1</v>
      </c>
    </row>
    <row r="44" spans="1:7" x14ac:dyDescent="0.2">
      <c r="A44" s="24"/>
      <c r="B44" s="12" t="s">
        <v>1260</v>
      </c>
      <c r="C44" s="20" t="s">
        <v>713</v>
      </c>
      <c r="D44" s="20" t="s">
        <v>1189</v>
      </c>
      <c r="E44" s="20">
        <v>0</v>
      </c>
      <c r="F44" s="20" t="s">
        <v>1261</v>
      </c>
      <c r="G44" s="20">
        <v>0</v>
      </c>
    </row>
    <row r="45" spans="1:7" x14ac:dyDescent="0.2">
      <c r="A45" s="24"/>
      <c r="B45" s="12" t="s">
        <v>1262</v>
      </c>
      <c r="C45" s="20" t="s">
        <v>714</v>
      </c>
      <c r="D45" s="20" t="s">
        <v>1189</v>
      </c>
      <c r="E45" s="20">
        <v>0</v>
      </c>
      <c r="F45" s="20" t="s">
        <v>1263</v>
      </c>
      <c r="G45" s="20">
        <v>0</v>
      </c>
    </row>
    <row r="46" spans="1:7" x14ac:dyDescent="0.2">
      <c r="A46" s="24"/>
      <c r="B46" s="12" t="s">
        <v>1264</v>
      </c>
      <c r="C46" s="20" t="s">
        <v>715</v>
      </c>
      <c r="D46" s="20" t="s">
        <v>1189</v>
      </c>
      <c r="E46" s="20">
        <v>0</v>
      </c>
      <c r="F46" s="20" t="s">
        <v>1265</v>
      </c>
      <c r="G46" s="20">
        <v>0</v>
      </c>
    </row>
    <row r="47" spans="1:7" x14ac:dyDescent="0.2">
      <c r="A47" s="24"/>
      <c r="B47" s="12" t="s">
        <v>1266</v>
      </c>
      <c r="C47" s="12" t="s">
        <v>716</v>
      </c>
      <c r="D47" s="12" t="s">
        <v>230</v>
      </c>
      <c r="E47" s="12">
        <v>1</v>
      </c>
      <c r="F47" s="12" t="s">
        <v>1267</v>
      </c>
      <c r="G47" s="12">
        <v>1</v>
      </c>
    </row>
    <row r="48" spans="1:7" x14ac:dyDescent="0.2">
      <c r="A48" s="24"/>
      <c r="B48" s="12" t="s">
        <v>1268</v>
      </c>
      <c r="C48" s="20" t="s">
        <v>717</v>
      </c>
      <c r="D48" s="20" t="s">
        <v>1189</v>
      </c>
      <c r="E48" s="20">
        <v>0</v>
      </c>
      <c r="F48" s="20" t="s">
        <v>1269</v>
      </c>
      <c r="G48" s="20">
        <v>0</v>
      </c>
    </row>
    <row r="49" spans="1:7" x14ac:dyDescent="0.2">
      <c r="A49" s="24"/>
      <c r="B49" s="12" t="s">
        <v>1270</v>
      </c>
      <c r="C49" s="12" t="s">
        <v>718</v>
      </c>
      <c r="D49" s="12" t="s">
        <v>1194</v>
      </c>
      <c r="E49" s="12">
        <v>0</v>
      </c>
      <c r="F49" s="12" t="s">
        <v>1271</v>
      </c>
      <c r="G49" s="12">
        <v>1</v>
      </c>
    </row>
    <row r="50" spans="1:7" x14ac:dyDescent="0.2">
      <c r="A50" s="24"/>
      <c r="B50" s="12" t="s">
        <v>1272</v>
      </c>
      <c r="C50" s="20" t="s">
        <v>719</v>
      </c>
      <c r="D50" s="20" t="s">
        <v>1189</v>
      </c>
      <c r="E50" s="20">
        <v>0</v>
      </c>
      <c r="F50" s="20" t="s">
        <v>1273</v>
      </c>
      <c r="G50" s="20">
        <v>0</v>
      </c>
    </row>
    <row r="51" spans="1:7" x14ac:dyDescent="0.2">
      <c r="A51" s="24"/>
      <c r="B51" s="12" t="s">
        <v>1274</v>
      </c>
      <c r="C51" s="12" t="s">
        <v>720</v>
      </c>
      <c r="D51" s="12" t="s">
        <v>1194</v>
      </c>
      <c r="E51" s="12">
        <v>0</v>
      </c>
      <c r="F51" s="12" t="s">
        <v>1275</v>
      </c>
      <c r="G51" s="12">
        <v>1</v>
      </c>
    </row>
    <row r="52" spans="1:7" x14ac:dyDescent="0.2">
      <c r="A52" s="24"/>
      <c r="B52" s="12" t="s">
        <v>1276</v>
      </c>
      <c r="C52" s="12" t="s">
        <v>721</v>
      </c>
      <c r="D52" s="12" t="s">
        <v>1277</v>
      </c>
      <c r="E52" s="12">
        <v>0</v>
      </c>
      <c r="F52" s="12" t="s">
        <v>1278</v>
      </c>
      <c r="G52" s="12">
        <v>1</v>
      </c>
    </row>
    <row r="53" spans="1:7" x14ac:dyDescent="0.2">
      <c r="A53" s="24"/>
      <c r="B53" s="12" t="s">
        <v>1279</v>
      </c>
      <c r="C53" s="12" t="s">
        <v>722</v>
      </c>
      <c r="D53" s="12" t="s">
        <v>1194</v>
      </c>
      <c r="E53" s="12">
        <v>0</v>
      </c>
      <c r="F53" s="12" t="s">
        <v>1280</v>
      </c>
      <c r="G53" s="12">
        <v>1</v>
      </c>
    </row>
    <row r="54" spans="1:7" x14ac:dyDescent="0.2">
      <c r="A54" s="24"/>
      <c r="B54" s="12" t="s">
        <v>1281</v>
      </c>
      <c r="C54" s="12" t="s">
        <v>723</v>
      </c>
      <c r="D54" s="12" t="s">
        <v>1277</v>
      </c>
      <c r="E54" s="12">
        <v>0</v>
      </c>
      <c r="F54" s="12" t="s">
        <v>1282</v>
      </c>
      <c r="G54" s="12">
        <v>1</v>
      </c>
    </row>
    <row r="55" spans="1:7" x14ac:dyDescent="0.2">
      <c r="A55" s="24"/>
      <c r="B55" s="12" t="s">
        <v>1283</v>
      </c>
      <c r="C55" s="12" t="s">
        <v>724</v>
      </c>
      <c r="D55" s="12" t="s">
        <v>1277</v>
      </c>
      <c r="E55" s="12">
        <v>0</v>
      </c>
      <c r="F55" s="12" t="s">
        <v>1284</v>
      </c>
      <c r="G55" s="12">
        <v>1</v>
      </c>
    </row>
    <row r="56" spans="1:7" x14ac:dyDescent="0.2">
      <c r="A56" s="24"/>
      <c r="B56" s="12" t="s">
        <v>1285</v>
      </c>
      <c r="C56" s="12" t="s">
        <v>725</v>
      </c>
      <c r="D56" s="12" t="s">
        <v>1277</v>
      </c>
      <c r="E56" s="12">
        <v>0</v>
      </c>
      <c r="F56" s="12" t="s">
        <v>1286</v>
      </c>
      <c r="G56" s="12">
        <v>1</v>
      </c>
    </row>
    <row r="57" spans="1:7" x14ac:dyDescent="0.2">
      <c r="A57" s="24"/>
      <c r="B57" s="12" t="s">
        <v>1287</v>
      </c>
      <c r="C57" s="12" t="s">
        <v>726</v>
      </c>
      <c r="D57" s="12" t="s">
        <v>1277</v>
      </c>
      <c r="E57" s="12">
        <v>0</v>
      </c>
      <c r="F57" s="12" t="s">
        <v>1288</v>
      </c>
      <c r="G57" s="12">
        <v>1</v>
      </c>
    </row>
    <row r="58" spans="1:7" x14ac:dyDescent="0.2">
      <c r="A58" s="25"/>
      <c r="B58" s="4" t="s">
        <v>1289</v>
      </c>
      <c r="C58" s="4" t="s">
        <v>727</v>
      </c>
      <c r="D58" s="4" t="s">
        <v>1277</v>
      </c>
      <c r="E58" s="4">
        <v>0</v>
      </c>
      <c r="F58" s="4" t="s">
        <v>1290</v>
      </c>
      <c r="G58" s="4">
        <v>1</v>
      </c>
    </row>
    <row r="59" spans="1:7" x14ac:dyDescent="0.2">
      <c r="A59" s="26" t="s">
        <v>1291</v>
      </c>
      <c r="B59" s="10" t="s">
        <v>1292</v>
      </c>
      <c r="C59" s="10" t="s">
        <v>808</v>
      </c>
      <c r="D59" s="10" t="s">
        <v>230</v>
      </c>
      <c r="E59" s="10">
        <v>0</v>
      </c>
      <c r="F59" s="10" t="s">
        <v>1184</v>
      </c>
      <c r="G59" s="10">
        <v>1</v>
      </c>
    </row>
    <row r="60" spans="1:7" x14ac:dyDescent="0.2">
      <c r="A60" s="27"/>
      <c r="B60" s="12" t="s">
        <v>1293</v>
      </c>
      <c r="C60" s="20" t="s">
        <v>421</v>
      </c>
      <c r="D60" s="20" t="s">
        <v>1189</v>
      </c>
      <c r="E60" s="20">
        <v>0</v>
      </c>
      <c r="F60" s="20" t="s">
        <v>1294</v>
      </c>
      <c r="G60" s="20">
        <v>0</v>
      </c>
    </row>
    <row r="61" spans="1:7" x14ac:dyDescent="0.2">
      <c r="A61" s="28"/>
      <c r="B61" s="4" t="s">
        <v>1295</v>
      </c>
      <c r="C61" s="22" t="s">
        <v>429</v>
      </c>
      <c r="D61" s="22" t="s">
        <v>1189</v>
      </c>
      <c r="E61" s="22">
        <v>0</v>
      </c>
      <c r="F61" s="22" t="s">
        <v>1296</v>
      </c>
      <c r="G61" s="22">
        <v>0</v>
      </c>
    </row>
    <row r="62" spans="1:7" x14ac:dyDescent="0.2">
      <c r="A62" s="5" t="s">
        <v>1297</v>
      </c>
      <c r="B62" s="10" t="s">
        <v>1298</v>
      </c>
      <c r="C62" s="10" t="s">
        <v>417</v>
      </c>
      <c r="D62" s="10" t="s">
        <v>230</v>
      </c>
      <c r="E62" s="10">
        <v>0</v>
      </c>
      <c r="F62" s="10" t="s">
        <v>1205</v>
      </c>
      <c r="G62" s="10">
        <v>1</v>
      </c>
    </row>
    <row r="63" spans="1:7" x14ac:dyDescent="0.2">
      <c r="A63" s="29"/>
      <c r="B63" s="12" t="s">
        <v>1299</v>
      </c>
      <c r="C63" s="20" t="s">
        <v>815</v>
      </c>
      <c r="D63" s="20" t="s">
        <v>1189</v>
      </c>
      <c r="E63" s="20">
        <v>0</v>
      </c>
      <c r="F63" s="20" t="s">
        <v>1300</v>
      </c>
      <c r="G63" s="20">
        <v>0</v>
      </c>
    </row>
    <row r="64" spans="1:7" x14ac:dyDescent="0.2">
      <c r="A64" s="29"/>
      <c r="B64" s="12" t="s">
        <v>1301</v>
      </c>
      <c r="C64" s="12" t="s">
        <v>816</v>
      </c>
      <c r="D64" s="12" t="s">
        <v>230</v>
      </c>
      <c r="E64" s="12">
        <v>0</v>
      </c>
      <c r="F64" s="12" t="s">
        <v>1302</v>
      </c>
      <c r="G64" s="12">
        <v>1</v>
      </c>
    </row>
    <row r="65" spans="1:7" x14ac:dyDescent="0.2">
      <c r="A65" s="29"/>
      <c r="B65" s="12" t="s">
        <v>1303</v>
      </c>
      <c r="C65" s="12" t="s">
        <v>817</v>
      </c>
      <c r="D65" s="12" t="s">
        <v>230</v>
      </c>
      <c r="E65" s="12">
        <v>0</v>
      </c>
      <c r="F65" s="12" t="s">
        <v>1304</v>
      </c>
      <c r="G65" s="12">
        <v>1</v>
      </c>
    </row>
    <row r="66" spans="1:7" x14ac:dyDescent="0.2">
      <c r="A66" s="29"/>
      <c r="B66" s="12" t="s">
        <v>1305</v>
      </c>
      <c r="C66" s="20" t="s">
        <v>818</v>
      </c>
      <c r="D66" s="20" t="s">
        <v>1189</v>
      </c>
      <c r="E66" s="20">
        <v>0</v>
      </c>
      <c r="F66" s="20" t="s">
        <v>1306</v>
      </c>
      <c r="G66" s="20">
        <v>0</v>
      </c>
    </row>
    <row r="67" spans="1:7" x14ac:dyDescent="0.2">
      <c r="A67" s="29"/>
      <c r="B67" s="12" t="s">
        <v>1307</v>
      </c>
      <c r="C67" s="12" t="s">
        <v>418</v>
      </c>
      <c r="D67" s="12" t="s">
        <v>1186</v>
      </c>
      <c r="E67" s="12">
        <v>0</v>
      </c>
      <c r="F67" s="12" t="s">
        <v>1207</v>
      </c>
      <c r="G67" s="12">
        <v>1</v>
      </c>
    </row>
    <row r="68" spans="1:7" x14ac:dyDescent="0.2">
      <c r="A68" s="29"/>
      <c r="B68" s="12" t="s">
        <v>1308</v>
      </c>
      <c r="C68" s="12" t="s">
        <v>819</v>
      </c>
      <c r="D68" s="12" t="s">
        <v>1209</v>
      </c>
      <c r="E68" s="12">
        <v>0</v>
      </c>
      <c r="F68" s="12" t="s">
        <v>1309</v>
      </c>
      <c r="G68" s="12">
        <v>1</v>
      </c>
    </row>
    <row r="69" spans="1:7" x14ac:dyDescent="0.2">
      <c r="A69" s="29"/>
      <c r="B69" s="12" t="s">
        <v>1310</v>
      </c>
      <c r="C69" s="12" t="s">
        <v>820</v>
      </c>
      <c r="D69" s="12" t="s">
        <v>1209</v>
      </c>
      <c r="E69" s="12">
        <v>0</v>
      </c>
      <c r="F69" s="12" t="s">
        <v>1311</v>
      </c>
      <c r="G69" s="12">
        <v>1</v>
      </c>
    </row>
    <row r="70" spans="1:7" x14ac:dyDescent="0.2">
      <c r="A70" s="29"/>
      <c r="B70" s="12" t="s">
        <v>1312</v>
      </c>
      <c r="C70" s="12" t="s">
        <v>821</v>
      </c>
      <c r="D70" s="12" t="s">
        <v>1209</v>
      </c>
      <c r="E70" s="12">
        <v>0</v>
      </c>
      <c r="F70" s="12" t="s">
        <v>1313</v>
      </c>
      <c r="G70" s="12">
        <v>1</v>
      </c>
    </row>
    <row r="71" spans="1:7" x14ac:dyDescent="0.2">
      <c r="A71" s="7"/>
      <c r="B71" s="4" t="s">
        <v>1314</v>
      </c>
      <c r="C71" s="4" t="s">
        <v>822</v>
      </c>
      <c r="D71" s="4" t="s">
        <v>1277</v>
      </c>
      <c r="E71" s="4">
        <v>0</v>
      </c>
      <c r="F71" s="4" t="s">
        <v>1315</v>
      </c>
      <c r="G71" s="4">
        <v>1</v>
      </c>
    </row>
    <row r="72" spans="1:7" x14ac:dyDescent="0.2">
      <c r="A72" s="14" t="s">
        <v>1316</v>
      </c>
      <c r="B72" s="10" t="s">
        <v>1317</v>
      </c>
      <c r="C72" s="10" t="s">
        <v>816</v>
      </c>
      <c r="D72" s="10" t="s">
        <v>230</v>
      </c>
      <c r="E72" s="10">
        <v>0</v>
      </c>
      <c r="F72" s="10" t="s">
        <v>1302</v>
      </c>
      <c r="G72" s="10">
        <v>1</v>
      </c>
    </row>
    <row r="73" spans="1:7" x14ac:dyDescent="0.2">
      <c r="A73" s="15"/>
      <c r="B73" s="12" t="s">
        <v>1318</v>
      </c>
      <c r="C73" s="20" t="s">
        <v>421</v>
      </c>
      <c r="D73" s="20" t="s">
        <v>1189</v>
      </c>
      <c r="E73" s="20">
        <v>0</v>
      </c>
      <c r="F73" s="20" t="s">
        <v>1319</v>
      </c>
      <c r="G73" s="20">
        <v>0</v>
      </c>
    </row>
    <row r="74" spans="1:7" x14ac:dyDescent="0.2">
      <c r="A74" s="15"/>
      <c r="B74" s="12" t="s">
        <v>1320</v>
      </c>
      <c r="C74" s="20" t="s">
        <v>422</v>
      </c>
      <c r="D74" s="20" t="s">
        <v>1189</v>
      </c>
      <c r="E74" s="20">
        <v>0</v>
      </c>
      <c r="F74" s="20" t="s">
        <v>1321</v>
      </c>
      <c r="G74" s="20">
        <v>0</v>
      </c>
    </row>
    <row r="75" spans="1:7" x14ac:dyDescent="0.2">
      <c r="A75" s="15"/>
      <c r="B75" s="12" t="s">
        <v>1322</v>
      </c>
      <c r="C75" s="12" t="s">
        <v>423</v>
      </c>
      <c r="D75" s="12" t="s">
        <v>1194</v>
      </c>
      <c r="E75" s="12">
        <v>0</v>
      </c>
      <c r="F75" s="12" t="s">
        <v>1323</v>
      </c>
      <c r="G75" s="12">
        <v>1</v>
      </c>
    </row>
    <row r="76" spans="1:7" x14ac:dyDescent="0.2">
      <c r="A76" s="15"/>
      <c r="B76" s="12" t="s">
        <v>1324</v>
      </c>
      <c r="C76" s="20" t="s">
        <v>424</v>
      </c>
      <c r="D76" s="20" t="s">
        <v>1189</v>
      </c>
      <c r="E76" s="20">
        <v>0</v>
      </c>
      <c r="F76" s="20" t="s">
        <v>1325</v>
      </c>
      <c r="G76" s="20">
        <v>0</v>
      </c>
    </row>
    <row r="77" spans="1:7" x14ac:dyDescent="0.2">
      <c r="A77" s="15"/>
      <c r="B77" s="12" t="s">
        <v>1326</v>
      </c>
      <c r="C77" s="12" t="s">
        <v>425</v>
      </c>
      <c r="D77" s="12" t="s">
        <v>1194</v>
      </c>
      <c r="E77" s="12">
        <v>0</v>
      </c>
      <c r="F77" s="12" t="s">
        <v>1327</v>
      </c>
      <c r="G77" s="12">
        <v>1</v>
      </c>
    </row>
    <row r="78" spans="1:7" x14ac:dyDescent="0.2">
      <c r="A78" s="15"/>
      <c r="B78" s="12" t="s">
        <v>1328</v>
      </c>
      <c r="C78" s="20" t="s">
        <v>426</v>
      </c>
      <c r="D78" s="20" t="s">
        <v>1194</v>
      </c>
      <c r="E78" s="20">
        <v>20</v>
      </c>
      <c r="F78" s="20" t="s">
        <v>1329</v>
      </c>
      <c r="G78" s="20">
        <v>0</v>
      </c>
    </row>
    <row r="79" spans="1:7" x14ac:dyDescent="0.2">
      <c r="A79" s="15"/>
      <c r="B79" s="12" t="s">
        <v>1330</v>
      </c>
      <c r="C79" s="20" t="s">
        <v>427</v>
      </c>
      <c r="D79" s="20" t="s">
        <v>1189</v>
      </c>
      <c r="E79" s="20">
        <v>0</v>
      </c>
      <c r="F79" s="20" t="s">
        <v>1331</v>
      </c>
      <c r="G79" s="20">
        <v>0</v>
      </c>
    </row>
    <row r="80" spans="1:7" x14ac:dyDescent="0.2">
      <c r="A80" s="15"/>
      <c r="B80" s="12" t="s">
        <v>1332</v>
      </c>
      <c r="C80" s="12" t="s">
        <v>428</v>
      </c>
      <c r="D80" s="12" t="s">
        <v>1194</v>
      </c>
      <c r="E80" s="12">
        <v>0</v>
      </c>
      <c r="F80" s="12" t="s">
        <v>1333</v>
      </c>
      <c r="G80" s="12">
        <v>1</v>
      </c>
    </row>
    <row r="81" spans="1:7" x14ac:dyDescent="0.2">
      <c r="A81" s="15"/>
      <c r="B81" s="12" t="s">
        <v>1334</v>
      </c>
      <c r="C81" s="20" t="s">
        <v>429</v>
      </c>
      <c r="D81" s="20" t="s">
        <v>1189</v>
      </c>
      <c r="E81" s="20">
        <v>0</v>
      </c>
      <c r="F81" s="20" t="s">
        <v>1335</v>
      </c>
      <c r="G81" s="20">
        <v>0</v>
      </c>
    </row>
    <row r="82" spans="1:7" x14ac:dyDescent="0.2">
      <c r="A82" s="16"/>
      <c r="B82" s="4" t="s">
        <v>1336</v>
      </c>
      <c r="C82" s="22" t="s">
        <v>430</v>
      </c>
      <c r="D82" s="22" t="s">
        <v>1189</v>
      </c>
      <c r="E82" s="22">
        <v>16</v>
      </c>
      <c r="F82" s="22" t="s">
        <v>1337</v>
      </c>
      <c r="G82" s="22">
        <v>0</v>
      </c>
    </row>
    <row r="83" spans="1:7" x14ac:dyDescent="0.2">
      <c r="A83" s="17" t="s">
        <v>1338</v>
      </c>
      <c r="B83" s="10" t="s">
        <v>1339</v>
      </c>
      <c r="C83" s="10" t="s">
        <v>817</v>
      </c>
      <c r="D83" s="10" t="s">
        <v>230</v>
      </c>
      <c r="E83" s="10">
        <v>0</v>
      </c>
      <c r="F83" s="10" t="s">
        <v>1304</v>
      </c>
      <c r="G83" s="10">
        <v>1</v>
      </c>
    </row>
    <row r="84" spans="1:7" x14ac:dyDescent="0.2">
      <c r="A84" s="19"/>
      <c r="B84" s="12" t="s">
        <v>1340</v>
      </c>
      <c r="C84" s="12" t="s">
        <v>1144</v>
      </c>
      <c r="D84" s="12" t="s">
        <v>1194</v>
      </c>
      <c r="E84" s="12">
        <v>0</v>
      </c>
      <c r="F84" s="12" t="s">
        <v>1341</v>
      </c>
      <c r="G84" s="12">
        <v>1</v>
      </c>
    </row>
    <row r="85" spans="1:7" x14ac:dyDescent="0.2">
      <c r="A85" s="19"/>
      <c r="B85" s="12" t="s">
        <v>1342</v>
      </c>
      <c r="C85" s="20" t="s">
        <v>1145</v>
      </c>
      <c r="D85" s="20" t="s">
        <v>1189</v>
      </c>
      <c r="E85" s="20">
        <v>0</v>
      </c>
      <c r="F85" s="20" t="s">
        <v>1343</v>
      </c>
      <c r="G85" s="20">
        <v>0</v>
      </c>
    </row>
    <row r="86" spans="1:7" x14ac:dyDescent="0.2">
      <c r="A86" s="19"/>
      <c r="B86" s="12" t="s">
        <v>1344</v>
      </c>
      <c r="C86" s="12" t="s">
        <v>1345</v>
      </c>
      <c r="D86" s="12" t="s">
        <v>1277</v>
      </c>
      <c r="E86" s="12">
        <v>0</v>
      </c>
      <c r="F86" s="12" t="s">
        <v>1346</v>
      </c>
      <c r="G86" s="12">
        <v>1</v>
      </c>
    </row>
    <row r="87" spans="1:7" x14ac:dyDescent="0.2">
      <c r="A87" s="19"/>
      <c r="B87" s="12" t="s">
        <v>1347</v>
      </c>
      <c r="C87" s="12" t="s">
        <v>1348</v>
      </c>
      <c r="D87" s="12" t="s">
        <v>1277</v>
      </c>
      <c r="E87" s="12">
        <v>0</v>
      </c>
      <c r="F87" s="12" t="s">
        <v>1349</v>
      </c>
      <c r="G87" s="12">
        <v>1</v>
      </c>
    </row>
    <row r="88" spans="1:7" x14ac:dyDescent="0.2">
      <c r="A88" s="19"/>
      <c r="B88" s="12" t="s">
        <v>1350</v>
      </c>
      <c r="C88" s="12" t="s">
        <v>1351</v>
      </c>
      <c r="D88" s="12" t="s">
        <v>1277</v>
      </c>
      <c r="E88" s="12">
        <v>0</v>
      </c>
      <c r="F88" s="12" t="s">
        <v>1352</v>
      </c>
      <c r="G88" s="12">
        <v>1</v>
      </c>
    </row>
    <row r="89" spans="1:7" x14ac:dyDescent="0.2">
      <c r="A89" s="19"/>
      <c r="B89" s="12" t="s">
        <v>1353</v>
      </c>
      <c r="C89" s="12" t="s">
        <v>1354</v>
      </c>
      <c r="D89" s="12" t="s">
        <v>1277</v>
      </c>
      <c r="E89" s="12">
        <v>0</v>
      </c>
      <c r="F89" s="12" t="s">
        <v>1355</v>
      </c>
      <c r="G89" s="12">
        <v>1</v>
      </c>
    </row>
    <row r="90" spans="1:7" x14ac:dyDescent="0.2">
      <c r="A90" s="19"/>
      <c r="B90" s="12" t="s">
        <v>1356</v>
      </c>
      <c r="C90" s="12" t="s">
        <v>1357</v>
      </c>
      <c r="D90" s="12" t="s">
        <v>1277</v>
      </c>
      <c r="E90" s="12">
        <v>0</v>
      </c>
      <c r="F90" s="12" t="s">
        <v>1358</v>
      </c>
      <c r="G90" s="12">
        <v>1</v>
      </c>
    </row>
    <row r="91" spans="1:7" x14ac:dyDescent="0.2">
      <c r="A91" s="19"/>
      <c r="B91" s="12" t="s">
        <v>1359</v>
      </c>
      <c r="C91" s="12" t="s">
        <v>1360</v>
      </c>
      <c r="D91" s="12" t="s">
        <v>1277</v>
      </c>
      <c r="E91" s="12">
        <v>0</v>
      </c>
      <c r="F91" s="12" t="s">
        <v>1361</v>
      </c>
      <c r="G91" s="12">
        <v>1</v>
      </c>
    </row>
    <row r="92" spans="1:7" x14ac:dyDescent="0.2">
      <c r="A92" s="21"/>
      <c r="B92" s="4" t="s">
        <v>1362</v>
      </c>
      <c r="C92" s="4" t="s">
        <v>1363</v>
      </c>
      <c r="D92" s="4" t="s">
        <v>1277</v>
      </c>
      <c r="E92" s="4">
        <v>0</v>
      </c>
      <c r="F92" s="4" t="s">
        <v>1364</v>
      </c>
      <c r="G92" s="4">
        <v>1</v>
      </c>
    </row>
  </sheetData>
  <mergeCells count="8">
    <mergeCell ref="A2:A15"/>
    <mergeCell ref="A16:A20"/>
    <mergeCell ref="A21:A31"/>
    <mergeCell ref="A32:A58"/>
    <mergeCell ref="A59:A61"/>
    <mergeCell ref="A83:A92"/>
    <mergeCell ref="A72:A82"/>
    <mergeCell ref="A62:A7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CCD1A-8EEB-AC46-8411-455C6FA97FB8}">
  <dimension ref="A1:G59"/>
  <sheetViews>
    <sheetView topLeftCell="D1" zoomScale="148" workbookViewId="0">
      <selection activeCell="G6" sqref="G6"/>
    </sheetView>
  </sheetViews>
  <sheetFormatPr baseColWidth="10" defaultRowHeight="16" x14ac:dyDescent="0.2"/>
  <cols>
    <col min="1" max="1" width="24.1640625" customWidth="1"/>
    <col min="2" max="2" width="19.1640625" customWidth="1"/>
    <col min="3" max="3" width="10" bestFit="1" customWidth="1"/>
    <col min="4" max="4" width="15.33203125" customWidth="1"/>
    <col min="5" max="5" width="39.83203125" bestFit="1" customWidth="1"/>
    <col min="6" max="6" width="49.1640625" customWidth="1"/>
  </cols>
  <sheetData>
    <row r="1" spans="1:7" x14ac:dyDescent="0.2">
      <c r="A1" s="4" t="s">
        <v>1162</v>
      </c>
      <c r="B1" s="4" t="s">
        <v>1164</v>
      </c>
      <c r="C1" s="4" t="s">
        <v>1165</v>
      </c>
      <c r="D1" s="4" t="s">
        <v>1166</v>
      </c>
      <c r="E1" s="4" t="s">
        <v>1167</v>
      </c>
      <c r="F1" s="4" t="s">
        <v>1365</v>
      </c>
      <c r="G1" s="4" t="s">
        <v>1366</v>
      </c>
    </row>
    <row r="2" spans="1:7" x14ac:dyDescent="0.2">
      <c r="A2" s="5" t="s">
        <v>1169</v>
      </c>
      <c r="B2" s="10" t="s">
        <v>0</v>
      </c>
      <c r="C2" s="10" t="s">
        <v>230</v>
      </c>
      <c r="D2" s="10">
        <v>0</v>
      </c>
      <c r="E2" s="10" t="s">
        <v>1171</v>
      </c>
      <c r="F2" s="10" t="s">
        <v>1367</v>
      </c>
      <c r="G2" s="10" t="s">
        <v>1368</v>
      </c>
    </row>
    <row r="3" spans="1:7" x14ac:dyDescent="0.2">
      <c r="A3" s="29"/>
      <c r="B3" s="12" t="s">
        <v>1</v>
      </c>
      <c r="C3" s="12" t="s">
        <v>230</v>
      </c>
      <c r="D3" s="12">
        <v>0</v>
      </c>
      <c r="E3" s="12" t="s">
        <v>1173</v>
      </c>
      <c r="F3" s="12" t="s">
        <v>1369</v>
      </c>
      <c r="G3" s="12" t="s">
        <v>1370</v>
      </c>
    </row>
    <row r="4" spans="1:7" ht="45" customHeight="1" x14ac:dyDescent="0.2">
      <c r="A4" s="29"/>
      <c r="B4" s="12" t="s">
        <v>2</v>
      </c>
      <c r="C4" s="12" t="s">
        <v>230</v>
      </c>
      <c r="D4" s="12">
        <v>0</v>
      </c>
      <c r="E4" s="12" t="s">
        <v>1175</v>
      </c>
      <c r="F4" s="30" t="s">
        <v>1371</v>
      </c>
      <c r="G4" s="30" t="s">
        <v>1372</v>
      </c>
    </row>
    <row r="5" spans="1:7" x14ac:dyDescent="0.2">
      <c r="A5" s="29"/>
      <c r="B5" s="12" t="s">
        <v>3</v>
      </c>
      <c r="C5" s="12" t="s">
        <v>1177</v>
      </c>
      <c r="D5" s="12">
        <v>0</v>
      </c>
      <c r="E5" s="12" t="s">
        <v>1178</v>
      </c>
      <c r="F5" s="12" t="s">
        <v>1373</v>
      </c>
      <c r="G5" s="12" t="s">
        <v>1374</v>
      </c>
    </row>
    <row r="6" spans="1:7" x14ac:dyDescent="0.2">
      <c r="A6" s="29"/>
      <c r="B6" s="12" t="s">
        <v>4</v>
      </c>
      <c r="C6" s="12" t="s">
        <v>1177</v>
      </c>
      <c r="D6" s="12">
        <v>0</v>
      </c>
      <c r="E6" s="12" t="s">
        <v>1180</v>
      </c>
      <c r="F6" s="12" t="s">
        <v>1375</v>
      </c>
      <c r="G6" s="12" t="s">
        <v>1376</v>
      </c>
    </row>
    <row r="7" spans="1:7" ht="39" customHeight="1" x14ac:dyDescent="0.2">
      <c r="A7" s="29"/>
      <c r="B7" s="12" t="s">
        <v>5</v>
      </c>
      <c r="C7" s="12" t="s">
        <v>1177</v>
      </c>
      <c r="D7" s="12">
        <v>21</v>
      </c>
      <c r="E7" s="12" t="s">
        <v>1182</v>
      </c>
      <c r="F7" s="30" t="s">
        <v>1377</v>
      </c>
      <c r="G7" s="30" t="s">
        <v>1378</v>
      </c>
    </row>
    <row r="8" spans="1:7" x14ac:dyDescent="0.2">
      <c r="A8" s="29"/>
      <c r="B8" s="12" t="s">
        <v>6</v>
      </c>
      <c r="C8" s="12" t="s">
        <v>230</v>
      </c>
      <c r="D8" s="12">
        <v>0</v>
      </c>
      <c r="E8" s="12" t="s">
        <v>1184</v>
      </c>
      <c r="F8" s="12" t="s">
        <v>1379</v>
      </c>
      <c r="G8" s="12" t="s">
        <v>1380</v>
      </c>
    </row>
    <row r="9" spans="1:7" ht="136" x14ac:dyDescent="0.2">
      <c r="A9" s="29"/>
      <c r="B9" s="12" t="s">
        <v>1381</v>
      </c>
      <c r="C9" s="12" t="s">
        <v>1186</v>
      </c>
      <c r="D9" s="12">
        <v>0</v>
      </c>
      <c r="E9" s="12" t="s">
        <v>1187</v>
      </c>
      <c r="F9" s="30" t="s">
        <v>1382</v>
      </c>
      <c r="G9" s="30" t="s">
        <v>1383</v>
      </c>
    </row>
    <row r="10" spans="1:7" x14ac:dyDescent="0.2">
      <c r="A10" s="29"/>
      <c r="B10" s="12" t="s">
        <v>10</v>
      </c>
      <c r="C10" s="12" t="s">
        <v>1194</v>
      </c>
      <c r="D10" s="12">
        <v>0</v>
      </c>
      <c r="E10" s="12" t="s">
        <v>1195</v>
      </c>
      <c r="F10" s="12" t="s">
        <v>1384</v>
      </c>
      <c r="G10" s="12" t="s">
        <v>1385</v>
      </c>
    </row>
    <row r="11" spans="1:7" x14ac:dyDescent="0.2">
      <c r="A11" s="7"/>
      <c r="B11" s="4" t="s">
        <v>13</v>
      </c>
      <c r="C11" s="4" t="s">
        <v>1194</v>
      </c>
      <c r="D11" s="4">
        <v>0</v>
      </c>
      <c r="E11" s="4" t="s">
        <v>1201</v>
      </c>
      <c r="F11" s="4" t="s">
        <v>1386</v>
      </c>
      <c r="G11" s="4" t="s">
        <v>1387</v>
      </c>
    </row>
    <row r="12" spans="1:7" x14ac:dyDescent="0.2">
      <c r="A12" s="9" t="s">
        <v>1202</v>
      </c>
      <c r="B12" s="10" t="s">
        <v>0</v>
      </c>
      <c r="C12" s="10" t="s">
        <v>230</v>
      </c>
      <c r="D12" s="10">
        <v>0</v>
      </c>
      <c r="E12" s="10" t="s">
        <v>1171</v>
      </c>
      <c r="F12" s="10" t="s">
        <v>1388</v>
      </c>
      <c r="G12" s="10" t="s">
        <v>1389</v>
      </c>
    </row>
    <row r="13" spans="1:7" x14ac:dyDescent="0.2">
      <c r="A13" s="11"/>
      <c r="B13" s="12" t="s">
        <v>417</v>
      </c>
      <c r="C13" s="12" t="s">
        <v>230</v>
      </c>
      <c r="D13" s="12">
        <v>0</v>
      </c>
      <c r="E13" s="12" t="s">
        <v>1205</v>
      </c>
      <c r="F13" s="12" t="s">
        <v>1390</v>
      </c>
      <c r="G13" s="12" t="s">
        <v>1391</v>
      </c>
    </row>
    <row r="14" spans="1:7" ht="68" x14ac:dyDescent="0.2">
      <c r="A14" s="11"/>
      <c r="B14" s="12" t="s">
        <v>1392</v>
      </c>
      <c r="C14" s="12" t="s">
        <v>1186</v>
      </c>
      <c r="D14" s="12">
        <v>0</v>
      </c>
      <c r="E14" s="12" t="s">
        <v>1207</v>
      </c>
      <c r="F14" s="30" t="s">
        <v>1393</v>
      </c>
      <c r="G14" s="30" t="s">
        <v>1394</v>
      </c>
    </row>
    <row r="15" spans="1:7" x14ac:dyDescent="0.2">
      <c r="A15" s="11"/>
      <c r="B15" s="12" t="s">
        <v>1395</v>
      </c>
      <c r="C15" s="12" t="s">
        <v>1209</v>
      </c>
      <c r="D15" s="12">
        <v>0</v>
      </c>
      <c r="E15" s="12" t="s">
        <v>1210</v>
      </c>
      <c r="F15" s="12" t="s">
        <v>1396</v>
      </c>
      <c r="G15" s="12" t="s">
        <v>1397</v>
      </c>
    </row>
    <row r="16" spans="1:7" ht="34" x14ac:dyDescent="0.2">
      <c r="A16" s="13"/>
      <c r="B16" s="4" t="s">
        <v>420</v>
      </c>
      <c r="C16" s="4" t="s">
        <v>1212</v>
      </c>
      <c r="D16" s="4">
        <v>0</v>
      </c>
      <c r="E16" s="4" t="s">
        <v>1213</v>
      </c>
      <c r="F16" s="31" t="s">
        <v>1398</v>
      </c>
      <c r="G16" s="31" t="s">
        <v>1399</v>
      </c>
    </row>
    <row r="17" spans="1:7" x14ac:dyDescent="0.2">
      <c r="A17" s="9" t="s">
        <v>1214</v>
      </c>
      <c r="B17" s="10" t="s">
        <v>1</v>
      </c>
      <c r="C17" s="10" t="s">
        <v>230</v>
      </c>
      <c r="D17" s="10">
        <v>0</v>
      </c>
      <c r="E17" s="10" t="s">
        <v>1173</v>
      </c>
      <c r="F17" s="10" t="s">
        <v>1400</v>
      </c>
      <c r="G17" s="10" t="s">
        <v>1401</v>
      </c>
    </row>
    <row r="18" spans="1:7" ht="51" x14ac:dyDescent="0.2">
      <c r="A18" s="11"/>
      <c r="B18" s="12" t="s">
        <v>423</v>
      </c>
      <c r="C18" s="12" t="s">
        <v>1194</v>
      </c>
      <c r="D18" s="12">
        <v>0</v>
      </c>
      <c r="E18" s="12" t="s">
        <v>1221</v>
      </c>
      <c r="F18" s="30" t="s">
        <v>1402</v>
      </c>
      <c r="G18" s="30" t="s">
        <v>1403</v>
      </c>
    </row>
    <row r="19" spans="1:7" x14ac:dyDescent="0.2">
      <c r="A19" s="11"/>
      <c r="B19" s="12" t="s">
        <v>425</v>
      </c>
      <c r="C19" s="12" t="s">
        <v>1194</v>
      </c>
      <c r="D19" s="12">
        <v>0</v>
      </c>
      <c r="E19" s="12" t="s">
        <v>1225</v>
      </c>
      <c r="F19" s="12" t="s">
        <v>1404</v>
      </c>
      <c r="G19" s="12" t="s">
        <v>1405</v>
      </c>
    </row>
    <row r="20" spans="1:7" x14ac:dyDescent="0.2">
      <c r="A20" s="13"/>
      <c r="B20" s="4" t="s">
        <v>428</v>
      </c>
      <c r="C20" s="4" t="s">
        <v>1194</v>
      </c>
      <c r="D20" s="4">
        <v>0</v>
      </c>
      <c r="E20" s="4" t="s">
        <v>1231</v>
      </c>
      <c r="F20" s="4" t="s">
        <v>1406</v>
      </c>
      <c r="G20" s="4" t="s">
        <v>1407</v>
      </c>
    </row>
    <row r="21" spans="1:7" x14ac:dyDescent="0.2">
      <c r="A21" s="9" t="s">
        <v>1236</v>
      </c>
      <c r="B21" s="10" t="s">
        <v>2</v>
      </c>
      <c r="C21" s="10" t="s">
        <v>230</v>
      </c>
      <c r="D21" s="10">
        <v>0</v>
      </c>
      <c r="E21" s="10" t="s">
        <v>1175</v>
      </c>
      <c r="F21" s="10" t="s">
        <v>1408</v>
      </c>
      <c r="G21" s="10" t="s">
        <v>1409</v>
      </c>
    </row>
    <row r="22" spans="1:7" x14ac:dyDescent="0.2">
      <c r="A22" s="11"/>
      <c r="B22" s="12" t="s">
        <v>709</v>
      </c>
      <c r="C22" s="12" t="s">
        <v>1194</v>
      </c>
      <c r="D22" s="12">
        <v>0</v>
      </c>
      <c r="E22" s="12" t="s">
        <v>1243</v>
      </c>
      <c r="F22" s="12" t="s">
        <v>1410</v>
      </c>
      <c r="G22" s="12" t="s">
        <v>1411</v>
      </c>
    </row>
    <row r="23" spans="1:7" x14ac:dyDescent="0.2">
      <c r="A23" s="11"/>
      <c r="B23" s="12" t="s">
        <v>710</v>
      </c>
      <c r="C23" s="12" t="s">
        <v>1194</v>
      </c>
      <c r="D23" s="12">
        <v>0</v>
      </c>
      <c r="E23" s="12" t="s">
        <v>1245</v>
      </c>
      <c r="F23" s="12" t="s">
        <v>1412</v>
      </c>
      <c r="G23" s="12" t="s">
        <v>1413</v>
      </c>
    </row>
    <row r="24" spans="1:7" x14ac:dyDescent="0.2">
      <c r="A24" s="11"/>
      <c r="B24" s="12" t="s">
        <v>711</v>
      </c>
      <c r="C24" s="12" t="s">
        <v>1177</v>
      </c>
      <c r="D24" s="12">
        <v>0</v>
      </c>
      <c r="E24" s="12" t="s">
        <v>1247</v>
      </c>
      <c r="F24" s="12" t="s">
        <v>1414</v>
      </c>
      <c r="G24" s="12" t="s">
        <v>1413</v>
      </c>
    </row>
    <row r="25" spans="1:7" x14ac:dyDescent="0.2">
      <c r="A25" s="11"/>
      <c r="B25" s="12" t="s">
        <v>712</v>
      </c>
      <c r="C25" s="12" t="s">
        <v>1177</v>
      </c>
      <c r="D25" s="12">
        <v>0</v>
      </c>
      <c r="E25" s="12" t="s">
        <v>1249</v>
      </c>
      <c r="F25" s="12" t="s">
        <v>1415</v>
      </c>
      <c r="G25" s="12" t="s">
        <v>1416</v>
      </c>
    </row>
    <row r="26" spans="1:7" x14ac:dyDescent="0.2">
      <c r="A26" s="11"/>
      <c r="B26" s="12" t="s">
        <v>425</v>
      </c>
      <c r="C26" s="12" t="s">
        <v>1194</v>
      </c>
      <c r="D26" s="12">
        <v>0</v>
      </c>
      <c r="E26" s="12" t="s">
        <v>1253</v>
      </c>
      <c r="F26" s="12" t="s">
        <v>1417</v>
      </c>
      <c r="G26" s="12" t="s">
        <v>1418</v>
      </c>
    </row>
    <row r="27" spans="1:7" x14ac:dyDescent="0.2">
      <c r="A27" s="11"/>
      <c r="B27" s="12" t="s">
        <v>428</v>
      </c>
      <c r="C27" s="12" t="s">
        <v>1194</v>
      </c>
      <c r="D27" s="12">
        <v>0</v>
      </c>
      <c r="E27" s="12" t="s">
        <v>1259</v>
      </c>
      <c r="F27" s="12" t="s">
        <v>1419</v>
      </c>
      <c r="G27" s="12" t="s">
        <v>1420</v>
      </c>
    </row>
    <row r="28" spans="1:7" x14ac:dyDescent="0.2">
      <c r="A28" s="11"/>
      <c r="B28" s="12" t="s">
        <v>716</v>
      </c>
      <c r="C28" s="12" t="s">
        <v>230</v>
      </c>
      <c r="D28" s="12">
        <v>1</v>
      </c>
      <c r="E28" s="12" t="s">
        <v>1267</v>
      </c>
      <c r="F28" s="12" t="s">
        <v>1421</v>
      </c>
      <c r="G28" s="12" t="s">
        <v>1422</v>
      </c>
    </row>
    <row r="29" spans="1:7" x14ac:dyDescent="0.2">
      <c r="A29" s="11"/>
      <c r="B29" s="12" t="s">
        <v>718</v>
      </c>
      <c r="C29" s="12" t="s">
        <v>1194</v>
      </c>
      <c r="D29" s="12">
        <v>0</v>
      </c>
      <c r="E29" s="12" t="s">
        <v>1271</v>
      </c>
      <c r="F29" s="12" t="s">
        <v>1423</v>
      </c>
      <c r="G29" s="12" t="s">
        <v>1424</v>
      </c>
    </row>
    <row r="30" spans="1:7" x14ac:dyDescent="0.2">
      <c r="A30" s="11"/>
      <c r="B30" s="12" t="s">
        <v>720</v>
      </c>
      <c r="C30" s="12" t="s">
        <v>1194</v>
      </c>
      <c r="D30" s="12">
        <v>0</v>
      </c>
      <c r="E30" s="12" t="s">
        <v>1275</v>
      </c>
      <c r="F30" s="12" t="s">
        <v>1425</v>
      </c>
      <c r="G30" s="12" t="s">
        <v>1426</v>
      </c>
    </row>
    <row r="31" spans="1:7" x14ac:dyDescent="0.2">
      <c r="A31" s="11"/>
      <c r="B31" s="12" t="s">
        <v>721</v>
      </c>
      <c r="C31" s="12" t="s">
        <v>1277</v>
      </c>
      <c r="D31" s="12">
        <v>0</v>
      </c>
      <c r="E31" s="12" t="s">
        <v>1278</v>
      </c>
      <c r="F31" s="12" t="s">
        <v>1427</v>
      </c>
      <c r="G31" s="12" t="s">
        <v>1428</v>
      </c>
    </row>
    <row r="32" spans="1:7" x14ac:dyDescent="0.2">
      <c r="A32" s="11"/>
      <c r="B32" s="12" t="s">
        <v>722</v>
      </c>
      <c r="C32" s="12" t="s">
        <v>1194</v>
      </c>
      <c r="D32" s="12">
        <v>0</v>
      </c>
      <c r="E32" s="12" t="s">
        <v>1280</v>
      </c>
      <c r="F32" s="12" t="s">
        <v>1429</v>
      </c>
      <c r="G32" s="12" t="s">
        <v>1430</v>
      </c>
    </row>
    <row r="33" spans="1:7" x14ac:dyDescent="0.2">
      <c r="A33" s="11"/>
      <c r="B33" s="12" t="s">
        <v>723</v>
      </c>
      <c r="C33" s="12" t="s">
        <v>1277</v>
      </c>
      <c r="D33" s="12">
        <v>0</v>
      </c>
      <c r="E33" s="12" t="s">
        <v>1282</v>
      </c>
      <c r="F33" s="12" t="s">
        <v>1431</v>
      </c>
      <c r="G33" s="12" t="s">
        <v>1432</v>
      </c>
    </row>
    <row r="34" spans="1:7" x14ac:dyDescent="0.2">
      <c r="A34" s="11"/>
      <c r="B34" s="12" t="s">
        <v>724</v>
      </c>
      <c r="C34" s="12" t="s">
        <v>1277</v>
      </c>
      <c r="D34" s="12">
        <v>0</v>
      </c>
      <c r="E34" s="12" t="s">
        <v>1284</v>
      </c>
      <c r="F34" s="12" t="s">
        <v>1433</v>
      </c>
      <c r="G34" s="12" t="s">
        <v>1434</v>
      </c>
    </row>
    <row r="35" spans="1:7" x14ac:dyDescent="0.2">
      <c r="A35" s="11"/>
      <c r="B35" s="12" t="s">
        <v>725</v>
      </c>
      <c r="C35" s="12" t="s">
        <v>1277</v>
      </c>
      <c r="D35" s="12">
        <v>0</v>
      </c>
      <c r="E35" s="12" t="s">
        <v>1286</v>
      </c>
      <c r="F35" s="12" t="s">
        <v>1435</v>
      </c>
      <c r="G35" s="12" t="s">
        <v>1436</v>
      </c>
    </row>
    <row r="36" spans="1:7" x14ac:dyDescent="0.2">
      <c r="A36" s="11"/>
      <c r="B36" s="12" t="s">
        <v>726</v>
      </c>
      <c r="C36" s="12" t="s">
        <v>1277</v>
      </c>
      <c r="D36" s="12">
        <v>0</v>
      </c>
      <c r="E36" s="12" t="s">
        <v>1288</v>
      </c>
      <c r="F36" s="12" t="s">
        <v>1437</v>
      </c>
      <c r="G36" s="12" t="s">
        <v>1438</v>
      </c>
    </row>
    <row r="37" spans="1:7" x14ac:dyDescent="0.2">
      <c r="A37" s="13"/>
      <c r="B37" s="4" t="s">
        <v>727</v>
      </c>
      <c r="C37" s="4" t="s">
        <v>1277</v>
      </c>
      <c r="D37" s="4">
        <v>0</v>
      </c>
      <c r="E37" s="4" t="s">
        <v>1290</v>
      </c>
      <c r="F37" s="4" t="s">
        <v>1439</v>
      </c>
      <c r="G37" s="4" t="s">
        <v>1440</v>
      </c>
    </row>
    <row r="38" spans="1:7" x14ac:dyDescent="0.2">
      <c r="A38" s="32" t="s">
        <v>1291</v>
      </c>
      <c r="B38" s="32" t="s">
        <v>808</v>
      </c>
      <c r="C38" s="32" t="s">
        <v>230</v>
      </c>
      <c r="D38" s="32">
        <v>0</v>
      </c>
      <c r="E38" s="32" t="s">
        <v>1184</v>
      </c>
      <c r="F38" s="32" t="s">
        <v>1441</v>
      </c>
      <c r="G38" s="32" t="s">
        <v>1442</v>
      </c>
    </row>
    <row r="39" spans="1:7" x14ac:dyDescent="0.2">
      <c r="A39" s="9" t="s">
        <v>1297</v>
      </c>
      <c r="B39" s="10" t="s">
        <v>417</v>
      </c>
      <c r="C39" s="10" t="s">
        <v>230</v>
      </c>
      <c r="D39" s="10">
        <v>0</v>
      </c>
      <c r="E39" s="10" t="s">
        <v>1205</v>
      </c>
      <c r="F39" s="10" t="s">
        <v>1443</v>
      </c>
      <c r="G39" s="10" t="s">
        <v>1444</v>
      </c>
    </row>
    <row r="40" spans="1:7" x14ac:dyDescent="0.2">
      <c r="A40" s="11"/>
      <c r="B40" s="12" t="s">
        <v>816</v>
      </c>
      <c r="C40" s="12" t="s">
        <v>230</v>
      </c>
      <c r="D40" s="12">
        <v>0</v>
      </c>
      <c r="E40" s="12" t="s">
        <v>1302</v>
      </c>
      <c r="F40" s="12" t="s">
        <v>1445</v>
      </c>
      <c r="G40" s="12" t="s">
        <v>1446</v>
      </c>
    </row>
    <row r="41" spans="1:7" x14ac:dyDescent="0.2">
      <c r="A41" s="11"/>
      <c r="B41" s="12" t="s">
        <v>817</v>
      </c>
      <c r="C41" s="12" t="s">
        <v>230</v>
      </c>
      <c r="D41" s="12">
        <v>0</v>
      </c>
      <c r="E41" s="12" t="s">
        <v>1304</v>
      </c>
      <c r="F41" s="12" t="s">
        <v>1447</v>
      </c>
      <c r="G41" s="12" t="s">
        <v>1448</v>
      </c>
    </row>
    <row r="42" spans="1:7" ht="187" x14ac:dyDescent="0.2">
      <c r="A42" s="11"/>
      <c r="B42" s="12" t="s">
        <v>1392</v>
      </c>
      <c r="C42" s="12" t="s">
        <v>1186</v>
      </c>
      <c r="D42" s="12">
        <v>0</v>
      </c>
      <c r="E42" s="12" t="s">
        <v>1207</v>
      </c>
      <c r="F42" s="30" t="s">
        <v>1449</v>
      </c>
      <c r="G42" s="30" t="s">
        <v>1450</v>
      </c>
    </row>
    <row r="43" spans="1:7" ht="68" x14ac:dyDescent="0.2">
      <c r="A43" s="11"/>
      <c r="B43" s="12" t="s">
        <v>819</v>
      </c>
      <c r="C43" s="12" t="s">
        <v>1209</v>
      </c>
      <c r="D43" s="12">
        <v>0</v>
      </c>
      <c r="E43" s="12" t="s">
        <v>1309</v>
      </c>
      <c r="F43" s="30" t="s">
        <v>1451</v>
      </c>
      <c r="G43" s="30" t="s">
        <v>1452</v>
      </c>
    </row>
    <row r="44" spans="1:7" ht="68" x14ac:dyDescent="0.2">
      <c r="A44" s="11"/>
      <c r="B44" s="12" t="s">
        <v>820</v>
      </c>
      <c r="C44" s="12" t="s">
        <v>1209</v>
      </c>
      <c r="D44" s="12">
        <v>0</v>
      </c>
      <c r="E44" s="12" t="s">
        <v>1311</v>
      </c>
      <c r="F44" s="30" t="s">
        <v>1453</v>
      </c>
      <c r="G44" s="30" t="s">
        <v>1454</v>
      </c>
    </row>
    <row r="45" spans="1:7" x14ac:dyDescent="0.2">
      <c r="A45" s="11"/>
      <c r="B45" s="12" t="s">
        <v>821</v>
      </c>
      <c r="C45" s="12" t="s">
        <v>1209</v>
      </c>
      <c r="D45" s="12">
        <v>0</v>
      </c>
      <c r="E45" s="12" t="s">
        <v>1313</v>
      </c>
      <c r="F45" s="12" t="s">
        <v>1455</v>
      </c>
      <c r="G45" s="12" t="s">
        <v>1456</v>
      </c>
    </row>
    <row r="46" spans="1:7" ht="102" x14ac:dyDescent="0.2">
      <c r="A46" s="13"/>
      <c r="B46" s="4" t="s">
        <v>822</v>
      </c>
      <c r="C46" s="4" t="s">
        <v>1277</v>
      </c>
      <c r="D46" s="4">
        <v>0</v>
      </c>
      <c r="E46" s="4" t="s">
        <v>1315</v>
      </c>
      <c r="F46" s="31" t="s">
        <v>1457</v>
      </c>
      <c r="G46" s="31" t="s">
        <v>1458</v>
      </c>
    </row>
    <row r="47" spans="1:7" x14ac:dyDescent="0.2">
      <c r="A47" s="9" t="s">
        <v>1316</v>
      </c>
      <c r="B47" s="10" t="s">
        <v>816</v>
      </c>
      <c r="C47" s="10" t="s">
        <v>230</v>
      </c>
      <c r="D47" s="10">
        <v>0</v>
      </c>
      <c r="E47" s="10" t="s">
        <v>1302</v>
      </c>
      <c r="F47" s="10" t="s">
        <v>1459</v>
      </c>
      <c r="G47" s="10" t="s">
        <v>1460</v>
      </c>
    </row>
    <row r="48" spans="1:7" x14ac:dyDescent="0.2">
      <c r="A48" s="11"/>
      <c r="B48" s="12" t="s">
        <v>423</v>
      </c>
      <c r="C48" s="12" t="s">
        <v>1194</v>
      </c>
      <c r="D48" s="12">
        <v>0</v>
      </c>
      <c r="E48" s="12" t="s">
        <v>1323</v>
      </c>
      <c r="F48" s="12" t="s">
        <v>1461</v>
      </c>
      <c r="G48" s="12" t="s">
        <v>1462</v>
      </c>
    </row>
    <row r="49" spans="1:7" x14ac:dyDescent="0.2">
      <c r="A49" s="11"/>
      <c r="B49" s="12" t="s">
        <v>425</v>
      </c>
      <c r="C49" s="12" t="s">
        <v>1194</v>
      </c>
      <c r="D49" s="12">
        <v>0</v>
      </c>
      <c r="E49" s="12" t="s">
        <v>1327</v>
      </c>
      <c r="F49" s="12" t="s">
        <v>1463</v>
      </c>
      <c r="G49" s="12" t="s">
        <v>1464</v>
      </c>
    </row>
    <row r="50" spans="1:7" x14ac:dyDescent="0.2">
      <c r="A50" s="13"/>
      <c r="B50" s="4" t="s">
        <v>428</v>
      </c>
      <c r="C50" s="4" t="s">
        <v>1194</v>
      </c>
      <c r="D50" s="4">
        <v>0</v>
      </c>
      <c r="E50" s="4" t="s">
        <v>1333</v>
      </c>
      <c r="F50" s="4" t="s">
        <v>1465</v>
      </c>
      <c r="G50" s="4" t="s">
        <v>1466</v>
      </c>
    </row>
    <row r="51" spans="1:7" x14ac:dyDescent="0.2">
      <c r="A51" s="9" t="s">
        <v>1338</v>
      </c>
      <c r="B51" s="10" t="s">
        <v>817</v>
      </c>
      <c r="C51" s="10" t="s">
        <v>230</v>
      </c>
      <c r="D51" s="10">
        <v>0</v>
      </c>
      <c r="E51" s="10" t="s">
        <v>1304</v>
      </c>
      <c r="F51" s="10" t="s">
        <v>1467</v>
      </c>
      <c r="G51" s="10" t="s">
        <v>1468</v>
      </c>
    </row>
    <row r="52" spans="1:7" x14ac:dyDescent="0.2">
      <c r="A52" s="11"/>
      <c r="B52" s="12" t="s">
        <v>1144</v>
      </c>
      <c r="C52" s="12" t="s">
        <v>1194</v>
      </c>
      <c r="D52" s="12">
        <v>0</v>
      </c>
      <c r="E52" s="12" t="s">
        <v>1341</v>
      </c>
      <c r="F52" s="12"/>
      <c r="G52" s="12" t="s">
        <v>1469</v>
      </c>
    </row>
    <row r="53" spans="1:7" x14ac:dyDescent="0.2">
      <c r="A53" s="11"/>
      <c r="B53" s="12" t="s">
        <v>1345</v>
      </c>
      <c r="C53" s="12" t="s">
        <v>1277</v>
      </c>
      <c r="D53" s="12">
        <v>0</v>
      </c>
      <c r="E53" s="12" t="s">
        <v>1346</v>
      </c>
      <c r="F53" s="12"/>
      <c r="G53" s="12" t="s">
        <v>1470</v>
      </c>
    </row>
    <row r="54" spans="1:7" x14ac:dyDescent="0.2">
      <c r="A54" s="11"/>
      <c r="B54" s="12" t="s">
        <v>1348</v>
      </c>
      <c r="C54" s="12" t="s">
        <v>1277</v>
      </c>
      <c r="D54" s="12">
        <v>0</v>
      </c>
      <c r="E54" s="12" t="s">
        <v>1349</v>
      </c>
      <c r="F54" s="12"/>
      <c r="G54" s="12" t="s">
        <v>1471</v>
      </c>
    </row>
    <row r="55" spans="1:7" x14ac:dyDescent="0.2">
      <c r="A55" s="11"/>
      <c r="B55" s="12" t="s">
        <v>1351</v>
      </c>
      <c r="C55" s="12" t="s">
        <v>1277</v>
      </c>
      <c r="D55" s="12">
        <v>0</v>
      </c>
      <c r="E55" s="12" t="s">
        <v>1352</v>
      </c>
      <c r="F55" s="12"/>
      <c r="G55" s="12" t="s">
        <v>1472</v>
      </c>
    </row>
    <row r="56" spans="1:7" x14ac:dyDescent="0.2">
      <c r="A56" s="11"/>
      <c r="B56" s="12" t="s">
        <v>1354</v>
      </c>
      <c r="C56" s="12" t="s">
        <v>1277</v>
      </c>
      <c r="D56" s="12">
        <v>0</v>
      </c>
      <c r="E56" s="12" t="s">
        <v>1355</v>
      </c>
      <c r="F56" s="12"/>
      <c r="G56" s="12" t="s">
        <v>1473</v>
      </c>
    </row>
    <row r="57" spans="1:7" x14ac:dyDescent="0.2">
      <c r="A57" s="11"/>
      <c r="B57" s="12" t="s">
        <v>1357</v>
      </c>
      <c r="C57" s="12" t="s">
        <v>1277</v>
      </c>
      <c r="D57" s="12">
        <v>0</v>
      </c>
      <c r="E57" s="12" t="s">
        <v>1358</v>
      </c>
      <c r="F57" s="12"/>
      <c r="G57" s="12" t="s">
        <v>1474</v>
      </c>
    </row>
    <row r="58" spans="1:7" x14ac:dyDescent="0.2">
      <c r="A58" s="11"/>
      <c r="B58" s="12" t="s">
        <v>1360</v>
      </c>
      <c r="C58" s="12" t="s">
        <v>1277</v>
      </c>
      <c r="D58" s="12">
        <v>0</v>
      </c>
      <c r="E58" s="12" t="s">
        <v>1361</v>
      </c>
      <c r="F58" s="12"/>
      <c r="G58" s="12" t="s">
        <v>1475</v>
      </c>
    </row>
    <row r="59" spans="1:7" x14ac:dyDescent="0.2">
      <c r="A59" s="13"/>
      <c r="B59" s="4" t="s">
        <v>1363</v>
      </c>
      <c r="C59" s="4" t="s">
        <v>1277</v>
      </c>
      <c r="D59" s="4">
        <v>0</v>
      </c>
      <c r="E59" s="4" t="s">
        <v>1364</v>
      </c>
      <c r="F59" s="4"/>
      <c r="G59" s="4" t="s">
        <v>1476</v>
      </c>
    </row>
  </sheetData>
  <mergeCells count="7">
    <mergeCell ref="A51:A59"/>
    <mergeCell ref="A2:A11"/>
    <mergeCell ref="A12:A16"/>
    <mergeCell ref="A17:A20"/>
    <mergeCell ref="A21:A37"/>
    <mergeCell ref="A39:A46"/>
    <mergeCell ref="A47:A50"/>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8D89E9-EA4B-C640-B138-C8F896FC28BB}">
  <dimension ref="A1:AA831"/>
  <sheetViews>
    <sheetView topLeftCell="S1" zoomScale="187" workbookViewId="0">
      <selection activeCell="AA24" sqref="AA2:AA24"/>
    </sheetView>
  </sheetViews>
  <sheetFormatPr baseColWidth="10" defaultRowHeight="16" x14ac:dyDescent="0.2"/>
  <cols>
    <col min="3" max="3" width="16.83203125" customWidth="1"/>
    <col min="6" max="6" width="18.33203125" customWidth="1"/>
    <col min="11" max="11" width="17.1640625" customWidth="1"/>
    <col min="15" max="15" width="19.1640625" customWidth="1"/>
  </cols>
  <sheetData>
    <row r="1" spans="1:27" x14ac:dyDescent="0.2">
      <c r="A1" t="s">
        <v>1368</v>
      </c>
      <c r="B1">
        <f>COUNTA(Orders[orderID])</f>
        <v>830</v>
      </c>
    </row>
    <row r="2" spans="1:27" x14ac:dyDescent="0.2">
      <c r="A2" t="s">
        <v>1370</v>
      </c>
      <c r="B2" t="str" cm="1">
        <f t="array" ref="B2:B92">Customers[customerID]</f>
        <v>ALFKI</v>
      </c>
      <c r="C2" t="str" cm="1">
        <f t="array" ref="C2:C92">Customers[companyName]</f>
        <v>Alfreds Futterkiste</v>
      </c>
      <c r="D2" cm="1">
        <f t="array" ref="D2">COUNTA(_xlfn._xlws.FILTER(Orders[orderID],Orders[customerID]=B2))</f>
        <v>6</v>
      </c>
      <c r="E2" t="str" cm="1">
        <f t="array" ref="E2:G92">_xlfn._xlws.SORT(B2:D92, 3, -1)</f>
        <v>SAVEA</v>
      </c>
      <c r="F2" t="str">
        <v>Save-a-lot Markets</v>
      </c>
      <c r="G2">
        <v>31</v>
      </c>
      <c r="I2" t="s">
        <v>1380</v>
      </c>
      <c r="J2" cm="1">
        <f t="array" ref="J2:J4">Shippers[shipperID]</f>
        <v>1</v>
      </c>
      <c r="K2" t="str" cm="1">
        <f t="array" ref="K2:K4">Shippers[companyName]</f>
        <v>Speedy Express</v>
      </c>
      <c r="L2" cm="1">
        <f t="array" ref="L2">COUNTA(_xlfn._xlws.FILTER(Orders[orderID],Orders[shipVia]=J2))</f>
        <v>249</v>
      </c>
      <c r="M2" t="s">
        <v>1491</v>
      </c>
      <c r="N2" cm="1">
        <f t="array" ref="N2:N10">Employee[employeeID]</f>
        <v>1</v>
      </c>
      <c r="O2" t="str" cm="1">
        <f t="array" ref="O2:O10">Employee[lastName] &amp; "-" &amp; Employee[firstName]</f>
        <v>Davolio-Nancy</v>
      </c>
      <c r="P2" cm="1">
        <f t="array" ref="P2">COUNTA(_xlfn._xlws.FILTER(Orders[orderID], Orders[employeeID]=N2))</f>
        <v>123</v>
      </c>
      <c r="Q2" cm="1">
        <f t="array" ref="Q2">COUNTA(_xlfn.UNIQUE(_xlfn._xlws.FILTER(Orders[customerID],Orders[employeeID]=N2)))</f>
        <v>65</v>
      </c>
      <c r="R2" t="s">
        <v>1374</v>
      </c>
      <c r="S2" s="1" cm="1">
        <f t="array" ref="S2:S831">Orders[orderDate]</f>
        <v>35250</v>
      </c>
      <c r="T2">
        <f>MONTH(S2)</f>
        <v>7</v>
      </c>
      <c r="U2">
        <f>YEAR(S2)</f>
        <v>1996</v>
      </c>
      <c r="V2" t="str">
        <f>T2&amp;"/"&amp;U2</f>
        <v>7/1996</v>
      </c>
      <c r="W2" t="str" cm="1">
        <f t="array" ref="W2:W24">_xlfn.UNIQUE(V2:V831)</f>
        <v>7/1996</v>
      </c>
      <c r="X2" s="61" cm="1">
        <f t="array" ref="X2">COUNTA(_xlfn._xlws.FILTER(_xlfn.ANCHORARRAY($S$2),$V$2:$V$831=W2))</f>
        <v>22</v>
      </c>
      <c r="Y2" s="1" cm="1">
        <f t="array" ref="Y2:Y831">Orders[requiredDate]</f>
        <v>35278</v>
      </c>
      <c r="Z2">
        <f>Y2-S2</f>
        <v>28</v>
      </c>
      <c r="AA2" s="60" cm="1">
        <f t="array" ref="AA2">AVERAGE(_xlfn._xlws.FILTER($Z$2:$Z$831,$V$2:$V$831=W2))</f>
        <v>28</v>
      </c>
    </row>
    <row r="3" spans="1:27" x14ac:dyDescent="0.2">
      <c r="B3" t="str">
        <v>ANATR</v>
      </c>
      <c r="C3" t="str">
        <v>Ana Trujillo Emparedados y helados</v>
      </c>
      <c r="D3" cm="1">
        <f t="array" ref="D3">COUNTA(_xlfn._xlws.FILTER(Orders[orderID],Orders[customerID]=B3))</f>
        <v>4</v>
      </c>
      <c r="E3" t="str">
        <v>ERNSH</v>
      </c>
      <c r="F3" t="str">
        <v>Ernst Handel</v>
      </c>
      <c r="G3">
        <v>30</v>
      </c>
      <c r="J3">
        <v>2</v>
      </c>
      <c r="K3" t="str">
        <v>United Package</v>
      </c>
      <c r="L3" cm="1">
        <f t="array" ref="L3">COUNTA(_xlfn._xlws.FILTER(Orders[orderID],Orders[shipVia]=J3))</f>
        <v>326</v>
      </c>
      <c r="M3" t="s">
        <v>1492</v>
      </c>
      <c r="N3">
        <v>2</v>
      </c>
      <c r="O3" t="str">
        <v>Fuller-Andrew</v>
      </c>
      <c r="P3" cm="1">
        <f t="array" ref="P3">COUNTA(_xlfn._xlws.FILTER(Orders[orderID], Orders[employeeID]=N3))</f>
        <v>96</v>
      </c>
      <c r="Q3" cm="1">
        <f t="array" ref="Q3">COUNTA(_xlfn.UNIQUE(_xlfn._xlws.FILTER(Orders[customerID],Orders[employeeID]=N3)))</f>
        <v>59</v>
      </c>
      <c r="R3" t="s">
        <v>1376</v>
      </c>
      <c r="S3" s="1">
        <v>35251</v>
      </c>
      <c r="T3">
        <f t="shared" ref="T3:T66" si="0">MONTH(S3)</f>
        <v>7</v>
      </c>
      <c r="U3">
        <f t="shared" ref="U3:U66" si="1">YEAR(S3)</f>
        <v>1996</v>
      </c>
      <c r="V3" t="str">
        <f t="shared" ref="V3:V66" si="2">T3&amp;"/"&amp;U3</f>
        <v>7/1996</v>
      </c>
      <c r="W3" t="str">
        <v>8/1996</v>
      </c>
      <c r="X3" s="61" cm="1">
        <f t="array" ref="X3">COUNTA(_xlfn._xlws.FILTER(_xlfn.ANCHORARRAY($S$2),$V$2:$V$831=W3))</f>
        <v>25</v>
      </c>
      <c r="Y3" s="1">
        <v>35293</v>
      </c>
      <c r="Z3">
        <f t="shared" ref="Z3:Z66" si="3">Y3-S3</f>
        <v>42</v>
      </c>
      <c r="AA3" s="60" cm="1">
        <f t="array" ref="AA3">AVERAGE(_xlfn._xlws.FILTER($Z$2:$Z$831,$V$2:$V$831=W3))</f>
        <v>26.88</v>
      </c>
    </row>
    <row r="4" spans="1:27" x14ac:dyDescent="0.2">
      <c r="B4" t="str">
        <v>ANTON</v>
      </c>
      <c r="C4" t="str">
        <v>Antonio Moreno Taquería</v>
      </c>
      <c r="D4" cm="1">
        <f t="array" ref="D4">COUNTA(_xlfn._xlws.FILTER(Orders[orderID],Orders[customerID]=B4))</f>
        <v>7</v>
      </c>
      <c r="E4" t="str">
        <v>QUICK</v>
      </c>
      <c r="F4" t="str">
        <v>QUICK-Stop</v>
      </c>
      <c r="G4">
        <v>28</v>
      </c>
      <c r="J4">
        <v>3</v>
      </c>
      <c r="K4" t="str">
        <v>Federal Shipping</v>
      </c>
      <c r="L4" cm="1">
        <f t="array" ref="L4">COUNTA(_xlfn._xlws.FILTER(Orders[orderID],Orders[shipVia]=J4))</f>
        <v>255</v>
      </c>
      <c r="N4">
        <v>3</v>
      </c>
      <c r="O4" t="str">
        <v>Leverling-Janet</v>
      </c>
      <c r="P4" cm="1">
        <f t="array" ref="P4">COUNTA(_xlfn._xlws.FILTER(Orders[orderID], Orders[employeeID]=N4))</f>
        <v>127</v>
      </c>
      <c r="Q4" cm="1">
        <f t="array" ref="Q4">COUNTA(_xlfn.UNIQUE(_xlfn._xlws.FILTER(Orders[customerID],Orders[employeeID]=N4)))</f>
        <v>63</v>
      </c>
      <c r="R4" t="s">
        <v>1493</v>
      </c>
      <c r="S4" s="1">
        <v>35254</v>
      </c>
      <c r="T4">
        <f t="shared" si="0"/>
        <v>7</v>
      </c>
      <c r="U4">
        <f t="shared" si="1"/>
        <v>1996</v>
      </c>
      <c r="V4" t="str">
        <f t="shared" si="2"/>
        <v>7/1996</v>
      </c>
      <c r="W4" t="str">
        <v>9/1996</v>
      </c>
      <c r="X4" s="61" cm="1">
        <f t="array" ref="X4">COUNTA(_xlfn._xlws.FILTER(_xlfn.ANCHORARRAY($S$2),$V$2:$V$831=W4))</f>
        <v>23</v>
      </c>
      <c r="Y4" s="1">
        <v>35282</v>
      </c>
      <c r="Z4">
        <f t="shared" si="3"/>
        <v>28</v>
      </c>
      <c r="AA4" s="60" cm="1">
        <f t="array" ref="AA4">AVERAGE(_xlfn._xlws.FILTER($Z$2:$Z$831,$V$2:$V$831=W4))</f>
        <v>28</v>
      </c>
    </row>
    <row r="5" spans="1:27" x14ac:dyDescent="0.2">
      <c r="B5" t="str">
        <v>AROUT</v>
      </c>
      <c r="C5" t="str">
        <v>Around the Horn</v>
      </c>
      <c r="D5" cm="1">
        <f t="array" ref="D5">COUNTA(_xlfn._xlws.FILTER(Orders[orderID],Orders[customerID]=B5))</f>
        <v>13</v>
      </c>
      <c r="E5" t="str">
        <v>FOLKO</v>
      </c>
      <c r="F5" t="str">
        <v>Folk och fä HB</v>
      </c>
      <c r="G5">
        <v>19</v>
      </c>
      <c r="N5">
        <v>4</v>
      </c>
      <c r="O5" t="str">
        <v>Peacock-Margaret</v>
      </c>
      <c r="P5" cm="1">
        <f t="array" ref="P5">COUNTA(_xlfn._xlws.FILTER(Orders[orderID], Orders[employeeID]=N5))</f>
        <v>156</v>
      </c>
      <c r="Q5" cm="1">
        <f t="array" ref="Q5">COUNTA(_xlfn.UNIQUE(_xlfn._xlws.FILTER(Orders[customerID],Orders[employeeID]=N5)))</f>
        <v>75</v>
      </c>
      <c r="R5" t="s">
        <v>1494</v>
      </c>
      <c r="S5" s="1">
        <v>35254</v>
      </c>
      <c r="T5">
        <f t="shared" si="0"/>
        <v>7</v>
      </c>
      <c r="U5">
        <f t="shared" si="1"/>
        <v>1996</v>
      </c>
      <c r="V5" t="str">
        <f t="shared" si="2"/>
        <v>7/1996</v>
      </c>
      <c r="W5" t="str">
        <v>10/1996</v>
      </c>
      <c r="X5" s="61" cm="1">
        <f t="array" ref="X5">COUNTA(_xlfn._xlws.FILTER(_xlfn.ANCHORARRAY($S$2),$V$2:$V$831=W5))</f>
        <v>26</v>
      </c>
      <c r="Y5" s="1">
        <v>35282</v>
      </c>
      <c r="Z5">
        <f t="shared" si="3"/>
        <v>28</v>
      </c>
      <c r="AA5" s="60" cm="1">
        <f t="array" ref="AA5">AVERAGE(_xlfn._xlws.FILTER($Z$2:$Z$831,$V$2:$V$831=W5))</f>
        <v>28</v>
      </c>
    </row>
    <row r="6" spans="1:27" x14ac:dyDescent="0.2">
      <c r="B6" t="str">
        <v>BERGS</v>
      </c>
      <c r="C6" t="str">
        <v>Berglunds snabbköp</v>
      </c>
      <c r="D6" cm="1">
        <f t="array" ref="D6">COUNTA(_xlfn._xlws.FILTER(Orders[orderID],Orders[customerID]=B6))</f>
        <v>18</v>
      </c>
      <c r="E6" t="str">
        <v>HUNGO</v>
      </c>
      <c r="F6" t="str">
        <v>Hungry Owl All-Night Grocers</v>
      </c>
      <c r="G6">
        <v>19</v>
      </c>
      <c r="N6">
        <v>5</v>
      </c>
      <c r="O6" t="str">
        <v>Buchanan-Steven</v>
      </c>
      <c r="P6" cm="1">
        <f t="array" ref="P6">COUNTA(_xlfn._xlws.FILTER(Orders[orderID], Orders[employeeID]=N6))</f>
        <v>42</v>
      </c>
      <c r="Q6" cm="1">
        <f t="array" ref="Q6">COUNTA(_xlfn.UNIQUE(_xlfn._xlws.FILTER(Orders[customerID],Orders[employeeID]=N6)))</f>
        <v>29</v>
      </c>
      <c r="S6" s="1">
        <v>35255</v>
      </c>
      <c r="T6">
        <f t="shared" si="0"/>
        <v>7</v>
      </c>
      <c r="U6">
        <f t="shared" si="1"/>
        <v>1996</v>
      </c>
      <c r="V6" t="str">
        <f t="shared" si="2"/>
        <v>7/1996</v>
      </c>
      <c r="W6" t="str">
        <v>11/1996</v>
      </c>
      <c r="X6" s="61" cm="1">
        <f t="array" ref="X6">COUNTA(_xlfn._xlws.FILTER(_xlfn.ANCHORARRAY($S$2),$V$2:$V$831=W6))</f>
        <v>25</v>
      </c>
      <c r="Y6" s="1">
        <v>35283</v>
      </c>
      <c r="Z6">
        <f t="shared" si="3"/>
        <v>28</v>
      </c>
      <c r="AA6" s="60" cm="1">
        <f t="array" ref="AA6">AVERAGE(_xlfn._xlws.FILTER($Z$2:$Z$831,$V$2:$V$831=W6))</f>
        <v>29.12</v>
      </c>
    </row>
    <row r="7" spans="1:27" x14ac:dyDescent="0.2">
      <c r="B7" t="str">
        <v>BLAUS</v>
      </c>
      <c r="C7" t="str">
        <v>Blauer See Delikatessen</v>
      </c>
      <c r="D7" cm="1">
        <f t="array" ref="D7">COUNTA(_xlfn._xlws.FILTER(Orders[orderID],Orders[customerID]=B7))</f>
        <v>7</v>
      </c>
      <c r="E7" t="str">
        <v>BERGS</v>
      </c>
      <c r="F7" t="str">
        <v>Berglunds snabbköp</v>
      </c>
      <c r="G7">
        <v>18</v>
      </c>
      <c r="N7">
        <v>6</v>
      </c>
      <c r="O7" t="str">
        <v>Suyama-Michael</v>
      </c>
      <c r="P7" cm="1">
        <f t="array" ref="P7">COUNTA(_xlfn._xlws.FILTER(Orders[orderID], Orders[employeeID]=N7))</f>
        <v>67</v>
      </c>
      <c r="Q7" cm="1">
        <f t="array" ref="Q7">COUNTA(_xlfn.UNIQUE(_xlfn._xlws.FILTER(Orders[customerID],Orders[employeeID]=N7)))</f>
        <v>43</v>
      </c>
      <c r="S7" s="1">
        <v>35256</v>
      </c>
      <c r="T7">
        <f t="shared" si="0"/>
        <v>7</v>
      </c>
      <c r="U7">
        <f t="shared" si="1"/>
        <v>1996</v>
      </c>
      <c r="V7" t="str">
        <f t="shared" si="2"/>
        <v>7/1996</v>
      </c>
      <c r="W7" t="str">
        <v>12/1996</v>
      </c>
      <c r="X7" s="61" cm="1">
        <f t="array" ref="X7">COUNTA(_xlfn._xlws.FILTER(_xlfn.ANCHORARRAY($S$2),$V$2:$V$831=W7))</f>
        <v>31</v>
      </c>
      <c r="Y7" s="1">
        <v>35270</v>
      </c>
      <c r="Z7">
        <f t="shared" si="3"/>
        <v>14</v>
      </c>
      <c r="AA7" s="60" cm="1">
        <f t="array" ref="AA7">AVERAGE(_xlfn._xlws.FILTER($Z$2:$Z$831,$V$2:$V$831=W7))</f>
        <v>26.64516129032258</v>
      </c>
    </row>
    <row r="8" spans="1:27" x14ac:dyDescent="0.2">
      <c r="B8" t="str">
        <v>BLONP</v>
      </c>
      <c r="C8" t="str">
        <v>Blondesddsl père et fils</v>
      </c>
      <c r="D8" cm="1">
        <f t="array" ref="D8">COUNTA(_xlfn._xlws.FILTER(Orders[orderID],Orders[customerID]=B8))</f>
        <v>11</v>
      </c>
      <c r="E8" t="str">
        <v>HILAA</v>
      </c>
      <c r="F8" t="str">
        <v>HILARION-Abastos</v>
      </c>
      <c r="G8">
        <v>18</v>
      </c>
      <c r="N8">
        <v>7</v>
      </c>
      <c r="O8" t="str">
        <v>King-Robert</v>
      </c>
      <c r="P8" cm="1">
        <f t="array" ref="P8">COUNTA(_xlfn._xlws.FILTER(Orders[orderID], Orders[employeeID]=N8))</f>
        <v>72</v>
      </c>
      <c r="Q8" cm="1">
        <f t="array" ref="Q8">COUNTA(_xlfn.UNIQUE(_xlfn._xlws.FILTER(Orders[customerID],Orders[employeeID]=N8)))</f>
        <v>45</v>
      </c>
      <c r="S8" s="1">
        <v>35257</v>
      </c>
      <c r="T8">
        <f t="shared" si="0"/>
        <v>7</v>
      </c>
      <c r="U8">
        <f t="shared" si="1"/>
        <v>1996</v>
      </c>
      <c r="V8" t="str">
        <f t="shared" si="2"/>
        <v>7/1996</v>
      </c>
      <c r="W8" t="str">
        <v>1/1997</v>
      </c>
      <c r="X8" s="61" cm="1">
        <f t="array" ref="X8">COUNTA(_xlfn._xlws.FILTER(_xlfn.ANCHORARRAY($S$2),$V$2:$V$831=W8))</f>
        <v>33</v>
      </c>
      <c r="Y8" s="1">
        <v>35285</v>
      </c>
      <c r="Z8">
        <f t="shared" si="3"/>
        <v>28</v>
      </c>
      <c r="AA8" s="60" cm="1">
        <f t="array" ref="AA8">AVERAGE(_xlfn._xlws.FILTER($Z$2:$Z$831,$V$2:$V$831=W8))</f>
        <v>28</v>
      </c>
    </row>
    <row r="9" spans="1:27" x14ac:dyDescent="0.2">
      <c r="B9" t="str">
        <v>BOLID</v>
      </c>
      <c r="C9" t="str">
        <v>Bólido Comidas preparadas</v>
      </c>
      <c r="D9" cm="1">
        <f t="array" ref="D9">COUNTA(_xlfn._xlws.FILTER(Orders[orderID],Orders[customerID]=B9))</f>
        <v>3</v>
      </c>
      <c r="E9" t="str">
        <v>RATTC</v>
      </c>
      <c r="F9" t="str">
        <v>Rattlesnake Canyon Grocery</v>
      </c>
      <c r="G9">
        <v>18</v>
      </c>
      <c r="N9">
        <v>8</v>
      </c>
      <c r="O9" t="str">
        <v>Callahan-Laura</v>
      </c>
      <c r="P9" cm="1">
        <f t="array" ref="P9">COUNTA(_xlfn._xlws.FILTER(Orders[orderID], Orders[employeeID]=N9))</f>
        <v>104</v>
      </c>
      <c r="Q9" cm="1">
        <f t="array" ref="Q9">COUNTA(_xlfn.UNIQUE(_xlfn._xlws.FILTER(Orders[customerID],Orders[employeeID]=N9)))</f>
        <v>56</v>
      </c>
      <c r="S9" s="1">
        <v>35258</v>
      </c>
      <c r="T9">
        <f t="shared" si="0"/>
        <v>7</v>
      </c>
      <c r="U9">
        <f t="shared" si="1"/>
        <v>1996</v>
      </c>
      <c r="V9" t="str">
        <f t="shared" si="2"/>
        <v>7/1996</v>
      </c>
      <c r="W9" t="str">
        <v>2/1997</v>
      </c>
      <c r="X9" s="61" cm="1">
        <f t="array" ref="X9">COUNTA(_xlfn._xlws.FILTER(_xlfn.ANCHORARRAY($S$2),$V$2:$V$831=W9))</f>
        <v>29</v>
      </c>
      <c r="Y9" s="1">
        <v>35286</v>
      </c>
      <c r="Z9">
        <f t="shared" si="3"/>
        <v>28</v>
      </c>
      <c r="AA9" s="60" cm="1">
        <f t="array" ref="AA9">AVERAGE(_xlfn._xlws.FILTER($Z$2:$Z$831,$V$2:$V$831=W9))</f>
        <v>29.448275862068964</v>
      </c>
    </row>
    <row r="10" spans="1:27" x14ac:dyDescent="0.2">
      <c r="B10" t="str">
        <v>BONAP</v>
      </c>
      <c r="C10" t="str">
        <v>Bon app'</v>
      </c>
      <c r="D10" cm="1">
        <f t="array" ref="D10">COUNTA(_xlfn._xlws.FILTER(Orders[orderID],Orders[customerID]=B10))</f>
        <v>17</v>
      </c>
      <c r="E10" t="str">
        <v>BONAP</v>
      </c>
      <c r="F10" t="str">
        <v>Bon app'</v>
      </c>
      <c r="G10">
        <v>17</v>
      </c>
      <c r="N10">
        <v>9</v>
      </c>
      <c r="O10" t="str">
        <v>Dodsworth-Anne</v>
      </c>
      <c r="P10" cm="1">
        <f t="array" ref="P10">COUNTA(_xlfn._xlws.FILTER(Orders[orderID], Orders[employeeID]=N10))</f>
        <v>43</v>
      </c>
      <c r="Q10" cm="1">
        <f t="array" ref="Q10">COUNTA(_xlfn.UNIQUE(_xlfn._xlws.FILTER(Orders[customerID],Orders[employeeID]=N10)))</f>
        <v>29</v>
      </c>
      <c r="S10" s="1">
        <v>35261</v>
      </c>
      <c r="T10">
        <f t="shared" si="0"/>
        <v>7</v>
      </c>
      <c r="U10">
        <f t="shared" si="1"/>
        <v>1996</v>
      </c>
      <c r="V10" t="str">
        <f t="shared" si="2"/>
        <v>7/1996</v>
      </c>
      <c r="W10" t="str">
        <v>3/1997</v>
      </c>
      <c r="X10" s="61" cm="1">
        <f t="array" ref="X10">COUNTA(_xlfn._xlws.FILTER(_xlfn.ANCHORARRAY($S$2),$V$2:$V$831=W10))</f>
        <v>30</v>
      </c>
      <c r="Y10" s="1">
        <v>35289</v>
      </c>
      <c r="Z10">
        <f t="shared" si="3"/>
        <v>28</v>
      </c>
      <c r="AA10" s="60" cm="1">
        <f t="array" ref="AA10">AVERAGE(_xlfn._xlws.FILTER($Z$2:$Z$831,$V$2:$V$831=W10))</f>
        <v>26.6</v>
      </c>
    </row>
    <row r="11" spans="1:27" x14ac:dyDescent="0.2">
      <c r="B11" t="str">
        <v>BOTTM</v>
      </c>
      <c r="C11" t="str">
        <v>Bottom-Dollar Markets</v>
      </c>
      <c r="D11" cm="1">
        <f t="array" ref="D11">COUNTA(_xlfn._xlws.FILTER(Orders[orderID],Orders[customerID]=B11))</f>
        <v>14</v>
      </c>
      <c r="E11" t="str">
        <v>FRANK</v>
      </c>
      <c r="F11" t="str">
        <v>Frankenversand</v>
      </c>
      <c r="G11">
        <v>15</v>
      </c>
      <c r="S11" s="1">
        <v>35262</v>
      </c>
      <c r="T11">
        <f t="shared" si="0"/>
        <v>7</v>
      </c>
      <c r="U11">
        <f t="shared" si="1"/>
        <v>1996</v>
      </c>
      <c r="V11" t="str">
        <f t="shared" si="2"/>
        <v>7/1996</v>
      </c>
      <c r="W11" t="str">
        <v>4/1997</v>
      </c>
      <c r="X11" s="61" cm="1">
        <f t="array" ref="X11">COUNTA(_xlfn._xlws.FILTER(_xlfn.ANCHORARRAY($S$2),$V$2:$V$831=W11))</f>
        <v>31</v>
      </c>
      <c r="Y11" s="1">
        <v>35290</v>
      </c>
      <c r="Z11">
        <f t="shared" si="3"/>
        <v>28</v>
      </c>
      <c r="AA11" s="60" cm="1">
        <f t="array" ref="AA11">AVERAGE(_xlfn._xlws.FILTER($Z$2:$Z$831,$V$2:$V$831=W11))</f>
        <v>27.548387096774192</v>
      </c>
    </row>
    <row r="12" spans="1:27" x14ac:dyDescent="0.2">
      <c r="B12" t="str">
        <v>BSBEV</v>
      </c>
      <c r="C12" t="str">
        <v>B's Beverages</v>
      </c>
      <c r="D12" cm="1">
        <f t="array" ref="D12">COUNTA(_xlfn._xlws.FILTER(Orders[orderID],Orders[customerID]=B12))</f>
        <v>10</v>
      </c>
      <c r="E12" t="str">
        <v>LEHMS</v>
      </c>
      <c r="F12" t="str">
        <v>Lehmanns Marktstand</v>
      </c>
      <c r="G12">
        <v>15</v>
      </c>
      <c r="S12" s="1">
        <v>35263</v>
      </c>
      <c r="T12">
        <f t="shared" si="0"/>
        <v>7</v>
      </c>
      <c r="U12">
        <f t="shared" si="1"/>
        <v>1996</v>
      </c>
      <c r="V12" t="str">
        <f t="shared" si="2"/>
        <v>7/1996</v>
      </c>
      <c r="W12" t="str">
        <v>5/1997</v>
      </c>
      <c r="X12" s="61" cm="1">
        <f t="array" ref="X12">COUNTA(_xlfn._xlws.FILTER(_xlfn.ANCHORARRAY($S$2),$V$2:$V$831=W12))</f>
        <v>32</v>
      </c>
      <c r="Y12" s="1">
        <v>35291</v>
      </c>
      <c r="Z12">
        <f t="shared" si="3"/>
        <v>28</v>
      </c>
      <c r="AA12" s="60" cm="1">
        <f t="array" ref="AA12">AVERAGE(_xlfn._xlws.FILTER($Z$2:$Z$831,$V$2:$V$831=W12))</f>
        <v>27.125</v>
      </c>
    </row>
    <row r="13" spans="1:27" x14ac:dyDescent="0.2">
      <c r="B13" t="str">
        <v>CACTU</v>
      </c>
      <c r="C13" t="str">
        <v>Cactus Comidas para llevar</v>
      </c>
      <c r="D13" cm="1">
        <f t="array" ref="D13">COUNTA(_xlfn._xlws.FILTER(Orders[orderID],Orders[customerID]=B13))</f>
        <v>6</v>
      </c>
      <c r="E13" t="str">
        <v>WARTH</v>
      </c>
      <c r="F13" t="str">
        <v>Wartian Herkku</v>
      </c>
      <c r="G13">
        <v>15</v>
      </c>
      <c r="S13" s="1">
        <v>35264</v>
      </c>
      <c r="T13">
        <f t="shared" si="0"/>
        <v>7</v>
      </c>
      <c r="U13">
        <f t="shared" si="1"/>
        <v>1996</v>
      </c>
      <c r="V13" t="str">
        <f t="shared" si="2"/>
        <v>7/1996</v>
      </c>
      <c r="W13" t="str">
        <v>6/1997</v>
      </c>
      <c r="X13" s="61" cm="1">
        <f t="array" ref="X13">COUNTA(_xlfn._xlws.FILTER(_xlfn.ANCHORARRAY($S$2),$V$2:$V$831=W13))</f>
        <v>30</v>
      </c>
      <c r="Y13" s="1">
        <v>35292</v>
      </c>
      <c r="Z13">
        <f t="shared" si="3"/>
        <v>28</v>
      </c>
      <c r="AA13" s="60" cm="1">
        <f t="array" ref="AA13">AVERAGE(_xlfn._xlws.FILTER($Z$2:$Z$831,$V$2:$V$831=W13))</f>
        <v>28.466666666666665</v>
      </c>
    </row>
    <row r="14" spans="1:27" x14ac:dyDescent="0.2">
      <c r="B14" t="str">
        <v>CENTC</v>
      </c>
      <c r="C14" t="str">
        <v>Centro comercial Moctezuma</v>
      </c>
      <c r="D14" cm="1">
        <f t="array" ref="D14">COUNTA(_xlfn._xlws.FILTER(Orders[orderID],Orders[customerID]=B14))</f>
        <v>1</v>
      </c>
      <c r="E14" t="str">
        <v>BOTTM</v>
      </c>
      <c r="F14" t="str">
        <v>Bottom-Dollar Markets</v>
      </c>
      <c r="G14">
        <v>14</v>
      </c>
      <c r="S14" s="1">
        <v>35265</v>
      </c>
      <c r="T14">
        <f t="shared" si="0"/>
        <v>7</v>
      </c>
      <c r="U14">
        <f t="shared" si="1"/>
        <v>1996</v>
      </c>
      <c r="V14" t="str">
        <f t="shared" si="2"/>
        <v>7/1996</v>
      </c>
      <c r="W14" t="str">
        <v>7/1997</v>
      </c>
      <c r="X14" s="61" cm="1">
        <f t="array" ref="X14">COUNTA(_xlfn._xlws.FILTER(_xlfn.ANCHORARRAY($S$2),$V$2:$V$831=W14))</f>
        <v>33</v>
      </c>
      <c r="Y14" s="1">
        <v>35293</v>
      </c>
      <c r="Z14">
        <f t="shared" si="3"/>
        <v>28</v>
      </c>
      <c r="AA14" s="60" cm="1">
        <f t="array" ref="AA14">AVERAGE(_xlfn._xlws.FILTER($Z$2:$Z$831,$V$2:$V$831=W14))</f>
        <v>28.424242424242426</v>
      </c>
    </row>
    <row r="15" spans="1:27" x14ac:dyDescent="0.2">
      <c r="B15" t="str">
        <v>CHOPS</v>
      </c>
      <c r="C15" t="str">
        <v>Chop-suey Chinese</v>
      </c>
      <c r="D15" cm="1">
        <f t="array" ref="D15">COUNTA(_xlfn._xlws.FILTER(Orders[orderID],Orders[customerID]=B15))</f>
        <v>8</v>
      </c>
      <c r="E15" t="str">
        <v>HANAR</v>
      </c>
      <c r="F15" t="str">
        <v>Hanari Carnes</v>
      </c>
      <c r="G15">
        <v>14</v>
      </c>
      <c r="S15" s="1">
        <v>35265</v>
      </c>
      <c r="T15">
        <f t="shared" si="0"/>
        <v>7</v>
      </c>
      <c r="U15">
        <f t="shared" si="1"/>
        <v>1996</v>
      </c>
      <c r="V15" t="str">
        <f t="shared" si="2"/>
        <v>7/1996</v>
      </c>
      <c r="W15" t="str">
        <v>8/1997</v>
      </c>
      <c r="X15" s="61" cm="1">
        <f t="array" ref="X15">COUNTA(_xlfn._xlws.FILTER(_xlfn.ANCHORARRAY($S$2),$V$2:$V$831=W15))</f>
        <v>33</v>
      </c>
      <c r="Y15" s="1">
        <v>35293</v>
      </c>
      <c r="Z15">
        <f t="shared" si="3"/>
        <v>28</v>
      </c>
      <c r="AA15" s="60" cm="1">
        <f t="array" ref="AA15">AVERAGE(_xlfn._xlws.FILTER($Z$2:$Z$831,$V$2:$V$831=W15))</f>
        <v>29.272727272727273</v>
      </c>
    </row>
    <row r="16" spans="1:27" x14ac:dyDescent="0.2">
      <c r="B16" t="str">
        <v>COMMI</v>
      </c>
      <c r="C16" t="str">
        <v>Comércio Mineiro</v>
      </c>
      <c r="D16" cm="1">
        <f t="array" ref="D16">COUNTA(_xlfn._xlws.FILTER(Orders[orderID],Orders[customerID]=B16))</f>
        <v>5</v>
      </c>
      <c r="E16" t="str">
        <v>KOENE</v>
      </c>
      <c r="F16" t="str">
        <v>Königlich Essen</v>
      </c>
      <c r="G16">
        <v>14</v>
      </c>
      <c r="S16" s="1">
        <v>35268</v>
      </c>
      <c r="T16">
        <f t="shared" si="0"/>
        <v>7</v>
      </c>
      <c r="U16">
        <f t="shared" si="1"/>
        <v>1996</v>
      </c>
      <c r="V16" t="str">
        <f t="shared" si="2"/>
        <v>7/1996</v>
      </c>
      <c r="W16" t="str">
        <v>9/1997</v>
      </c>
      <c r="X16" s="61" cm="1">
        <f t="array" ref="X16">COUNTA(_xlfn._xlws.FILTER(_xlfn.ANCHORARRAY($S$2),$V$2:$V$831=W16))</f>
        <v>37</v>
      </c>
      <c r="Y16" s="1">
        <v>35296</v>
      </c>
      <c r="Z16">
        <f t="shared" si="3"/>
        <v>28</v>
      </c>
      <c r="AA16" s="60" cm="1">
        <f t="array" ref="AA16">AVERAGE(_xlfn._xlws.FILTER($Z$2:$Z$831,$V$2:$V$831=W16))</f>
        <v>26.864864864864863</v>
      </c>
    </row>
    <row r="17" spans="2:27" x14ac:dyDescent="0.2">
      <c r="B17" t="str">
        <v>CONSH</v>
      </c>
      <c r="C17" t="str">
        <v>Consolidated Holdings</v>
      </c>
      <c r="D17" cm="1">
        <f t="array" ref="D17">COUNTA(_xlfn._xlws.FILTER(Orders[orderID],Orders[customerID]=B17))</f>
        <v>3</v>
      </c>
      <c r="E17" t="str">
        <v>LAMAI</v>
      </c>
      <c r="F17" t="str">
        <v>La maison d'Asie</v>
      </c>
      <c r="G17">
        <v>14</v>
      </c>
      <c r="S17" s="1">
        <v>35269</v>
      </c>
      <c r="T17">
        <f t="shared" si="0"/>
        <v>7</v>
      </c>
      <c r="U17">
        <f t="shared" si="1"/>
        <v>1996</v>
      </c>
      <c r="V17" t="str">
        <f t="shared" si="2"/>
        <v>7/1996</v>
      </c>
      <c r="W17" t="str">
        <v>10/1997</v>
      </c>
      <c r="X17" s="61" cm="1">
        <f t="array" ref="X17">COUNTA(_xlfn._xlws.FILTER(_xlfn.ANCHORARRAY($S$2),$V$2:$V$831=W17))</f>
        <v>38</v>
      </c>
      <c r="Y17" s="1">
        <v>35297</v>
      </c>
      <c r="Z17">
        <f t="shared" si="3"/>
        <v>28</v>
      </c>
      <c r="AA17" s="60" cm="1">
        <f t="array" ref="AA17">AVERAGE(_xlfn._xlws.FILTER($Z$2:$Z$831,$V$2:$V$831=W17))</f>
        <v>28.736842105263158</v>
      </c>
    </row>
    <row r="18" spans="2:27" x14ac:dyDescent="0.2">
      <c r="B18" t="str">
        <v>DRACD</v>
      </c>
      <c r="C18" t="str">
        <v>Drachenblut Delikatessen</v>
      </c>
      <c r="D18" cm="1">
        <f t="array" ref="D18">COUNTA(_xlfn._xlws.FILTER(Orders[orderID],Orders[customerID]=B18))</f>
        <v>6</v>
      </c>
      <c r="E18" t="str">
        <v>LILAS</v>
      </c>
      <c r="F18" t="str">
        <v>LILA-Supermercado</v>
      </c>
      <c r="G18">
        <v>14</v>
      </c>
      <c r="S18" s="1">
        <v>35270</v>
      </c>
      <c r="T18">
        <f t="shared" si="0"/>
        <v>7</v>
      </c>
      <c r="U18">
        <f t="shared" si="1"/>
        <v>1996</v>
      </c>
      <c r="V18" t="str">
        <f t="shared" si="2"/>
        <v>7/1996</v>
      </c>
      <c r="W18" t="str">
        <v>11/1997</v>
      </c>
      <c r="X18" s="61" cm="1">
        <f t="array" ref="X18">COUNTA(_xlfn._xlws.FILTER(_xlfn.ANCHORARRAY($S$2),$V$2:$V$831=W18))</f>
        <v>34</v>
      </c>
      <c r="Y18" s="1">
        <v>35298</v>
      </c>
      <c r="Z18">
        <f t="shared" si="3"/>
        <v>28</v>
      </c>
      <c r="AA18" s="60" cm="1">
        <f t="array" ref="AA18">AVERAGE(_xlfn._xlws.FILTER($Z$2:$Z$831,$V$2:$V$831=W18))</f>
        <v>27.588235294117649</v>
      </c>
    </row>
    <row r="19" spans="2:27" x14ac:dyDescent="0.2">
      <c r="B19" t="str">
        <v>DUMON</v>
      </c>
      <c r="C19" t="str">
        <v>Du monde entier</v>
      </c>
      <c r="D19" cm="1">
        <f t="array" ref="D19">COUNTA(_xlfn._xlws.FILTER(Orders[orderID],Orders[customerID]=B19))</f>
        <v>4</v>
      </c>
      <c r="E19" t="str">
        <v>WHITC</v>
      </c>
      <c r="F19" t="str">
        <v>White Clover Markets</v>
      </c>
      <c r="G19">
        <v>14</v>
      </c>
      <c r="S19" s="1">
        <v>35271</v>
      </c>
      <c r="T19">
        <f t="shared" si="0"/>
        <v>7</v>
      </c>
      <c r="U19">
        <f t="shared" si="1"/>
        <v>1996</v>
      </c>
      <c r="V19" t="str">
        <f t="shared" si="2"/>
        <v>7/1996</v>
      </c>
      <c r="W19" t="str">
        <v>12/1997</v>
      </c>
      <c r="X19" s="61" cm="1">
        <f t="array" ref="X19">COUNTA(_xlfn._xlws.FILTER(_xlfn.ANCHORARRAY($S$2),$V$2:$V$831=W19))</f>
        <v>48</v>
      </c>
      <c r="Y19" s="1">
        <v>35299</v>
      </c>
      <c r="Z19">
        <f t="shared" si="3"/>
        <v>28</v>
      </c>
      <c r="AA19" s="60" cm="1">
        <f t="array" ref="AA19">AVERAGE(_xlfn._xlws.FILTER($Z$2:$Z$831,$V$2:$V$831=W19))</f>
        <v>27.125</v>
      </c>
    </row>
    <row r="20" spans="2:27" x14ac:dyDescent="0.2">
      <c r="B20" t="str">
        <v>EASTC</v>
      </c>
      <c r="C20" t="str">
        <v>Eastern Connection</v>
      </c>
      <c r="D20" cm="1">
        <f t="array" ref="D20">COUNTA(_xlfn._xlws.FILTER(Orders[orderID],Orders[customerID]=B20))</f>
        <v>8</v>
      </c>
      <c r="E20" t="str">
        <v>AROUT</v>
      </c>
      <c r="F20" t="str">
        <v>Around the Horn</v>
      </c>
      <c r="G20">
        <v>13</v>
      </c>
      <c r="S20" s="1">
        <v>35272</v>
      </c>
      <c r="T20">
        <f t="shared" si="0"/>
        <v>7</v>
      </c>
      <c r="U20">
        <f t="shared" si="1"/>
        <v>1996</v>
      </c>
      <c r="V20" t="str">
        <f t="shared" si="2"/>
        <v>7/1996</v>
      </c>
      <c r="W20" t="str">
        <v>1/1998</v>
      </c>
      <c r="X20" s="61" cm="1">
        <f t="array" ref="X20">COUNTA(_xlfn._xlws.FILTER(_xlfn.ANCHORARRAY($S$2),$V$2:$V$831=W20))</f>
        <v>55</v>
      </c>
      <c r="Y20" s="1">
        <v>35314</v>
      </c>
      <c r="Z20">
        <f t="shared" si="3"/>
        <v>42</v>
      </c>
      <c r="AA20" s="60" cm="1">
        <f t="array" ref="AA20">AVERAGE(_xlfn._xlws.FILTER($Z$2:$Z$831,$V$2:$V$831=W20))</f>
        <v>27.745454545454546</v>
      </c>
    </row>
    <row r="21" spans="2:27" x14ac:dyDescent="0.2">
      <c r="B21" t="str">
        <v>ERNSH</v>
      </c>
      <c r="C21" t="str">
        <v>Ernst Handel</v>
      </c>
      <c r="D21" cm="1">
        <f t="array" ref="D21">COUNTA(_xlfn._xlws.FILTER(Orders[orderID],Orders[customerID]=B21))</f>
        <v>30</v>
      </c>
      <c r="E21" t="str">
        <v>MEREP</v>
      </c>
      <c r="F21" t="str">
        <v>Mère Paillarde</v>
      </c>
      <c r="G21">
        <v>13</v>
      </c>
      <c r="S21" s="1">
        <v>35275</v>
      </c>
      <c r="T21">
        <f t="shared" si="0"/>
        <v>7</v>
      </c>
      <c r="U21">
        <f t="shared" si="1"/>
        <v>1996</v>
      </c>
      <c r="V21" t="str">
        <f t="shared" si="2"/>
        <v>7/1996</v>
      </c>
      <c r="W21" t="str">
        <v>2/1998</v>
      </c>
      <c r="X21" s="61" cm="1">
        <f t="array" ref="X21">COUNTA(_xlfn._xlws.FILTER(_xlfn.ANCHORARRAY($S$2),$V$2:$V$831=W21))</f>
        <v>54</v>
      </c>
      <c r="Y21" s="1">
        <v>35303</v>
      </c>
      <c r="Z21">
        <f t="shared" si="3"/>
        <v>28</v>
      </c>
      <c r="AA21" s="60" cm="1">
        <f t="array" ref="AA21">AVERAGE(_xlfn._xlws.FILTER($Z$2:$Z$831,$V$2:$V$831=W21))</f>
        <v>28</v>
      </c>
    </row>
    <row r="22" spans="2:27" x14ac:dyDescent="0.2">
      <c r="B22" t="str">
        <v>FAMIA</v>
      </c>
      <c r="C22" t="str">
        <v>Familia Arquibaldo</v>
      </c>
      <c r="D22" cm="1">
        <f t="array" ref="D22">COUNTA(_xlfn._xlws.FILTER(Orders[orderID],Orders[customerID]=B22))</f>
        <v>7</v>
      </c>
      <c r="E22" t="str">
        <v>QUEEN</v>
      </c>
      <c r="F22" t="str">
        <v>Queen Cozinha</v>
      </c>
      <c r="G22">
        <v>13</v>
      </c>
      <c r="S22" s="1">
        <v>35276</v>
      </c>
      <c r="T22">
        <f t="shared" si="0"/>
        <v>7</v>
      </c>
      <c r="U22">
        <f t="shared" si="1"/>
        <v>1996</v>
      </c>
      <c r="V22" t="str">
        <f t="shared" si="2"/>
        <v>7/1996</v>
      </c>
      <c r="W22" t="str">
        <v>3/1998</v>
      </c>
      <c r="X22" s="61" cm="1">
        <f t="array" ref="X22">COUNTA(_xlfn._xlws.FILTER(_xlfn.ANCHORARRAY($S$2),$V$2:$V$831=W22))</f>
        <v>73</v>
      </c>
      <c r="Y22" s="1">
        <v>35304</v>
      </c>
      <c r="Z22">
        <f t="shared" si="3"/>
        <v>28</v>
      </c>
      <c r="AA22" s="60" cm="1">
        <f t="array" ref="AA22">AVERAGE(_xlfn._xlws.FILTER($Z$2:$Z$831,$V$2:$V$831=W22))</f>
        <v>28.575342465753426</v>
      </c>
    </row>
    <row r="23" spans="2:27" x14ac:dyDescent="0.2">
      <c r="B23" t="str">
        <v>FISSA</v>
      </c>
      <c r="C23" t="str">
        <v>FISSA Fabrica Inter. Salchichas S.A.</v>
      </c>
      <c r="D23" cm="1">
        <f t="array" ref="D23">COUNTA(_xlfn._xlws.FILTER(Orders[orderID],Orders[customerID]=B23))</f>
        <v>1</v>
      </c>
      <c r="E23" t="str">
        <v>LINOD</v>
      </c>
      <c r="F23" t="str">
        <v>LINO-Delicateses</v>
      </c>
      <c r="G23">
        <v>12</v>
      </c>
      <c r="S23" s="1">
        <v>35277</v>
      </c>
      <c r="T23">
        <f t="shared" si="0"/>
        <v>7</v>
      </c>
      <c r="U23">
        <f t="shared" si="1"/>
        <v>1996</v>
      </c>
      <c r="V23" t="str">
        <f t="shared" si="2"/>
        <v>7/1996</v>
      </c>
      <c r="W23" t="str">
        <v>4/1998</v>
      </c>
      <c r="X23" s="61" cm="1">
        <f t="array" ref="X23">COUNTA(_xlfn._xlws.FILTER(_xlfn.ANCHORARRAY($S$2),$V$2:$V$831=W23))</f>
        <v>74</v>
      </c>
      <c r="Y23" s="1">
        <v>35291</v>
      </c>
      <c r="Z23">
        <f t="shared" si="3"/>
        <v>14</v>
      </c>
      <c r="AA23" s="60" cm="1">
        <f t="array" ref="AA23">AVERAGE(_xlfn._xlws.FILTER($Z$2:$Z$831,$V$2:$V$831=W23))</f>
        <v>27.621621621621621</v>
      </c>
    </row>
    <row r="24" spans="2:27" x14ac:dyDescent="0.2">
      <c r="B24" t="str">
        <v>FOLIG</v>
      </c>
      <c r="C24" t="str">
        <v>Folies gourmandes</v>
      </c>
      <c r="D24" cm="1">
        <f t="array" ref="D24">COUNTA(_xlfn._xlws.FILTER(Orders[orderID],Orders[customerID]=B24))</f>
        <v>5</v>
      </c>
      <c r="E24" t="str">
        <v>REGGC</v>
      </c>
      <c r="F24" t="str">
        <v>Reggiani Caseifici</v>
      </c>
      <c r="G24">
        <v>12</v>
      </c>
      <c r="S24" s="1">
        <v>35278</v>
      </c>
      <c r="T24">
        <f t="shared" si="0"/>
        <v>8</v>
      </c>
      <c r="U24">
        <f t="shared" si="1"/>
        <v>1996</v>
      </c>
      <c r="V24" t="str">
        <f t="shared" si="2"/>
        <v>8/1996</v>
      </c>
      <c r="W24" t="str">
        <v>5/1998</v>
      </c>
      <c r="X24" s="61" cm="1">
        <f t="array" ref="X24">COUNTA(_xlfn._xlws.FILTER(_xlfn.ANCHORARRAY($S$2),$V$2:$V$831=W24))</f>
        <v>14</v>
      </c>
      <c r="Y24" s="1">
        <v>35306</v>
      </c>
      <c r="Z24">
        <f t="shared" si="3"/>
        <v>28</v>
      </c>
      <c r="AA24" s="60" cm="1">
        <f t="array" ref="AA24">AVERAGE(_xlfn._xlws.FILTER($Z$2:$Z$831,$V$2:$V$831=W24))</f>
        <v>27</v>
      </c>
    </row>
    <row r="25" spans="2:27" x14ac:dyDescent="0.2">
      <c r="B25" t="str">
        <v>FOLKO</v>
      </c>
      <c r="C25" t="str">
        <v>Folk och fä HB</v>
      </c>
      <c r="D25" cm="1">
        <f t="array" ref="D25">COUNTA(_xlfn._xlws.FILTER(Orders[orderID],Orders[customerID]=B25))</f>
        <v>19</v>
      </c>
      <c r="E25" t="str">
        <v>SUPRD</v>
      </c>
      <c r="F25" t="str">
        <v>Suprêmes délices</v>
      </c>
      <c r="G25">
        <v>12</v>
      </c>
      <c r="S25" s="1">
        <v>35278</v>
      </c>
      <c r="T25">
        <f t="shared" si="0"/>
        <v>8</v>
      </c>
      <c r="U25">
        <f t="shared" si="1"/>
        <v>1996</v>
      </c>
      <c r="V25" t="str">
        <f t="shared" si="2"/>
        <v>8/1996</v>
      </c>
      <c r="Y25" s="1">
        <v>35306</v>
      </c>
      <c r="Z25">
        <f t="shared" si="3"/>
        <v>28</v>
      </c>
    </row>
    <row r="26" spans="2:27" x14ac:dyDescent="0.2">
      <c r="B26" t="str">
        <v>FRANK</v>
      </c>
      <c r="C26" t="str">
        <v>Frankenversand</v>
      </c>
      <c r="D26" cm="1">
        <f t="array" ref="D26">COUNTA(_xlfn._xlws.FILTER(Orders[orderID],Orders[customerID]=B26))</f>
        <v>15</v>
      </c>
      <c r="E26" t="str">
        <v>BLONP</v>
      </c>
      <c r="F26" t="str">
        <v>Blondesddsl père et fils</v>
      </c>
      <c r="G26">
        <v>11</v>
      </c>
      <c r="S26" s="1">
        <v>35279</v>
      </c>
      <c r="T26">
        <f t="shared" si="0"/>
        <v>8</v>
      </c>
      <c r="U26">
        <f t="shared" si="1"/>
        <v>1996</v>
      </c>
      <c r="V26" t="str">
        <f t="shared" si="2"/>
        <v>8/1996</v>
      </c>
      <c r="Y26" s="1">
        <v>35307</v>
      </c>
      <c r="Z26">
        <f t="shared" si="3"/>
        <v>28</v>
      </c>
    </row>
    <row r="27" spans="2:27" x14ac:dyDescent="0.2">
      <c r="B27" t="str">
        <v>FRANR</v>
      </c>
      <c r="C27" t="str">
        <v>France restauration</v>
      </c>
      <c r="D27" cm="1">
        <f t="array" ref="D27">COUNTA(_xlfn._xlws.FILTER(Orders[orderID],Orders[customerID]=B27))</f>
        <v>3</v>
      </c>
      <c r="E27" t="str">
        <v>GREAL</v>
      </c>
      <c r="F27" t="str">
        <v>Great Lakes Food Market</v>
      </c>
      <c r="G27">
        <v>11</v>
      </c>
      <c r="S27" s="1">
        <v>35282</v>
      </c>
      <c r="T27">
        <f t="shared" si="0"/>
        <v>8</v>
      </c>
      <c r="U27">
        <f t="shared" si="1"/>
        <v>1996</v>
      </c>
      <c r="V27" t="str">
        <f t="shared" si="2"/>
        <v>8/1996</v>
      </c>
      <c r="Y27" s="1">
        <v>35310</v>
      </c>
      <c r="Z27">
        <f t="shared" si="3"/>
        <v>28</v>
      </c>
    </row>
    <row r="28" spans="2:27" x14ac:dyDescent="0.2">
      <c r="B28" t="str">
        <v>FRANS</v>
      </c>
      <c r="C28" t="str">
        <v>Franchi S.p.A.</v>
      </c>
      <c r="D28" cm="1">
        <f t="array" ref="D28">COUNTA(_xlfn._xlws.FILTER(Orders[orderID],Orders[customerID]=B28))</f>
        <v>6</v>
      </c>
      <c r="E28" t="str">
        <v>RICAR</v>
      </c>
      <c r="F28" t="str">
        <v>Ricardo Adocicados</v>
      </c>
      <c r="G28">
        <v>11</v>
      </c>
      <c r="S28" s="1">
        <v>35283</v>
      </c>
      <c r="T28">
        <f t="shared" si="0"/>
        <v>8</v>
      </c>
      <c r="U28">
        <f t="shared" si="1"/>
        <v>1996</v>
      </c>
      <c r="V28" t="str">
        <f t="shared" si="2"/>
        <v>8/1996</v>
      </c>
      <c r="Y28" s="1">
        <v>35311</v>
      </c>
      <c r="Z28">
        <f t="shared" si="3"/>
        <v>28</v>
      </c>
    </row>
    <row r="29" spans="2:27" x14ac:dyDescent="0.2">
      <c r="B29" t="str">
        <v>FURIB</v>
      </c>
      <c r="C29" t="str">
        <v>Furia Bacalhau e Frutos do Mar</v>
      </c>
      <c r="D29" cm="1">
        <f t="array" ref="D29">COUNTA(_xlfn._xlws.FILTER(Orders[orderID],Orders[customerID]=B29))</f>
        <v>8</v>
      </c>
      <c r="E29" t="str">
        <v>VAFFE</v>
      </c>
      <c r="F29" t="str">
        <v>Vaffeljernet</v>
      </c>
      <c r="G29">
        <v>11</v>
      </c>
      <c r="S29" s="1">
        <v>35284</v>
      </c>
      <c r="T29">
        <f t="shared" si="0"/>
        <v>8</v>
      </c>
      <c r="U29">
        <f t="shared" si="1"/>
        <v>1996</v>
      </c>
      <c r="V29" t="str">
        <f t="shared" si="2"/>
        <v>8/1996</v>
      </c>
      <c r="Y29" s="1">
        <v>35312</v>
      </c>
      <c r="Z29">
        <f t="shared" si="3"/>
        <v>28</v>
      </c>
    </row>
    <row r="30" spans="2:27" x14ac:dyDescent="0.2">
      <c r="B30" t="str">
        <v>GALED</v>
      </c>
      <c r="C30" t="str">
        <v>Galería del gastrónomo</v>
      </c>
      <c r="D30" cm="1">
        <f t="array" ref="D30">COUNTA(_xlfn._xlws.FILTER(Orders[orderID],Orders[customerID]=B30))</f>
        <v>5</v>
      </c>
      <c r="E30" t="str">
        <v>BSBEV</v>
      </c>
      <c r="F30" t="str">
        <v>B's Beverages</v>
      </c>
      <c r="G30">
        <v>10</v>
      </c>
      <c r="S30" s="1">
        <v>35285</v>
      </c>
      <c r="T30">
        <f t="shared" si="0"/>
        <v>8</v>
      </c>
      <c r="U30">
        <f t="shared" si="1"/>
        <v>1996</v>
      </c>
      <c r="V30" t="str">
        <f t="shared" si="2"/>
        <v>8/1996</v>
      </c>
      <c r="Y30" s="1">
        <v>35299</v>
      </c>
      <c r="Z30">
        <f t="shared" si="3"/>
        <v>14</v>
      </c>
    </row>
    <row r="31" spans="2:27" x14ac:dyDescent="0.2">
      <c r="B31" t="str">
        <v>GODOS</v>
      </c>
      <c r="C31" t="str">
        <v>Godos Cocina Típica</v>
      </c>
      <c r="D31" cm="1">
        <f t="array" ref="D31">COUNTA(_xlfn._xlws.FILTER(Orders[orderID],Orders[customerID]=B31))</f>
        <v>10</v>
      </c>
      <c r="E31" t="str">
        <v>GODOS</v>
      </c>
      <c r="F31" t="str">
        <v>Godos Cocina Típica</v>
      </c>
      <c r="G31">
        <v>10</v>
      </c>
      <c r="S31" s="1">
        <v>35286</v>
      </c>
      <c r="T31">
        <f t="shared" si="0"/>
        <v>8</v>
      </c>
      <c r="U31">
        <f t="shared" si="1"/>
        <v>1996</v>
      </c>
      <c r="V31" t="str">
        <f t="shared" si="2"/>
        <v>8/1996</v>
      </c>
      <c r="Y31" s="1">
        <v>35314</v>
      </c>
      <c r="Z31">
        <f t="shared" si="3"/>
        <v>28</v>
      </c>
    </row>
    <row r="32" spans="2:27" x14ac:dyDescent="0.2">
      <c r="B32" t="str">
        <v>GOURL</v>
      </c>
      <c r="C32" t="str">
        <v>Gourmet Lanchonetes</v>
      </c>
      <c r="D32" cm="1">
        <f t="array" ref="D32">COUNTA(_xlfn._xlws.FILTER(Orders[orderID],Orders[customerID]=B32))</f>
        <v>9</v>
      </c>
      <c r="E32" t="str">
        <v>ISLAT</v>
      </c>
      <c r="F32" t="str">
        <v>Island Trading</v>
      </c>
      <c r="G32">
        <v>10</v>
      </c>
      <c r="S32" s="1">
        <v>35289</v>
      </c>
      <c r="T32">
        <f t="shared" si="0"/>
        <v>8</v>
      </c>
      <c r="U32">
        <f t="shared" si="1"/>
        <v>1996</v>
      </c>
      <c r="V32" t="str">
        <f t="shared" si="2"/>
        <v>8/1996</v>
      </c>
      <c r="Y32" s="1">
        <v>35317</v>
      </c>
      <c r="Z32">
        <f t="shared" si="3"/>
        <v>28</v>
      </c>
    </row>
    <row r="33" spans="2:26" x14ac:dyDescent="0.2">
      <c r="B33" t="str">
        <v>GREAL</v>
      </c>
      <c r="C33" t="str">
        <v>Great Lakes Food Market</v>
      </c>
      <c r="D33" cm="1">
        <f t="array" ref="D33">COUNTA(_xlfn._xlws.FILTER(Orders[orderID],Orders[customerID]=B33))</f>
        <v>11</v>
      </c>
      <c r="E33" t="str">
        <v>MAGAA</v>
      </c>
      <c r="F33" t="str">
        <v>Magazzini Alimentari Riuniti</v>
      </c>
      <c r="G33">
        <v>10</v>
      </c>
      <c r="S33" s="1">
        <v>35290</v>
      </c>
      <c r="T33">
        <f t="shared" si="0"/>
        <v>8</v>
      </c>
      <c r="U33">
        <f t="shared" si="1"/>
        <v>1996</v>
      </c>
      <c r="V33" t="str">
        <f t="shared" si="2"/>
        <v>8/1996</v>
      </c>
      <c r="Y33" s="1">
        <v>35318</v>
      </c>
      <c r="Z33">
        <f t="shared" si="3"/>
        <v>28</v>
      </c>
    </row>
    <row r="34" spans="2:26" x14ac:dyDescent="0.2">
      <c r="B34" t="str">
        <v>GROSR</v>
      </c>
      <c r="C34" t="str">
        <v>GROSELLA-Restaurante</v>
      </c>
      <c r="D34" cm="1">
        <f t="array" ref="D34">COUNTA(_xlfn._xlws.FILTER(Orders[orderID],Orders[customerID]=B34))</f>
        <v>2</v>
      </c>
      <c r="E34" t="str">
        <v>OLDWO</v>
      </c>
      <c r="F34" t="str">
        <v>Old World Delicatessen</v>
      </c>
      <c r="G34">
        <v>10</v>
      </c>
      <c r="S34" s="1">
        <v>35291</v>
      </c>
      <c r="T34">
        <f t="shared" si="0"/>
        <v>8</v>
      </c>
      <c r="U34">
        <f t="shared" si="1"/>
        <v>1996</v>
      </c>
      <c r="V34" t="str">
        <f t="shared" si="2"/>
        <v>8/1996</v>
      </c>
      <c r="Y34" s="1">
        <v>35319</v>
      </c>
      <c r="Z34">
        <f t="shared" si="3"/>
        <v>28</v>
      </c>
    </row>
    <row r="35" spans="2:26" x14ac:dyDescent="0.2">
      <c r="B35" t="str">
        <v>HANAR</v>
      </c>
      <c r="C35" t="str">
        <v>Hanari Carnes</v>
      </c>
      <c r="D35" cm="1">
        <f t="array" ref="D35">COUNTA(_xlfn._xlws.FILTER(Orders[orderID],Orders[customerID]=B35))</f>
        <v>14</v>
      </c>
      <c r="E35" t="str">
        <v>OTTIK</v>
      </c>
      <c r="F35" t="str">
        <v>Ottilies Käseladen</v>
      </c>
      <c r="G35">
        <v>10</v>
      </c>
      <c r="S35" s="1">
        <v>35291</v>
      </c>
      <c r="T35">
        <f t="shared" si="0"/>
        <v>8</v>
      </c>
      <c r="U35">
        <f t="shared" si="1"/>
        <v>1996</v>
      </c>
      <c r="V35" t="str">
        <f t="shared" si="2"/>
        <v>8/1996</v>
      </c>
      <c r="Y35" s="1">
        <v>35305</v>
      </c>
      <c r="Z35">
        <f t="shared" si="3"/>
        <v>14</v>
      </c>
    </row>
    <row r="36" spans="2:26" x14ac:dyDescent="0.2">
      <c r="B36" t="str">
        <v>HILAA</v>
      </c>
      <c r="C36" t="str">
        <v>HILARION-Abastos</v>
      </c>
      <c r="D36" cm="1">
        <f t="array" ref="D36">COUNTA(_xlfn._xlws.FILTER(Orders[orderID],Orders[customerID]=B36))</f>
        <v>18</v>
      </c>
      <c r="E36" t="str">
        <v>PICCO</v>
      </c>
      <c r="F36" t="str">
        <v>Piccolo und mehr</v>
      </c>
      <c r="G36">
        <v>10</v>
      </c>
      <c r="S36" s="1">
        <v>35292</v>
      </c>
      <c r="T36">
        <f t="shared" si="0"/>
        <v>8</v>
      </c>
      <c r="U36">
        <f t="shared" si="1"/>
        <v>1996</v>
      </c>
      <c r="V36" t="str">
        <f t="shared" si="2"/>
        <v>8/1996</v>
      </c>
      <c r="Y36" s="1">
        <v>35320</v>
      </c>
      <c r="Z36">
        <f t="shared" si="3"/>
        <v>28</v>
      </c>
    </row>
    <row r="37" spans="2:26" x14ac:dyDescent="0.2">
      <c r="B37" t="str">
        <v>HUNGC</v>
      </c>
      <c r="C37" t="str">
        <v>Hungry Coyote Import Store</v>
      </c>
      <c r="D37" cm="1">
        <f t="array" ref="D37">COUNTA(_xlfn._xlws.FILTER(Orders[orderID],Orders[customerID]=B37))</f>
        <v>5</v>
      </c>
      <c r="E37" t="str">
        <v>RICSU</v>
      </c>
      <c r="F37" t="str">
        <v>Richter Supermarkt</v>
      </c>
      <c r="G37">
        <v>10</v>
      </c>
      <c r="S37" s="1">
        <v>35293</v>
      </c>
      <c r="T37">
        <f t="shared" si="0"/>
        <v>8</v>
      </c>
      <c r="U37">
        <f t="shared" si="1"/>
        <v>1996</v>
      </c>
      <c r="V37" t="str">
        <f t="shared" si="2"/>
        <v>8/1996</v>
      </c>
      <c r="Y37" s="1">
        <v>35321</v>
      </c>
      <c r="Z37">
        <f t="shared" si="3"/>
        <v>28</v>
      </c>
    </row>
    <row r="38" spans="2:26" x14ac:dyDescent="0.2">
      <c r="B38" t="str">
        <v>HUNGO</v>
      </c>
      <c r="C38" t="str">
        <v>Hungry Owl All-Night Grocers</v>
      </c>
      <c r="D38" cm="1">
        <f t="array" ref="D38">COUNTA(_xlfn._xlws.FILTER(Orders[orderID],Orders[customerID]=B38))</f>
        <v>19</v>
      </c>
      <c r="E38" t="str">
        <v>TORTU</v>
      </c>
      <c r="F38" t="str">
        <v>Tortuga Restaurante</v>
      </c>
      <c r="G38">
        <v>10</v>
      </c>
      <c r="S38" s="1">
        <v>35296</v>
      </c>
      <c r="T38">
        <f t="shared" si="0"/>
        <v>8</v>
      </c>
      <c r="U38">
        <f t="shared" si="1"/>
        <v>1996</v>
      </c>
      <c r="V38" t="str">
        <f t="shared" si="2"/>
        <v>8/1996</v>
      </c>
      <c r="Y38" s="1">
        <v>35324</v>
      </c>
      <c r="Z38">
        <f t="shared" si="3"/>
        <v>28</v>
      </c>
    </row>
    <row r="39" spans="2:26" x14ac:dyDescent="0.2">
      <c r="B39" t="str">
        <v>ISLAT</v>
      </c>
      <c r="C39" t="str">
        <v>Island Trading</v>
      </c>
      <c r="D39" cm="1">
        <f t="array" ref="D39">COUNTA(_xlfn._xlws.FILTER(Orders[orderID],Orders[customerID]=B39))</f>
        <v>10</v>
      </c>
      <c r="E39" t="str">
        <v>VICTE</v>
      </c>
      <c r="F39" t="str">
        <v>Victuailles en stock</v>
      </c>
      <c r="G39">
        <v>10</v>
      </c>
      <c r="S39" s="1">
        <v>35297</v>
      </c>
      <c r="T39">
        <f t="shared" si="0"/>
        <v>8</v>
      </c>
      <c r="U39">
        <f t="shared" si="1"/>
        <v>1996</v>
      </c>
      <c r="V39" t="str">
        <f t="shared" si="2"/>
        <v>8/1996</v>
      </c>
      <c r="Y39" s="1">
        <v>35325</v>
      </c>
      <c r="Z39">
        <f t="shared" si="3"/>
        <v>28</v>
      </c>
    </row>
    <row r="40" spans="2:26" x14ac:dyDescent="0.2">
      <c r="B40" t="str">
        <v>KOENE</v>
      </c>
      <c r="C40" t="str">
        <v>Königlich Essen</v>
      </c>
      <c r="D40" cm="1">
        <f t="array" ref="D40">COUNTA(_xlfn._xlws.FILTER(Orders[orderID],Orders[customerID]=B40))</f>
        <v>14</v>
      </c>
      <c r="E40" t="str">
        <v>WANDK</v>
      </c>
      <c r="F40" t="str">
        <v>Die Wandernde Kuh</v>
      </c>
      <c r="G40">
        <v>10</v>
      </c>
      <c r="S40" s="1">
        <v>35298</v>
      </c>
      <c r="T40">
        <f t="shared" si="0"/>
        <v>8</v>
      </c>
      <c r="U40">
        <f t="shared" si="1"/>
        <v>1996</v>
      </c>
      <c r="V40" t="str">
        <f t="shared" si="2"/>
        <v>8/1996</v>
      </c>
      <c r="Y40" s="1">
        <v>35326</v>
      </c>
      <c r="Z40">
        <f t="shared" si="3"/>
        <v>28</v>
      </c>
    </row>
    <row r="41" spans="2:26" x14ac:dyDescent="0.2">
      <c r="B41" t="str">
        <v>LACOR</v>
      </c>
      <c r="C41" t="str">
        <v>La corne d'abondance</v>
      </c>
      <c r="D41" cm="1">
        <f t="array" ref="D41">COUNTA(_xlfn._xlws.FILTER(Orders[orderID],Orders[customerID]=B41))</f>
        <v>4</v>
      </c>
      <c r="E41" t="str">
        <v>GOURL</v>
      </c>
      <c r="F41" t="str">
        <v>Gourmet Lanchonetes</v>
      </c>
      <c r="G41">
        <v>9</v>
      </c>
      <c r="S41" s="1">
        <v>35299</v>
      </c>
      <c r="T41">
        <f t="shared" si="0"/>
        <v>8</v>
      </c>
      <c r="U41">
        <f t="shared" si="1"/>
        <v>1996</v>
      </c>
      <c r="V41" t="str">
        <f t="shared" si="2"/>
        <v>8/1996</v>
      </c>
      <c r="Y41" s="1">
        <v>35327</v>
      </c>
      <c r="Z41">
        <f t="shared" si="3"/>
        <v>28</v>
      </c>
    </row>
    <row r="42" spans="2:26" x14ac:dyDescent="0.2">
      <c r="B42" t="str">
        <v>LAMAI</v>
      </c>
      <c r="C42" t="str">
        <v>La maison d'Asie</v>
      </c>
      <c r="D42" cm="1">
        <f t="array" ref="D42">COUNTA(_xlfn._xlws.FILTER(Orders[orderID],Orders[customerID]=B42))</f>
        <v>14</v>
      </c>
      <c r="E42" t="str">
        <v>QUEDE</v>
      </c>
      <c r="F42" t="str">
        <v>Que Delícia</v>
      </c>
      <c r="G42">
        <v>9</v>
      </c>
      <c r="S42" s="1">
        <v>35300</v>
      </c>
      <c r="T42">
        <f t="shared" si="0"/>
        <v>8</v>
      </c>
      <c r="U42">
        <f t="shared" si="1"/>
        <v>1996</v>
      </c>
      <c r="V42" t="str">
        <f t="shared" si="2"/>
        <v>8/1996</v>
      </c>
      <c r="Y42" s="1">
        <v>35328</v>
      </c>
      <c r="Z42">
        <f t="shared" si="3"/>
        <v>28</v>
      </c>
    </row>
    <row r="43" spans="2:26" x14ac:dyDescent="0.2">
      <c r="B43" t="str">
        <v>LAUGB</v>
      </c>
      <c r="C43" t="str">
        <v>Laughing Bacchus Wine Cellars</v>
      </c>
      <c r="D43" cm="1">
        <f t="array" ref="D43">COUNTA(_xlfn._xlws.FILTER(Orders[orderID],Orders[customerID]=B43))</f>
        <v>3</v>
      </c>
      <c r="E43" t="str">
        <v>SEVES</v>
      </c>
      <c r="F43" t="str">
        <v>Seven Seas Imports</v>
      </c>
      <c r="G43">
        <v>9</v>
      </c>
      <c r="S43" s="1">
        <v>35303</v>
      </c>
      <c r="T43">
        <f t="shared" si="0"/>
        <v>8</v>
      </c>
      <c r="U43">
        <f t="shared" si="1"/>
        <v>1996</v>
      </c>
      <c r="V43" t="str">
        <f t="shared" si="2"/>
        <v>8/1996</v>
      </c>
      <c r="Y43" s="1">
        <v>35331</v>
      </c>
      <c r="Z43">
        <f t="shared" si="3"/>
        <v>28</v>
      </c>
    </row>
    <row r="44" spans="2:26" x14ac:dyDescent="0.2">
      <c r="B44" t="str">
        <v>LAZYK</v>
      </c>
      <c r="C44" t="str">
        <v>Lazy K Kountry Store</v>
      </c>
      <c r="D44" cm="1">
        <f t="array" ref="D44">COUNTA(_xlfn._xlws.FILTER(Orders[orderID],Orders[customerID]=B44))</f>
        <v>2</v>
      </c>
      <c r="E44" t="str">
        <v>SPLIR</v>
      </c>
      <c r="F44" t="str">
        <v>Split Rail Beer &amp; Ale</v>
      </c>
      <c r="G44">
        <v>9</v>
      </c>
      <c r="S44" s="1">
        <v>35304</v>
      </c>
      <c r="T44">
        <f t="shared" si="0"/>
        <v>8</v>
      </c>
      <c r="U44">
        <f t="shared" si="1"/>
        <v>1996</v>
      </c>
      <c r="V44" t="str">
        <f t="shared" si="2"/>
        <v>8/1996</v>
      </c>
      <c r="Y44" s="1">
        <v>35332</v>
      </c>
      <c r="Z44">
        <f t="shared" si="3"/>
        <v>28</v>
      </c>
    </row>
    <row r="45" spans="2:26" x14ac:dyDescent="0.2">
      <c r="B45" t="str">
        <v>LEHMS</v>
      </c>
      <c r="C45" t="str">
        <v>Lehmanns Marktstand</v>
      </c>
      <c r="D45" cm="1">
        <f t="array" ref="D45">COUNTA(_xlfn._xlws.FILTER(Orders[orderID],Orders[customerID]=B45))</f>
        <v>15</v>
      </c>
      <c r="E45" t="str">
        <v>WELLI</v>
      </c>
      <c r="F45" t="str">
        <v>Wellington Importadora</v>
      </c>
      <c r="G45">
        <v>9</v>
      </c>
      <c r="S45" s="1">
        <v>35304</v>
      </c>
      <c r="T45">
        <f t="shared" si="0"/>
        <v>8</v>
      </c>
      <c r="U45">
        <f t="shared" si="1"/>
        <v>1996</v>
      </c>
      <c r="V45" t="str">
        <f t="shared" si="2"/>
        <v>8/1996</v>
      </c>
      <c r="Y45" s="1">
        <v>35332</v>
      </c>
      <c r="Z45">
        <f t="shared" si="3"/>
        <v>28</v>
      </c>
    </row>
    <row r="46" spans="2:26" x14ac:dyDescent="0.2">
      <c r="B46" t="str">
        <v>LETSS</v>
      </c>
      <c r="C46" t="str">
        <v>Let's Stop N Shop</v>
      </c>
      <c r="D46" cm="1">
        <f t="array" ref="D46">COUNTA(_xlfn._xlws.FILTER(Orders[orderID],Orders[customerID]=B46))</f>
        <v>4</v>
      </c>
      <c r="E46" t="str">
        <v>CHOPS</v>
      </c>
      <c r="F46" t="str">
        <v>Chop-suey Chinese</v>
      </c>
      <c r="G46">
        <v>8</v>
      </c>
      <c r="S46" s="1">
        <v>35305</v>
      </c>
      <c r="T46">
        <f t="shared" si="0"/>
        <v>8</v>
      </c>
      <c r="U46">
        <f t="shared" si="1"/>
        <v>1996</v>
      </c>
      <c r="V46" t="str">
        <f t="shared" si="2"/>
        <v>8/1996</v>
      </c>
      <c r="Y46" s="1">
        <v>35333</v>
      </c>
      <c r="Z46">
        <f t="shared" si="3"/>
        <v>28</v>
      </c>
    </row>
    <row r="47" spans="2:26" x14ac:dyDescent="0.2">
      <c r="B47" t="str">
        <v>LILAS</v>
      </c>
      <c r="C47" t="str">
        <v>LILA-Supermercado</v>
      </c>
      <c r="D47" cm="1">
        <f t="array" ref="D47">COUNTA(_xlfn._xlws.FILTER(Orders[orderID],Orders[customerID]=B47))</f>
        <v>14</v>
      </c>
      <c r="E47" t="str">
        <v>EASTC</v>
      </c>
      <c r="F47" t="str">
        <v>Eastern Connection</v>
      </c>
      <c r="G47">
        <v>8</v>
      </c>
      <c r="S47" s="1">
        <v>35306</v>
      </c>
      <c r="T47">
        <f t="shared" si="0"/>
        <v>8</v>
      </c>
      <c r="U47">
        <f t="shared" si="1"/>
        <v>1996</v>
      </c>
      <c r="V47" t="str">
        <f t="shared" si="2"/>
        <v>8/1996</v>
      </c>
      <c r="Y47" s="1">
        <v>35334</v>
      </c>
      <c r="Z47">
        <f t="shared" si="3"/>
        <v>28</v>
      </c>
    </row>
    <row r="48" spans="2:26" x14ac:dyDescent="0.2">
      <c r="B48" t="str">
        <v>LINOD</v>
      </c>
      <c r="C48" t="str">
        <v>LINO-Delicateses</v>
      </c>
      <c r="D48" cm="1">
        <f t="array" ref="D48">COUNTA(_xlfn._xlws.FILTER(Orders[orderID],Orders[customerID]=B48))</f>
        <v>12</v>
      </c>
      <c r="E48" t="str">
        <v>FURIB</v>
      </c>
      <c r="F48" t="str">
        <v>Furia Bacalhau e Frutos do Mar</v>
      </c>
      <c r="G48">
        <v>8</v>
      </c>
      <c r="S48" s="1">
        <v>35307</v>
      </c>
      <c r="T48">
        <f t="shared" si="0"/>
        <v>8</v>
      </c>
      <c r="U48">
        <f t="shared" si="1"/>
        <v>1996</v>
      </c>
      <c r="V48" t="str">
        <f t="shared" si="2"/>
        <v>8/1996</v>
      </c>
      <c r="Y48" s="1">
        <v>35335</v>
      </c>
      <c r="Z48">
        <f t="shared" si="3"/>
        <v>28</v>
      </c>
    </row>
    <row r="49" spans="2:26" x14ac:dyDescent="0.2">
      <c r="B49" t="str">
        <v>LONEP</v>
      </c>
      <c r="C49" t="str">
        <v>Lonesome Pine Restaurant</v>
      </c>
      <c r="D49" cm="1">
        <f t="array" ref="D49">COUNTA(_xlfn._xlws.FILTER(Orders[orderID],Orders[customerID]=B49))</f>
        <v>8</v>
      </c>
      <c r="E49" t="str">
        <v>LONEP</v>
      </c>
      <c r="F49" t="str">
        <v>Lonesome Pine Restaurant</v>
      </c>
      <c r="G49">
        <v>8</v>
      </c>
      <c r="S49" s="1">
        <v>35310</v>
      </c>
      <c r="T49">
        <f t="shared" si="0"/>
        <v>9</v>
      </c>
      <c r="U49">
        <f t="shared" si="1"/>
        <v>1996</v>
      </c>
      <c r="V49" t="str">
        <f t="shared" si="2"/>
        <v>9/1996</v>
      </c>
      <c r="Y49" s="1">
        <v>35338</v>
      </c>
      <c r="Z49">
        <f t="shared" si="3"/>
        <v>28</v>
      </c>
    </row>
    <row r="50" spans="2:26" x14ac:dyDescent="0.2">
      <c r="B50" t="str">
        <v>MAGAA</v>
      </c>
      <c r="C50" t="str">
        <v>Magazzini Alimentari Riuniti</v>
      </c>
      <c r="D50" cm="1">
        <f t="array" ref="D50">COUNTA(_xlfn._xlws.FILTER(Orders[orderID],Orders[customerID]=B50))</f>
        <v>10</v>
      </c>
      <c r="E50" t="str">
        <v>ANTON</v>
      </c>
      <c r="F50" t="str">
        <v>Antonio Moreno Taquería</v>
      </c>
      <c r="G50">
        <v>7</v>
      </c>
      <c r="S50" s="1">
        <v>35311</v>
      </c>
      <c r="T50">
        <f t="shared" si="0"/>
        <v>9</v>
      </c>
      <c r="U50">
        <f t="shared" si="1"/>
        <v>1996</v>
      </c>
      <c r="V50" t="str">
        <f t="shared" si="2"/>
        <v>9/1996</v>
      </c>
      <c r="Y50" s="1">
        <v>35339</v>
      </c>
      <c r="Z50">
        <f t="shared" si="3"/>
        <v>28</v>
      </c>
    </row>
    <row r="51" spans="2:26" x14ac:dyDescent="0.2">
      <c r="B51" t="str">
        <v>MAISD</v>
      </c>
      <c r="C51" t="str">
        <v>Maison Dewey</v>
      </c>
      <c r="D51" cm="1">
        <f t="array" ref="D51">COUNTA(_xlfn._xlws.FILTER(Orders[orderID],Orders[customerID]=B51))</f>
        <v>7</v>
      </c>
      <c r="E51" t="str">
        <v>BLAUS</v>
      </c>
      <c r="F51" t="str">
        <v>Blauer See Delikatessen</v>
      </c>
      <c r="G51">
        <v>7</v>
      </c>
      <c r="S51" s="1">
        <v>35312</v>
      </c>
      <c r="T51">
        <f t="shared" si="0"/>
        <v>9</v>
      </c>
      <c r="U51">
        <f t="shared" si="1"/>
        <v>1996</v>
      </c>
      <c r="V51" t="str">
        <f t="shared" si="2"/>
        <v>9/1996</v>
      </c>
      <c r="Y51" s="1">
        <v>35354</v>
      </c>
      <c r="Z51">
        <f t="shared" si="3"/>
        <v>42</v>
      </c>
    </row>
    <row r="52" spans="2:26" x14ac:dyDescent="0.2">
      <c r="B52" t="str">
        <v>MEREP</v>
      </c>
      <c r="C52" t="str">
        <v>Mère Paillarde</v>
      </c>
      <c r="D52" cm="1">
        <f t="array" ref="D52">COUNTA(_xlfn._xlws.FILTER(Orders[orderID],Orders[customerID]=B52))</f>
        <v>13</v>
      </c>
      <c r="E52" t="str">
        <v>FAMIA</v>
      </c>
      <c r="F52" t="str">
        <v>Familia Arquibaldo</v>
      </c>
      <c r="G52">
        <v>7</v>
      </c>
      <c r="S52" s="1">
        <v>35313</v>
      </c>
      <c r="T52">
        <f t="shared" si="0"/>
        <v>9</v>
      </c>
      <c r="U52">
        <f t="shared" si="1"/>
        <v>1996</v>
      </c>
      <c r="V52" t="str">
        <f t="shared" si="2"/>
        <v>9/1996</v>
      </c>
      <c r="Y52" s="1">
        <v>35341</v>
      </c>
      <c r="Z52">
        <f t="shared" si="3"/>
        <v>28</v>
      </c>
    </row>
    <row r="53" spans="2:26" x14ac:dyDescent="0.2">
      <c r="B53" t="str">
        <v>MORGK</v>
      </c>
      <c r="C53" t="str">
        <v>Morgenstern Gesundkost</v>
      </c>
      <c r="D53" cm="1">
        <f t="array" ref="D53">COUNTA(_xlfn._xlws.FILTER(Orders[orderID],Orders[customerID]=B53))</f>
        <v>5</v>
      </c>
      <c r="E53" t="str">
        <v>MAISD</v>
      </c>
      <c r="F53" t="str">
        <v>Maison Dewey</v>
      </c>
      <c r="G53">
        <v>7</v>
      </c>
      <c r="S53" s="1">
        <v>35314</v>
      </c>
      <c r="T53">
        <f t="shared" si="0"/>
        <v>9</v>
      </c>
      <c r="U53">
        <f t="shared" si="1"/>
        <v>1996</v>
      </c>
      <c r="V53" t="str">
        <f t="shared" si="2"/>
        <v>9/1996</v>
      </c>
      <c r="Y53" s="1">
        <v>35342</v>
      </c>
      <c r="Z53">
        <f t="shared" si="3"/>
        <v>28</v>
      </c>
    </row>
    <row r="54" spans="2:26" x14ac:dyDescent="0.2">
      <c r="B54" t="str">
        <v>NORTS</v>
      </c>
      <c r="C54" t="str">
        <v>North/South</v>
      </c>
      <c r="D54" cm="1">
        <f t="array" ref="D54">COUNTA(_xlfn._xlws.FILTER(Orders[orderID],Orders[customerID]=B54))</f>
        <v>3</v>
      </c>
      <c r="E54" t="str">
        <v>SIMOB</v>
      </c>
      <c r="F54" t="str">
        <v>Simons bistro</v>
      </c>
      <c r="G54">
        <v>7</v>
      </c>
      <c r="S54" s="1">
        <v>35317</v>
      </c>
      <c r="T54">
        <f t="shared" si="0"/>
        <v>9</v>
      </c>
      <c r="U54">
        <f t="shared" si="1"/>
        <v>1996</v>
      </c>
      <c r="V54" t="str">
        <f t="shared" si="2"/>
        <v>9/1996</v>
      </c>
      <c r="Y54" s="1">
        <v>35345</v>
      </c>
      <c r="Z54">
        <f t="shared" si="3"/>
        <v>28</v>
      </c>
    </row>
    <row r="55" spans="2:26" x14ac:dyDescent="0.2">
      <c r="B55" t="str">
        <v>OCEAN</v>
      </c>
      <c r="C55" t="str">
        <v>Océano Atlántico Ltda.</v>
      </c>
      <c r="D55" cm="1">
        <f t="array" ref="D55">COUNTA(_xlfn._xlws.FILTER(Orders[orderID],Orders[customerID]=B55))</f>
        <v>5</v>
      </c>
      <c r="E55" t="str">
        <v>WILMK</v>
      </c>
      <c r="F55" t="str">
        <v>Wilman Kala</v>
      </c>
      <c r="G55">
        <v>7</v>
      </c>
      <c r="S55" s="1">
        <v>35317</v>
      </c>
      <c r="T55">
        <f t="shared" si="0"/>
        <v>9</v>
      </c>
      <c r="U55">
        <f t="shared" si="1"/>
        <v>1996</v>
      </c>
      <c r="V55" t="str">
        <f t="shared" si="2"/>
        <v>9/1996</v>
      </c>
      <c r="Y55" s="1">
        <v>35345</v>
      </c>
      <c r="Z55">
        <f t="shared" si="3"/>
        <v>28</v>
      </c>
    </row>
    <row r="56" spans="2:26" x14ac:dyDescent="0.2">
      <c r="B56" t="str">
        <v>OLDWO</v>
      </c>
      <c r="C56" t="str">
        <v>Old World Delicatessen</v>
      </c>
      <c r="D56" cm="1">
        <f t="array" ref="D56">COUNTA(_xlfn._xlws.FILTER(Orders[orderID],Orders[customerID]=B56))</f>
        <v>10</v>
      </c>
      <c r="E56" t="str">
        <v>WOLZA</v>
      </c>
      <c r="F56" t="str">
        <v>Wolski  Zajazd</v>
      </c>
      <c r="G56">
        <v>7</v>
      </c>
      <c r="S56" s="1">
        <v>35318</v>
      </c>
      <c r="T56">
        <f t="shared" si="0"/>
        <v>9</v>
      </c>
      <c r="U56">
        <f t="shared" si="1"/>
        <v>1996</v>
      </c>
      <c r="V56" t="str">
        <f t="shared" si="2"/>
        <v>9/1996</v>
      </c>
      <c r="Y56" s="1">
        <v>35346</v>
      </c>
      <c r="Z56">
        <f t="shared" si="3"/>
        <v>28</v>
      </c>
    </row>
    <row r="57" spans="2:26" x14ac:dyDescent="0.2">
      <c r="B57" t="str">
        <v>OTTIK</v>
      </c>
      <c r="C57" t="str">
        <v>Ottilies Käseladen</v>
      </c>
      <c r="D57" cm="1">
        <f t="array" ref="D57">COUNTA(_xlfn._xlws.FILTER(Orders[orderID],Orders[customerID]=B57))</f>
        <v>10</v>
      </c>
      <c r="E57" t="str">
        <v>ALFKI</v>
      </c>
      <c r="F57" t="str">
        <v>Alfreds Futterkiste</v>
      </c>
      <c r="G57">
        <v>6</v>
      </c>
      <c r="S57" s="1">
        <v>35319</v>
      </c>
      <c r="T57">
        <f t="shared" si="0"/>
        <v>9</v>
      </c>
      <c r="U57">
        <f t="shared" si="1"/>
        <v>1996</v>
      </c>
      <c r="V57" t="str">
        <f t="shared" si="2"/>
        <v>9/1996</v>
      </c>
      <c r="Y57" s="1">
        <v>35347</v>
      </c>
      <c r="Z57">
        <f t="shared" si="3"/>
        <v>28</v>
      </c>
    </row>
    <row r="58" spans="2:26" x14ac:dyDescent="0.2">
      <c r="B58" t="str">
        <v>PARIS</v>
      </c>
      <c r="C58" t="str">
        <v>Paris spécialités</v>
      </c>
      <c r="D58" cm="1">
        <f t="array" ref="D58">COUNTA(_xlfn._xlws.FILTER(Orders[orderID],Orders[customerID]=B58))</f>
        <v>1</v>
      </c>
      <c r="E58" t="str">
        <v>CACTU</v>
      </c>
      <c r="F58" t="str">
        <v>Cactus Comidas para llevar</v>
      </c>
      <c r="G58">
        <v>6</v>
      </c>
      <c r="S58" s="1">
        <v>35320</v>
      </c>
      <c r="T58">
        <f t="shared" si="0"/>
        <v>9</v>
      </c>
      <c r="U58">
        <f t="shared" si="1"/>
        <v>1996</v>
      </c>
      <c r="V58" t="str">
        <f t="shared" si="2"/>
        <v>9/1996</v>
      </c>
      <c r="Y58" s="1">
        <v>35348</v>
      </c>
      <c r="Z58">
        <f t="shared" si="3"/>
        <v>28</v>
      </c>
    </row>
    <row r="59" spans="2:26" x14ac:dyDescent="0.2">
      <c r="B59" t="str">
        <v>PERIC</v>
      </c>
      <c r="C59" t="str">
        <v>Pericles Comidas clásicas</v>
      </c>
      <c r="D59" cm="1">
        <f t="array" ref="D59">COUNTA(_xlfn._xlws.FILTER(Orders[orderID],Orders[customerID]=B59))</f>
        <v>6</v>
      </c>
      <c r="E59" t="str">
        <v>DRACD</v>
      </c>
      <c r="F59" t="str">
        <v>Drachenblut Delikatessen</v>
      </c>
      <c r="G59">
        <v>6</v>
      </c>
      <c r="S59" s="1">
        <v>35321</v>
      </c>
      <c r="T59">
        <f t="shared" si="0"/>
        <v>9</v>
      </c>
      <c r="U59">
        <f t="shared" si="1"/>
        <v>1996</v>
      </c>
      <c r="V59" t="str">
        <f t="shared" si="2"/>
        <v>9/1996</v>
      </c>
      <c r="Y59" s="1">
        <v>35349</v>
      </c>
      <c r="Z59">
        <f t="shared" si="3"/>
        <v>28</v>
      </c>
    </row>
    <row r="60" spans="2:26" x14ac:dyDescent="0.2">
      <c r="B60" t="str">
        <v>PICCO</v>
      </c>
      <c r="C60" t="str">
        <v>Piccolo und mehr</v>
      </c>
      <c r="D60" cm="1">
        <f t="array" ref="D60">COUNTA(_xlfn._xlws.FILTER(Orders[orderID],Orders[customerID]=B60))</f>
        <v>10</v>
      </c>
      <c r="E60" t="str">
        <v>FRANS</v>
      </c>
      <c r="F60" t="str">
        <v>Franchi S.p.A.</v>
      </c>
      <c r="G60">
        <v>6</v>
      </c>
      <c r="S60" s="1">
        <v>35324</v>
      </c>
      <c r="T60">
        <f t="shared" si="0"/>
        <v>9</v>
      </c>
      <c r="U60">
        <f t="shared" si="1"/>
        <v>1996</v>
      </c>
      <c r="V60" t="str">
        <f t="shared" si="2"/>
        <v>9/1996</v>
      </c>
      <c r="Y60" s="1">
        <v>35352</v>
      </c>
      <c r="Z60">
        <f t="shared" si="3"/>
        <v>28</v>
      </c>
    </row>
    <row r="61" spans="2:26" x14ac:dyDescent="0.2">
      <c r="B61" t="str">
        <v>PRINI</v>
      </c>
      <c r="C61" t="str">
        <v>Princesa Isabel Vinhos</v>
      </c>
      <c r="D61" cm="1">
        <f t="array" ref="D61">COUNTA(_xlfn._xlws.FILTER(Orders[orderID],Orders[customerID]=B61))</f>
        <v>5</v>
      </c>
      <c r="E61" t="str">
        <v>PERIC</v>
      </c>
      <c r="F61" t="str">
        <v>Pericles Comidas clásicas</v>
      </c>
      <c r="G61">
        <v>6</v>
      </c>
      <c r="S61" s="1">
        <v>35325</v>
      </c>
      <c r="T61">
        <f t="shared" si="0"/>
        <v>9</v>
      </c>
      <c r="U61">
        <f t="shared" si="1"/>
        <v>1996</v>
      </c>
      <c r="V61" t="str">
        <f t="shared" si="2"/>
        <v>9/1996</v>
      </c>
      <c r="Y61" s="1">
        <v>35353</v>
      </c>
      <c r="Z61">
        <f t="shared" si="3"/>
        <v>28</v>
      </c>
    </row>
    <row r="62" spans="2:26" x14ac:dyDescent="0.2">
      <c r="B62" t="str">
        <v>QUEDE</v>
      </c>
      <c r="C62" t="str">
        <v>Que Delícia</v>
      </c>
      <c r="D62" cm="1">
        <f t="array" ref="D62">COUNTA(_xlfn._xlws.FILTER(Orders[orderID],Orders[customerID]=B62))</f>
        <v>9</v>
      </c>
      <c r="E62" t="str">
        <v>SANTG</v>
      </c>
      <c r="F62" t="str">
        <v>Santé Gourmet</v>
      </c>
      <c r="G62">
        <v>6</v>
      </c>
      <c r="S62" s="1">
        <v>35326</v>
      </c>
      <c r="T62">
        <f t="shared" si="0"/>
        <v>9</v>
      </c>
      <c r="U62">
        <f t="shared" si="1"/>
        <v>1996</v>
      </c>
      <c r="V62" t="str">
        <f t="shared" si="2"/>
        <v>9/1996</v>
      </c>
      <c r="Y62" s="1">
        <v>35354</v>
      </c>
      <c r="Z62">
        <f t="shared" si="3"/>
        <v>28</v>
      </c>
    </row>
    <row r="63" spans="2:26" x14ac:dyDescent="0.2">
      <c r="B63" t="str">
        <v>QUEEN</v>
      </c>
      <c r="C63" t="str">
        <v>Queen Cozinha</v>
      </c>
      <c r="D63" cm="1">
        <f t="array" ref="D63">COUNTA(_xlfn._xlws.FILTER(Orders[orderID],Orders[customerID]=B63))</f>
        <v>13</v>
      </c>
      <c r="E63" t="str">
        <v>TOMSP</v>
      </c>
      <c r="F63" t="str">
        <v>Toms Spezialitäten</v>
      </c>
      <c r="G63">
        <v>6</v>
      </c>
      <c r="S63" s="1">
        <v>35327</v>
      </c>
      <c r="T63">
        <f t="shared" si="0"/>
        <v>9</v>
      </c>
      <c r="U63">
        <f t="shared" si="1"/>
        <v>1996</v>
      </c>
      <c r="V63" t="str">
        <f t="shared" si="2"/>
        <v>9/1996</v>
      </c>
      <c r="Y63" s="1">
        <v>35355</v>
      </c>
      <c r="Z63">
        <f t="shared" si="3"/>
        <v>28</v>
      </c>
    </row>
    <row r="64" spans="2:26" x14ac:dyDescent="0.2">
      <c r="B64" t="str">
        <v>QUICK</v>
      </c>
      <c r="C64" t="str">
        <v>QUICK-Stop</v>
      </c>
      <c r="D64" cm="1">
        <f t="array" ref="D64">COUNTA(_xlfn._xlws.FILTER(Orders[orderID],Orders[customerID]=B64))</f>
        <v>28</v>
      </c>
      <c r="E64" t="str">
        <v>TRADH</v>
      </c>
      <c r="F64" t="str">
        <v>Tradição Hipermercados</v>
      </c>
      <c r="G64">
        <v>6</v>
      </c>
      <c r="S64" s="1">
        <v>35328</v>
      </c>
      <c r="T64">
        <f t="shared" si="0"/>
        <v>9</v>
      </c>
      <c r="U64">
        <f t="shared" si="1"/>
        <v>1996</v>
      </c>
      <c r="V64" t="str">
        <f t="shared" si="2"/>
        <v>9/1996</v>
      </c>
      <c r="Y64" s="1">
        <v>35356</v>
      </c>
      <c r="Z64">
        <f t="shared" si="3"/>
        <v>28</v>
      </c>
    </row>
    <row r="65" spans="2:26" x14ac:dyDescent="0.2">
      <c r="B65" t="str">
        <v>RANCH</v>
      </c>
      <c r="C65" t="str">
        <v>Rancho grande</v>
      </c>
      <c r="D65" cm="1">
        <f t="array" ref="D65">COUNTA(_xlfn._xlws.FILTER(Orders[orderID],Orders[customerID]=B65))</f>
        <v>5</v>
      </c>
      <c r="E65" t="str">
        <v>COMMI</v>
      </c>
      <c r="F65" t="str">
        <v>Comércio Mineiro</v>
      </c>
      <c r="G65">
        <v>5</v>
      </c>
      <c r="S65" s="1">
        <v>35328</v>
      </c>
      <c r="T65">
        <f t="shared" si="0"/>
        <v>9</v>
      </c>
      <c r="U65">
        <f t="shared" si="1"/>
        <v>1996</v>
      </c>
      <c r="V65" t="str">
        <f t="shared" si="2"/>
        <v>9/1996</v>
      </c>
      <c r="Y65" s="1">
        <v>35342</v>
      </c>
      <c r="Z65">
        <f t="shared" si="3"/>
        <v>14</v>
      </c>
    </row>
    <row r="66" spans="2:26" x14ac:dyDescent="0.2">
      <c r="B66" t="str">
        <v>RATTC</v>
      </c>
      <c r="C66" t="str">
        <v>Rattlesnake Canyon Grocery</v>
      </c>
      <c r="D66" cm="1">
        <f t="array" ref="D66">COUNTA(_xlfn._xlws.FILTER(Orders[orderID],Orders[customerID]=B66))</f>
        <v>18</v>
      </c>
      <c r="E66" t="str">
        <v>FOLIG</v>
      </c>
      <c r="F66" t="str">
        <v>Folies gourmandes</v>
      </c>
      <c r="G66">
        <v>5</v>
      </c>
      <c r="S66" s="1">
        <v>35331</v>
      </c>
      <c r="T66">
        <f t="shared" si="0"/>
        <v>9</v>
      </c>
      <c r="U66">
        <f t="shared" si="1"/>
        <v>1996</v>
      </c>
      <c r="V66" t="str">
        <f t="shared" si="2"/>
        <v>9/1996</v>
      </c>
      <c r="Y66" s="1">
        <v>35359</v>
      </c>
      <c r="Z66">
        <f t="shared" si="3"/>
        <v>28</v>
      </c>
    </row>
    <row r="67" spans="2:26" x14ac:dyDescent="0.2">
      <c r="B67" t="str">
        <v>REGGC</v>
      </c>
      <c r="C67" t="str">
        <v>Reggiani Caseifici</v>
      </c>
      <c r="D67" cm="1">
        <f t="array" ref="D67">COUNTA(_xlfn._xlws.FILTER(Orders[orderID],Orders[customerID]=B67))</f>
        <v>12</v>
      </c>
      <c r="E67" t="str">
        <v>GALED</v>
      </c>
      <c r="F67" t="str">
        <v>Galería del gastrónomo</v>
      </c>
      <c r="G67">
        <v>5</v>
      </c>
      <c r="S67" s="1">
        <v>35332</v>
      </c>
      <c r="T67">
        <f t="shared" ref="T67:T130" si="4">MONTH(S67)</f>
        <v>9</v>
      </c>
      <c r="U67">
        <f t="shared" ref="U67:U130" si="5">YEAR(S67)</f>
        <v>1996</v>
      </c>
      <c r="V67" t="str">
        <f t="shared" ref="V67:V130" si="6">T67&amp;"/"&amp;U67</f>
        <v>9/1996</v>
      </c>
      <c r="Y67" s="1">
        <v>35360</v>
      </c>
      <c r="Z67">
        <f t="shared" ref="Z67:Z130" si="7">Y67-S67</f>
        <v>28</v>
      </c>
    </row>
    <row r="68" spans="2:26" x14ac:dyDescent="0.2">
      <c r="B68" t="str">
        <v>RICAR</v>
      </c>
      <c r="C68" t="str">
        <v>Ricardo Adocicados</v>
      </c>
      <c r="D68" cm="1">
        <f t="array" ref="D68">COUNTA(_xlfn._xlws.FILTER(Orders[orderID],Orders[customerID]=B68))</f>
        <v>11</v>
      </c>
      <c r="E68" t="str">
        <v>HUNGC</v>
      </c>
      <c r="F68" t="str">
        <v>Hungry Coyote Import Store</v>
      </c>
      <c r="G68">
        <v>5</v>
      </c>
      <c r="S68" s="1">
        <v>35333</v>
      </c>
      <c r="T68">
        <f t="shared" si="4"/>
        <v>9</v>
      </c>
      <c r="U68">
        <f t="shared" si="5"/>
        <v>1996</v>
      </c>
      <c r="V68" t="str">
        <f t="shared" si="6"/>
        <v>9/1996</v>
      </c>
      <c r="Y68" s="1">
        <v>35361</v>
      </c>
      <c r="Z68">
        <f t="shared" si="7"/>
        <v>28</v>
      </c>
    </row>
    <row r="69" spans="2:26" x14ac:dyDescent="0.2">
      <c r="B69" t="str">
        <v>RICSU</v>
      </c>
      <c r="C69" t="str">
        <v>Richter Supermarkt</v>
      </c>
      <c r="D69" cm="1">
        <f t="array" ref="D69">COUNTA(_xlfn._xlws.FILTER(Orders[orderID],Orders[customerID]=B69))</f>
        <v>10</v>
      </c>
      <c r="E69" t="str">
        <v>MORGK</v>
      </c>
      <c r="F69" t="str">
        <v>Morgenstern Gesundkost</v>
      </c>
      <c r="G69">
        <v>5</v>
      </c>
      <c r="S69" s="1">
        <v>35334</v>
      </c>
      <c r="T69">
        <f t="shared" si="4"/>
        <v>9</v>
      </c>
      <c r="U69">
        <f t="shared" si="5"/>
        <v>1996</v>
      </c>
      <c r="V69" t="str">
        <f t="shared" si="6"/>
        <v>9/1996</v>
      </c>
      <c r="Y69" s="1">
        <v>35362</v>
      </c>
      <c r="Z69">
        <f t="shared" si="7"/>
        <v>28</v>
      </c>
    </row>
    <row r="70" spans="2:26" x14ac:dyDescent="0.2">
      <c r="B70" t="str">
        <v>ROMEY</v>
      </c>
      <c r="C70" t="str">
        <v>Romero y tomillo</v>
      </c>
      <c r="D70" cm="1">
        <f t="array" ref="D70">COUNTA(_xlfn._xlws.FILTER(Orders[orderID],Orders[customerID]=B70))</f>
        <v>5</v>
      </c>
      <c r="E70" t="str">
        <v>OCEAN</v>
      </c>
      <c r="F70" t="str">
        <v>Océano Atlántico Ltda.</v>
      </c>
      <c r="G70">
        <v>5</v>
      </c>
      <c r="S70" s="1">
        <v>35335</v>
      </c>
      <c r="T70">
        <f t="shared" si="4"/>
        <v>9</v>
      </c>
      <c r="U70">
        <f t="shared" si="5"/>
        <v>1996</v>
      </c>
      <c r="V70" t="str">
        <f t="shared" si="6"/>
        <v>9/1996</v>
      </c>
      <c r="Y70" s="1">
        <v>35363</v>
      </c>
      <c r="Z70">
        <f t="shared" si="7"/>
        <v>28</v>
      </c>
    </row>
    <row r="71" spans="2:26" x14ac:dyDescent="0.2">
      <c r="B71" t="str">
        <v>SANTG</v>
      </c>
      <c r="C71" t="str">
        <v>Santé Gourmet</v>
      </c>
      <c r="D71" cm="1">
        <f t="array" ref="D71">COUNTA(_xlfn._xlws.FILTER(Orders[orderID],Orders[customerID]=B71))</f>
        <v>6</v>
      </c>
      <c r="E71" t="str">
        <v>PRINI</v>
      </c>
      <c r="F71" t="str">
        <v>Princesa Isabel Vinhos</v>
      </c>
      <c r="G71">
        <v>5</v>
      </c>
      <c r="S71" s="1">
        <v>35338</v>
      </c>
      <c r="T71">
        <f t="shared" si="4"/>
        <v>9</v>
      </c>
      <c r="U71">
        <f t="shared" si="5"/>
        <v>1996</v>
      </c>
      <c r="V71" t="str">
        <f t="shared" si="6"/>
        <v>9/1996</v>
      </c>
      <c r="Y71" s="1">
        <v>35366</v>
      </c>
      <c r="Z71">
        <f t="shared" si="7"/>
        <v>28</v>
      </c>
    </row>
    <row r="72" spans="2:26" x14ac:dyDescent="0.2">
      <c r="B72" t="str">
        <v>SAVEA</v>
      </c>
      <c r="C72" t="str">
        <v>Save-a-lot Markets</v>
      </c>
      <c r="D72" cm="1">
        <f t="array" ref="D72">COUNTA(_xlfn._xlws.FILTER(Orders[orderID],Orders[customerID]=B72))</f>
        <v>31</v>
      </c>
      <c r="E72" t="str">
        <v>RANCH</v>
      </c>
      <c r="F72" t="str">
        <v>Rancho grande</v>
      </c>
      <c r="G72">
        <v>5</v>
      </c>
      <c r="S72" s="1">
        <v>35339</v>
      </c>
      <c r="T72">
        <f t="shared" si="4"/>
        <v>10</v>
      </c>
      <c r="U72">
        <f t="shared" si="5"/>
        <v>1996</v>
      </c>
      <c r="V72" t="str">
        <f t="shared" si="6"/>
        <v>10/1996</v>
      </c>
      <c r="Y72" s="1">
        <v>35367</v>
      </c>
      <c r="Z72">
        <f t="shared" si="7"/>
        <v>28</v>
      </c>
    </row>
    <row r="73" spans="2:26" x14ac:dyDescent="0.2">
      <c r="B73" t="str">
        <v>SEVES</v>
      </c>
      <c r="C73" t="str">
        <v>Seven Seas Imports</v>
      </c>
      <c r="D73" cm="1">
        <f t="array" ref="D73">COUNTA(_xlfn._xlws.FILTER(Orders[orderID],Orders[customerID]=B73))</f>
        <v>9</v>
      </c>
      <c r="E73" t="str">
        <v>ROMEY</v>
      </c>
      <c r="F73" t="str">
        <v>Romero y tomillo</v>
      </c>
      <c r="G73">
        <v>5</v>
      </c>
      <c r="S73" s="1">
        <v>35340</v>
      </c>
      <c r="T73">
        <f t="shared" si="4"/>
        <v>10</v>
      </c>
      <c r="U73">
        <f t="shared" si="5"/>
        <v>1996</v>
      </c>
      <c r="V73" t="str">
        <f t="shared" si="6"/>
        <v>10/1996</v>
      </c>
      <c r="Y73" s="1">
        <v>35368</v>
      </c>
      <c r="Z73">
        <f t="shared" si="7"/>
        <v>28</v>
      </c>
    </row>
    <row r="74" spans="2:26" x14ac:dyDescent="0.2">
      <c r="B74" t="str">
        <v>SIMOB</v>
      </c>
      <c r="C74" t="str">
        <v>Simons bistro</v>
      </c>
      <c r="D74" cm="1">
        <f t="array" ref="D74">COUNTA(_xlfn._xlws.FILTER(Orders[orderID],Orders[customerID]=B74))</f>
        <v>7</v>
      </c>
      <c r="E74" t="str">
        <v>VINET</v>
      </c>
      <c r="F74" t="str">
        <v>Vins et alcools Chevalier</v>
      </c>
      <c r="G74">
        <v>5</v>
      </c>
      <c r="S74" s="1">
        <v>35341</v>
      </c>
      <c r="T74">
        <f t="shared" si="4"/>
        <v>10</v>
      </c>
      <c r="U74">
        <f t="shared" si="5"/>
        <v>1996</v>
      </c>
      <c r="V74" t="str">
        <f t="shared" si="6"/>
        <v>10/1996</v>
      </c>
      <c r="Y74" s="1">
        <v>35355</v>
      </c>
      <c r="Z74">
        <f t="shared" si="7"/>
        <v>14</v>
      </c>
    </row>
    <row r="75" spans="2:26" x14ac:dyDescent="0.2">
      <c r="B75" t="str">
        <v>SPECD</v>
      </c>
      <c r="C75" t="str">
        <v>Spécialités du monde</v>
      </c>
      <c r="D75" cm="1">
        <f t="array" ref="D75">COUNTA(_xlfn._xlws.FILTER(Orders[orderID],Orders[customerID]=B75))</f>
        <v>4</v>
      </c>
      <c r="E75" t="str">
        <v>ANATR</v>
      </c>
      <c r="F75" t="str">
        <v>Ana Trujillo Emparedados y helados</v>
      </c>
      <c r="G75">
        <v>4</v>
      </c>
      <c r="S75" s="1">
        <v>35341</v>
      </c>
      <c r="T75">
        <f t="shared" si="4"/>
        <v>10</v>
      </c>
      <c r="U75">
        <f t="shared" si="5"/>
        <v>1996</v>
      </c>
      <c r="V75" t="str">
        <f t="shared" si="6"/>
        <v>10/1996</v>
      </c>
      <c r="Y75" s="1">
        <v>35369</v>
      </c>
      <c r="Z75">
        <f t="shared" si="7"/>
        <v>28</v>
      </c>
    </row>
    <row r="76" spans="2:26" x14ac:dyDescent="0.2">
      <c r="B76" t="str">
        <v>SPLIR</v>
      </c>
      <c r="C76" t="str">
        <v>Split Rail Beer &amp; Ale</v>
      </c>
      <c r="D76" cm="1">
        <f t="array" ref="D76">COUNTA(_xlfn._xlws.FILTER(Orders[orderID],Orders[customerID]=B76))</f>
        <v>9</v>
      </c>
      <c r="E76" t="str">
        <v>DUMON</v>
      </c>
      <c r="F76" t="str">
        <v>Du monde entier</v>
      </c>
      <c r="G76">
        <v>4</v>
      </c>
      <c r="S76" s="1">
        <v>35342</v>
      </c>
      <c r="T76">
        <f t="shared" si="4"/>
        <v>10</v>
      </c>
      <c r="U76">
        <f t="shared" si="5"/>
        <v>1996</v>
      </c>
      <c r="V76" t="str">
        <f t="shared" si="6"/>
        <v>10/1996</v>
      </c>
      <c r="Y76" s="1">
        <v>35370</v>
      </c>
      <c r="Z76">
        <f t="shared" si="7"/>
        <v>28</v>
      </c>
    </row>
    <row r="77" spans="2:26" x14ac:dyDescent="0.2">
      <c r="B77" t="str">
        <v>SUPRD</v>
      </c>
      <c r="C77" t="str">
        <v>Suprêmes délices</v>
      </c>
      <c r="D77" cm="1">
        <f t="array" ref="D77">COUNTA(_xlfn._xlws.FILTER(Orders[orderID],Orders[customerID]=B77))</f>
        <v>12</v>
      </c>
      <c r="E77" t="str">
        <v>LACOR</v>
      </c>
      <c r="F77" t="str">
        <v>La corne d'abondance</v>
      </c>
      <c r="G77">
        <v>4</v>
      </c>
      <c r="S77" s="1">
        <v>35345</v>
      </c>
      <c r="T77">
        <f t="shared" si="4"/>
        <v>10</v>
      </c>
      <c r="U77">
        <f t="shared" si="5"/>
        <v>1996</v>
      </c>
      <c r="V77" t="str">
        <f t="shared" si="6"/>
        <v>10/1996</v>
      </c>
      <c r="Y77" s="1">
        <v>35373</v>
      </c>
      <c r="Z77">
        <f t="shared" si="7"/>
        <v>28</v>
      </c>
    </row>
    <row r="78" spans="2:26" x14ac:dyDescent="0.2">
      <c r="B78" t="str">
        <v>THEBI</v>
      </c>
      <c r="C78" t="str">
        <v>The Big Cheese</v>
      </c>
      <c r="D78" cm="1">
        <f t="array" ref="D78">COUNTA(_xlfn._xlws.FILTER(Orders[orderID],Orders[customerID]=B78))</f>
        <v>4</v>
      </c>
      <c r="E78" t="str">
        <v>LETSS</v>
      </c>
      <c r="F78" t="str">
        <v>Let's Stop N Shop</v>
      </c>
      <c r="G78">
        <v>4</v>
      </c>
      <c r="S78" s="1">
        <v>35346</v>
      </c>
      <c r="T78">
        <f t="shared" si="4"/>
        <v>10</v>
      </c>
      <c r="U78">
        <f t="shared" si="5"/>
        <v>1996</v>
      </c>
      <c r="V78" t="str">
        <f t="shared" si="6"/>
        <v>10/1996</v>
      </c>
      <c r="Y78" s="1">
        <v>35374</v>
      </c>
      <c r="Z78">
        <f t="shared" si="7"/>
        <v>28</v>
      </c>
    </row>
    <row r="79" spans="2:26" x14ac:dyDescent="0.2">
      <c r="B79" t="str">
        <v>THECR</v>
      </c>
      <c r="C79" t="str">
        <v>The Cracker Box</v>
      </c>
      <c r="D79" cm="1">
        <f t="array" ref="D79">COUNTA(_xlfn._xlws.FILTER(Orders[orderID],Orders[customerID]=B79))</f>
        <v>3</v>
      </c>
      <c r="E79" t="str">
        <v>SPECD</v>
      </c>
      <c r="F79" t="str">
        <v>Spécialités du monde</v>
      </c>
      <c r="G79">
        <v>4</v>
      </c>
      <c r="S79" s="1">
        <v>35347</v>
      </c>
      <c r="T79">
        <f t="shared" si="4"/>
        <v>10</v>
      </c>
      <c r="U79">
        <f t="shared" si="5"/>
        <v>1996</v>
      </c>
      <c r="V79" t="str">
        <f t="shared" si="6"/>
        <v>10/1996</v>
      </c>
      <c r="Y79" s="1">
        <v>35361</v>
      </c>
      <c r="Z79">
        <f t="shared" si="7"/>
        <v>14</v>
      </c>
    </row>
    <row r="80" spans="2:26" x14ac:dyDescent="0.2">
      <c r="B80" t="str">
        <v>TOMSP</v>
      </c>
      <c r="C80" t="str">
        <v>Toms Spezialitäten</v>
      </c>
      <c r="D80" cm="1">
        <f t="array" ref="D80">COUNTA(_xlfn._xlws.FILTER(Orders[orderID],Orders[customerID]=B80))</f>
        <v>6</v>
      </c>
      <c r="E80" t="str">
        <v>THEBI</v>
      </c>
      <c r="F80" t="str">
        <v>The Big Cheese</v>
      </c>
      <c r="G80">
        <v>4</v>
      </c>
      <c r="S80" s="1">
        <v>35348</v>
      </c>
      <c r="T80">
        <f t="shared" si="4"/>
        <v>10</v>
      </c>
      <c r="U80">
        <f t="shared" si="5"/>
        <v>1996</v>
      </c>
      <c r="V80" t="str">
        <f t="shared" si="6"/>
        <v>10/1996</v>
      </c>
      <c r="Y80" s="1">
        <v>35376</v>
      </c>
      <c r="Z80">
        <f t="shared" si="7"/>
        <v>28</v>
      </c>
    </row>
    <row r="81" spans="2:26" x14ac:dyDescent="0.2">
      <c r="B81" t="str">
        <v>TORTU</v>
      </c>
      <c r="C81" t="str">
        <v>Tortuga Restaurante</v>
      </c>
      <c r="D81" cm="1">
        <f t="array" ref="D81">COUNTA(_xlfn._xlws.FILTER(Orders[orderID],Orders[customerID]=B81))</f>
        <v>10</v>
      </c>
      <c r="E81" t="str">
        <v>BOLID</v>
      </c>
      <c r="F81" t="str">
        <v>Bólido Comidas preparadas</v>
      </c>
      <c r="G81">
        <v>3</v>
      </c>
      <c r="S81" s="1">
        <v>35349</v>
      </c>
      <c r="T81">
        <f t="shared" si="4"/>
        <v>10</v>
      </c>
      <c r="U81">
        <f t="shared" si="5"/>
        <v>1996</v>
      </c>
      <c r="V81" t="str">
        <f t="shared" si="6"/>
        <v>10/1996</v>
      </c>
      <c r="Y81" s="1">
        <v>35377</v>
      </c>
      <c r="Z81">
        <f t="shared" si="7"/>
        <v>28</v>
      </c>
    </row>
    <row r="82" spans="2:26" x14ac:dyDescent="0.2">
      <c r="B82" t="str">
        <v>TRADH</v>
      </c>
      <c r="C82" t="str">
        <v>Tradição Hipermercados</v>
      </c>
      <c r="D82" cm="1">
        <f t="array" ref="D82">COUNTA(_xlfn._xlws.FILTER(Orders[orderID],Orders[customerID]=B82))</f>
        <v>6</v>
      </c>
      <c r="E82" t="str">
        <v>CONSH</v>
      </c>
      <c r="F82" t="str">
        <v>Consolidated Holdings</v>
      </c>
      <c r="G82">
        <v>3</v>
      </c>
      <c r="S82" s="1">
        <v>35352</v>
      </c>
      <c r="T82">
        <f t="shared" si="4"/>
        <v>10</v>
      </c>
      <c r="U82">
        <f t="shared" si="5"/>
        <v>1996</v>
      </c>
      <c r="V82" t="str">
        <f t="shared" si="6"/>
        <v>10/1996</v>
      </c>
      <c r="Y82" s="1">
        <v>35380</v>
      </c>
      <c r="Z82">
        <f t="shared" si="7"/>
        <v>28</v>
      </c>
    </row>
    <row r="83" spans="2:26" x14ac:dyDescent="0.2">
      <c r="B83" t="str">
        <v>TRAIH</v>
      </c>
      <c r="C83" t="str">
        <v>Trail's Head Gourmet Provisioners</v>
      </c>
      <c r="D83" cm="1">
        <f t="array" ref="D83">COUNTA(_xlfn._xlws.FILTER(Orders[orderID],Orders[customerID]=B83))</f>
        <v>3</v>
      </c>
      <c r="E83" t="str">
        <v>FRANR</v>
      </c>
      <c r="F83" t="str">
        <v>France restauration</v>
      </c>
      <c r="G83">
        <v>3</v>
      </c>
      <c r="S83" s="1">
        <v>35353</v>
      </c>
      <c r="T83">
        <f t="shared" si="4"/>
        <v>10</v>
      </c>
      <c r="U83">
        <f t="shared" si="5"/>
        <v>1996</v>
      </c>
      <c r="V83" t="str">
        <f t="shared" si="6"/>
        <v>10/1996</v>
      </c>
      <c r="Y83" s="1">
        <v>35395</v>
      </c>
      <c r="Z83">
        <f t="shared" si="7"/>
        <v>42</v>
      </c>
    </row>
    <row r="84" spans="2:26" x14ac:dyDescent="0.2">
      <c r="B84" t="str">
        <v>VAFFE</v>
      </c>
      <c r="C84" t="str">
        <v>Vaffeljernet</v>
      </c>
      <c r="D84" cm="1">
        <f t="array" ref="D84">COUNTA(_xlfn._xlws.FILTER(Orders[orderID],Orders[customerID]=B84))</f>
        <v>11</v>
      </c>
      <c r="E84" t="str">
        <v>LAUGB</v>
      </c>
      <c r="F84" t="str">
        <v>Laughing Bacchus Wine Cellars</v>
      </c>
      <c r="G84">
        <v>3</v>
      </c>
      <c r="S84" s="1">
        <v>35354</v>
      </c>
      <c r="T84">
        <f t="shared" si="4"/>
        <v>10</v>
      </c>
      <c r="U84">
        <f t="shared" si="5"/>
        <v>1996</v>
      </c>
      <c r="V84" t="str">
        <f t="shared" si="6"/>
        <v>10/1996</v>
      </c>
      <c r="Y84" s="1">
        <v>35382</v>
      </c>
      <c r="Z84">
        <f t="shared" si="7"/>
        <v>28</v>
      </c>
    </row>
    <row r="85" spans="2:26" x14ac:dyDescent="0.2">
      <c r="B85" t="str">
        <v>VICTE</v>
      </c>
      <c r="C85" t="str">
        <v>Victuailles en stock</v>
      </c>
      <c r="D85" cm="1">
        <f t="array" ref="D85">COUNTA(_xlfn._xlws.FILTER(Orders[orderID],Orders[customerID]=B85))</f>
        <v>10</v>
      </c>
      <c r="E85" t="str">
        <v>NORTS</v>
      </c>
      <c r="F85" t="str">
        <v>North/South</v>
      </c>
      <c r="G85">
        <v>3</v>
      </c>
      <c r="S85" s="1">
        <v>35354</v>
      </c>
      <c r="T85">
        <f t="shared" si="4"/>
        <v>10</v>
      </c>
      <c r="U85">
        <f t="shared" si="5"/>
        <v>1996</v>
      </c>
      <c r="V85" t="str">
        <f t="shared" si="6"/>
        <v>10/1996</v>
      </c>
      <c r="Y85" s="1">
        <v>35396</v>
      </c>
      <c r="Z85">
        <f t="shared" si="7"/>
        <v>42</v>
      </c>
    </row>
    <row r="86" spans="2:26" x14ac:dyDescent="0.2">
      <c r="B86" t="str">
        <v>VINET</v>
      </c>
      <c r="C86" t="str">
        <v>Vins et alcools Chevalier</v>
      </c>
      <c r="D86" cm="1">
        <f t="array" ref="D86">COUNTA(_xlfn._xlws.FILTER(Orders[orderID],Orders[customerID]=B86))</f>
        <v>5</v>
      </c>
      <c r="E86" t="str">
        <v>THECR</v>
      </c>
      <c r="F86" t="str">
        <v>The Cracker Box</v>
      </c>
      <c r="G86">
        <v>3</v>
      </c>
      <c r="S86" s="1">
        <v>35355</v>
      </c>
      <c r="T86">
        <f t="shared" si="4"/>
        <v>10</v>
      </c>
      <c r="U86">
        <f t="shared" si="5"/>
        <v>1996</v>
      </c>
      <c r="V86" t="str">
        <f t="shared" si="6"/>
        <v>10/1996</v>
      </c>
      <c r="Y86" s="1">
        <v>35397</v>
      </c>
      <c r="Z86">
        <f t="shared" si="7"/>
        <v>42</v>
      </c>
    </row>
    <row r="87" spans="2:26" x14ac:dyDescent="0.2">
      <c r="B87" t="str">
        <v>WANDK</v>
      </c>
      <c r="C87" t="str">
        <v>Die Wandernde Kuh</v>
      </c>
      <c r="D87" cm="1">
        <f t="array" ref="D87">COUNTA(_xlfn._xlws.FILTER(Orders[orderID],Orders[customerID]=B87))</f>
        <v>10</v>
      </c>
      <c r="E87" t="str">
        <v>TRAIH</v>
      </c>
      <c r="F87" t="str">
        <v>Trail's Head Gourmet Provisioners</v>
      </c>
      <c r="G87">
        <v>3</v>
      </c>
      <c r="S87" s="1">
        <v>35356</v>
      </c>
      <c r="T87">
        <f t="shared" si="4"/>
        <v>10</v>
      </c>
      <c r="U87">
        <f t="shared" si="5"/>
        <v>1996</v>
      </c>
      <c r="V87" t="str">
        <f t="shared" si="6"/>
        <v>10/1996</v>
      </c>
      <c r="Y87" s="1">
        <v>35384</v>
      </c>
      <c r="Z87">
        <f t="shared" si="7"/>
        <v>28</v>
      </c>
    </row>
    <row r="88" spans="2:26" x14ac:dyDescent="0.2">
      <c r="B88" t="str">
        <v>WARTH</v>
      </c>
      <c r="C88" t="str">
        <v>Wartian Herkku</v>
      </c>
      <c r="D88" cm="1">
        <f t="array" ref="D88">COUNTA(_xlfn._xlws.FILTER(Orders[orderID],Orders[customerID]=B88))</f>
        <v>15</v>
      </c>
      <c r="E88" t="str">
        <v>GROSR</v>
      </c>
      <c r="F88" t="str">
        <v>GROSELLA-Restaurante</v>
      </c>
      <c r="G88">
        <v>2</v>
      </c>
      <c r="S88" s="1">
        <v>35359</v>
      </c>
      <c r="T88">
        <f t="shared" si="4"/>
        <v>10</v>
      </c>
      <c r="U88">
        <f t="shared" si="5"/>
        <v>1996</v>
      </c>
      <c r="V88" t="str">
        <f t="shared" si="6"/>
        <v>10/1996</v>
      </c>
      <c r="Y88" s="1">
        <v>35387</v>
      </c>
      <c r="Z88">
        <f t="shared" si="7"/>
        <v>28</v>
      </c>
    </row>
    <row r="89" spans="2:26" x14ac:dyDescent="0.2">
      <c r="B89" t="str">
        <v>WELLI</v>
      </c>
      <c r="C89" t="str">
        <v>Wellington Importadora</v>
      </c>
      <c r="D89" cm="1">
        <f t="array" ref="D89">COUNTA(_xlfn._xlws.FILTER(Orders[orderID],Orders[customerID]=B89))</f>
        <v>9</v>
      </c>
      <c r="E89" t="str">
        <v>LAZYK</v>
      </c>
      <c r="F89" t="str">
        <v>Lazy K Kountry Store</v>
      </c>
      <c r="G89">
        <v>2</v>
      </c>
      <c r="S89" s="1">
        <v>35360</v>
      </c>
      <c r="T89">
        <f t="shared" si="4"/>
        <v>10</v>
      </c>
      <c r="U89">
        <f t="shared" si="5"/>
        <v>1996</v>
      </c>
      <c r="V89" t="str">
        <f t="shared" si="6"/>
        <v>10/1996</v>
      </c>
      <c r="Y89" s="1">
        <v>35388</v>
      </c>
      <c r="Z89">
        <f t="shared" si="7"/>
        <v>28</v>
      </c>
    </row>
    <row r="90" spans="2:26" x14ac:dyDescent="0.2">
      <c r="B90" t="str">
        <v>WHITC</v>
      </c>
      <c r="C90" t="str">
        <v>White Clover Markets</v>
      </c>
      <c r="D90" cm="1">
        <f t="array" ref="D90">COUNTA(_xlfn._xlws.FILTER(Orders[orderID],Orders[customerID]=B90))</f>
        <v>14</v>
      </c>
      <c r="E90" t="str">
        <v>CENTC</v>
      </c>
      <c r="F90" t="str">
        <v>Centro comercial Moctezuma</v>
      </c>
      <c r="G90">
        <v>1</v>
      </c>
      <c r="S90" s="1">
        <v>35361</v>
      </c>
      <c r="T90">
        <f t="shared" si="4"/>
        <v>10</v>
      </c>
      <c r="U90">
        <f t="shared" si="5"/>
        <v>1996</v>
      </c>
      <c r="V90" t="str">
        <f t="shared" si="6"/>
        <v>10/1996</v>
      </c>
      <c r="Y90" s="1">
        <v>35389</v>
      </c>
      <c r="Z90">
        <f t="shared" si="7"/>
        <v>28</v>
      </c>
    </row>
    <row r="91" spans="2:26" x14ac:dyDescent="0.2">
      <c r="B91" t="str">
        <v>WILMK</v>
      </c>
      <c r="C91" t="str">
        <v>Wilman Kala</v>
      </c>
      <c r="D91" cm="1">
        <f t="array" ref="D91">COUNTA(_xlfn._xlws.FILTER(Orders[orderID],Orders[customerID]=B91))</f>
        <v>7</v>
      </c>
      <c r="E91" t="str">
        <v>FISSA</v>
      </c>
      <c r="F91" t="str">
        <v>FISSA Fabrica Inter. Salchichas S.A.</v>
      </c>
      <c r="G91">
        <v>1</v>
      </c>
      <c r="S91" s="1">
        <v>35362</v>
      </c>
      <c r="T91">
        <f t="shared" si="4"/>
        <v>10</v>
      </c>
      <c r="U91">
        <f t="shared" si="5"/>
        <v>1996</v>
      </c>
      <c r="V91" t="str">
        <f t="shared" si="6"/>
        <v>10/1996</v>
      </c>
      <c r="Y91" s="1">
        <v>35390</v>
      </c>
      <c r="Z91">
        <f t="shared" si="7"/>
        <v>28</v>
      </c>
    </row>
    <row r="92" spans="2:26" x14ac:dyDescent="0.2">
      <c r="B92" t="str">
        <v>WOLZA</v>
      </c>
      <c r="C92" t="str">
        <v>Wolski  Zajazd</v>
      </c>
      <c r="D92" cm="1">
        <f t="array" ref="D92">COUNTA(_xlfn._xlws.FILTER(Orders[orderID],Orders[customerID]=B92))</f>
        <v>7</v>
      </c>
      <c r="E92" t="str">
        <v>PARIS</v>
      </c>
      <c r="F92" t="str">
        <v>Paris spécialités</v>
      </c>
      <c r="G92">
        <v>1</v>
      </c>
      <c r="S92" s="1">
        <v>35363</v>
      </c>
      <c r="T92">
        <f t="shared" si="4"/>
        <v>10</v>
      </c>
      <c r="U92">
        <f t="shared" si="5"/>
        <v>1996</v>
      </c>
      <c r="V92" t="str">
        <f t="shared" si="6"/>
        <v>10/1996</v>
      </c>
      <c r="Y92" s="1">
        <v>35391</v>
      </c>
      <c r="Z92">
        <f t="shared" si="7"/>
        <v>28</v>
      </c>
    </row>
    <row r="93" spans="2:26" x14ac:dyDescent="0.2">
      <c r="S93" s="1">
        <v>35366</v>
      </c>
      <c r="T93">
        <f t="shared" si="4"/>
        <v>10</v>
      </c>
      <c r="U93">
        <f t="shared" si="5"/>
        <v>1996</v>
      </c>
      <c r="V93" t="str">
        <f t="shared" si="6"/>
        <v>10/1996</v>
      </c>
      <c r="Y93" s="1">
        <v>35394</v>
      </c>
      <c r="Z93">
        <f t="shared" si="7"/>
        <v>28</v>
      </c>
    </row>
    <row r="94" spans="2:26" x14ac:dyDescent="0.2">
      <c r="S94" s="1">
        <v>35367</v>
      </c>
      <c r="T94">
        <f t="shared" si="4"/>
        <v>10</v>
      </c>
      <c r="U94">
        <f t="shared" si="5"/>
        <v>1996</v>
      </c>
      <c r="V94" t="str">
        <f t="shared" si="6"/>
        <v>10/1996</v>
      </c>
      <c r="Y94" s="1">
        <v>35395</v>
      </c>
      <c r="Z94">
        <f t="shared" si="7"/>
        <v>28</v>
      </c>
    </row>
    <row r="95" spans="2:26" x14ac:dyDescent="0.2">
      <c r="S95" s="1">
        <v>35367</v>
      </c>
      <c r="T95">
        <f t="shared" si="4"/>
        <v>10</v>
      </c>
      <c r="U95">
        <f t="shared" si="5"/>
        <v>1996</v>
      </c>
      <c r="V95" t="str">
        <f t="shared" si="6"/>
        <v>10/1996</v>
      </c>
      <c r="Y95" s="1">
        <v>35395</v>
      </c>
      <c r="Z95">
        <f t="shared" si="7"/>
        <v>28</v>
      </c>
    </row>
    <row r="96" spans="2:26" x14ac:dyDescent="0.2">
      <c r="S96" s="1">
        <v>35368</v>
      </c>
      <c r="T96">
        <f t="shared" si="4"/>
        <v>10</v>
      </c>
      <c r="U96">
        <f t="shared" si="5"/>
        <v>1996</v>
      </c>
      <c r="V96" t="str">
        <f t="shared" si="6"/>
        <v>10/1996</v>
      </c>
      <c r="Y96" s="1">
        <v>35382</v>
      </c>
      <c r="Z96">
        <f t="shared" si="7"/>
        <v>14</v>
      </c>
    </row>
    <row r="97" spans="19:26" x14ac:dyDescent="0.2">
      <c r="S97" s="1">
        <v>35369</v>
      </c>
      <c r="T97">
        <f t="shared" si="4"/>
        <v>10</v>
      </c>
      <c r="U97">
        <f t="shared" si="5"/>
        <v>1996</v>
      </c>
      <c r="V97" t="str">
        <f t="shared" si="6"/>
        <v>10/1996</v>
      </c>
      <c r="Y97" s="1">
        <v>35397</v>
      </c>
      <c r="Z97">
        <f t="shared" si="7"/>
        <v>28</v>
      </c>
    </row>
    <row r="98" spans="19:26" x14ac:dyDescent="0.2">
      <c r="S98" s="1">
        <v>35370</v>
      </c>
      <c r="T98">
        <f t="shared" si="4"/>
        <v>11</v>
      </c>
      <c r="U98">
        <f t="shared" si="5"/>
        <v>1996</v>
      </c>
      <c r="V98" t="str">
        <f t="shared" si="6"/>
        <v>11/1996</v>
      </c>
      <c r="Y98" s="1">
        <v>35398</v>
      </c>
      <c r="Z98">
        <f t="shared" si="7"/>
        <v>28</v>
      </c>
    </row>
    <row r="99" spans="19:26" x14ac:dyDescent="0.2">
      <c r="S99" s="1">
        <v>35373</v>
      </c>
      <c r="T99">
        <f t="shared" si="4"/>
        <v>11</v>
      </c>
      <c r="U99">
        <f t="shared" si="5"/>
        <v>1996</v>
      </c>
      <c r="V99" t="str">
        <f t="shared" si="6"/>
        <v>11/1996</v>
      </c>
      <c r="Y99" s="1">
        <v>35401</v>
      </c>
      <c r="Z99">
        <f t="shared" si="7"/>
        <v>28</v>
      </c>
    </row>
    <row r="100" spans="19:26" x14ac:dyDescent="0.2">
      <c r="S100" s="1">
        <v>35374</v>
      </c>
      <c r="T100">
        <f t="shared" si="4"/>
        <v>11</v>
      </c>
      <c r="U100">
        <f t="shared" si="5"/>
        <v>1996</v>
      </c>
      <c r="V100" t="str">
        <f t="shared" si="6"/>
        <v>11/1996</v>
      </c>
      <c r="Y100" s="1">
        <v>35416</v>
      </c>
      <c r="Z100">
        <f t="shared" si="7"/>
        <v>42</v>
      </c>
    </row>
    <row r="101" spans="19:26" x14ac:dyDescent="0.2">
      <c r="S101" s="1">
        <v>35375</v>
      </c>
      <c r="T101">
        <f t="shared" si="4"/>
        <v>11</v>
      </c>
      <c r="U101">
        <f t="shared" si="5"/>
        <v>1996</v>
      </c>
      <c r="V101" t="str">
        <f t="shared" si="6"/>
        <v>11/1996</v>
      </c>
      <c r="Y101" s="1">
        <v>35403</v>
      </c>
      <c r="Z101">
        <f t="shared" si="7"/>
        <v>28</v>
      </c>
    </row>
    <row r="102" spans="19:26" x14ac:dyDescent="0.2">
      <c r="S102" s="1">
        <v>35376</v>
      </c>
      <c r="T102">
        <f t="shared" si="4"/>
        <v>11</v>
      </c>
      <c r="U102">
        <f t="shared" si="5"/>
        <v>1996</v>
      </c>
      <c r="V102" t="str">
        <f t="shared" si="6"/>
        <v>11/1996</v>
      </c>
      <c r="Y102" s="1">
        <v>35404</v>
      </c>
      <c r="Z102">
        <f t="shared" si="7"/>
        <v>28</v>
      </c>
    </row>
    <row r="103" spans="19:26" x14ac:dyDescent="0.2">
      <c r="S103" s="1">
        <v>35377</v>
      </c>
      <c r="T103">
        <f t="shared" si="4"/>
        <v>11</v>
      </c>
      <c r="U103">
        <f t="shared" si="5"/>
        <v>1996</v>
      </c>
      <c r="V103" t="str">
        <f t="shared" si="6"/>
        <v>11/1996</v>
      </c>
      <c r="Y103" s="1">
        <v>35405</v>
      </c>
      <c r="Z103">
        <f t="shared" si="7"/>
        <v>28</v>
      </c>
    </row>
    <row r="104" spans="19:26" x14ac:dyDescent="0.2">
      <c r="S104" s="1">
        <v>35380</v>
      </c>
      <c r="T104">
        <f t="shared" si="4"/>
        <v>11</v>
      </c>
      <c r="U104">
        <f t="shared" si="5"/>
        <v>1996</v>
      </c>
      <c r="V104" t="str">
        <f t="shared" si="6"/>
        <v>11/1996</v>
      </c>
      <c r="Y104" s="1">
        <v>35408</v>
      </c>
      <c r="Z104">
        <f t="shared" si="7"/>
        <v>28</v>
      </c>
    </row>
    <row r="105" spans="19:26" x14ac:dyDescent="0.2">
      <c r="S105" s="1">
        <v>35380</v>
      </c>
      <c r="T105">
        <f t="shared" si="4"/>
        <v>11</v>
      </c>
      <c r="U105">
        <f t="shared" si="5"/>
        <v>1996</v>
      </c>
      <c r="V105" t="str">
        <f t="shared" si="6"/>
        <v>11/1996</v>
      </c>
      <c r="Y105" s="1">
        <v>35408</v>
      </c>
      <c r="Z105">
        <f t="shared" si="7"/>
        <v>28</v>
      </c>
    </row>
    <row r="106" spans="19:26" x14ac:dyDescent="0.2">
      <c r="S106" s="1">
        <v>35381</v>
      </c>
      <c r="T106">
        <f t="shared" si="4"/>
        <v>11</v>
      </c>
      <c r="U106">
        <f t="shared" si="5"/>
        <v>1996</v>
      </c>
      <c r="V106" t="str">
        <f t="shared" si="6"/>
        <v>11/1996</v>
      </c>
      <c r="Y106" s="1">
        <v>35395</v>
      </c>
      <c r="Z106">
        <f t="shared" si="7"/>
        <v>14</v>
      </c>
    </row>
    <row r="107" spans="19:26" x14ac:dyDescent="0.2">
      <c r="S107" s="1">
        <v>35382</v>
      </c>
      <c r="T107">
        <f t="shared" si="4"/>
        <v>11</v>
      </c>
      <c r="U107">
        <f t="shared" si="5"/>
        <v>1996</v>
      </c>
      <c r="V107" t="str">
        <f t="shared" si="6"/>
        <v>11/1996</v>
      </c>
      <c r="Y107" s="1">
        <v>35410</v>
      </c>
      <c r="Z107">
        <f t="shared" si="7"/>
        <v>28</v>
      </c>
    </row>
    <row r="108" spans="19:26" x14ac:dyDescent="0.2">
      <c r="S108" s="1">
        <v>35383</v>
      </c>
      <c r="T108">
        <f t="shared" si="4"/>
        <v>11</v>
      </c>
      <c r="U108">
        <f t="shared" si="5"/>
        <v>1996</v>
      </c>
      <c r="V108" t="str">
        <f t="shared" si="6"/>
        <v>11/1996</v>
      </c>
      <c r="Y108" s="1">
        <v>35411</v>
      </c>
      <c r="Z108">
        <f t="shared" si="7"/>
        <v>28</v>
      </c>
    </row>
    <row r="109" spans="19:26" x14ac:dyDescent="0.2">
      <c r="S109" s="1">
        <v>35384</v>
      </c>
      <c r="T109">
        <f t="shared" si="4"/>
        <v>11</v>
      </c>
      <c r="U109">
        <f t="shared" si="5"/>
        <v>1996</v>
      </c>
      <c r="V109" t="str">
        <f t="shared" si="6"/>
        <v>11/1996</v>
      </c>
      <c r="Y109" s="1">
        <v>35412</v>
      </c>
      <c r="Z109">
        <f t="shared" si="7"/>
        <v>28</v>
      </c>
    </row>
    <row r="110" spans="19:26" x14ac:dyDescent="0.2">
      <c r="S110" s="1">
        <v>35387</v>
      </c>
      <c r="T110">
        <f t="shared" si="4"/>
        <v>11</v>
      </c>
      <c r="U110">
        <f t="shared" si="5"/>
        <v>1996</v>
      </c>
      <c r="V110" t="str">
        <f t="shared" si="6"/>
        <v>11/1996</v>
      </c>
      <c r="Y110" s="1">
        <v>35415</v>
      </c>
      <c r="Z110">
        <f t="shared" si="7"/>
        <v>28</v>
      </c>
    </row>
    <row r="111" spans="19:26" x14ac:dyDescent="0.2">
      <c r="S111" s="1">
        <v>35388</v>
      </c>
      <c r="T111">
        <f t="shared" si="4"/>
        <v>11</v>
      </c>
      <c r="U111">
        <f t="shared" si="5"/>
        <v>1996</v>
      </c>
      <c r="V111" t="str">
        <f t="shared" si="6"/>
        <v>11/1996</v>
      </c>
      <c r="Y111" s="1">
        <v>35416</v>
      </c>
      <c r="Z111">
        <f t="shared" si="7"/>
        <v>28</v>
      </c>
    </row>
    <row r="112" spans="19:26" x14ac:dyDescent="0.2">
      <c r="S112" s="1">
        <v>35389</v>
      </c>
      <c r="T112">
        <f t="shared" si="4"/>
        <v>11</v>
      </c>
      <c r="U112">
        <f t="shared" si="5"/>
        <v>1996</v>
      </c>
      <c r="V112" t="str">
        <f t="shared" si="6"/>
        <v>11/1996</v>
      </c>
      <c r="Y112" s="1">
        <v>35417</v>
      </c>
      <c r="Z112">
        <f t="shared" si="7"/>
        <v>28</v>
      </c>
    </row>
    <row r="113" spans="19:26" x14ac:dyDescent="0.2">
      <c r="S113" s="1">
        <v>35390</v>
      </c>
      <c r="T113">
        <f t="shared" si="4"/>
        <v>11</v>
      </c>
      <c r="U113">
        <f t="shared" si="5"/>
        <v>1996</v>
      </c>
      <c r="V113" t="str">
        <f t="shared" si="6"/>
        <v>11/1996</v>
      </c>
      <c r="Y113" s="1">
        <v>35418</v>
      </c>
      <c r="Z113">
        <f t="shared" si="7"/>
        <v>28</v>
      </c>
    </row>
    <row r="114" spans="19:26" x14ac:dyDescent="0.2">
      <c r="S114" s="1">
        <v>35391</v>
      </c>
      <c r="T114">
        <f t="shared" si="4"/>
        <v>11</v>
      </c>
      <c r="U114">
        <f t="shared" si="5"/>
        <v>1996</v>
      </c>
      <c r="V114" t="str">
        <f t="shared" si="6"/>
        <v>11/1996</v>
      </c>
      <c r="Y114" s="1">
        <v>35419</v>
      </c>
      <c r="Z114">
        <f t="shared" si="7"/>
        <v>28</v>
      </c>
    </row>
    <row r="115" spans="19:26" x14ac:dyDescent="0.2">
      <c r="S115" s="1">
        <v>35391</v>
      </c>
      <c r="T115">
        <f t="shared" si="4"/>
        <v>11</v>
      </c>
      <c r="U115">
        <f t="shared" si="5"/>
        <v>1996</v>
      </c>
      <c r="V115" t="str">
        <f t="shared" si="6"/>
        <v>11/1996</v>
      </c>
      <c r="Y115" s="1">
        <v>35419</v>
      </c>
      <c r="Z115">
        <f t="shared" si="7"/>
        <v>28</v>
      </c>
    </row>
    <row r="116" spans="19:26" x14ac:dyDescent="0.2">
      <c r="S116" s="1">
        <v>35394</v>
      </c>
      <c r="T116">
        <f t="shared" si="4"/>
        <v>11</v>
      </c>
      <c r="U116">
        <f t="shared" si="5"/>
        <v>1996</v>
      </c>
      <c r="V116" t="str">
        <f t="shared" si="6"/>
        <v>11/1996</v>
      </c>
      <c r="Y116" s="1">
        <v>35422</v>
      </c>
      <c r="Z116">
        <f t="shared" si="7"/>
        <v>28</v>
      </c>
    </row>
    <row r="117" spans="19:26" x14ac:dyDescent="0.2">
      <c r="S117" s="1">
        <v>35395</v>
      </c>
      <c r="T117">
        <f t="shared" si="4"/>
        <v>11</v>
      </c>
      <c r="U117">
        <f t="shared" si="5"/>
        <v>1996</v>
      </c>
      <c r="V117" t="str">
        <f t="shared" si="6"/>
        <v>11/1996</v>
      </c>
      <c r="Y117" s="1">
        <v>35423</v>
      </c>
      <c r="Z117">
        <f t="shared" si="7"/>
        <v>28</v>
      </c>
    </row>
    <row r="118" spans="19:26" x14ac:dyDescent="0.2">
      <c r="S118" s="1">
        <v>35395</v>
      </c>
      <c r="T118">
        <f t="shared" si="4"/>
        <v>11</v>
      </c>
      <c r="U118">
        <f t="shared" si="5"/>
        <v>1996</v>
      </c>
      <c r="V118" t="str">
        <f t="shared" si="6"/>
        <v>11/1996</v>
      </c>
      <c r="Y118" s="1">
        <v>35437</v>
      </c>
      <c r="Z118">
        <f t="shared" si="7"/>
        <v>42</v>
      </c>
    </row>
    <row r="119" spans="19:26" x14ac:dyDescent="0.2">
      <c r="S119" s="1">
        <v>35396</v>
      </c>
      <c r="T119">
        <f t="shared" si="4"/>
        <v>11</v>
      </c>
      <c r="U119">
        <f t="shared" si="5"/>
        <v>1996</v>
      </c>
      <c r="V119" t="str">
        <f t="shared" si="6"/>
        <v>11/1996</v>
      </c>
      <c r="Y119" s="1">
        <v>35424</v>
      </c>
      <c r="Z119">
        <f t="shared" si="7"/>
        <v>28</v>
      </c>
    </row>
    <row r="120" spans="19:26" x14ac:dyDescent="0.2">
      <c r="S120" s="1">
        <v>35397</v>
      </c>
      <c r="T120">
        <f t="shared" si="4"/>
        <v>11</v>
      </c>
      <c r="U120">
        <f t="shared" si="5"/>
        <v>1996</v>
      </c>
      <c r="V120" t="str">
        <f t="shared" si="6"/>
        <v>11/1996</v>
      </c>
      <c r="Y120" s="1">
        <v>35439</v>
      </c>
      <c r="Z120">
        <f t="shared" si="7"/>
        <v>42</v>
      </c>
    </row>
    <row r="121" spans="19:26" x14ac:dyDescent="0.2">
      <c r="S121" s="1">
        <v>35397</v>
      </c>
      <c r="T121">
        <f t="shared" si="4"/>
        <v>11</v>
      </c>
      <c r="U121">
        <f t="shared" si="5"/>
        <v>1996</v>
      </c>
      <c r="V121" t="str">
        <f t="shared" si="6"/>
        <v>11/1996</v>
      </c>
      <c r="Y121" s="1">
        <v>35425</v>
      </c>
      <c r="Z121">
        <f t="shared" si="7"/>
        <v>28</v>
      </c>
    </row>
    <row r="122" spans="19:26" x14ac:dyDescent="0.2">
      <c r="S122" s="1">
        <v>35398</v>
      </c>
      <c r="T122">
        <f t="shared" si="4"/>
        <v>11</v>
      </c>
      <c r="U122">
        <f t="shared" si="5"/>
        <v>1996</v>
      </c>
      <c r="V122" t="str">
        <f t="shared" si="6"/>
        <v>11/1996</v>
      </c>
      <c r="Y122" s="1">
        <v>35426</v>
      </c>
      <c r="Z122">
        <f t="shared" si="7"/>
        <v>28</v>
      </c>
    </row>
    <row r="123" spans="19:26" x14ac:dyDescent="0.2">
      <c r="S123" s="1">
        <v>35401</v>
      </c>
      <c r="T123">
        <f t="shared" si="4"/>
        <v>12</v>
      </c>
      <c r="U123">
        <f t="shared" si="5"/>
        <v>1996</v>
      </c>
      <c r="V123" t="str">
        <f t="shared" si="6"/>
        <v>12/1996</v>
      </c>
      <c r="Y123" s="1">
        <v>35429</v>
      </c>
      <c r="Z123">
        <f t="shared" si="7"/>
        <v>28</v>
      </c>
    </row>
    <row r="124" spans="19:26" x14ac:dyDescent="0.2">
      <c r="S124" s="1">
        <v>35402</v>
      </c>
      <c r="T124">
        <f t="shared" si="4"/>
        <v>12</v>
      </c>
      <c r="U124">
        <f t="shared" si="5"/>
        <v>1996</v>
      </c>
      <c r="V124" t="str">
        <f t="shared" si="6"/>
        <v>12/1996</v>
      </c>
      <c r="Y124" s="1">
        <v>35430</v>
      </c>
      <c r="Z124">
        <f t="shared" si="7"/>
        <v>28</v>
      </c>
    </row>
    <row r="125" spans="19:26" x14ac:dyDescent="0.2">
      <c r="S125" s="1">
        <v>35402</v>
      </c>
      <c r="T125">
        <f t="shared" si="4"/>
        <v>12</v>
      </c>
      <c r="U125">
        <f t="shared" si="5"/>
        <v>1996</v>
      </c>
      <c r="V125" t="str">
        <f t="shared" si="6"/>
        <v>12/1996</v>
      </c>
      <c r="Y125" s="1">
        <v>35430</v>
      </c>
      <c r="Z125">
        <f t="shared" si="7"/>
        <v>28</v>
      </c>
    </row>
    <row r="126" spans="19:26" x14ac:dyDescent="0.2">
      <c r="S126" s="1">
        <v>35403</v>
      </c>
      <c r="T126">
        <f t="shared" si="4"/>
        <v>12</v>
      </c>
      <c r="U126">
        <f t="shared" si="5"/>
        <v>1996</v>
      </c>
      <c r="V126" t="str">
        <f t="shared" si="6"/>
        <v>12/1996</v>
      </c>
      <c r="Y126" s="1">
        <v>35431</v>
      </c>
      <c r="Z126">
        <f t="shared" si="7"/>
        <v>28</v>
      </c>
    </row>
    <row r="127" spans="19:26" x14ac:dyDescent="0.2">
      <c r="S127" s="1">
        <v>35404</v>
      </c>
      <c r="T127">
        <f t="shared" si="4"/>
        <v>12</v>
      </c>
      <c r="U127">
        <f t="shared" si="5"/>
        <v>1996</v>
      </c>
      <c r="V127" t="str">
        <f t="shared" si="6"/>
        <v>12/1996</v>
      </c>
      <c r="Y127" s="1">
        <v>35432</v>
      </c>
      <c r="Z127">
        <f t="shared" si="7"/>
        <v>28</v>
      </c>
    </row>
    <row r="128" spans="19:26" x14ac:dyDescent="0.2">
      <c r="S128" s="1">
        <v>35404</v>
      </c>
      <c r="T128">
        <f t="shared" si="4"/>
        <v>12</v>
      </c>
      <c r="U128">
        <f t="shared" si="5"/>
        <v>1996</v>
      </c>
      <c r="V128" t="str">
        <f t="shared" si="6"/>
        <v>12/1996</v>
      </c>
      <c r="Y128" s="1">
        <v>35432</v>
      </c>
      <c r="Z128">
        <f t="shared" si="7"/>
        <v>28</v>
      </c>
    </row>
    <row r="129" spans="19:26" x14ac:dyDescent="0.2">
      <c r="S129" s="1">
        <v>35405</v>
      </c>
      <c r="T129">
        <f t="shared" si="4"/>
        <v>12</v>
      </c>
      <c r="U129">
        <f t="shared" si="5"/>
        <v>1996</v>
      </c>
      <c r="V129" t="str">
        <f t="shared" si="6"/>
        <v>12/1996</v>
      </c>
      <c r="Y129" s="1">
        <v>35433</v>
      </c>
      <c r="Z129">
        <f t="shared" si="7"/>
        <v>28</v>
      </c>
    </row>
    <row r="130" spans="19:26" x14ac:dyDescent="0.2">
      <c r="S130" s="1">
        <v>35408</v>
      </c>
      <c r="T130">
        <f t="shared" si="4"/>
        <v>12</v>
      </c>
      <c r="U130">
        <f t="shared" si="5"/>
        <v>1996</v>
      </c>
      <c r="V130" t="str">
        <f t="shared" si="6"/>
        <v>12/1996</v>
      </c>
      <c r="Y130" s="1">
        <v>35436</v>
      </c>
      <c r="Z130">
        <f t="shared" si="7"/>
        <v>28</v>
      </c>
    </row>
    <row r="131" spans="19:26" x14ac:dyDescent="0.2">
      <c r="S131" s="1">
        <v>35408</v>
      </c>
      <c r="T131">
        <f t="shared" ref="T131:T194" si="8">MONTH(S131)</f>
        <v>12</v>
      </c>
      <c r="U131">
        <f t="shared" ref="U131:U194" si="9">YEAR(S131)</f>
        <v>1996</v>
      </c>
      <c r="V131" t="str">
        <f t="shared" ref="V131:V194" si="10">T131&amp;"/"&amp;U131</f>
        <v>12/1996</v>
      </c>
      <c r="Y131" s="1">
        <v>35436</v>
      </c>
      <c r="Z131">
        <f t="shared" ref="Z131:Z194" si="11">Y131-S131</f>
        <v>28</v>
      </c>
    </row>
    <row r="132" spans="19:26" x14ac:dyDescent="0.2">
      <c r="S132" s="1">
        <v>35409</v>
      </c>
      <c r="T132">
        <f t="shared" si="8"/>
        <v>12</v>
      </c>
      <c r="U132">
        <f t="shared" si="9"/>
        <v>1996</v>
      </c>
      <c r="V132" t="str">
        <f t="shared" si="10"/>
        <v>12/1996</v>
      </c>
      <c r="Y132" s="1">
        <v>35437</v>
      </c>
      <c r="Z132">
        <f t="shared" si="11"/>
        <v>28</v>
      </c>
    </row>
    <row r="133" spans="19:26" x14ac:dyDescent="0.2">
      <c r="S133" s="1">
        <v>35410</v>
      </c>
      <c r="T133">
        <f t="shared" si="8"/>
        <v>12</v>
      </c>
      <c r="U133">
        <f t="shared" si="9"/>
        <v>1996</v>
      </c>
      <c r="V133" t="str">
        <f t="shared" si="10"/>
        <v>12/1996</v>
      </c>
      <c r="Y133" s="1">
        <v>35438</v>
      </c>
      <c r="Z133">
        <f t="shared" si="11"/>
        <v>28</v>
      </c>
    </row>
    <row r="134" spans="19:26" x14ac:dyDescent="0.2">
      <c r="S134" s="1">
        <v>35411</v>
      </c>
      <c r="T134">
        <f t="shared" si="8"/>
        <v>12</v>
      </c>
      <c r="U134">
        <f t="shared" si="9"/>
        <v>1996</v>
      </c>
      <c r="V134" t="str">
        <f t="shared" si="10"/>
        <v>12/1996</v>
      </c>
      <c r="Y134" s="1">
        <v>35439</v>
      </c>
      <c r="Z134">
        <f t="shared" si="11"/>
        <v>28</v>
      </c>
    </row>
    <row r="135" spans="19:26" x14ac:dyDescent="0.2">
      <c r="S135" s="1">
        <v>35411</v>
      </c>
      <c r="T135">
        <f t="shared" si="8"/>
        <v>12</v>
      </c>
      <c r="U135">
        <f t="shared" si="9"/>
        <v>1996</v>
      </c>
      <c r="V135" t="str">
        <f t="shared" si="10"/>
        <v>12/1996</v>
      </c>
      <c r="Y135" s="1">
        <v>35439</v>
      </c>
      <c r="Z135">
        <f t="shared" si="11"/>
        <v>28</v>
      </c>
    </row>
    <row r="136" spans="19:26" x14ac:dyDescent="0.2">
      <c r="S136" s="1">
        <v>35412</v>
      </c>
      <c r="T136">
        <f t="shared" si="8"/>
        <v>12</v>
      </c>
      <c r="U136">
        <f t="shared" si="9"/>
        <v>1996</v>
      </c>
      <c r="V136" t="str">
        <f t="shared" si="10"/>
        <v>12/1996</v>
      </c>
      <c r="Y136" s="1">
        <v>35440</v>
      </c>
      <c r="Z136">
        <f t="shared" si="11"/>
        <v>28</v>
      </c>
    </row>
    <row r="137" spans="19:26" x14ac:dyDescent="0.2">
      <c r="S137" s="1">
        <v>35415</v>
      </c>
      <c r="T137">
        <f t="shared" si="8"/>
        <v>12</v>
      </c>
      <c r="U137">
        <f t="shared" si="9"/>
        <v>1996</v>
      </c>
      <c r="V137" t="str">
        <f t="shared" si="10"/>
        <v>12/1996</v>
      </c>
      <c r="Y137" s="1">
        <v>35443</v>
      </c>
      <c r="Z137">
        <f t="shared" si="11"/>
        <v>28</v>
      </c>
    </row>
    <row r="138" spans="19:26" x14ac:dyDescent="0.2">
      <c r="S138" s="1">
        <v>35415</v>
      </c>
      <c r="T138">
        <f t="shared" si="8"/>
        <v>12</v>
      </c>
      <c r="U138">
        <f t="shared" si="9"/>
        <v>1996</v>
      </c>
      <c r="V138" t="str">
        <f t="shared" si="10"/>
        <v>12/1996</v>
      </c>
      <c r="Y138" s="1">
        <v>35443</v>
      </c>
      <c r="Z138">
        <f t="shared" si="11"/>
        <v>28</v>
      </c>
    </row>
    <row r="139" spans="19:26" x14ac:dyDescent="0.2">
      <c r="S139" s="1">
        <v>35416</v>
      </c>
      <c r="T139">
        <f t="shared" si="8"/>
        <v>12</v>
      </c>
      <c r="U139">
        <f t="shared" si="9"/>
        <v>1996</v>
      </c>
      <c r="V139" t="str">
        <f t="shared" si="10"/>
        <v>12/1996</v>
      </c>
      <c r="Y139" s="1">
        <v>35444</v>
      </c>
      <c r="Z139">
        <f t="shared" si="11"/>
        <v>28</v>
      </c>
    </row>
    <row r="140" spans="19:26" x14ac:dyDescent="0.2">
      <c r="S140" s="1">
        <v>35417</v>
      </c>
      <c r="T140">
        <f t="shared" si="8"/>
        <v>12</v>
      </c>
      <c r="U140">
        <f t="shared" si="9"/>
        <v>1996</v>
      </c>
      <c r="V140" t="str">
        <f t="shared" si="10"/>
        <v>12/1996</v>
      </c>
      <c r="Y140" s="1">
        <v>35431</v>
      </c>
      <c r="Z140">
        <f t="shared" si="11"/>
        <v>14</v>
      </c>
    </row>
    <row r="141" spans="19:26" x14ac:dyDescent="0.2">
      <c r="S141" s="1">
        <v>35417</v>
      </c>
      <c r="T141">
        <f t="shared" si="8"/>
        <v>12</v>
      </c>
      <c r="U141">
        <f t="shared" si="9"/>
        <v>1996</v>
      </c>
      <c r="V141" t="str">
        <f t="shared" si="10"/>
        <v>12/1996</v>
      </c>
      <c r="Y141" s="1">
        <v>35445</v>
      </c>
      <c r="Z141">
        <f t="shared" si="11"/>
        <v>28</v>
      </c>
    </row>
    <row r="142" spans="19:26" x14ac:dyDescent="0.2">
      <c r="S142" s="1">
        <v>35418</v>
      </c>
      <c r="T142">
        <f t="shared" si="8"/>
        <v>12</v>
      </c>
      <c r="U142">
        <f t="shared" si="9"/>
        <v>1996</v>
      </c>
      <c r="V142" t="str">
        <f t="shared" si="10"/>
        <v>12/1996</v>
      </c>
      <c r="Y142" s="1">
        <v>35446</v>
      </c>
      <c r="Z142">
        <f t="shared" si="11"/>
        <v>28</v>
      </c>
    </row>
    <row r="143" spans="19:26" x14ac:dyDescent="0.2">
      <c r="S143" s="1">
        <v>35419</v>
      </c>
      <c r="T143">
        <f t="shared" si="8"/>
        <v>12</v>
      </c>
      <c r="U143">
        <f t="shared" si="9"/>
        <v>1996</v>
      </c>
      <c r="V143" t="str">
        <f t="shared" si="10"/>
        <v>12/1996</v>
      </c>
      <c r="Y143" s="1">
        <v>35447</v>
      </c>
      <c r="Z143">
        <f t="shared" si="11"/>
        <v>28</v>
      </c>
    </row>
    <row r="144" spans="19:26" x14ac:dyDescent="0.2">
      <c r="S144" s="1">
        <v>35422</v>
      </c>
      <c r="T144">
        <f t="shared" si="8"/>
        <v>12</v>
      </c>
      <c r="U144">
        <f t="shared" si="9"/>
        <v>1996</v>
      </c>
      <c r="V144" t="str">
        <f t="shared" si="10"/>
        <v>12/1996</v>
      </c>
      <c r="Y144" s="1">
        <v>35450</v>
      </c>
      <c r="Z144">
        <f t="shared" si="11"/>
        <v>28</v>
      </c>
    </row>
    <row r="145" spans="19:26" x14ac:dyDescent="0.2">
      <c r="S145" s="1">
        <v>35422</v>
      </c>
      <c r="T145">
        <f t="shared" si="8"/>
        <v>12</v>
      </c>
      <c r="U145">
        <f t="shared" si="9"/>
        <v>1996</v>
      </c>
      <c r="V145" t="str">
        <f t="shared" si="10"/>
        <v>12/1996</v>
      </c>
      <c r="Y145" s="1">
        <v>35450</v>
      </c>
      <c r="Z145">
        <f t="shared" si="11"/>
        <v>28</v>
      </c>
    </row>
    <row r="146" spans="19:26" x14ac:dyDescent="0.2">
      <c r="S146" s="1">
        <v>35423</v>
      </c>
      <c r="T146">
        <f t="shared" si="8"/>
        <v>12</v>
      </c>
      <c r="U146">
        <f t="shared" si="9"/>
        <v>1996</v>
      </c>
      <c r="V146" t="str">
        <f t="shared" si="10"/>
        <v>12/1996</v>
      </c>
      <c r="Y146" s="1">
        <v>35451</v>
      </c>
      <c r="Z146">
        <f t="shared" si="11"/>
        <v>28</v>
      </c>
    </row>
    <row r="147" spans="19:26" x14ac:dyDescent="0.2">
      <c r="S147" s="1">
        <v>35424</v>
      </c>
      <c r="T147">
        <f t="shared" si="8"/>
        <v>12</v>
      </c>
      <c r="U147">
        <f t="shared" si="9"/>
        <v>1996</v>
      </c>
      <c r="V147" t="str">
        <f t="shared" si="10"/>
        <v>12/1996</v>
      </c>
      <c r="Y147" s="1">
        <v>35452</v>
      </c>
      <c r="Z147">
        <f t="shared" si="11"/>
        <v>28</v>
      </c>
    </row>
    <row r="148" spans="19:26" x14ac:dyDescent="0.2">
      <c r="S148" s="1">
        <v>35424</v>
      </c>
      <c r="T148">
        <f t="shared" si="8"/>
        <v>12</v>
      </c>
      <c r="U148">
        <f t="shared" si="9"/>
        <v>1996</v>
      </c>
      <c r="V148" t="str">
        <f t="shared" si="10"/>
        <v>12/1996</v>
      </c>
      <c r="Y148" s="1">
        <v>35452</v>
      </c>
      <c r="Z148">
        <f t="shared" si="11"/>
        <v>28</v>
      </c>
    </row>
    <row r="149" spans="19:26" x14ac:dyDescent="0.2">
      <c r="S149" s="1">
        <v>35425</v>
      </c>
      <c r="T149">
        <f t="shared" si="8"/>
        <v>12</v>
      </c>
      <c r="U149">
        <f t="shared" si="9"/>
        <v>1996</v>
      </c>
      <c r="V149" t="str">
        <f t="shared" si="10"/>
        <v>12/1996</v>
      </c>
      <c r="Y149" s="1">
        <v>35453</v>
      </c>
      <c r="Z149">
        <f t="shared" si="11"/>
        <v>28</v>
      </c>
    </row>
    <row r="150" spans="19:26" x14ac:dyDescent="0.2">
      <c r="S150" s="1">
        <v>35426</v>
      </c>
      <c r="T150">
        <f t="shared" si="8"/>
        <v>12</v>
      </c>
      <c r="U150">
        <f t="shared" si="9"/>
        <v>1996</v>
      </c>
      <c r="V150" t="str">
        <f t="shared" si="10"/>
        <v>12/1996</v>
      </c>
      <c r="Y150" s="1">
        <v>35440</v>
      </c>
      <c r="Z150">
        <f t="shared" si="11"/>
        <v>14</v>
      </c>
    </row>
    <row r="151" spans="19:26" x14ac:dyDescent="0.2">
      <c r="S151" s="1">
        <v>35426</v>
      </c>
      <c r="T151">
        <f t="shared" si="8"/>
        <v>12</v>
      </c>
      <c r="U151">
        <f t="shared" si="9"/>
        <v>1996</v>
      </c>
      <c r="V151" t="str">
        <f t="shared" si="10"/>
        <v>12/1996</v>
      </c>
      <c r="Y151" s="1">
        <v>35454</v>
      </c>
      <c r="Z151">
        <f t="shared" si="11"/>
        <v>28</v>
      </c>
    </row>
    <row r="152" spans="19:26" x14ac:dyDescent="0.2">
      <c r="S152" s="1">
        <v>35429</v>
      </c>
      <c r="T152">
        <f t="shared" si="8"/>
        <v>12</v>
      </c>
      <c r="U152">
        <f t="shared" si="9"/>
        <v>1996</v>
      </c>
      <c r="V152" t="str">
        <f t="shared" si="10"/>
        <v>12/1996</v>
      </c>
      <c r="Y152" s="1">
        <v>35457</v>
      </c>
      <c r="Z152">
        <f t="shared" si="11"/>
        <v>28</v>
      </c>
    </row>
    <row r="153" spans="19:26" x14ac:dyDescent="0.2">
      <c r="S153" s="1">
        <v>35430</v>
      </c>
      <c r="T153">
        <f t="shared" si="8"/>
        <v>12</v>
      </c>
      <c r="U153">
        <f t="shared" si="9"/>
        <v>1996</v>
      </c>
      <c r="V153" t="str">
        <f t="shared" si="10"/>
        <v>12/1996</v>
      </c>
      <c r="Y153" s="1">
        <v>35444</v>
      </c>
      <c r="Z153">
        <f t="shared" si="11"/>
        <v>14</v>
      </c>
    </row>
    <row r="154" spans="19:26" x14ac:dyDescent="0.2">
      <c r="S154" s="1">
        <v>35431</v>
      </c>
      <c r="T154">
        <f t="shared" si="8"/>
        <v>1</v>
      </c>
      <c r="U154">
        <f t="shared" si="9"/>
        <v>1997</v>
      </c>
      <c r="V154" t="str">
        <f t="shared" si="10"/>
        <v>1/1997</v>
      </c>
      <c r="Y154" s="1">
        <v>35459</v>
      </c>
      <c r="Z154">
        <f t="shared" si="11"/>
        <v>28</v>
      </c>
    </row>
    <row r="155" spans="19:26" x14ac:dyDescent="0.2">
      <c r="S155" s="1">
        <v>35431</v>
      </c>
      <c r="T155">
        <f t="shared" si="8"/>
        <v>1</v>
      </c>
      <c r="U155">
        <f t="shared" si="9"/>
        <v>1997</v>
      </c>
      <c r="V155" t="str">
        <f t="shared" si="10"/>
        <v>1/1997</v>
      </c>
      <c r="Y155" s="1">
        <v>35459</v>
      </c>
      <c r="Z155">
        <f t="shared" si="11"/>
        <v>28</v>
      </c>
    </row>
    <row r="156" spans="19:26" x14ac:dyDescent="0.2">
      <c r="S156" s="1">
        <v>35432</v>
      </c>
      <c r="T156">
        <f t="shared" si="8"/>
        <v>1</v>
      </c>
      <c r="U156">
        <f t="shared" si="9"/>
        <v>1997</v>
      </c>
      <c r="V156" t="str">
        <f t="shared" si="10"/>
        <v>1/1997</v>
      </c>
      <c r="Y156" s="1">
        <v>35474</v>
      </c>
      <c r="Z156">
        <f t="shared" si="11"/>
        <v>42</v>
      </c>
    </row>
    <row r="157" spans="19:26" x14ac:dyDescent="0.2">
      <c r="S157" s="1">
        <v>35433</v>
      </c>
      <c r="T157">
        <f t="shared" si="8"/>
        <v>1</v>
      </c>
      <c r="U157">
        <f t="shared" si="9"/>
        <v>1997</v>
      </c>
      <c r="V157" t="str">
        <f t="shared" si="10"/>
        <v>1/1997</v>
      </c>
      <c r="Y157" s="1">
        <v>35461</v>
      </c>
      <c r="Z157">
        <f t="shared" si="11"/>
        <v>28</v>
      </c>
    </row>
    <row r="158" spans="19:26" x14ac:dyDescent="0.2">
      <c r="S158" s="1">
        <v>35433</v>
      </c>
      <c r="T158">
        <f t="shared" si="8"/>
        <v>1</v>
      </c>
      <c r="U158">
        <f t="shared" si="9"/>
        <v>1997</v>
      </c>
      <c r="V158" t="str">
        <f t="shared" si="10"/>
        <v>1/1997</v>
      </c>
      <c r="Y158" s="1">
        <v>35461</v>
      </c>
      <c r="Z158">
        <f t="shared" si="11"/>
        <v>28</v>
      </c>
    </row>
    <row r="159" spans="19:26" x14ac:dyDescent="0.2">
      <c r="S159" s="1">
        <v>35436</v>
      </c>
      <c r="T159">
        <f t="shared" si="8"/>
        <v>1</v>
      </c>
      <c r="U159">
        <f t="shared" si="9"/>
        <v>1997</v>
      </c>
      <c r="V159" t="str">
        <f t="shared" si="10"/>
        <v>1/1997</v>
      </c>
      <c r="Y159" s="1">
        <v>35464</v>
      </c>
      <c r="Z159">
        <f t="shared" si="11"/>
        <v>28</v>
      </c>
    </row>
    <row r="160" spans="19:26" x14ac:dyDescent="0.2">
      <c r="S160" s="1">
        <v>35437</v>
      </c>
      <c r="T160">
        <f t="shared" si="8"/>
        <v>1</v>
      </c>
      <c r="U160">
        <f t="shared" si="9"/>
        <v>1997</v>
      </c>
      <c r="V160" t="str">
        <f t="shared" si="10"/>
        <v>1/1997</v>
      </c>
      <c r="Y160" s="1">
        <v>35479</v>
      </c>
      <c r="Z160">
        <f t="shared" si="11"/>
        <v>42</v>
      </c>
    </row>
    <row r="161" spans="19:26" x14ac:dyDescent="0.2">
      <c r="S161" s="1">
        <v>35437</v>
      </c>
      <c r="T161">
        <f t="shared" si="8"/>
        <v>1</v>
      </c>
      <c r="U161">
        <f t="shared" si="9"/>
        <v>1997</v>
      </c>
      <c r="V161" t="str">
        <f t="shared" si="10"/>
        <v>1/1997</v>
      </c>
      <c r="Y161" s="1">
        <v>35465</v>
      </c>
      <c r="Z161">
        <f t="shared" si="11"/>
        <v>28</v>
      </c>
    </row>
    <row r="162" spans="19:26" x14ac:dyDescent="0.2">
      <c r="S162" s="1">
        <v>35438</v>
      </c>
      <c r="T162">
        <f t="shared" si="8"/>
        <v>1</v>
      </c>
      <c r="U162">
        <f t="shared" si="9"/>
        <v>1997</v>
      </c>
      <c r="V162" t="str">
        <f t="shared" si="10"/>
        <v>1/1997</v>
      </c>
      <c r="Y162" s="1">
        <v>35466</v>
      </c>
      <c r="Z162">
        <f t="shared" si="11"/>
        <v>28</v>
      </c>
    </row>
    <row r="163" spans="19:26" x14ac:dyDescent="0.2">
      <c r="S163" s="1">
        <v>35439</v>
      </c>
      <c r="T163">
        <f t="shared" si="8"/>
        <v>1</v>
      </c>
      <c r="U163">
        <f t="shared" si="9"/>
        <v>1997</v>
      </c>
      <c r="V163" t="str">
        <f t="shared" si="10"/>
        <v>1/1997</v>
      </c>
      <c r="Y163" s="1">
        <v>35467</v>
      </c>
      <c r="Z163">
        <f t="shared" si="11"/>
        <v>28</v>
      </c>
    </row>
    <row r="164" spans="19:26" x14ac:dyDescent="0.2">
      <c r="S164" s="1">
        <v>35440</v>
      </c>
      <c r="T164">
        <f t="shared" si="8"/>
        <v>1</v>
      </c>
      <c r="U164">
        <f t="shared" si="9"/>
        <v>1997</v>
      </c>
      <c r="V164" t="str">
        <f t="shared" si="10"/>
        <v>1/1997</v>
      </c>
      <c r="Y164" s="1">
        <v>35468</v>
      </c>
      <c r="Z164">
        <f t="shared" si="11"/>
        <v>28</v>
      </c>
    </row>
    <row r="165" spans="19:26" x14ac:dyDescent="0.2">
      <c r="S165" s="1">
        <v>35440</v>
      </c>
      <c r="T165">
        <f t="shared" si="8"/>
        <v>1</v>
      </c>
      <c r="U165">
        <f t="shared" si="9"/>
        <v>1997</v>
      </c>
      <c r="V165" t="str">
        <f t="shared" si="10"/>
        <v>1/1997</v>
      </c>
      <c r="Y165" s="1">
        <v>35468</v>
      </c>
      <c r="Z165">
        <f t="shared" si="11"/>
        <v>28</v>
      </c>
    </row>
    <row r="166" spans="19:26" x14ac:dyDescent="0.2">
      <c r="S166" s="1">
        <v>35443</v>
      </c>
      <c r="T166">
        <f t="shared" si="8"/>
        <v>1</v>
      </c>
      <c r="U166">
        <f t="shared" si="9"/>
        <v>1997</v>
      </c>
      <c r="V166" t="str">
        <f t="shared" si="10"/>
        <v>1/1997</v>
      </c>
      <c r="Y166" s="1">
        <v>35471</v>
      </c>
      <c r="Z166">
        <f t="shared" si="11"/>
        <v>28</v>
      </c>
    </row>
    <row r="167" spans="19:26" x14ac:dyDescent="0.2">
      <c r="S167" s="1">
        <v>35444</v>
      </c>
      <c r="T167">
        <f t="shared" si="8"/>
        <v>1</v>
      </c>
      <c r="U167">
        <f t="shared" si="9"/>
        <v>1997</v>
      </c>
      <c r="V167" t="str">
        <f t="shared" si="10"/>
        <v>1/1997</v>
      </c>
      <c r="Y167" s="1">
        <v>35472</v>
      </c>
      <c r="Z167">
        <f t="shared" si="11"/>
        <v>28</v>
      </c>
    </row>
    <row r="168" spans="19:26" x14ac:dyDescent="0.2">
      <c r="S168" s="1">
        <v>35444</v>
      </c>
      <c r="T168">
        <f t="shared" si="8"/>
        <v>1</v>
      </c>
      <c r="U168">
        <f t="shared" si="9"/>
        <v>1997</v>
      </c>
      <c r="V168" t="str">
        <f t="shared" si="10"/>
        <v>1/1997</v>
      </c>
      <c r="Y168" s="1">
        <v>35472</v>
      </c>
      <c r="Z168">
        <f t="shared" si="11"/>
        <v>28</v>
      </c>
    </row>
    <row r="169" spans="19:26" x14ac:dyDescent="0.2">
      <c r="S169" s="1">
        <v>35445</v>
      </c>
      <c r="T169">
        <f t="shared" si="8"/>
        <v>1</v>
      </c>
      <c r="U169">
        <f t="shared" si="9"/>
        <v>1997</v>
      </c>
      <c r="V169" t="str">
        <f t="shared" si="10"/>
        <v>1/1997</v>
      </c>
      <c r="Y169" s="1">
        <v>35473</v>
      </c>
      <c r="Z169">
        <f t="shared" si="11"/>
        <v>28</v>
      </c>
    </row>
    <row r="170" spans="19:26" x14ac:dyDescent="0.2">
      <c r="S170" s="1">
        <v>35446</v>
      </c>
      <c r="T170">
        <f t="shared" si="8"/>
        <v>1</v>
      </c>
      <c r="U170">
        <f t="shared" si="9"/>
        <v>1997</v>
      </c>
      <c r="V170" t="str">
        <f t="shared" si="10"/>
        <v>1/1997</v>
      </c>
      <c r="Y170" s="1">
        <v>35474</v>
      </c>
      <c r="Z170">
        <f t="shared" si="11"/>
        <v>28</v>
      </c>
    </row>
    <row r="171" spans="19:26" x14ac:dyDescent="0.2">
      <c r="S171" s="1">
        <v>35446</v>
      </c>
      <c r="T171">
        <f t="shared" si="8"/>
        <v>1</v>
      </c>
      <c r="U171">
        <f t="shared" si="9"/>
        <v>1997</v>
      </c>
      <c r="V171" t="str">
        <f t="shared" si="10"/>
        <v>1/1997</v>
      </c>
      <c r="Y171" s="1">
        <v>35474</v>
      </c>
      <c r="Z171">
        <f t="shared" si="11"/>
        <v>28</v>
      </c>
    </row>
    <row r="172" spans="19:26" x14ac:dyDescent="0.2">
      <c r="S172" s="1">
        <v>35447</v>
      </c>
      <c r="T172">
        <f t="shared" si="8"/>
        <v>1</v>
      </c>
      <c r="U172">
        <f t="shared" si="9"/>
        <v>1997</v>
      </c>
      <c r="V172" t="str">
        <f t="shared" si="10"/>
        <v>1/1997</v>
      </c>
      <c r="Y172" s="1">
        <v>35475</v>
      </c>
      <c r="Z172">
        <f t="shared" si="11"/>
        <v>28</v>
      </c>
    </row>
    <row r="173" spans="19:26" x14ac:dyDescent="0.2">
      <c r="S173" s="1">
        <v>35450</v>
      </c>
      <c r="T173">
        <f t="shared" si="8"/>
        <v>1</v>
      </c>
      <c r="U173">
        <f t="shared" si="9"/>
        <v>1997</v>
      </c>
      <c r="V173" t="str">
        <f t="shared" si="10"/>
        <v>1/1997</v>
      </c>
      <c r="Y173" s="1">
        <v>35478</v>
      </c>
      <c r="Z173">
        <f t="shared" si="11"/>
        <v>28</v>
      </c>
    </row>
    <row r="174" spans="19:26" x14ac:dyDescent="0.2">
      <c r="S174" s="1">
        <v>35451</v>
      </c>
      <c r="T174">
        <f t="shared" si="8"/>
        <v>1</v>
      </c>
      <c r="U174">
        <f t="shared" si="9"/>
        <v>1997</v>
      </c>
      <c r="V174" t="str">
        <f t="shared" si="10"/>
        <v>1/1997</v>
      </c>
      <c r="Y174" s="1">
        <v>35479</v>
      </c>
      <c r="Z174">
        <f t="shared" si="11"/>
        <v>28</v>
      </c>
    </row>
    <row r="175" spans="19:26" x14ac:dyDescent="0.2">
      <c r="S175" s="1">
        <v>35451</v>
      </c>
      <c r="T175">
        <f t="shared" si="8"/>
        <v>1</v>
      </c>
      <c r="U175">
        <f t="shared" si="9"/>
        <v>1997</v>
      </c>
      <c r="V175" t="str">
        <f t="shared" si="10"/>
        <v>1/1997</v>
      </c>
      <c r="Y175" s="1">
        <v>35493</v>
      </c>
      <c r="Z175">
        <f t="shared" si="11"/>
        <v>42</v>
      </c>
    </row>
    <row r="176" spans="19:26" x14ac:dyDescent="0.2">
      <c r="S176" s="1">
        <v>35452</v>
      </c>
      <c r="T176">
        <f t="shared" si="8"/>
        <v>1</v>
      </c>
      <c r="U176">
        <f t="shared" si="9"/>
        <v>1997</v>
      </c>
      <c r="V176" t="str">
        <f t="shared" si="10"/>
        <v>1/1997</v>
      </c>
      <c r="Y176" s="1">
        <v>35480</v>
      </c>
      <c r="Z176">
        <f t="shared" si="11"/>
        <v>28</v>
      </c>
    </row>
    <row r="177" spans="19:26" x14ac:dyDescent="0.2">
      <c r="S177" s="1">
        <v>35453</v>
      </c>
      <c r="T177">
        <f t="shared" si="8"/>
        <v>1</v>
      </c>
      <c r="U177">
        <f t="shared" si="9"/>
        <v>1997</v>
      </c>
      <c r="V177" t="str">
        <f t="shared" si="10"/>
        <v>1/1997</v>
      </c>
      <c r="Y177" s="1">
        <v>35467</v>
      </c>
      <c r="Z177">
        <f t="shared" si="11"/>
        <v>14</v>
      </c>
    </row>
    <row r="178" spans="19:26" x14ac:dyDescent="0.2">
      <c r="S178" s="1">
        <v>35453</v>
      </c>
      <c r="T178">
        <f t="shared" si="8"/>
        <v>1</v>
      </c>
      <c r="U178">
        <f t="shared" si="9"/>
        <v>1997</v>
      </c>
      <c r="V178" t="str">
        <f t="shared" si="10"/>
        <v>1/1997</v>
      </c>
      <c r="Y178" s="1">
        <v>35481</v>
      </c>
      <c r="Z178">
        <f t="shared" si="11"/>
        <v>28</v>
      </c>
    </row>
    <row r="179" spans="19:26" x14ac:dyDescent="0.2">
      <c r="S179" s="1">
        <v>35454</v>
      </c>
      <c r="T179">
        <f t="shared" si="8"/>
        <v>1</v>
      </c>
      <c r="U179">
        <f t="shared" si="9"/>
        <v>1997</v>
      </c>
      <c r="V179" t="str">
        <f t="shared" si="10"/>
        <v>1/1997</v>
      </c>
      <c r="Y179" s="1">
        <v>35482</v>
      </c>
      <c r="Z179">
        <f t="shared" si="11"/>
        <v>28</v>
      </c>
    </row>
    <row r="180" spans="19:26" x14ac:dyDescent="0.2">
      <c r="S180" s="1">
        <v>35457</v>
      </c>
      <c r="T180">
        <f t="shared" si="8"/>
        <v>1</v>
      </c>
      <c r="U180">
        <f t="shared" si="9"/>
        <v>1997</v>
      </c>
      <c r="V180" t="str">
        <f t="shared" si="10"/>
        <v>1/1997</v>
      </c>
      <c r="Y180" s="1">
        <v>35485</v>
      </c>
      <c r="Z180">
        <f t="shared" si="11"/>
        <v>28</v>
      </c>
    </row>
    <row r="181" spans="19:26" x14ac:dyDescent="0.2">
      <c r="S181" s="1">
        <v>35457</v>
      </c>
      <c r="T181">
        <f t="shared" si="8"/>
        <v>1</v>
      </c>
      <c r="U181">
        <f t="shared" si="9"/>
        <v>1997</v>
      </c>
      <c r="V181" t="str">
        <f t="shared" si="10"/>
        <v>1/1997</v>
      </c>
      <c r="Y181" s="1">
        <v>35485</v>
      </c>
      <c r="Z181">
        <f t="shared" si="11"/>
        <v>28</v>
      </c>
    </row>
    <row r="182" spans="19:26" x14ac:dyDescent="0.2">
      <c r="S182" s="1">
        <v>35458</v>
      </c>
      <c r="T182">
        <f t="shared" si="8"/>
        <v>1</v>
      </c>
      <c r="U182">
        <f t="shared" si="9"/>
        <v>1997</v>
      </c>
      <c r="V182" t="str">
        <f t="shared" si="10"/>
        <v>1/1997</v>
      </c>
      <c r="Y182" s="1">
        <v>35486</v>
      </c>
      <c r="Z182">
        <f t="shared" si="11"/>
        <v>28</v>
      </c>
    </row>
    <row r="183" spans="19:26" x14ac:dyDescent="0.2">
      <c r="S183" s="1">
        <v>35459</v>
      </c>
      <c r="T183">
        <f t="shared" si="8"/>
        <v>1</v>
      </c>
      <c r="U183">
        <f t="shared" si="9"/>
        <v>1997</v>
      </c>
      <c r="V183" t="str">
        <f t="shared" si="10"/>
        <v>1/1997</v>
      </c>
      <c r="Y183" s="1">
        <v>35501</v>
      </c>
      <c r="Z183">
        <f t="shared" si="11"/>
        <v>42</v>
      </c>
    </row>
    <row r="184" spans="19:26" x14ac:dyDescent="0.2">
      <c r="S184" s="1">
        <v>35460</v>
      </c>
      <c r="T184">
        <f t="shared" si="8"/>
        <v>1</v>
      </c>
      <c r="U184">
        <f t="shared" si="9"/>
        <v>1997</v>
      </c>
      <c r="V184" t="str">
        <f t="shared" si="10"/>
        <v>1/1997</v>
      </c>
      <c r="Y184" s="1">
        <v>35474</v>
      </c>
      <c r="Z184">
        <f t="shared" si="11"/>
        <v>14</v>
      </c>
    </row>
    <row r="185" spans="19:26" x14ac:dyDescent="0.2">
      <c r="S185" s="1">
        <v>35460</v>
      </c>
      <c r="T185">
        <f t="shared" si="8"/>
        <v>1</v>
      </c>
      <c r="U185">
        <f t="shared" si="9"/>
        <v>1997</v>
      </c>
      <c r="V185" t="str">
        <f t="shared" si="10"/>
        <v>1/1997</v>
      </c>
      <c r="Y185" s="1">
        <v>35474</v>
      </c>
      <c r="Z185">
        <f t="shared" si="11"/>
        <v>14</v>
      </c>
    </row>
    <row r="186" spans="19:26" x14ac:dyDescent="0.2">
      <c r="S186" s="1">
        <v>35461</v>
      </c>
      <c r="T186">
        <f t="shared" si="8"/>
        <v>1</v>
      </c>
      <c r="U186">
        <f t="shared" si="9"/>
        <v>1997</v>
      </c>
      <c r="V186" t="str">
        <f t="shared" si="10"/>
        <v>1/1997</v>
      </c>
      <c r="Y186" s="1">
        <v>35475</v>
      </c>
      <c r="Z186">
        <f t="shared" si="11"/>
        <v>14</v>
      </c>
    </row>
    <row r="187" spans="19:26" x14ac:dyDescent="0.2">
      <c r="S187" s="1">
        <v>35464</v>
      </c>
      <c r="T187">
        <f t="shared" si="8"/>
        <v>2</v>
      </c>
      <c r="U187">
        <f t="shared" si="9"/>
        <v>1997</v>
      </c>
      <c r="V187" t="str">
        <f t="shared" si="10"/>
        <v>2/1997</v>
      </c>
      <c r="Y187" s="1">
        <v>35492</v>
      </c>
      <c r="Z187">
        <f t="shared" si="11"/>
        <v>28</v>
      </c>
    </row>
    <row r="188" spans="19:26" x14ac:dyDescent="0.2">
      <c r="S188" s="1">
        <v>35464</v>
      </c>
      <c r="T188">
        <f t="shared" si="8"/>
        <v>2</v>
      </c>
      <c r="U188">
        <f t="shared" si="9"/>
        <v>1997</v>
      </c>
      <c r="V188" t="str">
        <f t="shared" si="10"/>
        <v>2/1997</v>
      </c>
      <c r="Y188" s="1">
        <v>35492</v>
      </c>
      <c r="Z188">
        <f t="shared" si="11"/>
        <v>28</v>
      </c>
    </row>
    <row r="189" spans="19:26" x14ac:dyDescent="0.2">
      <c r="S189" s="1">
        <v>35465</v>
      </c>
      <c r="T189">
        <f t="shared" si="8"/>
        <v>2</v>
      </c>
      <c r="U189">
        <f t="shared" si="9"/>
        <v>1997</v>
      </c>
      <c r="V189" t="str">
        <f t="shared" si="10"/>
        <v>2/1997</v>
      </c>
      <c r="Y189" s="1">
        <v>35507</v>
      </c>
      <c r="Z189">
        <f t="shared" si="11"/>
        <v>42</v>
      </c>
    </row>
    <row r="190" spans="19:26" x14ac:dyDescent="0.2">
      <c r="S190" s="1">
        <v>35466</v>
      </c>
      <c r="T190">
        <f t="shared" si="8"/>
        <v>2</v>
      </c>
      <c r="U190">
        <f t="shared" si="9"/>
        <v>1997</v>
      </c>
      <c r="V190" t="str">
        <f t="shared" si="10"/>
        <v>2/1997</v>
      </c>
      <c r="Y190" s="1">
        <v>35494</v>
      </c>
      <c r="Z190">
        <f t="shared" si="11"/>
        <v>28</v>
      </c>
    </row>
    <row r="191" spans="19:26" x14ac:dyDescent="0.2">
      <c r="S191" s="1">
        <v>35466</v>
      </c>
      <c r="T191">
        <f t="shared" si="8"/>
        <v>2</v>
      </c>
      <c r="U191">
        <f t="shared" si="9"/>
        <v>1997</v>
      </c>
      <c r="V191" t="str">
        <f t="shared" si="10"/>
        <v>2/1997</v>
      </c>
      <c r="Y191" s="1">
        <v>35494</v>
      </c>
      <c r="Z191">
        <f t="shared" si="11"/>
        <v>28</v>
      </c>
    </row>
    <row r="192" spans="19:26" x14ac:dyDescent="0.2">
      <c r="S192" s="1">
        <v>35467</v>
      </c>
      <c r="T192">
        <f t="shared" si="8"/>
        <v>2</v>
      </c>
      <c r="U192">
        <f t="shared" si="9"/>
        <v>1997</v>
      </c>
      <c r="V192" t="str">
        <f t="shared" si="10"/>
        <v>2/1997</v>
      </c>
      <c r="Y192" s="1">
        <v>35495</v>
      </c>
      <c r="Z192">
        <f t="shared" si="11"/>
        <v>28</v>
      </c>
    </row>
    <row r="193" spans="19:26" x14ac:dyDescent="0.2">
      <c r="S193" s="1">
        <v>35468</v>
      </c>
      <c r="T193">
        <f t="shared" si="8"/>
        <v>2</v>
      </c>
      <c r="U193">
        <f t="shared" si="9"/>
        <v>1997</v>
      </c>
      <c r="V193" t="str">
        <f t="shared" si="10"/>
        <v>2/1997</v>
      </c>
      <c r="Y193" s="1">
        <v>35496</v>
      </c>
      <c r="Z193">
        <f t="shared" si="11"/>
        <v>28</v>
      </c>
    </row>
    <row r="194" spans="19:26" x14ac:dyDescent="0.2">
      <c r="S194" s="1">
        <v>35471</v>
      </c>
      <c r="T194">
        <f t="shared" si="8"/>
        <v>2</v>
      </c>
      <c r="U194">
        <f t="shared" si="9"/>
        <v>1997</v>
      </c>
      <c r="V194" t="str">
        <f t="shared" si="10"/>
        <v>2/1997</v>
      </c>
      <c r="Y194" s="1">
        <v>35499</v>
      </c>
      <c r="Z194">
        <f t="shared" si="11"/>
        <v>28</v>
      </c>
    </row>
    <row r="195" spans="19:26" x14ac:dyDescent="0.2">
      <c r="S195" s="1">
        <v>35471</v>
      </c>
      <c r="T195">
        <f t="shared" ref="T195:T258" si="12">MONTH(S195)</f>
        <v>2</v>
      </c>
      <c r="U195">
        <f t="shared" ref="U195:U258" si="13">YEAR(S195)</f>
        <v>1997</v>
      </c>
      <c r="V195" t="str">
        <f t="shared" ref="V195:V258" si="14">T195&amp;"/"&amp;U195</f>
        <v>2/1997</v>
      </c>
      <c r="Y195" s="1">
        <v>35513</v>
      </c>
      <c r="Z195">
        <f t="shared" ref="Z195:Z258" si="15">Y195-S195</f>
        <v>42</v>
      </c>
    </row>
    <row r="196" spans="19:26" x14ac:dyDescent="0.2">
      <c r="S196" s="1">
        <v>35472</v>
      </c>
      <c r="T196">
        <f t="shared" si="12"/>
        <v>2</v>
      </c>
      <c r="U196">
        <f t="shared" si="13"/>
        <v>1997</v>
      </c>
      <c r="V196" t="str">
        <f t="shared" si="14"/>
        <v>2/1997</v>
      </c>
      <c r="Y196" s="1">
        <v>35500</v>
      </c>
      <c r="Z196">
        <f t="shared" si="15"/>
        <v>28</v>
      </c>
    </row>
    <row r="197" spans="19:26" x14ac:dyDescent="0.2">
      <c r="S197" s="1">
        <v>35473</v>
      </c>
      <c r="T197">
        <f t="shared" si="12"/>
        <v>2</v>
      </c>
      <c r="U197">
        <f t="shared" si="13"/>
        <v>1997</v>
      </c>
      <c r="V197" t="str">
        <f t="shared" si="14"/>
        <v>2/1997</v>
      </c>
      <c r="Y197" s="1">
        <v>35501</v>
      </c>
      <c r="Z197">
        <f t="shared" si="15"/>
        <v>28</v>
      </c>
    </row>
    <row r="198" spans="19:26" x14ac:dyDescent="0.2">
      <c r="S198" s="1">
        <v>35473</v>
      </c>
      <c r="T198">
        <f t="shared" si="12"/>
        <v>2</v>
      </c>
      <c r="U198">
        <f t="shared" si="13"/>
        <v>1997</v>
      </c>
      <c r="V198" t="str">
        <f t="shared" si="14"/>
        <v>2/1997</v>
      </c>
      <c r="Y198" s="1">
        <v>35501</v>
      </c>
      <c r="Z198">
        <f t="shared" si="15"/>
        <v>28</v>
      </c>
    </row>
    <row r="199" spans="19:26" x14ac:dyDescent="0.2">
      <c r="S199" s="1">
        <v>35474</v>
      </c>
      <c r="T199">
        <f t="shared" si="12"/>
        <v>2</v>
      </c>
      <c r="U199">
        <f t="shared" si="13"/>
        <v>1997</v>
      </c>
      <c r="V199" t="str">
        <f t="shared" si="14"/>
        <v>2/1997</v>
      </c>
      <c r="Y199" s="1">
        <v>35502</v>
      </c>
      <c r="Z199">
        <f t="shared" si="15"/>
        <v>28</v>
      </c>
    </row>
    <row r="200" spans="19:26" x14ac:dyDescent="0.2">
      <c r="S200" s="1">
        <v>35475</v>
      </c>
      <c r="T200">
        <f t="shared" si="12"/>
        <v>2</v>
      </c>
      <c r="U200">
        <f t="shared" si="13"/>
        <v>1997</v>
      </c>
      <c r="V200" t="str">
        <f t="shared" si="14"/>
        <v>2/1997</v>
      </c>
      <c r="Y200" s="1">
        <v>35503</v>
      </c>
      <c r="Z200">
        <f t="shared" si="15"/>
        <v>28</v>
      </c>
    </row>
    <row r="201" spans="19:26" x14ac:dyDescent="0.2">
      <c r="S201" s="1">
        <v>35475</v>
      </c>
      <c r="T201">
        <f t="shared" si="12"/>
        <v>2</v>
      </c>
      <c r="U201">
        <f t="shared" si="13"/>
        <v>1997</v>
      </c>
      <c r="V201" t="str">
        <f t="shared" si="14"/>
        <v>2/1997</v>
      </c>
      <c r="Y201" s="1">
        <v>35503</v>
      </c>
      <c r="Z201">
        <f t="shared" si="15"/>
        <v>28</v>
      </c>
    </row>
    <row r="202" spans="19:26" x14ac:dyDescent="0.2">
      <c r="S202" s="1">
        <v>35478</v>
      </c>
      <c r="T202">
        <f t="shared" si="12"/>
        <v>2</v>
      </c>
      <c r="U202">
        <f t="shared" si="13"/>
        <v>1997</v>
      </c>
      <c r="V202" t="str">
        <f t="shared" si="14"/>
        <v>2/1997</v>
      </c>
      <c r="Y202" s="1">
        <v>35506</v>
      </c>
      <c r="Z202">
        <f t="shared" si="15"/>
        <v>28</v>
      </c>
    </row>
    <row r="203" spans="19:26" x14ac:dyDescent="0.2">
      <c r="S203" s="1">
        <v>35479</v>
      </c>
      <c r="T203">
        <f t="shared" si="12"/>
        <v>2</v>
      </c>
      <c r="U203">
        <f t="shared" si="13"/>
        <v>1997</v>
      </c>
      <c r="V203" t="str">
        <f t="shared" si="14"/>
        <v>2/1997</v>
      </c>
      <c r="Y203" s="1">
        <v>35507</v>
      </c>
      <c r="Z203">
        <f t="shared" si="15"/>
        <v>28</v>
      </c>
    </row>
    <row r="204" spans="19:26" x14ac:dyDescent="0.2">
      <c r="S204" s="1">
        <v>35480</v>
      </c>
      <c r="T204">
        <f t="shared" si="12"/>
        <v>2</v>
      </c>
      <c r="U204">
        <f t="shared" si="13"/>
        <v>1997</v>
      </c>
      <c r="V204" t="str">
        <f t="shared" si="14"/>
        <v>2/1997</v>
      </c>
      <c r="Y204" s="1">
        <v>35508</v>
      </c>
      <c r="Z204">
        <f t="shared" si="15"/>
        <v>28</v>
      </c>
    </row>
    <row r="205" spans="19:26" x14ac:dyDescent="0.2">
      <c r="S205" s="1">
        <v>35480</v>
      </c>
      <c r="T205">
        <f t="shared" si="12"/>
        <v>2</v>
      </c>
      <c r="U205">
        <f t="shared" si="13"/>
        <v>1997</v>
      </c>
      <c r="V205" t="str">
        <f t="shared" si="14"/>
        <v>2/1997</v>
      </c>
      <c r="Y205" s="1">
        <v>35494</v>
      </c>
      <c r="Z205">
        <f t="shared" si="15"/>
        <v>14</v>
      </c>
    </row>
    <row r="206" spans="19:26" x14ac:dyDescent="0.2">
      <c r="S206" s="1">
        <v>35481</v>
      </c>
      <c r="T206">
        <f t="shared" si="12"/>
        <v>2</v>
      </c>
      <c r="U206">
        <f t="shared" si="13"/>
        <v>1997</v>
      </c>
      <c r="V206" t="str">
        <f t="shared" si="14"/>
        <v>2/1997</v>
      </c>
      <c r="Y206" s="1">
        <v>35509</v>
      </c>
      <c r="Z206">
        <f t="shared" si="15"/>
        <v>28</v>
      </c>
    </row>
    <row r="207" spans="19:26" x14ac:dyDescent="0.2">
      <c r="S207" s="1">
        <v>35482</v>
      </c>
      <c r="T207">
        <f t="shared" si="12"/>
        <v>2</v>
      </c>
      <c r="U207">
        <f t="shared" si="13"/>
        <v>1997</v>
      </c>
      <c r="V207" t="str">
        <f t="shared" si="14"/>
        <v>2/1997</v>
      </c>
      <c r="Y207" s="1">
        <v>35510</v>
      </c>
      <c r="Z207">
        <f t="shared" si="15"/>
        <v>28</v>
      </c>
    </row>
    <row r="208" spans="19:26" x14ac:dyDescent="0.2">
      <c r="S208" s="1">
        <v>35482</v>
      </c>
      <c r="T208">
        <f t="shared" si="12"/>
        <v>2</v>
      </c>
      <c r="U208">
        <f t="shared" si="13"/>
        <v>1997</v>
      </c>
      <c r="V208" t="str">
        <f t="shared" si="14"/>
        <v>2/1997</v>
      </c>
      <c r="Y208" s="1">
        <v>35510</v>
      </c>
      <c r="Z208">
        <f t="shared" si="15"/>
        <v>28</v>
      </c>
    </row>
    <row r="209" spans="19:26" x14ac:dyDescent="0.2">
      <c r="S209" s="1">
        <v>35485</v>
      </c>
      <c r="T209">
        <f t="shared" si="12"/>
        <v>2</v>
      </c>
      <c r="U209">
        <f t="shared" si="13"/>
        <v>1997</v>
      </c>
      <c r="V209" t="str">
        <f t="shared" si="14"/>
        <v>2/1997</v>
      </c>
      <c r="Y209" s="1">
        <v>35527</v>
      </c>
      <c r="Z209">
        <f t="shared" si="15"/>
        <v>42</v>
      </c>
    </row>
    <row r="210" spans="19:26" x14ac:dyDescent="0.2">
      <c r="S210" s="1">
        <v>35486</v>
      </c>
      <c r="T210">
        <f t="shared" si="12"/>
        <v>2</v>
      </c>
      <c r="U210">
        <f t="shared" si="13"/>
        <v>1997</v>
      </c>
      <c r="V210" t="str">
        <f t="shared" si="14"/>
        <v>2/1997</v>
      </c>
      <c r="Y210" s="1">
        <v>35528</v>
      </c>
      <c r="Z210">
        <f t="shared" si="15"/>
        <v>42</v>
      </c>
    </row>
    <row r="211" spans="19:26" x14ac:dyDescent="0.2">
      <c r="S211" s="1">
        <v>35486</v>
      </c>
      <c r="T211">
        <f t="shared" si="12"/>
        <v>2</v>
      </c>
      <c r="U211">
        <f t="shared" si="13"/>
        <v>1997</v>
      </c>
      <c r="V211" t="str">
        <f t="shared" si="14"/>
        <v>2/1997</v>
      </c>
      <c r="Y211" s="1">
        <v>35514</v>
      </c>
      <c r="Z211">
        <f t="shared" si="15"/>
        <v>28</v>
      </c>
    </row>
    <row r="212" spans="19:26" x14ac:dyDescent="0.2">
      <c r="S212" s="1">
        <v>35487</v>
      </c>
      <c r="T212">
        <f t="shared" si="12"/>
        <v>2</v>
      </c>
      <c r="U212">
        <f t="shared" si="13"/>
        <v>1997</v>
      </c>
      <c r="V212" t="str">
        <f t="shared" si="14"/>
        <v>2/1997</v>
      </c>
      <c r="Y212" s="1">
        <v>35515</v>
      </c>
      <c r="Z212">
        <f t="shared" si="15"/>
        <v>28</v>
      </c>
    </row>
    <row r="213" spans="19:26" x14ac:dyDescent="0.2">
      <c r="S213" s="1">
        <v>35488</v>
      </c>
      <c r="T213">
        <f t="shared" si="12"/>
        <v>2</v>
      </c>
      <c r="U213">
        <f t="shared" si="13"/>
        <v>1997</v>
      </c>
      <c r="V213" t="str">
        <f t="shared" si="14"/>
        <v>2/1997</v>
      </c>
      <c r="Y213" s="1">
        <v>35516</v>
      </c>
      <c r="Z213">
        <f t="shared" si="15"/>
        <v>28</v>
      </c>
    </row>
    <row r="214" spans="19:26" x14ac:dyDescent="0.2">
      <c r="S214" s="1">
        <v>35489</v>
      </c>
      <c r="T214">
        <f t="shared" si="12"/>
        <v>2</v>
      </c>
      <c r="U214">
        <f t="shared" si="13"/>
        <v>1997</v>
      </c>
      <c r="V214" t="str">
        <f t="shared" si="14"/>
        <v>2/1997</v>
      </c>
      <c r="Y214" s="1">
        <v>35517</v>
      </c>
      <c r="Z214">
        <f t="shared" si="15"/>
        <v>28</v>
      </c>
    </row>
    <row r="215" spans="19:26" x14ac:dyDescent="0.2">
      <c r="S215" s="1">
        <v>35489</v>
      </c>
      <c r="T215">
        <f t="shared" si="12"/>
        <v>2</v>
      </c>
      <c r="U215">
        <f t="shared" si="13"/>
        <v>1997</v>
      </c>
      <c r="V215" t="str">
        <f t="shared" si="14"/>
        <v>2/1997</v>
      </c>
      <c r="Y215" s="1">
        <v>35517</v>
      </c>
      <c r="Z215">
        <f t="shared" si="15"/>
        <v>28</v>
      </c>
    </row>
    <row r="216" spans="19:26" x14ac:dyDescent="0.2">
      <c r="S216" s="1">
        <v>35492</v>
      </c>
      <c r="T216">
        <f t="shared" si="12"/>
        <v>3</v>
      </c>
      <c r="U216">
        <f t="shared" si="13"/>
        <v>1997</v>
      </c>
      <c r="V216" t="str">
        <f t="shared" si="14"/>
        <v>3/1997</v>
      </c>
      <c r="Y216" s="1">
        <v>35520</v>
      </c>
      <c r="Z216">
        <f t="shared" si="15"/>
        <v>28</v>
      </c>
    </row>
    <row r="217" spans="19:26" x14ac:dyDescent="0.2">
      <c r="S217" s="1">
        <v>35493</v>
      </c>
      <c r="T217">
        <f t="shared" si="12"/>
        <v>3</v>
      </c>
      <c r="U217">
        <f t="shared" si="13"/>
        <v>1997</v>
      </c>
      <c r="V217" t="str">
        <f t="shared" si="14"/>
        <v>3/1997</v>
      </c>
      <c r="Y217" s="1">
        <v>35521</v>
      </c>
      <c r="Z217">
        <f t="shared" si="15"/>
        <v>28</v>
      </c>
    </row>
    <row r="218" spans="19:26" x14ac:dyDescent="0.2">
      <c r="S218" s="1">
        <v>35493</v>
      </c>
      <c r="T218">
        <f t="shared" si="12"/>
        <v>3</v>
      </c>
      <c r="U218">
        <f t="shared" si="13"/>
        <v>1997</v>
      </c>
      <c r="V218" t="str">
        <f t="shared" si="14"/>
        <v>3/1997</v>
      </c>
      <c r="Y218" s="1">
        <v>35521</v>
      </c>
      <c r="Z218">
        <f t="shared" si="15"/>
        <v>28</v>
      </c>
    </row>
    <row r="219" spans="19:26" x14ac:dyDescent="0.2">
      <c r="S219" s="1">
        <v>35494</v>
      </c>
      <c r="T219">
        <f t="shared" si="12"/>
        <v>3</v>
      </c>
      <c r="U219">
        <f t="shared" si="13"/>
        <v>1997</v>
      </c>
      <c r="V219" t="str">
        <f t="shared" si="14"/>
        <v>3/1997</v>
      </c>
      <c r="Y219" s="1">
        <v>35522</v>
      </c>
      <c r="Z219">
        <f t="shared" si="15"/>
        <v>28</v>
      </c>
    </row>
    <row r="220" spans="19:26" x14ac:dyDescent="0.2">
      <c r="S220" s="1">
        <v>35495</v>
      </c>
      <c r="T220">
        <f t="shared" si="12"/>
        <v>3</v>
      </c>
      <c r="U220">
        <f t="shared" si="13"/>
        <v>1997</v>
      </c>
      <c r="V220" t="str">
        <f t="shared" si="14"/>
        <v>3/1997</v>
      </c>
      <c r="Y220" s="1">
        <v>35523</v>
      </c>
      <c r="Z220">
        <f t="shared" si="15"/>
        <v>28</v>
      </c>
    </row>
    <row r="221" spans="19:26" x14ac:dyDescent="0.2">
      <c r="S221" s="1">
        <v>35495</v>
      </c>
      <c r="T221">
        <f t="shared" si="12"/>
        <v>3</v>
      </c>
      <c r="U221">
        <f t="shared" si="13"/>
        <v>1997</v>
      </c>
      <c r="V221" t="str">
        <f t="shared" si="14"/>
        <v>3/1997</v>
      </c>
      <c r="Y221" s="1">
        <v>35523</v>
      </c>
      <c r="Z221">
        <f t="shared" si="15"/>
        <v>28</v>
      </c>
    </row>
    <row r="222" spans="19:26" x14ac:dyDescent="0.2">
      <c r="S222" s="1">
        <v>35496</v>
      </c>
      <c r="T222">
        <f t="shared" si="12"/>
        <v>3</v>
      </c>
      <c r="U222">
        <f t="shared" si="13"/>
        <v>1997</v>
      </c>
      <c r="V222" t="str">
        <f t="shared" si="14"/>
        <v>3/1997</v>
      </c>
      <c r="Y222" s="1">
        <v>35524</v>
      </c>
      <c r="Z222">
        <f t="shared" si="15"/>
        <v>28</v>
      </c>
    </row>
    <row r="223" spans="19:26" x14ac:dyDescent="0.2">
      <c r="S223" s="1">
        <v>35499</v>
      </c>
      <c r="T223">
        <f t="shared" si="12"/>
        <v>3</v>
      </c>
      <c r="U223">
        <f t="shared" si="13"/>
        <v>1997</v>
      </c>
      <c r="V223" t="str">
        <f t="shared" si="14"/>
        <v>3/1997</v>
      </c>
      <c r="Y223" s="1">
        <v>35527</v>
      </c>
      <c r="Z223">
        <f t="shared" si="15"/>
        <v>28</v>
      </c>
    </row>
    <row r="224" spans="19:26" x14ac:dyDescent="0.2">
      <c r="S224" s="1">
        <v>35500</v>
      </c>
      <c r="T224">
        <f t="shared" si="12"/>
        <v>3</v>
      </c>
      <c r="U224">
        <f t="shared" si="13"/>
        <v>1997</v>
      </c>
      <c r="V224" t="str">
        <f t="shared" si="14"/>
        <v>3/1997</v>
      </c>
      <c r="Y224" s="1">
        <v>35528</v>
      </c>
      <c r="Z224">
        <f t="shared" si="15"/>
        <v>28</v>
      </c>
    </row>
    <row r="225" spans="19:26" x14ac:dyDescent="0.2">
      <c r="S225" s="1">
        <v>35500</v>
      </c>
      <c r="T225">
        <f t="shared" si="12"/>
        <v>3</v>
      </c>
      <c r="U225">
        <f t="shared" si="13"/>
        <v>1997</v>
      </c>
      <c r="V225" t="str">
        <f t="shared" si="14"/>
        <v>3/1997</v>
      </c>
      <c r="Y225" s="1">
        <v>35528</v>
      </c>
      <c r="Z225">
        <f t="shared" si="15"/>
        <v>28</v>
      </c>
    </row>
    <row r="226" spans="19:26" x14ac:dyDescent="0.2">
      <c r="S226" s="1">
        <v>35501</v>
      </c>
      <c r="T226">
        <f t="shared" si="12"/>
        <v>3</v>
      </c>
      <c r="U226">
        <f t="shared" si="13"/>
        <v>1997</v>
      </c>
      <c r="V226" t="str">
        <f t="shared" si="14"/>
        <v>3/1997</v>
      </c>
      <c r="Y226" s="1">
        <v>35529</v>
      </c>
      <c r="Z226">
        <f t="shared" si="15"/>
        <v>28</v>
      </c>
    </row>
    <row r="227" spans="19:26" x14ac:dyDescent="0.2">
      <c r="S227" s="1">
        <v>35502</v>
      </c>
      <c r="T227">
        <f t="shared" si="12"/>
        <v>3</v>
      </c>
      <c r="U227">
        <f t="shared" si="13"/>
        <v>1997</v>
      </c>
      <c r="V227" t="str">
        <f t="shared" si="14"/>
        <v>3/1997</v>
      </c>
      <c r="Y227" s="1">
        <v>35516</v>
      </c>
      <c r="Z227">
        <f t="shared" si="15"/>
        <v>14</v>
      </c>
    </row>
    <row r="228" spans="19:26" x14ac:dyDescent="0.2">
      <c r="S228" s="1">
        <v>35502</v>
      </c>
      <c r="T228">
        <f t="shared" si="12"/>
        <v>3</v>
      </c>
      <c r="U228">
        <f t="shared" si="13"/>
        <v>1997</v>
      </c>
      <c r="V228" t="str">
        <f t="shared" si="14"/>
        <v>3/1997</v>
      </c>
      <c r="Y228" s="1">
        <v>35530</v>
      </c>
      <c r="Z228">
        <f t="shared" si="15"/>
        <v>28</v>
      </c>
    </row>
    <row r="229" spans="19:26" x14ac:dyDescent="0.2">
      <c r="S229" s="1">
        <v>35503</v>
      </c>
      <c r="T229">
        <f t="shared" si="12"/>
        <v>3</v>
      </c>
      <c r="U229">
        <f t="shared" si="13"/>
        <v>1997</v>
      </c>
      <c r="V229" t="str">
        <f t="shared" si="14"/>
        <v>3/1997</v>
      </c>
      <c r="Y229" s="1">
        <v>35531</v>
      </c>
      <c r="Z229">
        <f t="shared" si="15"/>
        <v>28</v>
      </c>
    </row>
    <row r="230" spans="19:26" x14ac:dyDescent="0.2">
      <c r="S230" s="1">
        <v>35506</v>
      </c>
      <c r="T230">
        <f t="shared" si="12"/>
        <v>3</v>
      </c>
      <c r="U230">
        <f t="shared" si="13"/>
        <v>1997</v>
      </c>
      <c r="V230" t="str">
        <f t="shared" si="14"/>
        <v>3/1997</v>
      </c>
      <c r="Y230" s="1">
        <v>35534</v>
      </c>
      <c r="Z230">
        <f t="shared" si="15"/>
        <v>28</v>
      </c>
    </row>
    <row r="231" spans="19:26" x14ac:dyDescent="0.2">
      <c r="S231" s="1">
        <v>35506</v>
      </c>
      <c r="T231">
        <f t="shared" si="12"/>
        <v>3</v>
      </c>
      <c r="U231">
        <f t="shared" si="13"/>
        <v>1997</v>
      </c>
      <c r="V231" t="str">
        <f t="shared" si="14"/>
        <v>3/1997</v>
      </c>
      <c r="Y231" s="1">
        <v>35534</v>
      </c>
      <c r="Z231">
        <f t="shared" si="15"/>
        <v>28</v>
      </c>
    </row>
    <row r="232" spans="19:26" x14ac:dyDescent="0.2">
      <c r="S232" s="1">
        <v>35507</v>
      </c>
      <c r="T232">
        <f t="shared" si="12"/>
        <v>3</v>
      </c>
      <c r="U232">
        <f t="shared" si="13"/>
        <v>1997</v>
      </c>
      <c r="V232" t="str">
        <f t="shared" si="14"/>
        <v>3/1997</v>
      </c>
      <c r="Y232" s="1">
        <v>35521</v>
      </c>
      <c r="Z232">
        <f t="shared" si="15"/>
        <v>14</v>
      </c>
    </row>
    <row r="233" spans="19:26" x14ac:dyDescent="0.2">
      <c r="S233" s="1">
        <v>35508</v>
      </c>
      <c r="T233">
        <f t="shared" si="12"/>
        <v>3</v>
      </c>
      <c r="U233">
        <f t="shared" si="13"/>
        <v>1997</v>
      </c>
      <c r="V233" t="str">
        <f t="shared" si="14"/>
        <v>3/1997</v>
      </c>
      <c r="Y233" s="1">
        <v>35536</v>
      </c>
      <c r="Z233">
        <f t="shared" si="15"/>
        <v>28</v>
      </c>
    </row>
    <row r="234" spans="19:26" x14ac:dyDescent="0.2">
      <c r="S234" s="1">
        <v>35509</v>
      </c>
      <c r="T234">
        <f t="shared" si="12"/>
        <v>3</v>
      </c>
      <c r="U234">
        <f t="shared" si="13"/>
        <v>1997</v>
      </c>
      <c r="V234" t="str">
        <f t="shared" si="14"/>
        <v>3/1997</v>
      </c>
      <c r="Y234" s="1">
        <v>35537</v>
      </c>
      <c r="Z234">
        <f t="shared" si="15"/>
        <v>28</v>
      </c>
    </row>
    <row r="235" spans="19:26" x14ac:dyDescent="0.2">
      <c r="S235" s="1">
        <v>35509</v>
      </c>
      <c r="T235">
        <f t="shared" si="12"/>
        <v>3</v>
      </c>
      <c r="U235">
        <f t="shared" si="13"/>
        <v>1997</v>
      </c>
      <c r="V235" t="str">
        <f t="shared" si="14"/>
        <v>3/1997</v>
      </c>
      <c r="Y235" s="1">
        <v>35537</v>
      </c>
      <c r="Z235">
        <f t="shared" si="15"/>
        <v>28</v>
      </c>
    </row>
    <row r="236" spans="19:26" x14ac:dyDescent="0.2">
      <c r="S236" s="1">
        <v>35510</v>
      </c>
      <c r="T236">
        <f t="shared" si="12"/>
        <v>3</v>
      </c>
      <c r="U236">
        <f t="shared" si="13"/>
        <v>1997</v>
      </c>
      <c r="V236" t="str">
        <f t="shared" si="14"/>
        <v>3/1997</v>
      </c>
      <c r="Y236" s="1">
        <v>35538</v>
      </c>
      <c r="Z236">
        <f t="shared" si="15"/>
        <v>28</v>
      </c>
    </row>
    <row r="237" spans="19:26" x14ac:dyDescent="0.2">
      <c r="S237" s="1">
        <v>35513</v>
      </c>
      <c r="T237">
        <f t="shared" si="12"/>
        <v>3</v>
      </c>
      <c r="U237">
        <f t="shared" si="13"/>
        <v>1997</v>
      </c>
      <c r="V237" t="str">
        <f t="shared" si="14"/>
        <v>3/1997</v>
      </c>
      <c r="Y237" s="1">
        <v>35541</v>
      </c>
      <c r="Z237">
        <f t="shared" si="15"/>
        <v>28</v>
      </c>
    </row>
    <row r="238" spans="19:26" x14ac:dyDescent="0.2">
      <c r="S238" s="1">
        <v>35513</v>
      </c>
      <c r="T238">
        <f t="shared" si="12"/>
        <v>3</v>
      </c>
      <c r="U238">
        <f t="shared" si="13"/>
        <v>1997</v>
      </c>
      <c r="V238" t="str">
        <f t="shared" si="14"/>
        <v>3/1997</v>
      </c>
      <c r="Y238" s="1">
        <v>35541</v>
      </c>
      <c r="Z238">
        <f t="shared" si="15"/>
        <v>28</v>
      </c>
    </row>
    <row r="239" spans="19:26" x14ac:dyDescent="0.2">
      <c r="S239" s="1">
        <v>35514</v>
      </c>
      <c r="T239">
        <f t="shared" si="12"/>
        <v>3</v>
      </c>
      <c r="U239">
        <f t="shared" si="13"/>
        <v>1997</v>
      </c>
      <c r="V239" t="str">
        <f t="shared" si="14"/>
        <v>3/1997</v>
      </c>
      <c r="Y239" s="1">
        <v>35528</v>
      </c>
      <c r="Z239">
        <f t="shared" si="15"/>
        <v>14</v>
      </c>
    </row>
    <row r="240" spans="19:26" x14ac:dyDescent="0.2">
      <c r="S240" s="1">
        <v>35515</v>
      </c>
      <c r="T240">
        <f t="shared" si="12"/>
        <v>3</v>
      </c>
      <c r="U240">
        <f t="shared" si="13"/>
        <v>1997</v>
      </c>
      <c r="V240" t="str">
        <f t="shared" si="14"/>
        <v>3/1997</v>
      </c>
      <c r="Y240" s="1">
        <v>35543</v>
      </c>
      <c r="Z240">
        <f t="shared" si="15"/>
        <v>28</v>
      </c>
    </row>
    <row r="241" spans="19:26" x14ac:dyDescent="0.2">
      <c r="S241" s="1">
        <v>35515</v>
      </c>
      <c r="T241">
        <f t="shared" si="12"/>
        <v>3</v>
      </c>
      <c r="U241">
        <f t="shared" si="13"/>
        <v>1997</v>
      </c>
      <c r="V241" t="str">
        <f t="shared" si="14"/>
        <v>3/1997</v>
      </c>
      <c r="Y241" s="1">
        <v>35543</v>
      </c>
      <c r="Z241">
        <f t="shared" si="15"/>
        <v>28</v>
      </c>
    </row>
    <row r="242" spans="19:26" x14ac:dyDescent="0.2">
      <c r="S242" s="1">
        <v>35516</v>
      </c>
      <c r="T242">
        <f t="shared" si="12"/>
        <v>3</v>
      </c>
      <c r="U242">
        <f t="shared" si="13"/>
        <v>1997</v>
      </c>
      <c r="V242" t="str">
        <f t="shared" si="14"/>
        <v>3/1997</v>
      </c>
      <c r="Y242" s="1">
        <v>35544</v>
      </c>
      <c r="Z242">
        <f t="shared" si="15"/>
        <v>28</v>
      </c>
    </row>
    <row r="243" spans="19:26" x14ac:dyDescent="0.2">
      <c r="S243" s="1">
        <v>35517</v>
      </c>
      <c r="T243">
        <f t="shared" si="12"/>
        <v>3</v>
      </c>
      <c r="U243">
        <f t="shared" si="13"/>
        <v>1997</v>
      </c>
      <c r="V243" t="str">
        <f t="shared" si="14"/>
        <v>3/1997</v>
      </c>
      <c r="Y243" s="1">
        <v>35545</v>
      </c>
      <c r="Z243">
        <f t="shared" si="15"/>
        <v>28</v>
      </c>
    </row>
    <row r="244" spans="19:26" x14ac:dyDescent="0.2">
      <c r="S244" s="1">
        <v>35520</v>
      </c>
      <c r="T244">
        <f t="shared" si="12"/>
        <v>3</v>
      </c>
      <c r="U244">
        <f t="shared" si="13"/>
        <v>1997</v>
      </c>
      <c r="V244" t="str">
        <f t="shared" si="14"/>
        <v>3/1997</v>
      </c>
      <c r="Y244" s="1">
        <v>35548</v>
      </c>
      <c r="Z244">
        <f t="shared" si="15"/>
        <v>28</v>
      </c>
    </row>
    <row r="245" spans="19:26" x14ac:dyDescent="0.2">
      <c r="S245" s="1">
        <v>35520</v>
      </c>
      <c r="T245">
        <f t="shared" si="12"/>
        <v>3</v>
      </c>
      <c r="U245">
        <f t="shared" si="13"/>
        <v>1997</v>
      </c>
      <c r="V245" t="str">
        <f t="shared" si="14"/>
        <v>3/1997</v>
      </c>
      <c r="Y245" s="1">
        <v>35548</v>
      </c>
      <c r="Z245">
        <f t="shared" si="15"/>
        <v>28</v>
      </c>
    </row>
    <row r="246" spans="19:26" x14ac:dyDescent="0.2">
      <c r="S246" s="1">
        <v>35521</v>
      </c>
      <c r="T246">
        <f t="shared" si="12"/>
        <v>4</v>
      </c>
      <c r="U246">
        <f t="shared" si="13"/>
        <v>1997</v>
      </c>
      <c r="V246" t="str">
        <f t="shared" si="14"/>
        <v>4/1997</v>
      </c>
      <c r="Y246" s="1">
        <v>35549</v>
      </c>
      <c r="Z246">
        <f t="shared" si="15"/>
        <v>28</v>
      </c>
    </row>
    <row r="247" spans="19:26" x14ac:dyDescent="0.2">
      <c r="S247" s="1">
        <v>35522</v>
      </c>
      <c r="T247">
        <f t="shared" si="12"/>
        <v>4</v>
      </c>
      <c r="U247">
        <f t="shared" si="13"/>
        <v>1997</v>
      </c>
      <c r="V247" t="str">
        <f t="shared" si="14"/>
        <v>4/1997</v>
      </c>
      <c r="Y247" s="1">
        <v>35550</v>
      </c>
      <c r="Z247">
        <f t="shared" si="15"/>
        <v>28</v>
      </c>
    </row>
    <row r="248" spans="19:26" x14ac:dyDescent="0.2">
      <c r="S248" s="1">
        <v>35522</v>
      </c>
      <c r="T248">
        <f t="shared" si="12"/>
        <v>4</v>
      </c>
      <c r="U248">
        <f t="shared" si="13"/>
        <v>1997</v>
      </c>
      <c r="V248" t="str">
        <f t="shared" si="14"/>
        <v>4/1997</v>
      </c>
      <c r="Y248" s="1">
        <v>35550</v>
      </c>
      <c r="Z248">
        <f t="shared" si="15"/>
        <v>28</v>
      </c>
    </row>
    <row r="249" spans="19:26" x14ac:dyDescent="0.2">
      <c r="S249" s="1">
        <v>35523</v>
      </c>
      <c r="T249">
        <f t="shared" si="12"/>
        <v>4</v>
      </c>
      <c r="U249">
        <f t="shared" si="13"/>
        <v>1997</v>
      </c>
      <c r="V249" t="str">
        <f t="shared" si="14"/>
        <v>4/1997</v>
      </c>
      <c r="Y249" s="1">
        <v>35551</v>
      </c>
      <c r="Z249">
        <f t="shared" si="15"/>
        <v>28</v>
      </c>
    </row>
    <row r="250" spans="19:26" x14ac:dyDescent="0.2">
      <c r="S250" s="1">
        <v>35524</v>
      </c>
      <c r="T250">
        <f t="shared" si="12"/>
        <v>4</v>
      </c>
      <c r="U250">
        <f t="shared" si="13"/>
        <v>1997</v>
      </c>
      <c r="V250" t="str">
        <f t="shared" si="14"/>
        <v>4/1997</v>
      </c>
      <c r="Y250" s="1">
        <v>35552</v>
      </c>
      <c r="Z250">
        <f t="shared" si="15"/>
        <v>28</v>
      </c>
    </row>
    <row r="251" spans="19:26" x14ac:dyDescent="0.2">
      <c r="S251" s="1">
        <v>35524</v>
      </c>
      <c r="T251">
        <f t="shared" si="12"/>
        <v>4</v>
      </c>
      <c r="U251">
        <f t="shared" si="13"/>
        <v>1997</v>
      </c>
      <c r="V251" t="str">
        <f t="shared" si="14"/>
        <v>4/1997</v>
      </c>
      <c r="Y251" s="1">
        <v>35552</v>
      </c>
      <c r="Z251">
        <f t="shared" si="15"/>
        <v>28</v>
      </c>
    </row>
    <row r="252" spans="19:26" x14ac:dyDescent="0.2">
      <c r="S252" s="1">
        <v>35527</v>
      </c>
      <c r="T252">
        <f t="shared" si="12"/>
        <v>4</v>
      </c>
      <c r="U252">
        <f t="shared" si="13"/>
        <v>1997</v>
      </c>
      <c r="V252" t="str">
        <f t="shared" si="14"/>
        <v>4/1997</v>
      </c>
      <c r="Y252" s="1">
        <v>35555</v>
      </c>
      <c r="Z252">
        <f t="shared" si="15"/>
        <v>28</v>
      </c>
    </row>
    <row r="253" spans="19:26" x14ac:dyDescent="0.2">
      <c r="S253" s="1">
        <v>35528</v>
      </c>
      <c r="T253">
        <f t="shared" si="12"/>
        <v>4</v>
      </c>
      <c r="U253">
        <f t="shared" si="13"/>
        <v>1997</v>
      </c>
      <c r="V253" t="str">
        <f t="shared" si="14"/>
        <v>4/1997</v>
      </c>
      <c r="Y253" s="1">
        <v>35556</v>
      </c>
      <c r="Z253">
        <f t="shared" si="15"/>
        <v>28</v>
      </c>
    </row>
    <row r="254" spans="19:26" x14ac:dyDescent="0.2">
      <c r="S254" s="1">
        <v>35529</v>
      </c>
      <c r="T254">
        <f t="shared" si="12"/>
        <v>4</v>
      </c>
      <c r="U254">
        <f t="shared" si="13"/>
        <v>1997</v>
      </c>
      <c r="V254" t="str">
        <f t="shared" si="14"/>
        <v>4/1997</v>
      </c>
      <c r="Y254" s="1">
        <v>35557</v>
      </c>
      <c r="Z254">
        <f t="shared" si="15"/>
        <v>28</v>
      </c>
    </row>
    <row r="255" spans="19:26" x14ac:dyDescent="0.2">
      <c r="S255" s="1">
        <v>35529</v>
      </c>
      <c r="T255">
        <f t="shared" si="12"/>
        <v>4</v>
      </c>
      <c r="U255">
        <f t="shared" si="13"/>
        <v>1997</v>
      </c>
      <c r="V255" t="str">
        <f t="shared" si="14"/>
        <v>4/1997</v>
      </c>
      <c r="Y255" s="1">
        <v>35557</v>
      </c>
      <c r="Z255">
        <f t="shared" si="15"/>
        <v>28</v>
      </c>
    </row>
    <row r="256" spans="19:26" x14ac:dyDescent="0.2">
      <c r="S256" s="1">
        <v>35530</v>
      </c>
      <c r="T256">
        <f t="shared" si="12"/>
        <v>4</v>
      </c>
      <c r="U256">
        <f t="shared" si="13"/>
        <v>1997</v>
      </c>
      <c r="V256" t="str">
        <f t="shared" si="14"/>
        <v>4/1997</v>
      </c>
      <c r="Y256" s="1">
        <v>35558</v>
      </c>
      <c r="Z256">
        <f t="shared" si="15"/>
        <v>28</v>
      </c>
    </row>
    <row r="257" spans="19:26" x14ac:dyDescent="0.2">
      <c r="S257" s="1">
        <v>35531</v>
      </c>
      <c r="T257">
        <f t="shared" si="12"/>
        <v>4</v>
      </c>
      <c r="U257">
        <f t="shared" si="13"/>
        <v>1997</v>
      </c>
      <c r="V257" t="str">
        <f t="shared" si="14"/>
        <v>4/1997</v>
      </c>
      <c r="Y257" s="1">
        <v>35559</v>
      </c>
      <c r="Z257">
        <f t="shared" si="15"/>
        <v>28</v>
      </c>
    </row>
    <row r="258" spans="19:26" x14ac:dyDescent="0.2">
      <c r="S258" s="1">
        <v>35531</v>
      </c>
      <c r="T258">
        <f t="shared" si="12"/>
        <v>4</v>
      </c>
      <c r="U258">
        <f t="shared" si="13"/>
        <v>1997</v>
      </c>
      <c r="V258" t="str">
        <f t="shared" si="14"/>
        <v>4/1997</v>
      </c>
      <c r="Y258" s="1">
        <v>35559</v>
      </c>
      <c r="Z258">
        <f t="shared" si="15"/>
        <v>28</v>
      </c>
    </row>
    <row r="259" spans="19:26" x14ac:dyDescent="0.2">
      <c r="S259" s="1">
        <v>35534</v>
      </c>
      <c r="T259">
        <f t="shared" ref="T259:T322" si="16">MONTH(S259)</f>
        <v>4</v>
      </c>
      <c r="U259">
        <f t="shared" ref="U259:U322" si="17">YEAR(S259)</f>
        <v>1997</v>
      </c>
      <c r="V259" t="str">
        <f t="shared" ref="V259:V322" si="18">T259&amp;"/"&amp;U259</f>
        <v>4/1997</v>
      </c>
      <c r="Y259" s="1">
        <v>35562</v>
      </c>
      <c r="Z259">
        <f t="shared" ref="Z259:Z322" si="19">Y259-S259</f>
        <v>28</v>
      </c>
    </row>
    <row r="260" spans="19:26" x14ac:dyDescent="0.2">
      <c r="S260" s="1">
        <v>35535</v>
      </c>
      <c r="T260">
        <f t="shared" si="16"/>
        <v>4</v>
      </c>
      <c r="U260">
        <f t="shared" si="17"/>
        <v>1997</v>
      </c>
      <c r="V260" t="str">
        <f t="shared" si="18"/>
        <v>4/1997</v>
      </c>
      <c r="Y260" s="1">
        <v>35563</v>
      </c>
      <c r="Z260">
        <f t="shared" si="19"/>
        <v>28</v>
      </c>
    </row>
    <row r="261" spans="19:26" x14ac:dyDescent="0.2">
      <c r="S261" s="1">
        <v>35535</v>
      </c>
      <c r="T261">
        <f t="shared" si="16"/>
        <v>4</v>
      </c>
      <c r="U261">
        <f t="shared" si="17"/>
        <v>1997</v>
      </c>
      <c r="V261" t="str">
        <f t="shared" si="18"/>
        <v>4/1997</v>
      </c>
      <c r="Y261" s="1">
        <v>35563</v>
      </c>
      <c r="Z261">
        <f t="shared" si="19"/>
        <v>28</v>
      </c>
    </row>
    <row r="262" spans="19:26" x14ac:dyDescent="0.2">
      <c r="S262" s="1">
        <v>35536</v>
      </c>
      <c r="T262">
        <f t="shared" si="16"/>
        <v>4</v>
      </c>
      <c r="U262">
        <f t="shared" si="17"/>
        <v>1997</v>
      </c>
      <c r="V262" t="str">
        <f t="shared" si="18"/>
        <v>4/1997</v>
      </c>
      <c r="Y262" s="1">
        <v>35564</v>
      </c>
      <c r="Z262">
        <f t="shared" si="19"/>
        <v>28</v>
      </c>
    </row>
    <row r="263" spans="19:26" x14ac:dyDescent="0.2">
      <c r="S263" s="1">
        <v>35537</v>
      </c>
      <c r="T263">
        <f t="shared" si="16"/>
        <v>4</v>
      </c>
      <c r="U263">
        <f t="shared" si="17"/>
        <v>1997</v>
      </c>
      <c r="V263" t="str">
        <f t="shared" si="18"/>
        <v>4/1997</v>
      </c>
      <c r="Y263" s="1">
        <v>35565</v>
      </c>
      <c r="Z263">
        <f t="shared" si="19"/>
        <v>28</v>
      </c>
    </row>
    <row r="264" spans="19:26" x14ac:dyDescent="0.2">
      <c r="S264" s="1">
        <v>35538</v>
      </c>
      <c r="T264">
        <f t="shared" si="16"/>
        <v>4</v>
      </c>
      <c r="U264">
        <f t="shared" si="17"/>
        <v>1997</v>
      </c>
      <c r="V264" t="str">
        <f t="shared" si="18"/>
        <v>4/1997</v>
      </c>
      <c r="Y264" s="1">
        <v>35566</v>
      </c>
      <c r="Z264">
        <f t="shared" si="19"/>
        <v>28</v>
      </c>
    </row>
    <row r="265" spans="19:26" x14ac:dyDescent="0.2">
      <c r="S265" s="1">
        <v>35538</v>
      </c>
      <c r="T265">
        <f t="shared" si="16"/>
        <v>4</v>
      </c>
      <c r="U265">
        <f t="shared" si="17"/>
        <v>1997</v>
      </c>
      <c r="V265" t="str">
        <f t="shared" si="18"/>
        <v>4/1997</v>
      </c>
      <c r="Y265" s="1">
        <v>35566</v>
      </c>
      <c r="Z265">
        <f t="shared" si="19"/>
        <v>28</v>
      </c>
    </row>
    <row r="266" spans="19:26" x14ac:dyDescent="0.2">
      <c r="S266" s="1">
        <v>35541</v>
      </c>
      <c r="T266">
        <f t="shared" si="16"/>
        <v>4</v>
      </c>
      <c r="U266">
        <f t="shared" si="17"/>
        <v>1997</v>
      </c>
      <c r="V266" t="str">
        <f t="shared" si="18"/>
        <v>4/1997</v>
      </c>
      <c r="Y266" s="1">
        <v>35569</v>
      </c>
      <c r="Z266">
        <f t="shared" si="19"/>
        <v>28</v>
      </c>
    </row>
    <row r="267" spans="19:26" x14ac:dyDescent="0.2">
      <c r="S267" s="1">
        <v>35542</v>
      </c>
      <c r="T267">
        <f t="shared" si="16"/>
        <v>4</v>
      </c>
      <c r="U267">
        <f t="shared" si="17"/>
        <v>1997</v>
      </c>
      <c r="V267" t="str">
        <f t="shared" si="18"/>
        <v>4/1997</v>
      </c>
      <c r="Y267" s="1">
        <v>35584</v>
      </c>
      <c r="Z267">
        <f t="shared" si="19"/>
        <v>42</v>
      </c>
    </row>
    <row r="268" spans="19:26" x14ac:dyDescent="0.2">
      <c r="S268" s="1">
        <v>35542</v>
      </c>
      <c r="T268">
        <f t="shared" si="16"/>
        <v>4</v>
      </c>
      <c r="U268">
        <f t="shared" si="17"/>
        <v>1997</v>
      </c>
      <c r="V268" t="str">
        <f t="shared" si="18"/>
        <v>4/1997</v>
      </c>
      <c r="Y268" s="1">
        <v>35570</v>
      </c>
      <c r="Z268">
        <f t="shared" si="19"/>
        <v>28</v>
      </c>
    </row>
    <row r="269" spans="19:26" x14ac:dyDescent="0.2">
      <c r="S269" s="1">
        <v>35543</v>
      </c>
      <c r="T269">
        <f t="shared" si="16"/>
        <v>4</v>
      </c>
      <c r="U269">
        <f t="shared" si="17"/>
        <v>1997</v>
      </c>
      <c r="V269" t="str">
        <f t="shared" si="18"/>
        <v>4/1997</v>
      </c>
      <c r="Y269" s="1">
        <v>35557</v>
      </c>
      <c r="Z269">
        <f t="shared" si="19"/>
        <v>14</v>
      </c>
    </row>
    <row r="270" spans="19:26" x14ac:dyDescent="0.2">
      <c r="S270" s="1">
        <v>35544</v>
      </c>
      <c r="T270">
        <f t="shared" si="16"/>
        <v>4</v>
      </c>
      <c r="U270">
        <f t="shared" si="17"/>
        <v>1997</v>
      </c>
      <c r="V270" t="str">
        <f t="shared" si="18"/>
        <v>4/1997</v>
      </c>
      <c r="Y270" s="1">
        <v>35572</v>
      </c>
      <c r="Z270">
        <f t="shared" si="19"/>
        <v>28</v>
      </c>
    </row>
    <row r="271" spans="19:26" x14ac:dyDescent="0.2">
      <c r="S271" s="1">
        <v>35544</v>
      </c>
      <c r="T271">
        <f t="shared" si="16"/>
        <v>4</v>
      </c>
      <c r="U271">
        <f t="shared" si="17"/>
        <v>1997</v>
      </c>
      <c r="V271" t="str">
        <f t="shared" si="18"/>
        <v>4/1997</v>
      </c>
      <c r="Y271" s="1">
        <v>35572</v>
      </c>
      <c r="Z271">
        <f t="shared" si="19"/>
        <v>28</v>
      </c>
    </row>
    <row r="272" spans="19:26" x14ac:dyDescent="0.2">
      <c r="S272" s="1">
        <v>35545</v>
      </c>
      <c r="T272">
        <f t="shared" si="16"/>
        <v>4</v>
      </c>
      <c r="U272">
        <f t="shared" si="17"/>
        <v>1997</v>
      </c>
      <c r="V272" t="str">
        <f t="shared" si="18"/>
        <v>4/1997</v>
      </c>
      <c r="Y272" s="1">
        <v>35559</v>
      </c>
      <c r="Z272">
        <f t="shared" si="19"/>
        <v>14</v>
      </c>
    </row>
    <row r="273" spans="19:26" x14ac:dyDescent="0.2">
      <c r="S273" s="1">
        <v>35548</v>
      </c>
      <c r="T273">
        <f t="shared" si="16"/>
        <v>4</v>
      </c>
      <c r="U273">
        <f t="shared" si="17"/>
        <v>1997</v>
      </c>
      <c r="V273" t="str">
        <f t="shared" si="18"/>
        <v>4/1997</v>
      </c>
      <c r="Y273" s="1">
        <v>35576</v>
      </c>
      <c r="Z273">
        <f t="shared" si="19"/>
        <v>28</v>
      </c>
    </row>
    <row r="274" spans="19:26" x14ac:dyDescent="0.2">
      <c r="S274" s="1">
        <v>35549</v>
      </c>
      <c r="T274">
        <f t="shared" si="16"/>
        <v>4</v>
      </c>
      <c r="U274">
        <f t="shared" si="17"/>
        <v>1997</v>
      </c>
      <c r="V274" t="str">
        <f t="shared" si="18"/>
        <v>4/1997</v>
      </c>
      <c r="Y274" s="1">
        <v>35577</v>
      </c>
      <c r="Z274">
        <f t="shared" si="19"/>
        <v>28</v>
      </c>
    </row>
    <row r="275" spans="19:26" x14ac:dyDescent="0.2">
      <c r="S275" s="1">
        <v>35549</v>
      </c>
      <c r="T275">
        <f t="shared" si="16"/>
        <v>4</v>
      </c>
      <c r="U275">
        <f t="shared" si="17"/>
        <v>1997</v>
      </c>
      <c r="V275" t="str">
        <f t="shared" si="18"/>
        <v>4/1997</v>
      </c>
      <c r="Y275" s="1">
        <v>35577</v>
      </c>
      <c r="Z275">
        <f t="shared" si="19"/>
        <v>28</v>
      </c>
    </row>
    <row r="276" spans="19:26" x14ac:dyDescent="0.2">
      <c r="S276" s="1">
        <v>35550</v>
      </c>
      <c r="T276">
        <f t="shared" si="16"/>
        <v>4</v>
      </c>
      <c r="U276">
        <f t="shared" si="17"/>
        <v>1997</v>
      </c>
      <c r="V276" t="str">
        <f t="shared" si="18"/>
        <v>4/1997</v>
      </c>
      <c r="Y276" s="1">
        <v>35578</v>
      </c>
      <c r="Z276">
        <f t="shared" si="19"/>
        <v>28</v>
      </c>
    </row>
    <row r="277" spans="19:26" x14ac:dyDescent="0.2">
      <c r="S277" s="1">
        <v>35551</v>
      </c>
      <c r="T277">
        <f t="shared" si="16"/>
        <v>5</v>
      </c>
      <c r="U277">
        <f t="shared" si="17"/>
        <v>1997</v>
      </c>
      <c r="V277" t="str">
        <f t="shared" si="18"/>
        <v>5/1997</v>
      </c>
      <c r="Y277" s="1">
        <v>35579</v>
      </c>
      <c r="Z277">
        <f t="shared" si="19"/>
        <v>28</v>
      </c>
    </row>
    <row r="278" spans="19:26" x14ac:dyDescent="0.2">
      <c r="S278" s="1">
        <v>35551</v>
      </c>
      <c r="T278">
        <f t="shared" si="16"/>
        <v>5</v>
      </c>
      <c r="U278">
        <f t="shared" si="17"/>
        <v>1997</v>
      </c>
      <c r="V278" t="str">
        <f t="shared" si="18"/>
        <v>5/1997</v>
      </c>
      <c r="Y278" s="1">
        <v>35579</v>
      </c>
      <c r="Z278">
        <f t="shared" si="19"/>
        <v>28</v>
      </c>
    </row>
    <row r="279" spans="19:26" x14ac:dyDescent="0.2">
      <c r="S279" s="1">
        <v>35552</v>
      </c>
      <c r="T279">
        <f t="shared" si="16"/>
        <v>5</v>
      </c>
      <c r="U279">
        <f t="shared" si="17"/>
        <v>1997</v>
      </c>
      <c r="V279" t="str">
        <f t="shared" si="18"/>
        <v>5/1997</v>
      </c>
      <c r="Y279" s="1">
        <v>35580</v>
      </c>
      <c r="Z279">
        <f t="shared" si="19"/>
        <v>28</v>
      </c>
    </row>
    <row r="280" spans="19:26" x14ac:dyDescent="0.2">
      <c r="S280" s="1">
        <v>35555</v>
      </c>
      <c r="T280">
        <f t="shared" si="16"/>
        <v>5</v>
      </c>
      <c r="U280">
        <f t="shared" si="17"/>
        <v>1997</v>
      </c>
      <c r="V280" t="str">
        <f t="shared" si="18"/>
        <v>5/1997</v>
      </c>
      <c r="Y280" s="1">
        <v>35583</v>
      </c>
      <c r="Z280">
        <f t="shared" si="19"/>
        <v>28</v>
      </c>
    </row>
    <row r="281" spans="19:26" x14ac:dyDescent="0.2">
      <c r="S281" s="1">
        <v>35555</v>
      </c>
      <c r="T281">
        <f t="shared" si="16"/>
        <v>5</v>
      </c>
      <c r="U281">
        <f t="shared" si="17"/>
        <v>1997</v>
      </c>
      <c r="V281" t="str">
        <f t="shared" si="18"/>
        <v>5/1997</v>
      </c>
      <c r="Y281" s="1">
        <v>35583</v>
      </c>
      <c r="Z281">
        <f t="shared" si="19"/>
        <v>28</v>
      </c>
    </row>
    <row r="282" spans="19:26" x14ac:dyDescent="0.2">
      <c r="S282" s="1">
        <v>35556</v>
      </c>
      <c r="T282">
        <f t="shared" si="16"/>
        <v>5</v>
      </c>
      <c r="U282">
        <f t="shared" si="17"/>
        <v>1997</v>
      </c>
      <c r="V282" t="str">
        <f t="shared" si="18"/>
        <v>5/1997</v>
      </c>
      <c r="Y282" s="1">
        <v>35570</v>
      </c>
      <c r="Z282">
        <f t="shared" si="19"/>
        <v>14</v>
      </c>
    </row>
    <row r="283" spans="19:26" x14ac:dyDescent="0.2">
      <c r="S283" s="1">
        <v>35557</v>
      </c>
      <c r="T283">
        <f t="shared" si="16"/>
        <v>5</v>
      </c>
      <c r="U283">
        <f t="shared" si="17"/>
        <v>1997</v>
      </c>
      <c r="V283" t="str">
        <f t="shared" si="18"/>
        <v>5/1997</v>
      </c>
      <c r="Y283" s="1">
        <v>35585</v>
      </c>
      <c r="Z283">
        <f t="shared" si="19"/>
        <v>28</v>
      </c>
    </row>
    <row r="284" spans="19:26" x14ac:dyDescent="0.2">
      <c r="S284" s="1">
        <v>35558</v>
      </c>
      <c r="T284">
        <f t="shared" si="16"/>
        <v>5</v>
      </c>
      <c r="U284">
        <f t="shared" si="17"/>
        <v>1997</v>
      </c>
      <c r="V284" t="str">
        <f t="shared" si="18"/>
        <v>5/1997</v>
      </c>
      <c r="Y284" s="1">
        <v>35586</v>
      </c>
      <c r="Z284">
        <f t="shared" si="19"/>
        <v>28</v>
      </c>
    </row>
    <row r="285" spans="19:26" x14ac:dyDescent="0.2">
      <c r="S285" s="1">
        <v>35558</v>
      </c>
      <c r="T285">
        <f t="shared" si="16"/>
        <v>5</v>
      </c>
      <c r="U285">
        <f t="shared" si="17"/>
        <v>1997</v>
      </c>
      <c r="V285" t="str">
        <f t="shared" si="18"/>
        <v>5/1997</v>
      </c>
      <c r="Y285" s="1">
        <v>35586</v>
      </c>
      <c r="Z285">
        <f t="shared" si="19"/>
        <v>28</v>
      </c>
    </row>
    <row r="286" spans="19:26" x14ac:dyDescent="0.2">
      <c r="S286" s="1">
        <v>35559</v>
      </c>
      <c r="T286">
        <f t="shared" si="16"/>
        <v>5</v>
      </c>
      <c r="U286">
        <f t="shared" si="17"/>
        <v>1997</v>
      </c>
      <c r="V286" t="str">
        <f t="shared" si="18"/>
        <v>5/1997</v>
      </c>
      <c r="Y286" s="1">
        <v>35587</v>
      </c>
      <c r="Z286">
        <f t="shared" si="19"/>
        <v>28</v>
      </c>
    </row>
    <row r="287" spans="19:26" x14ac:dyDescent="0.2">
      <c r="S287" s="1">
        <v>35562</v>
      </c>
      <c r="T287">
        <f t="shared" si="16"/>
        <v>5</v>
      </c>
      <c r="U287">
        <f t="shared" si="17"/>
        <v>1997</v>
      </c>
      <c r="V287" t="str">
        <f t="shared" si="18"/>
        <v>5/1997</v>
      </c>
      <c r="Y287" s="1">
        <v>35590</v>
      </c>
      <c r="Z287">
        <f t="shared" si="19"/>
        <v>28</v>
      </c>
    </row>
    <row r="288" spans="19:26" x14ac:dyDescent="0.2">
      <c r="S288" s="1">
        <v>35562</v>
      </c>
      <c r="T288">
        <f t="shared" si="16"/>
        <v>5</v>
      </c>
      <c r="U288">
        <f t="shared" si="17"/>
        <v>1997</v>
      </c>
      <c r="V288" t="str">
        <f t="shared" si="18"/>
        <v>5/1997</v>
      </c>
      <c r="Y288" s="1">
        <v>35590</v>
      </c>
      <c r="Z288">
        <f t="shared" si="19"/>
        <v>28</v>
      </c>
    </row>
    <row r="289" spans="19:26" x14ac:dyDescent="0.2">
      <c r="S289" s="1">
        <v>35563</v>
      </c>
      <c r="T289">
        <f t="shared" si="16"/>
        <v>5</v>
      </c>
      <c r="U289">
        <f t="shared" si="17"/>
        <v>1997</v>
      </c>
      <c r="V289" t="str">
        <f t="shared" si="18"/>
        <v>5/1997</v>
      </c>
      <c r="Y289" s="1">
        <v>35591</v>
      </c>
      <c r="Z289">
        <f t="shared" si="19"/>
        <v>28</v>
      </c>
    </row>
    <row r="290" spans="19:26" x14ac:dyDescent="0.2">
      <c r="S290" s="1">
        <v>35564</v>
      </c>
      <c r="T290">
        <f t="shared" si="16"/>
        <v>5</v>
      </c>
      <c r="U290">
        <f t="shared" si="17"/>
        <v>1997</v>
      </c>
      <c r="V290" t="str">
        <f t="shared" si="18"/>
        <v>5/1997</v>
      </c>
      <c r="Y290" s="1">
        <v>35592</v>
      </c>
      <c r="Z290">
        <f t="shared" si="19"/>
        <v>28</v>
      </c>
    </row>
    <row r="291" spans="19:26" x14ac:dyDescent="0.2">
      <c r="S291" s="1">
        <v>35564</v>
      </c>
      <c r="T291">
        <f t="shared" si="16"/>
        <v>5</v>
      </c>
      <c r="U291">
        <f t="shared" si="17"/>
        <v>1997</v>
      </c>
      <c r="V291" t="str">
        <f t="shared" si="18"/>
        <v>5/1997</v>
      </c>
      <c r="Y291" s="1">
        <v>35578</v>
      </c>
      <c r="Z291">
        <f t="shared" si="19"/>
        <v>14</v>
      </c>
    </row>
    <row r="292" spans="19:26" x14ac:dyDescent="0.2">
      <c r="S292" s="1">
        <v>35565</v>
      </c>
      <c r="T292">
        <f t="shared" si="16"/>
        <v>5</v>
      </c>
      <c r="U292">
        <f t="shared" si="17"/>
        <v>1997</v>
      </c>
      <c r="V292" t="str">
        <f t="shared" si="18"/>
        <v>5/1997</v>
      </c>
      <c r="Y292" s="1">
        <v>35593</v>
      </c>
      <c r="Z292">
        <f t="shared" si="19"/>
        <v>28</v>
      </c>
    </row>
    <row r="293" spans="19:26" x14ac:dyDescent="0.2">
      <c r="S293" s="1">
        <v>35566</v>
      </c>
      <c r="T293">
        <f t="shared" si="16"/>
        <v>5</v>
      </c>
      <c r="U293">
        <f t="shared" si="17"/>
        <v>1997</v>
      </c>
      <c r="V293" t="str">
        <f t="shared" si="18"/>
        <v>5/1997</v>
      </c>
      <c r="Y293" s="1">
        <v>35594</v>
      </c>
      <c r="Z293">
        <f t="shared" si="19"/>
        <v>28</v>
      </c>
    </row>
    <row r="294" spans="19:26" x14ac:dyDescent="0.2">
      <c r="S294" s="1">
        <v>35569</v>
      </c>
      <c r="T294">
        <f t="shared" si="16"/>
        <v>5</v>
      </c>
      <c r="U294">
        <f t="shared" si="17"/>
        <v>1997</v>
      </c>
      <c r="V294" t="str">
        <f t="shared" si="18"/>
        <v>5/1997</v>
      </c>
      <c r="Y294" s="1">
        <v>35597</v>
      </c>
      <c r="Z294">
        <f t="shared" si="19"/>
        <v>28</v>
      </c>
    </row>
    <row r="295" spans="19:26" x14ac:dyDescent="0.2">
      <c r="S295" s="1">
        <v>35569</v>
      </c>
      <c r="T295">
        <f t="shared" si="16"/>
        <v>5</v>
      </c>
      <c r="U295">
        <f t="shared" si="17"/>
        <v>1997</v>
      </c>
      <c r="V295" t="str">
        <f t="shared" si="18"/>
        <v>5/1997</v>
      </c>
      <c r="Y295" s="1">
        <v>35597</v>
      </c>
      <c r="Z295">
        <f t="shared" si="19"/>
        <v>28</v>
      </c>
    </row>
    <row r="296" spans="19:26" x14ac:dyDescent="0.2">
      <c r="S296" s="1">
        <v>35570</v>
      </c>
      <c r="T296">
        <f t="shared" si="16"/>
        <v>5</v>
      </c>
      <c r="U296">
        <f t="shared" si="17"/>
        <v>1997</v>
      </c>
      <c r="V296" t="str">
        <f t="shared" si="18"/>
        <v>5/1997</v>
      </c>
      <c r="Y296" s="1">
        <v>35598</v>
      </c>
      <c r="Z296">
        <f t="shared" si="19"/>
        <v>28</v>
      </c>
    </row>
    <row r="297" spans="19:26" x14ac:dyDescent="0.2">
      <c r="S297" s="1">
        <v>35571</v>
      </c>
      <c r="T297">
        <f t="shared" si="16"/>
        <v>5</v>
      </c>
      <c r="U297">
        <f t="shared" si="17"/>
        <v>1997</v>
      </c>
      <c r="V297" t="str">
        <f t="shared" si="18"/>
        <v>5/1997</v>
      </c>
      <c r="Y297" s="1">
        <v>35599</v>
      </c>
      <c r="Z297">
        <f t="shared" si="19"/>
        <v>28</v>
      </c>
    </row>
    <row r="298" spans="19:26" x14ac:dyDescent="0.2">
      <c r="S298" s="1">
        <v>35571</v>
      </c>
      <c r="T298">
        <f t="shared" si="16"/>
        <v>5</v>
      </c>
      <c r="U298">
        <f t="shared" si="17"/>
        <v>1997</v>
      </c>
      <c r="V298" t="str">
        <f t="shared" si="18"/>
        <v>5/1997</v>
      </c>
      <c r="Y298" s="1">
        <v>35599</v>
      </c>
      <c r="Z298">
        <f t="shared" si="19"/>
        <v>28</v>
      </c>
    </row>
    <row r="299" spans="19:26" x14ac:dyDescent="0.2">
      <c r="S299" s="1">
        <v>35572</v>
      </c>
      <c r="T299">
        <f t="shared" si="16"/>
        <v>5</v>
      </c>
      <c r="U299">
        <f t="shared" si="17"/>
        <v>1997</v>
      </c>
      <c r="V299" t="str">
        <f t="shared" si="18"/>
        <v>5/1997</v>
      </c>
      <c r="Y299" s="1">
        <v>35600</v>
      </c>
      <c r="Z299">
        <f t="shared" si="19"/>
        <v>28</v>
      </c>
    </row>
    <row r="300" spans="19:26" x14ac:dyDescent="0.2">
      <c r="S300" s="1">
        <v>35573</v>
      </c>
      <c r="T300">
        <f t="shared" si="16"/>
        <v>5</v>
      </c>
      <c r="U300">
        <f t="shared" si="17"/>
        <v>1997</v>
      </c>
      <c r="V300" t="str">
        <f t="shared" si="18"/>
        <v>5/1997</v>
      </c>
      <c r="Y300" s="1">
        <v>35601</v>
      </c>
      <c r="Z300">
        <f t="shared" si="19"/>
        <v>28</v>
      </c>
    </row>
    <row r="301" spans="19:26" x14ac:dyDescent="0.2">
      <c r="S301" s="1">
        <v>35573</v>
      </c>
      <c r="T301">
        <f t="shared" si="16"/>
        <v>5</v>
      </c>
      <c r="U301">
        <f t="shared" si="17"/>
        <v>1997</v>
      </c>
      <c r="V301" t="str">
        <f t="shared" si="18"/>
        <v>5/1997</v>
      </c>
      <c r="Y301" s="1">
        <v>35601</v>
      </c>
      <c r="Z301">
        <f t="shared" si="19"/>
        <v>28</v>
      </c>
    </row>
    <row r="302" spans="19:26" x14ac:dyDescent="0.2">
      <c r="S302" s="1">
        <v>35576</v>
      </c>
      <c r="T302">
        <f t="shared" si="16"/>
        <v>5</v>
      </c>
      <c r="U302">
        <f t="shared" si="17"/>
        <v>1997</v>
      </c>
      <c r="V302" t="str">
        <f t="shared" si="18"/>
        <v>5/1997</v>
      </c>
      <c r="Y302" s="1">
        <v>35604</v>
      </c>
      <c r="Z302">
        <f t="shared" si="19"/>
        <v>28</v>
      </c>
    </row>
    <row r="303" spans="19:26" x14ac:dyDescent="0.2">
      <c r="S303" s="1">
        <v>35577</v>
      </c>
      <c r="T303">
        <f t="shared" si="16"/>
        <v>5</v>
      </c>
      <c r="U303">
        <f t="shared" si="17"/>
        <v>1997</v>
      </c>
      <c r="V303" t="str">
        <f t="shared" si="18"/>
        <v>5/1997</v>
      </c>
      <c r="Y303" s="1">
        <v>35591</v>
      </c>
      <c r="Z303">
        <f t="shared" si="19"/>
        <v>14</v>
      </c>
    </row>
    <row r="304" spans="19:26" x14ac:dyDescent="0.2">
      <c r="S304" s="1">
        <v>35578</v>
      </c>
      <c r="T304">
        <f t="shared" si="16"/>
        <v>5</v>
      </c>
      <c r="U304">
        <f t="shared" si="17"/>
        <v>1997</v>
      </c>
      <c r="V304" t="str">
        <f t="shared" si="18"/>
        <v>5/1997</v>
      </c>
      <c r="Y304" s="1">
        <v>35606</v>
      </c>
      <c r="Z304">
        <f t="shared" si="19"/>
        <v>28</v>
      </c>
    </row>
    <row r="305" spans="19:26" x14ac:dyDescent="0.2">
      <c r="S305" s="1">
        <v>35578</v>
      </c>
      <c r="T305">
        <f t="shared" si="16"/>
        <v>5</v>
      </c>
      <c r="U305">
        <f t="shared" si="17"/>
        <v>1997</v>
      </c>
      <c r="V305" t="str">
        <f t="shared" si="18"/>
        <v>5/1997</v>
      </c>
      <c r="Y305" s="1">
        <v>35620</v>
      </c>
      <c r="Z305">
        <f t="shared" si="19"/>
        <v>42</v>
      </c>
    </row>
    <row r="306" spans="19:26" x14ac:dyDescent="0.2">
      <c r="S306" s="1">
        <v>35579</v>
      </c>
      <c r="T306">
        <f t="shared" si="16"/>
        <v>5</v>
      </c>
      <c r="U306">
        <f t="shared" si="17"/>
        <v>1997</v>
      </c>
      <c r="V306" t="str">
        <f t="shared" si="18"/>
        <v>5/1997</v>
      </c>
      <c r="Y306" s="1">
        <v>35607</v>
      </c>
      <c r="Z306">
        <f t="shared" si="19"/>
        <v>28</v>
      </c>
    </row>
    <row r="307" spans="19:26" x14ac:dyDescent="0.2">
      <c r="S307" s="1">
        <v>35580</v>
      </c>
      <c r="T307">
        <f t="shared" si="16"/>
        <v>5</v>
      </c>
      <c r="U307">
        <f t="shared" si="17"/>
        <v>1997</v>
      </c>
      <c r="V307" t="str">
        <f t="shared" si="18"/>
        <v>5/1997</v>
      </c>
      <c r="Y307" s="1">
        <v>35608</v>
      </c>
      <c r="Z307">
        <f t="shared" si="19"/>
        <v>28</v>
      </c>
    </row>
    <row r="308" spans="19:26" x14ac:dyDescent="0.2">
      <c r="S308" s="1">
        <v>35580</v>
      </c>
      <c r="T308">
        <f t="shared" si="16"/>
        <v>5</v>
      </c>
      <c r="U308">
        <f t="shared" si="17"/>
        <v>1997</v>
      </c>
      <c r="V308" t="str">
        <f t="shared" si="18"/>
        <v>5/1997</v>
      </c>
      <c r="Y308" s="1">
        <v>35608</v>
      </c>
      <c r="Z308">
        <f t="shared" si="19"/>
        <v>28</v>
      </c>
    </row>
    <row r="309" spans="19:26" x14ac:dyDescent="0.2">
      <c r="S309" s="1">
        <v>35583</v>
      </c>
      <c r="T309">
        <f t="shared" si="16"/>
        <v>6</v>
      </c>
      <c r="U309">
        <f t="shared" si="17"/>
        <v>1997</v>
      </c>
      <c r="V309" t="str">
        <f t="shared" si="18"/>
        <v>6/1997</v>
      </c>
      <c r="Y309" s="1">
        <v>35611</v>
      </c>
      <c r="Z309">
        <f t="shared" si="19"/>
        <v>28</v>
      </c>
    </row>
    <row r="310" spans="19:26" x14ac:dyDescent="0.2">
      <c r="S310" s="1">
        <v>35584</v>
      </c>
      <c r="T310">
        <f t="shared" si="16"/>
        <v>6</v>
      </c>
      <c r="U310">
        <f t="shared" si="17"/>
        <v>1997</v>
      </c>
      <c r="V310" t="str">
        <f t="shared" si="18"/>
        <v>6/1997</v>
      </c>
      <c r="Y310" s="1">
        <v>35626</v>
      </c>
      <c r="Z310">
        <f t="shared" si="19"/>
        <v>42</v>
      </c>
    </row>
    <row r="311" spans="19:26" x14ac:dyDescent="0.2">
      <c r="S311" s="1">
        <v>35584</v>
      </c>
      <c r="T311">
        <f t="shared" si="16"/>
        <v>6</v>
      </c>
      <c r="U311">
        <f t="shared" si="17"/>
        <v>1997</v>
      </c>
      <c r="V311" t="str">
        <f t="shared" si="18"/>
        <v>6/1997</v>
      </c>
      <c r="Y311" s="1">
        <v>35598</v>
      </c>
      <c r="Z311">
        <f t="shared" si="19"/>
        <v>14</v>
      </c>
    </row>
    <row r="312" spans="19:26" x14ac:dyDescent="0.2">
      <c r="S312" s="1">
        <v>35585</v>
      </c>
      <c r="T312">
        <f t="shared" si="16"/>
        <v>6</v>
      </c>
      <c r="U312">
        <f t="shared" si="17"/>
        <v>1997</v>
      </c>
      <c r="V312" t="str">
        <f t="shared" si="18"/>
        <v>6/1997</v>
      </c>
      <c r="Y312" s="1">
        <v>35613</v>
      </c>
      <c r="Z312">
        <f t="shared" si="19"/>
        <v>28</v>
      </c>
    </row>
    <row r="313" spans="19:26" x14ac:dyDescent="0.2">
      <c r="S313" s="1">
        <v>35586</v>
      </c>
      <c r="T313">
        <f t="shared" si="16"/>
        <v>6</v>
      </c>
      <c r="U313">
        <f t="shared" si="17"/>
        <v>1997</v>
      </c>
      <c r="V313" t="str">
        <f t="shared" si="18"/>
        <v>6/1997</v>
      </c>
      <c r="Y313" s="1">
        <v>35614</v>
      </c>
      <c r="Z313">
        <f t="shared" si="19"/>
        <v>28</v>
      </c>
    </row>
    <row r="314" spans="19:26" x14ac:dyDescent="0.2">
      <c r="S314" s="1">
        <v>35587</v>
      </c>
      <c r="T314">
        <f t="shared" si="16"/>
        <v>6</v>
      </c>
      <c r="U314">
        <f t="shared" si="17"/>
        <v>1997</v>
      </c>
      <c r="V314" t="str">
        <f t="shared" si="18"/>
        <v>6/1997</v>
      </c>
      <c r="Y314" s="1">
        <v>35615</v>
      </c>
      <c r="Z314">
        <f t="shared" si="19"/>
        <v>28</v>
      </c>
    </row>
    <row r="315" spans="19:26" x14ac:dyDescent="0.2">
      <c r="S315" s="1">
        <v>35587</v>
      </c>
      <c r="T315">
        <f t="shared" si="16"/>
        <v>6</v>
      </c>
      <c r="U315">
        <f t="shared" si="17"/>
        <v>1997</v>
      </c>
      <c r="V315" t="str">
        <f t="shared" si="18"/>
        <v>6/1997</v>
      </c>
      <c r="Y315" s="1">
        <v>35615</v>
      </c>
      <c r="Z315">
        <f t="shared" si="19"/>
        <v>28</v>
      </c>
    </row>
    <row r="316" spans="19:26" x14ac:dyDescent="0.2">
      <c r="S316" s="1">
        <v>35590</v>
      </c>
      <c r="T316">
        <f t="shared" si="16"/>
        <v>6</v>
      </c>
      <c r="U316">
        <f t="shared" si="17"/>
        <v>1997</v>
      </c>
      <c r="V316" t="str">
        <f t="shared" si="18"/>
        <v>6/1997</v>
      </c>
      <c r="Y316" s="1">
        <v>35618</v>
      </c>
      <c r="Z316">
        <f t="shared" si="19"/>
        <v>28</v>
      </c>
    </row>
    <row r="317" spans="19:26" x14ac:dyDescent="0.2">
      <c r="S317" s="1">
        <v>35591</v>
      </c>
      <c r="T317">
        <f t="shared" si="16"/>
        <v>6</v>
      </c>
      <c r="U317">
        <f t="shared" si="17"/>
        <v>1997</v>
      </c>
      <c r="V317" t="str">
        <f t="shared" si="18"/>
        <v>6/1997</v>
      </c>
      <c r="Y317" s="1">
        <v>35633</v>
      </c>
      <c r="Z317">
        <f t="shared" si="19"/>
        <v>42</v>
      </c>
    </row>
    <row r="318" spans="19:26" x14ac:dyDescent="0.2">
      <c r="S318" s="1">
        <v>35591</v>
      </c>
      <c r="T318">
        <f t="shared" si="16"/>
        <v>6</v>
      </c>
      <c r="U318">
        <f t="shared" si="17"/>
        <v>1997</v>
      </c>
      <c r="V318" t="str">
        <f t="shared" si="18"/>
        <v>6/1997</v>
      </c>
      <c r="Y318" s="1">
        <v>35619</v>
      </c>
      <c r="Z318">
        <f t="shared" si="19"/>
        <v>28</v>
      </c>
    </row>
    <row r="319" spans="19:26" x14ac:dyDescent="0.2">
      <c r="S319" s="1">
        <v>35592</v>
      </c>
      <c r="T319">
        <f t="shared" si="16"/>
        <v>6</v>
      </c>
      <c r="U319">
        <f t="shared" si="17"/>
        <v>1997</v>
      </c>
      <c r="V319" t="str">
        <f t="shared" si="18"/>
        <v>6/1997</v>
      </c>
      <c r="Y319" s="1">
        <v>35620</v>
      </c>
      <c r="Z319">
        <f t="shared" si="19"/>
        <v>28</v>
      </c>
    </row>
    <row r="320" spans="19:26" x14ac:dyDescent="0.2">
      <c r="S320" s="1">
        <v>35593</v>
      </c>
      <c r="T320">
        <f t="shared" si="16"/>
        <v>6</v>
      </c>
      <c r="U320">
        <f t="shared" si="17"/>
        <v>1997</v>
      </c>
      <c r="V320" t="str">
        <f t="shared" si="18"/>
        <v>6/1997</v>
      </c>
      <c r="Y320" s="1">
        <v>35621</v>
      </c>
      <c r="Z320">
        <f t="shared" si="19"/>
        <v>28</v>
      </c>
    </row>
    <row r="321" spans="19:26" x14ac:dyDescent="0.2">
      <c r="S321" s="1">
        <v>35593</v>
      </c>
      <c r="T321">
        <f t="shared" si="16"/>
        <v>6</v>
      </c>
      <c r="U321">
        <f t="shared" si="17"/>
        <v>1997</v>
      </c>
      <c r="V321" t="str">
        <f t="shared" si="18"/>
        <v>6/1997</v>
      </c>
      <c r="Y321" s="1">
        <v>35621</v>
      </c>
      <c r="Z321">
        <f t="shared" si="19"/>
        <v>28</v>
      </c>
    </row>
    <row r="322" spans="19:26" x14ac:dyDescent="0.2">
      <c r="S322" s="1">
        <v>35594</v>
      </c>
      <c r="T322">
        <f t="shared" si="16"/>
        <v>6</v>
      </c>
      <c r="U322">
        <f t="shared" si="17"/>
        <v>1997</v>
      </c>
      <c r="V322" t="str">
        <f t="shared" si="18"/>
        <v>6/1997</v>
      </c>
      <c r="Y322" s="1">
        <v>35622</v>
      </c>
      <c r="Z322">
        <f t="shared" si="19"/>
        <v>28</v>
      </c>
    </row>
    <row r="323" spans="19:26" x14ac:dyDescent="0.2">
      <c r="S323" s="1">
        <v>35597</v>
      </c>
      <c r="T323">
        <f t="shared" ref="T323:T386" si="20">MONTH(S323)</f>
        <v>6</v>
      </c>
      <c r="U323">
        <f t="shared" ref="U323:U386" si="21">YEAR(S323)</f>
        <v>1997</v>
      </c>
      <c r="V323" t="str">
        <f t="shared" ref="V323:V386" si="22">T323&amp;"/"&amp;U323</f>
        <v>6/1997</v>
      </c>
      <c r="Y323" s="1">
        <v>35625</v>
      </c>
      <c r="Z323">
        <f t="shared" ref="Z323:Z386" si="23">Y323-S323</f>
        <v>28</v>
      </c>
    </row>
    <row r="324" spans="19:26" x14ac:dyDescent="0.2">
      <c r="S324" s="1">
        <v>35598</v>
      </c>
      <c r="T324">
        <f t="shared" si="20"/>
        <v>6</v>
      </c>
      <c r="U324">
        <f t="shared" si="21"/>
        <v>1997</v>
      </c>
      <c r="V324" t="str">
        <f t="shared" si="22"/>
        <v>6/1997</v>
      </c>
      <c r="Y324" s="1">
        <v>35626</v>
      </c>
      <c r="Z324">
        <f t="shared" si="23"/>
        <v>28</v>
      </c>
    </row>
    <row r="325" spans="19:26" x14ac:dyDescent="0.2">
      <c r="S325" s="1">
        <v>35598</v>
      </c>
      <c r="T325">
        <f t="shared" si="20"/>
        <v>6</v>
      </c>
      <c r="U325">
        <f t="shared" si="21"/>
        <v>1997</v>
      </c>
      <c r="V325" t="str">
        <f t="shared" si="22"/>
        <v>6/1997</v>
      </c>
      <c r="Y325" s="1">
        <v>35640</v>
      </c>
      <c r="Z325">
        <f t="shared" si="23"/>
        <v>42</v>
      </c>
    </row>
    <row r="326" spans="19:26" x14ac:dyDescent="0.2">
      <c r="S326" s="1">
        <v>35599</v>
      </c>
      <c r="T326">
        <f t="shared" si="20"/>
        <v>6</v>
      </c>
      <c r="U326">
        <f t="shared" si="21"/>
        <v>1997</v>
      </c>
      <c r="V326" t="str">
        <f t="shared" si="22"/>
        <v>6/1997</v>
      </c>
      <c r="Y326" s="1">
        <v>35627</v>
      </c>
      <c r="Z326">
        <f t="shared" si="23"/>
        <v>28</v>
      </c>
    </row>
    <row r="327" spans="19:26" x14ac:dyDescent="0.2">
      <c r="S327" s="1">
        <v>35600</v>
      </c>
      <c r="T327">
        <f t="shared" si="20"/>
        <v>6</v>
      </c>
      <c r="U327">
        <f t="shared" si="21"/>
        <v>1997</v>
      </c>
      <c r="V327" t="str">
        <f t="shared" si="22"/>
        <v>6/1997</v>
      </c>
      <c r="Y327" s="1">
        <v>35628</v>
      </c>
      <c r="Z327">
        <f t="shared" si="23"/>
        <v>28</v>
      </c>
    </row>
    <row r="328" spans="19:26" x14ac:dyDescent="0.2">
      <c r="S328" s="1">
        <v>35600</v>
      </c>
      <c r="T328">
        <f t="shared" si="20"/>
        <v>6</v>
      </c>
      <c r="U328">
        <f t="shared" si="21"/>
        <v>1997</v>
      </c>
      <c r="V328" t="str">
        <f t="shared" si="22"/>
        <v>6/1997</v>
      </c>
      <c r="Y328" s="1">
        <v>35628</v>
      </c>
      <c r="Z328">
        <f t="shared" si="23"/>
        <v>28</v>
      </c>
    </row>
    <row r="329" spans="19:26" x14ac:dyDescent="0.2">
      <c r="S329" s="1">
        <v>35601</v>
      </c>
      <c r="T329">
        <f t="shared" si="20"/>
        <v>6</v>
      </c>
      <c r="U329">
        <f t="shared" si="21"/>
        <v>1997</v>
      </c>
      <c r="V329" t="str">
        <f t="shared" si="22"/>
        <v>6/1997</v>
      </c>
      <c r="Y329" s="1">
        <v>35615</v>
      </c>
      <c r="Z329">
        <f t="shared" si="23"/>
        <v>14</v>
      </c>
    </row>
    <row r="330" spans="19:26" x14ac:dyDescent="0.2">
      <c r="S330" s="1">
        <v>35604</v>
      </c>
      <c r="T330">
        <f t="shared" si="20"/>
        <v>6</v>
      </c>
      <c r="U330">
        <f t="shared" si="21"/>
        <v>1997</v>
      </c>
      <c r="V330" t="str">
        <f t="shared" si="22"/>
        <v>6/1997</v>
      </c>
      <c r="Y330" s="1">
        <v>35618</v>
      </c>
      <c r="Z330">
        <f t="shared" si="23"/>
        <v>14</v>
      </c>
    </row>
    <row r="331" spans="19:26" x14ac:dyDescent="0.2">
      <c r="S331" s="1">
        <v>35604</v>
      </c>
      <c r="T331">
        <f t="shared" si="20"/>
        <v>6</v>
      </c>
      <c r="U331">
        <f t="shared" si="21"/>
        <v>1997</v>
      </c>
      <c r="V331" t="str">
        <f t="shared" si="22"/>
        <v>6/1997</v>
      </c>
      <c r="Y331" s="1">
        <v>35646</v>
      </c>
      <c r="Z331">
        <f t="shared" si="23"/>
        <v>42</v>
      </c>
    </row>
    <row r="332" spans="19:26" x14ac:dyDescent="0.2">
      <c r="S332" s="1">
        <v>35605</v>
      </c>
      <c r="T332">
        <f t="shared" si="20"/>
        <v>6</v>
      </c>
      <c r="U332">
        <f t="shared" si="21"/>
        <v>1997</v>
      </c>
      <c r="V332" t="str">
        <f t="shared" si="22"/>
        <v>6/1997</v>
      </c>
      <c r="Y332" s="1">
        <v>35633</v>
      </c>
      <c r="Z332">
        <f t="shared" si="23"/>
        <v>28</v>
      </c>
    </row>
    <row r="333" spans="19:26" x14ac:dyDescent="0.2">
      <c r="S333" s="1">
        <v>35606</v>
      </c>
      <c r="T333">
        <f t="shared" si="20"/>
        <v>6</v>
      </c>
      <c r="U333">
        <f t="shared" si="21"/>
        <v>1997</v>
      </c>
      <c r="V333" t="str">
        <f t="shared" si="22"/>
        <v>6/1997</v>
      </c>
      <c r="Y333" s="1">
        <v>35634</v>
      </c>
      <c r="Z333">
        <f t="shared" si="23"/>
        <v>28</v>
      </c>
    </row>
    <row r="334" spans="19:26" x14ac:dyDescent="0.2">
      <c r="S334" s="1">
        <v>35607</v>
      </c>
      <c r="T334">
        <f t="shared" si="20"/>
        <v>6</v>
      </c>
      <c r="U334">
        <f t="shared" si="21"/>
        <v>1997</v>
      </c>
      <c r="V334" t="str">
        <f t="shared" si="22"/>
        <v>6/1997</v>
      </c>
      <c r="Y334" s="1">
        <v>35635</v>
      </c>
      <c r="Z334">
        <f t="shared" si="23"/>
        <v>28</v>
      </c>
    </row>
    <row r="335" spans="19:26" x14ac:dyDescent="0.2">
      <c r="S335" s="1">
        <v>35607</v>
      </c>
      <c r="T335">
        <f t="shared" si="20"/>
        <v>6</v>
      </c>
      <c r="U335">
        <f t="shared" si="21"/>
        <v>1997</v>
      </c>
      <c r="V335" t="str">
        <f t="shared" si="22"/>
        <v>6/1997</v>
      </c>
      <c r="Y335" s="1">
        <v>35635</v>
      </c>
      <c r="Z335">
        <f t="shared" si="23"/>
        <v>28</v>
      </c>
    </row>
    <row r="336" spans="19:26" x14ac:dyDescent="0.2">
      <c r="S336" s="1">
        <v>35608</v>
      </c>
      <c r="T336">
        <f t="shared" si="20"/>
        <v>6</v>
      </c>
      <c r="U336">
        <f t="shared" si="21"/>
        <v>1997</v>
      </c>
      <c r="V336" t="str">
        <f t="shared" si="22"/>
        <v>6/1997</v>
      </c>
      <c r="Y336" s="1">
        <v>35636</v>
      </c>
      <c r="Z336">
        <f t="shared" si="23"/>
        <v>28</v>
      </c>
    </row>
    <row r="337" spans="19:26" x14ac:dyDescent="0.2">
      <c r="S337" s="1">
        <v>35611</v>
      </c>
      <c r="T337">
        <f t="shared" si="20"/>
        <v>6</v>
      </c>
      <c r="U337">
        <f t="shared" si="21"/>
        <v>1997</v>
      </c>
      <c r="V337" t="str">
        <f t="shared" si="22"/>
        <v>6/1997</v>
      </c>
      <c r="Y337" s="1">
        <v>35639</v>
      </c>
      <c r="Z337">
        <f t="shared" si="23"/>
        <v>28</v>
      </c>
    </row>
    <row r="338" spans="19:26" x14ac:dyDescent="0.2">
      <c r="S338" s="1">
        <v>35611</v>
      </c>
      <c r="T338">
        <f t="shared" si="20"/>
        <v>6</v>
      </c>
      <c r="U338">
        <f t="shared" si="21"/>
        <v>1997</v>
      </c>
      <c r="V338" t="str">
        <f t="shared" si="22"/>
        <v>6/1997</v>
      </c>
      <c r="Y338" s="1">
        <v>35639</v>
      </c>
      <c r="Z338">
        <f t="shared" si="23"/>
        <v>28</v>
      </c>
    </row>
    <row r="339" spans="19:26" x14ac:dyDescent="0.2">
      <c r="S339" s="1">
        <v>35612</v>
      </c>
      <c r="T339">
        <f t="shared" si="20"/>
        <v>7</v>
      </c>
      <c r="U339">
        <f t="shared" si="21"/>
        <v>1997</v>
      </c>
      <c r="V339" t="str">
        <f t="shared" si="22"/>
        <v>7/1997</v>
      </c>
      <c r="Y339" s="1">
        <v>35640</v>
      </c>
      <c r="Z339">
        <f t="shared" si="23"/>
        <v>28</v>
      </c>
    </row>
    <row r="340" spans="19:26" x14ac:dyDescent="0.2">
      <c r="S340" s="1">
        <v>35613</v>
      </c>
      <c r="T340">
        <f t="shared" si="20"/>
        <v>7</v>
      </c>
      <c r="U340">
        <f t="shared" si="21"/>
        <v>1997</v>
      </c>
      <c r="V340" t="str">
        <f t="shared" si="22"/>
        <v>7/1997</v>
      </c>
      <c r="Y340" s="1">
        <v>35641</v>
      </c>
      <c r="Z340">
        <f t="shared" si="23"/>
        <v>28</v>
      </c>
    </row>
    <row r="341" spans="19:26" x14ac:dyDescent="0.2">
      <c r="S341" s="1">
        <v>35613</v>
      </c>
      <c r="T341">
        <f t="shared" si="20"/>
        <v>7</v>
      </c>
      <c r="U341">
        <f t="shared" si="21"/>
        <v>1997</v>
      </c>
      <c r="V341" t="str">
        <f t="shared" si="22"/>
        <v>7/1997</v>
      </c>
      <c r="Y341" s="1">
        <v>35641</v>
      </c>
      <c r="Z341">
        <f t="shared" si="23"/>
        <v>28</v>
      </c>
    </row>
    <row r="342" spans="19:26" x14ac:dyDescent="0.2">
      <c r="S342" s="1">
        <v>35614</v>
      </c>
      <c r="T342">
        <f t="shared" si="20"/>
        <v>7</v>
      </c>
      <c r="U342">
        <f t="shared" si="21"/>
        <v>1997</v>
      </c>
      <c r="V342" t="str">
        <f t="shared" si="22"/>
        <v>7/1997</v>
      </c>
      <c r="Y342" s="1">
        <v>35642</v>
      </c>
      <c r="Z342">
        <f t="shared" si="23"/>
        <v>28</v>
      </c>
    </row>
    <row r="343" spans="19:26" x14ac:dyDescent="0.2">
      <c r="S343" s="1">
        <v>35615</v>
      </c>
      <c r="T343">
        <f t="shared" si="20"/>
        <v>7</v>
      </c>
      <c r="U343">
        <f t="shared" si="21"/>
        <v>1997</v>
      </c>
      <c r="V343" t="str">
        <f t="shared" si="22"/>
        <v>7/1997</v>
      </c>
      <c r="Y343" s="1">
        <v>35643</v>
      </c>
      <c r="Z343">
        <f t="shared" si="23"/>
        <v>28</v>
      </c>
    </row>
    <row r="344" spans="19:26" x14ac:dyDescent="0.2">
      <c r="S344" s="1">
        <v>35618</v>
      </c>
      <c r="T344">
        <f t="shared" si="20"/>
        <v>7</v>
      </c>
      <c r="U344">
        <f t="shared" si="21"/>
        <v>1997</v>
      </c>
      <c r="V344" t="str">
        <f t="shared" si="22"/>
        <v>7/1997</v>
      </c>
      <c r="Y344" s="1">
        <v>35646</v>
      </c>
      <c r="Z344">
        <f t="shared" si="23"/>
        <v>28</v>
      </c>
    </row>
    <row r="345" spans="19:26" x14ac:dyDescent="0.2">
      <c r="S345" s="1">
        <v>35618</v>
      </c>
      <c r="T345">
        <f t="shared" si="20"/>
        <v>7</v>
      </c>
      <c r="U345">
        <f t="shared" si="21"/>
        <v>1997</v>
      </c>
      <c r="V345" t="str">
        <f t="shared" si="22"/>
        <v>7/1997</v>
      </c>
      <c r="Y345" s="1">
        <v>35632</v>
      </c>
      <c r="Z345">
        <f t="shared" si="23"/>
        <v>14</v>
      </c>
    </row>
    <row r="346" spans="19:26" x14ac:dyDescent="0.2">
      <c r="S346" s="1">
        <v>35619</v>
      </c>
      <c r="T346">
        <f t="shared" si="20"/>
        <v>7</v>
      </c>
      <c r="U346">
        <f t="shared" si="21"/>
        <v>1997</v>
      </c>
      <c r="V346" t="str">
        <f t="shared" si="22"/>
        <v>7/1997</v>
      </c>
      <c r="Y346" s="1">
        <v>35647</v>
      </c>
      <c r="Z346">
        <f t="shared" si="23"/>
        <v>28</v>
      </c>
    </row>
    <row r="347" spans="19:26" x14ac:dyDescent="0.2">
      <c r="S347" s="1">
        <v>35620</v>
      </c>
      <c r="T347">
        <f t="shared" si="20"/>
        <v>7</v>
      </c>
      <c r="U347">
        <f t="shared" si="21"/>
        <v>1997</v>
      </c>
      <c r="V347" t="str">
        <f t="shared" si="22"/>
        <v>7/1997</v>
      </c>
      <c r="Y347" s="1">
        <v>35648</v>
      </c>
      <c r="Z347">
        <f t="shared" si="23"/>
        <v>28</v>
      </c>
    </row>
    <row r="348" spans="19:26" x14ac:dyDescent="0.2">
      <c r="S348" s="1">
        <v>35620</v>
      </c>
      <c r="T348">
        <f t="shared" si="20"/>
        <v>7</v>
      </c>
      <c r="U348">
        <f t="shared" si="21"/>
        <v>1997</v>
      </c>
      <c r="V348" t="str">
        <f t="shared" si="22"/>
        <v>7/1997</v>
      </c>
      <c r="Y348" s="1">
        <v>35648</v>
      </c>
      <c r="Z348">
        <f t="shared" si="23"/>
        <v>28</v>
      </c>
    </row>
    <row r="349" spans="19:26" x14ac:dyDescent="0.2">
      <c r="S349" s="1">
        <v>35621</v>
      </c>
      <c r="T349">
        <f t="shared" si="20"/>
        <v>7</v>
      </c>
      <c r="U349">
        <f t="shared" si="21"/>
        <v>1997</v>
      </c>
      <c r="V349" t="str">
        <f t="shared" si="22"/>
        <v>7/1997</v>
      </c>
      <c r="Y349" s="1">
        <v>35649</v>
      </c>
      <c r="Z349">
        <f t="shared" si="23"/>
        <v>28</v>
      </c>
    </row>
    <row r="350" spans="19:26" x14ac:dyDescent="0.2">
      <c r="S350" s="1">
        <v>35622</v>
      </c>
      <c r="T350">
        <f t="shared" si="20"/>
        <v>7</v>
      </c>
      <c r="U350">
        <f t="shared" si="21"/>
        <v>1997</v>
      </c>
      <c r="V350" t="str">
        <f t="shared" si="22"/>
        <v>7/1997</v>
      </c>
      <c r="Y350" s="1">
        <v>35650</v>
      </c>
      <c r="Z350">
        <f t="shared" si="23"/>
        <v>28</v>
      </c>
    </row>
    <row r="351" spans="19:26" x14ac:dyDescent="0.2">
      <c r="S351" s="1">
        <v>35622</v>
      </c>
      <c r="T351">
        <f t="shared" si="20"/>
        <v>7</v>
      </c>
      <c r="U351">
        <f t="shared" si="21"/>
        <v>1997</v>
      </c>
      <c r="V351" t="str">
        <f t="shared" si="22"/>
        <v>7/1997</v>
      </c>
      <c r="Y351" s="1">
        <v>35650</v>
      </c>
      <c r="Z351">
        <f t="shared" si="23"/>
        <v>28</v>
      </c>
    </row>
    <row r="352" spans="19:26" x14ac:dyDescent="0.2">
      <c r="S352" s="1">
        <v>35625</v>
      </c>
      <c r="T352">
        <f t="shared" si="20"/>
        <v>7</v>
      </c>
      <c r="U352">
        <f t="shared" si="21"/>
        <v>1997</v>
      </c>
      <c r="V352" t="str">
        <f t="shared" si="22"/>
        <v>7/1997</v>
      </c>
      <c r="Y352" s="1">
        <v>35653</v>
      </c>
      <c r="Z352">
        <f t="shared" si="23"/>
        <v>28</v>
      </c>
    </row>
    <row r="353" spans="19:26" x14ac:dyDescent="0.2">
      <c r="S353" s="1">
        <v>35626</v>
      </c>
      <c r="T353">
        <f t="shared" si="20"/>
        <v>7</v>
      </c>
      <c r="U353">
        <f t="shared" si="21"/>
        <v>1997</v>
      </c>
      <c r="V353" t="str">
        <f t="shared" si="22"/>
        <v>7/1997</v>
      </c>
      <c r="Y353" s="1">
        <v>35668</v>
      </c>
      <c r="Z353">
        <f t="shared" si="23"/>
        <v>42</v>
      </c>
    </row>
    <row r="354" spans="19:26" x14ac:dyDescent="0.2">
      <c r="S354" s="1">
        <v>35627</v>
      </c>
      <c r="T354">
        <f t="shared" si="20"/>
        <v>7</v>
      </c>
      <c r="U354">
        <f t="shared" si="21"/>
        <v>1997</v>
      </c>
      <c r="V354" t="str">
        <f t="shared" si="22"/>
        <v>7/1997</v>
      </c>
      <c r="Y354" s="1">
        <v>35655</v>
      </c>
      <c r="Z354">
        <f t="shared" si="23"/>
        <v>28</v>
      </c>
    </row>
    <row r="355" spans="19:26" x14ac:dyDescent="0.2">
      <c r="S355" s="1">
        <v>35627</v>
      </c>
      <c r="T355">
        <f t="shared" si="20"/>
        <v>7</v>
      </c>
      <c r="U355">
        <f t="shared" si="21"/>
        <v>1997</v>
      </c>
      <c r="V355" t="str">
        <f t="shared" si="22"/>
        <v>7/1997</v>
      </c>
      <c r="Y355" s="1">
        <v>35669</v>
      </c>
      <c r="Z355">
        <f t="shared" si="23"/>
        <v>42</v>
      </c>
    </row>
    <row r="356" spans="19:26" x14ac:dyDescent="0.2">
      <c r="S356" s="1">
        <v>35628</v>
      </c>
      <c r="T356">
        <f t="shared" si="20"/>
        <v>7</v>
      </c>
      <c r="U356">
        <f t="shared" si="21"/>
        <v>1997</v>
      </c>
      <c r="V356" t="str">
        <f t="shared" si="22"/>
        <v>7/1997</v>
      </c>
      <c r="Y356" s="1">
        <v>35656</v>
      </c>
      <c r="Z356">
        <f t="shared" si="23"/>
        <v>28</v>
      </c>
    </row>
    <row r="357" spans="19:26" x14ac:dyDescent="0.2">
      <c r="S357" s="1">
        <v>35629</v>
      </c>
      <c r="T357">
        <f t="shared" si="20"/>
        <v>7</v>
      </c>
      <c r="U357">
        <f t="shared" si="21"/>
        <v>1997</v>
      </c>
      <c r="V357" t="str">
        <f t="shared" si="22"/>
        <v>7/1997</v>
      </c>
      <c r="Y357" s="1">
        <v>35657</v>
      </c>
      <c r="Z357">
        <f t="shared" si="23"/>
        <v>28</v>
      </c>
    </row>
    <row r="358" spans="19:26" x14ac:dyDescent="0.2">
      <c r="S358" s="1">
        <v>35629</v>
      </c>
      <c r="T358">
        <f t="shared" si="20"/>
        <v>7</v>
      </c>
      <c r="U358">
        <f t="shared" si="21"/>
        <v>1997</v>
      </c>
      <c r="V358" t="str">
        <f t="shared" si="22"/>
        <v>7/1997</v>
      </c>
      <c r="Y358" s="1">
        <v>35657</v>
      </c>
      <c r="Z358">
        <f t="shared" si="23"/>
        <v>28</v>
      </c>
    </row>
    <row r="359" spans="19:26" x14ac:dyDescent="0.2">
      <c r="S359" s="1">
        <v>35632</v>
      </c>
      <c r="T359">
        <f t="shared" si="20"/>
        <v>7</v>
      </c>
      <c r="U359">
        <f t="shared" si="21"/>
        <v>1997</v>
      </c>
      <c r="V359" t="str">
        <f t="shared" si="22"/>
        <v>7/1997</v>
      </c>
      <c r="Y359" s="1">
        <v>35660</v>
      </c>
      <c r="Z359">
        <f t="shared" si="23"/>
        <v>28</v>
      </c>
    </row>
    <row r="360" spans="19:26" x14ac:dyDescent="0.2">
      <c r="S360" s="1">
        <v>35633</v>
      </c>
      <c r="T360">
        <f t="shared" si="20"/>
        <v>7</v>
      </c>
      <c r="U360">
        <f t="shared" si="21"/>
        <v>1997</v>
      </c>
      <c r="V360" t="str">
        <f t="shared" si="22"/>
        <v>7/1997</v>
      </c>
      <c r="Y360" s="1">
        <v>35661</v>
      </c>
      <c r="Z360">
        <f t="shared" si="23"/>
        <v>28</v>
      </c>
    </row>
    <row r="361" spans="19:26" x14ac:dyDescent="0.2">
      <c r="S361" s="1">
        <v>35633</v>
      </c>
      <c r="T361">
        <f t="shared" si="20"/>
        <v>7</v>
      </c>
      <c r="U361">
        <f t="shared" si="21"/>
        <v>1997</v>
      </c>
      <c r="V361" t="str">
        <f t="shared" si="22"/>
        <v>7/1997</v>
      </c>
      <c r="Y361" s="1">
        <v>35661</v>
      </c>
      <c r="Z361">
        <f t="shared" si="23"/>
        <v>28</v>
      </c>
    </row>
    <row r="362" spans="19:26" x14ac:dyDescent="0.2">
      <c r="S362" s="1">
        <v>35634</v>
      </c>
      <c r="T362">
        <f t="shared" si="20"/>
        <v>7</v>
      </c>
      <c r="U362">
        <f t="shared" si="21"/>
        <v>1997</v>
      </c>
      <c r="V362" t="str">
        <f t="shared" si="22"/>
        <v>7/1997</v>
      </c>
      <c r="Y362" s="1">
        <v>35662</v>
      </c>
      <c r="Z362">
        <f t="shared" si="23"/>
        <v>28</v>
      </c>
    </row>
    <row r="363" spans="19:26" x14ac:dyDescent="0.2">
      <c r="S363" s="1">
        <v>35635</v>
      </c>
      <c r="T363">
        <f t="shared" si="20"/>
        <v>7</v>
      </c>
      <c r="U363">
        <f t="shared" si="21"/>
        <v>1997</v>
      </c>
      <c r="V363" t="str">
        <f t="shared" si="22"/>
        <v>7/1997</v>
      </c>
      <c r="Y363" s="1">
        <v>35663</v>
      </c>
      <c r="Z363">
        <f t="shared" si="23"/>
        <v>28</v>
      </c>
    </row>
    <row r="364" spans="19:26" x14ac:dyDescent="0.2">
      <c r="S364" s="1">
        <v>35636</v>
      </c>
      <c r="T364">
        <f t="shared" si="20"/>
        <v>7</v>
      </c>
      <c r="U364">
        <f t="shared" si="21"/>
        <v>1997</v>
      </c>
      <c r="V364" t="str">
        <f t="shared" si="22"/>
        <v>7/1997</v>
      </c>
      <c r="Y364" s="1">
        <v>35664</v>
      </c>
      <c r="Z364">
        <f t="shared" si="23"/>
        <v>28</v>
      </c>
    </row>
    <row r="365" spans="19:26" x14ac:dyDescent="0.2">
      <c r="S365" s="1">
        <v>35636</v>
      </c>
      <c r="T365">
        <f t="shared" si="20"/>
        <v>7</v>
      </c>
      <c r="U365">
        <f t="shared" si="21"/>
        <v>1997</v>
      </c>
      <c r="V365" t="str">
        <f t="shared" si="22"/>
        <v>7/1997</v>
      </c>
      <c r="Y365" s="1">
        <v>35664</v>
      </c>
      <c r="Z365">
        <f t="shared" si="23"/>
        <v>28</v>
      </c>
    </row>
    <row r="366" spans="19:26" x14ac:dyDescent="0.2">
      <c r="S366" s="1">
        <v>35639</v>
      </c>
      <c r="T366">
        <f t="shared" si="20"/>
        <v>7</v>
      </c>
      <c r="U366">
        <f t="shared" si="21"/>
        <v>1997</v>
      </c>
      <c r="V366" t="str">
        <f t="shared" si="22"/>
        <v>7/1997</v>
      </c>
      <c r="Y366" s="1">
        <v>35667</v>
      </c>
      <c r="Z366">
        <f t="shared" si="23"/>
        <v>28</v>
      </c>
    </row>
    <row r="367" spans="19:26" x14ac:dyDescent="0.2">
      <c r="S367" s="1">
        <v>35640</v>
      </c>
      <c r="T367">
        <f t="shared" si="20"/>
        <v>7</v>
      </c>
      <c r="U367">
        <f t="shared" si="21"/>
        <v>1997</v>
      </c>
      <c r="V367" t="str">
        <f t="shared" si="22"/>
        <v>7/1997</v>
      </c>
      <c r="Y367" s="1">
        <v>35668</v>
      </c>
      <c r="Z367">
        <f t="shared" si="23"/>
        <v>28</v>
      </c>
    </row>
    <row r="368" spans="19:26" x14ac:dyDescent="0.2">
      <c r="S368" s="1">
        <v>35640</v>
      </c>
      <c r="T368">
        <f t="shared" si="20"/>
        <v>7</v>
      </c>
      <c r="U368">
        <f t="shared" si="21"/>
        <v>1997</v>
      </c>
      <c r="V368" t="str">
        <f t="shared" si="22"/>
        <v>7/1997</v>
      </c>
      <c r="Y368" s="1">
        <v>35668</v>
      </c>
      <c r="Z368">
        <f t="shared" si="23"/>
        <v>28</v>
      </c>
    </row>
    <row r="369" spans="19:26" x14ac:dyDescent="0.2">
      <c r="S369" s="1">
        <v>35641</v>
      </c>
      <c r="T369">
        <f t="shared" si="20"/>
        <v>7</v>
      </c>
      <c r="U369">
        <f t="shared" si="21"/>
        <v>1997</v>
      </c>
      <c r="V369" t="str">
        <f t="shared" si="22"/>
        <v>7/1997</v>
      </c>
      <c r="Y369" s="1">
        <v>35669</v>
      </c>
      <c r="Z369">
        <f t="shared" si="23"/>
        <v>28</v>
      </c>
    </row>
    <row r="370" spans="19:26" x14ac:dyDescent="0.2">
      <c r="S370" s="1">
        <v>35642</v>
      </c>
      <c r="T370">
        <f t="shared" si="20"/>
        <v>7</v>
      </c>
      <c r="U370">
        <f t="shared" si="21"/>
        <v>1997</v>
      </c>
      <c r="V370" t="str">
        <f t="shared" si="22"/>
        <v>7/1997</v>
      </c>
      <c r="Y370" s="1">
        <v>35670</v>
      </c>
      <c r="Z370">
        <f t="shared" si="23"/>
        <v>28</v>
      </c>
    </row>
    <row r="371" spans="19:26" x14ac:dyDescent="0.2">
      <c r="S371" s="1">
        <v>35642</v>
      </c>
      <c r="T371">
        <f t="shared" si="20"/>
        <v>7</v>
      </c>
      <c r="U371">
        <f t="shared" si="21"/>
        <v>1997</v>
      </c>
      <c r="V371" t="str">
        <f t="shared" si="22"/>
        <v>7/1997</v>
      </c>
      <c r="Y371" s="1">
        <v>35670</v>
      </c>
      <c r="Z371">
        <f t="shared" si="23"/>
        <v>28</v>
      </c>
    </row>
    <row r="372" spans="19:26" x14ac:dyDescent="0.2">
      <c r="S372" s="1">
        <v>35643</v>
      </c>
      <c r="T372">
        <f t="shared" si="20"/>
        <v>8</v>
      </c>
      <c r="U372">
        <f t="shared" si="21"/>
        <v>1997</v>
      </c>
      <c r="V372" t="str">
        <f t="shared" si="22"/>
        <v>8/1997</v>
      </c>
      <c r="Y372" s="1">
        <v>35685</v>
      </c>
      <c r="Z372">
        <f t="shared" si="23"/>
        <v>42</v>
      </c>
    </row>
    <row r="373" spans="19:26" x14ac:dyDescent="0.2">
      <c r="S373" s="1">
        <v>35646</v>
      </c>
      <c r="T373">
        <f t="shared" si="20"/>
        <v>8</v>
      </c>
      <c r="U373">
        <f t="shared" si="21"/>
        <v>1997</v>
      </c>
      <c r="V373" t="str">
        <f t="shared" si="22"/>
        <v>8/1997</v>
      </c>
      <c r="Y373" s="1">
        <v>35674</v>
      </c>
      <c r="Z373">
        <f t="shared" si="23"/>
        <v>28</v>
      </c>
    </row>
    <row r="374" spans="19:26" x14ac:dyDescent="0.2">
      <c r="S374" s="1">
        <v>35647</v>
      </c>
      <c r="T374">
        <f t="shared" si="20"/>
        <v>8</v>
      </c>
      <c r="U374">
        <f t="shared" si="21"/>
        <v>1997</v>
      </c>
      <c r="V374" t="str">
        <f t="shared" si="22"/>
        <v>8/1997</v>
      </c>
      <c r="Y374" s="1">
        <v>35675</v>
      </c>
      <c r="Z374">
        <f t="shared" si="23"/>
        <v>28</v>
      </c>
    </row>
    <row r="375" spans="19:26" x14ac:dyDescent="0.2">
      <c r="S375" s="1">
        <v>35647</v>
      </c>
      <c r="T375">
        <f t="shared" si="20"/>
        <v>8</v>
      </c>
      <c r="U375">
        <f t="shared" si="21"/>
        <v>1997</v>
      </c>
      <c r="V375" t="str">
        <f t="shared" si="22"/>
        <v>8/1997</v>
      </c>
      <c r="Y375" s="1">
        <v>35675</v>
      </c>
      <c r="Z375">
        <f t="shared" si="23"/>
        <v>28</v>
      </c>
    </row>
    <row r="376" spans="19:26" x14ac:dyDescent="0.2">
      <c r="S376" s="1">
        <v>35648</v>
      </c>
      <c r="T376">
        <f t="shared" si="20"/>
        <v>8</v>
      </c>
      <c r="U376">
        <f t="shared" si="21"/>
        <v>1997</v>
      </c>
      <c r="V376" t="str">
        <f t="shared" si="22"/>
        <v>8/1997</v>
      </c>
      <c r="Y376" s="1">
        <v>35676</v>
      </c>
      <c r="Z376">
        <f t="shared" si="23"/>
        <v>28</v>
      </c>
    </row>
    <row r="377" spans="19:26" x14ac:dyDescent="0.2">
      <c r="S377" s="1">
        <v>35649</v>
      </c>
      <c r="T377">
        <f t="shared" si="20"/>
        <v>8</v>
      </c>
      <c r="U377">
        <f t="shared" si="21"/>
        <v>1997</v>
      </c>
      <c r="V377" t="str">
        <f t="shared" si="22"/>
        <v>8/1997</v>
      </c>
      <c r="Y377" s="1">
        <v>35677</v>
      </c>
      <c r="Z377">
        <f t="shared" si="23"/>
        <v>28</v>
      </c>
    </row>
    <row r="378" spans="19:26" x14ac:dyDescent="0.2">
      <c r="S378" s="1">
        <v>35649</v>
      </c>
      <c r="T378">
        <f t="shared" si="20"/>
        <v>8</v>
      </c>
      <c r="U378">
        <f t="shared" si="21"/>
        <v>1997</v>
      </c>
      <c r="V378" t="str">
        <f t="shared" si="22"/>
        <v>8/1997</v>
      </c>
      <c r="Y378" s="1">
        <v>35677</v>
      </c>
      <c r="Z378">
        <f t="shared" si="23"/>
        <v>28</v>
      </c>
    </row>
    <row r="379" spans="19:26" x14ac:dyDescent="0.2">
      <c r="S379" s="1">
        <v>35650</v>
      </c>
      <c r="T379">
        <f t="shared" si="20"/>
        <v>8</v>
      </c>
      <c r="U379">
        <f t="shared" si="21"/>
        <v>1997</v>
      </c>
      <c r="V379" t="str">
        <f t="shared" si="22"/>
        <v>8/1997</v>
      </c>
      <c r="Y379" s="1">
        <v>35678</v>
      </c>
      <c r="Z379">
        <f t="shared" si="23"/>
        <v>28</v>
      </c>
    </row>
    <row r="380" spans="19:26" x14ac:dyDescent="0.2">
      <c r="S380" s="1">
        <v>35653</v>
      </c>
      <c r="T380">
        <f t="shared" si="20"/>
        <v>8</v>
      </c>
      <c r="U380">
        <f t="shared" si="21"/>
        <v>1997</v>
      </c>
      <c r="V380" t="str">
        <f t="shared" si="22"/>
        <v>8/1997</v>
      </c>
      <c r="Y380" s="1">
        <v>35681</v>
      </c>
      <c r="Z380">
        <f t="shared" si="23"/>
        <v>28</v>
      </c>
    </row>
    <row r="381" spans="19:26" x14ac:dyDescent="0.2">
      <c r="S381" s="1">
        <v>35653</v>
      </c>
      <c r="T381">
        <f t="shared" si="20"/>
        <v>8</v>
      </c>
      <c r="U381">
        <f t="shared" si="21"/>
        <v>1997</v>
      </c>
      <c r="V381" t="str">
        <f t="shared" si="22"/>
        <v>8/1997</v>
      </c>
      <c r="Y381" s="1">
        <v>35695</v>
      </c>
      <c r="Z381">
        <f t="shared" si="23"/>
        <v>42</v>
      </c>
    </row>
    <row r="382" spans="19:26" x14ac:dyDescent="0.2">
      <c r="S382" s="1">
        <v>35654</v>
      </c>
      <c r="T382">
        <f t="shared" si="20"/>
        <v>8</v>
      </c>
      <c r="U382">
        <f t="shared" si="21"/>
        <v>1997</v>
      </c>
      <c r="V382" t="str">
        <f t="shared" si="22"/>
        <v>8/1997</v>
      </c>
      <c r="Y382" s="1">
        <v>35682</v>
      </c>
      <c r="Z382">
        <f t="shared" si="23"/>
        <v>28</v>
      </c>
    </row>
    <row r="383" spans="19:26" x14ac:dyDescent="0.2">
      <c r="S383" s="1">
        <v>35654</v>
      </c>
      <c r="T383">
        <f t="shared" si="20"/>
        <v>8</v>
      </c>
      <c r="U383">
        <f t="shared" si="21"/>
        <v>1997</v>
      </c>
      <c r="V383" t="str">
        <f t="shared" si="22"/>
        <v>8/1997</v>
      </c>
      <c r="Y383" s="1">
        <v>35682</v>
      </c>
      <c r="Z383">
        <f t="shared" si="23"/>
        <v>28</v>
      </c>
    </row>
    <row r="384" spans="19:26" x14ac:dyDescent="0.2">
      <c r="S384" s="1">
        <v>35655</v>
      </c>
      <c r="T384">
        <f t="shared" si="20"/>
        <v>8</v>
      </c>
      <c r="U384">
        <f t="shared" si="21"/>
        <v>1997</v>
      </c>
      <c r="V384" t="str">
        <f t="shared" si="22"/>
        <v>8/1997</v>
      </c>
      <c r="Y384" s="1">
        <v>35683</v>
      </c>
      <c r="Z384">
        <f t="shared" si="23"/>
        <v>28</v>
      </c>
    </row>
    <row r="385" spans="19:26" x14ac:dyDescent="0.2">
      <c r="S385" s="1">
        <v>35656</v>
      </c>
      <c r="T385">
        <f t="shared" si="20"/>
        <v>8</v>
      </c>
      <c r="U385">
        <f t="shared" si="21"/>
        <v>1997</v>
      </c>
      <c r="V385" t="str">
        <f t="shared" si="22"/>
        <v>8/1997</v>
      </c>
      <c r="Y385" s="1">
        <v>35684</v>
      </c>
      <c r="Z385">
        <f t="shared" si="23"/>
        <v>28</v>
      </c>
    </row>
    <row r="386" spans="19:26" x14ac:dyDescent="0.2">
      <c r="S386" s="1">
        <v>35656</v>
      </c>
      <c r="T386">
        <f t="shared" si="20"/>
        <v>8</v>
      </c>
      <c r="U386">
        <f t="shared" si="21"/>
        <v>1997</v>
      </c>
      <c r="V386" t="str">
        <f t="shared" si="22"/>
        <v>8/1997</v>
      </c>
      <c r="Y386" s="1">
        <v>35684</v>
      </c>
      <c r="Z386">
        <f t="shared" si="23"/>
        <v>28</v>
      </c>
    </row>
    <row r="387" spans="19:26" x14ac:dyDescent="0.2">
      <c r="S387" s="1">
        <v>35657</v>
      </c>
      <c r="T387">
        <f t="shared" ref="T387:T450" si="24">MONTH(S387)</f>
        <v>8</v>
      </c>
      <c r="U387">
        <f t="shared" ref="U387:U450" si="25">YEAR(S387)</f>
        <v>1997</v>
      </c>
      <c r="V387" t="str">
        <f t="shared" ref="V387:V450" si="26">T387&amp;"/"&amp;U387</f>
        <v>8/1997</v>
      </c>
      <c r="Y387" s="1">
        <v>35685</v>
      </c>
      <c r="Z387">
        <f t="shared" ref="Z387:Z450" si="27">Y387-S387</f>
        <v>28</v>
      </c>
    </row>
    <row r="388" spans="19:26" x14ac:dyDescent="0.2">
      <c r="S388" s="1">
        <v>35657</v>
      </c>
      <c r="T388">
        <f t="shared" si="24"/>
        <v>8</v>
      </c>
      <c r="U388">
        <f t="shared" si="25"/>
        <v>1997</v>
      </c>
      <c r="V388" t="str">
        <f t="shared" si="26"/>
        <v>8/1997</v>
      </c>
      <c r="Y388" s="1">
        <v>35685</v>
      </c>
      <c r="Z388">
        <f t="shared" si="27"/>
        <v>28</v>
      </c>
    </row>
    <row r="389" spans="19:26" x14ac:dyDescent="0.2">
      <c r="S389" s="1">
        <v>35660</v>
      </c>
      <c r="T389">
        <f t="shared" si="24"/>
        <v>8</v>
      </c>
      <c r="U389">
        <f t="shared" si="25"/>
        <v>1997</v>
      </c>
      <c r="V389" t="str">
        <f t="shared" si="26"/>
        <v>8/1997</v>
      </c>
      <c r="Y389" s="1">
        <v>35688</v>
      </c>
      <c r="Z389">
        <f t="shared" si="27"/>
        <v>28</v>
      </c>
    </row>
    <row r="390" spans="19:26" x14ac:dyDescent="0.2">
      <c r="S390" s="1">
        <v>35661</v>
      </c>
      <c r="T390">
        <f t="shared" si="24"/>
        <v>8</v>
      </c>
      <c r="U390">
        <f t="shared" si="25"/>
        <v>1997</v>
      </c>
      <c r="V390" t="str">
        <f t="shared" si="26"/>
        <v>8/1997</v>
      </c>
      <c r="Y390" s="1">
        <v>35689</v>
      </c>
      <c r="Z390">
        <f t="shared" si="27"/>
        <v>28</v>
      </c>
    </row>
    <row r="391" spans="19:26" x14ac:dyDescent="0.2">
      <c r="S391" s="1">
        <v>35661</v>
      </c>
      <c r="T391">
        <f t="shared" si="24"/>
        <v>8</v>
      </c>
      <c r="U391">
        <f t="shared" si="25"/>
        <v>1997</v>
      </c>
      <c r="V391" t="str">
        <f t="shared" si="26"/>
        <v>8/1997</v>
      </c>
      <c r="Y391" s="1">
        <v>35689</v>
      </c>
      <c r="Z391">
        <f t="shared" si="27"/>
        <v>28</v>
      </c>
    </row>
    <row r="392" spans="19:26" x14ac:dyDescent="0.2">
      <c r="S392" s="1">
        <v>35662</v>
      </c>
      <c r="T392">
        <f t="shared" si="24"/>
        <v>8</v>
      </c>
      <c r="U392">
        <f t="shared" si="25"/>
        <v>1997</v>
      </c>
      <c r="V392" t="str">
        <f t="shared" si="26"/>
        <v>8/1997</v>
      </c>
      <c r="Y392" s="1">
        <v>35690</v>
      </c>
      <c r="Z392">
        <f t="shared" si="27"/>
        <v>28</v>
      </c>
    </row>
    <row r="393" spans="19:26" x14ac:dyDescent="0.2">
      <c r="S393" s="1">
        <v>35662</v>
      </c>
      <c r="T393">
        <f t="shared" si="24"/>
        <v>8</v>
      </c>
      <c r="U393">
        <f t="shared" si="25"/>
        <v>1997</v>
      </c>
      <c r="V393" t="str">
        <f t="shared" si="26"/>
        <v>8/1997</v>
      </c>
      <c r="Y393" s="1">
        <v>35690</v>
      </c>
      <c r="Z393">
        <f t="shared" si="27"/>
        <v>28</v>
      </c>
    </row>
    <row r="394" spans="19:26" x14ac:dyDescent="0.2">
      <c r="S394" s="1">
        <v>35663</v>
      </c>
      <c r="T394">
        <f t="shared" si="24"/>
        <v>8</v>
      </c>
      <c r="U394">
        <f t="shared" si="25"/>
        <v>1997</v>
      </c>
      <c r="V394" t="str">
        <f t="shared" si="26"/>
        <v>8/1997</v>
      </c>
      <c r="Y394" s="1">
        <v>35691</v>
      </c>
      <c r="Z394">
        <f t="shared" si="27"/>
        <v>28</v>
      </c>
    </row>
    <row r="395" spans="19:26" x14ac:dyDescent="0.2">
      <c r="S395" s="1">
        <v>35664</v>
      </c>
      <c r="T395">
        <f t="shared" si="24"/>
        <v>8</v>
      </c>
      <c r="U395">
        <f t="shared" si="25"/>
        <v>1997</v>
      </c>
      <c r="V395" t="str">
        <f t="shared" si="26"/>
        <v>8/1997</v>
      </c>
      <c r="Y395" s="1">
        <v>35692</v>
      </c>
      <c r="Z395">
        <f t="shared" si="27"/>
        <v>28</v>
      </c>
    </row>
    <row r="396" spans="19:26" x14ac:dyDescent="0.2">
      <c r="S396" s="1">
        <v>35664</v>
      </c>
      <c r="T396">
        <f t="shared" si="24"/>
        <v>8</v>
      </c>
      <c r="U396">
        <f t="shared" si="25"/>
        <v>1997</v>
      </c>
      <c r="V396" t="str">
        <f t="shared" si="26"/>
        <v>8/1997</v>
      </c>
      <c r="Y396" s="1">
        <v>35692</v>
      </c>
      <c r="Z396">
        <f t="shared" si="27"/>
        <v>28</v>
      </c>
    </row>
    <row r="397" spans="19:26" x14ac:dyDescent="0.2">
      <c r="S397" s="1">
        <v>35667</v>
      </c>
      <c r="T397">
        <f t="shared" si="24"/>
        <v>8</v>
      </c>
      <c r="U397">
        <f t="shared" si="25"/>
        <v>1997</v>
      </c>
      <c r="V397" t="str">
        <f t="shared" si="26"/>
        <v>8/1997</v>
      </c>
      <c r="Y397" s="1">
        <v>35695</v>
      </c>
      <c r="Z397">
        <f t="shared" si="27"/>
        <v>28</v>
      </c>
    </row>
    <row r="398" spans="19:26" x14ac:dyDescent="0.2">
      <c r="S398" s="1">
        <v>35667</v>
      </c>
      <c r="T398">
        <f t="shared" si="24"/>
        <v>8</v>
      </c>
      <c r="U398">
        <f t="shared" si="25"/>
        <v>1997</v>
      </c>
      <c r="V398" t="str">
        <f t="shared" si="26"/>
        <v>8/1997</v>
      </c>
      <c r="Y398" s="1">
        <v>35695</v>
      </c>
      <c r="Z398">
        <f t="shared" si="27"/>
        <v>28</v>
      </c>
    </row>
    <row r="399" spans="19:26" x14ac:dyDescent="0.2">
      <c r="S399" s="1">
        <v>35668</v>
      </c>
      <c r="T399">
        <f t="shared" si="24"/>
        <v>8</v>
      </c>
      <c r="U399">
        <f t="shared" si="25"/>
        <v>1997</v>
      </c>
      <c r="V399" t="str">
        <f t="shared" si="26"/>
        <v>8/1997</v>
      </c>
      <c r="Y399" s="1">
        <v>35696</v>
      </c>
      <c r="Z399">
        <f t="shared" si="27"/>
        <v>28</v>
      </c>
    </row>
    <row r="400" spans="19:26" x14ac:dyDescent="0.2">
      <c r="S400" s="1">
        <v>35669</v>
      </c>
      <c r="T400">
        <f t="shared" si="24"/>
        <v>8</v>
      </c>
      <c r="U400">
        <f t="shared" si="25"/>
        <v>1997</v>
      </c>
      <c r="V400" t="str">
        <f t="shared" si="26"/>
        <v>8/1997</v>
      </c>
      <c r="Y400" s="1">
        <v>35711</v>
      </c>
      <c r="Z400">
        <f t="shared" si="27"/>
        <v>42</v>
      </c>
    </row>
    <row r="401" spans="19:26" x14ac:dyDescent="0.2">
      <c r="S401" s="1">
        <v>35669</v>
      </c>
      <c r="T401">
        <f t="shared" si="24"/>
        <v>8</v>
      </c>
      <c r="U401">
        <f t="shared" si="25"/>
        <v>1997</v>
      </c>
      <c r="V401" t="str">
        <f t="shared" si="26"/>
        <v>8/1997</v>
      </c>
      <c r="Y401" s="1">
        <v>35683</v>
      </c>
      <c r="Z401">
        <f t="shared" si="27"/>
        <v>14</v>
      </c>
    </row>
    <row r="402" spans="19:26" x14ac:dyDescent="0.2">
      <c r="S402" s="1">
        <v>35670</v>
      </c>
      <c r="T402">
        <f t="shared" si="24"/>
        <v>8</v>
      </c>
      <c r="U402">
        <f t="shared" si="25"/>
        <v>1997</v>
      </c>
      <c r="V402" t="str">
        <f t="shared" si="26"/>
        <v>8/1997</v>
      </c>
      <c r="Y402" s="1">
        <v>35712</v>
      </c>
      <c r="Z402">
        <f t="shared" si="27"/>
        <v>42</v>
      </c>
    </row>
    <row r="403" spans="19:26" x14ac:dyDescent="0.2">
      <c r="S403" s="1">
        <v>35670</v>
      </c>
      <c r="T403">
        <f t="shared" si="24"/>
        <v>8</v>
      </c>
      <c r="U403">
        <f t="shared" si="25"/>
        <v>1997</v>
      </c>
      <c r="V403" t="str">
        <f t="shared" si="26"/>
        <v>8/1997</v>
      </c>
      <c r="Y403" s="1">
        <v>35698</v>
      </c>
      <c r="Z403">
        <f t="shared" si="27"/>
        <v>28</v>
      </c>
    </row>
    <row r="404" spans="19:26" x14ac:dyDescent="0.2">
      <c r="S404" s="1">
        <v>35671</v>
      </c>
      <c r="T404">
        <f t="shared" si="24"/>
        <v>8</v>
      </c>
      <c r="U404">
        <f t="shared" si="25"/>
        <v>1997</v>
      </c>
      <c r="V404" t="str">
        <f t="shared" si="26"/>
        <v>8/1997</v>
      </c>
      <c r="Y404" s="1">
        <v>35699</v>
      </c>
      <c r="Z404">
        <f t="shared" si="27"/>
        <v>28</v>
      </c>
    </row>
    <row r="405" spans="19:26" x14ac:dyDescent="0.2">
      <c r="S405" s="1">
        <v>35674</v>
      </c>
      <c r="T405">
        <f t="shared" si="24"/>
        <v>9</v>
      </c>
      <c r="U405">
        <f t="shared" si="25"/>
        <v>1997</v>
      </c>
      <c r="V405" t="str">
        <f t="shared" si="26"/>
        <v>9/1997</v>
      </c>
      <c r="Y405" s="1">
        <v>35702</v>
      </c>
      <c r="Z405">
        <f t="shared" si="27"/>
        <v>28</v>
      </c>
    </row>
    <row r="406" spans="19:26" x14ac:dyDescent="0.2">
      <c r="S406" s="1">
        <v>35674</v>
      </c>
      <c r="T406">
        <f t="shared" si="24"/>
        <v>9</v>
      </c>
      <c r="U406">
        <f t="shared" si="25"/>
        <v>1997</v>
      </c>
      <c r="V406" t="str">
        <f t="shared" si="26"/>
        <v>9/1997</v>
      </c>
      <c r="Y406" s="1">
        <v>35702</v>
      </c>
      <c r="Z406">
        <f t="shared" si="27"/>
        <v>28</v>
      </c>
    </row>
    <row r="407" spans="19:26" x14ac:dyDescent="0.2">
      <c r="S407" s="1">
        <v>35675</v>
      </c>
      <c r="T407">
        <f t="shared" si="24"/>
        <v>9</v>
      </c>
      <c r="U407">
        <f t="shared" si="25"/>
        <v>1997</v>
      </c>
      <c r="V407" t="str">
        <f t="shared" si="26"/>
        <v>9/1997</v>
      </c>
      <c r="Y407" s="1">
        <v>35703</v>
      </c>
      <c r="Z407">
        <f t="shared" si="27"/>
        <v>28</v>
      </c>
    </row>
    <row r="408" spans="19:26" x14ac:dyDescent="0.2">
      <c r="S408" s="1">
        <v>35675</v>
      </c>
      <c r="T408">
        <f t="shared" si="24"/>
        <v>9</v>
      </c>
      <c r="U408">
        <f t="shared" si="25"/>
        <v>1997</v>
      </c>
      <c r="V408" t="str">
        <f t="shared" si="26"/>
        <v>9/1997</v>
      </c>
      <c r="Y408" s="1">
        <v>35703</v>
      </c>
      <c r="Z408">
        <f t="shared" si="27"/>
        <v>28</v>
      </c>
    </row>
    <row r="409" spans="19:26" x14ac:dyDescent="0.2">
      <c r="S409" s="1">
        <v>35676</v>
      </c>
      <c r="T409">
        <f t="shared" si="24"/>
        <v>9</v>
      </c>
      <c r="U409">
        <f t="shared" si="25"/>
        <v>1997</v>
      </c>
      <c r="V409" t="str">
        <f t="shared" si="26"/>
        <v>9/1997</v>
      </c>
      <c r="Y409" s="1">
        <v>35704</v>
      </c>
      <c r="Z409">
        <f t="shared" si="27"/>
        <v>28</v>
      </c>
    </row>
    <row r="410" spans="19:26" x14ac:dyDescent="0.2">
      <c r="S410" s="1">
        <v>35677</v>
      </c>
      <c r="T410">
        <f t="shared" si="24"/>
        <v>9</v>
      </c>
      <c r="U410">
        <f t="shared" si="25"/>
        <v>1997</v>
      </c>
      <c r="V410" t="str">
        <f t="shared" si="26"/>
        <v>9/1997</v>
      </c>
      <c r="Y410" s="1">
        <v>35705</v>
      </c>
      <c r="Z410">
        <f t="shared" si="27"/>
        <v>28</v>
      </c>
    </row>
    <row r="411" spans="19:26" x14ac:dyDescent="0.2">
      <c r="S411" s="1">
        <v>35677</v>
      </c>
      <c r="T411">
        <f t="shared" si="24"/>
        <v>9</v>
      </c>
      <c r="U411">
        <f t="shared" si="25"/>
        <v>1997</v>
      </c>
      <c r="V411" t="str">
        <f t="shared" si="26"/>
        <v>9/1997</v>
      </c>
      <c r="Y411" s="1">
        <v>35705</v>
      </c>
      <c r="Z411">
        <f t="shared" si="27"/>
        <v>28</v>
      </c>
    </row>
    <row r="412" spans="19:26" x14ac:dyDescent="0.2">
      <c r="S412" s="1">
        <v>35678</v>
      </c>
      <c r="T412">
        <f t="shared" si="24"/>
        <v>9</v>
      </c>
      <c r="U412">
        <f t="shared" si="25"/>
        <v>1997</v>
      </c>
      <c r="V412" t="str">
        <f t="shared" si="26"/>
        <v>9/1997</v>
      </c>
      <c r="Y412" s="1">
        <v>35706</v>
      </c>
      <c r="Z412">
        <f t="shared" si="27"/>
        <v>28</v>
      </c>
    </row>
    <row r="413" spans="19:26" x14ac:dyDescent="0.2">
      <c r="S413" s="1">
        <v>35678</v>
      </c>
      <c r="T413">
        <f t="shared" si="24"/>
        <v>9</v>
      </c>
      <c r="U413">
        <f t="shared" si="25"/>
        <v>1997</v>
      </c>
      <c r="V413" t="str">
        <f t="shared" si="26"/>
        <v>9/1997</v>
      </c>
      <c r="Y413" s="1">
        <v>35706</v>
      </c>
      <c r="Z413">
        <f t="shared" si="27"/>
        <v>28</v>
      </c>
    </row>
    <row r="414" spans="19:26" x14ac:dyDescent="0.2">
      <c r="S414" s="1">
        <v>35681</v>
      </c>
      <c r="T414">
        <f t="shared" si="24"/>
        <v>9</v>
      </c>
      <c r="U414">
        <f t="shared" si="25"/>
        <v>1997</v>
      </c>
      <c r="V414" t="str">
        <f t="shared" si="26"/>
        <v>9/1997</v>
      </c>
      <c r="Y414" s="1">
        <v>35709</v>
      </c>
      <c r="Z414">
        <f t="shared" si="27"/>
        <v>28</v>
      </c>
    </row>
    <row r="415" spans="19:26" x14ac:dyDescent="0.2">
      <c r="S415" s="1">
        <v>35682</v>
      </c>
      <c r="T415">
        <f t="shared" si="24"/>
        <v>9</v>
      </c>
      <c r="U415">
        <f t="shared" si="25"/>
        <v>1997</v>
      </c>
      <c r="V415" t="str">
        <f t="shared" si="26"/>
        <v>9/1997</v>
      </c>
      <c r="Y415" s="1">
        <v>35710</v>
      </c>
      <c r="Z415">
        <f t="shared" si="27"/>
        <v>28</v>
      </c>
    </row>
    <row r="416" spans="19:26" x14ac:dyDescent="0.2">
      <c r="S416" s="1">
        <v>35682</v>
      </c>
      <c r="T416">
        <f t="shared" si="24"/>
        <v>9</v>
      </c>
      <c r="U416">
        <f t="shared" si="25"/>
        <v>1997</v>
      </c>
      <c r="V416" t="str">
        <f t="shared" si="26"/>
        <v>9/1997</v>
      </c>
      <c r="Y416" s="1">
        <v>35710</v>
      </c>
      <c r="Z416">
        <f t="shared" si="27"/>
        <v>28</v>
      </c>
    </row>
    <row r="417" spans="19:26" x14ac:dyDescent="0.2">
      <c r="S417" s="1">
        <v>35683</v>
      </c>
      <c r="T417">
        <f t="shared" si="24"/>
        <v>9</v>
      </c>
      <c r="U417">
        <f t="shared" si="25"/>
        <v>1997</v>
      </c>
      <c r="V417" t="str">
        <f t="shared" si="26"/>
        <v>9/1997</v>
      </c>
      <c r="Y417" s="1">
        <v>35697</v>
      </c>
      <c r="Z417">
        <f t="shared" si="27"/>
        <v>14</v>
      </c>
    </row>
    <row r="418" spans="19:26" x14ac:dyDescent="0.2">
      <c r="S418" s="1">
        <v>35683</v>
      </c>
      <c r="T418">
        <f t="shared" si="24"/>
        <v>9</v>
      </c>
      <c r="U418">
        <f t="shared" si="25"/>
        <v>1997</v>
      </c>
      <c r="V418" t="str">
        <f t="shared" si="26"/>
        <v>9/1997</v>
      </c>
      <c r="Y418" s="1">
        <v>35711</v>
      </c>
      <c r="Z418">
        <f t="shared" si="27"/>
        <v>28</v>
      </c>
    </row>
    <row r="419" spans="19:26" x14ac:dyDescent="0.2">
      <c r="S419" s="1">
        <v>35684</v>
      </c>
      <c r="T419">
        <f t="shared" si="24"/>
        <v>9</v>
      </c>
      <c r="U419">
        <f t="shared" si="25"/>
        <v>1997</v>
      </c>
      <c r="V419" t="str">
        <f t="shared" si="26"/>
        <v>9/1997</v>
      </c>
      <c r="Y419" s="1">
        <v>35712</v>
      </c>
      <c r="Z419">
        <f t="shared" si="27"/>
        <v>28</v>
      </c>
    </row>
    <row r="420" spans="19:26" x14ac:dyDescent="0.2">
      <c r="S420" s="1">
        <v>35685</v>
      </c>
      <c r="T420">
        <f t="shared" si="24"/>
        <v>9</v>
      </c>
      <c r="U420">
        <f t="shared" si="25"/>
        <v>1997</v>
      </c>
      <c r="V420" t="str">
        <f t="shared" si="26"/>
        <v>9/1997</v>
      </c>
      <c r="Y420" s="1">
        <v>35713</v>
      </c>
      <c r="Z420">
        <f t="shared" si="27"/>
        <v>28</v>
      </c>
    </row>
    <row r="421" spans="19:26" x14ac:dyDescent="0.2">
      <c r="S421" s="1">
        <v>35685</v>
      </c>
      <c r="T421">
        <f t="shared" si="24"/>
        <v>9</v>
      </c>
      <c r="U421">
        <f t="shared" si="25"/>
        <v>1997</v>
      </c>
      <c r="V421" t="str">
        <f t="shared" si="26"/>
        <v>9/1997</v>
      </c>
      <c r="Y421" s="1">
        <v>35713</v>
      </c>
      <c r="Z421">
        <f t="shared" si="27"/>
        <v>28</v>
      </c>
    </row>
    <row r="422" spans="19:26" x14ac:dyDescent="0.2">
      <c r="S422" s="1">
        <v>35688</v>
      </c>
      <c r="T422">
        <f t="shared" si="24"/>
        <v>9</v>
      </c>
      <c r="U422">
        <f t="shared" si="25"/>
        <v>1997</v>
      </c>
      <c r="V422" t="str">
        <f t="shared" si="26"/>
        <v>9/1997</v>
      </c>
      <c r="Y422" s="1">
        <v>35716</v>
      </c>
      <c r="Z422">
        <f t="shared" si="27"/>
        <v>28</v>
      </c>
    </row>
    <row r="423" spans="19:26" x14ac:dyDescent="0.2">
      <c r="S423" s="1">
        <v>35688</v>
      </c>
      <c r="T423">
        <f t="shared" si="24"/>
        <v>9</v>
      </c>
      <c r="U423">
        <f t="shared" si="25"/>
        <v>1997</v>
      </c>
      <c r="V423" t="str">
        <f t="shared" si="26"/>
        <v>9/1997</v>
      </c>
      <c r="Y423" s="1">
        <v>35716</v>
      </c>
      <c r="Z423">
        <f t="shared" si="27"/>
        <v>28</v>
      </c>
    </row>
    <row r="424" spans="19:26" x14ac:dyDescent="0.2">
      <c r="S424" s="1">
        <v>35689</v>
      </c>
      <c r="T424">
        <f t="shared" si="24"/>
        <v>9</v>
      </c>
      <c r="U424">
        <f t="shared" si="25"/>
        <v>1997</v>
      </c>
      <c r="V424" t="str">
        <f t="shared" si="26"/>
        <v>9/1997</v>
      </c>
      <c r="Y424" s="1">
        <v>35717</v>
      </c>
      <c r="Z424">
        <f t="shared" si="27"/>
        <v>28</v>
      </c>
    </row>
    <row r="425" spans="19:26" x14ac:dyDescent="0.2">
      <c r="S425" s="1">
        <v>35690</v>
      </c>
      <c r="T425">
        <f t="shared" si="24"/>
        <v>9</v>
      </c>
      <c r="U425">
        <f t="shared" si="25"/>
        <v>1997</v>
      </c>
      <c r="V425" t="str">
        <f t="shared" si="26"/>
        <v>9/1997</v>
      </c>
      <c r="Y425" s="1">
        <v>35718</v>
      </c>
      <c r="Z425">
        <f t="shared" si="27"/>
        <v>28</v>
      </c>
    </row>
    <row r="426" spans="19:26" x14ac:dyDescent="0.2">
      <c r="S426" s="1">
        <v>35690</v>
      </c>
      <c r="T426">
        <f t="shared" si="24"/>
        <v>9</v>
      </c>
      <c r="U426">
        <f t="shared" si="25"/>
        <v>1997</v>
      </c>
      <c r="V426" t="str">
        <f t="shared" si="26"/>
        <v>9/1997</v>
      </c>
      <c r="Y426" s="1">
        <v>35704</v>
      </c>
      <c r="Z426">
        <f t="shared" si="27"/>
        <v>14</v>
      </c>
    </row>
    <row r="427" spans="19:26" x14ac:dyDescent="0.2">
      <c r="S427" s="1">
        <v>35691</v>
      </c>
      <c r="T427">
        <f t="shared" si="24"/>
        <v>9</v>
      </c>
      <c r="U427">
        <f t="shared" si="25"/>
        <v>1997</v>
      </c>
      <c r="V427" t="str">
        <f t="shared" si="26"/>
        <v>9/1997</v>
      </c>
      <c r="Y427" s="1">
        <v>35719</v>
      </c>
      <c r="Z427">
        <f t="shared" si="27"/>
        <v>28</v>
      </c>
    </row>
    <row r="428" spans="19:26" x14ac:dyDescent="0.2">
      <c r="S428" s="1">
        <v>35691</v>
      </c>
      <c r="T428">
        <f t="shared" si="24"/>
        <v>9</v>
      </c>
      <c r="U428">
        <f t="shared" si="25"/>
        <v>1997</v>
      </c>
      <c r="V428" t="str">
        <f t="shared" si="26"/>
        <v>9/1997</v>
      </c>
      <c r="Y428" s="1">
        <v>35719</v>
      </c>
      <c r="Z428">
        <f t="shared" si="27"/>
        <v>28</v>
      </c>
    </row>
    <row r="429" spans="19:26" x14ac:dyDescent="0.2">
      <c r="S429" s="1">
        <v>35692</v>
      </c>
      <c r="T429">
        <f t="shared" si="24"/>
        <v>9</v>
      </c>
      <c r="U429">
        <f t="shared" si="25"/>
        <v>1997</v>
      </c>
      <c r="V429" t="str">
        <f t="shared" si="26"/>
        <v>9/1997</v>
      </c>
      <c r="Y429" s="1">
        <v>35720</v>
      </c>
      <c r="Z429">
        <f t="shared" si="27"/>
        <v>28</v>
      </c>
    </row>
    <row r="430" spans="19:26" x14ac:dyDescent="0.2">
      <c r="S430" s="1">
        <v>35695</v>
      </c>
      <c r="T430">
        <f t="shared" si="24"/>
        <v>9</v>
      </c>
      <c r="U430">
        <f t="shared" si="25"/>
        <v>1997</v>
      </c>
      <c r="V430" t="str">
        <f t="shared" si="26"/>
        <v>9/1997</v>
      </c>
      <c r="Y430" s="1">
        <v>35723</v>
      </c>
      <c r="Z430">
        <f t="shared" si="27"/>
        <v>28</v>
      </c>
    </row>
    <row r="431" spans="19:26" x14ac:dyDescent="0.2">
      <c r="S431" s="1">
        <v>35695</v>
      </c>
      <c r="T431">
        <f t="shared" si="24"/>
        <v>9</v>
      </c>
      <c r="U431">
        <f t="shared" si="25"/>
        <v>1997</v>
      </c>
      <c r="V431" t="str">
        <f t="shared" si="26"/>
        <v>9/1997</v>
      </c>
      <c r="Y431" s="1">
        <v>35723</v>
      </c>
      <c r="Z431">
        <f t="shared" si="27"/>
        <v>28</v>
      </c>
    </row>
    <row r="432" spans="19:26" x14ac:dyDescent="0.2">
      <c r="S432" s="1">
        <v>35696</v>
      </c>
      <c r="T432">
        <f t="shared" si="24"/>
        <v>9</v>
      </c>
      <c r="U432">
        <f t="shared" si="25"/>
        <v>1997</v>
      </c>
      <c r="V432" t="str">
        <f t="shared" si="26"/>
        <v>9/1997</v>
      </c>
      <c r="Y432" s="1">
        <v>35724</v>
      </c>
      <c r="Z432">
        <f t="shared" si="27"/>
        <v>28</v>
      </c>
    </row>
    <row r="433" spans="19:26" x14ac:dyDescent="0.2">
      <c r="S433" s="1">
        <v>35696</v>
      </c>
      <c r="T433">
        <f t="shared" si="24"/>
        <v>9</v>
      </c>
      <c r="U433">
        <f t="shared" si="25"/>
        <v>1997</v>
      </c>
      <c r="V433" t="str">
        <f t="shared" si="26"/>
        <v>9/1997</v>
      </c>
      <c r="Y433" s="1">
        <v>35724</v>
      </c>
      <c r="Z433">
        <f t="shared" si="27"/>
        <v>28</v>
      </c>
    </row>
    <row r="434" spans="19:26" x14ac:dyDescent="0.2">
      <c r="S434" s="1">
        <v>35697</v>
      </c>
      <c r="T434">
        <f t="shared" si="24"/>
        <v>9</v>
      </c>
      <c r="U434">
        <f t="shared" si="25"/>
        <v>1997</v>
      </c>
      <c r="V434" t="str">
        <f t="shared" si="26"/>
        <v>9/1997</v>
      </c>
      <c r="Y434" s="1">
        <v>35725</v>
      </c>
      <c r="Z434">
        <f t="shared" si="27"/>
        <v>28</v>
      </c>
    </row>
    <row r="435" spans="19:26" x14ac:dyDescent="0.2">
      <c r="S435" s="1">
        <v>35698</v>
      </c>
      <c r="T435">
        <f t="shared" si="24"/>
        <v>9</v>
      </c>
      <c r="U435">
        <f t="shared" si="25"/>
        <v>1997</v>
      </c>
      <c r="V435" t="str">
        <f t="shared" si="26"/>
        <v>9/1997</v>
      </c>
      <c r="Y435" s="1">
        <v>35726</v>
      </c>
      <c r="Z435">
        <f t="shared" si="27"/>
        <v>28</v>
      </c>
    </row>
    <row r="436" spans="19:26" x14ac:dyDescent="0.2">
      <c r="S436" s="1">
        <v>35698</v>
      </c>
      <c r="T436">
        <f t="shared" si="24"/>
        <v>9</v>
      </c>
      <c r="U436">
        <f t="shared" si="25"/>
        <v>1997</v>
      </c>
      <c r="V436" t="str">
        <f t="shared" si="26"/>
        <v>9/1997</v>
      </c>
      <c r="Y436" s="1">
        <v>35726</v>
      </c>
      <c r="Z436">
        <f t="shared" si="27"/>
        <v>28</v>
      </c>
    </row>
    <row r="437" spans="19:26" x14ac:dyDescent="0.2">
      <c r="S437" s="1">
        <v>35699</v>
      </c>
      <c r="T437">
        <f t="shared" si="24"/>
        <v>9</v>
      </c>
      <c r="U437">
        <f t="shared" si="25"/>
        <v>1997</v>
      </c>
      <c r="V437" t="str">
        <f t="shared" si="26"/>
        <v>9/1997</v>
      </c>
      <c r="Y437" s="1">
        <v>35727</v>
      </c>
      <c r="Z437">
        <f t="shared" si="27"/>
        <v>28</v>
      </c>
    </row>
    <row r="438" spans="19:26" x14ac:dyDescent="0.2">
      <c r="S438" s="1">
        <v>35699</v>
      </c>
      <c r="T438">
        <f t="shared" si="24"/>
        <v>9</v>
      </c>
      <c r="U438">
        <f t="shared" si="25"/>
        <v>1997</v>
      </c>
      <c r="V438" t="str">
        <f t="shared" si="26"/>
        <v>9/1997</v>
      </c>
      <c r="Y438" s="1">
        <v>35727</v>
      </c>
      <c r="Z438">
        <f t="shared" si="27"/>
        <v>28</v>
      </c>
    </row>
    <row r="439" spans="19:26" x14ac:dyDescent="0.2">
      <c r="S439" s="1">
        <v>35702</v>
      </c>
      <c r="T439">
        <f t="shared" si="24"/>
        <v>9</v>
      </c>
      <c r="U439">
        <f t="shared" si="25"/>
        <v>1997</v>
      </c>
      <c r="V439" t="str">
        <f t="shared" si="26"/>
        <v>9/1997</v>
      </c>
      <c r="Y439" s="1">
        <v>35716</v>
      </c>
      <c r="Z439">
        <f t="shared" si="27"/>
        <v>14</v>
      </c>
    </row>
    <row r="440" spans="19:26" x14ac:dyDescent="0.2">
      <c r="S440" s="1">
        <v>35703</v>
      </c>
      <c r="T440">
        <f t="shared" si="24"/>
        <v>9</v>
      </c>
      <c r="U440">
        <f t="shared" si="25"/>
        <v>1997</v>
      </c>
      <c r="V440" t="str">
        <f t="shared" si="26"/>
        <v>9/1997</v>
      </c>
      <c r="Y440" s="1">
        <v>35731</v>
      </c>
      <c r="Z440">
        <f t="shared" si="27"/>
        <v>28</v>
      </c>
    </row>
    <row r="441" spans="19:26" x14ac:dyDescent="0.2">
      <c r="S441" s="1">
        <v>35703</v>
      </c>
      <c r="T441">
        <f t="shared" si="24"/>
        <v>9</v>
      </c>
      <c r="U441">
        <f t="shared" si="25"/>
        <v>1997</v>
      </c>
      <c r="V441" t="str">
        <f t="shared" si="26"/>
        <v>9/1997</v>
      </c>
      <c r="Y441" s="1">
        <v>35731</v>
      </c>
      <c r="Z441">
        <f t="shared" si="27"/>
        <v>28</v>
      </c>
    </row>
    <row r="442" spans="19:26" x14ac:dyDescent="0.2">
      <c r="S442" s="1">
        <v>35704</v>
      </c>
      <c r="T442">
        <f t="shared" si="24"/>
        <v>10</v>
      </c>
      <c r="U442">
        <f t="shared" si="25"/>
        <v>1997</v>
      </c>
      <c r="V442" t="str">
        <f t="shared" si="26"/>
        <v>10/1997</v>
      </c>
      <c r="Y442" s="1">
        <v>35718</v>
      </c>
      <c r="Z442">
        <f t="shared" si="27"/>
        <v>14</v>
      </c>
    </row>
    <row r="443" spans="19:26" x14ac:dyDescent="0.2">
      <c r="S443" s="1">
        <v>35704</v>
      </c>
      <c r="T443">
        <f t="shared" si="24"/>
        <v>10</v>
      </c>
      <c r="U443">
        <f t="shared" si="25"/>
        <v>1997</v>
      </c>
      <c r="V443" t="str">
        <f t="shared" si="26"/>
        <v>10/1997</v>
      </c>
      <c r="Y443" s="1">
        <v>35732</v>
      </c>
      <c r="Z443">
        <f t="shared" si="27"/>
        <v>28</v>
      </c>
    </row>
    <row r="444" spans="19:26" x14ac:dyDescent="0.2">
      <c r="S444" s="1">
        <v>35705</v>
      </c>
      <c r="T444">
        <f t="shared" si="24"/>
        <v>10</v>
      </c>
      <c r="U444">
        <f t="shared" si="25"/>
        <v>1997</v>
      </c>
      <c r="V444" t="str">
        <f t="shared" si="26"/>
        <v>10/1997</v>
      </c>
      <c r="Y444" s="1">
        <v>35733</v>
      </c>
      <c r="Z444">
        <f t="shared" si="27"/>
        <v>28</v>
      </c>
    </row>
    <row r="445" spans="19:26" x14ac:dyDescent="0.2">
      <c r="S445" s="1">
        <v>35706</v>
      </c>
      <c r="T445">
        <f t="shared" si="24"/>
        <v>10</v>
      </c>
      <c r="U445">
        <f t="shared" si="25"/>
        <v>1997</v>
      </c>
      <c r="V445" t="str">
        <f t="shared" si="26"/>
        <v>10/1997</v>
      </c>
      <c r="Y445" s="1">
        <v>35748</v>
      </c>
      <c r="Z445">
        <f t="shared" si="27"/>
        <v>42</v>
      </c>
    </row>
    <row r="446" spans="19:26" x14ac:dyDescent="0.2">
      <c r="S446" s="1">
        <v>35706</v>
      </c>
      <c r="T446">
        <f t="shared" si="24"/>
        <v>10</v>
      </c>
      <c r="U446">
        <f t="shared" si="25"/>
        <v>1997</v>
      </c>
      <c r="V446" t="str">
        <f t="shared" si="26"/>
        <v>10/1997</v>
      </c>
      <c r="Y446" s="1">
        <v>35734</v>
      </c>
      <c r="Z446">
        <f t="shared" si="27"/>
        <v>28</v>
      </c>
    </row>
    <row r="447" spans="19:26" x14ac:dyDescent="0.2">
      <c r="S447" s="1">
        <v>35709</v>
      </c>
      <c r="T447">
        <f t="shared" si="24"/>
        <v>10</v>
      </c>
      <c r="U447">
        <f t="shared" si="25"/>
        <v>1997</v>
      </c>
      <c r="V447" t="str">
        <f t="shared" si="26"/>
        <v>10/1997</v>
      </c>
      <c r="Y447" s="1">
        <v>35723</v>
      </c>
      <c r="Z447">
        <f t="shared" si="27"/>
        <v>14</v>
      </c>
    </row>
    <row r="448" spans="19:26" x14ac:dyDescent="0.2">
      <c r="S448" s="1">
        <v>35709</v>
      </c>
      <c r="T448">
        <f t="shared" si="24"/>
        <v>10</v>
      </c>
      <c r="U448">
        <f t="shared" si="25"/>
        <v>1997</v>
      </c>
      <c r="V448" t="str">
        <f t="shared" si="26"/>
        <v>10/1997</v>
      </c>
      <c r="Y448" s="1">
        <v>35737</v>
      </c>
      <c r="Z448">
        <f t="shared" si="27"/>
        <v>28</v>
      </c>
    </row>
    <row r="449" spans="19:26" x14ac:dyDescent="0.2">
      <c r="S449" s="1">
        <v>35710</v>
      </c>
      <c r="T449">
        <f t="shared" si="24"/>
        <v>10</v>
      </c>
      <c r="U449">
        <f t="shared" si="25"/>
        <v>1997</v>
      </c>
      <c r="V449" t="str">
        <f t="shared" si="26"/>
        <v>10/1997</v>
      </c>
      <c r="Y449" s="1">
        <v>35752</v>
      </c>
      <c r="Z449">
        <f t="shared" si="27"/>
        <v>42</v>
      </c>
    </row>
    <row r="450" spans="19:26" x14ac:dyDescent="0.2">
      <c r="S450" s="1">
        <v>35711</v>
      </c>
      <c r="T450">
        <f t="shared" si="24"/>
        <v>10</v>
      </c>
      <c r="U450">
        <f t="shared" si="25"/>
        <v>1997</v>
      </c>
      <c r="V450" t="str">
        <f t="shared" si="26"/>
        <v>10/1997</v>
      </c>
      <c r="Y450" s="1">
        <v>35753</v>
      </c>
      <c r="Z450">
        <f t="shared" si="27"/>
        <v>42</v>
      </c>
    </row>
    <row r="451" spans="19:26" x14ac:dyDescent="0.2">
      <c r="S451" s="1">
        <v>35711</v>
      </c>
      <c r="T451">
        <f t="shared" ref="T451:T514" si="28">MONTH(S451)</f>
        <v>10</v>
      </c>
      <c r="U451">
        <f t="shared" ref="U451:U514" si="29">YEAR(S451)</f>
        <v>1997</v>
      </c>
      <c r="V451" t="str">
        <f t="shared" ref="V451:V514" si="30">T451&amp;"/"&amp;U451</f>
        <v>10/1997</v>
      </c>
      <c r="Y451" s="1">
        <v>35739</v>
      </c>
      <c r="Z451">
        <f t="shared" ref="Z451:Z514" si="31">Y451-S451</f>
        <v>28</v>
      </c>
    </row>
    <row r="452" spans="19:26" x14ac:dyDescent="0.2">
      <c r="S452" s="1">
        <v>35712</v>
      </c>
      <c r="T452">
        <f t="shared" si="28"/>
        <v>10</v>
      </c>
      <c r="U452">
        <f t="shared" si="29"/>
        <v>1997</v>
      </c>
      <c r="V452" t="str">
        <f t="shared" si="30"/>
        <v>10/1997</v>
      </c>
      <c r="Y452" s="1">
        <v>35740</v>
      </c>
      <c r="Z452">
        <f t="shared" si="31"/>
        <v>28</v>
      </c>
    </row>
    <row r="453" spans="19:26" x14ac:dyDescent="0.2">
      <c r="S453" s="1">
        <v>35712</v>
      </c>
      <c r="T453">
        <f t="shared" si="28"/>
        <v>10</v>
      </c>
      <c r="U453">
        <f t="shared" si="29"/>
        <v>1997</v>
      </c>
      <c r="V453" t="str">
        <f t="shared" si="30"/>
        <v>10/1997</v>
      </c>
      <c r="Y453" s="1">
        <v>35740</v>
      </c>
      <c r="Z453">
        <f t="shared" si="31"/>
        <v>28</v>
      </c>
    </row>
    <row r="454" spans="19:26" x14ac:dyDescent="0.2">
      <c r="S454" s="1">
        <v>35713</v>
      </c>
      <c r="T454">
        <f t="shared" si="28"/>
        <v>10</v>
      </c>
      <c r="U454">
        <f t="shared" si="29"/>
        <v>1997</v>
      </c>
      <c r="V454" t="str">
        <f t="shared" si="30"/>
        <v>10/1997</v>
      </c>
      <c r="Y454" s="1">
        <v>35741</v>
      </c>
      <c r="Z454">
        <f t="shared" si="31"/>
        <v>28</v>
      </c>
    </row>
    <row r="455" spans="19:26" x14ac:dyDescent="0.2">
      <c r="S455" s="1">
        <v>35716</v>
      </c>
      <c r="T455">
        <f t="shared" si="28"/>
        <v>10</v>
      </c>
      <c r="U455">
        <f t="shared" si="29"/>
        <v>1997</v>
      </c>
      <c r="V455" t="str">
        <f t="shared" si="30"/>
        <v>10/1997</v>
      </c>
      <c r="Y455" s="1">
        <v>35730</v>
      </c>
      <c r="Z455">
        <f t="shared" si="31"/>
        <v>14</v>
      </c>
    </row>
    <row r="456" spans="19:26" x14ac:dyDescent="0.2">
      <c r="S456" s="1">
        <v>35716</v>
      </c>
      <c r="T456">
        <f t="shared" si="28"/>
        <v>10</v>
      </c>
      <c r="U456">
        <f t="shared" si="29"/>
        <v>1997</v>
      </c>
      <c r="V456" t="str">
        <f t="shared" si="30"/>
        <v>10/1997</v>
      </c>
      <c r="Y456" s="1">
        <v>35758</v>
      </c>
      <c r="Z456">
        <f t="shared" si="31"/>
        <v>42</v>
      </c>
    </row>
    <row r="457" spans="19:26" x14ac:dyDescent="0.2">
      <c r="S457" s="1">
        <v>35717</v>
      </c>
      <c r="T457">
        <f t="shared" si="28"/>
        <v>10</v>
      </c>
      <c r="U457">
        <f t="shared" si="29"/>
        <v>1997</v>
      </c>
      <c r="V457" t="str">
        <f t="shared" si="30"/>
        <v>10/1997</v>
      </c>
      <c r="Y457" s="1">
        <v>35745</v>
      </c>
      <c r="Z457">
        <f t="shared" si="31"/>
        <v>28</v>
      </c>
    </row>
    <row r="458" spans="19:26" x14ac:dyDescent="0.2">
      <c r="S458" s="1">
        <v>35717</v>
      </c>
      <c r="T458">
        <f t="shared" si="28"/>
        <v>10</v>
      </c>
      <c r="U458">
        <f t="shared" si="29"/>
        <v>1997</v>
      </c>
      <c r="V458" t="str">
        <f t="shared" si="30"/>
        <v>10/1997</v>
      </c>
      <c r="Y458" s="1">
        <v>35745</v>
      </c>
      <c r="Z458">
        <f t="shared" si="31"/>
        <v>28</v>
      </c>
    </row>
    <row r="459" spans="19:26" x14ac:dyDescent="0.2">
      <c r="S459" s="1">
        <v>35718</v>
      </c>
      <c r="T459">
        <f t="shared" si="28"/>
        <v>10</v>
      </c>
      <c r="U459">
        <f t="shared" si="29"/>
        <v>1997</v>
      </c>
      <c r="V459" t="str">
        <f t="shared" si="30"/>
        <v>10/1997</v>
      </c>
      <c r="Y459" s="1">
        <v>35746</v>
      </c>
      <c r="Z459">
        <f t="shared" si="31"/>
        <v>28</v>
      </c>
    </row>
    <row r="460" spans="19:26" x14ac:dyDescent="0.2">
      <c r="S460" s="1">
        <v>35719</v>
      </c>
      <c r="T460">
        <f t="shared" si="28"/>
        <v>10</v>
      </c>
      <c r="U460">
        <f t="shared" si="29"/>
        <v>1997</v>
      </c>
      <c r="V460" t="str">
        <f t="shared" si="30"/>
        <v>10/1997</v>
      </c>
      <c r="Y460" s="1">
        <v>35747</v>
      </c>
      <c r="Z460">
        <f t="shared" si="31"/>
        <v>28</v>
      </c>
    </row>
    <row r="461" spans="19:26" x14ac:dyDescent="0.2">
      <c r="S461" s="1">
        <v>35719</v>
      </c>
      <c r="T461">
        <f t="shared" si="28"/>
        <v>10</v>
      </c>
      <c r="U461">
        <f t="shared" si="29"/>
        <v>1997</v>
      </c>
      <c r="V461" t="str">
        <f t="shared" si="30"/>
        <v>10/1997</v>
      </c>
      <c r="Y461" s="1">
        <v>35733</v>
      </c>
      <c r="Z461">
        <f t="shared" si="31"/>
        <v>14</v>
      </c>
    </row>
    <row r="462" spans="19:26" x14ac:dyDescent="0.2">
      <c r="S462" s="1">
        <v>35720</v>
      </c>
      <c r="T462">
        <f t="shared" si="28"/>
        <v>10</v>
      </c>
      <c r="U462">
        <f t="shared" si="29"/>
        <v>1997</v>
      </c>
      <c r="V462" t="str">
        <f t="shared" si="30"/>
        <v>10/1997</v>
      </c>
      <c r="Y462" s="1">
        <v>35762</v>
      </c>
      <c r="Z462">
        <f t="shared" si="31"/>
        <v>42</v>
      </c>
    </row>
    <row r="463" spans="19:26" x14ac:dyDescent="0.2">
      <c r="S463" s="1">
        <v>35720</v>
      </c>
      <c r="T463">
        <f t="shared" si="28"/>
        <v>10</v>
      </c>
      <c r="U463">
        <f t="shared" si="29"/>
        <v>1997</v>
      </c>
      <c r="V463" t="str">
        <f t="shared" si="30"/>
        <v>10/1997</v>
      </c>
      <c r="Y463" s="1">
        <v>35748</v>
      </c>
      <c r="Z463">
        <f t="shared" si="31"/>
        <v>28</v>
      </c>
    </row>
    <row r="464" spans="19:26" x14ac:dyDescent="0.2">
      <c r="S464" s="1">
        <v>35723</v>
      </c>
      <c r="T464">
        <f t="shared" si="28"/>
        <v>10</v>
      </c>
      <c r="U464">
        <f t="shared" si="29"/>
        <v>1997</v>
      </c>
      <c r="V464" t="str">
        <f t="shared" si="30"/>
        <v>10/1997</v>
      </c>
      <c r="Y464" s="1">
        <v>35751</v>
      </c>
      <c r="Z464">
        <f t="shared" si="31"/>
        <v>28</v>
      </c>
    </row>
    <row r="465" spans="19:26" x14ac:dyDescent="0.2">
      <c r="S465" s="1">
        <v>35724</v>
      </c>
      <c r="T465">
        <f t="shared" si="28"/>
        <v>10</v>
      </c>
      <c r="U465">
        <f t="shared" si="29"/>
        <v>1997</v>
      </c>
      <c r="V465" t="str">
        <f t="shared" si="30"/>
        <v>10/1997</v>
      </c>
      <c r="Y465" s="1">
        <v>35766</v>
      </c>
      <c r="Z465">
        <f t="shared" si="31"/>
        <v>42</v>
      </c>
    </row>
    <row r="466" spans="19:26" x14ac:dyDescent="0.2">
      <c r="S466" s="1">
        <v>35724</v>
      </c>
      <c r="T466">
        <f t="shared" si="28"/>
        <v>10</v>
      </c>
      <c r="U466">
        <f t="shared" si="29"/>
        <v>1997</v>
      </c>
      <c r="V466" t="str">
        <f t="shared" si="30"/>
        <v>10/1997</v>
      </c>
      <c r="Y466" s="1">
        <v>35752</v>
      </c>
      <c r="Z466">
        <f t="shared" si="31"/>
        <v>28</v>
      </c>
    </row>
    <row r="467" spans="19:26" x14ac:dyDescent="0.2">
      <c r="S467" s="1">
        <v>35725</v>
      </c>
      <c r="T467">
        <f t="shared" si="28"/>
        <v>10</v>
      </c>
      <c r="U467">
        <f t="shared" si="29"/>
        <v>1997</v>
      </c>
      <c r="V467" t="str">
        <f t="shared" si="30"/>
        <v>10/1997</v>
      </c>
      <c r="Y467" s="1">
        <v>35753</v>
      </c>
      <c r="Z467">
        <f t="shared" si="31"/>
        <v>28</v>
      </c>
    </row>
    <row r="468" spans="19:26" x14ac:dyDescent="0.2">
      <c r="S468" s="1">
        <v>35725</v>
      </c>
      <c r="T468">
        <f t="shared" si="28"/>
        <v>10</v>
      </c>
      <c r="U468">
        <f t="shared" si="29"/>
        <v>1997</v>
      </c>
      <c r="V468" t="str">
        <f t="shared" si="30"/>
        <v>10/1997</v>
      </c>
      <c r="Y468" s="1">
        <v>35753</v>
      </c>
      <c r="Z468">
        <f t="shared" si="31"/>
        <v>28</v>
      </c>
    </row>
    <row r="469" spans="19:26" x14ac:dyDescent="0.2">
      <c r="S469" s="1">
        <v>35726</v>
      </c>
      <c r="T469">
        <f t="shared" si="28"/>
        <v>10</v>
      </c>
      <c r="U469">
        <f t="shared" si="29"/>
        <v>1997</v>
      </c>
      <c r="V469" t="str">
        <f t="shared" si="30"/>
        <v>10/1997</v>
      </c>
      <c r="Y469" s="1">
        <v>35740</v>
      </c>
      <c r="Z469">
        <f t="shared" si="31"/>
        <v>14</v>
      </c>
    </row>
    <row r="470" spans="19:26" x14ac:dyDescent="0.2">
      <c r="S470" s="1">
        <v>35727</v>
      </c>
      <c r="T470">
        <f t="shared" si="28"/>
        <v>10</v>
      </c>
      <c r="U470">
        <f t="shared" si="29"/>
        <v>1997</v>
      </c>
      <c r="V470" t="str">
        <f t="shared" si="30"/>
        <v>10/1997</v>
      </c>
      <c r="Y470" s="1">
        <v>35755</v>
      </c>
      <c r="Z470">
        <f t="shared" si="31"/>
        <v>28</v>
      </c>
    </row>
    <row r="471" spans="19:26" x14ac:dyDescent="0.2">
      <c r="S471" s="1">
        <v>35727</v>
      </c>
      <c r="T471">
        <f t="shared" si="28"/>
        <v>10</v>
      </c>
      <c r="U471">
        <f t="shared" si="29"/>
        <v>1997</v>
      </c>
      <c r="V471" t="str">
        <f t="shared" si="30"/>
        <v>10/1997</v>
      </c>
      <c r="Y471" s="1">
        <v>35755</v>
      </c>
      <c r="Z471">
        <f t="shared" si="31"/>
        <v>28</v>
      </c>
    </row>
    <row r="472" spans="19:26" x14ac:dyDescent="0.2">
      <c r="S472" s="1">
        <v>35730</v>
      </c>
      <c r="T472">
        <f t="shared" si="28"/>
        <v>10</v>
      </c>
      <c r="U472">
        <f t="shared" si="29"/>
        <v>1997</v>
      </c>
      <c r="V472" t="str">
        <f t="shared" si="30"/>
        <v>10/1997</v>
      </c>
      <c r="Y472" s="1">
        <v>35758</v>
      </c>
      <c r="Z472">
        <f t="shared" si="31"/>
        <v>28</v>
      </c>
    </row>
    <row r="473" spans="19:26" x14ac:dyDescent="0.2">
      <c r="S473" s="1">
        <v>35730</v>
      </c>
      <c r="T473">
        <f t="shared" si="28"/>
        <v>10</v>
      </c>
      <c r="U473">
        <f t="shared" si="29"/>
        <v>1997</v>
      </c>
      <c r="V473" t="str">
        <f t="shared" si="30"/>
        <v>10/1997</v>
      </c>
      <c r="Y473" s="1">
        <v>35758</v>
      </c>
      <c r="Z473">
        <f t="shared" si="31"/>
        <v>28</v>
      </c>
    </row>
    <row r="474" spans="19:26" x14ac:dyDescent="0.2">
      <c r="S474" s="1">
        <v>35731</v>
      </c>
      <c r="T474">
        <f t="shared" si="28"/>
        <v>10</v>
      </c>
      <c r="U474">
        <f t="shared" si="29"/>
        <v>1997</v>
      </c>
      <c r="V474" t="str">
        <f t="shared" si="30"/>
        <v>10/1997</v>
      </c>
      <c r="Y474" s="1">
        <v>35745</v>
      </c>
      <c r="Z474">
        <f t="shared" si="31"/>
        <v>14</v>
      </c>
    </row>
    <row r="475" spans="19:26" x14ac:dyDescent="0.2">
      <c r="S475" s="1">
        <v>35732</v>
      </c>
      <c r="T475">
        <f t="shared" si="28"/>
        <v>10</v>
      </c>
      <c r="U475">
        <f t="shared" si="29"/>
        <v>1997</v>
      </c>
      <c r="V475" t="str">
        <f t="shared" si="30"/>
        <v>10/1997</v>
      </c>
      <c r="Y475" s="1">
        <v>35760</v>
      </c>
      <c r="Z475">
        <f t="shared" si="31"/>
        <v>28</v>
      </c>
    </row>
    <row r="476" spans="19:26" x14ac:dyDescent="0.2">
      <c r="S476" s="1">
        <v>35732</v>
      </c>
      <c r="T476">
        <f t="shared" si="28"/>
        <v>10</v>
      </c>
      <c r="U476">
        <f t="shared" si="29"/>
        <v>1997</v>
      </c>
      <c r="V476" t="str">
        <f t="shared" si="30"/>
        <v>10/1997</v>
      </c>
      <c r="Y476" s="1">
        <v>35774</v>
      </c>
      <c r="Z476">
        <f t="shared" si="31"/>
        <v>42</v>
      </c>
    </row>
    <row r="477" spans="19:26" x14ac:dyDescent="0.2">
      <c r="S477" s="1">
        <v>35733</v>
      </c>
      <c r="T477">
        <f t="shared" si="28"/>
        <v>10</v>
      </c>
      <c r="U477">
        <f t="shared" si="29"/>
        <v>1997</v>
      </c>
      <c r="V477" t="str">
        <f t="shared" si="30"/>
        <v>10/1997</v>
      </c>
      <c r="Y477" s="1">
        <v>35761</v>
      </c>
      <c r="Z477">
        <f t="shared" si="31"/>
        <v>28</v>
      </c>
    </row>
    <row r="478" spans="19:26" x14ac:dyDescent="0.2">
      <c r="S478" s="1">
        <v>35733</v>
      </c>
      <c r="T478">
        <f t="shared" si="28"/>
        <v>10</v>
      </c>
      <c r="U478">
        <f t="shared" si="29"/>
        <v>1997</v>
      </c>
      <c r="V478" t="str">
        <f t="shared" si="30"/>
        <v>10/1997</v>
      </c>
      <c r="Y478" s="1">
        <v>35775</v>
      </c>
      <c r="Z478">
        <f t="shared" si="31"/>
        <v>42</v>
      </c>
    </row>
    <row r="479" spans="19:26" x14ac:dyDescent="0.2">
      <c r="S479" s="1">
        <v>35734</v>
      </c>
      <c r="T479">
        <f t="shared" si="28"/>
        <v>10</v>
      </c>
      <c r="U479">
        <f t="shared" si="29"/>
        <v>1997</v>
      </c>
      <c r="V479" t="str">
        <f t="shared" si="30"/>
        <v>10/1997</v>
      </c>
      <c r="Y479" s="1">
        <v>35762</v>
      </c>
      <c r="Z479">
        <f t="shared" si="31"/>
        <v>28</v>
      </c>
    </row>
    <row r="480" spans="19:26" x14ac:dyDescent="0.2">
      <c r="S480" s="1">
        <v>35737</v>
      </c>
      <c r="T480">
        <f t="shared" si="28"/>
        <v>11</v>
      </c>
      <c r="U480">
        <f t="shared" si="29"/>
        <v>1997</v>
      </c>
      <c r="V480" t="str">
        <f t="shared" si="30"/>
        <v>11/1997</v>
      </c>
      <c r="Y480" s="1">
        <v>35751</v>
      </c>
      <c r="Z480">
        <f t="shared" si="31"/>
        <v>14</v>
      </c>
    </row>
    <row r="481" spans="19:26" x14ac:dyDescent="0.2">
      <c r="S481" s="1">
        <v>35737</v>
      </c>
      <c r="T481">
        <f t="shared" si="28"/>
        <v>11</v>
      </c>
      <c r="U481">
        <f t="shared" si="29"/>
        <v>1997</v>
      </c>
      <c r="V481" t="str">
        <f t="shared" si="30"/>
        <v>11/1997</v>
      </c>
      <c r="Y481" s="1">
        <v>35765</v>
      </c>
      <c r="Z481">
        <f t="shared" si="31"/>
        <v>28</v>
      </c>
    </row>
    <row r="482" spans="19:26" x14ac:dyDescent="0.2">
      <c r="S482" s="1">
        <v>35738</v>
      </c>
      <c r="T482">
        <f t="shared" si="28"/>
        <v>11</v>
      </c>
      <c r="U482">
        <f t="shared" si="29"/>
        <v>1997</v>
      </c>
      <c r="V482" t="str">
        <f t="shared" si="30"/>
        <v>11/1997</v>
      </c>
      <c r="Y482" s="1">
        <v>35766</v>
      </c>
      <c r="Z482">
        <f t="shared" si="31"/>
        <v>28</v>
      </c>
    </row>
    <row r="483" spans="19:26" x14ac:dyDescent="0.2">
      <c r="S483" s="1">
        <v>35738</v>
      </c>
      <c r="T483">
        <f t="shared" si="28"/>
        <v>11</v>
      </c>
      <c r="U483">
        <f t="shared" si="29"/>
        <v>1997</v>
      </c>
      <c r="V483" t="str">
        <f t="shared" si="30"/>
        <v>11/1997</v>
      </c>
      <c r="Y483" s="1">
        <v>35780</v>
      </c>
      <c r="Z483">
        <f t="shared" si="31"/>
        <v>42</v>
      </c>
    </row>
    <row r="484" spans="19:26" x14ac:dyDescent="0.2">
      <c r="S484" s="1">
        <v>35739</v>
      </c>
      <c r="T484">
        <f t="shared" si="28"/>
        <v>11</v>
      </c>
      <c r="U484">
        <f t="shared" si="29"/>
        <v>1997</v>
      </c>
      <c r="V484" t="str">
        <f t="shared" si="30"/>
        <v>11/1997</v>
      </c>
      <c r="Y484" s="1">
        <v>35767</v>
      </c>
      <c r="Z484">
        <f t="shared" si="31"/>
        <v>28</v>
      </c>
    </row>
    <row r="485" spans="19:26" x14ac:dyDescent="0.2">
      <c r="S485" s="1">
        <v>35740</v>
      </c>
      <c r="T485">
        <f t="shared" si="28"/>
        <v>11</v>
      </c>
      <c r="U485">
        <f t="shared" si="29"/>
        <v>1997</v>
      </c>
      <c r="V485" t="str">
        <f t="shared" si="30"/>
        <v>11/1997</v>
      </c>
      <c r="Y485" s="1">
        <v>35768</v>
      </c>
      <c r="Z485">
        <f t="shared" si="31"/>
        <v>28</v>
      </c>
    </row>
    <row r="486" spans="19:26" x14ac:dyDescent="0.2">
      <c r="S486" s="1">
        <v>35740</v>
      </c>
      <c r="T486">
        <f t="shared" si="28"/>
        <v>11</v>
      </c>
      <c r="U486">
        <f t="shared" si="29"/>
        <v>1997</v>
      </c>
      <c r="V486" t="str">
        <f t="shared" si="30"/>
        <v>11/1997</v>
      </c>
      <c r="Y486" s="1">
        <v>35768</v>
      </c>
      <c r="Z486">
        <f t="shared" si="31"/>
        <v>28</v>
      </c>
    </row>
    <row r="487" spans="19:26" x14ac:dyDescent="0.2">
      <c r="S487" s="1">
        <v>35741</v>
      </c>
      <c r="T487">
        <f t="shared" si="28"/>
        <v>11</v>
      </c>
      <c r="U487">
        <f t="shared" si="29"/>
        <v>1997</v>
      </c>
      <c r="V487" t="str">
        <f t="shared" si="30"/>
        <v>11/1997</v>
      </c>
      <c r="Y487" s="1">
        <v>35769</v>
      </c>
      <c r="Z487">
        <f t="shared" si="31"/>
        <v>28</v>
      </c>
    </row>
    <row r="488" spans="19:26" x14ac:dyDescent="0.2">
      <c r="S488" s="1">
        <v>35741</v>
      </c>
      <c r="T488">
        <f t="shared" si="28"/>
        <v>11</v>
      </c>
      <c r="U488">
        <f t="shared" si="29"/>
        <v>1997</v>
      </c>
      <c r="V488" t="str">
        <f t="shared" si="30"/>
        <v>11/1997</v>
      </c>
      <c r="Y488" s="1">
        <v>35769</v>
      </c>
      <c r="Z488">
        <f t="shared" si="31"/>
        <v>28</v>
      </c>
    </row>
    <row r="489" spans="19:26" x14ac:dyDescent="0.2">
      <c r="S489" s="1">
        <v>35744</v>
      </c>
      <c r="T489">
        <f t="shared" si="28"/>
        <v>11</v>
      </c>
      <c r="U489">
        <f t="shared" si="29"/>
        <v>1997</v>
      </c>
      <c r="V489" t="str">
        <f t="shared" si="30"/>
        <v>11/1997</v>
      </c>
      <c r="Y489" s="1">
        <v>35772</v>
      </c>
      <c r="Z489">
        <f t="shared" si="31"/>
        <v>28</v>
      </c>
    </row>
    <row r="490" spans="19:26" x14ac:dyDescent="0.2">
      <c r="S490" s="1">
        <v>35745</v>
      </c>
      <c r="T490">
        <f t="shared" si="28"/>
        <v>11</v>
      </c>
      <c r="U490">
        <f t="shared" si="29"/>
        <v>1997</v>
      </c>
      <c r="V490" t="str">
        <f t="shared" si="30"/>
        <v>11/1997</v>
      </c>
      <c r="Y490" s="1">
        <v>35773</v>
      </c>
      <c r="Z490">
        <f t="shared" si="31"/>
        <v>28</v>
      </c>
    </row>
    <row r="491" spans="19:26" x14ac:dyDescent="0.2">
      <c r="S491" s="1">
        <v>35745</v>
      </c>
      <c r="T491">
        <f t="shared" si="28"/>
        <v>11</v>
      </c>
      <c r="U491">
        <f t="shared" si="29"/>
        <v>1997</v>
      </c>
      <c r="V491" t="str">
        <f t="shared" si="30"/>
        <v>11/1997</v>
      </c>
      <c r="Y491" s="1">
        <v>35773</v>
      </c>
      <c r="Z491">
        <f t="shared" si="31"/>
        <v>28</v>
      </c>
    </row>
    <row r="492" spans="19:26" x14ac:dyDescent="0.2">
      <c r="S492" s="1">
        <v>35746</v>
      </c>
      <c r="T492">
        <f t="shared" si="28"/>
        <v>11</v>
      </c>
      <c r="U492">
        <f t="shared" si="29"/>
        <v>1997</v>
      </c>
      <c r="V492" t="str">
        <f t="shared" si="30"/>
        <v>11/1997</v>
      </c>
      <c r="Y492" s="1">
        <v>35774</v>
      </c>
      <c r="Z492">
        <f t="shared" si="31"/>
        <v>28</v>
      </c>
    </row>
    <row r="493" spans="19:26" x14ac:dyDescent="0.2">
      <c r="S493" s="1">
        <v>35746</v>
      </c>
      <c r="T493">
        <f t="shared" si="28"/>
        <v>11</v>
      </c>
      <c r="U493">
        <f t="shared" si="29"/>
        <v>1997</v>
      </c>
      <c r="V493" t="str">
        <f t="shared" si="30"/>
        <v>11/1997</v>
      </c>
      <c r="Y493" s="1">
        <v>35774</v>
      </c>
      <c r="Z493">
        <f t="shared" si="31"/>
        <v>28</v>
      </c>
    </row>
    <row r="494" spans="19:26" x14ac:dyDescent="0.2">
      <c r="S494" s="1">
        <v>35747</v>
      </c>
      <c r="T494">
        <f t="shared" si="28"/>
        <v>11</v>
      </c>
      <c r="U494">
        <f t="shared" si="29"/>
        <v>1997</v>
      </c>
      <c r="V494" t="str">
        <f t="shared" si="30"/>
        <v>11/1997</v>
      </c>
      <c r="Y494" s="1">
        <v>35775</v>
      </c>
      <c r="Z494">
        <f t="shared" si="31"/>
        <v>28</v>
      </c>
    </row>
    <row r="495" spans="19:26" x14ac:dyDescent="0.2">
      <c r="S495" s="1">
        <v>35748</v>
      </c>
      <c r="T495">
        <f t="shared" si="28"/>
        <v>11</v>
      </c>
      <c r="U495">
        <f t="shared" si="29"/>
        <v>1997</v>
      </c>
      <c r="V495" t="str">
        <f t="shared" si="30"/>
        <v>11/1997</v>
      </c>
      <c r="Y495" s="1">
        <v>35762</v>
      </c>
      <c r="Z495">
        <f t="shared" si="31"/>
        <v>14</v>
      </c>
    </row>
    <row r="496" spans="19:26" x14ac:dyDescent="0.2">
      <c r="S496" s="1">
        <v>35748</v>
      </c>
      <c r="T496">
        <f t="shared" si="28"/>
        <v>11</v>
      </c>
      <c r="U496">
        <f t="shared" si="29"/>
        <v>1997</v>
      </c>
      <c r="V496" t="str">
        <f t="shared" si="30"/>
        <v>11/1997</v>
      </c>
      <c r="Y496" s="1">
        <v>35776</v>
      </c>
      <c r="Z496">
        <f t="shared" si="31"/>
        <v>28</v>
      </c>
    </row>
    <row r="497" spans="19:26" x14ac:dyDescent="0.2">
      <c r="S497" s="1">
        <v>35751</v>
      </c>
      <c r="T497">
        <f t="shared" si="28"/>
        <v>11</v>
      </c>
      <c r="U497">
        <f t="shared" si="29"/>
        <v>1997</v>
      </c>
      <c r="V497" t="str">
        <f t="shared" si="30"/>
        <v>11/1997</v>
      </c>
      <c r="Y497" s="1">
        <v>35779</v>
      </c>
      <c r="Z497">
        <f t="shared" si="31"/>
        <v>28</v>
      </c>
    </row>
    <row r="498" spans="19:26" x14ac:dyDescent="0.2">
      <c r="S498" s="1">
        <v>35751</v>
      </c>
      <c r="T498">
        <f t="shared" si="28"/>
        <v>11</v>
      </c>
      <c r="U498">
        <f t="shared" si="29"/>
        <v>1997</v>
      </c>
      <c r="V498" t="str">
        <f t="shared" si="30"/>
        <v>11/1997</v>
      </c>
      <c r="Y498" s="1">
        <v>35779</v>
      </c>
      <c r="Z498">
        <f t="shared" si="31"/>
        <v>28</v>
      </c>
    </row>
    <row r="499" spans="19:26" x14ac:dyDescent="0.2">
      <c r="S499" s="1">
        <v>35752</v>
      </c>
      <c r="T499">
        <f t="shared" si="28"/>
        <v>11</v>
      </c>
      <c r="U499">
        <f t="shared" si="29"/>
        <v>1997</v>
      </c>
      <c r="V499" t="str">
        <f t="shared" si="30"/>
        <v>11/1997</v>
      </c>
      <c r="Y499" s="1">
        <v>35780</v>
      </c>
      <c r="Z499">
        <f t="shared" si="31"/>
        <v>28</v>
      </c>
    </row>
    <row r="500" spans="19:26" x14ac:dyDescent="0.2">
      <c r="S500" s="1">
        <v>35753</v>
      </c>
      <c r="T500">
        <f t="shared" si="28"/>
        <v>11</v>
      </c>
      <c r="U500">
        <f t="shared" si="29"/>
        <v>1997</v>
      </c>
      <c r="V500" t="str">
        <f t="shared" si="30"/>
        <v>11/1997</v>
      </c>
      <c r="Y500" s="1">
        <v>35781</v>
      </c>
      <c r="Z500">
        <f t="shared" si="31"/>
        <v>28</v>
      </c>
    </row>
    <row r="501" spans="19:26" x14ac:dyDescent="0.2">
      <c r="S501" s="1">
        <v>35753</v>
      </c>
      <c r="T501">
        <f t="shared" si="28"/>
        <v>11</v>
      </c>
      <c r="U501">
        <f t="shared" si="29"/>
        <v>1997</v>
      </c>
      <c r="V501" t="str">
        <f t="shared" si="30"/>
        <v>11/1997</v>
      </c>
      <c r="Y501" s="1">
        <v>35781</v>
      </c>
      <c r="Z501">
        <f t="shared" si="31"/>
        <v>28</v>
      </c>
    </row>
    <row r="502" spans="19:26" x14ac:dyDescent="0.2">
      <c r="S502" s="1">
        <v>35754</v>
      </c>
      <c r="T502">
        <f t="shared" si="28"/>
        <v>11</v>
      </c>
      <c r="U502">
        <f t="shared" si="29"/>
        <v>1997</v>
      </c>
      <c r="V502" t="str">
        <f t="shared" si="30"/>
        <v>11/1997</v>
      </c>
      <c r="Y502" s="1">
        <v>35782</v>
      </c>
      <c r="Z502">
        <f t="shared" si="31"/>
        <v>28</v>
      </c>
    </row>
    <row r="503" spans="19:26" x14ac:dyDescent="0.2">
      <c r="S503" s="1">
        <v>35754</v>
      </c>
      <c r="T503">
        <f t="shared" si="28"/>
        <v>11</v>
      </c>
      <c r="U503">
        <f t="shared" si="29"/>
        <v>1997</v>
      </c>
      <c r="V503" t="str">
        <f t="shared" si="30"/>
        <v>11/1997</v>
      </c>
      <c r="Y503" s="1">
        <v>35782</v>
      </c>
      <c r="Z503">
        <f t="shared" si="31"/>
        <v>28</v>
      </c>
    </row>
    <row r="504" spans="19:26" x14ac:dyDescent="0.2">
      <c r="S504" s="1">
        <v>35755</v>
      </c>
      <c r="T504">
        <f t="shared" si="28"/>
        <v>11</v>
      </c>
      <c r="U504">
        <f t="shared" si="29"/>
        <v>1997</v>
      </c>
      <c r="V504" t="str">
        <f t="shared" si="30"/>
        <v>11/1997</v>
      </c>
      <c r="Y504" s="1">
        <v>35783</v>
      </c>
      <c r="Z504">
        <f t="shared" si="31"/>
        <v>28</v>
      </c>
    </row>
    <row r="505" spans="19:26" x14ac:dyDescent="0.2">
      <c r="S505" s="1">
        <v>35758</v>
      </c>
      <c r="T505">
        <f t="shared" si="28"/>
        <v>11</v>
      </c>
      <c r="U505">
        <f t="shared" si="29"/>
        <v>1997</v>
      </c>
      <c r="V505" t="str">
        <f t="shared" si="30"/>
        <v>11/1997</v>
      </c>
      <c r="Y505" s="1">
        <v>35786</v>
      </c>
      <c r="Z505">
        <f t="shared" si="31"/>
        <v>28</v>
      </c>
    </row>
    <row r="506" spans="19:26" x14ac:dyDescent="0.2">
      <c r="S506" s="1">
        <v>35758</v>
      </c>
      <c r="T506">
        <f t="shared" si="28"/>
        <v>11</v>
      </c>
      <c r="U506">
        <f t="shared" si="29"/>
        <v>1997</v>
      </c>
      <c r="V506" t="str">
        <f t="shared" si="30"/>
        <v>11/1997</v>
      </c>
      <c r="Y506" s="1">
        <v>35786</v>
      </c>
      <c r="Z506">
        <f t="shared" si="31"/>
        <v>28</v>
      </c>
    </row>
    <row r="507" spans="19:26" x14ac:dyDescent="0.2">
      <c r="S507" s="1">
        <v>35759</v>
      </c>
      <c r="T507">
        <f t="shared" si="28"/>
        <v>11</v>
      </c>
      <c r="U507">
        <f t="shared" si="29"/>
        <v>1997</v>
      </c>
      <c r="V507" t="str">
        <f t="shared" si="30"/>
        <v>11/1997</v>
      </c>
      <c r="Y507" s="1">
        <v>35787</v>
      </c>
      <c r="Z507">
        <f t="shared" si="31"/>
        <v>28</v>
      </c>
    </row>
    <row r="508" spans="19:26" x14ac:dyDescent="0.2">
      <c r="S508" s="1">
        <v>35759</v>
      </c>
      <c r="T508">
        <f t="shared" si="28"/>
        <v>11</v>
      </c>
      <c r="U508">
        <f t="shared" si="29"/>
        <v>1997</v>
      </c>
      <c r="V508" t="str">
        <f t="shared" si="30"/>
        <v>11/1997</v>
      </c>
      <c r="Y508" s="1">
        <v>35787</v>
      </c>
      <c r="Z508">
        <f t="shared" si="31"/>
        <v>28</v>
      </c>
    </row>
    <row r="509" spans="19:26" x14ac:dyDescent="0.2">
      <c r="S509" s="1">
        <v>35760</v>
      </c>
      <c r="T509">
        <f t="shared" si="28"/>
        <v>11</v>
      </c>
      <c r="U509">
        <f t="shared" si="29"/>
        <v>1997</v>
      </c>
      <c r="V509" t="str">
        <f t="shared" si="30"/>
        <v>11/1997</v>
      </c>
      <c r="Y509" s="1">
        <v>35788</v>
      </c>
      <c r="Z509">
        <f t="shared" si="31"/>
        <v>28</v>
      </c>
    </row>
    <row r="510" spans="19:26" x14ac:dyDescent="0.2">
      <c r="S510" s="1">
        <v>35761</v>
      </c>
      <c r="T510">
        <f t="shared" si="28"/>
        <v>11</v>
      </c>
      <c r="U510">
        <f t="shared" si="29"/>
        <v>1997</v>
      </c>
      <c r="V510" t="str">
        <f t="shared" si="30"/>
        <v>11/1997</v>
      </c>
      <c r="Y510" s="1">
        <v>35789</v>
      </c>
      <c r="Z510">
        <f t="shared" si="31"/>
        <v>28</v>
      </c>
    </row>
    <row r="511" spans="19:26" x14ac:dyDescent="0.2">
      <c r="S511" s="1">
        <v>35761</v>
      </c>
      <c r="T511">
        <f t="shared" si="28"/>
        <v>11</v>
      </c>
      <c r="U511">
        <f t="shared" si="29"/>
        <v>1997</v>
      </c>
      <c r="V511" t="str">
        <f t="shared" si="30"/>
        <v>11/1997</v>
      </c>
      <c r="Y511" s="1">
        <v>35789</v>
      </c>
      <c r="Z511">
        <f t="shared" si="31"/>
        <v>28</v>
      </c>
    </row>
    <row r="512" spans="19:26" x14ac:dyDescent="0.2">
      <c r="S512" s="1">
        <v>35762</v>
      </c>
      <c r="T512">
        <f t="shared" si="28"/>
        <v>11</v>
      </c>
      <c r="U512">
        <f t="shared" si="29"/>
        <v>1997</v>
      </c>
      <c r="V512" t="str">
        <f t="shared" si="30"/>
        <v>11/1997</v>
      </c>
      <c r="Y512" s="1">
        <v>35790</v>
      </c>
      <c r="Z512">
        <f t="shared" si="31"/>
        <v>28</v>
      </c>
    </row>
    <row r="513" spans="19:26" x14ac:dyDescent="0.2">
      <c r="S513" s="1">
        <v>35762</v>
      </c>
      <c r="T513">
        <f t="shared" si="28"/>
        <v>11</v>
      </c>
      <c r="U513">
        <f t="shared" si="29"/>
        <v>1997</v>
      </c>
      <c r="V513" t="str">
        <f t="shared" si="30"/>
        <v>11/1997</v>
      </c>
      <c r="Y513" s="1">
        <v>35790</v>
      </c>
      <c r="Z513">
        <f t="shared" si="31"/>
        <v>28</v>
      </c>
    </row>
    <row r="514" spans="19:26" x14ac:dyDescent="0.2">
      <c r="S514" s="1">
        <v>35765</v>
      </c>
      <c r="T514">
        <f t="shared" si="28"/>
        <v>12</v>
      </c>
      <c r="U514">
        <f t="shared" si="29"/>
        <v>1997</v>
      </c>
      <c r="V514" t="str">
        <f t="shared" si="30"/>
        <v>12/1997</v>
      </c>
      <c r="Y514" s="1">
        <v>35793</v>
      </c>
      <c r="Z514">
        <f t="shared" si="31"/>
        <v>28</v>
      </c>
    </row>
    <row r="515" spans="19:26" x14ac:dyDescent="0.2">
      <c r="S515" s="1">
        <v>35766</v>
      </c>
      <c r="T515">
        <f t="shared" ref="T515:T578" si="32">MONTH(S515)</f>
        <v>12</v>
      </c>
      <c r="U515">
        <f t="shared" ref="U515:U578" si="33">YEAR(S515)</f>
        <v>1997</v>
      </c>
      <c r="V515" t="str">
        <f t="shared" ref="V515:V578" si="34">T515&amp;"/"&amp;U515</f>
        <v>12/1997</v>
      </c>
      <c r="Y515" s="1">
        <v>35794</v>
      </c>
      <c r="Z515">
        <f t="shared" ref="Z515:Z578" si="35">Y515-S515</f>
        <v>28</v>
      </c>
    </row>
    <row r="516" spans="19:26" x14ac:dyDescent="0.2">
      <c r="S516" s="1">
        <v>35766</v>
      </c>
      <c r="T516">
        <f t="shared" si="32"/>
        <v>12</v>
      </c>
      <c r="U516">
        <f t="shared" si="33"/>
        <v>1997</v>
      </c>
      <c r="V516" t="str">
        <f t="shared" si="34"/>
        <v>12/1997</v>
      </c>
      <c r="Y516" s="1">
        <v>35794</v>
      </c>
      <c r="Z516">
        <f t="shared" si="35"/>
        <v>28</v>
      </c>
    </row>
    <row r="517" spans="19:26" x14ac:dyDescent="0.2">
      <c r="S517" s="1">
        <v>35767</v>
      </c>
      <c r="T517">
        <f t="shared" si="32"/>
        <v>12</v>
      </c>
      <c r="U517">
        <f t="shared" si="33"/>
        <v>1997</v>
      </c>
      <c r="V517" t="str">
        <f t="shared" si="34"/>
        <v>12/1997</v>
      </c>
      <c r="Y517" s="1">
        <v>35795</v>
      </c>
      <c r="Z517">
        <f t="shared" si="35"/>
        <v>28</v>
      </c>
    </row>
    <row r="518" spans="19:26" x14ac:dyDescent="0.2">
      <c r="S518" s="1">
        <v>35767</v>
      </c>
      <c r="T518">
        <f t="shared" si="32"/>
        <v>12</v>
      </c>
      <c r="U518">
        <f t="shared" si="33"/>
        <v>1997</v>
      </c>
      <c r="V518" t="str">
        <f t="shared" si="34"/>
        <v>12/1997</v>
      </c>
      <c r="Y518" s="1">
        <v>35795</v>
      </c>
      <c r="Z518">
        <f t="shared" si="35"/>
        <v>28</v>
      </c>
    </row>
    <row r="519" spans="19:26" x14ac:dyDescent="0.2">
      <c r="S519" s="1">
        <v>35768</v>
      </c>
      <c r="T519">
        <f t="shared" si="32"/>
        <v>12</v>
      </c>
      <c r="U519">
        <f t="shared" si="33"/>
        <v>1997</v>
      </c>
      <c r="V519" t="str">
        <f t="shared" si="34"/>
        <v>12/1997</v>
      </c>
      <c r="Y519" s="1">
        <v>35796</v>
      </c>
      <c r="Z519">
        <f t="shared" si="35"/>
        <v>28</v>
      </c>
    </row>
    <row r="520" spans="19:26" x14ac:dyDescent="0.2">
      <c r="S520" s="1">
        <v>35769</v>
      </c>
      <c r="T520">
        <f t="shared" si="32"/>
        <v>12</v>
      </c>
      <c r="U520">
        <f t="shared" si="33"/>
        <v>1997</v>
      </c>
      <c r="V520" t="str">
        <f t="shared" si="34"/>
        <v>12/1997</v>
      </c>
      <c r="Y520" s="1">
        <v>35797</v>
      </c>
      <c r="Z520">
        <f t="shared" si="35"/>
        <v>28</v>
      </c>
    </row>
    <row r="521" spans="19:26" x14ac:dyDescent="0.2">
      <c r="S521" s="1">
        <v>35769</v>
      </c>
      <c r="T521">
        <f t="shared" si="32"/>
        <v>12</v>
      </c>
      <c r="U521">
        <f t="shared" si="33"/>
        <v>1997</v>
      </c>
      <c r="V521" t="str">
        <f t="shared" si="34"/>
        <v>12/1997</v>
      </c>
      <c r="Y521" s="1">
        <v>35797</v>
      </c>
      <c r="Z521">
        <f t="shared" si="35"/>
        <v>28</v>
      </c>
    </row>
    <row r="522" spans="19:26" x14ac:dyDescent="0.2">
      <c r="S522" s="1">
        <v>35772</v>
      </c>
      <c r="T522">
        <f t="shared" si="32"/>
        <v>12</v>
      </c>
      <c r="U522">
        <f t="shared" si="33"/>
        <v>1997</v>
      </c>
      <c r="V522" t="str">
        <f t="shared" si="34"/>
        <v>12/1997</v>
      </c>
      <c r="Y522" s="1">
        <v>35800</v>
      </c>
      <c r="Z522">
        <f t="shared" si="35"/>
        <v>28</v>
      </c>
    </row>
    <row r="523" spans="19:26" x14ac:dyDescent="0.2">
      <c r="S523" s="1">
        <v>35772</v>
      </c>
      <c r="T523">
        <f t="shared" si="32"/>
        <v>12</v>
      </c>
      <c r="U523">
        <f t="shared" si="33"/>
        <v>1997</v>
      </c>
      <c r="V523" t="str">
        <f t="shared" si="34"/>
        <v>12/1997</v>
      </c>
      <c r="Y523" s="1">
        <v>35800</v>
      </c>
      <c r="Z523">
        <f t="shared" si="35"/>
        <v>28</v>
      </c>
    </row>
    <row r="524" spans="19:26" x14ac:dyDescent="0.2">
      <c r="S524" s="1">
        <v>35773</v>
      </c>
      <c r="T524">
        <f t="shared" si="32"/>
        <v>12</v>
      </c>
      <c r="U524">
        <f t="shared" si="33"/>
        <v>1997</v>
      </c>
      <c r="V524" t="str">
        <f t="shared" si="34"/>
        <v>12/1997</v>
      </c>
      <c r="Y524" s="1">
        <v>35801</v>
      </c>
      <c r="Z524">
        <f t="shared" si="35"/>
        <v>28</v>
      </c>
    </row>
    <row r="525" spans="19:26" x14ac:dyDescent="0.2">
      <c r="S525" s="1">
        <v>35774</v>
      </c>
      <c r="T525">
        <f t="shared" si="32"/>
        <v>12</v>
      </c>
      <c r="U525">
        <f t="shared" si="33"/>
        <v>1997</v>
      </c>
      <c r="V525" t="str">
        <f t="shared" si="34"/>
        <v>12/1997</v>
      </c>
      <c r="Y525" s="1">
        <v>35802</v>
      </c>
      <c r="Z525">
        <f t="shared" si="35"/>
        <v>28</v>
      </c>
    </row>
    <row r="526" spans="19:26" x14ac:dyDescent="0.2">
      <c r="S526" s="1">
        <v>35774</v>
      </c>
      <c r="T526">
        <f t="shared" si="32"/>
        <v>12</v>
      </c>
      <c r="U526">
        <f t="shared" si="33"/>
        <v>1997</v>
      </c>
      <c r="V526" t="str">
        <f t="shared" si="34"/>
        <v>12/1997</v>
      </c>
      <c r="Y526" s="1">
        <v>35802</v>
      </c>
      <c r="Z526">
        <f t="shared" si="35"/>
        <v>28</v>
      </c>
    </row>
    <row r="527" spans="19:26" x14ac:dyDescent="0.2">
      <c r="S527" s="1">
        <v>35775</v>
      </c>
      <c r="T527">
        <f t="shared" si="32"/>
        <v>12</v>
      </c>
      <c r="U527">
        <f t="shared" si="33"/>
        <v>1997</v>
      </c>
      <c r="V527" t="str">
        <f t="shared" si="34"/>
        <v>12/1997</v>
      </c>
      <c r="Y527" s="1">
        <v>35803</v>
      </c>
      <c r="Z527">
        <f t="shared" si="35"/>
        <v>28</v>
      </c>
    </row>
    <row r="528" spans="19:26" x14ac:dyDescent="0.2">
      <c r="S528" s="1">
        <v>35775</v>
      </c>
      <c r="T528">
        <f t="shared" si="32"/>
        <v>12</v>
      </c>
      <c r="U528">
        <f t="shared" si="33"/>
        <v>1997</v>
      </c>
      <c r="V528" t="str">
        <f t="shared" si="34"/>
        <v>12/1997</v>
      </c>
      <c r="Y528" s="1">
        <v>35789</v>
      </c>
      <c r="Z528">
        <f t="shared" si="35"/>
        <v>14</v>
      </c>
    </row>
    <row r="529" spans="19:26" x14ac:dyDescent="0.2">
      <c r="S529" s="1">
        <v>35776</v>
      </c>
      <c r="T529">
        <f t="shared" si="32"/>
        <v>12</v>
      </c>
      <c r="U529">
        <f t="shared" si="33"/>
        <v>1997</v>
      </c>
      <c r="V529" t="str">
        <f t="shared" si="34"/>
        <v>12/1997</v>
      </c>
      <c r="Y529" s="1">
        <v>35804</v>
      </c>
      <c r="Z529">
        <f t="shared" si="35"/>
        <v>28</v>
      </c>
    </row>
    <row r="530" spans="19:26" x14ac:dyDescent="0.2">
      <c r="S530" s="1">
        <v>35779</v>
      </c>
      <c r="T530">
        <f t="shared" si="32"/>
        <v>12</v>
      </c>
      <c r="U530">
        <f t="shared" si="33"/>
        <v>1997</v>
      </c>
      <c r="V530" t="str">
        <f t="shared" si="34"/>
        <v>12/1997</v>
      </c>
      <c r="Y530" s="1">
        <v>35807</v>
      </c>
      <c r="Z530">
        <f t="shared" si="35"/>
        <v>28</v>
      </c>
    </row>
    <row r="531" spans="19:26" x14ac:dyDescent="0.2">
      <c r="S531" s="1">
        <v>35779</v>
      </c>
      <c r="T531">
        <f t="shared" si="32"/>
        <v>12</v>
      </c>
      <c r="U531">
        <f t="shared" si="33"/>
        <v>1997</v>
      </c>
      <c r="V531" t="str">
        <f t="shared" si="34"/>
        <v>12/1997</v>
      </c>
      <c r="Y531" s="1">
        <v>35793</v>
      </c>
      <c r="Z531">
        <f t="shared" si="35"/>
        <v>14</v>
      </c>
    </row>
    <row r="532" spans="19:26" x14ac:dyDescent="0.2">
      <c r="S532" s="1">
        <v>35780</v>
      </c>
      <c r="T532">
        <f t="shared" si="32"/>
        <v>12</v>
      </c>
      <c r="U532">
        <f t="shared" si="33"/>
        <v>1997</v>
      </c>
      <c r="V532" t="str">
        <f t="shared" si="34"/>
        <v>12/1997</v>
      </c>
      <c r="Y532" s="1">
        <v>35808</v>
      </c>
      <c r="Z532">
        <f t="shared" si="35"/>
        <v>28</v>
      </c>
    </row>
    <row r="533" spans="19:26" x14ac:dyDescent="0.2">
      <c r="S533" s="1">
        <v>35780</v>
      </c>
      <c r="T533">
        <f t="shared" si="32"/>
        <v>12</v>
      </c>
      <c r="U533">
        <f t="shared" si="33"/>
        <v>1997</v>
      </c>
      <c r="V533" t="str">
        <f t="shared" si="34"/>
        <v>12/1997</v>
      </c>
      <c r="Y533" s="1">
        <v>35808</v>
      </c>
      <c r="Z533">
        <f t="shared" si="35"/>
        <v>28</v>
      </c>
    </row>
    <row r="534" spans="19:26" x14ac:dyDescent="0.2">
      <c r="S534" s="1">
        <v>35780</v>
      </c>
      <c r="T534">
        <f t="shared" si="32"/>
        <v>12</v>
      </c>
      <c r="U534">
        <f t="shared" si="33"/>
        <v>1997</v>
      </c>
      <c r="V534" t="str">
        <f t="shared" si="34"/>
        <v>12/1997</v>
      </c>
      <c r="Y534" s="1">
        <v>35794</v>
      </c>
      <c r="Z534">
        <f t="shared" si="35"/>
        <v>14</v>
      </c>
    </row>
    <row r="535" spans="19:26" x14ac:dyDescent="0.2">
      <c r="S535" s="1">
        <v>35781</v>
      </c>
      <c r="T535">
        <f t="shared" si="32"/>
        <v>12</v>
      </c>
      <c r="U535">
        <f t="shared" si="33"/>
        <v>1997</v>
      </c>
      <c r="V535" t="str">
        <f t="shared" si="34"/>
        <v>12/1997</v>
      </c>
      <c r="Y535" s="1">
        <v>35809</v>
      </c>
      <c r="Z535">
        <f t="shared" si="35"/>
        <v>28</v>
      </c>
    </row>
    <row r="536" spans="19:26" x14ac:dyDescent="0.2">
      <c r="S536" s="1">
        <v>35781</v>
      </c>
      <c r="T536">
        <f t="shared" si="32"/>
        <v>12</v>
      </c>
      <c r="U536">
        <f t="shared" si="33"/>
        <v>1997</v>
      </c>
      <c r="V536" t="str">
        <f t="shared" si="34"/>
        <v>12/1997</v>
      </c>
      <c r="Y536" s="1">
        <v>35809</v>
      </c>
      <c r="Z536">
        <f t="shared" si="35"/>
        <v>28</v>
      </c>
    </row>
    <row r="537" spans="19:26" x14ac:dyDescent="0.2">
      <c r="S537" s="1">
        <v>35782</v>
      </c>
      <c r="T537">
        <f t="shared" si="32"/>
        <v>12</v>
      </c>
      <c r="U537">
        <f t="shared" si="33"/>
        <v>1997</v>
      </c>
      <c r="V537" t="str">
        <f t="shared" si="34"/>
        <v>12/1997</v>
      </c>
      <c r="Y537" s="1">
        <v>35810</v>
      </c>
      <c r="Z537">
        <f t="shared" si="35"/>
        <v>28</v>
      </c>
    </row>
    <row r="538" spans="19:26" x14ac:dyDescent="0.2">
      <c r="S538" s="1">
        <v>35782</v>
      </c>
      <c r="T538">
        <f t="shared" si="32"/>
        <v>12</v>
      </c>
      <c r="U538">
        <f t="shared" si="33"/>
        <v>1997</v>
      </c>
      <c r="V538" t="str">
        <f t="shared" si="34"/>
        <v>12/1997</v>
      </c>
      <c r="Y538" s="1">
        <v>35810</v>
      </c>
      <c r="Z538">
        <f t="shared" si="35"/>
        <v>28</v>
      </c>
    </row>
    <row r="539" spans="19:26" x14ac:dyDescent="0.2">
      <c r="S539" s="1">
        <v>35782</v>
      </c>
      <c r="T539">
        <f t="shared" si="32"/>
        <v>12</v>
      </c>
      <c r="U539">
        <f t="shared" si="33"/>
        <v>1997</v>
      </c>
      <c r="V539" t="str">
        <f t="shared" si="34"/>
        <v>12/1997</v>
      </c>
      <c r="Y539" s="1">
        <v>35810</v>
      </c>
      <c r="Z539">
        <f t="shared" si="35"/>
        <v>28</v>
      </c>
    </row>
    <row r="540" spans="19:26" x14ac:dyDescent="0.2">
      <c r="S540" s="1">
        <v>35783</v>
      </c>
      <c r="T540">
        <f t="shared" si="32"/>
        <v>12</v>
      </c>
      <c r="U540">
        <f t="shared" si="33"/>
        <v>1997</v>
      </c>
      <c r="V540" t="str">
        <f t="shared" si="34"/>
        <v>12/1997</v>
      </c>
      <c r="Y540" s="1">
        <v>35811</v>
      </c>
      <c r="Z540">
        <f t="shared" si="35"/>
        <v>28</v>
      </c>
    </row>
    <row r="541" spans="19:26" x14ac:dyDescent="0.2">
      <c r="S541" s="1">
        <v>35783</v>
      </c>
      <c r="T541">
        <f t="shared" si="32"/>
        <v>12</v>
      </c>
      <c r="U541">
        <f t="shared" si="33"/>
        <v>1997</v>
      </c>
      <c r="V541" t="str">
        <f t="shared" si="34"/>
        <v>12/1997</v>
      </c>
      <c r="Y541" s="1">
        <v>35797</v>
      </c>
      <c r="Z541">
        <f t="shared" si="35"/>
        <v>14</v>
      </c>
    </row>
    <row r="542" spans="19:26" x14ac:dyDescent="0.2">
      <c r="S542" s="1">
        <v>35786</v>
      </c>
      <c r="T542">
        <f t="shared" si="32"/>
        <v>12</v>
      </c>
      <c r="U542">
        <f t="shared" si="33"/>
        <v>1997</v>
      </c>
      <c r="V542" t="str">
        <f t="shared" si="34"/>
        <v>12/1997</v>
      </c>
      <c r="Y542" s="1">
        <v>35814</v>
      </c>
      <c r="Z542">
        <f t="shared" si="35"/>
        <v>28</v>
      </c>
    </row>
    <row r="543" spans="19:26" x14ac:dyDescent="0.2">
      <c r="S543" s="1">
        <v>35786</v>
      </c>
      <c r="T543">
        <f t="shared" si="32"/>
        <v>12</v>
      </c>
      <c r="U543">
        <f t="shared" si="33"/>
        <v>1997</v>
      </c>
      <c r="V543" t="str">
        <f t="shared" si="34"/>
        <v>12/1997</v>
      </c>
      <c r="Y543" s="1">
        <v>35814</v>
      </c>
      <c r="Z543">
        <f t="shared" si="35"/>
        <v>28</v>
      </c>
    </row>
    <row r="544" spans="19:26" x14ac:dyDescent="0.2">
      <c r="S544" s="1">
        <v>35786</v>
      </c>
      <c r="T544">
        <f t="shared" si="32"/>
        <v>12</v>
      </c>
      <c r="U544">
        <f t="shared" si="33"/>
        <v>1997</v>
      </c>
      <c r="V544" t="str">
        <f t="shared" si="34"/>
        <v>12/1997</v>
      </c>
      <c r="Y544" s="1">
        <v>35814</v>
      </c>
      <c r="Z544">
        <f t="shared" si="35"/>
        <v>28</v>
      </c>
    </row>
    <row r="545" spans="19:26" x14ac:dyDescent="0.2">
      <c r="S545" s="1">
        <v>35787</v>
      </c>
      <c r="T545">
        <f t="shared" si="32"/>
        <v>12</v>
      </c>
      <c r="U545">
        <f t="shared" si="33"/>
        <v>1997</v>
      </c>
      <c r="V545" t="str">
        <f t="shared" si="34"/>
        <v>12/1997</v>
      </c>
      <c r="Y545" s="1">
        <v>35815</v>
      </c>
      <c r="Z545">
        <f t="shared" si="35"/>
        <v>28</v>
      </c>
    </row>
    <row r="546" spans="19:26" x14ac:dyDescent="0.2">
      <c r="S546" s="1">
        <v>35787</v>
      </c>
      <c r="T546">
        <f t="shared" si="32"/>
        <v>12</v>
      </c>
      <c r="U546">
        <f t="shared" si="33"/>
        <v>1997</v>
      </c>
      <c r="V546" t="str">
        <f t="shared" si="34"/>
        <v>12/1997</v>
      </c>
      <c r="Y546" s="1">
        <v>35815</v>
      </c>
      <c r="Z546">
        <f t="shared" si="35"/>
        <v>28</v>
      </c>
    </row>
    <row r="547" spans="19:26" x14ac:dyDescent="0.2">
      <c r="S547" s="1">
        <v>35788</v>
      </c>
      <c r="T547">
        <f t="shared" si="32"/>
        <v>12</v>
      </c>
      <c r="U547">
        <f t="shared" si="33"/>
        <v>1997</v>
      </c>
      <c r="V547" t="str">
        <f t="shared" si="34"/>
        <v>12/1997</v>
      </c>
      <c r="Y547" s="1">
        <v>35816</v>
      </c>
      <c r="Z547">
        <f t="shared" si="35"/>
        <v>28</v>
      </c>
    </row>
    <row r="548" spans="19:26" x14ac:dyDescent="0.2">
      <c r="S548" s="1">
        <v>35788</v>
      </c>
      <c r="T548">
        <f t="shared" si="32"/>
        <v>12</v>
      </c>
      <c r="U548">
        <f t="shared" si="33"/>
        <v>1997</v>
      </c>
      <c r="V548" t="str">
        <f t="shared" si="34"/>
        <v>12/1997</v>
      </c>
      <c r="Y548" s="1">
        <v>35816</v>
      </c>
      <c r="Z548">
        <f t="shared" si="35"/>
        <v>28</v>
      </c>
    </row>
    <row r="549" spans="19:26" x14ac:dyDescent="0.2">
      <c r="S549" s="1">
        <v>35788</v>
      </c>
      <c r="T549">
        <f t="shared" si="32"/>
        <v>12</v>
      </c>
      <c r="U549">
        <f t="shared" si="33"/>
        <v>1997</v>
      </c>
      <c r="V549" t="str">
        <f t="shared" si="34"/>
        <v>12/1997</v>
      </c>
      <c r="Y549" s="1">
        <v>35816</v>
      </c>
      <c r="Z549">
        <f t="shared" si="35"/>
        <v>28</v>
      </c>
    </row>
    <row r="550" spans="19:26" x14ac:dyDescent="0.2">
      <c r="S550" s="1">
        <v>35789</v>
      </c>
      <c r="T550">
        <f t="shared" si="32"/>
        <v>12</v>
      </c>
      <c r="U550">
        <f t="shared" si="33"/>
        <v>1997</v>
      </c>
      <c r="V550" t="str">
        <f t="shared" si="34"/>
        <v>12/1997</v>
      </c>
      <c r="Y550" s="1">
        <v>35817</v>
      </c>
      <c r="Z550">
        <f t="shared" si="35"/>
        <v>28</v>
      </c>
    </row>
    <row r="551" spans="19:26" x14ac:dyDescent="0.2">
      <c r="S551" s="1">
        <v>35789</v>
      </c>
      <c r="T551">
        <f t="shared" si="32"/>
        <v>12</v>
      </c>
      <c r="U551">
        <f t="shared" si="33"/>
        <v>1997</v>
      </c>
      <c r="V551" t="str">
        <f t="shared" si="34"/>
        <v>12/1997</v>
      </c>
      <c r="Y551" s="1">
        <v>35817</v>
      </c>
      <c r="Z551">
        <f t="shared" si="35"/>
        <v>28</v>
      </c>
    </row>
    <row r="552" spans="19:26" x14ac:dyDescent="0.2">
      <c r="S552" s="1">
        <v>35790</v>
      </c>
      <c r="T552">
        <f t="shared" si="32"/>
        <v>12</v>
      </c>
      <c r="U552">
        <f t="shared" si="33"/>
        <v>1997</v>
      </c>
      <c r="V552" t="str">
        <f t="shared" si="34"/>
        <v>12/1997</v>
      </c>
      <c r="Y552" s="1">
        <v>35818</v>
      </c>
      <c r="Z552">
        <f t="shared" si="35"/>
        <v>28</v>
      </c>
    </row>
    <row r="553" spans="19:26" x14ac:dyDescent="0.2">
      <c r="S553" s="1">
        <v>35790</v>
      </c>
      <c r="T553">
        <f t="shared" si="32"/>
        <v>12</v>
      </c>
      <c r="U553">
        <f t="shared" si="33"/>
        <v>1997</v>
      </c>
      <c r="V553" t="str">
        <f t="shared" si="34"/>
        <v>12/1997</v>
      </c>
      <c r="Y553" s="1">
        <v>35832</v>
      </c>
      <c r="Z553">
        <f t="shared" si="35"/>
        <v>42</v>
      </c>
    </row>
    <row r="554" spans="19:26" x14ac:dyDescent="0.2">
      <c r="S554" s="1">
        <v>35790</v>
      </c>
      <c r="T554">
        <f t="shared" si="32"/>
        <v>12</v>
      </c>
      <c r="U554">
        <f t="shared" si="33"/>
        <v>1997</v>
      </c>
      <c r="V554" t="str">
        <f t="shared" si="34"/>
        <v>12/1997</v>
      </c>
      <c r="Y554" s="1">
        <v>35818</v>
      </c>
      <c r="Z554">
        <f t="shared" si="35"/>
        <v>28</v>
      </c>
    </row>
    <row r="555" spans="19:26" x14ac:dyDescent="0.2">
      <c r="S555" s="1">
        <v>35793</v>
      </c>
      <c r="T555">
        <f t="shared" si="32"/>
        <v>12</v>
      </c>
      <c r="U555">
        <f t="shared" si="33"/>
        <v>1997</v>
      </c>
      <c r="V555" t="str">
        <f t="shared" si="34"/>
        <v>12/1997</v>
      </c>
      <c r="Y555" s="1">
        <v>35821</v>
      </c>
      <c r="Z555">
        <f t="shared" si="35"/>
        <v>28</v>
      </c>
    </row>
    <row r="556" spans="19:26" x14ac:dyDescent="0.2">
      <c r="S556" s="1">
        <v>35793</v>
      </c>
      <c r="T556">
        <f t="shared" si="32"/>
        <v>12</v>
      </c>
      <c r="U556">
        <f t="shared" si="33"/>
        <v>1997</v>
      </c>
      <c r="V556" t="str">
        <f t="shared" si="34"/>
        <v>12/1997</v>
      </c>
      <c r="Y556" s="1">
        <v>35821</v>
      </c>
      <c r="Z556">
        <f t="shared" si="35"/>
        <v>28</v>
      </c>
    </row>
    <row r="557" spans="19:26" x14ac:dyDescent="0.2">
      <c r="S557" s="1">
        <v>35794</v>
      </c>
      <c r="T557">
        <f t="shared" si="32"/>
        <v>12</v>
      </c>
      <c r="U557">
        <f t="shared" si="33"/>
        <v>1997</v>
      </c>
      <c r="V557" t="str">
        <f t="shared" si="34"/>
        <v>12/1997</v>
      </c>
      <c r="Y557" s="1">
        <v>35822</v>
      </c>
      <c r="Z557">
        <f t="shared" si="35"/>
        <v>28</v>
      </c>
    </row>
    <row r="558" spans="19:26" x14ac:dyDescent="0.2">
      <c r="S558" s="1">
        <v>35794</v>
      </c>
      <c r="T558">
        <f t="shared" si="32"/>
        <v>12</v>
      </c>
      <c r="U558">
        <f t="shared" si="33"/>
        <v>1997</v>
      </c>
      <c r="V558" t="str">
        <f t="shared" si="34"/>
        <v>12/1997</v>
      </c>
      <c r="Y558" s="1">
        <v>35822</v>
      </c>
      <c r="Z558">
        <f t="shared" si="35"/>
        <v>28</v>
      </c>
    </row>
    <row r="559" spans="19:26" x14ac:dyDescent="0.2">
      <c r="S559" s="1">
        <v>35794</v>
      </c>
      <c r="T559">
        <f t="shared" si="32"/>
        <v>12</v>
      </c>
      <c r="U559">
        <f t="shared" si="33"/>
        <v>1997</v>
      </c>
      <c r="V559" t="str">
        <f t="shared" si="34"/>
        <v>12/1997</v>
      </c>
      <c r="Y559" s="1">
        <v>35822</v>
      </c>
      <c r="Z559">
        <f t="shared" si="35"/>
        <v>28</v>
      </c>
    </row>
    <row r="560" spans="19:26" x14ac:dyDescent="0.2">
      <c r="S560" s="1">
        <v>35795</v>
      </c>
      <c r="T560">
        <f t="shared" si="32"/>
        <v>12</v>
      </c>
      <c r="U560">
        <f t="shared" si="33"/>
        <v>1997</v>
      </c>
      <c r="V560" t="str">
        <f t="shared" si="34"/>
        <v>12/1997</v>
      </c>
      <c r="Y560" s="1">
        <v>35823</v>
      </c>
      <c r="Z560">
        <f t="shared" si="35"/>
        <v>28</v>
      </c>
    </row>
    <row r="561" spans="19:26" x14ac:dyDescent="0.2">
      <c r="S561" s="1">
        <v>35795</v>
      </c>
      <c r="T561">
        <f t="shared" si="32"/>
        <v>12</v>
      </c>
      <c r="U561">
        <f t="shared" si="33"/>
        <v>1997</v>
      </c>
      <c r="V561" t="str">
        <f t="shared" si="34"/>
        <v>12/1997</v>
      </c>
      <c r="Y561" s="1">
        <v>35823</v>
      </c>
      <c r="Z561">
        <f t="shared" si="35"/>
        <v>28</v>
      </c>
    </row>
    <row r="562" spans="19:26" x14ac:dyDescent="0.2">
      <c r="S562" s="1">
        <v>35796</v>
      </c>
      <c r="T562">
        <f t="shared" si="32"/>
        <v>1</v>
      </c>
      <c r="U562">
        <f t="shared" si="33"/>
        <v>1998</v>
      </c>
      <c r="V562" t="str">
        <f t="shared" si="34"/>
        <v>1/1998</v>
      </c>
      <c r="Y562" s="1">
        <v>35824</v>
      </c>
      <c r="Z562">
        <f t="shared" si="35"/>
        <v>28</v>
      </c>
    </row>
    <row r="563" spans="19:26" x14ac:dyDescent="0.2">
      <c r="S563" s="1">
        <v>35796</v>
      </c>
      <c r="T563">
        <f t="shared" si="32"/>
        <v>1</v>
      </c>
      <c r="U563">
        <f t="shared" si="33"/>
        <v>1998</v>
      </c>
      <c r="V563" t="str">
        <f t="shared" si="34"/>
        <v>1/1998</v>
      </c>
      <c r="Y563" s="1">
        <v>35824</v>
      </c>
      <c r="Z563">
        <f t="shared" si="35"/>
        <v>28</v>
      </c>
    </row>
    <row r="564" spans="19:26" x14ac:dyDescent="0.2">
      <c r="S564" s="1">
        <v>35796</v>
      </c>
      <c r="T564">
        <f t="shared" si="32"/>
        <v>1</v>
      </c>
      <c r="U564">
        <f t="shared" si="33"/>
        <v>1998</v>
      </c>
      <c r="V564" t="str">
        <f t="shared" si="34"/>
        <v>1/1998</v>
      </c>
      <c r="Y564" s="1">
        <v>35824</v>
      </c>
      <c r="Z564">
        <f t="shared" si="35"/>
        <v>28</v>
      </c>
    </row>
    <row r="565" spans="19:26" x14ac:dyDescent="0.2">
      <c r="S565" s="1">
        <v>35797</v>
      </c>
      <c r="T565">
        <f t="shared" si="32"/>
        <v>1</v>
      </c>
      <c r="U565">
        <f t="shared" si="33"/>
        <v>1998</v>
      </c>
      <c r="V565" t="str">
        <f t="shared" si="34"/>
        <v>1/1998</v>
      </c>
      <c r="Y565" s="1">
        <v>35825</v>
      </c>
      <c r="Z565">
        <f t="shared" si="35"/>
        <v>28</v>
      </c>
    </row>
    <row r="566" spans="19:26" x14ac:dyDescent="0.2">
      <c r="S566" s="1">
        <v>35797</v>
      </c>
      <c r="T566">
        <f t="shared" si="32"/>
        <v>1</v>
      </c>
      <c r="U566">
        <f t="shared" si="33"/>
        <v>1998</v>
      </c>
      <c r="V566" t="str">
        <f t="shared" si="34"/>
        <v>1/1998</v>
      </c>
      <c r="Y566" s="1">
        <v>35825</v>
      </c>
      <c r="Z566">
        <f t="shared" si="35"/>
        <v>28</v>
      </c>
    </row>
    <row r="567" spans="19:26" x14ac:dyDescent="0.2">
      <c r="S567" s="1">
        <v>35800</v>
      </c>
      <c r="T567">
        <f t="shared" si="32"/>
        <v>1</v>
      </c>
      <c r="U567">
        <f t="shared" si="33"/>
        <v>1998</v>
      </c>
      <c r="V567" t="str">
        <f t="shared" si="34"/>
        <v>1/1998</v>
      </c>
      <c r="Y567" s="1">
        <v>35828</v>
      </c>
      <c r="Z567">
        <f t="shared" si="35"/>
        <v>28</v>
      </c>
    </row>
    <row r="568" spans="19:26" x14ac:dyDescent="0.2">
      <c r="S568" s="1">
        <v>35800</v>
      </c>
      <c r="T568">
        <f t="shared" si="32"/>
        <v>1</v>
      </c>
      <c r="U568">
        <f t="shared" si="33"/>
        <v>1998</v>
      </c>
      <c r="V568" t="str">
        <f t="shared" si="34"/>
        <v>1/1998</v>
      </c>
      <c r="Y568" s="1">
        <v>35828</v>
      </c>
      <c r="Z568">
        <f t="shared" si="35"/>
        <v>28</v>
      </c>
    </row>
    <row r="569" spans="19:26" x14ac:dyDescent="0.2">
      <c r="S569" s="1">
        <v>35800</v>
      </c>
      <c r="T569">
        <f t="shared" si="32"/>
        <v>1</v>
      </c>
      <c r="U569">
        <f t="shared" si="33"/>
        <v>1998</v>
      </c>
      <c r="V569" t="str">
        <f t="shared" si="34"/>
        <v>1/1998</v>
      </c>
      <c r="Y569" s="1">
        <v>35828</v>
      </c>
      <c r="Z569">
        <f t="shared" si="35"/>
        <v>28</v>
      </c>
    </row>
    <row r="570" spans="19:26" x14ac:dyDescent="0.2">
      <c r="S570" s="1">
        <v>35801</v>
      </c>
      <c r="T570">
        <f t="shared" si="32"/>
        <v>1</v>
      </c>
      <c r="U570">
        <f t="shared" si="33"/>
        <v>1998</v>
      </c>
      <c r="V570" t="str">
        <f t="shared" si="34"/>
        <v>1/1998</v>
      </c>
      <c r="Y570" s="1">
        <v>35829</v>
      </c>
      <c r="Z570">
        <f t="shared" si="35"/>
        <v>28</v>
      </c>
    </row>
    <row r="571" spans="19:26" x14ac:dyDescent="0.2">
      <c r="S571" s="1">
        <v>35801</v>
      </c>
      <c r="T571">
        <f t="shared" si="32"/>
        <v>1</v>
      </c>
      <c r="U571">
        <f t="shared" si="33"/>
        <v>1998</v>
      </c>
      <c r="V571" t="str">
        <f t="shared" si="34"/>
        <v>1/1998</v>
      </c>
      <c r="Y571" s="1">
        <v>35815</v>
      </c>
      <c r="Z571">
        <f t="shared" si="35"/>
        <v>14</v>
      </c>
    </row>
    <row r="572" spans="19:26" x14ac:dyDescent="0.2">
      <c r="S572" s="1">
        <v>35802</v>
      </c>
      <c r="T572">
        <f t="shared" si="32"/>
        <v>1</v>
      </c>
      <c r="U572">
        <f t="shared" si="33"/>
        <v>1998</v>
      </c>
      <c r="V572" t="str">
        <f t="shared" si="34"/>
        <v>1/1998</v>
      </c>
      <c r="Y572" s="1">
        <v>35830</v>
      </c>
      <c r="Z572">
        <f t="shared" si="35"/>
        <v>28</v>
      </c>
    </row>
    <row r="573" spans="19:26" x14ac:dyDescent="0.2">
      <c r="S573" s="1">
        <v>35802</v>
      </c>
      <c r="T573">
        <f t="shared" si="32"/>
        <v>1</v>
      </c>
      <c r="U573">
        <f t="shared" si="33"/>
        <v>1998</v>
      </c>
      <c r="V573" t="str">
        <f t="shared" si="34"/>
        <v>1/1998</v>
      </c>
      <c r="Y573" s="1">
        <v>35830</v>
      </c>
      <c r="Z573">
        <f t="shared" si="35"/>
        <v>28</v>
      </c>
    </row>
    <row r="574" spans="19:26" x14ac:dyDescent="0.2">
      <c r="S574" s="1">
        <v>35802</v>
      </c>
      <c r="T574">
        <f t="shared" si="32"/>
        <v>1</v>
      </c>
      <c r="U574">
        <f t="shared" si="33"/>
        <v>1998</v>
      </c>
      <c r="V574" t="str">
        <f t="shared" si="34"/>
        <v>1/1998</v>
      </c>
      <c r="Y574" s="1">
        <v>35830</v>
      </c>
      <c r="Z574">
        <f t="shared" si="35"/>
        <v>28</v>
      </c>
    </row>
    <row r="575" spans="19:26" x14ac:dyDescent="0.2">
      <c r="S575" s="1">
        <v>35803</v>
      </c>
      <c r="T575">
        <f t="shared" si="32"/>
        <v>1</v>
      </c>
      <c r="U575">
        <f t="shared" si="33"/>
        <v>1998</v>
      </c>
      <c r="V575" t="str">
        <f t="shared" si="34"/>
        <v>1/1998</v>
      </c>
      <c r="Y575" s="1">
        <v>35831</v>
      </c>
      <c r="Z575">
        <f t="shared" si="35"/>
        <v>28</v>
      </c>
    </row>
    <row r="576" spans="19:26" x14ac:dyDescent="0.2">
      <c r="S576" s="1">
        <v>35803</v>
      </c>
      <c r="T576">
        <f t="shared" si="32"/>
        <v>1</v>
      </c>
      <c r="U576">
        <f t="shared" si="33"/>
        <v>1998</v>
      </c>
      <c r="V576" t="str">
        <f t="shared" si="34"/>
        <v>1/1998</v>
      </c>
      <c r="Y576" s="1">
        <v>35831</v>
      </c>
      <c r="Z576">
        <f t="shared" si="35"/>
        <v>28</v>
      </c>
    </row>
    <row r="577" spans="19:26" x14ac:dyDescent="0.2">
      <c r="S577" s="1">
        <v>35804</v>
      </c>
      <c r="T577">
        <f t="shared" si="32"/>
        <v>1</v>
      </c>
      <c r="U577">
        <f t="shared" si="33"/>
        <v>1998</v>
      </c>
      <c r="V577" t="str">
        <f t="shared" si="34"/>
        <v>1/1998</v>
      </c>
      <c r="Y577" s="1">
        <v>35832</v>
      </c>
      <c r="Z577">
        <f t="shared" si="35"/>
        <v>28</v>
      </c>
    </row>
    <row r="578" spans="19:26" x14ac:dyDescent="0.2">
      <c r="S578" s="1">
        <v>35804</v>
      </c>
      <c r="T578">
        <f t="shared" si="32"/>
        <v>1</v>
      </c>
      <c r="U578">
        <f t="shared" si="33"/>
        <v>1998</v>
      </c>
      <c r="V578" t="str">
        <f t="shared" si="34"/>
        <v>1/1998</v>
      </c>
      <c r="Y578" s="1">
        <v>35832</v>
      </c>
      <c r="Z578">
        <f t="shared" si="35"/>
        <v>28</v>
      </c>
    </row>
    <row r="579" spans="19:26" x14ac:dyDescent="0.2">
      <c r="S579" s="1">
        <v>35804</v>
      </c>
      <c r="T579">
        <f t="shared" ref="T579:T642" si="36">MONTH(S579)</f>
        <v>1</v>
      </c>
      <c r="U579">
        <f t="shared" ref="U579:U642" si="37">YEAR(S579)</f>
        <v>1998</v>
      </c>
      <c r="V579" t="str">
        <f t="shared" ref="V579:V642" si="38">T579&amp;"/"&amp;U579</f>
        <v>1/1998</v>
      </c>
      <c r="Y579" s="1">
        <v>35832</v>
      </c>
      <c r="Z579">
        <f t="shared" ref="Z579:Z642" si="39">Y579-S579</f>
        <v>28</v>
      </c>
    </row>
    <row r="580" spans="19:26" x14ac:dyDescent="0.2">
      <c r="S580" s="1">
        <v>35807</v>
      </c>
      <c r="T580">
        <f t="shared" si="36"/>
        <v>1</v>
      </c>
      <c r="U580">
        <f t="shared" si="37"/>
        <v>1998</v>
      </c>
      <c r="V580" t="str">
        <f t="shared" si="38"/>
        <v>1/1998</v>
      </c>
      <c r="Y580" s="1">
        <v>35835</v>
      </c>
      <c r="Z580">
        <f t="shared" si="39"/>
        <v>28</v>
      </c>
    </row>
    <row r="581" spans="19:26" x14ac:dyDescent="0.2">
      <c r="S581" s="1">
        <v>35807</v>
      </c>
      <c r="T581">
        <f t="shared" si="36"/>
        <v>1</v>
      </c>
      <c r="U581">
        <f t="shared" si="37"/>
        <v>1998</v>
      </c>
      <c r="V581" t="str">
        <f t="shared" si="38"/>
        <v>1/1998</v>
      </c>
      <c r="Y581" s="1">
        <v>35821</v>
      </c>
      <c r="Z581">
        <f t="shared" si="39"/>
        <v>14</v>
      </c>
    </row>
    <row r="582" spans="19:26" x14ac:dyDescent="0.2">
      <c r="S582" s="1">
        <v>35808</v>
      </c>
      <c r="T582">
        <f t="shared" si="36"/>
        <v>1</v>
      </c>
      <c r="U582">
        <f t="shared" si="37"/>
        <v>1998</v>
      </c>
      <c r="V582" t="str">
        <f t="shared" si="38"/>
        <v>1/1998</v>
      </c>
      <c r="Y582" s="1">
        <v>35822</v>
      </c>
      <c r="Z582">
        <f t="shared" si="39"/>
        <v>14</v>
      </c>
    </row>
    <row r="583" spans="19:26" x14ac:dyDescent="0.2">
      <c r="S583" s="1">
        <v>35808</v>
      </c>
      <c r="T583">
        <f t="shared" si="36"/>
        <v>1</v>
      </c>
      <c r="U583">
        <f t="shared" si="37"/>
        <v>1998</v>
      </c>
      <c r="V583" t="str">
        <f t="shared" si="38"/>
        <v>1/1998</v>
      </c>
      <c r="Y583" s="1">
        <v>35836</v>
      </c>
      <c r="Z583">
        <f t="shared" si="39"/>
        <v>28</v>
      </c>
    </row>
    <row r="584" spans="19:26" x14ac:dyDescent="0.2">
      <c r="S584" s="1">
        <v>35808</v>
      </c>
      <c r="T584">
        <f t="shared" si="36"/>
        <v>1</v>
      </c>
      <c r="U584">
        <f t="shared" si="37"/>
        <v>1998</v>
      </c>
      <c r="V584" t="str">
        <f t="shared" si="38"/>
        <v>1/1998</v>
      </c>
      <c r="Y584" s="1">
        <v>35850</v>
      </c>
      <c r="Z584">
        <f t="shared" si="39"/>
        <v>42</v>
      </c>
    </row>
    <row r="585" spans="19:26" x14ac:dyDescent="0.2">
      <c r="S585" s="1">
        <v>35809</v>
      </c>
      <c r="T585">
        <f t="shared" si="36"/>
        <v>1</v>
      </c>
      <c r="U585">
        <f t="shared" si="37"/>
        <v>1998</v>
      </c>
      <c r="V585" t="str">
        <f t="shared" si="38"/>
        <v>1/1998</v>
      </c>
      <c r="Y585" s="1">
        <v>35837</v>
      </c>
      <c r="Z585">
        <f t="shared" si="39"/>
        <v>28</v>
      </c>
    </row>
    <row r="586" spans="19:26" x14ac:dyDescent="0.2">
      <c r="S586" s="1">
        <v>35809</v>
      </c>
      <c r="T586">
        <f t="shared" si="36"/>
        <v>1</v>
      </c>
      <c r="U586">
        <f t="shared" si="37"/>
        <v>1998</v>
      </c>
      <c r="V586" t="str">
        <f t="shared" si="38"/>
        <v>1/1998</v>
      </c>
      <c r="Y586" s="1">
        <v>35837</v>
      </c>
      <c r="Z586">
        <f t="shared" si="39"/>
        <v>28</v>
      </c>
    </row>
    <row r="587" spans="19:26" x14ac:dyDescent="0.2">
      <c r="S587" s="1">
        <v>35810</v>
      </c>
      <c r="T587">
        <f t="shared" si="36"/>
        <v>1</v>
      </c>
      <c r="U587">
        <f t="shared" si="37"/>
        <v>1998</v>
      </c>
      <c r="V587" t="str">
        <f t="shared" si="38"/>
        <v>1/1998</v>
      </c>
      <c r="Y587" s="1">
        <v>35838</v>
      </c>
      <c r="Z587">
        <f t="shared" si="39"/>
        <v>28</v>
      </c>
    </row>
    <row r="588" spans="19:26" x14ac:dyDescent="0.2">
      <c r="S588" s="1">
        <v>35810</v>
      </c>
      <c r="T588">
        <f t="shared" si="36"/>
        <v>1</v>
      </c>
      <c r="U588">
        <f t="shared" si="37"/>
        <v>1998</v>
      </c>
      <c r="V588" t="str">
        <f t="shared" si="38"/>
        <v>1/1998</v>
      </c>
      <c r="Y588" s="1">
        <v>35838</v>
      </c>
      <c r="Z588">
        <f t="shared" si="39"/>
        <v>28</v>
      </c>
    </row>
    <row r="589" spans="19:26" x14ac:dyDescent="0.2">
      <c r="S589" s="1">
        <v>35810</v>
      </c>
      <c r="T589">
        <f t="shared" si="36"/>
        <v>1</v>
      </c>
      <c r="U589">
        <f t="shared" si="37"/>
        <v>1998</v>
      </c>
      <c r="V589" t="str">
        <f t="shared" si="38"/>
        <v>1/1998</v>
      </c>
      <c r="Y589" s="1">
        <v>35838</v>
      </c>
      <c r="Z589">
        <f t="shared" si="39"/>
        <v>28</v>
      </c>
    </row>
    <row r="590" spans="19:26" x14ac:dyDescent="0.2">
      <c r="S590" s="1">
        <v>35811</v>
      </c>
      <c r="T590">
        <f t="shared" si="36"/>
        <v>1</v>
      </c>
      <c r="U590">
        <f t="shared" si="37"/>
        <v>1998</v>
      </c>
      <c r="V590" t="str">
        <f t="shared" si="38"/>
        <v>1/1998</v>
      </c>
      <c r="Y590" s="1">
        <v>35839</v>
      </c>
      <c r="Z590">
        <f t="shared" si="39"/>
        <v>28</v>
      </c>
    </row>
    <row r="591" spans="19:26" x14ac:dyDescent="0.2">
      <c r="S591" s="1">
        <v>35811</v>
      </c>
      <c r="T591">
        <f t="shared" si="36"/>
        <v>1</v>
      </c>
      <c r="U591">
        <f t="shared" si="37"/>
        <v>1998</v>
      </c>
      <c r="V591" t="str">
        <f t="shared" si="38"/>
        <v>1/1998</v>
      </c>
      <c r="Y591" s="1">
        <v>35839</v>
      </c>
      <c r="Z591">
        <f t="shared" si="39"/>
        <v>28</v>
      </c>
    </row>
    <row r="592" spans="19:26" x14ac:dyDescent="0.2">
      <c r="S592" s="1">
        <v>35814</v>
      </c>
      <c r="T592">
        <f t="shared" si="36"/>
        <v>1</v>
      </c>
      <c r="U592">
        <f t="shared" si="37"/>
        <v>1998</v>
      </c>
      <c r="V592" t="str">
        <f t="shared" si="38"/>
        <v>1/1998</v>
      </c>
      <c r="Y592" s="1">
        <v>35842</v>
      </c>
      <c r="Z592">
        <f t="shared" si="39"/>
        <v>28</v>
      </c>
    </row>
    <row r="593" spans="19:26" x14ac:dyDescent="0.2">
      <c r="S593" s="1">
        <v>35814</v>
      </c>
      <c r="T593">
        <f t="shared" si="36"/>
        <v>1</v>
      </c>
      <c r="U593">
        <f t="shared" si="37"/>
        <v>1998</v>
      </c>
      <c r="V593" t="str">
        <f t="shared" si="38"/>
        <v>1/1998</v>
      </c>
      <c r="Y593" s="1">
        <v>35842</v>
      </c>
      <c r="Z593">
        <f t="shared" si="39"/>
        <v>28</v>
      </c>
    </row>
    <row r="594" spans="19:26" x14ac:dyDescent="0.2">
      <c r="S594" s="1">
        <v>35814</v>
      </c>
      <c r="T594">
        <f t="shared" si="36"/>
        <v>1</v>
      </c>
      <c r="U594">
        <f t="shared" si="37"/>
        <v>1998</v>
      </c>
      <c r="V594" t="str">
        <f t="shared" si="38"/>
        <v>1/1998</v>
      </c>
      <c r="Y594" s="1">
        <v>35856</v>
      </c>
      <c r="Z594">
        <f t="shared" si="39"/>
        <v>42</v>
      </c>
    </row>
    <row r="595" spans="19:26" x14ac:dyDescent="0.2">
      <c r="S595" s="1">
        <v>35815</v>
      </c>
      <c r="T595">
        <f t="shared" si="36"/>
        <v>1</v>
      </c>
      <c r="U595">
        <f t="shared" si="37"/>
        <v>1998</v>
      </c>
      <c r="V595" t="str">
        <f t="shared" si="38"/>
        <v>1/1998</v>
      </c>
      <c r="Y595" s="1">
        <v>35843</v>
      </c>
      <c r="Z595">
        <f t="shared" si="39"/>
        <v>28</v>
      </c>
    </row>
    <row r="596" spans="19:26" x14ac:dyDescent="0.2">
      <c r="S596" s="1">
        <v>35815</v>
      </c>
      <c r="T596">
        <f t="shared" si="36"/>
        <v>1</v>
      </c>
      <c r="U596">
        <f t="shared" si="37"/>
        <v>1998</v>
      </c>
      <c r="V596" t="str">
        <f t="shared" si="38"/>
        <v>1/1998</v>
      </c>
      <c r="Y596" s="1">
        <v>35843</v>
      </c>
      <c r="Z596">
        <f t="shared" si="39"/>
        <v>28</v>
      </c>
    </row>
    <row r="597" spans="19:26" x14ac:dyDescent="0.2">
      <c r="S597" s="1">
        <v>35816</v>
      </c>
      <c r="T597">
        <f t="shared" si="36"/>
        <v>1</v>
      </c>
      <c r="U597">
        <f t="shared" si="37"/>
        <v>1998</v>
      </c>
      <c r="V597" t="str">
        <f t="shared" si="38"/>
        <v>1/1998</v>
      </c>
      <c r="Y597" s="1">
        <v>35844</v>
      </c>
      <c r="Z597">
        <f t="shared" si="39"/>
        <v>28</v>
      </c>
    </row>
    <row r="598" spans="19:26" x14ac:dyDescent="0.2">
      <c r="S598" s="1">
        <v>35816</v>
      </c>
      <c r="T598">
        <f t="shared" si="36"/>
        <v>1</v>
      </c>
      <c r="U598">
        <f t="shared" si="37"/>
        <v>1998</v>
      </c>
      <c r="V598" t="str">
        <f t="shared" si="38"/>
        <v>1/1998</v>
      </c>
      <c r="Y598" s="1">
        <v>35844</v>
      </c>
      <c r="Z598">
        <f t="shared" si="39"/>
        <v>28</v>
      </c>
    </row>
    <row r="599" spans="19:26" x14ac:dyDescent="0.2">
      <c r="S599" s="1">
        <v>35816</v>
      </c>
      <c r="T599">
        <f t="shared" si="36"/>
        <v>1</v>
      </c>
      <c r="U599">
        <f t="shared" si="37"/>
        <v>1998</v>
      </c>
      <c r="V599" t="str">
        <f t="shared" si="38"/>
        <v>1/1998</v>
      </c>
      <c r="Y599" s="1">
        <v>35830</v>
      </c>
      <c r="Z599">
        <f t="shared" si="39"/>
        <v>14</v>
      </c>
    </row>
    <row r="600" spans="19:26" x14ac:dyDescent="0.2">
      <c r="S600" s="1">
        <v>35817</v>
      </c>
      <c r="T600">
        <f t="shared" si="36"/>
        <v>1</v>
      </c>
      <c r="U600">
        <f t="shared" si="37"/>
        <v>1998</v>
      </c>
      <c r="V600" t="str">
        <f t="shared" si="38"/>
        <v>1/1998</v>
      </c>
      <c r="Y600" s="1">
        <v>35859</v>
      </c>
      <c r="Z600">
        <f t="shared" si="39"/>
        <v>42</v>
      </c>
    </row>
    <row r="601" spans="19:26" x14ac:dyDescent="0.2">
      <c r="S601" s="1">
        <v>35817</v>
      </c>
      <c r="T601">
        <f t="shared" si="36"/>
        <v>1</v>
      </c>
      <c r="U601">
        <f t="shared" si="37"/>
        <v>1998</v>
      </c>
      <c r="V601" t="str">
        <f t="shared" si="38"/>
        <v>1/1998</v>
      </c>
      <c r="Y601" s="1">
        <v>35831</v>
      </c>
      <c r="Z601">
        <f t="shared" si="39"/>
        <v>14</v>
      </c>
    </row>
    <row r="602" spans="19:26" x14ac:dyDescent="0.2">
      <c r="S602" s="1">
        <v>35818</v>
      </c>
      <c r="T602">
        <f t="shared" si="36"/>
        <v>1</v>
      </c>
      <c r="U602">
        <f t="shared" si="37"/>
        <v>1998</v>
      </c>
      <c r="V602" t="str">
        <f t="shared" si="38"/>
        <v>1/1998</v>
      </c>
      <c r="Y602" s="1">
        <v>35846</v>
      </c>
      <c r="Z602">
        <f t="shared" si="39"/>
        <v>28</v>
      </c>
    </row>
    <row r="603" spans="19:26" x14ac:dyDescent="0.2">
      <c r="S603" s="1">
        <v>35818</v>
      </c>
      <c r="T603">
        <f t="shared" si="36"/>
        <v>1</v>
      </c>
      <c r="U603">
        <f t="shared" si="37"/>
        <v>1998</v>
      </c>
      <c r="V603" t="str">
        <f t="shared" si="38"/>
        <v>1/1998</v>
      </c>
      <c r="Y603" s="1">
        <v>35846</v>
      </c>
      <c r="Z603">
        <f t="shared" si="39"/>
        <v>28</v>
      </c>
    </row>
    <row r="604" spans="19:26" x14ac:dyDescent="0.2">
      <c r="S604" s="1">
        <v>35818</v>
      </c>
      <c r="T604">
        <f t="shared" si="36"/>
        <v>1</v>
      </c>
      <c r="U604">
        <f t="shared" si="37"/>
        <v>1998</v>
      </c>
      <c r="V604" t="str">
        <f t="shared" si="38"/>
        <v>1/1998</v>
      </c>
      <c r="Y604" s="1">
        <v>35860</v>
      </c>
      <c r="Z604">
        <f t="shared" si="39"/>
        <v>42</v>
      </c>
    </row>
    <row r="605" spans="19:26" x14ac:dyDescent="0.2">
      <c r="S605" s="1">
        <v>35821</v>
      </c>
      <c r="T605">
        <f t="shared" si="36"/>
        <v>1</v>
      </c>
      <c r="U605">
        <f t="shared" si="37"/>
        <v>1998</v>
      </c>
      <c r="V605" t="str">
        <f t="shared" si="38"/>
        <v>1/1998</v>
      </c>
      <c r="Y605" s="1">
        <v>35849</v>
      </c>
      <c r="Z605">
        <f t="shared" si="39"/>
        <v>28</v>
      </c>
    </row>
    <row r="606" spans="19:26" x14ac:dyDescent="0.2">
      <c r="S606" s="1">
        <v>35821</v>
      </c>
      <c r="T606">
        <f t="shared" si="36"/>
        <v>1</v>
      </c>
      <c r="U606">
        <f t="shared" si="37"/>
        <v>1998</v>
      </c>
      <c r="V606" t="str">
        <f t="shared" si="38"/>
        <v>1/1998</v>
      </c>
      <c r="Y606" s="1">
        <v>35835</v>
      </c>
      <c r="Z606">
        <f t="shared" si="39"/>
        <v>14</v>
      </c>
    </row>
    <row r="607" spans="19:26" x14ac:dyDescent="0.2">
      <c r="S607" s="1">
        <v>35822</v>
      </c>
      <c r="T607">
        <f t="shared" si="36"/>
        <v>1</v>
      </c>
      <c r="U607">
        <f t="shared" si="37"/>
        <v>1998</v>
      </c>
      <c r="V607" t="str">
        <f t="shared" si="38"/>
        <v>1/1998</v>
      </c>
      <c r="Y607" s="1">
        <v>35850</v>
      </c>
      <c r="Z607">
        <f t="shared" si="39"/>
        <v>28</v>
      </c>
    </row>
    <row r="608" spans="19:26" x14ac:dyDescent="0.2">
      <c r="S608" s="1">
        <v>35822</v>
      </c>
      <c r="T608">
        <f t="shared" si="36"/>
        <v>1</v>
      </c>
      <c r="U608">
        <f t="shared" si="37"/>
        <v>1998</v>
      </c>
      <c r="V608" t="str">
        <f t="shared" si="38"/>
        <v>1/1998</v>
      </c>
      <c r="Y608" s="1">
        <v>35850</v>
      </c>
      <c r="Z608">
        <f t="shared" si="39"/>
        <v>28</v>
      </c>
    </row>
    <row r="609" spans="19:26" x14ac:dyDescent="0.2">
      <c r="S609" s="1">
        <v>35822</v>
      </c>
      <c r="T609">
        <f t="shared" si="36"/>
        <v>1</v>
      </c>
      <c r="U609">
        <f t="shared" si="37"/>
        <v>1998</v>
      </c>
      <c r="V609" t="str">
        <f t="shared" si="38"/>
        <v>1/1998</v>
      </c>
      <c r="Y609" s="1">
        <v>35850</v>
      </c>
      <c r="Z609">
        <f t="shared" si="39"/>
        <v>28</v>
      </c>
    </row>
    <row r="610" spans="19:26" x14ac:dyDescent="0.2">
      <c r="S610" s="1">
        <v>35823</v>
      </c>
      <c r="T610">
        <f t="shared" si="36"/>
        <v>1</v>
      </c>
      <c r="U610">
        <f t="shared" si="37"/>
        <v>1998</v>
      </c>
      <c r="V610" t="str">
        <f t="shared" si="38"/>
        <v>1/1998</v>
      </c>
      <c r="Y610" s="1">
        <v>35851</v>
      </c>
      <c r="Z610">
        <f t="shared" si="39"/>
        <v>28</v>
      </c>
    </row>
    <row r="611" spans="19:26" x14ac:dyDescent="0.2">
      <c r="S611" s="1">
        <v>35823</v>
      </c>
      <c r="T611">
        <f t="shared" si="36"/>
        <v>1</v>
      </c>
      <c r="U611">
        <f t="shared" si="37"/>
        <v>1998</v>
      </c>
      <c r="V611" t="str">
        <f t="shared" si="38"/>
        <v>1/1998</v>
      </c>
      <c r="Y611" s="1">
        <v>35851</v>
      </c>
      <c r="Z611">
        <f t="shared" si="39"/>
        <v>28</v>
      </c>
    </row>
    <row r="612" spans="19:26" x14ac:dyDescent="0.2">
      <c r="S612" s="1">
        <v>35824</v>
      </c>
      <c r="T612">
        <f t="shared" si="36"/>
        <v>1</v>
      </c>
      <c r="U612">
        <f t="shared" si="37"/>
        <v>1998</v>
      </c>
      <c r="V612" t="str">
        <f t="shared" si="38"/>
        <v>1/1998</v>
      </c>
      <c r="Y612" s="1">
        <v>35852</v>
      </c>
      <c r="Z612">
        <f t="shared" si="39"/>
        <v>28</v>
      </c>
    </row>
    <row r="613" spans="19:26" x14ac:dyDescent="0.2">
      <c r="S613" s="1">
        <v>35824</v>
      </c>
      <c r="T613">
        <f t="shared" si="36"/>
        <v>1</v>
      </c>
      <c r="U613">
        <f t="shared" si="37"/>
        <v>1998</v>
      </c>
      <c r="V613" t="str">
        <f t="shared" si="38"/>
        <v>1/1998</v>
      </c>
      <c r="Y613" s="1">
        <v>35852</v>
      </c>
      <c r="Z613">
        <f t="shared" si="39"/>
        <v>28</v>
      </c>
    </row>
    <row r="614" spans="19:26" x14ac:dyDescent="0.2">
      <c r="S614" s="1">
        <v>35824</v>
      </c>
      <c r="T614">
        <f t="shared" si="36"/>
        <v>1</v>
      </c>
      <c r="U614">
        <f t="shared" si="37"/>
        <v>1998</v>
      </c>
      <c r="V614" t="str">
        <f t="shared" si="38"/>
        <v>1/1998</v>
      </c>
      <c r="Y614" s="1">
        <v>35852</v>
      </c>
      <c r="Z614">
        <f t="shared" si="39"/>
        <v>28</v>
      </c>
    </row>
    <row r="615" spans="19:26" x14ac:dyDescent="0.2">
      <c r="S615" s="1">
        <v>35825</v>
      </c>
      <c r="T615">
        <f t="shared" si="36"/>
        <v>1</v>
      </c>
      <c r="U615">
        <f t="shared" si="37"/>
        <v>1998</v>
      </c>
      <c r="V615" t="str">
        <f t="shared" si="38"/>
        <v>1/1998</v>
      </c>
      <c r="Y615" s="1">
        <v>35853</v>
      </c>
      <c r="Z615">
        <f t="shared" si="39"/>
        <v>28</v>
      </c>
    </row>
    <row r="616" spans="19:26" x14ac:dyDescent="0.2">
      <c r="S616" s="1">
        <v>35825</v>
      </c>
      <c r="T616">
        <f t="shared" si="36"/>
        <v>1</v>
      </c>
      <c r="U616">
        <f t="shared" si="37"/>
        <v>1998</v>
      </c>
      <c r="V616" t="str">
        <f t="shared" si="38"/>
        <v>1/1998</v>
      </c>
      <c r="Y616" s="1">
        <v>35867</v>
      </c>
      <c r="Z616">
        <f t="shared" si="39"/>
        <v>42</v>
      </c>
    </row>
    <row r="617" spans="19:26" x14ac:dyDescent="0.2">
      <c r="S617" s="1">
        <v>35828</v>
      </c>
      <c r="T617">
        <f t="shared" si="36"/>
        <v>2</v>
      </c>
      <c r="U617">
        <f t="shared" si="37"/>
        <v>1998</v>
      </c>
      <c r="V617" t="str">
        <f t="shared" si="38"/>
        <v>2/1998</v>
      </c>
      <c r="Y617" s="1">
        <v>35856</v>
      </c>
      <c r="Z617">
        <f t="shared" si="39"/>
        <v>28</v>
      </c>
    </row>
    <row r="618" spans="19:26" x14ac:dyDescent="0.2">
      <c r="S618" s="1">
        <v>35828</v>
      </c>
      <c r="T618">
        <f t="shared" si="36"/>
        <v>2</v>
      </c>
      <c r="U618">
        <f t="shared" si="37"/>
        <v>1998</v>
      </c>
      <c r="V618" t="str">
        <f t="shared" si="38"/>
        <v>2/1998</v>
      </c>
      <c r="Y618" s="1">
        <v>35856</v>
      </c>
      <c r="Z618">
        <f t="shared" si="39"/>
        <v>28</v>
      </c>
    </row>
    <row r="619" spans="19:26" x14ac:dyDescent="0.2">
      <c r="S619" s="1">
        <v>35828</v>
      </c>
      <c r="T619">
        <f t="shared" si="36"/>
        <v>2</v>
      </c>
      <c r="U619">
        <f t="shared" si="37"/>
        <v>1998</v>
      </c>
      <c r="V619" t="str">
        <f t="shared" si="38"/>
        <v>2/1998</v>
      </c>
      <c r="Y619" s="1">
        <v>35842</v>
      </c>
      <c r="Z619">
        <f t="shared" si="39"/>
        <v>14</v>
      </c>
    </row>
    <row r="620" spans="19:26" x14ac:dyDescent="0.2">
      <c r="S620" s="1">
        <v>35829</v>
      </c>
      <c r="T620">
        <f t="shared" si="36"/>
        <v>2</v>
      </c>
      <c r="U620">
        <f t="shared" si="37"/>
        <v>1998</v>
      </c>
      <c r="V620" t="str">
        <f t="shared" si="38"/>
        <v>2/1998</v>
      </c>
      <c r="Y620" s="1">
        <v>35857</v>
      </c>
      <c r="Z620">
        <f t="shared" si="39"/>
        <v>28</v>
      </c>
    </row>
    <row r="621" spans="19:26" x14ac:dyDescent="0.2">
      <c r="S621" s="1">
        <v>35829</v>
      </c>
      <c r="T621">
        <f t="shared" si="36"/>
        <v>2</v>
      </c>
      <c r="U621">
        <f t="shared" si="37"/>
        <v>1998</v>
      </c>
      <c r="V621" t="str">
        <f t="shared" si="38"/>
        <v>2/1998</v>
      </c>
      <c r="Y621" s="1">
        <v>35871</v>
      </c>
      <c r="Z621">
        <f t="shared" si="39"/>
        <v>42</v>
      </c>
    </row>
    <row r="622" spans="19:26" x14ac:dyDescent="0.2">
      <c r="S622" s="1">
        <v>35830</v>
      </c>
      <c r="T622">
        <f t="shared" si="36"/>
        <v>2</v>
      </c>
      <c r="U622">
        <f t="shared" si="37"/>
        <v>1998</v>
      </c>
      <c r="V622" t="str">
        <f t="shared" si="38"/>
        <v>2/1998</v>
      </c>
      <c r="Y622" s="1">
        <v>35858</v>
      </c>
      <c r="Z622">
        <f t="shared" si="39"/>
        <v>28</v>
      </c>
    </row>
    <row r="623" spans="19:26" x14ac:dyDescent="0.2">
      <c r="S623" s="1">
        <v>35830</v>
      </c>
      <c r="T623">
        <f t="shared" si="36"/>
        <v>2</v>
      </c>
      <c r="U623">
        <f t="shared" si="37"/>
        <v>1998</v>
      </c>
      <c r="V623" t="str">
        <f t="shared" si="38"/>
        <v>2/1998</v>
      </c>
      <c r="Y623" s="1">
        <v>35858</v>
      </c>
      <c r="Z623">
        <f t="shared" si="39"/>
        <v>28</v>
      </c>
    </row>
    <row r="624" spans="19:26" x14ac:dyDescent="0.2">
      <c r="S624" s="1">
        <v>35830</v>
      </c>
      <c r="T624">
        <f t="shared" si="36"/>
        <v>2</v>
      </c>
      <c r="U624">
        <f t="shared" si="37"/>
        <v>1998</v>
      </c>
      <c r="V624" t="str">
        <f t="shared" si="38"/>
        <v>2/1998</v>
      </c>
      <c r="Y624" s="1">
        <v>35858</v>
      </c>
      <c r="Z624">
        <f t="shared" si="39"/>
        <v>28</v>
      </c>
    </row>
    <row r="625" spans="19:26" x14ac:dyDescent="0.2">
      <c r="S625" s="1">
        <v>35831</v>
      </c>
      <c r="T625">
        <f t="shared" si="36"/>
        <v>2</v>
      </c>
      <c r="U625">
        <f t="shared" si="37"/>
        <v>1998</v>
      </c>
      <c r="V625" t="str">
        <f t="shared" si="38"/>
        <v>2/1998</v>
      </c>
      <c r="Y625" s="1">
        <v>35859</v>
      </c>
      <c r="Z625">
        <f t="shared" si="39"/>
        <v>28</v>
      </c>
    </row>
    <row r="626" spans="19:26" x14ac:dyDescent="0.2">
      <c r="S626" s="1">
        <v>35831</v>
      </c>
      <c r="T626">
        <f t="shared" si="36"/>
        <v>2</v>
      </c>
      <c r="U626">
        <f t="shared" si="37"/>
        <v>1998</v>
      </c>
      <c r="V626" t="str">
        <f t="shared" si="38"/>
        <v>2/1998</v>
      </c>
      <c r="Y626" s="1">
        <v>35859</v>
      </c>
      <c r="Z626">
        <f t="shared" si="39"/>
        <v>28</v>
      </c>
    </row>
    <row r="627" spans="19:26" x14ac:dyDescent="0.2">
      <c r="S627" s="1">
        <v>35832</v>
      </c>
      <c r="T627">
        <f t="shared" si="36"/>
        <v>2</v>
      </c>
      <c r="U627">
        <f t="shared" si="37"/>
        <v>1998</v>
      </c>
      <c r="V627" t="str">
        <f t="shared" si="38"/>
        <v>2/1998</v>
      </c>
      <c r="Y627" s="1">
        <v>35860</v>
      </c>
      <c r="Z627">
        <f t="shared" si="39"/>
        <v>28</v>
      </c>
    </row>
    <row r="628" spans="19:26" x14ac:dyDescent="0.2">
      <c r="S628" s="1">
        <v>35832</v>
      </c>
      <c r="T628">
        <f t="shared" si="36"/>
        <v>2</v>
      </c>
      <c r="U628">
        <f t="shared" si="37"/>
        <v>1998</v>
      </c>
      <c r="V628" t="str">
        <f t="shared" si="38"/>
        <v>2/1998</v>
      </c>
      <c r="Y628" s="1">
        <v>35860</v>
      </c>
      <c r="Z628">
        <f t="shared" si="39"/>
        <v>28</v>
      </c>
    </row>
    <row r="629" spans="19:26" x14ac:dyDescent="0.2">
      <c r="S629" s="1">
        <v>35832</v>
      </c>
      <c r="T629">
        <f t="shared" si="36"/>
        <v>2</v>
      </c>
      <c r="U629">
        <f t="shared" si="37"/>
        <v>1998</v>
      </c>
      <c r="V629" t="str">
        <f t="shared" si="38"/>
        <v>2/1998</v>
      </c>
      <c r="Y629" s="1">
        <v>35860</v>
      </c>
      <c r="Z629">
        <f t="shared" si="39"/>
        <v>28</v>
      </c>
    </row>
    <row r="630" spans="19:26" x14ac:dyDescent="0.2">
      <c r="S630" s="1">
        <v>35835</v>
      </c>
      <c r="T630">
        <f t="shared" si="36"/>
        <v>2</v>
      </c>
      <c r="U630">
        <f t="shared" si="37"/>
        <v>1998</v>
      </c>
      <c r="V630" t="str">
        <f t="shared" si="38"/>
        <v>2/1998</v>
      </c>
      <c r="Y630" s="1">
        <v>35863</v>
      </c>
      <c r="Z630">
        <f t="shared" si="39"/>
        <v>28</v>
      </c>
    </row>
    <row r="631" spans="19:26" x14ac:dyDescent="0.2">
      <c r="S631" s="1">
        <v>35835</v>
      </c>
      <c r="T631">
        <f t="shared" si="36"/>
        <v>2</v>
      </c>
      <c r="U631">
        <f t="shared" si="37"/>
        <v>1998</v>
      </c>
      <c r="V631" t="str">
        <f t="shared" si="38"/>
        <v>2/1998</v>
      </c>
      <c r="Y631" s="1">
        <v>35863</v>
      </c>
      <c r="Z631">
        <f t="shared" si="39"/>
        <v>28</v>
      </c>
    </row>
    <row r="632" spans="19:26" x14ac:dyDescent="0.2">
      <c r="S632" s="1">
        <v>35836</v>
      </c>
      <c r="T632">
        <f t="shared" si="36"/>
        <v>2</v>
      </c>
      <c r="U632">
        <f t="shared" si="37"/>
        <v>1998</v>
      </c>
      <c r="V632" t="str">
        <f t="shared" si="38"/>
        <v>2/1998</v>
      </c>
      <c r="Y632" s="1">
        <v>35864</v>
      </c>
      <c r="Z632">
        <f t="shared" si="39"/>
        <v>28</v>
      </c>
    </row>
    <row r="633" spans="19:26" x14ac:dyDescent="0.2">
      <c r="S633" s="1">
        <v>35836</v>
      </c>
      <c r="T633">
        <f t="shared" si="36"/>
        <v>2</v>
      </c>
      <c r="U633">
        <f t="shared" si="37"/>
        <v>1998</v>
      </c>
      <c r="V633" t="str">
        <f t="shared" si="38"/>
        <v>2/1998</v>
      </c>
      <c r="Y633" s="1">
        <v>35864</v>
      </c>
      <c r="Z633">
        <f t="shared" si="39"/>
        <v>28</v>
      </c>
    </row>
    <row r="634" spans="19:26" x14ac:dyDescent="0.2">
      <c r="S634" s="1">
        <v>35836</v>
      </c>
      <c r="T634">
        <f t="shared" si="36"/>
        <v>2</v>
      </c>
      <c r="U634">
        <f t="shared" si="37"/>
        <v>1998</v>
      </c>
      <c r="V634" t="str">
        <f t="shared" si="38"/>
        <v>2/1998</v>
      </c>
      <c r="Y634" s="1">
        <v>35878</v>
      </c>
      <c r="Z634">
        <f t="shared" si="39"/>
        <v>42</v>
      </c>
    </row>
    <row r="635" spans="19:26" x14ac:dyDescent="0.2">
      <c r="S635" s="1">
        <v>35837</v>
      </c>
      <c r="T635">
        <f t="shared" si="36"/>
        <v>2</v>
      </c>
      <c r="U635">
        <f t="shared" si="37"/>
        <v>1998</v>
      </c>
      <c r="V635" t="str">
        <f t="shared" si="38"/>
        <v>2/1998</v>
      </c>
      <c r="Y635" s="1">
        <v>35865</v>
      </c>
      <c r="Z635">
        <f t="shared" si="39"/>
        <v>28</v>
      </c>
    </row>
    <row r="636" spans="19:26" x14ac:dyDescent="0.2">
      <c r="S636" s="1">
        <v>35837</v>
      </c>
      <c r="T636">
        <f t="shared" si="36"/>
        <v>2</v>
      </c>
      <c r="U636">
        <f t="shared" si="37"/>
        <v>1998</v>
      </c>
      <c r="V636" t="str">
        <f t="shared" si="38"/>
        <v>2/1998</v>
      </c>
      <c r="Y636" s="1">
        <v>35865</v>
      </c>
      <c r="Z636">
        <f t="shared" si="39"/>
        <v>28</v>
      </c>
    </row>
    <row r="637" spans="19:26" x14ac:dyDescent="0.2">
      <c r="S637" s="1">
        <v>35838</v>
      </c>
      <c r="T637">
        <f t="shared" si="36"/>
        <v>2</v>
      </c>
      <c r="U637">
        <f t="shared" si="37"/>
        <v>1998</v>
      </c>
      <c r="V637" t="str">
        <f t="shared" si="38"/>
        <v>2/1998</v>
      </c>
      <c r="Y637" s="1">
        <v>35866</v>
      </c>
      <c r="Z637">
        <f t="shared" si="39"/>
        <v>28</v>
      </c>
    </row>
    <row r="638" spans="19:26" x14ac:dyDescent="0.2">
      <c r="S638" s="1">
        <v>35838</v>
      </c>
      <c r="T638">
        <f t="shared" si="36"/>
        <v>2</v>
      </c>
      <c r="U638">
        <f t="shared" si="37"/>
        <v>1998</v>
      </c>
      <c r="V638" t="str">
        <f t="shared" si="38"/>
        <v>2/1998</v>
      </c>
      <c r="Y638" s="1">
        <v>35866</v>
      </c>
      <c r="Z638">
        <f t="shared" si="39"/>
        <v>28</v>
      </c>
    </row>
    <row r="639" spans="19:26" x14ac:dyDescent="0.2">
      <c r="S639" s="1">
        <v>35838</v>
      </c>
      <c r="T639">
        <f t="shared" si="36"/>
        <v>2</v>
      </c>
      <c r="U639">
        <f t="shared" si="37"/>
        <v>1998</v>
      </c>
      <c r="V639" t="str">
        <f t="shared" si="38"/>
        <v>2/1998</v>
      </c>
      <c r="Y639" s="1">
        <v>35866</v>
      </c>
      <c r="Z639">
        <f t="shared" si="39"/>
        <v>28</v>
      </c>
    </row>
    <row r="640" spans="19:26" x14ac:dyDescent="0.2">
      <c r="S640" s="1">
        <v>35839</v>
      </c>
      <c r="T640">
        <f t="shared" si="36"/>
        <v>2</v>
      </c>
      <c r="U640">
        <f t="shared" si="37"/>
        <v>1998</v>
      </c>
      <c r="V640" t="str">
        <f t="shared" si="38"/>
        <v>2/1998</v>
      </c>
      <c r="Y640" s="1">
        <v>35867</v>
      </c>
      <c r="Z640">
        <f t="shared" si="39"/>
        <v>28</v>
      </c>
    </row>
    <row r="641" spans="19:26" x14ac:dyDescent="0.2">
      <c r="S641" s="1">
        <v>35839</v>
      </c>
      <c r="T641">
        <f t="shared" si="36"/>
        <v>2</v>
      </c>
      <c r="U641">
        <f t="shared" si="37"/>
        <v>1998</v>
      </c>
      <c r="V641" t="str">
        <f t="shared" si="38"/>
        <v>2/1998</v>
      </c>
      <c r="Y641" s="1">
        <v>35867</v>
      </c>
      <c r="Z641">
        <f t="shared" si="39"/>
        <v>28</v>
      </c>
    </row>
    <row r="642" spans="19:26" x14ac:dyDescent="0.2">
      <c r="S642" s="1">
        <v>35842</v>
      </c>
      <c r="T642">
        <f t="shared" si="36"/>
        <v>2</v>
      </c>
      <c r="U642">
        <f t="shared" si="37"/>
        <v>1998</v>
      </c>
      <c r="V642" t="str">
        <f t="shared" si="38"/>
        <v>2/1998</v>
      </c>
      <c r="Y642" s="1">
        <v>35870</v>
      </c>
      <c r="Z642">
        <f t="shared" si="39"/>
        <v>28</v>
      </c>
    </row>
    <row r="643" spans="19:26" x14ac:dyDescent="0.2">
      <c r="S643" s="1">
        <v>35842</v>
      </c>
      <c r="T643">
        <f t="shared" ref="T643:T706" si="40">MONTH(S643)</f>
        <v>2</v>
      </c>
      <c r="U643">
        <f t="shared" ref="U643:U706" si="41">YEAR(S643)</f>
        <v>1998</v>
      </c>
      <c r="V643" t="str">
        <f t="shared" ref="V643:V706" si="42">T643&amp;"/"&amp;U643</f>
        <v>2/1998</v>
      </c>
      <c r="Y643" s="1">
        <v>35870</v>
      </c>
      <c r="Z643">
        <f t="shared" ref="Z643:Z706" si="43">Y643-S643</f>
        <v>28</v>
      </c>
    </row>
    <row r="644" spans="19:26" x14ac:dyDescent="0.2">
      <c r="S644" s="1">
        <v>35842</v>
      </c>
      <c r="T644">
        <f t="shared" si="40"/>
        <v>2</v>
      </c>
      <c r="U644">
        <f t="shared" si="41"/>
        <v>1998</v>
      </c>
      <c r="V644" t="str">
        <f t="shared" si="42"/>
        <v>2/1998</v>
      </c>
      <c r="Y644" s="1">
        <v>35870</v>
      </c>
      <c r="Z644">
        <f t="shared" si="43"/>
        <v>28</v>
      </c>
    </row>
    <row r="645" spans="19:26" x14ac:dyDescent="0.2">
      <c r="S645" s="1">
        <v>35843</v>
      </c>
      <c r="T645">
        <f t="shared" si="40"/>
        <v>2</v>
      </c>
      <c r="U645">
        <f t="shared" si="41"/>
        <v>1998</v>
      </c>
      <c r="V645" t="str">
        <f t="shared" si="42"/>
        <v>2/1998</v>
      </c>
      <c r="Y645" s="1">
        <v>35871</v>
      </c>
      <c r="Z645">
        <f t="shared" si="43"/>
        <v>28</v>
      </c>
    </row>
    <row r="646" spans="19:26" x14ac:dyDescent="0.2">
      <c r="S646" s="1">
        <v>35843</v>
      </c>
      <c r="T646">
        <f t="shared" si="40"/>
        <v>2</v>
      </c>
      <c r="U646">
        <f t="shared" si="41"/>
        <v>1998</v>
      </c>
      <c r="V646" t="str">
        <f t="shared" si="42"/>
        <v>2/1998</v>
      </c>
      <c r="Y646" s="1">
        <v>35871</v>
      </c>
      <c r="Z646">
        <f t="shared" si="43"/>
        <v>28</v>
      </c>
    </row>
    <row r="647" spans="19:26" x14ac:dyDescent="0.2">
      <c r="S647" s="1">
        <v>35844</v>
      </c>
      <c r="T647">
        <f t="shared" si="40"/>
        <v>2</v>
      </c>
      <c r="U647">
        <f t="shared" si="41"/>
        <v>1998</v>
      </c>
      <c r="V647" t="str">
        <f t="shared" si="42"/>
        <v>2/1998</v>
      </c>
      <c r="Y647" s="1">
        <v>35872</v>
      </c>
      <c r="Z647">
        <f t="shared" si="43"/>
        <v>28</v>
      </c>
    </row>
    <row r="648" spans="19:26" x14ac:dyDescent="0.2">
      <c r="S648" s="1">
        <v>35844</v>
      </c>
      <c r="T648">
        <f t="shared" si="40"/>
        <v>2</v>
      </c>
      <c r="U648">
        <f t="shared" si="41"/>
        <v>1998</v>
      </c>
      <c r="V648" t="str">
        <f t="shared" si="42"/>
        <v>2/1998</v>
      </c>
      <c r="Y648" s="1">
        <v>35872</v>
      </c>
      <c r="Z648">
        <f t="shared" si="43"/>
        <v>28</v>
      </c>
    </row>
    <row r="649" spans="19:26" x14ac:dyDescent="0.2">
      <c r="S649" s="1">
        <v>35844</v>
      </c>
      <c r="T649">
        <f t="shared" si="40"/>
        <v>2</v>
      </c>
      <c r="U649">
        <f t="shared" si="41"/>
        <v>1998</v>
      </c>
      <c r="V649" t="str">
        <f t="shared" si="42"/>
        <v>2/1998</v>
      </c>
      <c r="Y649" s="1">
        <v>35872</v>
      </c>
      <c r="Z649">
        <f t="shared" si="43"/>
        <v>28</v>
      </c>
    </row>
    <row r="650" spans="19:26" x14ac:dyDescent="0.2">
      <c r="S650" s="1">
        <v>35845</v>
      </c>
      <c r="T650">
        <f t="shared" si="40"/>
        <v>2</v>
      </c>
      <c r="U650">
        <f t="shared" si="41"/>
        <v>1998</v>
      </c>
      <c r="V650" t="str">
        <f t="shared" si="42"/>
        <v>2/1998</v>
      </c>
      <c r="Y650" s="1">
        <v>35873</v>
      </c>
      <c r="Z650">
        <f t="shared" si="43"/>
        <v>28</v>
      </c>
    </row>
    <row r="651" spans="19:26" x14ac:dyDescent="0.2">
      <c r="S651" s="1">
        <v>35845</v>
      </c>
      <c r="T651">
        <f t="shared" si="40"/>
        <v>2</v>
      </c>
      <c r="U651">
        <f t="shared" si="41"/>
        <v>1998</v>
      </c>
      <c r="V651" t="str">
        <f t="shared" si="42"/>
        <v>2/1998</v>
      </c>
      <c r="Y651" s="1">
        <v>35873</v>
      </c>
      <c r="Z651">
        <f t="shared" si="43"/>
        <v>28</v>
      </c>
    </row>
    <row r="652" spans="19:26" x14ac:dyDescent="0.2">
      <c r="S652" s="1">
        <v>35846</v>
      </c>
      <c r="T652">
        <f t="shared" si="40"/>
        <v>2</v>
      </c>
      <c r="U652">
        <f t="shared" si="41"/>
        <v>1998</v>
      </c>
      <c r="V652" t="str">
        <f t="shared" si="42"/>
        <v>2/1998</v>
      </c>
      <c r="Y652" s="1">
        <v>35874</v>
      </c>
      <c r="Z652">
        <f t="shared" si="43"/>
        <v>28</v>
      </c>
    </row>
    <row r="653" spans="19:26" x14ac:dyDescent="0.2">
      <c r="S653" s="1">
        <v>35846</v>
      </c>
      <c r="T653">
        <f t="shared" si="40"/>
        <v>2</v>
      </c>
      <c r="U653">
        <f t="shared" si="41"/>
        <v>1998</v>
      </c>
      <c r="V653" t="str">
        <f t="shared" si="42"/>
        <v>2/1998</v>
      </c>
      <c r="Y653" s="1">
        <v>35874</v>
      </c>
      <c r="Z653">
        <f t="shared" si="43"/>
        <v>28</v>
      </c>
    </row>
    <row r="654" spans="19:26" x14ac:dyDescent="0.2">
      <c r="S654" s="1">
        <v>35846</v>
      </c>
      <c r="T654">
        <f t="shared" si="40"/>
        <v>2</v>
      </c>
      <c r="U654">
        <f t="shared" si="41"/>
        <v>1998</v>
      </c>
      <c r="V654" t="str">
        <f t="shared" si="42"/>
        <v>2/1998</v>
      </c>
      <c r="Y654" s="1">
        <v>35874</v>
      </c>
      <c r="Z654">
        <f t="shared" si="43"/>
        <v>28</v>
      </c>
    </row>
    <row r="655" spans="19:26" x14ac:dyDescent="0.2">
      <c r="S655" s="1">
        <v>35849</v>
      </c>
      <c r="T655">
        <f t="shared" si="40"/>
        <v>2</v>
      </c>
      <c r="U655">
        <f t="shared" si="41"/>
        <v>1998</v>
      </c>
      <c r="V655" t="str">
        <f t="shared" si="42"/>
        <v>2/1998</v>
      </c>
      <c r="Y655" s="1">
        <v>35877</v>
      </c>
      <c r="Z655">
        <f t="shared" si="43"/>
        <v>28</v>
      </c>
    </row>
    <row r="656" spans="19:26" x14ac:dyDescent="0.2">
      <c r="S656" s="1">
        <v>35849</v>
      </c>
      <c r="T656">
        <f t="shared" si="40"/>
        <v>2</v>
      </c>
      <c r="U656">
        <f t="shared" si="41"/>
        <v>1998</v>
      </c>
      <c r="V656" t="str">
        <f t="shared" si="42"/>
        <v>2/1998</v>
      </c>
      <c r="Y656" s="1">
        <v>35877</v>
      </c>
      <c r="Z656">
        <f t="shared" si="43"/>
        <v>28</v>
      </c>
    </row>
    <row r="657" spans="19:26" x14ac:dyDescent="0.2">
      <c r="S657" s="1">
        <v>35850</v>
      </c>
      <c r="T657">
        <f t="shared" si="40"/>
        <v>2</v>
      </c>
      <c r="U657">
        <f t="shared" si="41"/>
        <v>1998</v>
      </c>
      <c r="V657" t="str">
        <f t="shared" si="42"/>
        <v>2/1998</v>
      </c>
      <c r="Y657" s="1">
        <v>35878</v>
      </c>
      <c r="Z657">
        <f t="shared" si="43"/>
        <v>28</v>
      </c>
    </row>
    <row r="658" spans="19:26" x14ac:dyDescent="0.2">
      <c r="S658" s="1">
        <v>35850</v>
      </c>
      <c r="T658">
        <f t="shared" si="40"/>
        <v>2</v>
      </c>
      <c r="U658">
        <f t="shared" si="41"/>
        <v>1998</v>
      </c>
      <c r="V658" t="str">
        <f t="shared" si="42"/>
        <v>2/1998</v>
      </c>
      <c r="Y658" s="1">
        <v>35878</v>
      </c>
      <c r="Z658">
        <f t="shared" si="43"/>
        <v>28</v>
      </c>
    </row>
    <row r="659" spans="19:26" x14ac:dyDescent="0.2">
      <c r="S659" s="1">
        <v>35850</v>
      </c>
      <c r="T659">
        <f t="shared" si="40"/>
        <v>2</v>
      </c>
      <c r="U659">
        <f t="shared" si="41"/>
        <v>1998</v>
      </c>
      <c r="V659" t="str">
        <f t="shared" si="42"/>
        <v>2/1998</v>
      </c>
      <c r="Y659" s="1">
        <v>35878</v>
      </c>
      <c r="Z659">
        <f t="shared" si="43"/>
        <v>28</v>
      </c>
    </row>
    <row r="660" spans="19:26" x14ac:dyDescent="0.2">
      <c r="S660" s="1">
        <v>35851</v>
      </c>
      <c r="T660">
        <f t="shared" si="40"/>
        <v>2</v>
      </c>
      <c r="U660">
        <f t="shared" si="41"/>
        <v>1998</v>
      </c>
      <c r="V660" t="str">
        <f t="shared" si="42"/>
        <v>2/1998</v>
      </c>
      <c r="Y660" s="1">
        <v>35865</v>
      </c>
      <c r="Z660">
        <f t="shared" si="43"/>
        <v>14</v>
      </c>
    </row>
    <row r="661" spans="19:26" x14ac:dyDescent="0.2">
      <c r="S661" s="1">
        <v>35851</v>
      </c>
      <c r="T661">
        <f t="shared" si="40"/>
        <v>2</v>
      </c>
      <c r="U661">
        <f t="shared" si="41"/>
        <v>1998</v>
      </c>
      <c r="V661" t="str">
        <f t="shared" si="42"/>
        <v>2/1998</v>
      </c>
      <c r="Y661" s="1">
        <v>35879</v>
      </c>
      <c r="Z661">
        <f t="shared" si="43"/>
        <v>28</v>
      </c>
    </row>
    <row r="662" spans="19:26" x14ac:dyDescent="0.2">
      <c r="S662" s="1">
        <v>35852</v>
      </c>
      <c r="T662">
        <f t="shared" si="40"/>
        <v>2</v>
      </c>
      <c r="U662">
        <f t="shared" si="41"/>
        <v>1998</v>
      </c>
      <c r="V662" t="str">
        <f t="shared" si="42"/>
        <v>2/1998</v>
      </c>
      <c r="Y662" s="1">
        <v>35880</v>
      </c>
      <c r="Z662">
        <f t="shared" si="43"/>
        <v>28</v>
      </c>
    </row>
    <row r="663" spans="19:26" x14ac:dyDescent="0.2">
      <c r="S663" s="1">
        <v>35852</v>
      </c>
      <c r="T663">
        <f t="shared" si="40"/>
        <v>2</v>
      </c>
      <c r="U663">
        <f t="shared" si="41"/>
        <v>1998</v>
      </c>
      <c r="V663" t="str">
        <f t="shared" si="42"/>
        <v>2/1998</v>
      </c>
      <c r="Y663" s="1">
        <v>35880</v>
      </c>
      <c r="Z663">
        <f t="shared" si="43"/>
        <v>28</v>
      </c>
    </row>
    <row r="664" spans="19:26" x14ac:dyDescent="0.2">
      <c r="S664" s="1">
        <v>35852</v>
      </c>
      <c r="T664">
        <f t="shared" si="40"/>
        <v>2</v>
      </c>
      <c r="U664">
        <f t="shared" si="41"/>
        <v>1998</v>
      </c>
      <c r="V664" t="str">
        <f t="shared" si="42"/>
        <v>2/1998</v>
      </c>
      <c r="Y664" s="1">
        <v>35880</v>
      </c>
      <c r="Z664">
        <f t="shared" si="43"/>
        <v>28</v>
      </c>
    </row>
    <row r="665" spans="19:26" x14ac:dyDescent="0.2">
      <c r="S665" s="1">
        <v>35852</v>
      </c>
      <c r="T665">
        <f t="shared" si="40"/>
        <v>2</v>
      </c>
      <c r="U665">
        <f t="shared" si="41"/>
        <v>1998</v>
      </c>
      <c r="V665" t="str">
        <f t="shared" si="42"/>
        <v>2/1998</v>
      </c>
      <c r="Y665" s="1">
        <v>35880</v>
      </c>
      <c r="Z665">
        <f t="shared" si="43"/>
        <v>28</v>
      </c>
    </row>
    <row r="666" spans="19:26" x14ac:dyDescent="0.2">
      <c r="S666" s="1">
        <v>35852</v>
      </c>
      <c r="T666">
        <f t="shared" si="40"/>
        <v>2</v>
      </c>
      <c r="U666">
        <f t="shared" si="41"/>
        <v>1998</v>
      </c>
      <c r="V666" t="str">
        <f t="shared" si="42"/>
        <v>2/1998</v>
      </c>
      <c r="Y666" s="1">
        <v>35880</v>
      </c>
      <c r="Z666">
        <f t="shared" si="43"/>
        <v>28</v>
      </c>
    </row>
    <row r="667" spans="19:26" x14ac:dyDescent="0.2">
      <c r="S667" s="1">
        <v>35852</v>
      </c>
      <c r="T667">
        <f t="shared" si="40"/>
        <v>2</v>
      </c>
      <c r="U667">
        <f t="shared" si="41"/>
        <v>1998</v>
      </c>
      <c r="V667" t="str">
        <f t="shared" si="42"/>
        <v>2/1998</v>
      </c>
      <c r="Y667" s="1">
        <v>35880</v>
      </c>
      <c r="Z667">
        <f t="shared" si="43"/>
        <v>28</v>
      </c>
    </row>
    <row r="668" spans="19:26" x14ac:dyDescent="0.2">
      <c r="S668" s="1">
        <v>35853</v>
      </c>
      <c r="T668">
        <f t="shared" si="40"/>
        <v>2</v>
      </c>
      <c r="U668">
        <f t="shared" si="41"/>
        <v>1998</v>
      </c>
      <c r="V668" t="str">
        <f t="shared" si="42"/>
        <v>2/1998</v>
      </c>
      <c r="Y668" s="1">
        <v>35881</v>
      </c>
      <c r="Z668">
        <f t="shared" si="43"/>
        <v>28</v>
      </c>
    </row>
    <row r="669" spans="19:26" x14ac:dyDescent="0.2">
      <c r="S669" s="1">
        <v>35853</v>
      </c>
      <c r="T669">
        <f t="shared" si="40"/>
        <v>2</v>
      </c>
      <c r="U669">
        <f t="shared" si="41"/>
        <v>1998</v>
      </c>
      <c r="V669" t="str">
        <f t="shared" si="42"/>
        <v>2/1998</v>
      </c>
      <c r="Y669" s="1">
        <v>35881</v>
      </c>
      <c r="Z669">
        <f t="shared" si="43"/>
        <v>28</v>
      </c>
    </row>
    <row r="670" spans="19:26" x14ac:dyDescent="0.2">
      <c r="S670" s="1">
        <v>35853</v>
      </c>
      <c r="T670">
        <f t="shared" si="40"/>
        <v>2</v>
      </c>
      <c r="U670">
        <f t="shared" si="41"/>
        <v>1998</v>
      </c>
      <c r="V670" t="str">
        <f t="shared" si="42"/>
        <v>2/1998</v>
      </c>
      <c r="Y670" s="1">
        <v>35881</v>
      </c>
      <c r="Z670">
        <f t="shared" si="43"/>
        <v>28</v>
      </c>
    </row>
    <row r="671" spans="19:26" x14ac:dyDescent="0.2">
      <c r="S671" s="1">
        <v>35856</v>
      </c>
      <c r="T671">
        <f t="shared" si="40"/>
        <v>3</v>
      </c>
      <c r="U671">
        <f t="shared" si="41"/>
        <v>1998</v>
      </c>
      <c r="V671" t="str">
        <f t="shared" si="42"/>
        <v>3/1998</v>
      </c>
      <c r="Y671" s="1">
        <v>35884</v>
      </c>
      <c r="Z671">
        <f t="shared" si="43"/>
        <v>28</v>
      </c>
    </row>
    <row r="672" spans="19:26" x14ac:dyDescent="0.2">
      <c r="S672" s="1">
        <v>35856</v>
      </c>
      <c r="T672">
        <f t="shared" si="40"/>
        <v>3</v>
      </c>
      <c r="U672">
        <f t="shared" si="41"/>
        <v>1998</v>
      </c>
      <c r="V672" t="str">
        <f t="shared" si="42"/>
        <v>3/1998</v>
      </c>
      <c r="Y672" s="1">
        <v>35884</v>
      </c>
      <c r="Z672">
        <f t="shared" si="43"/>
        <v>28</v>
      </c>
    </row>
    <row r="673" spans="19:26" x14ac:dyDescent="0.2">
      <c r="S673" s="1">
        <v>35856</v>
      </c>
      <c r="T673">
        <f t="shared" si="40"/>
        <v>3</v>
      </c>
      <c r="U673">
        <f t="shared" si="41"/>
        <v>1998</v>
      </c>
      <c r="V673" t="str">
        <f t="shared" si="42"/>
        <v>3/1998</v>
      </c>
      <c r="Y673" s="1">
        <v>35884</v>
      </c>
      <c r="Z673">
        <f t="shared" si="43"/>
        <v>28</v>
      </c>
    </row>
    <row r="674" spans="19:26" x14ac:dyDescent="0.2">
      <c r="S674" s="1">
        <v>35857</v>
      </c>
      <c r="T674">
        <f t="shared" si="40"/>
        <v>3</v>
      </c>
      <c r="U674">
        <f t="shared" si="41"/>
        <v>1998</v>
      </c>
      <c r="V674" t="str">
        <f t="shared" si="42"/>
        <v>3/1998</v>
      </c>
      <c r="Y674" s="1">
        <v>35885</v>
      </c>
      <c r="Z674">
        <f t="shared" si="43"/>
        <v>28</v>
      </c>
    </row>
    <row r="675" spans="19:26" x14ac:dyDescent="0.2">
      <c r="S675" s="1">
        <v>35857</v>
      </c>
      <c r="T675">
        <f t="shared" si="40"/>
        <v>3</v>
      </c>
      <c r="U675">
        <f t="shared" si="41"/>
        <v>1998</v>
      </c>
      <c r="V675" t="str">
        <f t="shared" si="42"/>
        <v>3/1998</v>
      </c>
      <c r="Y675" s="1">
        <v>35899</v>
      </c>
      <c r="Z675">
        <f t="shared" si="43"/>
        <v>42</v>
      </c>
    </row>
    <row r="676" spans="19:26" x14ac:dyDescent="0.2">
      <c r="S676" s="1">
        <v>35857</v>
      </c>
      <c r="T676">
        <f t="shared" si="40"/>
        <v>3</v>
      </c>
      <c r="U676">
        <f t="shared" si="41"/>
        <v>1998</v>
      </c>
      <c r="V676" t="str">
        <f t="shared" si="42"/>
        <v>3/1998</v>
      </c>
      <c r="Y676" s="1">
        <v>35885</v>
      </c>
      <c r="Z676">
        <f t="shared" si="43"/>
        <v>28</v>
      </c>
    </row>
    <row r="677" spans="19:26" x14ac:dyDescent="0.2">
      <c r="S677" s="1">
        <v>35857</v>
      </c>
      <c r="T677">
        <f t="shared" si="40"/>
        <v>3</v>
      </c>
      <c r="U677">
        <f t="shared" si="41"/>
        <v>1998</v>
      </c>
      <c r="V677" t="str">
        <f t="shared" si="42"/>
        <v>3/1998</v>
      </c>
      <c r="Y677" s="1">
        <v>35899</v>
      </c>
      <c r="Z677">
        <f t="shared" si="43"/>
        <v>42</v>
      </c>
    </row>
    <row r="678" spans="19:26" x14ac:dyDescent="0.2">
      <c r="S678" s="1">
        <v>35858</v>
      </c>
      <c r="T678">
        <f t="shared" si="40"/>
        <v>3</v>
      </c>
      <c r="U678">
        <f t="shared" si="41"/>
        <v>1998</v>
      </c>
      <c r="V678" t="str">
        <f t="shared" si="42"/>
        <v>3/1998</v>
      </c>
      <c r="Y678" s="1">
        <v>35886</v>
      </c>
      <c r="Z678">
        <f t="shared" si="43"/>
        <v>28</v>
      </c>
    </row>
    <row r="679" spans="19:26" x14ac:dyDescent="0.2">
      <c r="S679" s="1">
        <v>35858</v>
      </c>
      <c r="T679">
        <f t="shared" si="40"/>
        <v>3</v>
      </c>
      <c r="U679">
        <f t="shared" si="41"/>
        <v>1998</v>
      </c>
      <c r="V679" t="str">
        <f t="shared" si="42"/>
        <v>3/1998</v>
      </c>
      <c r="Y679" s="1">
        <v>35886</v>
      </c>
      <c r="Z679">
        <f t="shared" si="43"/>
        <v>28</v>
      </c>
    </row>
    <row r="680" spans="19:26" x14ac:dyDescent="0.2">
      <c r="S680" s="1">
        <v>35858</v>
      </c>
      <c r="T680">
        <f t="shared" si="40"/>
        <v>3</v>
      </c>
      <c r="U680">
        <f t="shared" si="41"/>
        <v>1998</v>
      </c>
      <c r="V680" t="str">
        <f t="shared" si="42"/>
        <v>3/1998</v>
      </c>
      <c r="Y680" s="1">
        <v>35886</v>
      </c>
      <c r="Z680">
        <f t="shared" si="43"/>
        <v>28</v>
      </c>
    </row>
    <row r="681" spans="19:26" x14ac:dyDescent="0.2">
      <c r="S681" s="1">
        <v>35859</v>
      </c>
      <c r="T681">
        <f t="shared" si="40"/>
        <v>3</v>
      </c>
      <c r="U681">
        <f t="shared" si="41"/>
        <v>1998</v>
      </c>
      <c r="V681" t="str">
        <f t="shared" si="42"/>
        <v>3/1998</v>
      </c>
      <c r="Y681" s="1">
        <v>35887</v>
      </c>
      <c r="Z681">
        <f t="shared" si="43"/>
        <v>28</v>
      </c>
    </row>
    <row r="682" spans="19:26" x14ac:dyDescent="0.2">
      <c r="S682" s="1">
        <v>35859</v>
      </c>
      <c r="T682">
        <f t="shared" si="40"/>
        <v>3</v>
      </c>
      <c r="U682">
        <f t="shared" si="41"/>
        <v>1998</v>
      </c>
      <c r="V682" t="str">
        <f t="shared" si="42"/>
        <v>3/1998</v>
      </c>
      <c r="Y682" s="1">
        <v>35887</v>
      </c>
      <c r="Z682">
        <f t="shared" si="43"/>
        <v>28</v>
      </c>
    </row>
    <row r="683" spans="19:26" x14ac:dyDescent="0.2">
      <c r="S683" s="1">
        <v>35859</v>
      </c>
      <c r="T683">
        <f t="shared" si="40"/>
        <v>3</v>
      </c>
      <c r="U683">
        <f t="shared" si="41"/>
        <v>1998</v>
      </c>
      <c r="V683" t="str">
        <f t="shared" si="42"/>
        <v>3/1998</v>
      </c>
      <c r="Y683" s="1">
        <v>35887</v>
      </c>
      <c r="Z683">
        <f t="shared" si="43"/>
        <v>28</v>
      </c>
    </row>
    <row r="684" spans="19:26" x14ac:dyDescent="0.2">
      <c r="S684" s="1">
        <v>35860</v>
      </c>
      <c r="T684">
        <f t="shared" si="40"/>
        <v>3</v>
      </c>
      <c r="U684">
        <f t="shared" si="41"/>
        <v>1998</v>
      </c>
      <c r="V684" t="str">
        <f t="shared" si="42"/>
        <v>3/1998</v>
      </c>
      <c r="Y684" s="1">
        <v>35902</v>
      </c>
      <c r="Z684">
        <f t="shared" si="43"/>
        <v>42</v>
      </c>
    </row>
    <row r="685" spans="19:26" x14ac:dyDescent="0.2">
      <c r="S685" s="1">
        <v>35860</v>
      </c>
      <c r="T685">
        <f t="shared" si="40"/>
        <v>3</v>
      </c>
      <c r="U685">
        <f t="shared" si="41"/>
        <v>1998</v>
      </c>
      <c r="V685" t="str">
        <f t="shared" si="42"/>
        <v>3/1998</v>
      </c>
      <c r="Y685" s="1">
        <v>35874</v>
      </c>
      <c r="Z685">
        <f t="shared" si="43"/>
        <v>14</v>
      </c>
    </row>
    <row r="686" spans="19:26" x14ac:dyDescent="0.2">
      <c r="S686" s="1">
        <v>35860</v>
      </c>
      <c r="T686">
        <f t="shared" si="40"/>
        <v>3</v>
      </c>
      <c r="U686">
        <f t="shared" si="41"/>
        <v>1998</v>
      </c>
      <c r="V686" t="str">
        <f t="shared" si="42"/>
        <v>3/1998</v>
      </c>
      <c r="Y686" s="1">
        <v>35888</v>
      </c>
      <c r="Z686">
        <f t="shared" si="43"/>
        <v>28</v>
      </c>
    </row>
    <row r="687" spans="19:26" x14ac:dyDescent="0.2">
      <c r="S687" s="1">
        <v>35860</v>
      </c>
      <c r="T687">
        <f t="shared" si="40"/>
        <v>3</v>
      </c>
      <c r="U687">
        <f t="shared" si="41"/>
        <v>1998</v>
      </c>
      <c r="V687" t="str">
        <f t="shared" si="42"/>
        <v>3/1998</v>
      </c>
      <c r="Y687" s="1">
        <v>35888</v>
      </c>
      <c r="Z687">
        <f t="shared" si="43"/>
        <v>28</v>
      </c>
    </row>
    <row r="688" spans="19:26" x14ac:dyDescent="0.2">
      <c r="S688" s="1">
        <v>35863</v>
      </c>
      <c r="T688">
        <f t="shared" si="40"/>
        <v>3</v>
      </c>
      <c r="U688">
        <f t="shared" si="41"/>
        <v>1998</v>
      </c>
      <c r="V688" t="str">
        <f t="shared" si="42"/>
        <v>3/1998</v>
      </c>
      <c r="Y688" s="1">
        <v>35891</v>
      </c>
      <c r="Z688">
        <f t="shared" si="43"/>
        <v>28</v>
      </c>
    </row>
    <row r="689" spans="19:26" x14ac:dyDescent="0.2">
      <c r="S689" s="1">
        <v>35863</v>
      </c>
      <c r="T689">
        <f t="shared" si="40"/>
        <v>3</v>
      </c>
      <c r="U689">
        <f t="shared" si="41"/>
        <v>1998</v>
      </c>
      <c r="V689" t="str">
        <f t="shared" si="42"/>
        <v>3/1998</v>
      </c>
      <c r="Y689" s="1">
        <v>35891</v>
      </c>
      <c r="Z689">
        <f t="shared" si="43"/>
        <v>28</v>
      </c>
    </row>
    <row r="690" spans="19:26" x14ac:dyDescent="0.2">
      <c r="S690" s="1">
        <v>35863</v>
      </c>
      <c r="T690">
        <f t="shared" si="40"/>
        <v>3</v>
      </c>
      <c r="U690">
        <f t="shared" si="41"/>
        <v>1998</v>
      </c>
      <c r="V690" t="str">
        <f t="shared" si="42"/>
        <v>3/1998</v>
      </c>
      <c r="Y690" s="1">
        <v>35891</v>
      </c>
      <c r="Z690">
        <f t="shared" si="43"/>
        <v>28</v>
      </c>
    </row>
    <row r="691" spans="19:26" x14ac:dyDescent="0.2">
      <c r="S691" s="1">
        <v>35864</v>
      </c>
      <c r="T691">
        <f t="shared" si="40"/>
        <v>3</v>
      </c>
      <c r="U691">
        <f t="shared" si="41"/>
        <v>1998</v>
      </c>
      <c r="V691" t="str">
        <f t="shared" si="42"/>
        <v>3/1998</v>
      </c>
      <c r="Y691" s="1">
        <v>35878</v>
      </c>
      <c r="Z691">
        <f t="shared" si="43"/>
        <v>14</v>
      </c>
    </row>
    <row r="692" spans="19:26" x14ac:dyDescent="0.2">
      <c r="S692" s="1">
        <v>35864</v>
      </c>
      <c r="T692">
        <f t="shared" si="40"/>
        <v>3</v>
      </c>
      <c r="U692">
        <f t="shared" si="41"/>
        <v>1998</v>
      </c>
      <c r="V692" t="str">
        <f t="shared" si="42"/>
        <v>3/1998</v>
      </c>
      <c r="Y692" s="1">
        <v>35892</v>
      </c>
      <c r="Z692">
        <f t="shared" si="43"/>
        <v>28</v>
      </c>
    </row>
    <row r="693" spans="19:26" x14ac:dyDescent="0.2">
      <c r="S693" s="1">
        <v>35864</v>
      </c>
      <c r="T693">
        <f t="shared" si="40"/>
        <v>3</v>
      </c>
      <c r="U693">
        <f t="shared" si="41"/>
        <v>1998</v>
      </c>
      <c r="V693" t="str">
        <f t="shared" si="42"/>
        <v>3/1998</v>
      </c>
      <c r="Y693" s="1">
        <v>35892</v>
      </c>
      <c r="Z693">
        <f t="shared" si="43"/>
        <v>28</v>
      </c>
    </row>
    <row r="694" spans="19:26" x14ac:dyDescent="0.2">
      <c r="S694" s="1">
        <v>35865</v>
      </c>
      <c r="T694">
        <f t="shared" si="40"/>
        <v>3</v>
      </c>
      <c r="U694">
        <f t="shared" si="41"/>
        <v>1998</v>
      </c>
      <c r="V694" t="str">
        <f t="shared" si="42"/>
        <v>3/1998</v>
      </c>
      <c r="Y694" s="1">
        <v>35893</v>
      </c>
      <c r="Z694">
        <f t="shared" si="43"/>
        <v>28</v>
      </c>
    </row>
    <row r="695" spans="19:26" x14ac:dyDescent="0.2">
      <c r="S695" s="1">
        <v>35865</v>
      </c>
      <c r="T695">
        <f t="shared" si="40"/>
        <v>3</v>
      </c>
      <c r="U695">
        <f t="shared" si="41"/>
        <v>1998</v>
      </c>
      <c r="V695" t="str">
        <f t="shared" si="42"/>
        <v>3/1998</v>
      </c>
      <c r="Y695" s="1">
        <v>35893</v>
      </c>
      <c r="Z695">
        <f t="shared" si="43"/>
        <v>28</v>
      </c>
    </row>
    <row r="696" spans="19:26" x14ac:dyDescent="0.2">
      <c r="S696" s="1">
        <v>35865</v>
      </c>
      <c r="T696">
        <f t="shared" si="40"/>
        <v>3</v>
      </c>
      <c r="U696">
        <f t="shared" si="41"/>
        <v>1998</v>
      </c>
      <c r="V696" t="str">
        <f t="shared" si="42"/>
        <v>3/1998</v>
      </c>
      <c r="Y696" s="1">
        <v>35893</v>
      </c>
      <c r="Z696">
        <f t="shared" si="43"/>
        <v>28</v>
      </c>
    </row>
    <row r="697" spans="19:26" x14ac:dyDescent="0.2">
      <c r="S697" s="1">
        <v>35865</v>
      </c>
      <c r="T697">
        <f t="shared" si="40"/>
        <v>3</v>
      </c>
      <c r="U697">
        <f t="shared" si="41"/>
        <v>1998</v>
      </c>
      <c r="V697" t="str">
        <f t="shared" si="42"/>
        <v>3/1998</v>
      </c>
      <c r="Y697" s="1">
        <v>35893</v>
      </c>
      <c r="Z697">
        <f t="shared" si="43"/>
        <v>28</v>
      </c>
    </row>
    <row r="698" spans="19:26" x14ac:dyDescent="0.2">
      <c r="S698" s="1">
        <v>35866</v>
      </c>
      <c r="T698">
        <f t="shared" si="40"/>
        <v>3</v>
      </c>
      <c r="U698">
        <f t="shared" si="41"/>
        <v>1998</v>
      </c>
      <c r="V698" t="str">
        <f t="shared" si="42"/>
        <v>3/1998</v>
      </c>
      <c r="Y698" s="1">
        <v>35880</v>
      </c>
      <c r="Z698">
        <f t="shared" si="43"/>
        <v>14</v>
      </c>
    </row>
    <row r="699" spans="19:26" x14ac:dyDescent="0.2">
      <c r="S699" s="1">
        <v>35866</v>
      </c>
      <c r="T699">
        <f t="shared" si="40"/>
        <v>3</v>
      </c>
      <c r="U699">
        <f t="shared" si="41"/>
        <v>1998</v>
      </c>
      <c r="V699" t="str">
        <f t="shared" si="42"/>
        <v>3/1998</v>
      </c>
      <c r="Y699" s="1">
        <v>35894</v>
      </c>
      <c r="Z699">
        <f t="shared" si="43"/>
        <v>28</v>
      </c>
    </row>
    <row r="700" spans="19:26" x14ac:dyDescent="0.2">
      <c r="S700" s="1">
        <v>35866</v>
      </c>
      <c r="T700">
        <f t="shared" si="40"/>
        <v>3</v>
      </c>
      <c r="U700">
        <f t="shared" si="41"/>
        <v>1998</v>
      </c>
      <c r="V700" t="str">
        <f t="shared" si="42"/>
        <v>3/1998</v>
      </c>
      <c r="Y700" s="1">
        <v>35894</v>
      </c>
      <c r="Z700">
        <f t="shared" si="43"/>
        <v>28</v>
      </c>
    </row>
    <row r="701" spans="19:26" x14ac:dyDescent="0.2">
      <c r="S701" s="1">
        <v>35867</v>
      </c>
      <c r="T701">
        <f t="shared" si="40"/>
        <v>3</v>
      </c>
      <c r="U701">
        <f t="shared" si="41"/>
        <v>1998</v>
      </c>
      <c r="V701" t="str">
        <f t="shared" si="42"/>
        <v>3/1998</v>
      </c>
      <c r="Y701" s="1">
        <v>35895</v>
      </c>
      <c r="Z701">
        <f t="shared" si="43"/>
        <v>28</v>
      </c>
    </row>
    <row r="702" spans="19:26" x14ac:dyDescent="0.2">
      <c r="S702" s="1">
        <v>35867</v>
      </c>
      <c r="T702">
        <f t="shared" si="40"/>
        <v>3</v>
      </c>
      <c r="U702">
        <f t="shared" si="41"/>
        <v>1998</v>
      </c>
      <c r="V702" t="str">
        <f t="shared" si="42"/>
        <v>3/1998</v>
      </c>
      <c r="Y702" s="1">
        <v>35895</v>
      </c>
      <c r="Z702">
        <f t="shared" si="43"/>
        <v>28</v>
      </c>
    </row>
    <row r="703" spans="19:26" x14ac:dyDescent="0.2">
      <c r="S703" s="1">
        <v>35867</v>
      </c>
      <c r="T703">
        <f t="shared" si="40"/>
        <v>3</v>
      </c>
      <c r="U703">
        <f t="shared" si="41"/>
        <v>1998</v>
      </c>
      <c r="V703" t="str">
        <f t="shared" si="42"/>
        <v>3/1998</v>
      </c>
      <c r="Y703" s="1">
        <v>35895</v>
      </c>
      <c r="Z703">
        <f t="shared" si="43"/>
        <v>28</v>
      </c>
    </row>
    <row r="704" spans="19:26" x14ac:dyDescent="0.2">
      <c r="S704" s="1">
        <v>35870</v>
      </c>
      <c r="T704">
        <f t="shared" si="40"/>
        <v>3</v>
      </c>
      <c r="U704">
        <f t="shared" si="41"/>
        <v>1998</v>
      </c>
      <c r="V704" t="str">
        <f t="shared" si="42"/>
        <v>3/1998</v>
      </c>
      <c r="Y704" s="1">
        <v>35898</v>
      </c>
      <c r="Z704">
        <f t="shared" si="43"/>
        <v>28</v>
      </c>
    </row>
    <row r="705" spans="19:26" x14ac:dyDescent="0.2">
      <c r="S705" s="1">
        <v>35870</v>
      </c>
      <c r="T705">
        <f t="shared" si="40"/>
        <v>3</v>
      </c>
      <c r="U705">
        <f t="shared" si="41"/>
        <v>1998</v>
      </c>
      <c r="V705" t="str">
        <f t="shared" si="42"/>
        <v>3/1998</v>
      </c>
      <c r="Y705" s="1">
        <v>35912</v>
      </c>
      <c r="Z705">
        <f t="shared" si="43"/>
        <v>42</v>
      </c>
    </row>
    <row r="706" spans="19:26" x14ac:dyDescent="0.2">
      <c r="S706" s="1">
        <v>35870</v>
      </c>
      <c r="T706">
        <f t="shared" si="40"/>
        <v>3</v>
      </c>
      <c r="U706">
        <f t="shared" si="41"/>
        <v>1998</v>
      </c>
      <c r="V706" t="str">
        <f t="shared" si="42"/>
        <v>3/1998</v>
      </c>
      <c r="Y706" s="1">
        <v>35912</v>
      </c>
      <c r="Z706">
        <f t="shared" si="43"/>
        <v>42</v>
      </c>
    </row>
    <row r="707" spans="19:26" x14ac:dyDescent="0.2">
      <c r="S707" s="1">
        <v>35870</v>
      </c>
      <c r="T707">
        <f t="shared" ref="T707:T770" si="44">MONTH(S707)</f>
        <v>3</v>
      </c>
      <c r="U707">
        <f t="shared" ref="U707:U770" si="45">YEAR(S707)</f>
        <v>1998</v>
      </c>
      <c r="V707" t="str">
        <f t="shared" ref="V707:V770" si="46">T707&amp;"/"&amp;U707</f>
        <v>3/1998</v>
      </c>
      <c r="Y707" s="1">
        <v>35884</v>
      </c>
      <c r="Z707">
        <f t="shared" ref="Z707:Z770" si="47">Y707-S707</f>
        <v>14</v>
      </c>
    </row>
    <row r="708" spans="19:26" x14ac:dyDescent="0.2">
      <c r="S708" s="1">
        <v>35871</v>
      </c>
      <c r="T708">
        <f t="shared" si="44"/>
        <v>3</v>
      </c>
      <c r="U708">
        <f t="shared" si="45"/>
        <v>1998</v>
      </c>
      <c r="V708" t="str">
        <f t="shared" si="46"/>
        <v>3/1998</v>
      </c>
      <c r="Y708" s="1">
        <v>35913</v>
      </c>
      <c r="Z708">
        <f t="shared" si="47"/>
        <v>42</v>
      </c>
    </row>
    <row r="709" spans="19:26" x14ac:dyDescent="0.2">
      <c r="S709" s="1">
        <v>35871</v>
      </c>
      <c r="T709">
        <f t="shared" si="44"/>
        <v>3</v>
      </c>
      <c r="U709">
        <f t="shared" si="45"/>
        <v>1998</v>
      </c>
      <c r="V709" t="str">
        <f t="shared" si="46"/>
        <v>3/1998</v>
      </c>
      <c r="Y709" s="1">
        <v>35899</v>
      </c>
      <c r="Z709">
        <f t="shared" si="47"/>
        <v>28</v>
      </c>
    </row>
    <row r="710" spans="19:26" x14ac:dyDescent="0.2">
      <c r="S710" s="1">
        <v>35871</v>
      </c>
      <c r="T710">
        <f t="shared" si="44"/>
        <v>3</v>
      </c>
      <c r="U710">
        <f t="shared" si="45"/>
        <v>1998</v>
      </c>
      <c r="V710" t="str">
        <f t="shared" si="46"/>
        <v>3/1998</v>
      </c>
      <c r="Y710" s="1">
        <v>35913</v>
      </c>
      <c r="Z710">
        <f t="shared" si="47"/>
        <v>42</v>
      </c>
    </row>
    <row r="711" spans="19:26" x14ac:dyDescent="0.2">
      <c r="S711" s="1">
        <v>35872</v>
      </c>
      <c r="T711">
        <f t="shared" si="44"/>
        <v>3</v>
      </c>
      <c r="U711">
        <f t="shared" si="45"/>
        <v>1998</v>
      </c>
      <c r="V711" t="str">
        <f t="shared" si="46"/>
        <v>3/1998</v>
      </c>
      <c r="Y711" s="1">
        <v>35900</v>
      </c>
      <c r="Z711">
        <f t="shared" si="47"/>
        <v>28</v>
      </c>
    </row>
    <row r="712" spans="19:26" x14ac:dyDescent="0.2">
      <c r="S712" s="1">
        <v>35872</v>
      </c>
      <c r="T712">
        <f t="shared" si="44"/>
        <v>3</v>
      </c>
      <c r="U712">
        <f t="shared" si="45"/>
        <v>1998</v>
      </c>
      <c r="V712" t="str">
        <f t="shared" si="46"/>
        <v>3/1998</v>
      </c>
      <c r="Y712" s="1">
        <v>35900</v>
      </c>
      <c r="Z712">
        <f t="shared" si="47"/>
        <v>28</v>
      </c>
    </row>
    <row r="713" spans="19:26" x14ac:dyDescent="0.2">
      <c r="S713" s="1">
        <v>35872</v>
      </c>
      <c r="T713">
        <f t="shared" si="44"/>
        <v>3</v>
      </c>
      <c r="U713">
        <f t="shared" si="45"/>
        <v>1998</v>
      </c>
      <c r="V713" t="str">
        <f t="shared" si="46"/>
        <v>3/1998</v>
      </c>
      <c r="Y713" s="1">
        <v>35914</v>
      </c>
      <c r="Z713">
        <f t="shared" si="47"/>
        <v>42</v>
      </c>
    </row>
    <row r="714" spans="19:26" x14ac:dyDescent="0.2">
      <c r="S714" s="1">
        <v>35873</v>
      </c>
      <c r="T714">
        <f t="shared" si="44"/>
        <v>3</v>
      </c>
      <c r="U714">
        <f t="shared" si="45"/>
        <v>1998</v>
      </c>
      <c r="V714" t="str">
        <f t="shared" si="46"/>
        <v>3/1998</v>
      </c>
      <c r="Y714" s="1">
        <v>35887</v>
      </c>
      <c r="Z714">
        <f t="shared" si="47"/>
        <v>14</v>
      </c>
    </row>
    <row r="715" spans="19:26" x14ac:dyDescent="0.2">
      <c r="S715" s="1">
        <v>35873</v>
      </c>
      <c r="T715">
        <f t="shared" si="44"/>
        <v>3</v>
      </c>
      <c r="U715">
        <f t="shared" si="45"/>
        <v>1998</v>
      </c>
      <c r="V715" t="str">
        <f t="shared" si="46"/>
        <v>3/1998</v>
      </c>
      <c r="Y715" s="1">
        <v>35901</v>
      </c>
      <c r="Z715">
        <f t="shared" si="47"/>
        <v>28</v>
      </c>
    </row>
    <row r="716" spans="19:26" x14ac:dyDescent="0.2">
      <c r="S716" s="1">
        <v>35873</v>
      </c>
      <c r="T716">
        <f t="shared" si="44"/>
        <v>3</v>
      </c>
      <c r="U716">
        <f t="shared" si="45"/>
        <v>1998</v>
      </c>
      <c r="V716" t="str">
        <f t="shared" si="46"/>
        <v>3/1998</v>
      </c>
      <c r="Y716" s="1">
        <v>35901</v>
      </c>
      <c r="Z716">
        <f t="shared" si="47"/>
        <v>28</v>
      </c>
    </row>
    <row r="717" spans="19:26" x14ac:dyDescent="0.2">
      <c r="S717" s="1">
        <v>35873</v>
      </c>
      <c r="T717">
        <f t="shared" si="44"/>
        <v>3</v>
      </c>
      <c r="U717">
        <f t="shared" si="45"/>
        <v>1998</v>
      </c>
      <c r="V717" t="str">
        <f t="shared" si="46"/>
        <v>3/1998</v>
      </c>
      <c r="Y717" s="1">
        <v>35901</v>
      </c>
      <c r="Z717">
        <f t="shared" si="47"/>
        <v>28</v>
      </c>
    </row>
    <row r="718" spans="19:26" x14ac:dyDescent="0.2">
      <c r="S718" s="1">
        <v>35874</v>
      </c>
      <c r="T718">
        <f t="shared" si="44"/>
        <v>3</v>
      </c>
      <c r="U718">
        <f t="shared" si="45"/>
        <v>1998</v>
      </c>
      <c r="V718" t="str">
        <f t="shared" si="46"/>
        <v>3/1998</v>
      </c>
      <c r="Y718" s="1">
        <v>35902</v>
      </c>
      <c r="Z718">
        <f t="shared" si="47"/>
        <v>28</v>
      </c>
    </row>
    <row r="719" spans="19:26" x14ac:dyDescent="0.2">
      <c r="S719" s="1">
        <v>35874</v>
      </c>
      <c r="T719">
        <f t="shared" si="44"/>
        <v>3</v>
      </c>
      <c r="U719">
        <f t="shared" si="45"/>
        <v>1998</v>
      </c>
      <c r="V719" t="str">
        <f t="shared" si="46"/>
        <v>3/1998</v>
      </c>
      <c r="Y719" s="1">
        <v>35902</v>
      </c>
      <c r="Z719">
        <f t="shared" si="47"/>
        <v>28</v>
      </c>
    </row>
    <row r="720" spans="19:26" x14ac:dyDescent="0.2">
      <c r="S720" s="1">
        <v>35874</v>
      </c>
      <c r="T720">
        <f t="shared" si="44"/>
        <v>3</v>
      </c>
      <c r="U720">
        <f t="shared" si="45"/>
        <v>1998</v>
      </c>
      <c r="V720" t="str">
        <f t="shared" si="46"/>
        <v>3/1998</v>
      </c>
      <c r="Y720" s="1">
        <v>35902</v>
      </c>
      <c r="Z720">
        <f t="shared" si="47"/>
        <v>28</v>
      </c>
    </row>
    <row r="721" spans="19:26" x14ac:dyDescent="0.2">
      <c r="S721" s="1">
        <v>35877</v>
      </c>
      <c r="T721">
        <f t="shared" si="44"/>
        <v>3</v>
      </c>
      <c r="U721">
        <f t="shared" si="45"/>
        <v>1998</v>
      </c>
      <c r="V721" t="str">
        <f t="shared" si="46"/>
        <v>3/1998</v>
      </c>
      <c r="Y721" s="1">
        <v>35905</v>
      </c>
      <c r="Z721">
        <f t="shared" si="47"/>
        <v>28</v>
      </c>
    </row>
    <row r="722" spans="19:26" x14ac:dyDescent="0.2">
      <c r="S722" s="1">
        <v>35877</v>
      </c>
      <c r="T722">
        <f t="shared" si="44"/>
        <v>3</v>
      </c>
      <c r="U722">
        <f t="shared" si="45"/>
        <v>1998</v>
      </c>
      <c r="V722" t="str">
        <f t="shared" si="46"/>
        <v>3/1998</v>
      </c>
      <c r="Y722" s="1">
        <v>35905</v>
      </c>
      <c r="Z722">
        <f t="shared" si="47"/>
        <v>28</v>
      </c>
    </row>
    <row r="723" spans="19:26" x14ac:dyDescent="0.2">
      <c r="S723" s="1">
        <v>35877</v>
      </c>
      <c r="T723">
        <f t="shared" si="44"/>
        <v>3</v>
      </c>
      <c r="U723">
        <f t="shared" si="45"/>
        <v>1998</v>
      </c>
      <c r="V723" t="str">
        <f t="shared" si="46"/>
        <v>3/1998</v>
      </c>
      <c r="Y723" s="1">
        <v>35905</v>
      </c>
      <c r="Z723">
        <f t="shared" si="47"/>
        <v>28</v>
      </c>
    </row>
    <row r="724" spans="19:26" x14ac:dyDescent="0.2">
      <c r="S724" s="1">
        <v>35878</v>
      </c>
      <c r="T724">
        <f t="shared" si="44"/>
        <v>3</v>
      </c>
      <c r="U724">
        <f t="shared" si="45"/>
        <v>1998</v>
      </c>
      <c r="V724" t="str">
        <f t="shared" si="46"/>
        <v>3/1998</v>
      </c>
      <c r="Y724" s="1">
        <v>35892</v>
      </c>
      <c r="Z724">
        <f t="shared" si="47"/>
        <v>14</v>
      </c>
    </row>
    <row r="725" spans="19:26" x14ac:dyDescent="0.2">
      <c r="S725" s="1">
        <v>35878</v>
      </c>
      <c r="T725">
        <f t="shared" si="44"/>
        <v>3</v>
      </c>
      <c r="U725">
        <f t="shared" si="45"/>
        <v>1998</v>
      </c>
      <c r="V725" t="str">
        <f t="shared" si="46"/>
        <v>3/1998</v>
      </c>
      <c r="Y725" s="1">
        <v>35906</v>
      </c>
      <c r="Z725">
        <f t="shared" si="47"/>
        <v>28</v>
      </c>
    </row>
    <row r="726" spans="19:26" x14ac:dyDescent="0.2">
      <c r="S726" s="1">
        <v>35878</v>
      </c>
      <c r="T726">
        <f t="shared" si="44"/>
        <v>3</v>
      </c>
      <c r="U726">
        <f t="shared" si="45"/>
        <v>1998</v>
      </c>
      <c r="V726" t="str">
        <f t="shared" si="46"/>
        <v>3/1998</v>
      </c>
      <c r="Y726" s="1">
        <v>35906</v>
      </c>
      <c r="Z726">
        <f t="shared" si="47"/>
        <v>28</v>
      </c>
    </row>
    <row r="727" spans="19:26" x14ac:dyDescent="0.2">
      <c r="S727" s="1">
        <v>35878</v>
      </c>
      <c r="T727">
        <f t="shared" si="44"/>
        <v>3</v>
      </c>
      <c r="U727">
        <f t="shared" si="45"/>
        <v>1998</v>
      </c>
      <c r="V727" t="str">
        <f t="shared" si="46"/>
        <v>3/1998</v>
      </c>
      <c r="Y727" s="1">
        <v>35906</v>
      </c>
      <c r="Z727">
        <f t="shared" si="47"/>
        <v>28</v>
      </c>
    </row>
    <row r="728" spans="19:26" x14ac:dyDescent="0.2">
      <c r="S728" s="1">
        <v>35879</v>
      </c>
      <c r="T728">
        <f t="shared" si="44"/>
        <v>3</v>
      </c>
      <c r="U728">
        <f t="shared" si="45"/>
        <v>1998</v>
      </c>
      <c r="V728" t="str">
        <f t="shared" si="46"/>
        <v>3/1998</v>
      </c>
      <c r="Y728" s="1">
        <v>35893</v>
      </c>
      <c r="Z728">
        <f t="shared" si="47"/>
        <v>14</v>
      </c>
    </row>
    <row r="729" spans="19:26" x14ac:dyDescent="0.2">
      <c r="S729" s="1">
        <v>35879</v>
      </c>
      <c r="T729">
        <f t="shared" si="44"/>
        <v>3</v>
      </c>
      <c r="U729">
        <f t="shared" si="45"/>
        <v>1998</v>
      </c>
      <c r="V729" t="str">
        <f t="shared" si="46"/>
        <v>3/1998</v>
      </c>
      <c r="Y729" s="1">
        <v>35907</v>
      </c>
      <c r="Z729">
        <f t="shared" si="47"/>
        <v>28</v>
      </c>
    </row>
    <row r="730" spans="19:26" x14ac:dyDescent="0.2">
      <c r="S730" s="1">
        <v>35879</v>
      </c>
      <c r="T730">
        <f t="shared" si="44"/>
        <v>3</v>
      </c>
      <c r="U730">
        <f t="shared" si="45"/>
        <v>1998</v>
      </c>
      <c r="V730" t="str">
        <f t="shared" si="46"/>
        <v>3/1998</v>
      </c>
      <c r="Y730" s="1">
        <v>35921</v>
      </c>
      <c r="Z730">
        <f t="shared" si="47"/>
        <v>42</v>
      </c>
    </row>
    <row r="731" spans="19:26" x14ac:dyDescent="0.2">
      <c r="S731" s="1">
        <v>35880</v>
      </c>
      <c r="T731">
        <f t="shared" si="44"/>
        <v>3</v>
      </c>
      <c r="U731">
        <f t="shared" si="45"/>
        <v>1998</v>
      </c>
      <c r="V731" t="str">
        <f t="shared" si="46"/>
        <v>3/1998</v>
      </c>
      <c r="Y731" s="1">
        <v>35908</v>
      </c>
      <c r="Z731">
        <f t="shared" si="47"/>
        <v>28</v>
      </c>
    </row>
    <row r="732" spans="19:26" x14ac:dyDescent="0.2">
      <c r="S732" s="1">
        <v>35880</v>
      </c>
      <c r="T732">
        <f t="shared" si="44"/>
        <v>3</v>
      </c>
      <c r="U732">
        <f t="shared" si="45"/>
        <v>1998</v>
      </c>
      <c r="V732" t="str">
        <f t="shared" si="46"/>
        <v>3/1998</v>
      </c>
      <c r="Y732" s="1">
        <v>35908</v>
      </c>
      <c r="Z732">
        <f t="shared" si="47"/>
        <v>28</v>
      </c>
    </row>
    <row r="733" spans="19:26" x14ac:dyDescent="0.2">
      <c r="S733" s="1">
        <v>35880</v>
      </c>
      <c r="T733">
        <f t="shared" si="44"/>
        <v>3</v>
      </c>
      <c r="U733">
        <f t="shared" si="45"/>
        <v>1998</v>
      </c>
      <c r="V733" t="str">
        <f t="shared" si="46"/>
        <v>3/1998</v>
      </c>
      <c r="Y733" s="1">
        <v>35908</v>
      </c>
      <c r="Z733">
        <f t="shared" si="47"/>
        <v>28</v>
      </c>
    </row>
    <row r="734" spans="19:26" x14ac:dyDescent="0.2">
      <c r="S734" s="1">
        <v>35881</v>
      </c>
      <c r="T734">
        <f t="shared" si="44"/>
        <v>3</v>
      </c>
      <c r="U734">
        <f t="shared" si="45"/>
        <v>1998</v>
      </c>
      <c r="V734" t="str">
        <f t="shared" si="46"/>
        <v>3/1998</v>
      </c>
      <c r="Y734" s="1">
        <v>35923</v>
      </c>
      <c r="Z734">
        <f t="shared" si="47"/>
        <v>42</v>
      </c>
    </row>
    <row r="735" spans="19:26" x14ac:dyDescent="0.2">
      <c r="S735" s="1">
        <v>35881</v>
      </c>
      <c r="T735">
        <f t="shared" si="44"/>
        <v>3</v>
      </c>
      <c r="U735">
        <f t="shared" si="45"/>
        <v>1998</v>
      </c>
      <c r="V735" t="str">
        <f t="shared" si="46"/>
        <v>3/1998</v>
      </c>
      <c r="Y735" s="1">
        <v>35909</v>
      </c>
      <c r="Z735">
        <f t="shared" si="47"/>
        <v>28</v>
      </c>
    </row>
    <row r="736" spans="19:26" x14ac:dyDescent="0.2">
      <c r="S736" s="1">
        <v>35881</v>
      </c>
      <c r="T736">
        <f t="shared" si="44"/>
        <v>3</v>
      </c>
      <c r="U736">
        <f t="shared" si="45"/>
        <v>1998</v>
      </c>
      <c r="V736" t="str">
        <f t="shared" si="46"/>
        <v>3/1998</v>
      </c>
      <c r="Y736" s="1">
        <v>35909</v>
      </c>
      <c r="Z736">
        <f t="shared" si="47"/>
        <v>28</v>
      </c>
    </row>
    <row r="737" spans="19:26" x14ac:dyDescent="0.2">
      <c r="S737" s="1">
        <v>35881</v>
      </c>
      <c r="T737">
        <f t="shared" si="44"/>
        <v>3</v>
      </c>
      <c r="U737">
        <f t="shared" si="45"/>
        <v>1998</v>
      </c>
      <c r="V737" t="str">
        <f t="shared" si="46"/>
        <v>3/1998</v>
      </c>
      <c r="Y737" s="1">
        <v>35909</v>
      </c>
      <c r="Z737">
        <f t="shared" si="47"/>
        <v>28</v>
      </c>
    </row>
    <row r="738" spans="19:26" x14ac:dyDescent="0.2">
      <c r="S738" s="1">
        <v>35884</v>
      </c>
      <c r="T738">
        <f t="shared" si="44"/>
        <v>3</v>
      </c>
      <c r="U738">
        <f t="shared" si="45"/>
        <v>1998</v>
      </c>
      <c r="V738" t="str">
        <f t="shared" si="46"/>
        <v>3/1998</v>
      </c>
      <c r="Y738" s="1">
        <v>35912</v>
      </c>
      <c r="Z738">
        <f t="shared" si="47"/>
        <v>28</v>
      </c>
    </row>
    <row r="739" spans="19:26" x14ac:dyDescent="0.2">
      <c r="S739" s="1">
        <v>35884</v>
      </c>
      <c r="T739">
        <f t="shared" si="44"/>
        <v>3</v>
      </c>
      <c r="U739">
        <f t="shared" si="45"/>
        <v>1998</v>
      </c>
      <c r="V739" t="str">
        <f t="shared" si="46"/>
        <v>3/1998</v>
      </c>
      <c r="Y739" s="1">
        <v>35912</v>
      </c>
      <c r="Z739">
        <f t="shared" si="47"/>
        <v>28</v>
      </c>
    </row>
    <row r="740" spans="19:26" x14ac:dyDescent="0.2">
      <c r="S740" s="1">
        <v>35884</v>
      </c>
      <c r="T740">
        <f t="shared" si="44"/>
        <v>3</v>
      </c>
      <c r="U740">
        <f t="shared" si="45"/>
        <v>1998</v>
      </c>
      <c r="V740" t="str">
        <f t="shared" si="46"/>
        <v>3/1998</v>
      </c>
      <c r="Y740" s="1">
        <v>35912</v>
      </c>
      <c r="Z740">
        <f t="shared" si="47"/>
        <v>28</v>
      </c>
    </row>
    <row r="741" spans="19:26" x14ac:dyDescent="0.2">
      <c r="S741" s="1">
        <v>35885</v>
      </c>
      <c r="T741">
        <f t="shared" si="44"/>
        <v>3</v>
      </c>
      <c r="U741">
        <f t="shared" si="45"/>
        <v>1998</v>
      </c>
      <c r="V741" t="str">
        <f t="shared" si="46"/>
        <v>3/1998</v>
      </c>
      <c r="Y741" s="1">
        <v>35913</v>
      </c>
      <c r="Z741">
        <f t="shared" si="47"/>
        <v>28</v>
      </c>
    </row>
    <row r="742" spans="19:26" x14ac:dyDescent="0.2">
      <c r="S742" s="1">
        <v>35885</v>
      </c>
      <c r="T742">
        <f t="shared" si="44"/>
        <v>3</v>
      </c>
      <c r="U742">
        <f t="shared" si="45"/>
        <v>1998</v>
      </c>
      <c r="V742" t="str">
        <f t="shared" si="46"/>
        <v>3/1998</v>
      </c>
      <c r="Y742" s="1">
        <v>35913</v>
      </c>
      <c r="Z742">
        <f t="shared" si="47"/>
        <v>28</v>
      </c>
    </row>
    <row r="743" spans="19:26" x14ac:dyDescent="0.2">
      <c r="S743" s="1">
        <v>35885</v>
      </c>
      <c r="T743">
        <f t="shared" si="44"/>
        <v>3</v>
      </c>
      <c r="U743">
        <f t="shared" si="45"/>
        <v>1998</v>
      </c>
      <c r="V743" t="str">
        <f t="shared" si="46"/>
        <v>3/1998</v>
      </c>
      <c r="Y743" s="1">
        <v>35913</v>
      </c>
      <c r="Z743">
        <f t="shared" si="47"/>
        <v>28</v>
      </c>
    </row>
    <row r="744" spans="19:26" x14ac:dyDescent="0.2">
      <c r="S744" s="1">
        <v>35886</v>
      </c>
      <c r="T744">
        <f t="shared" si="44"/>
        <v>4</v>
      </c>
      <c r="U744">
        <f t="shared" si="45"/>
        <v>1998</v>
      </c>
      <c r="V744" t="str">
        <f t="shared" si="46"/>
        <v>4/1998</v>
      </c>
      <c r="Y744" s="1">
        <v>35928</v>
      </c>
      <c r="Z744">
        <f t="shared" si="47"/>
        <v>42</v>
      </c>
    </row>
    <row r="745" spans="19:26" x14ac:dyDescent="0.2">
      <c r="S745" s="1">
        <v>35886</v>
      </c>
      <c r="T745">
        <f t="shared" si="44"/>
        <v>4</v>
      </c>
      <c r="U745">
        <f t="shared" si="45"/>
        <v>1998</v>
      </c>
      <c r="V745" t="str">
        <f t="shared" si="46"/>
        <v>4/1998</v>
      </c>
      <c r="Y745" s="1">
        <v>35914</v>
      </c>
      <c r="Z745">
        <f t="shared" si="47"/>
        <v>28</v>
      </c>
    </row>
    <row r="746" spans="19:26" x14ac:dyDescent="0.2">
      <c r="S746" s="1">
        <v>35886</v>
      </c>
      <c r="T746">
        <f t="shared" si="44"/>
        <v>4</v>
      </c>
      <c r="U746">
        <f t="shared" si="45"/>
        <v>1998</v>
      </c>
      <c r="V746" t="str">
        <f t="shared" si="46"/>
        <v>4/1998</v>
      </c>
      <c r="Y746" s="1">
        <v>35914</v>
      </c>
      <c r="Z746">
        <f t="shared" si="47"/>
        <v>28</v>
      </c>
    </row>
    <row r="747" spans="19:26" x14ac:dyDescent="0.2">
      <c r="S747" s="1">
        <v>35886</v>
      </c>
      <c r="T747">
        <f t="shared" si="44"/>
        <v>4</v>
      </c>
      <c r="U747">
        <f t="shared" si="45"/>
        <v>1998</v>
      </c>
      <c r="V747" t="str">
        <f t="shared" si="46"/>
        <v>4/1998</v>
      </c>
      <c r="Y747" s="1">
        <v>35914</v>
      </c>
      <c r="Z747">
        <f t="shared" si="47"/>
        <v>28</v>
      </c>
    </row>
    <row r="748" spans="19:26" x14ac:dyDescent="0.2">
      <c r="S748" s="1">
        <v>35887</v>
      </c>
      <c r="T748">
        <f t="shared" si="44"/>
        <v>4</v>
      </c>
      <c r="U748">
        <f t="shared" si="45"/>
        <v>1998</v>
      </c>
      <c r="V748" t="str">
        <f t="shared" si="46"/>
        <v>4/1998</v>
      </c>
      <c r="Y748" s="1">
        <v>35901</v>
      </c>
      <c r="Z748">
        <f t="shared" si="47"/>
        <v>14</v>
      </c>
    </row>
    <row r="749" spans="19:26" x14ac:dyDescent="0.2">
      <c r="S749" s="1">
        <v>35887</v>
      </c>
      <c r="T749">
        <f t="shared" si="44"/>
        <v>4</v>
      </c>
      <c r="U749">
        <f t="shared" si="45"/>
        <v>1998</v>
      </c>
      <c r="V749" t="str">
        <f t="shared" si="46"/>
        <v>4/1998</v>
      </c>
      <c r="Y749" s="1">
        <v>35915</v>
      </c>
      <c r="Z749">
        <f t="shared" si="47"/>
        <v>28</v>
      </c>
    </row>
    <row r="750" spans="19:26" x14ac:dyDescent="0.2">
      <c r="S750" s="1">
        <v>35887</v>
      </c>
      <c r="T750">
        <f t="shared" si="44"/>
        <v>4</v>
      </c>
      <c r="U750">
        <f t="shared" si="45"/>
        <v>1998</v>
      </c>
      <c r="V750" t="str">
        <f t="shared" si="46"/>
        <v>4/1998</v>
      </c>
      <c r="Y750" s="1">
        <v>35915</v>
      </c>
      <c r="Z750">
        <f t="shared" si="47"/>
        <v>28</v>
      </c>
    </row>
    <row r="751" spans="19:26" x14ac:dyDescent="0.2">
      <c r="S751" s="1">
        <v>35888</v>
      </c>
      <c r="T751">
        <f t="shared" si="44"/>
        <v>4</v>
      </c>
      <c r="U751">
        <f t="shared" si="45"/>
        <v>1998</v>
      </c>
      <c r="V751" t="str">
        <f t="shared" si="46"/>
        <v>4/1998</v>
      </c>
      <c r="Y751" s="1">
        <v>35930</v>
      </c>
      <c r="Z751">
        <f t="shared" si="47"/>
        <v>42</v>
      </c>
    </row>
    <row r="752" spans="19:26" x14ac:dyDescent="0.2">
      <c r="S752" s="1">
        <v>35888</v>
      </c>
      <c r="T752">
        <f t="shared" si="44"/>
        <v>4</v>
      </c>
      <c r="U752">
        <f t="shared" si="45"/>
        <v>1998</v>
      </c>
      <c r="V752" t="str">
        <f t="shared" si="46"/>
        <v>4/1998</v>
      </c>
      <c r="Y752" s="1">
        <v>35902</v>
      </c>
      <c r="Z752">
        <f t="shared" si="47"/>
        <v>14</v>
      </c>
    </row>
    <row r="753" spans="19:26" x14ac:dyDescent="0.2">
      <c r="S753" s="1">
        <v>35888</v>
      </c>
      <c r="T753">
        <f t="shared" si="44"/>
        <v>4</v>
      </c>
      <c r="U753">
        <f t="shared" si="45"/>
        <v>1998</v>
      </c>
      <c r="V753" t="str">
        <f t="shared" si="46"/>
        <v>4/1998</v>
      </c>
      <c r="Y753" s="1">
        <v>35916</v>
      </c>
      <c r="Z753">
        <f t="shared" si="47"/>
        <v>28</v>
      </c>
    </row>
    <row r="754" spans="19:26" x14ac:dyDescent="0.2">
      <c r="S754" s="1">
        <v>35891</v>
      </c>
      <c r="T754">
        <f t="shared" si="44"/>
        <v>4</v>
      </c>
      <c r="U754">
        <f t="shared" si="45"/>
        <v>1998</v>
      </c>
      <c r="V754" t="str">
        <f t="shared" si="46"/>
        <v>4/1998</v>
      </c>
      <c r="Y754" s="1">
        <v>35919</v>
      </c>
      <c r="Z754">
        <f t="shared" si="47"/>
        <v>28</v>
      </c>
    </row>
    <row r="755" spans="19:26" x14ac:dyDescent="0.2">
      <c r="S755" s="1">
        <v>35891</v>
      </c>
      <c r="T755">
        <f t="shared" si="44"/>
        <v>4</v>
      </c>
      <c r="U755">
        <f t="shared" si="45"/>
        <v>1998</v>
      </c>
      <c r="V755" t="str">
        <f t="shared" si="46"/>
        <v>4/1998</v>
      </c>
      <c r="Y755" s="1">
        <v>35919</v>
      </c>
      <c r="Z755">
        <f t="shared" si="47"/>
        <v>28</v>
      </c>
    </row>
    <row r="756" spans="19:26" x14ac:dyDescent="0.2">
      <c r="S756" s="1">
        <v>35891</v>
      </c>
      <c r="T756">
        <f t="shared" si="44"/>
        <v>4</v>
      </c>
      <c r="U756">
        <f t="shared" si="45"/>
        <v>1998</v>
      </c>
      <c r="V756" t="str">
        <f t="shared" si="46"/>
        <v>4/1998</v>
      </c>
      <c r="Y756" s="1">
        <v>35919</v>
      </c>
      <c r="Z756">
        <f t="shared" si="47"/>
        <v>28</v>
      </c>
    </row>
    <row r="757" spans="19:26" x14ac:dyDescent="0.2">
      <c r="S757" s="1">
        <v>35891</v>
      </c>
      <c r="T757">
        <f t="shared" si="44"/>
        <v>4</v>
      </c>
      <c r="U757">
        <f t="shared" si="45"/>
        <v>1998</v>
      </c>
      <c r="V757" t="str">
        <f t="shared" si="46"/>
        <v>4/1998</v>
      </c>
      <c r="Y757" s="1">
        <v>35919</v>
      </c>
      <c r="Z757">
        <f t="shared" si="47"/>
        <v>28</v>
      </c>
    </row>
    <row r="758" spans="19:26" x14ac:dyDescent="0.2">
      <c r="S758" s="1">
        <v>35892</v>
      </c>
      <c r="T758">
        <f t="shared" si="44"/>
        <v>4</v>
      </c>
      <c r="U758">
        <f t="shared" si="45"/>
        <v>1998</v>
      </c>
      <c r="V758" t="str">
        <f t="shared" si="46"/>
        <v>4/1998</v>
      </c>
      <c r="Y758" s="1">
        <v>35920</v>
      </c>
      <c r="Z758">
        <f t="shared" si="47"/>
        <v>28</v>
      </c>
    </row>
    <row r="759" spans="19:26" x14ac:dyDescent="0.2">
      <c r="S759" s="1">
        <v>35892</v>
      </c>
      <c r="T759">
        <f t="shared" si="44"/>
        <v>4</v>
      </c>
      <c r="U759">
        <f t="shared" si="45"/>
        <v>1998</v>
      </c>
      <c r="V759" t="str">
        <f t="shared" si="46"/>
        <v>4/1998</v>
      </c>
      <c r="Y759" s="1">
        <v>35920</v>
      </c>
      <c r="Z759">
        <f t="shared" si="47"/>
        <v>28</v>
      </c>
    </row>
    <row r="760" spans="19:26" x14ac:dyDescent="0.2">
      <c r="S760" s="1">
        <v>35892</v>
      </c>
      <c r="T760">
        <f t="shared" si="44"/>
        <v>4</v>
      </c>
      <c r="U760">
        <f t="shared" si="45"/>
        <v>1998</v>
      </c>
      <c r="V760" t="str">
        <f t="shared" si="46"/>
        <v>4/1998</v>
      </c>
      <c r="Y760" s="1">
        <v>35920</v>
      </c>
      <c r="Z760">
        <f t="shared" si="47"/>
        <v>28</v>
      </c>
    </row>
    <row r="761" spans="19:26" x14ac:dyDescent="0.2">
      <c r="S761" s="1">
        <v>35893</v>
      </c>
      <c r="T761">
        <f t="shared" si="44"/>
        <v>4</v>
      </c>
      <c r="U761">
        <f t="shared" si="45"/>
        <v>1998</v>
      </c>
      <c r="V761" t="str">
        <f t="shared" si="46"/>
        <v>4/1998</v>
      </c>
      <c r="Y761" s="1">
        <v>35921</v>
      </c>
      <c r="Z761">
        <f t="shared" si="47"/>
        <v>28</v>
      </c>
    </row>
    <row r="762" spans="19:26" x14ac:dyDescent="0.2">
      <c r="S762" s="1">
        <v>35893</v>
      </c>
      <c r="T762">
        <f t="shared" si="44"/>
        <v>4</v>
      </c>
      <c r="U762">
        <f t="shared" si="45"/>
        <v>1998</v>
      </c>
      <c r="V762" t="str">
        <f t="shared" si="46"/>
        <v>4/1998</v>
      </c>
      <c r="Y762" s="1">
        <v>35921</v>
      </c>
      <c r="Z762">
        <f t="shared" si="47"/>
        <v>28</v>
      </c>
    </row>
    <row r="763" spans="19:26" x14ac:dyDescent="0.2">
      <c r="S763" s="1">
        <v>35893</v>
      </c>
      <c r="T763">
        <f t="shared" si="44"/>
        <v>4</v>
      </c>
      <c r="U763">
        <f t="shared" si="45"/>
        <v>1998</v>
      </c>
      <c r="V763" t="str">
        <f t="shared" si="46"/>
        <v>4/1998</v>
      </c>
      <c r="Y763" s="1">
        <v>35921</v>
      </c>
      <c r="Z763">
        <f t="shared" si="47"/>
        <v>28</v>
      </c>
    </row>
    <row r="764" spans="19:26" x14ac:dyDescent="0.2">
      <c r="S764" s="1">
        <v>35894</v>
      </c>
      <c r="T764">
        <f t="shared" si="44"/>
        <v>4</v>
      </c>
      <c r="U764">
        <f t="shared" si="45"/>
        <v>1998</v>
      </c>
      <c r="V764" t="str">
        <f t="shared" si="46"/>
        <v>4/1998</v>
      </c>
      <c r="Y764" s="1">
        <v>35922</v>
      </c>
      <c r="Z764">
        <f t="shared" si="47"/>
        <v>28</v>
      </c>
    </row>
    <row r="765" spans="19:26" x14ac:dyDescent="0.2">
      <c r="S765" s="1">
        <v>35894</v>
      </c>
      <c r="T765">
        <f t="shared" si="44"/>
        <v>4</v>
      </c>
      <c r="U765">
        <f t="shared" si="45"/>
        <v>1998</v>
      </c>
      <c r="V765" t="str">
        <f t="shared" si="46"/>
        <v>4/1998</v>
      </c>
      <c r="Y765" s="1">
        <v>35922</v>
      </c>
      <c r="Z765">
        <f t="shared" si="47"/>
        <v>28</v>
      </c>
    </row>
    <row r="766" spans="19:26" x14ac:dyDescent="0.2">
      <c r="S766" s="1">
        <v>35894</v>
      </c>
      <c r="T766">
        <f t="shared" si="44"/>
        <v>4</v>
      </c>
      <c r="U766">
        <f t="shared" si="45"/>
        <v>1998</v>
      </c>
      <c r="V766" t="str">
        <f t="shared" si="46"/>
        <v>4/1998</v>
      </c>
      <c r="Y766" s="1">
        <v>35908</v>
      </c>
      <c r="Z766">
        <f t="shared" si="47"/>
        <v>14</v>
      </c>
    </row>
    <row r="767" spans="19:26" x14ac:dyDescent="0.2">
      <c r="S767" s="1">
        <v>35894</v>
      </c>
      <c r="T767">
        <f t="shared" si="44"/>
        <v>4</v>
      </c>
      <c r="U767">
        <f t="shared" si="45"/>
        <v>1998</v>
      </c>
      <c r="V767" t="str">
        <f t="shared" si="46"/>
        <v>4/1998</v>
      </c>
      <c r="Y767" s="1">
        <v>35922</v>
      </c>
      <c r="Z767">
        <f t="shared" si="47"/>
        <v>28</v>
      </c>
    </row>
    <row r="768" spans="19:26" x14ac:dyDescent="0.2">
      <c r="S768" s="1">
        <v>35895</v>
      </c>
      <c r="T768">
        <f t="shared" si="44"/>
        <v>4</v>
      </c>
      <c r="U768">
        <f t="shared" si="45"/>
        <v>1998</v>
      </c>
      <c r="V768" t="str">
        <f t="shared" si="46"/>
        <v>4/1998</v>
      </c>
      <c r="Y768" s="1">
        <v>35923</v>
      </c>
      <c r="Z768">
        <f t="shared" si="47"/>
        <v>28</v>
      </c>
    </row>
    <row r="769" spans="19:26" x14ac:dyDescent="0.2">
      <c r="S769" s="1">
        <v>35895</v>
      </c>
      <c r="T769">
        <f t="shared" si="44"/>
        <v>4</v>
      </c>
      <c r="U769">
        <f t="shared" si="45"/>
        <v>1998</v>
      </c>
      <c r="V769" t="str">
        <f t="shared" si="46"/>
        <v>4/1998</v>
      </c>
      <c r="Y769" s="1">
        <v>35909</v>
      </c>
      <c r="Z769">
        <f t="shared" si="47"/>
        <v>14</v>
      </c>
    </row>
    <row r="770" spans="19:26" x14ac:dyDescent="0.2">
      <c r="S770" s="1">
        <v>35895</v>
      </c>
      <c r="T770">
        <f t="shared" si="44"/>
        <v>4</v>
      </c>
      <c r="U770">
        <f t="shared" si="45"/>
        <v>1998</v>
      </c>
      <c r="V770" t="str">
        <f t="shared" si="46"/>
        <v>4/1998</v>
      </c>
      <c r="Y770" s="1">
        <v>35923</v>
      </c>
      <c r="Z770">
        <f t="shared" si="47"/>
        <v>28</v>
      </c>
    </row>
    <row r="771" spans="19:26" x14ac:dyDescent="0.2">
      <c r="S771" s="1">
        <v>35898</v>
      </c>
      <c r="T771">
        <f t="shared" ref="T771:T831" si="48">MONTH(S771)</f>
        <v>4</v>
      </c>
      <c r="U771">
        <f t="shared" ref="U771:U831" si="49">YEAR(S771)</f>
        <v>1998</v>
      </c>
      <c r="V771" t="str">
        <f t="shared" ref="V771:V831" si="50">T771&amp;"/"&amp;U771</f>
        <v>4/1998</v>
      </c>
      <c r="Y771" s="1">
        <v>35926</v>
      </c>
      <c r="Z771">
        <f t="shared" ref="Z771:Z831" si="51">Y771-S771</f>
        <v>28</v>
      </c>
    </row>
    <row r="772" spans="19:26" x14ac:dyDescent="0.2">
      <c r="S772" s="1">
        <v>35898</v>
      </c>
      <c r="T772">
        <f t="shared" si="48"/>
        <v>4</v>
      </c>
      <c r="U772">
        <f t="shared" si="49"/>
        <v>1998</v>
      </c>
      <c r="V772" t="str">
        <f t="shared" si="50"/>
        <v>4/1998</v>
      </c>
      <c r="Y772" s="1">
        <v>35926</v>
      </c>
      <c r="Z772">
        <f t="shared" si="51"/>
        <v>28</v>
      </c>
    </row>
    <row r="773" spans="19:26" x14ac:dyDescent="0.2">
      <c r="S773" s="1">
        <v>35898</v>
      </c>
      <c r="T773">
        <f t="shared" si="48"/>
        <v>4</v>
      </c>
      <c r="U773">
        <f t="shared" si="49"/>
        <v>1998</v>
      </c>
      <c r="V773" t="str">
        <f t="shared" si="50"/>
        <v>4/1998</v>
      </c>
      <c r="Y773" s="1">
        <v>35926</v>
      </c>
      <c r="Z773">
        <f t="shared" si="51"/>
        <v>28</v>
      </c>
    </row>
    <row r="774" spans="19:26" x14ac:dyDescent="0.2">
      <c r="S774" s="1">
        <v>35899</v>
      </c>
      <c r="T774">
        <f t="shared" si="48"/>
        <v>4</v>
      </c>
      <c r="U774">
        <f t="shared" si="49"/>
        <v>1998</v>
      </c>
      <c r="V774" t="str">
        <f t="shared" si="50"/>
        <v>4/1998</v>
      </c>
      <c r="Y774" s="1">
        <v>35927</v>
      </c>
      <c r="Z774">
        <f t="shared" si="51"/>
        <v>28</v>
      </c>
    </row>
    <row r="775" spans="19:26" x14ac:dyDescent="0.2">
      <c r="S775" s="1">
        <v>35899</v>
      </c>
      <c r="T775">
        <f t="shared" si="48"/>
        <v>4</v>
      </c>
      <c r="U775">
        <f t="shared" si="49"/>
        <v>1998</v>
      </c>
      <c r="V775" t="str">
        <f t="shared" si="50"/>
        <v>4/1998</v>
      </c>
      <c r="Y775" s="1">
        <v>35927</v>
      </c>
      <c r="Z775">
        <f t="shared" si="51"/>
        <v>28</v>
      </c>
    </row>
    <row r="776" spans="19:26" x14ac:dyDescent="0.2">
      <c r="S776" s="1">
        <v>35899</v>
      </c>
      <c r="T776">
        <f t="shared" si="48"/>
        <v>4</v>
      </c>
      <c r="U776">
        <f t="shared" si="49"/>
        <v>1998</v>
      </c>
      <c r="V776" t="str">
        <f t="shared" si="50"/>
        <v>4/1998</v>
      </c>
      <c r="Y776" s="1">
        <v>35927</v>
      </c>
      <c r="Z776">
        <f t="shared" si="51"/>
        <v>28</v>
      </c>
    </row>
    <row r="777" spans="19:26" x14ac:dyDescent="0.2">
      <c r="S777" s="1">
        <v>35899</v>
      </c>
      <c r="T777">
        <f t="shared" si="48"/>
        <v>4</v>
      </c>
      <c r="U777">
        <f t="shared" si="49"/>
        <v>1998</v>
      </c>
      <c r="V777" t="str">
        <f t="shared" si="50"/>
        <v>4/1998</v>
      </c>
      <c r="Y777" s="1">
        <v>35913</v>
      </c>
      <c r="Z777">
        <f t="shared" si="51"/>
        <v>14</v>
      </c>
    </row>
    <row r="778" spans="19:26" x14ac:dyDescent="0.2">
      <c r="S778" s="1">
        <v>35900</v>
      </c>
      <c r="T778">
        <f t="shared" si="48"/>
        <v>4</v>
      </c>
      <c r="U778">
        <f t="shared" si="49"/>
        <v>1998</v>
      </c>
      <c r="V778" t="str">
        <f t="shared" si="50"/>
        <v>4/1998</v>
      </c>
      <c r="Y778" s="1">
        <v>35928</v>
      </c>
      <c r="Z778">
        <f t="shared" si="51"/>
        <v>28</v>
      </c>
    </row>
    <row r="779" spans="19:26" x14ac:dyDescent="0.2">
      <c r="S779" s="1">
        <v>35900</v>
      </c>
      <c r="T779">
        <f t="shared" si="48"/>
        <v>4</v>
      </c>
      <c r="U779">
        <f t="shared" si="49"/>
        <v>1998</v>
      </c>
      <c r="V779" t="str">
        <f t="shared" si="50"/>
        <v>4/1998</v>
      </c>
      <c r="Y779" s="1">
        <v>35928</v>
      </c>
      <c r="Z779">
        <f t="shared" si="51"/>
        <v>28</v>
      </c>
    </row>
    <row r="780" spans="19:26" x14ac:dyDescent="0.2">
      <c r="S780" s="1">
        <v>35900</v>
      </c>
      <c r="T780">
        <f t="shared" si="48"/>
        <v>4</v>
      </c>
      <c r="U780">
        <f t="shared" si="49"/>
        <v>1998</v>
      </c>
      <c r="V780" t="str">
        <f t="shared" si="50"/>
        <v>4/1998</v>
      </c>
      <c r="Y780" s="1">
        <v>35928</v>
      </c>
      <c r="Z780">
        <f t="shared" si="51"/>
        <v>28</v>
      </c>
    </row>
    <row r="781" spans="19:26" x14ac:dyDescent="0.2">
      <c r="S781" s="1">
        <v>35901</v>
      </c>
      <c r="T781">
        <f t="shared" si="48"/>
        <v>4</v>
      </c>
      <c r="U781">
        <f t="shared" si="49"/>
        <v>1998</v>
      </c>
      <c r="V781" t="str">
        <f t="shared" si="50"/>
        <v>4/1998</v>
      </c>
      <c r="Y781" s="1">
        <v>35929</v>
      </c>
      <c r="Z781">
        <f t="shared" si="51"/>
        <v>28</v>
      </c>
    </row>
    <row r="782" spans="19:26" x14ac:dyDescent="0.2">
      <c r="S782" s="1">
        <v>35901</v>
      </c>
      <c r="T782">
        <f t="shared" si="48"/>
        <v>4</v>
      </c>
      <c r="U782">
        <f t="shared" si="49"/>
        <v>1998</v>
      </c>
      <c r="V782" t="str">
        <f t="shared" si="50"/>
        <v>4/1998</v>
      </c>
      <c r="Y782" s="1">
        <v>35929</v>
      </c>
      <c r="Z782">
        <f t="shared" si="51"/>
        <v>28</v>
      </c>
    </row>
    <row r="783" spans="19:26" x14ac:dyDescent="0.2">
      <c r="S783" s="1">
        <v>35901</v>
      </c>
      <c r="T783">
        <f t="shared" si="48"/>
        <v>4</v>
      </c>
      <c r="U783">
        <f t="shared" si="49"/>
        <v>1998</v>
      </c>
      <c r="V783" t="str">
        <f t="shared" si="50"/>
        <v>4/1998</v>
      </c>
      <c r="Y783" s="1">
        <v>35929</v>
      </c>
      <c r="Z783">
        <f t="shared" si="51"/>
        <v>28</v>
      </c>
    </row>
    <row r="784" spans="19:26" x14ac:dyDescent="0.2">
      <c r="S784" s="1">
        <v>35902</v>
      </c>
      <c r="T784">
        <f t="shared" si="48"/>
        <v>4</v>
      </c>
      <c r="U784">
        <f t="shared" si="49"/>
        <v>1998</v>
      </c>
      <c r="V784" t="str">
        <f t="shared" si="50"/>
        <v>4/1998</v>
      </c>
      <c r="Y784" s="1">
        <v>35930</v>
      </c>
      <c r="Z784">
        <f t="shared" si="51"/>
        <v>28</v>
      </c>
    </row>
    <row r="785" spans="19:26" x14ac:dyDescent="0.2">
      <c r="S785" s="1">
        <v>35902</v>
      </c>
      <c r="T785">
        <f t="shared" si="48"/>
        <v>4</v>
      </c>
      <c r="U785">
        <f t="shared" si="49"/>
        <v>1998</v>
      </c>
      <c r="V785" t="str">
        <f t="shared" si="50"/>
        <v>4/1998</v>
      </c>
      <c r="Y785" s="1">
        <v>35930</v>
      </c>
      <c r="Z785">
        <f t="shared" si="51"/>
        <v>28</v>
      </c>
    </row>
    <row r="786" spans="19:26" x14ac:dyDescent="0.2">
      <c r="S786" s="1">
        <v>35902</v>
      </c>
      <c r="T786">
        <f t="shared" si="48"/>
        <v>4</v>
      </c>
      <c r="U786">
        <f t="shared" si="49"/>
        <v>1998</v>
      </c>
      <c r="V786" t="str">
        <f t="shared" si="50"/>
        <v>4/1998</v>
      </c>
      <c r="Y786" s="1">
        <v>35930</v>
      </c>
      <c r="Z786">
        <f t="shared" si="51"/>
        <v>28</v>
      </c>
    </row>
    <row r="787" spans="19:26" x14ac:dyDescent="0.2">
      <c r="S787" s="1">
        <v>35902</v>
      </c>
      <c r="T787">
        <f t="shared" si="48"/>
        <v>4</v>
      </c>
      <c r="U787">
        <f t="shared" si="49"/>
        <v>1998</v>
      </c>
      <c r="V787" t="str">
        <f t="shared" si="50"/>
        <v>4/1998</v>
      </c>
      <c r="Y787" s="1">
        <v>35930</v>
      </c>
      <c r="Z787">
        <f t="shared" si="51"/>
        <v>28</v>
      </c>
    </row>
    <row r="788" spans="19:26" x14ac:dyDescent="0.2">
      <c r="S788" s="1">
        <v>35905</v>
      </c>
      <c r="T788">
        <f t="shared" si="48"/>
        <v>4</v>
      </c>
      <c r="U788">
        <f t="shared" si="49"/>
        <v>1998</v>
      </c>
      <c r="V788" t="str">
        <f t="shared" si="50"/>
        <v>4/1998</v>
      </c>
      <c r="Y788" s="1">
        <v>35947</v>
      </c>
      <c r="Z788">
        <f t="shared" si="51"/>
        <v>42</v>
      </c>
    </row>
    <row r="789" spans="19:26" x14ac:dyDescent="0.2">
      <c r="S789" s="1">
        <v>35905</v>
      </c>
      <c r="T789">
        <f t="shared" si="48"/>
        <v>4</v>
      </c>
      <c r="U789">
        <f t="shared" si="49"/>
        <v>1998</v>
      </c>
      <c r="V789" t="str">
        <f t="shared" si="50"/>
        <v>4/1998</v>
      </c>
      <c r="Y789" s="1">
        <v>35933</v>
      </c>
      <c r="Z789">
        <f t="shared" si="51"/>
        <v>28</v>
      </c>
    </row>
    <row r="790" spans="19:26" x14ac:dyDescent="0.2">
      <c r="S790" s="1">
        <v>35905</v>
      </c>
      <c r="T790">
        <f t="shared" si="48"/>
        <v>4</v>
      </c>
      <c r="U790">
        <f t="shared" si="49"/>
        <v>1998</v>
      </c>
      <c r="V790" t="str">
        <f t="shared" si="50"/>
        <v>4/1998</v>
      </c>
      <c r="Y790" s="1">
        <v>35933</v>
      </c>
      <c r="Z790">
        <f t="shared" si="51"/>
        <v>28</v>
      </c>
    </row>
    <row r="791" spans="19:26" x14ac:dyDescent="0.2">
      <c r="S791" s="1">
        <v>35906</v>
      </c>
      <c r="T791">
        <f t="shared" si="48"/>
        <v>4</v>
      </c>
      <c r="U791">
        <f t="shared" si="49"/>
        <v>1998</v>
      </c>
      <c r="V791" t="str">
        <f t="shared" si="50"/>
        <v>4/1998</v>
      </c>
      <c r="Y791" s="1">
        <v>35934</v>
      </c>
      <c r="Z791">
        <f t="shared" si="51"/>
        <v>28</v>
      </c>
    </row>
    <row r="792" spans="19:26" x14ac:dyDescent="0.2">
      <c r="S792" s="1">
        <v>35906</v>
      </c>
      <c r="T792">
        <f t="shared" si="48"/>
        <v>4</v>
      </c>
      <c r="U792">
        <f t="shared" si="49"/>
        <v>1998</v>
      </c>
      <c r="V792" t="str">
        <f t="shared" si="50"/>
        <v>4/1998</v>
      </c>
      <c r="Y792" s="1">
        <v>35934</v>
      </c>
      <c r="Z792">
        <f t="shared" si="51"/>
        <v>28</v>
      </c>
    </row>
    <row r="793" spans="19:26" x14ac:dyDescent="0.2">
      <c r="S793" s="1">
        <v>35906</v>
      </c>
      <c r="T793">
        <f t="shared" si="48"/>
        <v>4</v>
      </c>
      <c r="U793">
        <f t="shared" si="49"/>
        <v>1998</v>
      </c>
      <c r="V793" t="str">
        <f t="shared" si="50"/>
        <v>4/1998</v>
      </c>
      <c r="Y793" s="1">
        <v>35934</v>
      </c>
      <c r="Z793">
        <f t="shared" si="51"/>
        <v>28</v>
      </c>
    </row>
    <row r="794" spans="19:26" x14ac:dyDescent="0.2">
      <c r="S794" s="1">
        <v>35907</v>
      </c>
      <c r="T794">
        <f t="shared" si="48"/>
        <v>4</v>
      </c>
      <c r="U794">
        <f t="shared" si="49"/>
        <v>1998</v>
      </c>
      <c r="V794" t="str">
        <f t="shared" si="50"/>
        <v>4/1998</v>
      </c>
      <c r="Y794" s="1">
        <v>35935</v>
      </c>
      <c r="Z794">
        <f t="shared" si="51"/>
        <v>28</v>
      </c>
    </row>
    <row r="795" spans="19:26" x14ac:dyDescent="0.2">
      <c r="S795" s="1">
        <v>35907</v>
      </c>
      <c r="T795">
        <f t="shared" si="48"/>
        <v>4</v>
      </c>
      <c r="U795">
        <f t="shared" si="49"/>
        <v>1998</v>
      </c>
      <c r="V795" t="str">
        <f t="shared" si="50"/>
        <v>4/1998</v>
      </c>
      <c r="Y795" s="1">
        <v>35935</v>
      </c>
      <c r="Z795">
        <f t="shared" si="51"/>
        <v>28</v>
      </c>
    </row>
    <row r="796" spans="19:26" x14ac:dyDescent="0.2">
      <c r="S796" s="1">
        <v>35907</v>
      </c>
      <c r="T796">
        <f t="shared" si="48"/>
        <v>4</v>
      </c>
      <c r="U796">
        <f t="shared" si="49"/>
        <v>1998</v>
      </c>
      <c r="V796" t="str">
        <f t="shared" si="50"/>
        <v>4/1998</v>
      </c>
      <c r="Y796" s="1">
        <v>35921</v>
      </c>
      <c r="Z796">
        <f t="shared" si="51"/>
        <v>14</v>
      </c>
    </row>
    <row r="797" spans="19:26" x14ac:dyDescent="0.2">
      <c r="S797" s="1">
        <v>35907</v>
      </c>
      <c r="T797">
        <f t="shared" si="48"/>
        <v>4</v>
      </c>
      <c r="U797">
        <f t="shared" si="49"/>
        <v>1998</v>
      </c>
      <c r="V797" t="str">
        <f t="shared" si="50"/>
        <v>4/1998</v>
      </c>
      <c r="Y797" s="1">
        <v>35935</v>
      </c>
      <c r="Z797">
        <f t="shared" si="51"/>
        <v>28</v>
      </c>
    </row>
    <row r="798" spans="19:26" x14ac:dyDescent="0.2">
      <c r="S798" s="1">
        <v>35908</v>
      </c>
      <c r="T798">
        <f t="shared" si="48"/>
        <v>4</v>
      </c>
      <c r="U798">
        <f t="shared" si="49"/>
        <v>1998</v>
      </c>
      <c r="V798" t="str">
        <f t="shared" si="50"/>
        <v>4/1998</v>
      </c>
      <c r="Y798" s="1">
        <v>35936</v>
      </c>
      <c r="Z798">
        <f t="shared" si="51"/>
        <v>28</v>
      </c>
    </row>
    <row r="799" spans="19:26" x14ac:dyDescent="0.2">
      <c r="S799" s="1">
        <v>35908</v>
      </c>
      <c r="T799">
        <f t="shared" si="48"/>
        <v>4</v>
      </c>
      <c r="U799">
        <f t="shared" si="49"/>
        <v>1998</v>
      </c>
      <c r="V799" t="str">
        <f t="shared" si="50"/>
        <v>4/1998</v>
      </c>
      <c r="Y799" s="1">
        <v>35936</v>
      </c>
      <c r="Z799">
        <f t="shared" si="51"/>
        <v>28</v>
      </c>
    </row>
    <row r="800" spans="19:26" x14ac:dyDescent="0.2">
      <c r="S800" s="1">
        <v>35908</v>
      </c>
      <c r="T800">
        <f t="shared" si="48"/>
        <v>4</v>
      </c>
      <c r="U800">
        <f t="shared" si="49"/>
        <v>1998</v>
      </c>
      <c r="V800" t="str">
        <f t="shared" si="50"/>
        <v>4/1998</v>
      </c>
      <c r="Y800" s="1">
        <v>35936</v>
      </c>
      <c r="Z800">
        <f t="shared" si="51"/>
        <v>28</v>
      </c>
    </row>
    <row r="801" spans="19:26" x14ac:dyDescent="0.2">
      <c r="S801" s="1">
        <v>35909</v>
      </c>
      <c r="T801">
        <f t="shared" si="48"/>
        <v>4</v>
      </c>
      <c r="U801">
        <f t="shared" si="49"/>
        <v>1998</v>
      </c>
      <c r="V801" t="str">
        <f t="shared" si="50"/>
        <v>4/1998</v>
      </c>
      <c r="Y801" s="1">
        <v>35937</v>
      </c>
      <c r="Z801">
        <f t="shared" si="51"/>
        <v>28</v>
      </c>
    </row>
    <row r="802" spans="19:26" x14ac:dyDescent="0.2">
      <c r="S802" s="1">
        <v>35909</v>
      </c>
      <c r="T802">
        <f t="shared" si="48"/>
        <v>4</v>
      </c>
      <c r="U802">
        <f t="shared" si="49"/>
        <v>1998</v>
      </c>
      <c r="V802" t="str">
        <f t="shared" si="50"/>
        <v>4/1998</v>
      </c>
      <c r="Y802" s="1">
        <v>35937</v>
      </c>
      <c r="Z802">
        <f t="shared" si="51"/>
        <v>28</v>
      </c>
    </row>
    <row r="803" spans="19:26" x14ac:dyDescent="0.2">
      <c r="S803" s="1">
        <v>35909</v>
      </c>
      <c r="T803">
        <f t="shared" si="48"/>
        <v>4</v>
      </c>
      <c r="U803">
        <f t="shared" si="49"/>
        <v>1998</v>
      </c>
      <c r="V803" t="str">
        <f t="shared" si="50"/>
        <v>4/1998</v>
      </c>
      <c r="Y803" s="1">
        <v>35937</v>
      </c>
      <c r="Z803">
        <f t="shared" si="51"/>
        <v>28</v>
      </c>
    </row>
    <row r="804" spans="19:26" x14ac:dyDescent="0.2">
      <c r="S804" s="1">
        <v>35912</v>
      </c>
      <c r="T804">
        <f t="shared" si="48"/>
        <v>4</v>
      </c>
      <c r="U804">
        <f t="shared" si="49"/>
        <v>1998</v>
      </c>
      <c r="V804" t="str">
        <f t="shared" si="50"/>
        <v>4/1998</v>
      </c>
      <c r="Y804" s="1">
        <v>35940</v>
      </c>
      <c r="Z804">
        <f t="shared" si="51"/>
        <v>28</v>
      </c>
    </row>
    <row r="805" spans="19:26" x14ac:dyDescent="0.2">
      <c r="S805" s="1">
        <v>35912</v>
      </c>
      <c r="T805">
        <f t="shared" si="48"/>
        <v>4</v>
      </c>
      <c r="U805">
        <f t="shared" si="49"/>
        <v>1998</v>
      </c>
      <c r="V805" t="str">
        <f t="shared" si="50"/>
        <v>4/1998</v>
      </c>
      <c r="Y805" s="1">
        <v>35940</v>
      </c>
      <c r="Z805">
        <f t="shared" si="51"/>
        <v>28</v>
      </c>
    </row>
    <row r="806" spans="19:26" x14ac:dyDescent="0.2">
      <c r="S806" s="1">
        <v>35912</v>
      </c>
      <c r="T806">
        <f t="shared" si="48"/>
        <v>4</v>
      </c>
      <c r="U806">
        <f t="shared" si="49"/>
        <v>1998</v>
      </c>
      <c r="V806" t="str">
        <f t="shared" si="50"/>
        <v>4/1998</v>
      </c>
      <c r="Y806" s="1">
        <v>35940</v>
      </c>
      <c r="Z806">
        <f t="shared" si="51"/>
        <v>28</v>
      </c>
    </row>
    <row r="807" spans="19:26" x14ac:dyDescent="0.2">
      <c r="S807" s="1">
        <v>35912</v>
      </c>
      <c r="T807">
        <f t="shared" si="48"/>
        <v>4</v>
      </c>
      <c r="U807">
        <f t="shared" si="49"/>
        <v>1998</v>
      </c>
      <c r="V807" t="str">
        <f t="shared" si="50"/>
        <v>4/1998</v>
      </c>
      <c r="Y807" s="1">
        <v>35940</v>
      </c>
      <c r="Z807">
        <f t="shared" si="51"/>
        <v>28</v>
      </c>
    </row>
    <row r="808" spans="19:26" x14ac:dyDescent="0.2">
      <c r="S808" s="1">
        <v>35913</v>
      </c>
      <c r="T808">
        <f t="shared" si="48"/>
        <v>4</v>
      </c>
      <c r="U808">
        <f t="shared" si="49"/>
        <v>1998</v>
      </c>
      <c r="V808" t="str">
        <f t="shared" si="50"/>
        <v>4/1998</v>
      </c>
      <c r="Y808" s="1">
        <v>35941</v>
      </c>
      <c r="Z808">
        <f t="shared" si="51"/>
        <v>28</v>
      </c>
    </row>
    <row r="809" spans="19:26" x14ac:dyDescent="0.2">
      <c r="S809" s="1">
        <v>35913</v>
      </c>
      <c r="T809">
        <f t="shared" si="48"/>
        <v>4</v>
      </c>
      <c r="U809">
        <f t="shared" si="49"/>
        <v>1998</v>
      </c>
      <c r="V809" t="str">
        <f t="shared" si="50"/>
        <v>4/1998</v>
      </c>
      <c r="Y809" s="1">
        <v>35941</v>
      </c>
      <c r="Z809">
        <f t="shared" si="51"/>
        <v>28</v>
      </c>
    </row>
    <row r="810" spans="19:26" x14ac:dyDescent="0.2">
      <c r="S810" s="1">
        <v>35913</v>
      </c>
      <c r="T810">
        <f t="shared" si="48"/>
        <v>4</v>
      </c>
      <c r="U810">
        <f t="shared" si="49"/>
        <v>1998</v>
      </c>
      <c r="V810" t="str">
        <f t="shared" si="50"/>
        <v>4/1998</v>
      </c>
      <c r="Y810" s="1">
        <v>35927</v>
      </c>
      <c r="Z810">
        <f t="shared" si="51"/>
        <v>14</v>
      </c>
    </row>
    <row r="811" spans="19:26" x14ac:dyDescent="0.2">
      <c r="S811" s="1">
        <v>35914</v>
      </c>
      <c r="T811">
        <f t="shared" si="48"/>
        <v>4</v>
      </c>
      <c r="U811">
        <f t="shared" si="49"/>
        <v>1998</v>
      </c>
      <c r="V811" t="str">
        <f t="shared" si="50"/>
        <v>4/1998</v>
      </c>
      <c r="Y811" s="1">
        <v>35942</v>
      </c>
      <c r="Z811">
        <f t="shared" si="51"/>
        <v>28</v>
      </c>
    </row>
    <row r="812" spans="19:26" x14ac:dyDescent="0.2">
      <c r="S812" s="1">
        <v>35914</v>
      </c>
      <c r="T812">
        <f t="shared" si="48"/>
        <v>4</v>
      </c>
      <c r="U812">
        <f t="shared" si="49"/>
        <v>1998</v>
      </c>
      <c r="V812" t="str">
        <f t="shared" si="50"/>
        <v>4/1998</v>
      </c>
      <c r="Y812" s="1">
        <v>35942</v>
      </c>
      <c r="Z812">
        <f t="shared" si="51"/>
        <v>28</v>
      </c>
    </row>
    <row r="813" spans="19:26" x14ac:dyDescent="0.2">
      <c r="S813" s="1">
        <v>35914</v>
      </c>
      <c r="T813">
        <f t="shared" si="48"/>
        <v>4</v>
      </c>
      <c r="U813">
        <f t="shared" si="49"/>
        <v>1998</v>
      </c>
      <c r="V813" t="str">
        <f t="shared" si="50"/>
        <v>4/1998</v>
      </c>
      <c r="Y813" s="1">
        <v>35956</v>
      </c>
      <c r="Z813">
        <f t="shared" si="51"/>
        <v>42</v>
      </c>
    </row>
    <row r="814" spans="19:26" x14ac:dyDescent="0.2">
      <c r="S814" s="1">
        <v>35915</v>
      </c>
      <c r="T814">
        <f t="shared" si="48"/>
        <v>4</v>
      </c>
      <c r="U814">
        <f t="shared" si="49"/>
        <v>1998</v>
      </c>
      <c r="V814" t="str">
        <f t="shared" si="50"/>
        <v>4/1998</v>
      </c>
      <c r="Y814" s="1">
        <v>35943</v>
      </c>
      <c r="Z814">
        <f t="shared" si="51"/>
        <v>28</v>
      </c>
    </row>
    <row r="815" spans="19:26" x14ac:dyDescent="0.2">
      <c r="S815" s="1">
        <v>35915</v>
      </c>
      <c r="T815">
        <f t="shared" si="48"/>
        <v>4</v>
      </c>
      <c r="U815">
        <f t="shared" si="49"/>
        <v>1998</v>
      </c>
      <c r="V815" t="str">
        <f t="shared" si="50"/>
        <v>4/1998</v>
      </c>
      <c r="Y815" s="1">
        <v>35957</v>
      </c>
      <c r="Z815">
        <f t="shared" si="51"/>
        <v>42</v>
      </c>
    </row>
    <row r="816" spans="19:26" x14ac:dyDescent="0.2">
      <c r="S816" s="1">
        <v>35915</v>
      </c>
      <c r="T816">
        <f t="shared" si="48"/>
        <v>4</v>
      </c>
      <c r="U816">
        <f t="shared" si="49"/>
        <v>1998</v>
      </c>
      <c r="V816" t="str">
        <f t="shared" si="50"/>
        <v>4/1998</v>
      </c>
      <c r="Y816" s="1">
        <v>35943</v>
      </c>
      <c r="Z816">
        <f t="shared" si="51"/>
        <v>28</v>
      </c>
    </row>
    <row r="817" spans="19:26" x14ac:dyDescent="0.2">
      <c r="S817" s="1">
        <v>35915</v>
      </c>
      <c r="T817">
        <f t="shared" si="48"/>
        <v>4</v>
      </c>
      <c r="U817">
        <f t="shared" si="49"/>
        <v>1998</v>
      </c>
      <c r="V817" t="str">
        <f t="shared" si="50"/>
        <v>4/1998</v>
      </c>
      <c r="Y817" s="1">
        <v>35943</v>
      </c>
      <c r="Z817">
        <f t="shared" si="51"/>
        <v>28</v>
      </c>
    </row>
    <row r="818" spans="19:26" x14ac:dyDescent="0.2">
      <c r="S818" s="1">
        <v>35916</v>
      </c>
      <c r="T818">
        <f t="shared" si="48"/>
        <v>5</v>
      </c>
      <c r="U818">
        <f t="shared" si="49"/>
        <v>1998</v>
      </c>
      <c r="V818" t="str">
        <f t="shared" si="50"/>
        <v>5/1998</v>
      </c>
      <c r="Y818" s="1">
        <v>35944</v>
      </c>
      <c r="Z818">
        <f t="shared" si="51"/>
        <v>28</v>
      </c>
    </row>
    <row r="819" spans="19:26" x14ac:dyDescent="0.2">
      <c r="S819" s="1">
        <v>35916</v>
      </c>
      <c r="T819">
        <f t="shared" si="48"/>
        <v>5</v>
      </c>
      <c r="U819">
        <f t="shared" si="49"/>
        <v>1998</v>
      </c>
      <c r="V819" t="str">
        <f t="shared" si="50"/>
        <v>5/1998</v>
      </c>
      <c r="Y819" s="1">
        <v>35944</v>
      </c>
      <c r="Z819">
        <f t="shared" si="51"/>
        <v>28</v>
      </c>
    </row>
    <row r="820" spans="19:26" x14ac:dyDescent="0.2">
      <c r="S820" s="1">
        <v>35916</v>
      </c>
      <c r="T820">
        <f t="shared" si="48"/>
        <v>5</v>
      </c>
      <c r="U820">
        <f t="shared" si="49"/>
        <v>1998</v>
      </c>
      <c r="V820" t="str">
        <f t="shared" si="50"/>
        <v>5/1998</v>
      </c>
      <c r="Y820" s="1">
        <v>35944</v>
      </c>
      <c r="Z820">
        <f t="shared" si="51"/>
        <v>28</v>
      </c>
    </row>
    <row r="821" spans="19:26" x14ac:dyDescent="0.2">
      <c r="S821" s="1">
        <v>35919</v>
      </c>
      <c r="T821">
        <f t="shared" si="48"/>
        <v>5</v>
      </c>
      <c r="U821">
        <f t="shared" si="49"/>
        <v>1998</v>
      </c>
      <c r="V821" t="str">
        <f t="shared" si="50"/>
        <v>5/1998</v>
      </c>
      <c r="Y821" s="1">
        <v>35933</v>
      </c>
      <c r="Z821">
        <f t="shared" si="51"/>
        <v>14</v>
      </c>
    </row>
    <row r="822" spans="19:26" x14ac:dyDescent="0.2">
      <c r="S822" s="1">
        <v>35919</v>
      </c>
      <c r="T822">
        <f t="shared" si="48"/>
        <v>5</v>
      </c>
      <c r="U822">
        <f t="shared" si="49"/>
        <v>1998</v>
      </c>
      <c r="V822" t="str">
        <f t="shared" si="50"/>
        <v>5/1998</v>
      </c>
      <c r="Y822" s="1">
        <v>35947</v>
      </c>
      <c r="Z822">
        <f t="shared" si="51"/>
        <v>28</v>
      </c>
    </row>
    <row r="823" spans="19:26" x14ac:dyDescent="0.2">
      <c r="S823" s="1">
        <v>35919</v>
      </c>
      <c r="T823">
        <f t="shared" si="48"/>
        <v>5</v>
      </c>
      <c r="U823">
        <f t="shared" si="49"/>
        <v>1998</v>
      </c>
      <c r="V823" t="str">
        <f t="shared" si="50"/>
        <v>5/1998</v>
      </c>
      <c r="Y823" s="1">
        <v>35947</v>
      </c>
      <c r="Z823">
        <f t="shared" si="51"/>
        <v>28</v>
      </c>
    </row>
    <row r="824" spans="19:26" x14ac:dyDescent="0.2">
      <c r="S824" s="1">
        <v>35920</v>
      </c>
      <c r="T824">
        <f t="shared" si="48"/>
        <v>5</v>
      </c>
      <c r="U824">
        <f t="shared" si="49"/>
        <v>1998</v>
      </c>
      <c r="V824" t="str">
        <f t="shared" si="50"/>
        <v>5/1998</v>
      </c>
      <c r="Y824" s="1">
        <v>35948</v>
      </c>
      <c r="Z824">
        <f t="shared" si="51"/>
        <v>28</v>
      </c>
    </row>
    <row r="825" spans="19:26" x14ac:dyDescent="0.2">
      <c r="S825" s="1">
        <v>35920</v>
      </c>
      <c r="T825">
        <f t="shared" si="48"/>
        <v>5</v>
      </c>
      <c r="U825">
        <f t="shared" si="49"/>
        <v>1998</v>
      </c>
      <c r="V825" t="str">
        <f t="shared" si="50"/>
        <v>5/1998</v>
      </c>
      <c r="Y825" s="1">
        <v>35948</v>
      </c>
      <c r="Z825">
        <f t="shared" si="51"/>
        <v>28</v>
      </c>
    </row>
    <row r="826" spans="19:26" x14ac:dyDescent="0.2">
      <c r="S826" s="1">
        <v>35920</v>
      </c>
      <c r="T826">
        <f t="shared" si="48"/>
        <v>5</v>
      </c>
      <c r="U826">
        <f t="shared" si="49"/>
        <v>1998</v>
      </c>
      <c r="V826" t="str">
        <f t="shared" si="50"/>
        <v>5/1998</v>
      </c>
      <c r="Y826" s="1">
        <v>35948</v>
      </c>
      <c r="Z826">
        <f t="shared" si="51"/>
        <v>28</v>
      </c>
    </row>
    <row r="827" spans="19:26" x14ac:dyDescent="0.2">
      <c r="S827" s="1">
        <v>35920</v>
      </c>
      <c r="T827">
        <f t="shared" si="48"/>
        <v>5</v>
      </c>
      <c r="U827">
        <f t="shared" si="49"/>
        <v>1998</v>
      </c>
      <c r="V827" t="str">
        <f t="shared" si="50"/>
        <v>5/1998</v>
      </c>
      <c r="Y827" s="1">
        <v>35948</v>
      </c>
      <c r="Z827">
        <f t="shared" si="51"/>
        <v>28</v>
      </c>
    </row>
    <row r="828" spans="19:26" x14ac:dyDescent="0.2">
      <c r="S828" s="1">
        <v>35921</v>
      </c>
      <c r="T828">
        <f t="shared" si="48"/>
        <v>5</v>
      </c>
      <c r="U828">
        <f t="shared" si="49"/>
        <v>1998</v>
      </c>
      <c r="V828" t="str">
        <f t="shared" si="50"/>
        <v>5/1998</v>
      </c>
      <c r="Y828" s="1">
        <v>35949</v>
      </c>
      <c r="Z828">
        <f t="shared" si="51"/>
        <v>28</v>
      </c>
    </row>
    <row r="829" spans="19:26" x14ac:dyDescent="0.2">
      <c r="S829" s="1">
        <v>35921</v>
      </c>
      <c r="T829">
        <f t="shared" si="48"/>
        <v>5</v>
      </c>
      <c r="U829">
        <f t="shared" si="49"/>
        <v>1998</v>
      </c>
      <c r="V829" t="str">
        <f t="shared" si="50"/>
        <v>5/1998</v>
      </c>
      <c r="Y829" s="1">
        <v>35949</v>
      </c>
      <c r="Z829">
        <f t="shared" si="51"/>
        <v>28</v>
      </c>
    </row>
    <row r="830" spans="19:26" x14ac:dyDescent="0.2">
      <c r="S830" s="1">
        <v>35921</v>
      </c>
      <c r="T830">
        <f t="shared" si="48"/>
        <v>5</v>
      </c>
      <c r="U830">
        <f t="shared" si="49"/>
        <v>1998</v>
      </c>
      <c r="V830" t="str">
        <f t="shared" si="50"/>
        <v>5/1998</v>
      </c>
      <c r="Y830" s="1">
        <v>35949</v>
      </c>
      <c r="Z830">
        <f t="shared" si="51"/>
        <v>28</v>
      </c>
    </row>
    <row r="831" spans="19:26" x14ac:dyDescent="0.2">
      <c r="S831" s="1">
        <v>35921</v>
      </c>
      <c r="T831">
        <f t="shared" si="48"/>
        <v>5</v>
      </c>
      <c r="U831">
        <f t="shared" si="49"/>
        <v>1998</v>
      </c>
      <c r="V831" t="str">
        <f t="shared" si="50"/>
        <v>5/1998</v>
      </c>
      <c r="Y831" s="1">
        <v>35949</v>
      </c>
      <c r="Z831">
        <f t="shared" si="51"/>
        <v>28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C1F56-E243-D340-B340-F1904BE42974}">
  <dimension ref="B2:J848"/>
  <sheetViews>
    <sheetView tabSelected="1" topLeftCell="A3" zoomScale="157" workbookViewId="0">
      <selection activeCell="D11" sqref="D11"/>
    </sheetView>
  </sheetViews>
  <sheetFormatPr baseColWidth="10" defaultRowHeight="16" x14ac:dyDescent="0.2"/>
  <cols>
    <col min="2" max="2" width="13.33203125" customWidth="1"/>
    <col min="3" max="3" width="32.1640625" customWidth="1"/>
    <col min="4" max="4" width="12.5" customWidth="1"/>
    <col min="6" max="6" width="19.33203125" bestFit="1" customWidth="1"/>
    <col min="7" max="7" width="16" bestFit="1" customWidth="1"/>
    <col min="10" max="10" width="12.5" customWidth="1"/>
    <col min="11" max="11" width="13.6640625" customWidth="1"/>
    <col min="12" max="12" width="18.83203125" customWidth="1"/>
  </cols>
  <sheetData>
    <row r="2" spans="2:9" ht="17" thickBot="1" x14ac:dyDescent="0.25"/>
    <row r="3" spans="2:9" ht="17" thickBot="1" x14ac:dyDescent="0.25">
      <c r="C3" s="52" t="s">
        <v>1477</v>
      </c>
      <c r="E3" s="56" t="s">
        <v>1483</v>
      </c>
      <c r="F3" s="53">
        <v>35065</v>
      </c>
      <c r="G3" s="55" t="s">
        <v>1484</v>
      </c>
      <c r="H3" s="54">
        <v>35947</v>
      </c>
    </row>
    <row r="4" spans="2:9" ht="17" thickBot="1" x14ac:dyDescent="0.25"/>
    <row r="5" spans="2:9" ht="17" thickBot="1" x14ac:dyDescent="0.25">
      <c r="B5" s="56" t="s">
        <v>1478</v>
      </c>
      <c r="C5" s="48"/>
      <c r="D5" s="49">
        <f>KPI!B1</f>
        <v>830</v>
      </c>
    </row>
    <row r="6" spans="2:9" ht="17" thickBot="1" x14ac:dyDescent="0.25"/>
    <row r="7" spans="2:9" x14ac:dyDescent="0.2">
      <c r="B7" s="57" t="s">
        <v>1479</v>
      </c>
      <c r="C7" s="58" t="s">
        <v>1162</v>
      </c>
      <c r="D7" s="59" t="s">
        <v>1480</v>
      </c>
      <c r="F7" s="57" t="s">
        <v>1481</v>
      </c>
      <c r="G7" s="58" t="s">
        <v>1162</v>
      </c>
      <c r="H7" s="58" t="s">
        <v>1480</v>
      </c>
      <c r="I7" s="59" t="s">
        <v>1482</v>
      </c>
    </row>
    <row r="8" spans="2:9" x14ac:dyDescent="0.2">
      <c r="B8" s="35" t="str" cm="1">
        <f t="array" ref="B8:D17">KPI!E2:G11</f>
        <v>SAVEA</v>
      </c>
      <c r="C8" s="12" t="str">
        <v>Save-a-lot Markets</v>
      </c>
      <c r="D8" s="36">
        <v>31</v>
      </c>
      <c r="F8" s="37" cm="1">
        <f t="array" ref="F8:I16">KPI!N2:Q10</f>
        <v>1</v>
      </c>
      <c r="G8" s="12" t="str">
        <v>Davolio-Nancy</v>
      </c>
      <c r="H8" s="12">
        <v>123</v>
      </c>
      <c r="I8" s="36">
        <v>65</v>
      </c>
    </row>
    <row r="9" spans="2:9" x14ac:dyDescent="0.2">
      <c r="B9" s="35" t="str">
        <v>ERNSH</v>
      </c>
      <c r="C9" s="12" t="str">
        <v>Ernst Handel</v>
      </c>
      <c r="D9" s="36">
        <v>30</v>
      </c>
      <c r="F9" s="37">
        <v>2</v>
      </c>
      <c r="G9" s="12" t="str">
        <v>Fuller-Andrew</v>
      </c>
      <c r="H9" s="12">
        <v>96</v>
      </c>
      <c r="I9" s="36">
        <v>59</v>
      </c>
    </row>
    <row r="10" spans="2:9" x14ac:dyDescent="0.2">
      <c r="B10" s="35" t="str">
        <v>QUICK</v>
      </c>
      <c r="C10" s="12" t="str">
        <v>QUICK-Stop</v>
      </c>
      <c r="D10" s="36">
        <v>28</v>
      </c>
      <c r="F10" s="37">
        <v>3</v>
      </c>
      <c r="G10" s="12" t="str">
        <v>Leverling-Janet</v>
      </c>
      <c r="H10" s="12">
        <v>127</v>
      </c>
      <c r="I10" s="36">
        <v>63</v>
      </c>
    </row>
    <row r="11" spans="2:9" x14ac:dyDescent="0.2">
      <c r="B11" s="35" t="str">
        <v>FOLKO</v>
      </c>
      <c r="C11" s="12" t="str">
        <v>Folk och fä HB</v>
      </c>
      <c r="D11" s="36">
        <v>19</v>
      </c>
      <c r="F11" s="37">
        <v>4</v>
      </c>
      <c r="G11" s="12" t="str">
        <v>Peacock-Margaret</v>
      </c>
      <c r="H11" s="12">
        <v>156</v>
      </c>
      <c r="I11" s="36">
        <v>75</v>
      </c>
    </row>
    <row r="12" spans="2:9" x14ac:dyDescent="0.2">
      <c r="B12" s="35" t="str">
        <v>HUNGO</v>
      </c>
      <c r="C12" s="12" t="str">
        <v>Hungry Owl All-Night Grocers</v>
      </c>
      <c r="D12" s="36">
        <v>19</v>
      </c>
      <c r="F12" s="37">
        <v>5</v>
      </c>
      <c r="G12" s="12" t="str">
        <v>Buchanan-Steven</v>
      </c>
      <c r="H12" s="12">
        <v>42</v>
      </c>
      <c r="I12" s="36">
        <v>29</v>
      </c>
    </row>
    <row r="13" spans="2:9" x14ac:dyDescent="0.2">
      <c r="B13" s="35" t="str">
        <v>BERGS</v>
      </c>
      <c r="C13" s="12" t="str">
        <v>Berglunds snabbköp</v>
      </c>
      <c r="D13" s="36">
        <v>18</v>
      </c>
      <c r="E13" t="s">
        <v>1490</v>
      </c>
      <c r="F13" s="37">
        <v>6</v>
      </c>
      <c r="G13" s="12" t="str">
        <v>Suyama-Michael</v>
      </c>
      <c r="H13" s="12">
        <v>67</v>
      </c>
      <c r="I13" s="36">
        <v>43</v>
      </c>
    </row>
    <row r="14" spans="2:9" x14ac:dyDescent="0.2">
      <c r="B14" s="35" t="str">
        <v>HILAA</v>
      </c>
      <c r="C14" s="12" t="str">
        <v>HILARION-Abastos</v>
      </c>
      <c r="D14" s="36">
        <v>18</v>
      </c>
      <c r="F14" s="37">
        <v>7</v>
      </c>
      <c r="G14" s="12" t="str">
        <v>King-Robert</v>
      </c>
      <c r="H14" s="12">
        <v>72</v>
      </c>
      <c r="I14" s="36">
        <v>45</v>
      </c>
    </row>
    <row r="15" spans="2:9" x14ac:dyDescent="0.2">
      <c r="B15" s="35" t="str">
        <v>RATTC</v>
      </c>
      <c r="C15" s="12" t="str">
        <v>Rattlesnake Canyon Grocery</v>
      </c>
      <c r="D15" s="36">
        <v>18</v>
      </c>
      <c r="F15" s="37">
        <v>8</v>
      </c>
      <c r="G15" s="12" t="str">
        <v>Callahan-Laura</v>
      </c>
      <c r="H15" s="12">
        <v>104</v>
      </c>
      <c r="I15" s="36">
        <v>56</v>
      </c>
    </row>
    <row r="16" spans="2:9" ht="17" thickBot="1" x14ac:dyDescent="0.25">
      <c r="B16" s="35" t="str">
        <v>BONAP</v>
      </c>
      <c r="C16" s="12" t="str">
        <v>Bon app'</v>
      </c>
      <c r="D16" s="36">
        <v>17</v>
      </c>
      <c r="F16" s="47">
        <v>9</v>
      </c>
      <c r="G16" s="39" t="str">
        <v>Dodsworth-Anne</v>
      </c>
      <c r="H16" s="39">
        <v>43</v>
      </c>
      <c r="I16" s="40">
        <v>29</v>
      </c>
    </row>
    <row r="17" spans="2:10" ht="17" thickBot="1" x14ac:dyDescent="0.25">
      <c r="B17" s="35" t="str">
        <v>FRANK</v>
      </c>
      <c r="C17" s="12" t="str">
        <v>Frankenversand</v>
      </c>
      <c r="D17" s="36">
        <v>15</v>
      </c>
    </row>
    <row r="18" spans="2:10" x14ac:dyDescent="0.2">
      <c r="B18" s="50"/>
      <c r="C18" s="32"/>
      <c r="D18" s="51"/>
      <c r="F18" s="57" t="s">
        <v>1485</v>
      </c>
      <c r="G18" s="58" t="s">
        <v>1480</v>
      </c>
      <c r="H18" s="58" t="s">
        <v>1487</v>
      </c>
      <c r="I18" s="58" t="s">
        <v>1488</v>
      </c>
      <c r="J18" s="59" t="s">
        <v>1489</v>
      </c>
    </row>
    <row r="19" spans="2:10" x14ac:dyDescent="0.2">
      <c r="B19" s="35" t="str" cm="1">
        <f t="array" ref="B19:D28">KPI!E83:G92</f>
        <v>FRANR</v>
      </c>
      <c r="C19" s="12" t="str">
        <v>France restauration</v>
      </c>
      <c r="D19" s="36">
        <v>3</v>
      </c>
      <c r="F19" s="43" t="str" cm="1">
        <f t="array" ref="F19:G41">KPI!W2:X24</f>
        <v>7/1996</v>
      </c>
      <c r="G19" s="12">
        <v>22</v>
      </c>
      <c r="H19" s="62" cm="1">
        <f t="array" ref="H19:H41">KPI!AA2:AA24</f>
        <v>28</v>
      </c>
      <c r="I19" s="44">
        <v>0</v>
      </c>
      <c r="J19" s="36">
        <v>0</v>
      </c>
    </row>
    <row r="20" spans="2:10" x14ac:dyDescent="0.2">
      <c r="B20" s="35" t="str">
        <v>LAUGB</v>
      </c>
      <c r="C20" s="12" t="str">
        <v>Laughing Bacchus Wine Cellars</v>
      </c>
      <c r="D20" s="36">
        <v>3</v>
      </c>
      <c r="F20" s="43" t="str">
        <v>8/1996</v>
      </c>
      <c r="G20" s="12">
        <v>25</v>
      </c>
      <c r="H20" s="62">
        <v>26.88</v>
      </c>
      <c r="I20" s="44">
        <v>0</v>
      </c>
      <c r="J20" s="36">
        <v>0</v>
      </c>
    </row>
    <row r="21" spans="2:10" x14ac:dyDescent="0.2">
      <c r="B21" s="35" t="str">
        <v>NORTS</v>
      </c>
      <c r="C21" s="12" t="str">
        <v>North/South</v>
      </c>
      <c r="D21" s="36">
        <v>3</v>
      </c>
      <c r="F21" s="43" t="str">
        <v>9/1996</v>
      </c>
      <c r="G21" s="12">
        <v>23</v>
      </c>
      <c r="H21" s="62">
        <v>28</v>
      </c>
      <c r="I21" s="44">
        <v>0</v>
      </c>
      <c r="J21" s="36">
        <v>0</v>
      </c>
    </row>
    <row r="22" spans="2:10" x14ac:dyDescent="0.2">
      <c r="B22" s="35" t="str">
        <v>THECR</v>
      </c>
      <c r="C22" s="12" t="str">
        <v>The Cracker Box</v>
      </c>
      <c r="D22" s="36">
        <v>3</v>
      </c>
      <c r="F22" s="43" t="str">
        <v>10/1996</v>
      </c>
      <c r="G22" s="12">
        <v>26</v>
      </c>
      <c r="H22" s="62">
        <v>28</v>
      </c>
      <c r="I22" s="44">
        <v>0</v>
      </c>
      <c r="J22" s="36">
        <v>0</v>
      </c>
    </row>
    <row r="23" spans="2:10" x14ac:dyDescent="0.2">
      <c r="B23" s="35" t="str">
        <v>TRAIH</v>
      </c>
      <c r="C23" s="12" t="str">
        <v>Trail's Head Gourmet Provisioners</v>
      </c>
      <c r="D23" s="36">
        <v>3</v>
      </c>
      <c r="F23" s="43" t="str">
        <v>11/1996</v>
      </c>
      <c r="G23" s="12">
        <v>25</v>
      </c>
      <c r="H23" s="62">
        <v>29.12</v>
      </c>
      <c r="I23" s="44">
        <v>0</v>
      </c>
      <c r="J23" s="36">
        <v>0</v>
      </c>
    </row>
    <row r="24" spans="2:10" x14ac:dyDescent="0.2">
      <c r="B24" s="35" t="str">
        <v>GROSR</v>
      </c>
      <c r="C24" s="12" t="str">
        <v>GROSELLA-Restaurante</v>
      </c>
      <c r="D24" s="36">
        <v>2</v>
      </c>
      <c r="F24" s="43" t="str">
        <v>12/1996</v>
      </c>
      <c r="G24" s="12">
        <v>31</v>
      </c>
      <c r="H24" s="62">
        <v>26.64516129032258</v>
      </c>
      <c r="I24" s="44">
        <v>0</v>
      </c>
      <c r="J24" s="36">
        <v>0</v>
      </c>
    </row>
    <row r="25" spans="2:10" x14ac:dyDescent="0.2">
      <c r="B25" s="35" t="str">
        <v>LAZYK</v>
      </c>
      <c r="C25" s="12" t="str">
        <v>Lazy K Kountry Store</v>
      </c>
      <c r="D25" s="36">
        <v>2</v>
      </c>
      <c r="F25" s="43" t="str">
        <v>1/1997</v>
      </c>
      <c r="G25" s="12">
        <v>33</v>
      </c>
      <c r="H25" s="62">
        <v>28</v>
      </c>
      <c r="I25" s="44">
        <v>0</v>
      </c>
      <c r="J25" s="36">
        <v>0</v>
      </c>
    </row>
    <row r="26" spans="2:10" x14ac:dyDescent="0.2">
      <c r="B26" s="35" t="str">
        <v>CENTC</v>
      </c>
      <c r="C26" s="12" t="str">
        <v>Centro comercial Moctezuma</v>
      </c>
      <c r="D26" s="36">
        <v>1</v>
      </c>
      <c r="F26" s="43" t="str">
        <v>2/1997</v>
      </c>
      <c r="G26" s="12">
        <v>29</v>
      </c>
      <c r="H26" s="62">
        <v>29.448275862068964</v>
      </c>
      <c r="I26" s="44">
        <v>0</v>
      </c>
      <c r="J26" s="36">
        <v>0</v>
      </c>
    </row>
    <row r="27" spans="2:10" x14ac:dyDescent="0.2">
      <c r="B27" s="35" t="str">
        <v>FISSA</v>
      </c>
      <c r="C27" s="12" t="str">
        <v>FISSA Fabrica Inter. Salchichas S.A.</v>
      </c>
      <c r="D27" s="36">
        <v>1</v>
      </c>
      <c r="F27" s="43" t="str">
        <v>3/1997</v>
      </c>
      <c r="G27" s="12">
        <v>30</v>
      </c>
      <c r="H27" s="62">
        <v>26.6</v>
      </c>
      <c r="I27" s="44">
        <v>0</v>
      </c>
      <c r="J27" s="36">
        <v>0</v>
      </c>
    </row>
    <row r="28" spans="2:10" ht="17" thickBot="1" x14ac:dyDescent="0.25">
      <c r="B28" s="38" t="str">
        <v>PARIS</v>
      </c>
      <c r="C28" s="39" t="str">
        <v>Paris spécialités</v>
      </c>
      <c r="D28" s="40">
        <v>1</v>
      </c>
      <c r="F28" s="43" t="str">
        <v>4/1997</v>
      </c>
      <c r="G28" s="12">
        <v>31</v>
      </c>
      <c r="H28" s="62">
        <v>27.548387096774192</v>
      </c>
      <c r="I28" s="44">
        <v>0</v>
      </c>
      <c r="J28" s="36">
        <v>0</v>
      </c>
    </row>
    <row r="29" spans="2:10" ht="17" thickBot="1" x14ac:dyDescent="0.25">
      <c r="B29" s="33"/>
      <c r="F29" s="43" t="str">
        <v>5/1997</v>
      </c>
      <c r="G29" s="12">
        <v>32</v>
      </c>
      <c r="H29" s="62">
        <v>27.125</v>
      </c>
      <c r="I29" s="44">
        <v>0</v>
      </c>
      <c r="J29" s="36">
        <v>0</v>
      </c>
    </row>
    <row r="30" spans="2:10" x14ac:dyDescent="0.2">
      <c r="B30" s="57" t="s">
        <v>1486</v>
      </c>
      <c r="C30" s="58" t="s">
        <v>1162</v>
      </c>
      <c r="D30" s="59" t="s">
        <v>1480</v>
      </c>
      <c r="F30" s="43" t="str">
        <v>6/1997</v>
      </c>
      <c r="G30" s="12">
        <v>30</v>
      </c>
      <c r="H30" s="62">
        <v>28.466666666666665</v>
      </c>
      <c r="I30" s="44">
        <v>0</v>
      </c>
      <c r="J30" s="36">
        <v>0</v>
      </c>
    </row>
    <row r="31" spans="2:10" x14ac:dyDescent="0.2">
      <c r="B31" s="35" cm="1">
        <f t="array" ref="B31:D33">KPI!J2:L4</f>
        <v>1</v>
      </c>
      <c r="C31" s="41" t="str">
        <v>Speedy Express</v>
      </c>
      <c r="D31" s="36">
        <v>249</v>
      </c>
      <c r="F31" s="43" t="str">
        <v>7/1997</v>
      </c>
      <c r="G31" s="12">
        <v>33</v>
      </c>
      <c r="H31" s="62">
        <v>28.424242424242426</v>
      </c>
      <c r="I31" s="44">
        <v>0</v>
      </c>
      <c r="J31" s="36">
        <v>0</v>
      </c>
    </row>
    <row r="32" spans="2:10" x14ac:dyDescent="0.2">
      <c r="B32" s="35">
        <v>2</v>
      </c>
      <c r="C32" s="41" t="str">
        <v>United Package</v>
      </c>
      <c r="D32" s="36">
        <v>326</v>
      </c>
      <c r="F32" s="43" t="str">
        <v>8/1997</v>
      </c>
      <c r="G32" s="12">
        <v>33</v>
      </c>
      <c r="H32" s="62">
        <v>29.272727272727273</v>
      </c>
      <c r="I32" s="44">
        <v>0</v>
      </c>
      <c r="J32" s="36">
        <v>0</v>
      </c>
    </row>
    <row r="33" spans="2:10" ht="17" thickBot="1" x14ac:dyDescent="0.25">
      <c r="B33" s="38">
        <v>3</v>
      </c>
      <c r="C33" s="42" t="str">
        <v>Federal Shipping</v>
      </c>
      <c r="D33" s="40">
        <v>255</v>
      </c>
      <c r="F33" s="43" t="str">
        <v>9/1997</v>
      </c>
      <c r="G33" s="12">
        <v>37</v>
      </c>
      <c r="H33" s="62">
        <v>26.864864864864863</v>
      </c>
      <c r="I33" s="44">
        <v>0</v>
      </c>
      <c r="J33" s="36">
        <v>0</v>
      </c>
    </row>
    <row r="34" spans="2:10" x14ac:dyDescent="0.2">
      <c r="B34" s="33"/>
      <c r="F34" s="43" t="str">
        <v>10/1997</v>
      </c>
      <c r="G34" s="12">
        <v>38</v>
      </c>
      <c r="H34" s="62">
        <v>28.736842105263158</v>
      </c>
      <c r="I34" s="44">
        <v>0</v>
      </c>
      <c r="J34" s="36">
        <v>0</v>
      </c>
    </row>
    <row r="35" spans="2:10" x14ac:dyDescent="0.2">
      <c r="B35" s="33"/>
      <c r="F35" s="43" t="str">
        <v>11/1997</v>
      </c>
      <c r="G35" s="12">
        <v>34</v>
      </c>
      <c r="H35" s="62">
        <v>27.588235294117649</v>
      </c>
      <c r="I35" s="44">
        <v>0</v>
      </c>
      <c r="J35" s="36">
        <v>0</v>
      </c>
    </row>
    <row r="36" spans="2:10" x14ac:dyDescent="0.2">
      <c r="B36" s="33"/>
      <c r="F36" s="43" t="str">
        <v>12/1997</v>
      </c>
      <c r="G36" s="12">
        <v>48</v>
      </c>
      <c r="H36" s="62">
        <v>27.125</v>
      </c>
      <c r="I36" s="44">
        <v>0</v>
      </c>
      <c r="J36" s="36">
        <v>0</v>
      </c>
    </row>
    <row r="37" spans="2:10" x14ac:dyDescent="0.2">
      <c r="B37" s="33"/>
      <c r="F37" s="43" t="str">
        <v>1/1998</v>
      </c>
      <c r="G37" s="12">
        <v>55</v>
      </c>
      <c r="H37" s="62">
        <v>27.745454545454546</v>
      </c>
      <c r="I37" s="44">
        <v>0</v>
      </c>
      <c r="J37" s="36">
        <v>0</v>
      </c>
    </row>
    <row r="38" spans="2:10" x14ac:dyDescent="0.2">
      <c r="B38" s="33"/>
      <c r="F38" s="43" t="str">
        <v>2/1998</v>
      </c>
      <c r="G38" s="12">
        <v>54</v>
      </c>
      <c r="H38" s="62">
        <v>28</v>
      </c>
      <c r="I38" s="44">
        <v>0</v>
      </c>
      <c r="J38" s="36">
        <v>0</v>
      </c>
    </row>
    <row r="39" spans="2:10" x14ac:dyDescent="0.2">
      <c r="B39" s="33"/>
      <c r="F39" s="43" t="str">
        <v>3/1998</v>
      </c>
      <c r="G39" s="12">
        <v>73</v>
      </c>
      <c r="H39" s="62">
        <v>28.575342465753426</v>
      </c>
      <c r="I39" s="44">
        <v>0</v>
      </c>
      <c r="J39" s="36">
        <v>0</v>
      </c>
    </row>
    <row r="40" spans="2:10" x14ac:dyDescent="0.2">
      <c r="B40" s="33"/>
      <c r="F40" s="43" t="str">
        <v>4/1998</v>
      </c>
      <c r="G40" s="12">
        <v>74</v>
      </c>
      <c r="H40" s="62">
        <v>27.621621621621621</v>
      </c>
      <c r="I40" s="44">
        <v>0</v>
      </c>
      <c r="J40" s="36">
        <v>0</v>
      </c>
    </row>
    <row r="41" spans="2:10" ht="17" thickBot="1" x14ac:dyDescent="0.25">
      <c r="B41" s="33"/>
      <c r="F41" s="45" t="str">
        <v>5/1998</v>
      </c>
      <c r="G41" s="39">
        <v>14</v>
      </c>
      <c r="H41" s="63">
        <v>27</v>
      </c>
      <c r="I41" s="46">
        <v>0</v>
      </c>
      <c r="J41" s="40">
        <v>0</v>
      </c>
    </row>
    <row r="42" spans="2:10" x14ac:dyDescent="0.2">
      <c r="B42" s="33"/>
      <c r="F42" s="34"/>
      <c r="I42" s="1"/>
    </row>
    <row r="43" spans="2:10" x14ac:dyDescent="0.2">
      <c r="B43" s="33"/>
      <c r="F43" s="34"/>
      <c r="I43" s="1"/>
    </row>
    <row r="44" spans="2:10" x14ac:dyDescent="0.2">
      <c r="B44" s="33"/>
      <c r="F44" s="34"/>
      <c r="I44" s="1"/>
    </row>
    <row r="45" spans="2:10" x14ac:dyDescent="0.2">
      <c r="B45" s="33"/>
      <c r="F45" s="34"/>
      <c r="I45" s="1"/>
    </row>
    <row r="46" spans="2:10" x14ac:dyDescent="0.2">
      <c r="B46" s="33"/>
      <c r="F46" s="34"/>
      <c r="I46" s="1"/>
    </row>
    <row r="47" spans="2:10" x14ac:dyDescent="0.2">
      <c r="B47" s="33"/>
      <c r="F47" s="34"/>
      <c r="I47" s="1"/>
    </row>
    <row r="48" spans="2:10" x14ac:dyDescent="0.2">
      <c r="B48" s="33"/>
      <c r="F48" s="34"/>
      <c r="I48" s="1"/>
    </row>
    <row r="49" spans="2:9" x14ac:dyDescent="0.2">
      <c r="B49" s="33"/>
      <c r="F49" s="34"/>
      <c r="I49" s="1"/>
    </row>
    <row r="50" spans="2:9" x14ac:dyDescent="0.2">
      <c r="B50" s="33"/>
      <c r="F50" s="34"/>
      <c r="I50" s="1"/>
    </row>
    <row r="51" spans="2:9" x14ac:dyDescent="0.2">
      <c r="B51" s="33"/>
      <c r="F51" s="34"/>
      <c r="I51" s="1"/>
    </row>
    <row r="52" spans="2:9" x14ac:dyDescent="0.2">
      <c r="B52" s="33"/>
      <c r="F52" s="34"/>
      <c r="I52" s="1"/>
    </row>
    <row r="53" spans="2:9" x14ac:dyDescent="0.2">
      <c r="B53" s="33"/>
      <c r="F53" s="34"/>
      <c r="I53" s="1"/>
    </row>
    <row r="54" spans="2:9" x14ac:dyDescent="0.2">
      <c r="B54" s="33"/>
      <c r="F54" s="34"/>
      <c r="I54" s="1"/>
    </row>
    <row r="55" spans="2:9" x14ac:dyDescent="0.2">
      <c r="B55" s="33"/>
      <c r="F55" s="34"/>
      <c r="I55" s="1"/>
    </row>
    <row r="56" spans="2:9" x14ac:dyDescent="0.2">
      <c r="B56" s="33"/>
      <c r="F56" s="34"/>
      <c r="I56" s="1"/>
    </row>
    <row r="57" spans="2:9" x14ac:dyDescent="0.2">
      <c r="B57" s="33"/>
      <c r="F57" s="34"/>
      <c r="I57" s="1"/>
    </row>
    <row r="58" spans="2:9" x14ac:dyDescent="0.2">
      <c r="B58" s="33"/>
      <c r="F58" s="34"/>
      <c r="I58" s="1"/>
    </row>
    <row r="59" spans="2:9" x14ac:dyDescent="0.2">
      <c r="B59" s="33"/>
      <c r="F59" s="34"/>
      <c r="I59" s="1"/>
    </row>
    <row r="60" spans="2:9" x14ac:dyDescent="0.2">
      <c r="B60" s="33"/>
      <c r="F60" s="34"/>
      <c r="I60" s="1"/>
    </row>
    <row r="61" spans="2:9" x14ac:dyDescent="0.2">
      <c r="B61" s="33"/>
      <c r="F61" s="34"/>
      <c r="I61" s="1"/>
    </row>
    <row r="62" spans="2:9" x14ac:dyDescent="0.2">
      <c r="B62" s="33"/>
      <c r="F62" s="34"/>
      <c r="I62" s="1"/>
    </row>
    <row r="63" spans="2:9" x14ac:dyDescent="0.2">
      <c r="B63" s="33"/>
      <c r="F63" s="34"/>
      <c r="I63" s="1"/>
    </row>
    <row r="64" spans="2:9" x14ac:dyDescent="0.2">
      <c r="B64" s="33"/>
      <c r="F64" s="34"/>
      <c r="I64" s="1"/>
    </row>
    <row r="65" spans="2:9" x14ac:dyDescent="0.2">
      <c r="B65" s="33"/>
      <c r="F65" s="34"/>
      <c r="I65" s="1"/>
    </row>
    <row r="66" spans="2:9" x14ac:dyDescent="0.2">
      <c r="B66" s="33"/>
      <c r="F66" s="34"/>
      <c r="I66" s="1"/>
    </row>
    <row r="67" spans="2:9" x14ac:dyDescent="0.2">
      <c r="B67" s="33"/>
      <c r="F67" s="34"/>
      <c r="I67" s="1"/>
    </row>
    <row r="68" spans="2:9" x14ac:dyDescent="0.2">
      <c r="B68" s="33"/>
      <c r="F68" s="34"/>
      <c r="I68" s="1"/>
    </row>
    <row r="69" spans="2:9" x14ac:dyDescent="0.2">
      <c r="B69" s="33"/>
      <c r="F69" s="34"/>
      <c r="I69" s="1"/>
    </row>
    <row r="70" spans="2:9" x14ac:dyDescent="0.2">
      <c r="B70" s="33"/>
      <c r="F70" s="34"/>
      <c r="I70" s="1"/>
    </row>
    <row r="71" spans="2:9" x14ac:dyDescent="0.2">
      <c r="B71" s="33"/>
      <c r="F71" s="34"/>
      <c r="I71" s="1"/>
    </row>
    <row r="72" spans="2:9" x14ac:dyDescent="0.2">
      <c r="B72" s="33"/>
      <c r="F72" s="34"/>
      <c r="I72" s="1"/>
    </row>
    <row r="73" spans="2:9" x14ac:dyDescent="0.2">
      <c r="B73" s="33"/>
      <c r="F73" s="34"/>
      <c r="I73" s="1"/>
    </row>
    <row r="74" spans="2:9" x14ac:dyDescent="0.2">
      <c r="B74" s="33"/>
      <c r="F74" s="34"/>
      <c r="I74" s="1"/>
    </row>
    <row r="75" spans="2:9" x14ac:dyDescent="0.2">
      <c r="B75" s="33"/>
      <c r="F75" s="34"/>
      <c r="I75" s="1"/>
    </row>
    <row r="76" spans="2:9" x14ac:dyDescent="0.2">
      <c r="B76" s="33"/>
      <c r="F76" s="34"/>
      <c r="I76" s="1"/>
    </row>
    <row r="77" spans="2:9" x14ac:dyDescent="0.2">
      <c r="B77" s="33"/>
      <c r="F77" s="34"/>
      <c r="I77" s="1"/>
    </row>
    <row r="78" spans="2:9" x14ac:dyDescent="0.2">
      <c r="B78" s="33"/>
      <c r="F78" s="34"/>
      <c r="I78" s="1"/>
    </row>
    <row r="79" spans="2:9" x14ac:dyDescent="0.2">
      <c r="B79" s="33"/>
      <c r="F79" s="34"/>
      <c r="I79" s="1"/>
    </row>
    <row r="80" spans="2:9" x14ac:dyDescent="0.2">
      <c r="B80" s="33"/>
      <c r="F80" s="34"/>
      <c r="I80" s="1"/>
    </row>
    <row r="81" spans="2:9" x14ac:dyDescent="0.2">
      <c r="B81" s="33"/>
      <c r="F81" s="34"/>
      <c r="I81" s="1"/>
    </row>
    <row r="82" spans="2:9" x14ac:dyDescent="0.2">
      <c r="B82" s="33"/>
      <c r="F82" s="34"/>
      <c r="I82" s="1"/>
    </row>
    <row r="83" spans="2:9" x14ac:dyDescent="0.2">
      <c r="B83" s="33"/>
      <c r="F83" s="34"/>
      <c r="I83" s="1"/>
    </row>
    <row r="84" spans="2:9" x14ac:dyDescent="0.2">
      <c r="B84" s="33"/>
      <c r="F84" s="34"/>
      <c r="I84" s="1"/>
    </row>
    <row r="85" spans="2:9" x14ac:dyDescent="0.2">
      <c r="B85" s="33"/>
      <c r="F85" s="34"/>
      <c r="I85" s="1"/>
    </row>
    <row r="86" spans="2:9" x14ac:dyDescent="0.2">
      <c r="B86" s="33"/>
      <c r="F86" s="34"/>
      <c r="I86" s="1"/>
    </row>
    <row r="87" spans="2:9" x14ac:dyDescent="0.2">
      <c r="B87" s="33"/>
      <c r="F87" s="34"/>
      <c r="I87" s="1"/>
    </row>
    <row r="88" spans="2:9" x14ac:dyDescent="0.2">
      <c r="B88" s="33"/>
      <c r="F88" s="34"/>
      <c r="I88" s="1"/>
    </row>
    <row r="89" spans="2:9" x14ac:dyDescent="0.2">
      <c r="B89" s="33"/>
      <c r="F89" s="34"/>
      <c r="I89" s="1"/>
    </row>
    <row r="90" spans="2:9" x14ac:dyDescent="0.2">
      <c r="B90" s="33"/>
      <c r="F90" s="34"/>
      <c r="I90" s="1"/>
    </row>
    <row r="91" spans="2:9" x14ac:dyDescent="0.2">
      <c r="B91" s="33"/>
      <c r="F91" s="34"/>
      <c r="I91" s="1"/>
    </row>
    <row r="92" spans="2:9" x14ac:dyDescent="0.2">
      <c r="B92" s="33"/>
      <c r="F92" s="34"/>
      <c r="I92" s="1"/>
    </row>
    <row r="93" spans="2:9" x14ac:dyDescent="0.2">
      <c r="B93" s="33"/>
      <c r="F93" s="34"/>
      <c r="I93" s="1"/>
    </row>
    <row r="94" spans="2:9" x14ac:dyDescent="0.2">
      <c r="B94" s="33"/>
      <c r="F94" s="34"/>
      <c r="I94" s="1"/>
    </row>
    <row r="95" spans="2:9" x14ac:dyDescent="0.2">
      <c r="B95" s="33"/>
      <c r="F95" s="34"/>
      <c r="I95" s="1"/>
    </row>
    <row r="96" spans="2:9" x14ac:dyDescent="0.2">
      <c r="B96" s="33"/>
      <c r="F96" s="34"/>
      <c r="I96" s="1"/>
    </row>
    <row r="97" spans="2:9" x14ac:dyDescent="0.2">
      <c r="B97" s="33"/>
      <c r="F97" s="34"/>
      <c r="I97" s="1"/>
    </row>
    <row r="98" spans="2:9" x14ac:dyDescent="0.2">
      <c r="B98" s="33"/>
      <c r="F98" s="34"/>
      <c r="I98" s="1"/>
    </row>
    <row r="99" spans="2:9" x14ac:dyDescent="0.2">
      <c r="F99" s="34"/>
      <c r="I99" s="1"/>
    </row>
    <row r="100" spans="2:9" x14ac:dyDescent="0.2">
      <c r="F100" s="34"/>
      <c r="I100" s="1"/>
    </row>
    <row r="101" spans="2:9" x14ac:dyDescent="0.2">
      <c r="F101" s="34"/>
      <c r="I101" s="1"/>
    </row>
    <row r="102" spans="2:9" x14ac:dyDescent="0.2">
      <c r="F102" s="34"/>
      <c r="I102" s="1"/>
    </row>
    <row r="103" spans="2:9" x14ac:dyDescent="0.2">
      <c r="F103" s="34"/>
      <c r="I103" s="1"/>
    </row>
    <row r="104" spans="2:9" x14ac:dyDescent="0.2">
      <c r="F104" s="34"/>
      <c r="I104" s="1"/>
    </row>
    <row r="105" spans="2:9" x14ac:dyDescent="0.2">
      <c r="F105" s="34"/>
      <c r="I105" s="1"/>
    </row>
    <row r="106" spans="2:9" x14ac:dyDescent="0.2">
      <c r="F106" s="34"/>
      <c r="I106" s="1"/>
    </row>
    <row r="107" spans="2:9" x14ac:dyDescent="0.2">
      <c r="F107" s="34"/>
      <c r="I107" s="1"/>
    </row>
    <row r="108" spans="2:9" x14ac:dyDescent="0.2">
      <c r="F108" s="34"/>
      <c r="I108" s="1"/>
    </row>
    <row r="109" spans="2:9" x14ac:dyDescent="0.2">
      <c r="F109" s="34"/>
      <c r="I109" s="1"/>
    </row>
    <row r="110" spans="2:9" x14ac:dyDescent="0.2">
      <c r="F110" s="34"/>
      <c r="I110" s="1"/>
    </row>
    <row r="111" spans="2:9" x14ac:dyDescent="0.2">
      <c r="F111" s="34"/>
      <c r="I111" s="1"/>
    </row>
    <row r="112" spans="2:9" x14ac:dyDescent="0.2">
      <c r="F112" s="34"/>
      <c r="I112" s="1"/>
    </row>
    <row r="113" spans="6:9" x14ac:dyDescent="0.2">
      <c r="F113" s="34"/>
      <c r="I113" s="1"/>
    </row>
    <row r="114" spans="6:9" x14ac:dyDescent="0.2">
      <c r="F114" s="34"/>
      <c r="I114" s="1"/>
    </row>
    <row r="115" spans="6:9" x14ac:dyDescent="0.2">
      <c r="F115" s="34"/>
      <c r="I115" s="1"/>
    </row>
    <row r="116" spans="6:9" x14ac:dyDescent="0.2">
      <c r="F116" s="34"/>
      <c r="I116" s="1"/>
    </row>
    <row r="117" spans="6:9" x14ac:dyDescent="0.2">
      <c r="F117" s="34"/>
      <c r="I117" s="1"/>
    </row>
    <row r="118" spans="6:9" x14ac:dyDescent="0.2">
      <c r="F118" s="34"/>
      <c r="I118" s="1"/>
    </row>
    <row r="119" spans="6:9" x14ac:dyDescent="0.2">
      <c r="F119" s="34"/>
      <c r="I119" s="1"/>
    </row>
    <row r="120" spans="6:9" x14ac:dyDescent="0.2">
      <c r="F120" s="34"/>
      <c r="I120" s="1"/>
    </row>
    <row r="121" spans="6:9" x14ac:dyDescent="0.2">
      <c r="F121" s="34"/>
      <c r="I121" s="1"/>
    </row>
    <row r="122" spans="6:9" x14ac:dyDescent="0.2">
      <c r="F122" s="34"/>
      <c r="I122" s="1"/>
    </row>
    <row r="123" spans="6:9" x14ac:dyDescent="0.2">
      <c r="F123" s="34"/>
      <c r="I123" s="1"/>
    </row>
    <row r="124" spans="6:9" x14ac:dyDescent="0.2">
      <c r="F124" s="34"/>
      <c r="I124" s="1"/>
    </row>
    <row r="125" spans="6:9" x14ac:dyDescent="0.2">
      <c r="F125" s="34"/>
      <c r="I125" s="1"/>
    </row>
    <row r="126" spans="6:9" x14ac:dyDescent="0.2">
      <c r="F126" s="34"/>
      <c r="I126" s="1"/>
    </row>
    <row r="127" spans="6:9" x14ac:dyDescent="0.2">
      <c r="F127" s="34"/>
      <c r="I127" s="1"/>
    </row>
    <row r="128" spans="6:9" x14ac:dyDescent="0.2">
      <c r="F128" s="34"/>
      <c r="I128" s="1"/>
    </row>
    <row r="129" spans="6:9" x14ac:dyDescent="0.2">
      <c r="F129" s="34"/>
      <c r="I129" s="1"/>
    </row>
    <row r="130" spans="6:9" x14ac:dyDescent="0.2">
      <c r="F130" s="34"/>
      <c r="I130" s="1"/>
    </row>
    <row r="131" spans="6:9" x14ac:dyDescent="0.2">
      <c r="F131" s="34"/>
      <c r="I131" s="1"/>
    </row>
    <row r="132" spans="6:9" x14ac:dyDescent="0.2">
      <c r="F132" s="34"/>
      <c r="I132" s="1"/>
    </row>
    <row r="133" spans="6:9" x14ac:dyDescent="0.2">
      <c r="F133" s="34"/>
      <c r="I133" s="1"/>
    </row>
    <row r="134" spans="6:9" x14ac:dyDescent="0.2">
      <c r="F134" s="34"/>
      <c r="I134" s="1"/>
    </row>
    <row r="135" spans="6:9" x14ac:dyDescent="0.2">
      <c r="F135" s="34"/>
      <c r="I135" s="1"/>
    </row>
    <row r="136" spans="6:9" x14ac:dyDescent="0.2">
      <c r="F136" s="34"/>
      <c r="I136" s="1"/>
    </row>
    <row r="137" spans="6:9" x14ac:dyDescent="0.2">
      <c r="F137" s="34"/>
      <c r="I137" s="1"/>
    </row>
    <row r="138" spans="6:9" x14ac:dyDescent="0.2">
      <c r="F138" s="34"/>
      <c r="I138" s="1"/>
    </row>
    <row r="139" spans="6:9" x14ac:dyDescent="0.2">
      <c r="F139" s="34"/>
      <c r="I139" s="1"/>
    </row>
    <row r="140" spans="6:9" x14ac:dyDescent="0.2">
      <c r="F140" s="34"/>
      <c r="I140" s="1"/>
    </row>
    <row r="141" spans="6:9" x14ac:dyDescent="0.2">
      <c r="F141" s="34"/>
      <c r="I141" s="1"/>
    </row>
    <row r="142" spans="6:9" x14ac:dyDescent="0.2">
      <c r="F142" s="34"/>
      <c r="I142" s="1"/>
    </row>
    <row r="143" spans="6:9" x14ac:dyDescent="0.2">
      <c r="F143" s="34"/>
      <c r="I143" s="1"/>
    </row>
    <row r="144" spans="6:9" x14ac:dyDescent="0.2">
      <c r="F144" s="34"/>
      <c r="I144" s="1"/>
    </row>
    <row r="145" spans="6:9" x14ac:dyDescent="0.2">
      <c r="F145" s="34"/>
      <c r="I145" s="1"/>
    </row>
    <row r="146" spans="6:9" x14ac:dyDescent="0.2">
      <c r="F146" s="34"/>
      <c r="I146" s="1"/>
    </row>
    <row r="147" spans="6:9" x14ac:dyDescent="0.2">
      <c r="F147" s="34"/>
      <c r="I147" s="1"/>
    </row>
    <row r="148" spans="6:9" x14ac:dyDescent="0.2">
      <c r="F148" s="34"/>
      <c r="I148" s="1"/>
    </row>
    <row r="149" spans="6:9" x14ac:dyDescent="0.2">
      <c r="F149" s="34"/>
      <c r="I149" s="1"/>
    </row>
    <row r="150" spans="6:9" x14ac:dyDescent="0.2">
      <c r="F150" s="34"/>
      <c r="I150" s="1"/>
    </row>
    <row r="151" spans="6:9" x14ac:dyDescent="0.2">
      <c r="F151" s="34"/>
      <c r="I151" s="1"/>
    </row>
    <row r="152" spans="6:9" x14ac:dyDescent="0.2">
      <c r="F152" s="34"/>
      <c r="I152" s="1"/>
    </row>
    <row r="153" spans="6:9" x14ac:dyDescent="0.2">
      <c r="F153" s="34"/>
      <c r="I153" s="1"/>
    </row>
    <row r="154" spans="6:9" x14ac:dyDescent="0.2">
      <c r="F154" s="34"/>
      <c r="I154" s="1"/>
    </row>
    <row r="155" spans="6:9" x14ac:dyDescent="0.2">
      <c r="F155" s="34"/>
      <c r="I155" s="1"/>
    </row>
    <row r="156" spans="6:9" x14ac:dyDescent="0.2">
      <c r="F156" s="34"/>
      <c r="I156" s="1"/>
    </row>
    <row r="157" spans="6:9" x14ac:dyDescent="0.2">
      <c r="F157" s="34"/>
      <c r="I157" s="1"/>
    </row>
    <row r="158" spans="6:9" x14ac:dyDescent="0.2">
      <c r="F158" s="34"/>
      <c r="I158" s="1"/>
    </row>
    <row r="159" spans="6:9" x14ac:dyDescent="0.2">
      <c r="F159" s="34"/>
      <c r="I159" s="1"/>
    </row>
    <row r="160" spans="6:9" x14ac:dyDescent="0.2">
      <c r="F160" s="34"/>
      <c r="I160" s="1"/>
    </row>
    <row r="161" spans="6:9" x14ac:dyDescent="0.2">
      <c r="F161" s="34"/>
      <c r="I161" s="1"/>
    </row>
    <row r="162" spans="6:9" x14ac:dyDescent="0.2">
      <c r="F162" s="34"/>
      <c r="I162" s="1"/>
    </row>
    <row r="163" spans="6:9" x14ac:dyDescent="0.2">
      <c r="F163" s="34"/>
      <c r="I163" s="1"/>
    </row>
    <row r="164" spans="6:9" x14ac:dyDescent="0.2">
      <c r="F164" s="34"/>
      <c r="I164" s="1"/>
    </row>
    <row r="165" spans="6:9" x14ac:dyDescent="0.2">
      <c r="F165" s="34"/>
      <c r="I165" s="1"/>
    </row>
    <row r="166" spans="6:9" x14ac:dyDescent="0.2">
      <c r="F166" s="34"/>
      <c r="I166" s="1"/>
    </row>
    <row r="167" spans="6:9" x14ac:dyDescent="0.2">
      <c r="F167" s="34"/>
      <c r="I167" s="1"/>
    </row>
    <row r="168" spans="6:9" x14ac:dyDescent="0.2">
      <c r="F168" s="34"/>
      <c r="I168" s="1"/>
    </row>
    <row r="169" spans="6:9" x14ac:dyDescent="0.2">
      <c r="F169" s="34"/>
      <c r="I169" s="1"/>
    </row>
    <row r="170" spans="6:9" x14ac:dyDescent="0.2">
      <c r="F170" s="34"/>
      <c r="I170" s="1"/>
    </row>
    <row r="171" spans="6:9" x14ac:dyDescent="0.2">
      <c r="F171" s="34"/>
      <c r="I171" s="1"/>
    </row>
    <row r="172" spans="6:9" x14ac:dyDescent="0.2">
      <c r="F172" s="34"/>
      <c r="I172" s="1"/>
    </row>
    <row r="173" spans="6:9" x14ac:dyDescent="0.2">
      <c r="F173" s="34"/>
      <c r="I173" s="1"/>
    </row>
    <row r="174" spans="6:9" x14ac:dyDescent="0.2">
      <c r="F174" s="34"/>
      <c r="I174" s="1"/>
    </row>
    <row r="175" spans="6:9" x14ac:dyDescent="0.2">
      <c r="F175" s="34"/>
      <c r="I175" s="1"/>
    </row>
    <row r="176" spans="6:9" x14ac:dyDescent="0.2">
      <c r="F176" s="34"/>
      <c r="I176" s="1"/>
    </row>
    <row r="177" spans="6:9" x14ac:dyDescent="0.2">
      <c r="F177" s="34"/>
      <c r="I177" s="1"/>
    </row>
    <row r="178" spans="6:9" x14ac:dyDescent="0.2">
      <c r="F178" s="34"/>
      <c r="I178" s="1"/>
    </row>
    <row r="179" spans="6:9" x14ac:dyDescent="0.2">
      <c r="F179" s="34"/>
      <c r="I179" s="1"/>
    </row>
    <row r="180" spans="6:9" x14ac:dyDescent="0.2">
      <c r="F180" s="34"/>
      <c r="I180" s="1"/>
    </row>
    <row r="181" spans="6:9" x14ac:dyDescent="0.2">
      <c r="F181" s="34"/>
      <c r="I181" s="1"/>
    </row>
    <row r="182" spans="6:9" x14ac:dyDescent="0.2">
      <c r="F182" s="34"/>
      <c r="I182" s="1"/>
    </row>
    <row r="183" spans="6:9" x14ac:dyDescent="0.2">
      <c r="F183" s="34"/>
      <c r="I183" s="1"/>
    </row>
    <row r="184" spans="6:9" x14ac:dyDescent="0.2">
      <c r="F184" s="34"/>
      <c r="I184" s="1"/>
    </row>
    <row r="185" spans="6:9" x14ac:dyDescent="0.2">
      <c r="F185" s="34"/>
      <c r="I185" s="1"/>
    </row>
    <row r="186" spans="6:9" x14ac:dyDescent="0.2">
      <c r="F186" s="34"/>
      <c r="I186" s="1"/>
    </row>
    <row r="187" spans="6:9" x14ac:dyDescent="0.2">
      <c r="F187" s="34"/>
      <c r="I187" s="1"/>
    </row>
    <row r="188" spans="6:9" x14ac:dyDescent="0.2">
      <c r="F188" s="34"/>
      <c r="I188" s="1"/>
    </row>
    <row r="189" spans="6:9" x14ac:dyDescent="0.2">
      <c r="F189" s="34"/>
      <c r="I189" s="1"/>
    </row>
    <row r="190" spans="6:9" x14ac:dyDescent="0.2">
      <c r="F190" s="34"/>
      <c r="I190" s="1"/>
    </row>
    <row r="191" spans="6:9" x14ac:dyDescent="0.2">
      <c r="F191" s="34"/>
      <c r="I191" s="1"/>
    </row>
    <row r="192" spans="6:9" x14ac:dyDescent="0.2">
      <c r="F192" s="34"/>
      <c r="I192" s="1"/>
    </row>
    <row r="193" spans="6:9" x14ac:dyDescent="0.2">
      <c r="F193" s="34"/>
      <c r="I193" s="1"/>
    </row>
    <row r="194" spans="6:9" x14ac:dyDescent="0.2">
      <c r="F194" s="34"/>
      <c r="I194" s="1"/>
    </row>
    <row r="195" spans="6:9" x14ac:dyDescent="0.2">
      <c r="F195" s="34"/>
      <c r="I195" s="1"/>
    </row>
    <row r="196" spans="6:9" x14ac:dyDescent="0.2">
      <c r="F196" s="34"/>
      <c r="I196" s="1"/>
    </row>
    <row r="197" spans="6:9" x14ac:dyDescent="0.2">
      <c r="F197" s="34"/>
      <c r="I197" s="1"/>
    </row>
    <row r="198" spans="6:9" x14ac:dyDescent="0.2">
      <c r="F198" s="34"/>
      <c r="I198" s="1"/>
    </row>
    <row r="199" spans="6:9" x14ac:dyDescent="0.2">
      <c r="F199" s="34"/>
      <c r="I199" s="1"/>
    </row>
    <row r="200" spans="6:9" x14ac:dyDescent="0.2">
      <c r="F200" s="34"/>
      <c r="I200" s="1"/>
    </row>
    <row r="201" spans="6:9" x14ac:dyDescent="0.2">
      <c r="F201" s="34"/>
      <c r="I201" s="1"/>
    </row>
    <row r="202" spans="6:9" x14ac:dyDescent="0.2">
      <c r="F202" s="34"/>
      <c r="I202" s="1"/>
    </row>
    <row r="203" spans="6:9" x14ac:dyDescent="0.2">
      <c r="F203" s="34"/>
      <c r="I203" s="1"/>
    </row>
    <row r="204" spans="6:9" x14ac:dyDescent="0.2">
      <c r="F204" s="34"/>
      <c r="I204" s="1"/>
    </row>
    <row r="205" spans="6:9" x14ac:dyDescent="0.2">
      <c r="F205" s="34"/>
      <c r="I205" s="1"/>
    </row>
    <row r="206" spans="6:9" x14ac:dyDescent="0.2">
      <c r="F206" s="34"/>
      <c r="I206" s="1"/>
    </row>
    <row r="207" spans="6:9" x14ac:dyDescent="0.2">
      <c r="F207" s="34"/>
      <c r="I207" s="1"/>
    </row>
    <row r="208" spans="6:9" x14ac:dyDescent="0.2">
      <c r="F208" s="34"/>
      <c r="I208" s="1"/>
    </row>
    <row r="209" spans="6:9" x14ac:dyDescent="0.2">
      <c r="F209" s="34"/>
      <c r="I209" s="1"/>
    </row>
    <row r="210" spans="6:9" x14ac:dyDescent="0.2">
      <c r="F210" s="34"/>
      <c r="I210" s="1"/>
    </row>
    <row r="211" spans="6:9" x14ac:dyDescent="0.2">
      <c r="F211" s="34"/>
      <c r="I211" s="1"/>
    </row>
    <row r="212" spans="6:9" x14ac:dyDescent="0.2">
      <c r="F212" s="34"/>
      <c r="I212" s="1"/>
    </row>
    <row r="213" spans="6:9" x14ac:dyDescent="0.2">
      <c r="F213" s="34"/>
      <c r="I213" s="1"/>
    </row>
    <row r="214" spans="6:9" x14ac:dyDescent="0.2">
      <c r="F214" s="34"/>
      <c r="I214" s="1"/>
    </row>
    <row r="215" spans="6:9" x14ac:dyDescent="0.2">
      <c r="F215" s="34"/>
      <c r="I215" s="1"/>
    </row>
    <row r="216" spans="6:9" x14ac:dyDescent="0.2">
      <c r="F216" s="34"/>
      <c r="I216" s="1"/>
    </row>
    <row r="217" spans="6:9" x14ac:dyDescent="0.2">
      <c r="F217" s="34"/>
      <c r="I217" s="1"/>
    </row>
    <row r="218" spans="6:9" x14ac:dyDescent="0.2">
      <c r="F218" s="34"/>
      <c r="I218" s="1"/>
    </row>
    <row r="219" spans="6:9" x14ac:dyDescent="0.2">
      <c r="F219" s="34"/>
      <c r="I219" s="1"/>
    </row>
    <row r="220" spans="6:9" x14ac:dyDescent="0.2">
      <c r="F220" s="34"/>
      <c r="I220" s="1"/>
    </row>
    <row r="221" spans="6:9" x14ac:dyDescent="0.2">
      <c r="F221" s="34"/>
      <c r="I221" s="1"/>
    </row>
    <row r="222" spans="6:9" x14ac:dyDescent="0.2">
      <c r="F222" s="34"/>
      <c r="I222" s="1"/>
    </row>
    <row r="223" spans="6:9" x14ac:dyDescent="0.2">
      <c r="F223" s="34"/>
      <c r="I223" s="1"/>
    </row>
    <row r="224" spans="6:9" x14ac:dyDescent="0.2">
      <c r="F224" s="34"/>
      <c r="I224" s="1"/>
    </row>
    <row r="225" spans="6:9" x14ac:dyDescent="0.2">
      <c r="F225" s="34"/>
      <c r="I225" s="1"/>
    </row>
    <row r="226" spans="6:9" x14ac:dyDescent="0.2">
      <c r="F226" s="34"/>
      <c r="I226" s="1"/>
    </row>
    <row r="227" spans="6:9" x14ac:dyDescent="0.2">
      <c r="F227" s="34"/>
      <c r="I227" s="1"/>
    </row>
    <row r="228" spans="6:9" x14ac:dyDescent="0.2">
      <c r="F228" s="34"/>
      <c r="I228" s="1"/>
    </row>
    <row r="229" spans="6:9" x14ac:dyDescent="0.2">
      <c r="F229" s="34"/>
      <c r="I229" s="1"/>
    </row>
    <row r="230" spans="6:9" x14ac:dyDescent="0.2">
      <c r="F230" s="34"/>
      <c r="I230" s="1"/>
    </row>
    <row r="231" spans="6:9" x14ac:dyDescent="0.2">
      <c r="F231" s="34"/>
      <c r="I231" s="1"/>
    </row>
    <row r="232" spans="6:9" x14ac:dyDescent="0.2">
      <c r="F232" s="34"/>
      <c r="I232" s="1"/>
    </row>
    <row r="233" spans="6:9" x14ac:dyDescent="0.2">
      <c r="F233" s="34"/>
      <c r="I233" s="1"/>
    </row>
    <row r="234" spans="6:9" x14ac:dyDescent="0.2">
      <c r="F234" s="34"/>
      <c r="I234" s="1"/>
    </row>
    <row r="235" spans="6:9" x14ac:dyDescent="0.2">
      <c r="F235" s="34"/>
      <c r="I235" s="1"/>
    </row>
    <row r="236" spans="6:9" x14ac:dyDescent="0.2">
      <c r="F236" s="34"/>
      <c r="I236" s="1"/>
    </row>
    <row r="237" spans="6:9" x14ac:dyDescent="0.2">
      <c r="F237" s="34"/>
      <c r="I237" s="1"/>
    </row>
    <row r="238" spans="6:9" x14ac:dyDescent="0.2">
      <c r="F238" s="34"/>
      <c r="I238" s="1"/>
    </row>
    <row r="239" spans="6:9" x14ac:dyDescent="0.2">
      <c r="F239" s="34"/>
      <c r="I239" s="1"/>
    </row>
    <row r="240" spans="6:9" x14ac:dyDescent="0.2">
      <c r="F240" s="34"/>
      <c r="I240" s="1"/>
    </row>
    <row r="241" spans="6:9" x14ac:dyDescent="0.2">
      <c r="F241" s="34"/>
      <c r="I241" s="1"/>
    </row>
    <row r="242" spans="6:9" x14ac:dyDescent="0.2">
      <c r="F242" s="34"/>
      <c r="I242" s="1"/>
    </row>
    <row r="243" spans="6:9" x14ac:dyDescent="0.2">
      <c r="F243" s="34"/>
      <c r="I243" s="1"/>
    </row>
    <row r="244" spans="6:9" x14ac:dyDescent="0.2">
      <c r="F244" s="34"/>
      <c r="I244" s="1"/>
    </row>
    <row r="245" spans="6:9" x14ac:dyDescent="0.2">
      <c r="F245" s="34"/>
      <c r="I245" s="1"/>
    </row>
    <row r="246" spans="6:9" x14ac:dyDescent="0.2">
      <c r="F246" s="34"/>
      <c r="I246" s="1"/>
    </row>
    <row r="247" spans="6:9" x14ac:dyDescent="0.2">
      <c r="F247" s="34"/>
      <c r="I247" s="1"/>
    </row>
    <row r="248" spans="6:9" x14ac:dyDescent="0.2">
      <c r="F248" s="34"/>
      <c r="I248" s="1"/>
    </row>
    <row r="249" spans="6:9" x14ac:dyDescent="0.2">
      <c r="F249" s="34"/>
      <c r="I249" s="1"/>
    </row>
    <row r="250" spans="6:9" x14ac:dyDescent="0.2">
      <c r="F250" s="34"/>
      <c r="I250" s="1"/>
    </row>
    <row r="251" spans="6:9" x14ac:dyDescent="0.2">
      <c r="F251" s="34"/>
      <c r="I251" s="1"/>
    </row>
    <row r="252" spans="6:9" x14ac:dyDescent="0.2">
      <c r="F252" s="34"/>
      <c r="I252" s="1"/>
    </row>
    <row r="253" spans="6:9" x14ac:dyDescent="0.2">
      <c r="F253" s="34"/>
      <c r="I253" s="1"/>
    </row>
    <row r="254" spans="6:9" x14ac:dyDescent="0.2">
      <c r="F254" s="34"/>
      <c r="I254" s="1"/>
    </row>
    <row r="255" spans="6:9" x14ac:dyDescent="0.2">
      <c r="F255" s="34"/>
      <c r="I255" s="1"/>
    </row>
    <row r="256" spans="6:9" x14ac:dyDescent="0.2">
      <c r="F256" s="34"/>
      <c r="I256" s="1"/>
    </row>
    <row r="257" spans="6:9" x14ac:dyDescent="0.2">
      <c r="F257" s="34"/>
      <c r="I257" s="1"/>
    </row>
    <row r="258" spans="6:9" x14ac:dyDescent="0.2">
      <c r="F258" s="34"/>
      <c r="I258" s="1"/>
    </row>
    <row r="259" spans="6:9" x14ac:dyDescent="0.2">
      <c r="F259" s="34"/>
      <c r="I259" s="1"/>
    </row>
    <row r="260" spans="6:9" x14ac:dyDescent="0.2">
      <c r="F260" s="34"/>
      <c r="I260" s="1"/>
    </row>
    <row r="261" spans="6:9" x14ac:dyDescent="0.2">
      <c r="F261" s="34"/>
      <c r="I261" s="1"/>
    </row>
    <row r="262" spans="6:9" x14ac:dyDescent="0.2">
      <c r="F262" s="34"/>
      <c r="I262" s="1"/>
    </row>
    <row r="263" spans="6:9" x14ac:dyDescent="0.2">
      <c r="F263" s="34"/>
      <c r="I263" s="1"/>
    </row>
    <row r="264" spans="6:9" x14ac:dyDescent="0.2">
      <c r="F264" s="34"/>
      <c r="I264" s="1"/>
    </row>
    <row r="265" spans="6:9" x14ac:dyDescent="0.2">
      <c r="F265" s="34"/>
      <c r="I265" s="1"/>
    </row>
    <row r="266" spans="6:9" x14ac:dyDescent="0.2">
      <c r="F266" s="34"/>
      <c r="I266" s="1"/>
    </row>
    <row r="267" spans="6:9" x14ac:dyDescent="0.2">
      <c r="F267" s="34"/>
      <c r="I267" s="1"/>
    </row>
    <row r="268" spans="6:9" x14ac:dyDescent="0.2">
      <c r="F268" s="34"/>
      <c r="I268" s="1"/>
    </row>
    <row r="269" spans="6:9" x14ac:dyDescent="0.2">
      <c r="F269" s="34"/>
      <c r="I269" s="1"/>
    </row>
    <row r="270" spans="6:9" x14ac:dyDescent="0.2">
      <c r="F270" s="34"/>
      <c r="I270" s="1"/>
    </row>
    <row r="271" spans="6:9" x14ac:dyDescent="0.2">
      <c r="F271" s="34"/>
      <c r="I271" s="1"/>
    </row>
    <row r="272" spans="6:9" x14ac:dyDescent="0.2">
      <c r="F272" s="34"/>
      <c r="I272" s="1"/>
    </row>
    <row r="273" spans="6:9" x14ac:dyDescent="0.2">
      <c r="F273" s="34"/>
      <c r="I273" s="1"/>
    </row>
    <row r="274" spans="6:9" x14ac:dyDescent="0.2">
      <c r="F274" s="34"/>
      <c r="I274" s="1"/>
    </row>
    <row r="275" spans="6:9" x14ac:dyDescent="0.2">
      <c r="F275" s="34"/>
      <c r="I275" s="1"/>
    </row>
    <row r="276" spans="6:9" x14ac:dyDescent="0.2">
      <c r="F276" s="34"/>
      <c r="I276" s="1"/>
    </row>
    <row r="277" spans="6:9" x14ac:dyDescent="0.2">
      <c r="F277" s="34"/>
      <c r="I277" s="1"/>
    </row>
    <row r="278" spans="6:9" x14ac:dyDescent="0.2">
      <c r="F278" s="34"/>
      <c r="I278" s="1"/>
    </row>
    <row r="279" spans="6:9" x14ac:dyDescent="0.2">
      <c r="F279" s="34"/>
      <c r="I279" s="1"/>
    </row>
    <row r="280" spans="6:9" x14ac:dyDescent="0.2">
      <c r="F280" s="34"/>
      <c r="I280" s="1"/>
    </row>
    <row r="281" spans="6:9" x14ac:dyDescent="0.2">
      <c r="F281" s="34"/>
      <c r="I281" s="1"/>
    </row>
    <row r="282" spans="6:9" x14ac:dyDescent="0.2">
      <c r="F282" s="34"/>
      <c r="I282" s="1"/>
    </row>
    <row r="283" spans="6:9" x14ac:dyDescent="0.2">
      <c r="F283" s="34"/>
      <c r="I283" s="1"/>
    </row>
    <row r="284" spans="6:9" x14ac:dyDescent="0.2">
      <c r="F284" s="34"/>
      <c r="I284" s="1"/>
    </row>
    <row r="285" spans="6:9" x14ac:dyDescent="0.2">
      <c r="F285" s="34"/>
      <c r="I285" s="1"/>
    </row>
    <row r="286" spans="6:9" x14ac:dyDescent="0.2">
      <c r="F286" s="34"/>
      <c r="I286" s="1"/>
    </row>
    <row r="287" spans="6:9" x14ac:dyDescent="0.2">
      <c r="F287" s="34"/>
      <c r="I287" s="1"/>
    </row>
    <row r="288" spans="6:9" x14ac:dyDescent="0.2">
      <c r="F288" s="34"/>
      <c r="I288" s="1"/>
    </row>
    <row r="289" spans="6:9" x14ac:dyDescent="0.2">
      <c r="F289" s="34"/>
      <c r="I289" s="1"/>
    </row>
    <row r="290" spans="6:9" x14ac:dyDescent="0.2">
      <c r="F290" s="34"/>
      <c r="I290" s="1"/>
    </row>
    <row r="291" spans="6:9" x14ac:dyDescent="0.2">
      <c r="F291" s="34"/>
      <c r="I291" s="1"/>
    </row>
    <row r="292" spans="6:9" x14ac:dyDescent="0.2">
      <c r="F292" s="34"/>
      <c r="I292" s="1"/>
    </row>
    <row r="293" spans="6:9" x14ac:dyDescent="0.2">
      <c r="F293" s="34"/>
      <c r="I293" s="1"/>
    </row>
    <row r="294" spans="6:9" x14ac:dyDescent="0.2">
      <c r="F294" s="34"/>
      <c r="I294" s="1"/>
    </row>
    <row r="295" spans="6:9" x14ac:dyDescent="0.2">
      <c r="F295" s="34"/>
      <c r="I295" s="1"/>
    </row>
    <row r="296" spans="6:9" x14ac:dyDescent="0.2">
      <c r="F296" s="34"/>
      <c r="I296" s="1"/>
    </row>
    <row r="297" spans="6:9" x14ac:dyDescent="0.2">
      <c r="F297" s="34"/>
      <c r="I297" s="1"/>
    </row>
    <row r="298" spans="6:9" x14ac:dyDescent="0.2">
      <c r="F298" s="34"/>
      <c r="I298" s="1"/>
    </row>
    <row r="299" spans="6:9" x14ac:dyDescent="0.2">
      <c r="F299" s="34"/>
      <c r="I299" s="1"/>
    </row>
    <row r="300" spans="6:9" x14ac:dyDescent="0.2">
      <c r="F300" s="34"/>
      <c r="I300" s="1"/>
    </row>
    <row r="301" spans="6:9" x14ac:dyDescent="0.2">
      <c r="F301" s="34"/>
      <c r="I301" s="1"/>
    </row>
    <row r="302" spans="6:9" x14ac:dyDescent="0.2">
      <c r="F302" s="34"/>
      <c r="I302" s="1"/>
    </row>
    <row r="303" spans="6:9" x14ac:dyDescent="0.2">
      <c r="F303" s="34"/>
      <c r="I303" s="1"/>
    </row>
    <row r="304" spans="6:9" x14ac:dyDescent="0.2">
      <c r="F304" s="34"/>
      <c r="I304" s="1"/>
    </row>
    <row r="305" spans="6:9" x14ac:dyDescent="0.2">
      <c r="F305" s="34"/>
      <c r="I305" s="1"/>
    </row>
    <row r="306" spans="6:9" x14ac:dyDescent="0.2">
      <c r="F306" s="34"/>
      <c r="I306" s="1"/>
    </row>
    <row r="307" spans="6:9" x14ac:dyDescent="0.2">
      <c r="F307" s="34"/>
      <c r="I307" s="1"/>
    </row>
    <row r="308" spans="6:9" x14ac:dyDescent="0.2">
      <c r="F308" s="34"/>
      <c r="I308" s="1"/>
    </row>
    <row r="309" spans="6:9" x14ac:dyDescent="0.2">
      <c r="F309" s="34"/>
      <c r="I309" s="1"/>
    </row>
    <row r="310" spans="6:9" x14ac:dyDescent="0.2">
      <c r="F310" s="34"/>
      <c r="I310" s="1"/>
    </row>
    <row r="311" spans="6:9" x14ac:dyDescent="0.2">
      <c r="F311" s="34"/>
      <c r="I311" s="1"/>
    </row>
    <row r="312" spans="6:9" x14ac:dyDescent="0.2">
      <c r="F312" s="34"/>
      <c r="I312" s="1"/>
    </row>
    <row r="313" spans="6:9" x14ac:dyDescent="0.2">
      <c r="F313" s="34"/>
      <c r="I313" s="1"/>
    </row>
    <row r="314" spans="6:9" x14ac:dyDescent="0.2">
      <c r="F314" s="34"/>
      <c r="I314" s="1"/>
    </row>
    <row r="315" spans="6:9" x14ac:dyDescent="0.2">
      <c r="F315" s="34"/>
      <c r="I315" s="1"/>
    </row>
    <row r="316" spans="6:9" x14ac:dyDescent="0.2">
      <c r="F316" s="34"/>
      <c r="I316" s="1"/>
    </row>
    <row r="317" spans="6:9" x14ac:dyDescent="0.2">
      <c r="F317" s="34"/>
      <c r="I317" s="1"/>
    </row>
    <row r="318" spans="6:9" x14ac:dyDescent="0.2">
      <c r="F318" s="34"/>
      <c r="I318" s="1"/>
    </row>
    <row r="319" spans="6:9" x14ac:dyDescent="0.2">
      <c r="F319" s="34"/>
      <c r="I319" s="1"/>
    </row>
    <row r="320" spans="6:9" x14ac:dyDescent="0.2">
      <c r="F320" s="34"/>
      <c r="I320" s="1"/>
    </row>
    <row r="321" spans="6:9" x14ac:dyDescent="0.2">
      <c r="F321" s="34"/>
      <c r="I321" s="1"/>
    </row>
    <row r="322" spans="6:9" x14ac:dyDescent="0.2">
      <c r="F322" s="34"/>
      <c r="I322" s="1"/>
    </row>
    <row r="323" spans="6:9" x14ac:dyDescent="0.2">
      <c r="F323" s="34"/>
      <c r="I323" s="1"/>
    </row>
    <row r="324" spans="6:9" x14ac:dyDescent="0.2">
      <c r="F324" s="34"/>
      <c r="I324" s="1"/>
    </row>
    <row r="325" spans="6:9" x14ac:dyDescent="0.2">
      <c r="F325" s="34"/>
      <c r="I325" s="1"/>
    </row>
    <row r="326" spans="6:9" x14ac:dyDescent="0.2">
      <c r="F326" s="34"/>
      <c r="I326" s="1"/>
    </row>
    <row r="327" spans="6:9" x14ac:dyDescent="0.2">
      <c r="F327" s="34"/>
      <c r="I327" s="1"/>
    </row>
    <row r="328" spans="6:9" x14ac:dyDescent="0.2">
      <c r="F328" s="34"/>
      <c r="I328" s="1"/>
    </row>
    <row r="329" spans="6:9" x14ac:dyDescent="0.2">
      <c r="F329" s="34"/>
      <c r="I329" s="1"/>
    </row>
    <row r="330" spans="6:9" x14ac:dyDescent="0.2">
      <c r="F330" s="34"/>
      <c r="I330" s="1"/>
    </row>
    <row r="331" spans="6:9" x14ac:dyDescent="0.2">
      <c r="F331" s="34"/>
      <c r="I331" s="1"/>
    </row>
    <row r="332" spans="6:9" x14ac:dyDescent="0.2">
      <c r="F332" s="34"/>
      <c r="I332" s="1"/>
    </row>
    <row r="333" spans="6:9" x14ac:dyDescent="0.2">
      <c r="F333" s="34"/>
      <c r="I333" s="1"/>
    </row>
    <row r="334" spans="6:9" x14ac:dyDescent="0.2">
      <c r="F334" s="34"/>
      <c r="I334" s="1"/>
    </row>
    <row r="335" spans="6:9" x14ac:dyDescent="0.2">
      <c r="F335" s="34"/>
      <c r="I335" s="1"/>
    </row>
    <row r="336" spans="6:9" x14ac:dyDescent="0.2">
      <c r="F336" s="34"/>
      <c r="I336" s="1"/>
    </row>
    <row r="337" spans="6:9" x14ac:dyDescent="0.2">
      <c r="F337" s="34"/>
      <c r="I337" s="1"/>
    </row>
    <row r="338" spans="6:9" x14ac:dyDescent="0.2">
      <c r="F338" s="34"/>
      <c r="I338" s="1"/>
    </row>
    <row r="339" spans="6:9" x14ac:dyDescent="0.2">
      <c r="F339" s="34"/>
      <c r="I339" s="1"/>
    </row>
    <row r="340" spans="6:9" x14ac:dyDescent="0.2">
      <c r="F340" s="34"/>
      <c r="I340" s="1"/>
    </row>
    <row r="341" spans="6:9" x14ac:dyDescent="0.2">
      <c r="F341" s="34"/>
      <c r="I341" s="1"/>
    </row>
    <row r="342" spans="6:9" x14ac:dyDescent="0.2">
      <c r="F342" s="34"/>
      <c r="I342" s="1"/>
    </row>
    <row r="343" spans="6:9" x14ac:dyDescent="0.2">
      <c r="F343" s="34"/>
      <c r="I343" s="1"/>
    </row>
    <row r="344" spans="6:9" x14ac:dyDescent="0.2">
      <c r="F344" s="34"/>
      <c r="I344" s="1"/>
    </row>
    <row r="345" spans="6:9" x14ac:dyDescent="0.2">
      <c r="F345" s="34"/>
      <c r="I345" s="1"/>
    </row>
    <row r="346" spans="6:9" x14ac:dyDescent="0.2">
      <c r="F346" s="34"/>
      <c r="I346" s="1"/>
    </row>
    <row r="347" spans="6:9" x14ac:dyDescent="0.2">
      <c r="F347" s="34"/>
      <c r="I347" s="1"/>
    </row>
    <row r="348" spans="6:9" x14ac:dyDescent="0.2">
      <c r="F348" s="34"/>
      <c r="I348" s="1"/>
    </row>
    <row r="349" spans="6:9" x14ac:dyDescent="0.2">
      <c r="F349" s="34"/>
      <c r="I349" s="1"/>
    </row>
    <row r="350" spans="6:9" x14ac:dyDescent="0.2">
      <c r="F350" s="34"/>
      <c r="I350" s="1"/>
    </row>
    <row r="351" spans="6:9" x14ac:dyDescent="0.2">
      <c r="F351" s="34"/>
      <c r="I351" s="1"/>
    </row>
    <row r="352" spans="6:9" x14ac:dyDescent="0.2">
      <c r="F352" s="34"/>
      <c r="I352" s="1"/>
    </row>
    <row r="353" spans="6:9" x14ac:dyDescent="0.2">
      <c r="F353" s="34"/>
      <c r="I353" s="1"/>
    </row>
    <row r="354" spans="6:9" x14ac:dyDescent="0.2">
      <c r="F354" s="34"/>
      <c r="I354" s="1"/>
    </row>
    <row r="355" spans="6:9" x14ac:dyDescent="0.2">
      <c r="F355" s="34"/>
      <c r="I355" s="1"/>
    </row>
    <row r="356" spans="6:9" x14ac:dyDescent="0.2">
      <c r="F356" s="34"/>
      <c r="I356" s="1"/>
    </row>
    <row r="357" spans="6:9" x14ac:dyDescent="0.2">
      <c r="F357" s="34"/>
      <c r="I357" s="1"/>
    </row>
    <row r="358" spans="6:9" x14ac:dyDescent="0.2">
      <c r="F358" s="34"/>
      <c r="I358" s="1"/>
    </row>
    <row r="359" spans="6:9" x14ac:dyDescent="0.2">
      <c r="F359" s="34"/>
      <c r="I359" s="1"/>
    </row>
    <row r="360" spans="6:9" x14ac:dyDescent="0.2">
      <c r="F360" s="34"/>
      <c r="I360" s="1"/>
    </row>
    <row r="361" spans="6:9" x14ac:dyDescent="0.2">
      <c r="F361" s="34"/>
      <c r="I361" s="1"/>
    </row>
    <row r="362" spans="6:9" x14ac:dyDescent="0.2">
      <c r="F362" s="34"/>
      <c r="I362" s="1"/>
    </row>
    <row r="363" spans="6:9" x14ac:dyDescent="0.2">
      <c r="F363" s="34"/>
      <c r="I363" s="1"/>
    </row>
    <row r="364" spans="6:9" x14ac:dyDescent="0.2">
      <c r="F364" s="34"/>
      <c r="I364" s="1"/>
    </row>
    <row r="365" spans="6:9" x14ac:dyDescent="0.2">
      <c r="F365" s="34"/>
      <c r="I365" s="1"/>
    </row>
    <row r="366" spans="6:9" x14ac:dyDescent="0.2">
      <c r="F366" s="34"/>
      <c r="I366" s="1"/>
    </row>
    <row r="367" spans="6:9" x14ac:dyDescent="0.2">
      <c r="F367" s="34"/>
      <c r="I367" s="1"/>
    </row>
    <row r="368" spans="6:9" x14ac:dyDescent="0.2">
      <c r="F368" s="34"/>
      <c r="I368" s="1"/>
    </row>
    <row r="369" spans="6:9" x14ac:dyDescent="0.2">
      <c r="F369" s="34"/>
      <c r="I369" s="1"/>
    </row>
    <row r="370" spans="6:9" x14ac:dyDescent="0.2">
      <c r="F370" s="34"/>
      <c r="I370" s="1"/>
    </row>
    <row r="371" spans="6:9" x14ac:dyDescent="0.2">
      <c r="F371" s="34"/>
      <c r="I371" s="1"/>
    </row>
    <row r="372" spans="6:9" x14ac:dyDescent="0.2">
      <c r="F372" s="34"/>
      <c r="I372" s="1"/>
    </row>
    <row r="373" spans="6:9" x14ac:dyDescent="0.2">
      <c r="F373" s="34"/>
      <c r="I373" s="1"/>
    </row>
    <row r="374" spans="6:9" x14ac:dyDescent="0.2">
      <c r="F374" s="34"/>
      <c r="I374" s="1"/>
    </row>
    <row r="375" spans="6:9" x14ac:dyDescent="0.2">
      <c r="F375" s="34"/>
      <c r="I375" s="1"/>
    </row>
    <row r="376" spans="6:9" x14ac:dyDescent="0.2">
      <c r="F376" s="34"/>
      <c r="I376" s="1"/>
    </row>
    <row r="377" spans="6:9" x14ac:dyDescent="0.2">
      <c r="F377" s="34"/>
      <c r="I377" s="1"/>
    </row>
    <row r="378" spans="6:9" x14ac:dyDescent="0.2">
      <c r="F378" s="34"/>
      <c r="I378" s="1"/>
    </row>
    <row r="379" spans="6:9" x14ac:dyDescent="0.2">
      <c r="F379" s="34"/>
      <c r="I379" s="1"/>
    </row>
    <row r="380" spans="6:9" x14ac:dyDescent="0.2">
      <c r="F380" s="34"/>
      <c r="I380" s="1"/>
    </row>
    <row r="381" spans="6:9" x14ac:dyDescent="0.2">
      <c r="F381" s="34"/>
      <c r="I381" s="1"/>
    </row>
    <row r="382" spans="6:9" x14ac:dyDescent="0.2">
      <c r="F382" s="34"/>
      <c r="I382" s="1"/>
    </row>
    <row r="383" spans="6:9" x14ac:dyDescent="0.2">
      <c r="F383" s="34"/>
      <c r="I383" s="1"/>
    </row>
    <row r="384" spans="6:9" x14ac:dyDescent="0.2">
      <c r="F384" s="34"/>
      <c r="I384" s="1"/>
    </row>
    <row r="385" spans="6:9" x14ac:dyDescent="0.2">
      <c r="F385" s="34"/>
      <c r="I385" s="1"/>
    </row>
    <row r="386" spans="6:9" x14ac:dyDescent="0.2">
      <c r="F386" s="34"/>
      <c r="I386" s="1"/>
    </row>
    <row r="387" spans="6:9" x14ac:dyDescent="0.2">
      <c r="F387" s="34"/>
      <c r="I387" s="1"/>
    </row>
    <row r="388" spans="6:9" x14ac:dyDescent="0.2">
      <c r="F388" s="34"/>
      <c r="I388" s="1"/>
    </row>
    <row r="389" spans="6:9" x14ac:dyDescent="0.2">
      <c r="F389" s="34"/>
      <c r="I389" s="1"/>
    </row>
    <row r="390" spans="6:9" x14ac:dyDescent="0.2">
      <c r="F390" s="34"/>
      <c r="I390" s="1"/>
    </row>
    <row r="391" spans="6:9" x14ac:dyDescent="0.2">
      <c r="F391" s="34"/>
      <c r="I391" s="1"/>
    </row>
    <row r="392" spans="6:9" x14ac:dyDescent="0.2">
      <c r="F392" s="34"/>
      <c r="I392" s="1"/>
    </row>
    <row r="393" spans="6:9" x14ac:dyDescent="0.2">
      <c r="F393" s="34"/>
      <c r="I393" s="1"/>
    </row>
    <row r="394" spans="6:9" x14ac:dyDescent="0.2">
      <c r="F394" s="34"/>
      <c r="I394" s="1"/>
    </row>
    <row r="395" spans="6:9" x14ac:dyDescent="0.2">
      <c r="F395" s="34"/>
      <c r="I395" s="1"/>
    </row>
    <row r="396" spans="6:9" x14ac:dyDescent="0.2">
      <c r="F396" s="34"/>
      <c r="I396" s="1"/>
    </row>
    <row r="397" spans="6:9" x14ac:dyDescent="0.2">
      <c r="F397" s="34"/>
      <c r="I397" s="1"/>
    </row>
    <row r="398" spans="6:9" x14ac:dyDescent="0.2">
      <c r="F398" s="34"/>
      <c r="I398" s="1"/>
    </row>
    <row r="399" spans="6:9" x14ac:dyDescent="0.2">
      <c r="F399" s="34"/>
      <c r="I399" s="1"/>
    </row>
    <row r="400" spans="6:9" x14ac:dyDescent="0.2">
      <c r="F400" s="34"/>
      <c r="I400" s="1"/>
    </row>
    <row r="401" spans="6:9" x14ac:dyDescent="0.2">
      <c r="F401" s="34"/>
      <c r="I401" s="1"/>
    </row>
    <row r="402" spans="6:9" x14ac:dyDescent="0.2">
      <c r="F402" s="34"/>
      <c r="I402" s="1"/>
    </row>
    <row r="403" spans="6:9" x14ac:dyDescent="0.2">
      <c r="F403" s="34"/>
      <c r="I403" s="1"/>
    </row>
    <row r="404" spans="6:9" x14ac:dyDescent="0.2">
      <c r="F404" s="34"/>
      <c r="I404" s="1"/>
    </row>
    <row r="405" spans="6:9" x14ac:dyDescent="0.2">
      <c r="F405" s="34"/>
      <c r="I405" s="1"/>
    </row>
    <row r="406" spans="6:9" x14ac:dyDescent="0.2">
      <c r="F406" s="34"/>
      <c r="I406" s="1"/>
    </row>
    <row r="407" spans="6:9" x14ac:dyDescent="0.2">
      <c r="F407" s="34"/>
      <c r="I407" s="1"/>
    </row>
    <row r="408" spans="6:9" x14ac:dyDescent="0.2">
      <c r="F408" s="34"/>
      <c r="I408" s="1"/>
    </row>
    <row r="409" spans="6:9" x14ac:dyDescent="0.2">
      <c r="F409" s="34"/>
      <c r="I409" s="1"/>
    </row>
    <row r="410" spans="6:9" x14ac:dyDescent="0.2">
      <c r="F410" s="34"/>
      <c r="I410" s="1"/>
    </row>
    <row r="411" spans="6:9" x14ac:dyDescent="0.2">
      <c r="F411" s="34"/>
      <c r="I411" s="1"/>
    </row>
    <row r="412" spans="6:9" x14ac:dyDescent="0.2">
      <c r="F412" s="34"/>
      <c r="I412" s="1"/>
    </row>
    <row r="413" spans="6:9" x14ac:dyDescent="0.2">
      <c r="F413" s="34"/>
      <c r="I413" s="1"/>
    </row>
    <row r="414" spans="6:9" x14ac:dyDescent="0.2">
      <c r="F414" s="34"/>
      <c r="I414" s="1"/>
    </row>
    <row r="415" spans="6:9" x14ac:dyDescent="0.2">
      <c r="F415" s="34"/>
      <c r="I415" s="1"/>
    </row>
    <row r="416" spans="6:9" x14ac:dyDescent="0.2">
      <c r="F416" s="34"/>
      <c r="I416" s="1"/>
    </row>
    <row r="417" spans="6:9" x14ac:dyDescent="0.2">
      <c r="F417" s="34"/>
      <c r="I417" s="1"/>
    </row>
    <row r="418" spans="6:9" x14ac:dyDescent="0.2">
      <c r="F418" s="34"/>
      <c r="I418" s="1"/>
    </row>
    <row r="419" spans="6:9" x14ac:dyDescent="0.2">
      <c r="F419" s="34"/>
      <c r="I419" s="1"/>
    </row>
    <row r="420" spans="6:9" x14ac:dyDescent="0.2">
      <c r="F420" s="34"/>
      <c r="I420" s="1"/>
    </row>
    <row r="421" spans="6:9" x14ac:dyDescent="0.2">
      <c r="F421" s="34"/>
      <c r="I421" s="1"/>
    </row>
    <row r="422" spans="6:9" x14ac:dyDescent="0.2">
      <c r="F422" s="34"/>
      <c r="I422" s="1"/>
    </row>
    <row r="423" spans="6:9" x14ac:dyDescent="0.2">
      <c r="F423" s="34"/>
      <c r="I423" s="1"/>
    </row>
    <row r="424" spans="6:9" x14ac:dyDescent="0.2">
      <c r="F424" s="34"/>
      <c r="I424" s="1"/>
    </row>
    <row r="425" spans="6:9" x14ac:dyDescent="0.2">
      <c r="F425" s="34"/>
      <c r="I425" s="1"/>
    </row>
    <row r="426" spans="6:9" x14ac:dyDescent="0.2">
      <c r="F426" s="34"/>
      <c r="I426" s="1"/>
    </row>
    <row r="427" spans="6:9" x14ac:dyDescent="0.2">
      <c r="F427" s="34"/>
      <c r="I427" s="1"/>
    </row>
    <row r="428" spans="6:9" x14ac:dyDescent="0.2">
      <c r="F428" s="34"/>
      <c r="I428" s="1"/>
    </row>
    <row r="429" spans="6:9" x14ac:dyDescent="0.2">
      <c r="F429" s="34"/>
      <c r="I429" s="1"/>
    </row>
    <row r="430" spans="6:9" x14ac:dyDescent="0.2">
      <c r="F430" s="34"/>
      <c r="I430" s="1"/>
    </row>
    <row r="431" spans="6:9" x14ac:dyDescent="0.2">
      <c r="F431" s="34"/>
      <c r="I431" s="1"/>
    </row>
    <row r="432" spans="6:9" x14ac:dyDescent="0.2">
      <c r="F432" s="34"/>
      <c r="I432" s="1"/>
    </row>
    <row r="433" spans="6:9" x14ac:dyDescent="0.2">
      <c r="F433" s="34"/>
      <c r="I433" s="1"/>
    </row>
    <row r="434" spans="6:9" x14ac:dyDescent="0.2">
      <c r="F434" s="34"/>
      <c r="I434" s="1"/>
    </row>
    <row r="435" spans="6:9" x14ac:dyDescent="0.2">
      <c r="F435" s="34"/>
      <c r="I435" s="1"/>
    </row>
    <row r="436" spans="6:9" x14ac:dyDescent="0.2">
      <c r="F436" s="34"/>
      <c r="I436" s="1"/>
    </row>
    <row r="437" spans="6:9" x14ac:dyDescent="0.2">
      <c r="F437" s="34"/>
      <c r="I437" s="1"/>
    </row>
    <row r="438" spans="6:9" x14ac:dyDescent="0.2">
      <c r="F438" s="34"/>
      <c r="I438" s="1"/>
    </row>
    <row r="439" spans="6:9" x14ac:dyDescent="0.2">
      <c r="F439" s="34"/>
      <c r="I439" s="1"/>
    </row>
    <row r="440" spans="6:9" x14ac:dyDescent="0.2">
      <c r="F440" s="34"/>
      <c r="I440" s="1"/>
    </row>
    <row r="441" spans="6:9" x14ac:dyDescent="0.2">
      <c r="F441" s="34"/>
      <c r="I441" s="1"/>
    </row>
    <row r="442" spans="6:9" x14ac:dyDescent="0.2">
      <c r="F442" s="34"/>
      <c r="I442" s="1"/>
    </row>
    <row r="443" spans="6:9" x14ac:dyDescent="0.2">
      <c r="F443" s="34"/>
      <c r="I443" s="1"/>
    </row>
    <row r="444" spans="6:9" x14ac:dyDescent="0.2">
      <c r="F444" s="34"/>
      <c r="I444" s="1"/>
    </row>
    <row r="445" spans="6:9" x14ac:dyDescent="0.2">
      <c r="F445" s="34"/>
      <c r="I445" s="1"/>
    </row>
    <row r="446" spans="6:9" x14ac:dyDescent="0.2">
      <c r="F446" s="34"/>
      <c r="I446" s="1"/>
    </row>
    <row r="447" spans="6:9" x14ac:dyDescent="0.2">
      <c r="F447" s="34"/>
      <c r="I447" s="1"/>
    </row>
    <row r="448" spans="6:9" x14ac:dyDescent="0.2">
      <c r="F448" s="34"/>
      <c r="I448" s="1"/>
    </row>
    <row r="449" spans="6:9" x14ac:dyDescent="0.2">
      <c r="F449" s="34"/>
      <c r="I449" s="1"/>
    </row>
    <row r="450" spans="6:9" x14ac:dyDescent="0.2">
      <c r="F450" s="34"/>
      <c r="I450" s="1"/>
    </row>
    <row r="451" spans="6:9" x14ac:dyDescent="0.2">
      <c r="F451" s="34"/>
      <c r="I451" s="1"/>
    </row>
    <row r="452" spans="6:9" x14ac:dyDescent="0.2">
      <c r="F452" s="34"/>
      <c r="I452" s="1"/>
    </row>
    <row r="453" spans="6:9" x14ac:dyDescent="0.2">
      <c r="F453" s="34"/>
      <c r="I453" s="1"/>
    </row>
    <row r="454" spans="6:9" x14ac:dyDescent="0.2">
      <c r="F454" s="34"/>
      <c r="I454" s="1"/>
    </row>
    <row r="455" spans="6:9" x14ac:dyDescent="0.2">
      <c r="F455" s="34"/>
      <c r="I455" s="1"/>
    </row>
    <row r="456" spans="6:9" x14ac:dyDescent="0.2">
      <c r="F456" s="34"/>
      <c r="I456" s="1"/>
    </row>
    <row r="457" spans="6:9" x14ac:dyDescent="0.2">
      <c r="F457" s="34"/>
      <c r="I457" s="1"/>
    </row>
    <row r="458" spans="6:9" x14ac:dyDescent="0.2">
      <c r="F458" s="34"/>
      <c r="I458" s="1"/>
    </row>
    <row r="459" spans="6:9" x14ac:dyDescent="0.2">
      <c r="F459" s="34"/>
      <c r="I459" s="1"/>
    </row>
    <row r="460" spans="6:9" x14ac:dyDescent="0.2">
      <c r="F460" s="34"/>
      <c r="I460" s="1"/>
    </row>
    <row r="461" spans="6:9" x14ac:dyDescent="0.2">
      <c r="F461" s="34"/>
      <c r="I461" s="1"/>
    </row>
    <row r="462" spans="6:9" x14ac:dyDescent="0.2">
      <c r="F462" s="34"/>
      <c r="I462" s="1"/>
    </row>
    <row r="463" spans="6:9" x14ac:dyDescent="0.2">
      <c r="F463" s="34"/>
      <c r="I463" s="1"/>
    </row>
    <row r="464" spans="6:9" x14ac:dyDescent="0.2">
      <c r="F464" s="34"/>
      <c r="I464" s="1"/>
    </row>
    <row r="465" spans="6:9" x14ac:dyDescent="0.2">
      <c r="F465" s="34"/>
      <c r="I465" s="1"/>
    </row>
    <row r="466" spans="6:9" x14ac:dyDescent="0.2">
      <c r="F466" s="34"/>
      <c r="I466" s="1"/>
    </row>
    <row r="467" spans="6:9" x14ac:dyDescent="0.2">
      <c r="F467" s="34"/>
      <c r="I467" s="1"/>
    </row>
    <row r="468" spans="6:9" x14ac:dyDescent="0.2">
      <c r="F468" s="34"/>
      <c r="I468" s="1"/>
    </row>
    <row r="469" spans="6:9" x14ac:dyDescent="0.2">
      <c r="F469" s="34"/>
      <c r="I469" s="1"/>
    </row>
    <row r="470" spans="6:9" x14ac:dyDescent="0.2">
      <c r="F470" s="34"/>
      <c r="I470" s="1"/>
    </row>
    <row r="471" spans="6:9" x14ac:dyDescent="0.2">
      <c r="F471" s="34"/>
      <c r="I471" s="1"/>
    </row>
    <row r="472" spans="6:9" x14ac:dyDescent="0.2">
      <c r="F472" s="34"/>
      <c r="I472" s="1"/>
    </row>
    <row r="473" spans="6:9" x14ac:dyDescent="0.2">
      <c r="F473" s="34"/>
      <c r="I473" s="1"/>
    </row>
    <row r="474" spans="6:9" x14ac:dyDescent="0.2">
      <c r="F474" s="34"/>
      <c r="I474" s="1"/>
    </row>
    <row r="475" spans="6:9" x14ac:dyDescent="0.2">
      <c r="F475" s="34"/>
      <c r="I475" s="1"/>
    </row>
    <row r="476" spans="6:9" x14ac:dyDescent="0.2">
      <c r="F476" s="34"/>
      <c r="I476" s="1"/>
    </row>
    <row r="477" spans="6:9" x14ac:dyDescent="0.2">
      <c r="F477" s="34"/>
      <c r="I477" s="1"/>
    </row>
    <row r="478" spans="6:9" x14ac:dyDescent="0.2">
      <c r="F478" s="34"/>
      <c r="I478" s="1"/>
    </row>
    <row r="479" spans="6:9" x14ac:dyDescent="0.2">
      <c r="F479" s="34"/>
      <c r="I479" s="1"/>
    </row>
    <row r="480" spans="6:9" x14ac:dyDescent="0.2">
      <c r="F480" s="34"/>
      <c r="I480" s="1"/>
    </row>
    <row r="481" spans="6:9" x14ac:dyDescent="0.2">
      <c r="F481" s="34"/>
      <c r="I481" s="1"/>
    </row>
    <row r="482" spans="6:9" x14ac:dyDescent="0.2">
      <c r="F482" s="34"/>
      <c r="I482" s="1"/>
    </row>
    <row r="483" spans="6:9" x14ac:dyDescent="0.2">
      <c r="F483" s="34"/>
      <c r="I483" s="1"/>
    </row>
    <row r="484" spans="6:9" x14ac:dyDescent="0.2">
      <c r="F484" s="34"/>
      <c r="I484" s="1"/>
    </row>
    <row r="485" spans="6:9" x14ac:dyDescent="0.2">
      <c r="F485" s="34"/>
      <c r="I485" s="1"/>
    </row>
    <row r="486" spans="6:9" x14ac:dyDescent="0.2">
      <c r="F486" s="34"/>
      <c r="I486" s="1"/>
    </row>
    <row r="487" spans="6:9" x14ac:dyDescent="0.2">
      <c r="F487" s="34"/>
      <c r="I487" s="1"/>
    </row>
    <row r="488" spans="6:9" x14ac:dyDescent="0.2">
      <c r="F488" s="34"/>
      <c r="I488" s="1"/>
    </row>
    <row r="489" spans="6:9" x14ac:dyDescent="0.2">
      <c r="F489" s="34"/>
      <c r="I489" s="1"/>
    </row>
    <row r="490" spans="6:9" x14ac:dyDescent="0.2">
      <c r="F490" s="34"/>
      <c r="I490" s="1"/>
    </row>
    <row r="491" spans="6:9" x14ac:dyDescent="0.2">
      <c r="F491" s="34"/>
      <c r="I491" s="1"/>
    </row>
    <row r="492" spans="6:9" x14ac:dyDescent="0.2">
      <c r="F492" s="34"/>
      <c r="I492" s="1"/>
    </row>
    <row r="493" spans="6:9" x14ac:dyDescent="0.2">
      <c r="F493" s="34"/>
      <c r="I493" s="1"/>
    </row>
    <row r="494" spans="6:9" x14ac:dyDescent="0.2">
      <c r="F494" s="34"/>
      <c r="I494" s="1"/>
    </row>
    <row r="495" spans="6:9" x14ac:dyDescent="0.2">
      <c r="F495" s="34"/>
      <c r="I495" s="1"/>
    </row>
    <row r="496" spans="6:9" x14ac:dyDescent="0.2">
      <c r="F496" s="34"/>
      <c r="I496" s="1"/>
    </row>
    <row r="497" spans="6:9" x14ac:dyDescent="0.2">
      <c r="F497" s="34"/>
      <c r="I497" s="1"/>
    </row>
    <row r="498" spans="6:9" x14ac:dyDescent="0.2">
      <c r="F498" s="34"/>
      <c r="I498" s="1"/>
    </row>
    <row r="499" spans="6:9" x14ac:dyDescent="0.2">
      <c r="F499" s="34"/>
      <c r="I499" s="1"/>
    </row>
    <row r="500" spans="6:9" x14ac:dyDescent="0.2">
      <c r="F500" s="34"/>
      <c r="I500" s="1"/>
    </row>
    <row r="501" spans="6:9" x14ac:dyDescent="0.2">
      <c r="F501" s="34"/>
      <c r="I501" s="1"/>
    </row>
    <row r="502" spans="6:9" x14ac:dyDescent="0.2">
      <c r="F502" s="34"/>
      <c r="I502" s="1"/>
    </row>
    <row r="503" spans="6:9" x14ac:dyDescent="0.2">
      <c r="F503" s="34"/>
      <c r="I503" s="1"/>
    </row>
    <row r="504" spans="6:9" x14ac:dyDescent="0.2">
      <c r="F504" s="34"/>
      <c r="I504" s="1"/>
    </row>
    <row r="505" spans="6:9" x14ac:dyDescent="0.2">
      <c r="F505" s="34"/>
      <c r="I505" s="1"/>
    </row>
    <row r="506" spans="6:9" x14ac:dyDescent="0.2">
      <c r="F506" s="34"/>
      <c r="I506" s="1"/>
    </row>
    <row r="507" spans="6:9" x14ac:dyDescent="0.2">
      <c r="F507" s="34"/>
      <c r="I507" s="1"/>
    </row>
    <row r="508" spans="6:9" x14ac:dyDescent="0.2">
      <c r="F508" s="34"/>
      <c r="I508" s="1"/>
    </row>
    <row r="509" spans="6:9" x14ac:dyDescent="0.2">
      <c r="F509" s="34"/>
      <c r="I509" s="1"/>
    </row>
    <row r="510" spans="6:9" x14ac:dyDescent="0.2">
      <c r="F510" s="34"/>
      <c r="I510" s="1"/>
    </row>
    <row r="511" spans="6:9" x14ac:dyDescent="0.2">
      <c r="F511" s="34"/>
      <c r="I511" s="1"/>
    </row>
    <row r="512" spans="6:9" x14ac:dyDescent="0.2">
      <c r="F512" s="34"/>
      <c r="I512" s="1"/>
    </row>
    <row r="513" spans="6:9" x14ac:dyDescent="0.2">
      <c r="F513" s="34"/>
      <c r="I513" s="1"/>
    </row>
    <row r="514" spans="6:9" x14ac:dyDescent="0.2">
      <c r="F514" s="34"/>
      <c r="I514" s="1"/>
    </row>
    <row r="515" spans="6:9" x14ac:dyDescent="0.2">
      <c r="F515" s="34"/>
      <c r="I515" s="1"/>
    </row>
    <row r="516" spans="6:9" x14ac:dyDescent="0.2">
      <c r="F516" s="34"/>
      <c r="I516" s="1"/>
    </row>
    <row r="517" spans="6:9" x14ac:dyDescent="0.2">
      <c r="F517" s="34"/>
      <c r="I517" s="1"/>
    </row>
    <row r="518" spans="6:9" x14ac:dyDescent="0.2">
      <c r="F518" s="34"/>
      <c r="I518" s="1"/>
    </row>
    <row r="519" spans="6:9" x14ac:dyDescent="0.2">
      <c r="F519" s="34"/>
      <c r="I519" s="1"/>
    </row>
    <row r="520" spans="6:9" x14ac:dyDescent="0.2">
      <c r="F520" s="34"/>
      <c r="I520" s="1"/>
    </row>
    <row r="521" spans="6:9" x14ac:dyDescent="0.2">
      <c r="F521" s="34"/>
      <c r="I521" s="1"/>
    </row>
    <row r="522" spans="6:9" x14ac:dyDescent="0.2">
      <c r="F522" s="34"/>
      <c r="I522" s="1"/>
    </row>
    <row r="523" spans="6:9" x14ac:dyDescent="0.2">
      <c r="F523" s="34"/>
      <c r="I523" s="1"/>
    </row>
    <row r="524" spans="6:9" x14ac:dyDescent="0.2">
      <c r="F524" s="34"/>
      <c r="I524" s="1"/>
    </row>
    <row r="525" spans="6:9" x14ac:dyDescent="0.2">
      <c r="F525" s="34"/>
      <c r="I525" s="1"/>
    </row>
    <row r="526" spans="6:9" x14ac:dyDescent="0.2">
      <c r="F526" s="34"/>
      <c r="I526" s="1"/>
    </row>
    <row r="527" spans="6:9" x14ac:dyDescent="0.2">
      <c r="F527" s="34"/>
      <c r="I527" s="1"/>
    </row>
    <row r="528" spans="6:9" x14ac:dyDescent="0.2">
      <c r="F528" s="34"/>
      <c r="I528" s="1"/>
    </row>
    <row r="529" spans="6:9" x14ac:dyDescent="0.2">
      <c r="F529" s="34"/>
      <c r="I529" s="1"/>
    </row>
    <row r="530" spans="6:9" x14ac:dyDescent="0.2">
      <c r="F530" s="34"/>
      <c r="I530" s="1"/>
    </row>
    <row r="531" spans="6:9" x14ac:dyDescent="0.2">
      <c r="F531" s="34"/>
      <c r="I531" s="1"/>
    </row>
    <row r="532" spans="6:9" x14ac:dyDescent="0.2">
      <c r="F532" s="34"/>
      <c r="I532" s="1"/>
    </row>
    <row r="533" spans="6:9" x14ac:dyDescent="0.2">
      <c r="F533" s="34"/>
      <c r="I533" s="1"/>
    </row>
    <row r="534" spans="6:9" x14ac:dyDescent="0.2">
      <c r="F534" s="34"/>
      <c r="I534" s="1"/>
    </row>
    <row r="535" spans="6:9" x14ac:dyDescent="0.2">
      <c r="F535" s="34"/>
      <c r="I535" s="1"/>
    </row>
    <row r="536" spans="6:9" x14ac:dyDescent="0.2">
      <c r="F536" s="34"/>
      <c r="I536" s="1"/>
    </row>
    <row r="537" spans="6:9" x14ac:dyDescent="0.2">
      <c r="F537" s="34"/>
      <c r="I537" s="1"/>
    </row>
    <row r="538" spans="6:9" x14ac:dyDescent="0.2">
      <c r="F538" s="34"/>
      <c r="I538" s="1"/>
    </row>
    <row r="539" spans="6:9" x14ac:dyDescent="0.2">
      <c r="F539" s="34"/>
      <c r="I539" s="1"/>
    </row>
    <row r="540" spans="6:9" x14ac:dyDescent="0.2">
      <c r="F540" s="34"/>
      <c r="I540" s="1"/>
    </row>
    <row r="541" spans="6:9" x14ac:dyDescent="0.2">
      <c r="F541" s="34"/>
      <c r="I541" s="1"/>
    </row>
    <row r="542" spans="6:9" x14ac:dyDescent="0.2">
      <c r="F542" s="34"/>
      <c r="I542" s="1"/>
    </row>
    <row r="543" spans="6:9" x14ac:dyDescent="0.2">
      <c r="F543" s="34"/>
      <c r="I543" s="1"/>
    </row>
    <row r="544" spans="6:9" x14ac:dyDescent="0.2">
      <c r="F544" s="34"/>
      <c r="I544" s="1"/>
    </row>
    <row r="545" spans="6:9" x14ac:dyDescent="0.2">
      <c r="F545" s="34"/>
      <c r="I545" s="1"/>
    </row>
    <row r="546" spans="6:9" x14ac:dyDescent="0.2">
      <c r="F546" s="34"/>
      <c r="I546" s="1"/>
    </row>
    <row r="547" spans="6:9" x14ac:dyDescent="0.2">
      <c r="F547" s="34"/>
      <c r="I547" s="1"/>
    </row>
    <row r="548" spans="6:9" x14ac:dyDescent="0.2">
      <c r="F548" s="34"/>
      <c r="I548" s="1"/>
    </row>
    <row r="549" spans="6:9" x14ac:dyDescent="0.2">
      <c r="F549" s="34"/>
      <c r="I549" s="1"/>
    </row>
    <row r="550" spans="6:9" x14ac:dyDescent="0.2">
      <c r="F550" s="34"/>
      <c r="I550" s="1"/>
    </row>
    <row r="551" spans="6:9" x14ac:dyDescent="0.2">
      <c r="F551" s="34"/>
      <c r="I551" s="1"/>
    </row>
    <row r="552" spans="6:9" x14ac:dyDescent="0.2">
      <c r="F552" s="34"/>
      <c r="I552" s="1"/>
    </row>
    <row r="553" spans="6:9" x14ac:dyDescent="0.2">
      <c r="F553" s="34"/>
      <c r="I553" s="1"/>
    </row>
    <row r="554" spans="6:9" x14ac:dyDescent="0.2">
      <c r="F554" s="34"/>
      <c r="I554" s="1"/>
    </row>
    <row r="555" spans="6:9" x14ac:dyDescent="0.2">
      <c r="F555" s="34"/>
      <c r="I555" s="1"/>
    </row>
    <row r="556" spans="6:9" x14ac:dyDescent="0.2">
      <c r="F556" s="34"/>
      <c r="I556" s="1"/>
    </row>
    <row r="557" spans="6:9" x14ac:dyDescent="0.2">
      <c r="F557" s="34"/>
      <c r="I557" s="1"/>
    </row>
    <row r="558" spans="6:9" x14ac:dyDescent="0.2">
      <c r="F558" s="34"/>
      <c r="I558" s="1"/>
    </row>
    <row r="559" spans="6:9" x14ac:dyDescent="0.2">
      <c r="F559" s="34"/>
      <c r="I559" s="1"/>
    </row>
    <row r="560" spans="6:9" x14ac:dyDescent="0.2">
      <c r="F560" s="34"/>
      <c r="I560" s="1"/>
    </row>
    <row r="561" spans="6:9" x14ac:dyDescent="0.2">
      <c r="F561" s="34"/>
      <c r="I561" s="1"/>
    </row>
    <row r="562" spans="6:9" x14ac:dyDescent="0.2">
      <c r="F562" s="34"/>
      <c r="I562" s="1"/>
    </row>
    <row r="563" spans="6:9" x14ac:dyDescent="0.2">
      <c r="F563" s="34"/>
      <c r="I563" s="1"/>
    </row>
    <row r="564" spans="6:9" x14ac:dyDescent="0.2">
      <c r="F564" s="34"/>
      <c r="I564" s="1"/>
    </row>
    <row r="565" spans="6:9" x14ac:dyDescent="0.2">
      <c r="F565" s="34"/>
      <c r="I565" s="1"/>
    </row>
    <row r="566" spans="6:9" x14ac:dyDescent="0.2">
      <c r="F566" s="34"/>
      <c r="I566" s="1"/>
    </row>
    <row r="567" spans="6:9" x14ac:dyDescent="0.2">
      <c r="F567" s="34"/>
      <c r="I567" s="1"/>
    </row>
    <row r="568" spans="6:9" x14ac:dyDescent="0.2">
      <c r="F568" s="34"/>
      <c r="I568" s="1"/>
    </row>
    <row r="569" spans="6:9" x14ac:dyDescent="0.2">
      <c r="F569" s="34"/>
      <c r="I569" s="1"/>
    </row>
    <row r="570" spans="6:9" x14ac:dyDescent="0.2">
      <c r="F570" s="34"/>
      <c r="I570" s="1"/>
    </row>
    <row r="571" spans="6:9" x14ac:dyDescent="0.2">
      <c r="F571" s="34"/>
      <c r="I571" s="1"/>
    </row>
    <row r="572" spans="6:9" x14ac:dyDescent="0.2">
      <c r="F572" s="34"/>
      <c r="I572" s="1"/>
    </row>
    <row r="573" spans="6:9" x14ac:dyDescent="0.2">
      <c r="F573" s="34"/>
      <c r="I573" s="1"/>
    </row>
    <row r="574" spans="6:9" x14ac:dyDescent="0.2">
      <c r="F574" s="34"/>
      <c r="I574" s="1"/>
    </row>
    <row r="575" spans="6:9" x14ac:dyDescent="0.2">
      <c r="F575" s="34"/>
      <c r="I575" s="1"/>
    </row>
    <row r="576" spans="6:9" x14ac:dyDescent="0.2">
      <c r="F576" s="34"/>
      <c r="I576" s="1"/>
    </row>
    <row r="577" spans="6:9" x14ac:dyDescent="0.2">
      <c r="F577" s="34"/>
      <c r="I577" s="1"/>
    </row>
    <row r="578" spans="6:9" x14ac:dyDescent="0.2">
      <c r="F578" s="34"/>
      <c r="I578" s="1"/>
    </row>
    <row r="579" spans="6:9" x14ac:dyDescent="0.2">
      <c r="F579" s="34"/>
      <c r="I579" s="1"/>
    </row>
    <row r="580" spans="6:9" x14ac:dyDescent="0.2">
      <c r="F580" s="34"/>
      <c r="I580" s="1"/>
    </row>
    <row r="581" spans="6:9" x14ac:dyDescent="0.2">
      <c r="F581" s="34"/>
      <c r="I581" s="1"/>
    </row>
    <row r="582" spans="6:9" x14ac:dyDescent="0.2">
      <c r="F582" s="34"/>
      <c r="I582" s="1"/>
    </row>
    <row r="583" spans="6:9" x14ac:dyDescent="0.2">
      <c r="F583" s="34"/>
      <c r="I583" s="1"/>
    </row>
    <row r="584" spans="6:9" x14ac:dyDescent="0.2">
      <c r="F584" s="34"/>
      <c r="I584" s="1"/>
    </row>
    <row r="585" spans="6:9" x14ac:dyDescent="0.2">
      <c r="F585" s="34"/>
      <c r="I585" s="1"/>
    </row>
    <row r="586" spans="6:9" x14ac:dyDescent="0.2">
      <c r="F586" s="34"/>
      <c r="I586" s="1"/>
    </row>
    <row r="587" spans="6:9" x14ac:dyDescent="0.2">
      <c r="F587" s="34"/>
      <c r="I587" s="1"/>
    </row>
    <row r="588" spans="6:9" x14ac:dyDescent="0.2">
      <c r="F588" s="34"/>
      <c r="I588" s="1"/>
    </row>
    <row r="589" spans="6:9" x14ac:dyDescent="0.2">
      <c r="F589" s="34"/>
      <c r="I589" s="1"/>
    </row>
    <row r="590" spans="6:9" x14ac:dyDescent="0.2">
      <c r="F590" s="34"/>
      <c r="I590" s="1"/>
    </row>
    <row r="591" spans="6:9" x14ac:dyDescent="0.2">
      <c r="F591" s="34"/>
      <c r="I591" s="1"/>
    </row>
    <row r="592" spans="6:9" x14ac:dyDescent="0.2">
      <c r="F592" s="34"/>
      <c r="I592" s="1"/>
    </row>
    <row r="593" spans="6:9" x14ac:dyDescent="0.2">
      <c r="F593" s="34"/>
      <c r="I593" s="1"/>
    </row>
    <row r="594" spans="6:9" x14ac:dyDescent="0.2">
      <c r="F594" s="34"/>
      <c r="I594" s="1"/>
    </row>
    <row r="595" spans="6:9" x14ac:dyDescent="0.2">
      <c r="F595" s="34"/>
      <c r="I595" s="1"/>
    </row>
    <row r="596" spans="6:9" x14ac:dyDescent="0.2">
      <c r="F596" s="34"/>
      <c r="I596" s="1"/>
    </row>
    <row r="597" spans="6:9" x14ac:dyDescent="0.2">
      <c r="F597" s="34"/>
      <c r="I597" s="1"/>
    </row>
    <row r="598" spans="6:9" x14ac:dyDescent="0.2">
      <c r="F598" s="34"/>
      <c r="I598" s="1"/>
    </row>
    <row r="599" spans="6:9" x14ac:dyDescent="0.2">
      <c r="F599" s="34"/>
      <c r="I599" s="1"/>
    </row>
    <row r="600" spans="6:9" x14ac:dyDescent="0.2">
      <c r="F600" s="34"/>
      <c r="I600" s="1"/>
    </row>
    <row r="601" spans="6:9" x14ac:dyDescent="0.2">
      <c r="F601" s="34"/>
      <c r="I601" s="1"/>
    </row>
    <row r="602" spans="6:9" x14ac:dyDescent="0.2">
      <c r="F602" s="34"/>
      <c r="I602" s="1"/>
    </row>
    <row r="603" spans="6:9" x14ac:dyDescent="0.2">
      <c r="F603" s="34"/>
      <c r="I603" s="1"/>
    </row>
    <row r="604" spans="6:9" x14ac:dyDescent="0.2">
      <c r="F604" s="34"/>
      <c r="I604" s="1"/>
    </row>
    <row r="605" spans="6:9" x14ac:dyDescent="0.2">
      <c r="F605" s="34"/>
      <c r="I605" s="1"/>
    </row>
    <row r="606" spans="6:9" x14ac:dyDescent="0.2">
      <c r="F606" s="34"/>
      <c r="I606" s="1"/>
    </row>
    <row r="607" spans="6:9" x14ac:dyDescent="0.2">
      <c r="F607" s="34"/>
      <c r="I607" s="1"/>
    </row>
    <row r="608" spans="6:9" x14ac:dyDescent="0.2">
      <c r="F608" s="34"/>
      <c r="I608" s="1"/>
    </row>
    <row r="609" spans="6:9" x14ac:dyDescent="0.2">
      <c r="F609" s="34"/>
      <c r="I609" s="1"/>
    </row>
    <row r="610" spans="6:9" x14ac:dyDescent="0.2">
      <c r="F610" s="34"/>
      <c r="I610" s="1"/>
    </row>
    <row r="611" spans="6:9" x14ac:dyDescent="0.2">
      <c r="F611" s="34"/>
      <c r="I611" s="1"/>
    </row>
    <row r="612" spans="6:9" x14ac:dyDescent="0.2">
      <c r="F612" s="34"/>
      <c r="I612" s="1"/>
    </row>
    <row r="613" spans="6:9" x14ac:dyDescent="0.2">
      <c r="F613" s="34"/>
      <c r="I613" s="1"/>
    </row>
    <row r="614" spans="6:9" x14ac:dyDescent="0.2">
      <c r="F614" s="34"/>
      <c r="I614" s="1"/>
    </row>
    <row r="615" spans="6:9" x14ac:dyDescent="0.2">
      <c r="F615" s="34"/>
      <c r="I615" s="1"/>
    </row>
    <row r="616" spans="6:9" x14ac:dyDescent="0.2">
      <c r="F616" s="34"/>
      <c r="I616" s="1"/>
    </row>
    <row r="617" spans="6:9" x14ac:dyDescent="0.2">
      <c r="F617" s="34"/>
      <c r="I617" s="1"/>
    </row>
    <row r="618" spans="6:9" x14ac:dyDescent="0.2">
      <c r="F618" s="34"/>
      <c r="I618" s="1"/>
    </row>
    <row r="619" spans="6:9" x14ac:dyDescent="0.2">
      <c r="F619" s="34"/>
      <c r="I619" s="1"/>
    </row>
    <row r="620" spans="6:9" x14ac:dyDescent="0.2">
      <c r="F620" s="34"/>
      <c r="I620" s="1"/>
    </row>
    <row r="621" spans="6:9" x14ac:dyDescent="0.2">
      <c r="F621" s="34"/>
      <c r="I621" s="1"/>
    </row>
    <row r="622" spans="6:9" x14ac:dyDescent="0.2">
      <c r="F622" s="34"/>
      <c r="I622" s="1"/>
    </row>
    <row r="623" spans="6:9" x14ac:dyDescent="0.2">
      <c r="F623" s="34"/>
      <c r="I623" s="1"/>
    </row>
    <row r="624" spans="6:9" x14ac:dyDescent="0.2">
      <c r="F624" s="34"/>
      <c r="I624" s="1"/>
    </row>
    <row r="625" spans="6:9" x14ac:dyDescent="0.2">
      <c r="F625" s="34"/>
      <c r="I625" s="1"/>
    </row>
    <row r="626" spans="6:9" x14ac:dyDescent="0.2">
      <c r="F626" s="34"/>
      <c r="I626" s="1"/>
    </row>
    <row r="627" spans="6:9" x14ac:dyDescent="0.2">
      <c r="F627" s="34"/>
      <c r="I627" s="1"/>
    </row>
    <row r="628" spans="6:9" x14ac:dyDescent="0.2">
      <c r="F628" s="34"/>
      <c r="I628" s="1"/>
    </row>
    <row r="629" spans="6:9" x14ac:dyDescent="0.2">
      <c r="F629" s="34"/>
      <c r="I629" s="1"/>
    </row>
    <row r="630" spans="6:9" x14ac:dyDescent="0.2">
      <c r="F630" s="34"/>
      <c r="I630" s="1"/>
    </row>
    <row r="631" spans="6:9" x14ac:dyDescent="0.2">
      <c r="F631" s="34"/>
      <c r="I631" s="1"/>
    </row>
    <row r="632" spans="6:9" x14ac:dyDescent="0.2">
      <c r="F632" s="34"/>
      <c r="I632" s="1"/>
    </row>
    <row r="633" spans="6:9" x14ac:dyDescent="0.2">
      <c r="F633" s="34"/>
      <c r="I633" s="1"/>
    </row>
    <row r="634" spans="6:9" x14ac:dyDescent="0.2">
      <c r="F634" s="34"/>
      <c r="I634" s="1"/>
    </row>
    <row r="635" spans="6:9" x14ac:dyDescent="0.2">
      <c r="F635" s="34"/>
      <c r="I635" s="1"/>
    </row>
    <row r="636" spans="6:9" x14ac:dyDescent="0.2">
      <c r="F636" s="34"/>
      <c r="I636" s="1"/>
    </row>
    <row r="637" spans="6:9" x14ac:dyDescent="0.2">
      <c r="F637" s="34"/>
      <c r="I637" s="1"/>
    </row>
    <row r="638" spans="6:9" x14ac:dyDescent="0.2">
      <c r="F638" s="34"/>
      <c r="I638" s="1"/>
    </row>
    <row r="639" spans="6:9" x14ac:dyDescent="0.2">
      <c r="F639" s="34"/>
      <c r="I639" s="1"/>
    </row>
    <row r="640" spans="6:9" x14ac:dyDescent="0.2">
      <c r="F640" s="34"/>
      <c r="I640" s="1"/>
    </row>
    <row r="641" spans="6:9" x14ac:dyDescent="0.2">
      <c r="F641" s="34"/>
      <c r="I641" s="1"/>
    </row>
    <row r="642" spans="6:9" x14ac:dyDescent="0.2">
      <c r="F642" s="34"/>
      <c r="I642" s="1"/>
    </row>
    <row r="643" spans="6:9" x14ac:dyDescent="0.2">
      <c r="F643" s="34"/>
      <c r="I643" s="1"/>
    </row>
    <row r="644" spans="6:9" x14ac:dyDescent="0.2">
      <c r="F644" s="34"/>
      <c r="I644" s="1"/>
    </row>
    <row r="645" spans="6:9" x14ac:dyDescent="0.2">
      <c r="F645" s="34"/>
      <c r="I645" s="1"/>
    </row>
    <row r="646" spans="6:9" x14ac:dyDescent="0.2">
      <c r="F646" s="34"/>
      <c r="I646" s="1"/>
    </row>
    <row r="647" spans="6:9" x14ac:dyDescent="0.2">
      <c r="F647" s="34"/>
      <c r="I647" s="1"/>
    </row>
    <row r="648" spans="6:9" x14ac:dyDescent="0.2">
      <c r="F648" s="34"/>
      <c r="I648" s="1"/>
    </row>
    <row r="649" spans="6:9" x14ac:dyDescent="0.2">
      <c r="F649" s="34"/>
      <c r="I649" s="1"/>
    </row>
    <row r="650" spans="6:9" x14ac:dyDescent="0.2">
      <c r="F650" s="34"/>
      <c r="I650" s="1"/>
    </row>
    <row r="651" spans="6:9" x14ac:dyDescent="0.2">
      <c r="F651" s="34"/>
      <c r="I651" s="1"/>
    </row>
    <row r="652" spans="6:9" x14ac:dyDescent="0.2">
      <c r="F652" s="34"/>
      <c r="I652" s="1"/>
    </row>
    <row r="653" spans="6:9" x14ac:dyDescent="0.2">
      <c r="F653" s="34"/>
      <c r="I653" s="1"/>
    </row>
    <row r="654" spans="6:9" x14ac:dyDescent="0.2">
      <c r="F654" s="34"/>
      <c r="I654" s="1"/>
    </row>
    <row r="655" spans="6:9" x14ac:dyDescent="0.2">
      <c r="F655" s="34"/>
      <c r="I655" s="1"/>
    </row>
    <row r="656" spans="6:9" x14ac:dyDescent="0.2">
      <c r="F656" s="34"/>
      <c r="I656" s="1"/>
    </row>
    <row r="657" spans="6:9" x14ac:dyDescent="0.2">
      <c r="F657" s="34"/>
      <c r="I657" s="1"/>
    </row>
    <row r="658" spans="6:9" x14ac:dyDescent="0.2">
      <c r="F658" s="34"/>
      <c r="I658" s="1"/>
    </row>
    <row r="659" spans="6:9" x14ac:dyDescent="0.2">
      <c r="F659" s="34"/>
      <c r="I659" s="1"/>
    </row>
    <row r="660" spans="6:9" x14ac:dyDescent="0.2">
      <c r="F660" s="34"/>
      <c r="I660" s="1"/>
    </row>
    <row r="661" spans="6:9" x14ac:dyDescent="0.2">
      <c r="F661" s="34"/>
      <c r="I661" s="1"/>
    </row>
    <row r="662" spans="6:9" x14ac:dyDescent="0.2">
      <c r="F662" s="34"/>
      <c r="I662" s="1"/>
    </row>
    <row r="663" spans="6:9" x14ac:dyDescent="0.2">
      <c r="F663" s="34"/>
      <c r="I663" s="1"/>
    </row>
    <row r="664" spans="6:9" x14ac:dyDescent="0.2">
      <c r="F664" s="34"/>
      <c r="I664" s="1"/>
    </row>
    <row r="665" spans="6:9" x14ac:dyDescent="0.2">
      <c r="F665" s="34"/>
      <c r="I665" s="1"/>
    </row>
    <row r="666" spans="6:9" x14ac:dyDescent="0.2">
      <c r="F666" s="34"/>
      <c r="I666" s="1"/>
    </row>
    <row r="667" spans="6:9" x14ac:dyDescent="0.2">
      <c r="F667" s="34"/>
      <c r="I667" s="1"/>
    </row>
    <row r="668" spans="6:9" x14ac:dyDescent="0.2">
      <c r="F668" s="34"/>
      <c r="I668" s="1"/>
    </row>
    <row r="669" spans="6:9" x14ac:dyDescent="0.2">
      <c r="F669" s="34"/>
      <c r="I669" s="1"/>
    </row>
    <row r="670" spans="6:9" x14ac:dyDescent="0.2">
      <c r="F670" s="34"/>
      <c r="I670" s="1"/>
    </row>
    <row r="671" spans="6:9" x14ac:dyDescent="0.2">
      <c r="F671" s="34"/>
      <c r="I671" s="1"/>
    </row>
    <row r="672" spans="6:9" x14ac:dyDescent="0.2">
      <c r="F672" s="34"/>
      <c r="I672" s="1"/>
    </row>
    <row r="673" spans="6:9" x14ac:dyDescent="0.2">
      <c r="F673" s="34"/>
      <c r="I673" s="1"/>
    </row>
    <row r="674" spans="6:9" x14ac:dyDescent="0.2">
      <c r="F674" s="34"/>
      <c r="I674" s="1"/>
    </row>
    <row r="675" spans="6:9" x14ac:dyDescent="0.2">
      <c r="F675" s="34"/>
      <c r="I675" s="1"/>
    </row>
    <row r="676" spans="6:9" x14ac:dyDescent="0.2">
      <c r="F676" s="34"/>
      <c r="I676" s="1"/>
    </row>
    <row r="677" spans="6:9" x14ac:dyDescent="0.2">
      <c r="F677" s="34"/>
      <c r="I677" s="1"/>
    </row>
    <row r="678" spans="6:9" x14ac:dyDescent="0.2">
      <c r="F678" s="34"/>
      <c r="I678" s="1"/>
    </row>
    <row r="679" spans="6:9" x14ac:dyDescent="0.2">
      <c r="F679" s="34"/>
      <c r="I679" s="1"/>
    </row>
    <row r="680" spans="6:9" x14ac:dyDescent="0.2">
      <c r="F680" s="34"/>
      <c r="I680" s="1"/>
    </row>
    <row r="681" spans="6:9" x14ac:dyDescent="0.2">
      <c r="F681" s="34"/>
      <c r="I681" s="1"/>
    </row>
    <row r="682" spans="6:9" x14ac:dyDescent="0.2">
      <c r="F682" s="34"/>
      <c r="I682" s="1"/>
    </row>
    <row r="683" spans="6:9" x14ac:dyDescent="0.2">
      <c r="F683" s="34"/>
      <c r="I683" s="1"/>
    </row>
    <row r="684" spans="6:9" x14ac:dyDescent="0.2">
      <c r="F684" s="34"/>
      <c r="I684" s="1"/>
    </row>
    <row r="685" spans="6:9" x14ac:dyDescent="0.2">
      <c r="F685" s="34"/>
      <c r="I685" s="1"/>
    </row>
    <row r="686" spans="6:9" x14ac:dyDescent="0.2">
      <c r="F686" s="34"/>
      <c r="I686" s="1"/>
    </row>
    <row r="687" spans="6:9" x14ac:dyDescent="0.2">
      <c r="F687" s="34"/>
      <c r="I687" s="1"/>
    </row>
    <row r="688" spans="6:9" x14ac:dyDescent="0.2">
      <c r="F688" s="34"/>
      <c r="I688" s="1"/>
    </row>
    <row r="689" spans="6:9" x14ac:dyDescent="0.2">
      <c r="F689" s="34"/>
      <c r="I689" s="1"/>
    </row>
    <row r="690" spans="6:9" x14ac:dyDescent="0.2">
      <c r="F690" s="34"/>
      <c r="I690" s="1"/>
    </row>
    <row r="691" spans="6:9" x14ac:dyDescent="0.2">
      <c r="F691" s="34"/>
      <c r="I691" s="1"/>
    </row>
    <row r="692" spans="6:9" x14ac:dyDescent="0.2">
      <c r="F692" s="34"/>
      <c r="I692" s="1"/>
    </row>
    <row r="693" spans="6:9" x14ac:dyDescent="0.2">
      <c r="F693" s="34"/>
      <c r="I693" s="1"/>
    </row>
    <row r="694" spans="6:9" x14ac:dyDescent="0.2">
      <c r="F694" s="34"/>
      <c r="I694" s="1"/>
    </row>
    <row r="695" spans="6:9" x14ac:dyDescent="0.2">
      <c r="F695" s="34"/>
      <c r="I695" s="1"/>
    </row>
    <row r="696" spans="6:9" x14ac:dyDescent="0.2">
      <c r="F696" s="34"/>
      <c r="I696" s="1"/>
    </row>
    <row r="697" spans="6:9" x14ac:dyDescent="0.2">
      <c r="F697" s="34"/>
      <c r="I697" s="1"/>
    </row>
    <row r="698" spans="6:9" x14ac:dyDescent="0.2">
      <c r="F698" s="34"/>
      <c r="I698" s="1"/>
    </row>
    <row r="699" spans="6:9" x14ac:dyDescent="0.2">
      <c r="F699" s="34"/>
      <c r="I699" s="1"/>
    </row>
    <row r="700" spans="6:9" x14ac:dyDescent="0.2">
      <c r="F700" s="34"/>
      <c r="I700" s="1"/>
    </row>
    <row r="701" spans="6:9" x14ac:dyDescent="0.2">
      <c r="F701" s="34"/>
      <c r="I701" s="1"/>
    </row>
    <row r="702" spans="6:9" x14ac:dyDescent="0.2">
      <c r="F702" s="34"/>
      <c r="I702" s="1"/>
    </row>
    <row r="703" spans="6:9" x14ac:dyDescent="0.2">
      <c r="F703" s="34"/>
      <c r="I703" s="1"/>
    </row>
    <row r="704" spans="6:9" x14ac:dyDescent="0.2">
      <c r="F704" s="34"/>
      <c r="I704" s="1"/>
    </row>
    <row r="705" spans="6:9" x14ac:dyDescent="0.2">
      <c r="F705" s="34"/>
      <c r="I705" s="1"/>
    </row>
    <row r="706" spans="6:9" x14ac:dyDescent="0.2">
      <c r="F706" s="34"/>
      <c r="I706" s="1"/>
    </row>
    <row r="707" spans="6:9" x14ac:dyDescent="0.2">
      <c r="F707" s="34"/>
      <c r="I707" s="1"/>
    </row>
    <row r="708" spans="6:9" x14ac:dyDescent="0.2">
      <c r="F708" s="34"/>
      <c r="I708" s="1"/>
    </row>
    <row r="709" spans="6:9" x14ac:dyDescent="0.2">
      <c r="F709" s="34"/>
      <c r="I709" s="1"/>
    </row>
    <row r="710" spans="6:9" x14ac:dyDescent="0.2">
      <c r="F710" s="34"/>
      <c r="I710" s="1"/>
    </row>
    <row r="711" spans="6:9" x14ac:dyDescent="0.2">
      <c r="F711" s="34"/>
      <c r="I711" s="1"/>
    </row>
    <row r="712" spans="6:9" x14ac:dyDescent="0.2">
      <c r="F712" s="34"/>
      <c r="I712" s="1"/>
    </row>
    <row r="713" spans="6:9" x14ac:dyDescent="0.2">
      <c r="F713" s="34"/>
      <c r="I713" s="1"/>
    </row>
    <row r="714" spans="6:9" x14ac:dyDescent="0.2">
      <c r="F714" s="34"/>
      <c r="I714" s="1"/>
    </row>
    <row r="715" spans="6:9" x14ac:dyDescent="0.2">
      <c r="F715" s="34"/>
      <c r="I715" s="1"/>
    </row>
    <row r="716" spans="6:9" x14ac:dyDescent="0.2">
      <c r="F716" s="34"/>
      <c r="I716" s="1"/>
    </row>
    <row r="717" spans="6:9" x14ac:dyDescent="0.2">
      <c r="F717" s="34"/>
      <c r="I717" s="1"/>
    </row>
    <row r="718" spans="6:9" x14ac:dyDescent="0.2">
      <c r="F718" s="34"/>
      <c r="I718" s="1"/>
    </row>
    <row r="719" spans="6:9" x14ac:dyDescent="0.2">
      <c r="F719" s="34"/>
      <c r="I719" s="1"/>
    </row>
    <row r="720" spans="6:9" x14ac:dyDescent="0.2">
      <c r="F720" s="34"/>
      <c r="I720" s="1"/>
    </row>
    <row r="721" spans="6:9" x14ac:dyDescent="0.2">
      <c r="F721" s="34"/>
      <c r="I721" s="1"/>
    </row>
    <row r="722" spans="6:9" x14ac:dyDescent="0.2">
      <c r="F722" s="34"/>
      <c r="I722" s="1"/>
    </row>
    <row r="723" spans="6:9" x14ac:dyDescent="0.2">
      <c r="F723" s="34"/>
      <c r="I723" s="1"/>
    </row>
    <row r="724" spans="6:9" x14ac:dyDescent="0.2">
      <c r="F724" s="34"/>
      <c r="I724" s="1"/>
    </row>
    <row r="725" spans="6:9" x14ac:dyDescent="0.2">
      <c r="F725" s="34"/>
      <c r="I725" s="1"/>
    </row>
    <row r="726" spans="6:9" x14ac:dyDescent="0.2">
      <c r="F726" s="34"/>
      <c r="I726" s="1"/>
    </row>
    <row r="727" spans="6:9" x14ac:dyDescent="0.2">
      <c r="F727" s="34"/>
      <c r="I727" s="1"/>
    </row>
    <row r="728" spans="6:9" x14ac:dyDescent="0.2">
      <c r="F728" s="34"/>
      <c r="I728" s="1"/>
    </row>
    <row r="729" spans="6:9" x14ac:dyDescent="0.2">
      <c r="F729" s="34"/>
      <c r="I729" s="1"/>
    </row>
    <row r="730" spans="6:9" x14ac:dyDescent="0.2">
      <c r="F730" s="34"/>
      <c r="I730" s="1"/>
    </row>
    <row r="731" spans="6:9" x14ac:dyDescent="0.2">
      <c r="F731" s="34"/>
      <c r="I731" s="1"/>
    </row>
    <row r="732" spans="6:9" x14ac:dyDescent="0.2">
      <c r="F732" s="34"/>
      <c r="I732" s="1"/>
    </row>
    <row r="733" spans="6:9" x14ac:dyDescent="0.2">
      <c r="F733" s="34"/>
      <c r="I733" s="1"/>
    </row>
    <row r="734" spans="6:9" x14ac:dyDescent="0.2">
      <c r="F734" s="34"/>
      <c r="I734" s="1"/>
    </row>
    <row r="735" spans="6:9" x14ac:dyDescent="0.2">
      <c r="F735" s="34"/>
      <c r="I735" s="1"/>
    </row>
    <row r="736" spans="6:9" x14ac:dyDescent="0.2">
      <c r="F736" s="34"/>
      <c r="I736" s="1"/>
    </row>
    <row r="737" spans="6:9" x14ac:dyDescent="0.2">
      <c r="F737" s="34"/>
      <c r="I737" s="1"/>
    </row>
    <row r="738" spans="6:9" x14ac:dyDescent="0.2">
      <c r="F738" s="34"/>
      <c r="I738" s="1"/>
    </row>
    <row r="739" spans="6:9" x14ac:dyDescent="0.2">
      <c r="F739" s="34"/>
      <c r="I739" s="1"/>
    </row>
    <row r="740" spans="6:9" x14ac:dyDescent="0.2">
      <c r="F740" s="34"/>
      <c r="I740" s="1"/>
    </row>
    <row r="741" spans="6:9" x14ac:dyDescent="0.2">
      <c r="F741" s="34"/>
      <c r="I741" s="1"/>
    </row>
    <row r="742" spans="6:9" x14ac:dyDescent="0.2">
      <c r="F742" s="34"/>
      <c r="I742" s="1"/>
    </row>
    <row r="743" spans="6:9" x14ac:dyDescent="0.2">
      <c r="F743" s="34"/>
      <c r="I743" s="1"/>
    </row>
    <row r="744" spans="6:9" x14ac:dyDescent="0.2">
      <c r="F744" s="34"/>
      <c r="I744" s="1"/>
    </row>
    <row r="745" spans="6:9" x14ac:dyDescent="0.2">
      <c r="F745" s="34"/>
      <c r="I745" s="1"/>
    </row>
    <row r="746" spans="6:9" x14ac:dyDescent="0.2">
      <c r="F746" s="34"/>
      <c r="I746" s="1"/>
    </row>
    <row r="747" spans="6:9" x14ac:dyDescent="0.2">
      <c r="F747" s="34"/>
      <c r="I747" s="1"/>
    </row>
    <row r="748" spans="6:9" x14ac:dyDescent="0.2">
      <c r="F748" s="34"/>
      <c r="I748" s="1"/>
    </row>
    <row r="749" spans="6:9" x14ac:dyDescent="0.2">
      <c r="F749" s="34"/>
      <c r="I749" s="1"/>
    </row>
    <row r="750" spans="6:9" x14ac:dyDescent="0.2">
      <c r="F750" s="34"/>
      <c r="I750" s="1"/>
    </row>
    <row r="751" spans="6:9" x14ac:dyDescent="0.2">
      <c r="F751" s="34"/>
      <c r="I751" s="1"/>
    </row>
    <row r="752" spans="6:9" x14ac:dyDescent="0.2">
      <c r="F752" s="34"/>
      <c r="I752" s="1"/>
    </row>
    <row r="753" spans="6:9" x14ac:dyDescent="0.2">
      <c r="F753" s="34"/>
      <c r="I753" s="1"/>
    </row>
    <row r="754" spans="6:9" x14ac:dyDescent="0.2">
      <c r="F754" s="34"/>
      <c r="I754" s="1"/>
    </row>
    <row r="755" spans="6:9" x14ac:dyDescent="0.2">
      <c r="F755" s="34"/>
      <c r="I755" s="1"/>
    </row>
    <row r="756" spans="6:9" x14ac:dyDescent="0.2">
      <c r="F756" s="34"/>
      <c r="I756" s="1"/>
    </row>
    <row r="757" spans="6:9" x14ac:dyDescent="0.2">
      <c r="F757" s="34"/>
      <c r="I757" s="1"/>
    </row>
    <row r="758" spans="6:9" x14ac:dyDescent="0.2">
      <c r="F758" s="34"/>
      <c r="I758" s="1"/>
    </row>
    <row r="759" spans="6:9" x14ac:dyDescent="0.2">
      <c r="F759" s="34"/>
      <c r="I759" s="1"/>
    </row>
    <row r="760" spans="6:9" x14ac:dyDescent="0.2">
      <c r="F760" s="34"/>
      <c r="I760" s="1"/>
    </row>
    <row r="761" spans="6:9" x14ac:dyDescent="0.2">
      <c r="F761" s="34"/>
      <c r="I761" s="1"/>
    </row>
    <row r="762" spans="6:9" x14ac:dyDescent="0.2">
      <c r="F762" s="34"/>
      <c r="I762" s="1"/>
    </row>
    <row r="763" spans="6:9" x14ac:dyDescent="0.2">
      <c r="F763" s="34"/>
      <c r="I763" s="1"/>
    </row>
    <row r="764" spans="6:9" x14ac:dyDescent="0.2">
      <c r="F764" s="34"/>
      <c r="I764" s="1"/>
    </row>
    <row r="765" spans="6:9" x14ac:dyDescent="0.2">
      <c r="F765" s="34"/>
      <c r="I765" s="1"/>
    </row>
    <row r="766" spans="6:9" x14ac:dyDescent="0.2">
      <c r="F766" s="34"/>
      <c r="I766" s="1"/>
    </row>
    <row r="767" spans="6:9" x14ac:dyDescent="0.2">
      <c r="F767" s="34"/>
      <c r="I767" s="1"/>
    </row>
    <row r="768" spans="6:9" x14ac:dyDescent="0.2">
      <c r="F768" s="34"/>
      <c r="I768" s="1"/>
    </row>
    <row r="769" spans="6:9" x14ac:dyDescent="0.2">
      <c r="F769" s="34"/>
      <c r="I769" s="1"/>
    </row>
    <row r="770" spans="6:9" x14ac:dyDescent="0.2">
      <c r="F770" s="34"/>
      <c r="I770" s="1"/>
    </row>
    <row r="771" spans="6:9" x14ac:dyDescent="0.2">
      <c r="F771" s="34"/>
      <c r="I771" s="1"/>
    </row>
    <row r="772" spans="6:9" x14ac:dyDescent="0.2">
      <c r="F772" s="34"/>
      <c r="I772" s="1"/>
    </row>
    <row r="773" spans="6:9" x14ac:dyDescent="0.2">
      <c r="F773" s="34"/>
      <c r="I773" s="1"/>
    </row>
    <row r="774" spans="6:9" x14ac:dyDescent="0.2">
      <c r="F774" s="34"/>
      <c r="I774" s="1"/>
    </row>
    <row r="775" spans="6:9" x14ac:dyDescent="0.2">
      <c r="F775" s="34"/>
      <c r="I775" s="1"/>
    </row>
    <row r="776" spans="6:9" x14ac:dyDescent="0.2">
      <c r="F776" s="34"/>
      <c r="I776" s="1"/>
    </row>
    <row r="777" spans="6:9" x14ac:dyDescent="0.2">
      <c r="F777" s="34"/>
      <c r="I777" s="1"/>
    </row>
    <row r="778" spans="6:9" x14ac:dyDescent="0.2">
      <c r="F778" s="34"/>
      <c r="I778" s="1"/>
    </row>
    <row r="779" spans="6:9" x14ac:dyDescent="0.2">
      <c r="F779" s="34"/>
      <c r="I779" s="1"/>
    </row>
    <row r="780" spans="6:9" x14ac:dyDescent="0.2">
      <c r="F780" s="34"/>
      <c r="I780" s="1"/>
    </row>
    <row r="781" spans="6:9" x14ac:dyDescent="0.2">
      <c r="F781" s="34"/>
      <c r="I781" s="1"/>
    </row>
    <row r="782" spans="6:9" x14ac:dyDescent="0.2">
      <c r="F782" s="34"/>
      <c r="I782" s="1"/>
    </row>
    <row r="783" spans="6:9" x14ac:dyDescent="0.2">
      <c r="F783" s="34"/>
      <c r="I783" s="1"/>
    </row>
    <row r="784" spans="6:9" x14ac:dyDescent="0.2">
      <c r="F784" s="34"/>
      <c r="I784" s="1"/>
    </row>
    <row r="785" spans="6:9" x14ac:dyDescent="0.2">
      <c r="F785" s="34"/>
      <c r="I785" s="1"/>
    </row>
    <row r="786" spans="6:9" x14ac:dyDescent="0.2">
      <c r="F786" s="34"/>
      <c r="I786" s="1"/>
    </row>
    <row r="787" spans="6:9" x14ac:dyDescent="0.2">
      <c r="F787" s="34"/>
      <c r="I787" s="1"/>
    </row>
    <row r="788" spans="6:9" x14ac:dyDescent="0.2">
      <c r="F788" s="34"/>
      <c r="I788" s="1"/>
    </row>
    <row r="789" spans="6:9" x14ac:dyDescent="0.2">
      <c r="F789" s="34"/>
      <c r="I789" s="1"/>
    </row>
    <row r="790" spans="6:9" x14ac:dyDescent="0.2">
      <c r="F790" s="34"/>
      <c r="I790" s="1"/>
    </row>
    <row r="791" spans="6:9" x14ac:dyDescent="0.2">
      <c r="F791" s="34"/>
      <c r="I791" s="1"/>
    </row>
    <row r="792" spans="6:9" x14ac:dyDescent="0.2">
      <c r="F792" s="34"/>
      <c r="I792" s="1"/>
    </row>
    <row r="793" spans="6:9" x14ac:dyDescent="0.2">
      <c r="F793" s="34"/>
      <c r="I793" s="1"/>
    </row>
    <row r="794" spans="6:9" x14ac:dyDescent="0.2">
      <c r="F794" s="34"/>
      <c r="I794" s="1"/>
    </row>
    <row r="795" spans="6:9" x14ac:dyDescent="0.2">
      <c r="F795" s="34"/>
      <c r="I795" s="1"/>
    </row>
    <row r="796" spans="6:9" x14ac:dyDescent="0.2">
      <c r="F796" s="34"/>
      <c r="I796" s="1"/>
    </row>
    <row r="797" spans="6:9" x14ac:dyDescent="0.2">
      <c r="F797" s="34"/>
      <c r="I797" s="1"/>
    </row>
    <row r="798" spans="6:9" x14ac:dyDescent="0.2">
      <c r="F798" s="34"/>
      <c r="I798" s="1"/>
    </row>
    <row r="799" spans="6:9" x14ac:dyDescent="0.2">
      <c r="F799" s="34"/>
      <c r="I799" s="1"/>
    </row>
    <row r="800" spans="6:9" x14ac:dyDescent="0.2">
      <c r="F800" s="34"/>
      <c r="I800" s="1"/>
    </row>
    <row r="801" spans="6:9" x14ac:dyDescent="0.2">
      <c r="F801" s="34"/>
      <c r="I801" s="1"/>
    </row>
    <row r="802" spans="6:9" x14ac:dyDescent="0.2">
      <c r="F802" s="34"/>
      <c r="I802" s="1"/>
    </row>
    <row r="803" spans="6:9" x14ac:dyDescent="0.2">
      <c r="F803" s="34"/>
      <c r="I803" s="1"/>
    </row>
    <row r="804" spans="6:9" x14ac:dyDescent="0.2">
      <c r="F804" s="34"/>
      <c r="I804" s="1"/>
    </row>
    <row r="805" spans="6:9" x14ac:dyDescent="0.2">
      <c r="F805" s="34"/>
      <c r="I805" s="1"/>
    </row>
    <row r="806" spans="6:9" x14ac:dyDescent="0.2">
      <c r="F806" s="34"/>
      <c r="I806" s="1"/>
    </row>
    <row r="807" spans="6:9" x14ac:dyDescent="0.2">
      <c r="F807" s="34"/>
      <c r="I807" s="1"/>
    </row>
    <row r="808" spans="6:9" x14ac:dyDescent="0.2">
      <c r="F808" s="34"/>
      <c r="I808" s="1"/>
    </row>
    <row r="809" spans="6:9" x14ac:dyDescent="0.2">
      <c r="F809" s="34"/>
      <c r="I809" s="1"/>
    </row>
    <row r="810" spans="6:9" x14ac:dyDescent="0.2">
      <c r="F810" s="34"/>
      <c r="I810" s="1"/>
    </row>
    <row r="811" spans="6:9" x14ac:dyDescent="0.2">
      <c r="F811" s="34"/>
      <c r="I811" s="1"/>
    </row>
    <row r="812" spans="6:9" x14ac:dyDescent="0.2">
      <c r="F812" s="34"/>
      <c r="I812" s="1"/>
    </row>
    <row r="813" spans="6:9" x14ac:dyDescent="0.2">
      <c r="F813" s="34"/>
      <c r="I813" s="1"/>
    </row>
    <row r="814" spans="6:9" x14ac:dyDescent="0.2">
      <c r="F814" s="34"/>
      <c r="I814" s="1"/>
    </row>
    <row r="815" spans="6:9" x14ac:dyDescent="0.2">
      <c r="F815" s="34"/>
      <c r="I815" s="1"/>
    </row>
    <row r="816" spans="6:9" x14ac:dyDescent="0.2">
      <c r="F816" s="34"/>
      <c r="I816" s="1"/>
    </row>
    <row r="817" spans="6:9" x14ac:dyDescent="0.2">
      <c r="F817" s="34"/>
      <c r="I817" s="1"/>
    </row>
    <row r="818" spans="6:9" x14ac:dyDescent="0.2">
      <c r="F818" s="34"/>
      <c r="I818" s="1"/>
    </row>
    <row r="819" spans="6:9" x14ac:dyDescent="0.2">
      <c r="F819" s="34"/>
      <c r="I819" s="1"/>
    </row>
    <row r="820" spans="6:9" x14ac:dyDescent="0.2">
      <c r="F820" s="34"/>
      <c r="I820" s="1"/>
    </row>
    <row r="821" spans="6:9" x14ac:dyDescent="0.2">
      <c r="F821" s="34"/>
      <c r="I821" s="1"/>
    </row>
    <row r="822" spans="6:9" x14ac:dyDescent="0.2">
      <c r="F822" s="34"/>
      <c r="I822" s="1"/>
    </row>
    <row r="823" spans="6:9" x14ac:dyDescent="0.2">
      <c r="F823" s="34"/>
      <c r="I823" s="1"/>
    </row>
    <row r="824" spans="6:9" x14ac:dyDescent="0.2">
      <c r="F824" s="34"/>
      <c r="I824" s="1"/>
    </row>
    <row r="825" spans="6:9" x14ac:dyDescent="0.2">
      <c r="F825" s="34"/>
      <c r="I825" s="1"/>
    </row>
    <row r="826" spans="6:9" x14ac:dyDescent="0.2">
      <c r="F826" s="34"/>
      <c r="I826" s="1"/>
    </row>
    <row r="827" spans="6:9" x14ac:dyDescent="0.2">
      <c r="F827" s="34"/>
      <c r="I827" s="1"/>
    </row>
    <row r="828" spans="6:9" x14ac:dyDescent="0.2">
      <c r="F828" s="34"/>
      <c r="I828" s="1"/>
    </row>
    <row r="829" spans="6:9" x14ac:dyDescent="0.2">
      <c r="F829" s="34"/>
      <c r="I829" s="1"/>
    </row>
    <row r="830" spans="6:9" x14ac:dyDescent="0.2">
      <c r="F830" s="34"/>
      <c r="I830" s="1"/>
    </row>
    <row r="831" spans="6:9" x14ac:dyDescent="0.2">
      <c r="F831" s="34"/>
      <c r="I831" s="1"/>
    </row>
    <row r="832" spans="6:9" x14ac:dyDescent="0.2">
      <c r="F832" s="34"/>
      <c r="I832" s="1"/>
    </row>
    <row r="833" spans="6:9" x14ac:dyDescent="0.2">
      <c r="F833" s="34"/>
      <c r="I833" s="1"/>
    </row>
    <row r="834" spans="6:9" x14ac:dyDescent="0.2">
      <c r="F834" s="34"/>
      <c r="I834" s="1"/>
    </row>
    <row r="835" spans="6:9" x14ac:dyDescent="0.2">
      <c r="F835" s="34"/>
      <c r="I835" s="1"/>
    </row>
    <row r="836" spans="6:9" x14ac:dyDescent="0.2">
      <c r="F836" s="34"/>
      <c r="I836" s="1"/>
    </row>
    <row r="837" spans="6:9" x14ac:dyDescent="0.2">
      <c r="F837" s="34"/>
      <c r="I837" s="1"/>
    </row>
    <row r="838" spans="6:9" x14ac:dyDescent="0.2">
      <c r="F838" s="34"/>
      <c r="I838" s="1"/>
    </row>
    <row r="839" spans="6:9" x14ac:dyDescent="0.2">
      <c r="F839" s="34"/>
      <c r="I839" s="1"/>
    </row>
    <row r="840" spans="6:9" x14ac:dyDescent="0.2">
      <c r="F840" s="34"/>
      <c r="I840" s="1"/>
    </row>
    <row r="841" spans="6:9" x14ac:dyDescent="0.2">
      <c r="F841" s="34"/>
      <c r="I841" s="1"/>
    </row>
    <row r="842" spans="6:9" x14ac:dyDescent="0.2">
      <c r="F842" s="34"/>
      <c r="I842" s="1"/>
    </row>
    <row r="843" spans="6:9" x14ac:dyDescent="0.2">
      <c r="F843" s="34"/>
      <c r="I843" s="1"/>
    </row>
    <row r="844" spans="6:9" x14ac:dyDescent="0.2">
      <c r="F844" s="34"/>
      <c r="I844" s="1"/>
    </row>
    <row r="845" spans="6:9" x14ac:dyDescent="0.2">
      <c r="F845" s="34"/>
      <c r="I845" s="1"/>
    </row>
    <row r="846" spans="6:9" x14ac:dyDescent="0.2">
      <c r="F846" s="34"/>
      <c r="I846" s="1"/>
    </row>
    <row r="847" spans="6:9" x14ac:dyDescent="0.2">
      <c r="F847" s="34"/>
      <c r="I847" s="1"/>
    </row>
    <row r="848" spans="6:9" x14ac:dyDescent="0.2">
      <c r="F848" s="34"/>
      <c r="I848" s="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calcularDashboardOrdenes">
                <anchor moveWithCells="1" sizeWithCells="1">
                  <from>
                    <xdr:col>9</xdr:col>
                    <xdr:colOff>0</xdr:colOff>
                    <xdr:row>1</xdr:row>
                    <xdr:rowOff>215900</xdr:rowOff>
                  </from>
                  <to>
                    <xdr:col>10</xdr:col>
                    <xdr:colOff>0</xdr:colOff>
                    <xdr:row>3</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A010F8-A58A-1642-BF23-85C99581B354}">
  <dimension ref="A1:N831"/>
  <sheetViews>
    <sheetView zoomScale="215" workbookViewId="0">
      <selection sqref="A1:N831"/>
    </sheetView>
  </sheetViews>
  <sheetFormatPr baseColWidth="10" defaultRowHeight="16" x14ac:dyDescent="0.2"/>
  <cols>
    <col min="2" max="2" width="11.33203125" customWidth="1"/>
    <col min="3" max="3" width="11.6640625" customWidth="1"/>
    <col min="5" max="5" width="12.6640625" customWidth="1"/>
    <col min="6" max="6" width="12.33203125" customWidth="1"/>
    <col min="7" max="7" width="10.1640625" customWidth="1"/>
    <col min="8" max="8" width="9.33203125" bestFit="1" customWidth="1"/>
    <col min="9" max="9" width="29.83203125" bestFit="1" customWidth="1"/>
    <col min="10" max="10" width="39.33203125" bestFit="1" customWidth="1"/>
    <col min="11" max="11" width="12.6640625" bestFit="1" customWidth="1"/>
    <col min="12" max="12" width="12.83203125" bestFit="1" customWidth="1"/>
    <col min="13" max="13" width="14.83203125" customWidth="1"/>
    <col min="14" max="14" width="12" customWidth="1"/>
  </cols>
  <sheetData>
    <row r="1" spans="1:14" x14ac:dyDescent="0.2">
      <c r="A1" t="s">
        <v>0</v>
      </c>
      <c r="B1" t="s">
        <v>1</v>
      </c>
      <c r="C1" t="s">
        <v>2</v>
      </c>
      <c r="D1" t="s">
        <v>3</v>
      </c>
      <c r="E1" t="s">
        <v>4</v>
      </c>
      <c r="F1" t="s">
        <v>5</v>
      </c>
      <c r="G1" t="s">
        <v>6</v>
      </c>
      <c r="H1" t="s">
        <v>7</v>
      </c>
      <c r="I1" t="s">
        <v>8</v>
      </c>
      <c r="J1" t="s">
        <v>9</v>
      </c>
      <c r="K1" t="s">
        <v>10</v>
      </c>
      <c r="L1" t="s">
        <v>11</v>
      </c>
      <c r="M1" t="s">
        <v>12</v>
      </c>
      <c r="N1" t="s">
        <v>13</v>
      </c>
    </row>
    <row r="2" spans="1:14" x14ac:dyDescent="0.2">
      <c r="A2">
        <v>10248</v>
      </c>
      <c r="B2" t="s">
        <v>14</v>
      </c>
      <c r="C2">
        <v>5</v>
      </c>
      <c r="D2" s="1">
        <v>35250</v>
      </c>
      <c r="E2" s="1">
        <v>35278</v>
      </c>
      <c r="F2" s="1">
        <v>35262</v>
      </c>
      <c r="G2">
        <v>3</v>
      </c>
      <c r="H2" s="2">
        <v>32.380000000000003</v>
      </c>
      <c r="I2" t="s">
        <v>15</v>
      </c>
      <c r="J2" t="s">
        <v>16</v>
      </c>
      <c r="K2" t="s">
        <v>17</v>
      </c>
      <c r="L2" t="s">
        <v>18</v>
      </c>
      <c r="M2">
        <v>51100</v>
      </c>
      <c r="N2" t="s">
        <v>19</v>
      </c>
    </row>
    <row r="3" spans="1:14" x14ac:dyDescent="0.2">
      <c r="A3">
        <v>10249</v>
      </c>
      <c r="B3" t="s">
        <v>20</v>
      </c>
      <c r="C3">
        <v>6</v>
      </c>
      <c r="D3" s="1">
        <v>35251</v>
      </c>
      <c r="E3" s="1">
        <v>35293</v>
      </c>
      <c r="F3" s="1">
        <v>35256</v>
      </c>
      <c r="G3">
        <v>1</v>
      </c>
      <c r="H3" s="2">
        <v>11.61</v>
      </c>
      <c r="I3" t="s">
        <v>21</v>
      </c>
      <c r="J3" t="s">
        <v>22</v>
      </c>
      <c r="K3" t="s">
        <v>23</v>
      </c>
      <c r="L3" t="s">
        <v>18</v>
      </c>
      <c r="M3">
        <v>44087</v>
      </c>
      <c r="N3" t="s">
        <v>24</v>
      </c>
    </row>
    <row r="4" spans="1:14" x14ac:dyDescent="0.2">
      <c r="A4">
        <v>10250</v>
      </c>
      <c r="B4" t="s">
        <v>25</v>
      </c>
      <c r="C4">
        <v>4</v>
      </c>
      <c r="D4" s="1">
        <v>35254</v>
      </c>
      <c r="E4" s="1">
        <v>35282</v>
      </c>
      <c r="F4" s="1">
        <v>35258</v>
      </c>
      <c r="G4">
        <v>2</v>
      </c>
      <c r="H4" s="2">
        <v>65.83</v>
      </c>
      <c r="I4" t="s">
        <v>26</v>
      </c>
      <c r="J4" t="s">
        <v>27</v>
      </c>
      <c r="K4" t="s">
        <v>28</v>
      </c>
      <c r="L4" t="s">
        <v>29</v>
      </c>
      <c r="M4" t="s">
        <v>30</v>
      </c>
      <c r="N4" t="s">
        <v>31</v>
      </c>
    </row>
    <row r="5" spans="1:14" x14ac:dyDescent="0.2">
      <c r="A5">
        <v>10251</v>
      </c>
      <c r="B5" t="s">
        <v>32</v>
      </c>
      <c r="C5">
        <v>3</v>
      </c>
      <c r="D5" s="1">
        <v>35254</v>
      </c>
      <c r="E5" s="1">
        <v>35282</v>
      </c>
      <c r="F5" s="1">
        <v>35261</v>
      </c>
      <c r="G5">
        <v>1</v>
      </c>
      <c r="H5" s="2">
        <v>41.34</v>
      </c>
      <c r="I5" t="s">
        <v>33</v>
      </c>
      <c r="J5" t="s">
        <v>34</v>
      </c>
      <c r="K5" t="s">
        <v>35</v>
      </c>
      <c r="L5" t="s">
        <v>18</v>
      </c>
      <c r="M5">
        <v>69004</v>
      </c>
      <c r="N5" t="s">
        <v>19</v>
      </c>
    </row>
    <row r="6" spans="1:14" x14ac:dyDescent="0.2">
      <c r="A6">
        <v>10252</v>
      </c>
      <c r="B6" t="s">
        <v>36</v>
      </c>
      <c r="C6">
        <v>4</v>
      </c>
      <c r="D6" s="1">
        <v>35255</v>
      </c>
      <c r="E6" s="1">
        <v>35283</v>
      </c>
      <c r="F6" s="1">
        <v>35257</v>
      </c>
      <c r="G6">
        <v>2</v>
      </c>
      <c r="H6" s="2">
        <v>51.3</v>
      </c>
      <c r="I6" t="s">
        <v>37</v>
      </c>
      <c r="J6" t="s">
        <v>38</v>
      </c>
      <c r="K6" t="s">
        <v>39</v>
      </c>
      <c r="L6" t="s">
        <v>18</v>
      </c>
      <c r="M6" t="s">
        <v>40</v>
      </c>
      <c r="N6" t="s">
        <v>41</v>
      </c>
    </row>
    <row r="7" spans="1:14" x14ac:dyDescent="0.2">
      <c r="A7">
        <v>10253</v>
      </c>
      <c r="B7" t="s">
        <v>25</v>
      </c>
      <c r="C7">
        <v>3</v>
      </c>
      <c r="D7" s="1">
        <v>35256</v>
      </c>
      <c r="E7" s="1">
        <v>35270</v>
      </c>
      <c r="F7" s="1">
        <v>35262</v>
      </c>
      <c r="G7">
        <v>2</v>
      </c>
      <c r="H7" s="2">
        <v>58.17</v>
      </c>
      <c r="I7" t="s">
        <v>26</v>
      </c>
      <c r="J7" t="s">
        <v>27</v>
      </c>
      <c r="K7" t="s">
        <v>28</v>
      </c>
      <c r="L7" t="s">
        <v>29</v>
      </c>
      <c r="M7" t="s">
        <v>30</v>
      </c>
      <c r="N7" t="s">
        <v>31</v>
      </c>
    </row>
    <row r="8" spans="1:14" x14ac:dyDescent="0.2">
      <c r="A8">
        <v>10254</v>
      </c>
      <c r="B8" t="s">
        <v>42</v>
      </c>
      <c r="C8">
        <v>5</v>
      </c>
      <c r="D8" s="1">
        <v>35257</v>
      </c>
      <c r="E8" s="1">
        <v>35285</v>
      </c>
      <c r="F8" s="1">
        <v>35269</v>
      </c>
      <c r="G8">
        <v>2</v>
      </c>
      <c r="H8" s="2">
        <v>22.98</v>
      </c>
      <c r="I8" t="s">
        <v>43</v>
      </c>
      <c r="J8" t="s">
        <v>44</v>
      </c>
      <c r="K8" t="s">
        <v>45</v>
      </c>
      <c r="L8" t="s">
        <v>18</v>
      </c>
      <c r="M8">
        <v>3012</v>
      </c>
      <c r="N8" t="s">
        <v>46</v>
      </c>
    </row>
    <row r="9" spans="1:14" x14ac:dyDescent="0.2">
      <c r="A9">
        <v>10255</v>
      </c>
      <c r="B9" t="s">
        <v>47</v>
      </c>
      <c r="C9">
        <v>9</v>
      </c>
      <c r="D9" s="1">
        <v>35258</v>
      </c>
      <c r="E9" s="1">
        <v>35286</v>
      </c>
      <c r="F9" s="1">
        <v>35261</v>
      </c>
      <c r="G9">
        <v>3</v>
      </c>
      <c r="H9" s="2">
        <v>148.33000000000001</v>
      </c>
      <c r="I9" t="s">
        <v>48</v>
      </c>
      <c r="J9" t="s">
        <v>49</v>
      </c>
      <c r="K9" t="s">
        <v>50</v>
      </c>
      <c r="L9" t="s">
        <v>18</v>
      </c>
      <c r="M9">
        <v>1204</v>
      </c>
      <c r="N9" t="s">
        <v>46</v>
      </c>
    </row>
    <row r="10" spans="1:14" x14ac:dyDescent="0.2">
      <c r="A10">
        <v>10256</v>
      </c>
      <c r="B10" t="s">
        <v>51</v>
      </c>
      <c r="C10">
        <v>3</v>
      </c>
      <c r="D10" s="1">
        <v>35261</v>
      </c>
      <c r="E10" s="1">
        <v>35289</v>
      </c>
      <c r="F10" s="1">
        <v>35263</v>
      </c>
      <c r="G10">
        <v>2</v>
      </c>
      <c r="H10" s="2">
        <v>13.97</v>
      </c>
      <c r="I10" t="s">
        <v>52</v>
      </c>
      <c r="J10" t="s">
        <v>53</v>
      </c>
      <c r="K10" t="s">
        <v>54</v>
      </c>
      <c r="L10" t="s">
        <v>55</v>
      </c>
      <c r="M10" t="s">
        <v>56</v>
      </c>
      <c r="N10" t="s">
        <v>31</v>
      </c>
    </row>
    <row r="11" spans="1:14" x14ac:dyDescent="0.2">
      <c r="A11">
        <v>10257</v>
      </c>
      <c r="B11" t="s">
        <v>57</v>
      </c>
      <c r="C11">
        <v>4</v>
      </c>
      <c r="D11" s="1">
        <v>35262</v>
      </c>
      <c r="E11" s="1">
        <v>35290</v>
      </c>
      <c r="F11" s="1">
        <v>35268</v>
      </c>
      <c r="G11">
        <v>3</v>
      </c>
      <c r="H11" s="2">
        <v>81.91</v>
      </c>
      <c r="I11" t="s">
        <v>58</v>
      </c>
      <c r="J11" t="s">
        <v>59</v>
      </c>
      <c r="K11" t="s">
        <v>60</v>
      </c>
      <c r="L11" t="s">
        <v>61</v>
      </c>
      <c r="M11">
        <v>5022</v>
      </c>
      <c r="N11" t="s">
        <v>62</v>
      </c>
    </row>
    <row r="12" spans="1:14" x14ac:dyDescent="0.2">
      <c r="A12">
        <v>10258</v>
      </c>
      <c r="B12" t="s">
        <v>63</v>
      </c>
      <c r="C12">
        <v>1</v>
      </c>
      <c r="D12" s="1">
        <v>35263</v>
      </c>
      <c r="E12" s="1">
        <v>35291</v>
      </c>
      <c r="F12" s="1">
        <v>35269</v>
      </c>
      <c r="G12">
        <v>1</v>
      </c>
      <c r="H12" s="2">
        <v>140.51</v>
      </c>
      <c r="I12" t="s">
        <v>64</v>
      </c>
      <c r="J12" t="s">
        <v>65</v>
      </c>
      <c r="K12" t="s">
        <v>66</v>
      </c>
      <c r="L12" t="s">
        <v>18</v>
      </c>
      <c r="M12">
        <v>8010</v>
      </c>
      <c r="N12" t="s">
        <v>67</v>
      </c>
    </row>
    <row r="13" spans="1:14" x14ac:dyDescent="0.2">
      <c r="A13">
        <v>10259</v>
      </c>
      <c r="B13" t="s">
        <v>68</v>
      </c>
      <c r="C13">
        <v>4</v>
      </c>
      <c r="D13" s="1">
        <v>35264</v>
      </c>
      <c r="E13" s="1">
        <v>35292</v>
      </c>
      <c r="F13" s="1">
        <v>35271</v>
      </c>
      <c r="G13">
        <v>3</v>
      </c>
      <c r="H13" s="2">
        <v>3.25</v>
      </c>
      <c r="I13" t="s">
        <v>69</v>
      </c>
      <c r="J13" t="s">
        <v>70</v>
      </c>
      <c r="K13" t="s">
        <v>71</v>
      </c>
      <c r="L13" t="s">
        <v>18</v>
      </c>
      <c r="M13">
        <v>5022</v>
      </c>
      <c r="N13" t="s">
        <v>72</v>
      </c>
    </row>
    <row r="14" spans="1:14" x14ac:dyDescent="0.2">
      <c r="A14">
        <v>10260</v>
      </c>
      <c r="B14" t="s">
        <v>73</v>
      </c>
      <c r="C14">
        <v>4</v>
      </c>
      <c r="D14" s="1">
        <v>35265</v>
      </c>
      <c r="E14" s="1">
        <v>35293</v>
      </c>
      <c r="F14" s="1">
        <v>35275</v>
      </c>
      <c r="G14">
        <v>1</v>
      </c>
      <c r="H14" s="2">
        <v>55.09</v>
      </c>
      <c r="I14" t="s">
        <v>74</v>
      </c>
      <c r="J14" t="s">
        <v>75</v>
      </c>
      <c r="K14" t="s">
        <v>76</v>
      </c>
      <c r="L14" t="s">
        <v>18</v>
      </c>
      <c r="M14">
        <v>50739</v>
      </c>
      <c r="N14" t="s">
        <v>24</v>
      </c>
    </row>
    <row r="15" spans="1:14" x14ac:dyDescent="0.2">
      <c r="A15">
        <v>10261</v>
      </c>
      <c r="B15" t="s">
        <v>77</v>
      </c>
      <c r="C15">
        <v>4</v>
      </c>
      <c r="D15" s="1">
        <v>35265</v>
      </c>
      <c r="E15" s="1">
        <v>35293</v>
      </c>
      <c r="F15" s="1">
        <v>35276</v>
      </c>
      <c r="G15">
        <v>2</v>
      </c>
      <c r="H15" s="2">
        <v>3.05</v>
      </c>
      <c r="I15" t="s">
        <v>78</v>
      </c>
      <c r="J15" t="s">
        <v>79</v>
      </c>
      <c r="K15" t="s">
        <v>28</v>
      </c>
      <c r="L15" t="s">
        <v>29</v>
      </c>
      <c r="M15" t="s">
        <v>80</v>
      </c>
      <c r="N15" t="s">
        <v>31</v>
      </c>
    </row>
    <row r="16" spans="1:14" x14ac:dyDescent="0.2">
      <c r="A16">
        <v>10262</v>
      </c>
      <c r="B16" t="s">
        <v>81</v>
      </c>
      <c r="C16">
        <v>8</v>
      </c>
      <c r="D16" s="1">
        <v>35268</v>
      </c>
      <c r="E16" s="1">
        <v>35296</v>
      </c>
      <c r="F16" s="1">
        <v>35271</v>
      </c>
      <c r="G16">
        <v>3</v>
      </c>
      <c r="H16" s="2">
        <v>48.29</v>
      </c>
      <c r="I16" t="s">
        <v>82</v>
      </c>
      <c r="J16" t="s">
        <v>83</v>
      </c>
      <c r="K16" t="s">
        <v>84</v>
      </c>
      <c r="L16" t="s">
        <v>85</v>
      </c>
      <c r="M16">
        <v>87110</v>
      </c>
      <c r="N16" t="s">
        <v>86</v>
      </c>
    </row>
    <row r="17" spans="1:14" x14ac:dyDescent="0.2">
      <c r="A17">
        <v>10263</v>
      </c>
      <c r="B17" t="s">
        <v>63</v>
      </c>
      <c r="C17">
        <v>9</v>
      </c>
      <c r="D17" s="1">
        <v>35269</v>
      </c>
      <c r="E17" s="1">
        <v>35297</v>
      </c>
      <c r="F17" s="1">
        <v>35277</v>
      </c>
      <c r="G17">
        <v>3</v>
      </c>
      <c r="H17" s="2">
        <v>146.06</v>
      </c>
      <c r="I17" t="s">
        <v>64</v>
      </c>
      <c r="J17" t="s">
        <v>65</v>
      </c>
      <c r="K17" t="s">
        <v>66</v>
      </c>
      <c r="L17" t="s">
        <v>18</v>
      </c>
      <c r="M17">
        <v>8010</v>
      </c>
      <c r="N17" t="s">
        <v>67</v>
      </c>
    </row>
    <row r="18" spans="1:14" x14ac:dyDescent="0.2">
      <c r="A18">
        <v>10264</v>
      </c>
      <c r="B18" t="s">
        <v>87</v>
      </c>
      <c r="C18">
        <v>6</v>
      </c>
      <c r="D18" s="1">
        <v>35270</v>
      </c>
      <c r="E18" s="1">
        <v>35298</v>
      </c>
      <c r="F18" s="1">
        <v>35300</v>
      </c>
      <c r="G18">
        <v>3</v>
      </c>
      <c r="H18" s="2">
        <v>3.67</v>
      </c>
      <c r="I18" t="s">
        <v>88</v>
      </c>
      <c r="J18" t="s">
        <v>89</v>
      </c>
      <c r="K18" t="s">
        <v>90</v>
      </c>
      <c r="L18" t="s">
        <v>18</v>
      </c>
      <c r="M18" t="s">
        <v>91</v>
      </c>
      <c r="N18" t="s">
        <v>92</v>
      </c>
    </row>
    <row r="19" spans="1:14" x14ac:dyDescent="0.2">
      <c r="A19">
        <v>10265</v>
      </c>
      <c r="B19" t="s">
        <v>93</v>
      </c>
      <c r="C19">
        <v>2</v>
      </c>
      <c r="D19" s="1">
        <v>35271</v>
      </c>
      <c r="E19" s="1">
        <v>35299</v>
      </c>
      <c r="F19" s="1">
        <v>35289</v>
      </c>
      <c r="G19">
        <v>1</v>
      </c>
      <c r="H19" s="2">
        <v>55.28</v>
      </c>
      <c r="I19" t="s">
        <v>94</v>
      </c>
      <c r="J19" t="s">
        <v>95</v>
      </c>
      <c r="K19" t="s">
        <v>96</v>
      </c>
      <c r="L19" t="s">
        <v>18</v>
      </c>
      <c r="M19">
        <v>67000</v>
      </c>
      <c r="N19" t="s">
        <v>19</v>
      </c>
    </row>
    <row r="20" spans="1:14" x14ac:dyDescent="0.2">
      <c r="A20">
        <v>10266</v>
      </c>
      <c r="B20" t="s">
        <v>97</v>
      </c>
      <c r="C20">
        <v>3</v>
      </c>
      <c r="D20" s="1">
        <v>35272</v>
      </c>
      <c r="E20" s="1">
        <v>35314</v>
      </c>
      <c r="F20" s="1">
        <v>35277</v>
      </c>
      <c r="G20">
        <v>3</v>
      </c>
      <c r="H20" s="2">
        <v>25.73</v>
      </c>
      <c r="I20" t="s">
        <v>98</v>
      </c>
      <c r="J20" t="s">
        <v>99</v>
      </c>
      <c r="K20" t="s">
        <v>100</v>
      </c>
      <c r="L20" t="s">
        <v>18</v>
      </c>
      <c r="M20">
        <v>90110</v>
      </c>
      <c r="N20" t="s">
        <v>101</v>
      </c>
    </row>
    <row r="21" spans="1:14" x14ac:dyDescent="0.2">
      <c r="A21">
        <v>10267</v>
      </c>
      <c r="B21" t="s">
        <v>102</v>
      </c>
      <c r="C21">
        <v>4</v>
      </c>
      <c r="D21" s="1">
        <v>35275</v>
      </c>
      <c r="E21" s="1">
        <v>35303</v>
      </c>
      <c r="F21" s="1">
        <v>35283</v>
      </c>
      <c r="G21">
        <v>1</v>
      </c>
      <c r="H21" s="2">
        <v>208.58</v>
      </c>
      <c r="I21" t="s">
        <v>103</v>
      </c>
      <c r="J21" t="s">
        <v>104</v>
      </c>
      <c r="K21" t="s">
        <v>105</v>
      </c>
      <c r="L21" t="s">
        <v>18</v>
      </c>
      <c r="M21">
        <v>80805</v>
      </c>
      <c r="N21" t="s">
        <v>24</v>
      </c>
    </row>
    <row r="22" spans="1:14" x14ac:dyDescent="0.2">
      <c r="A22">
        <v>10268</v>
      </c>
      <c r="B22" t="s">
        <v>106</v>
      </c>
      <c r="C22">
        <v>8</v>
      </c>
      <c r="D22" s="1">
        <v>35276</v>
      </c>
      <c r="E22" s="1">
        <v>35304</v>
      </c>
      <c r="F22" s="1">
        <v>35279</v>
      </c>
      <c r="G22">
        <v>3</v>
      </c>
      <c r="H22" s="2">
        <v>66.290000000000006</v>
      </c>
      <c r="I22" t="s">
        <v>107</v>
      </c>
      <c r="J22" t="s">
        <v>108</v>
      </c>
      <c r="K22" t="s">
        <v>109</v>
      </c>
      <c r="L22" t="s">
        <v>110</v>
      </c>
      <c r="M22">
        <v>1081</v>
      </c>
      <c r="N22" t="s">
        <v>62</v>
      </c>
    </row>
    <row r="23" spans="1:14" x14ac:dyDescent="0.2">
      <c r="A23">
        <v>10269</v>
      </c>
      <c r="B23" t="s">
        <v>111</v>
      </c>
      <c r="C23">
        <v>5</v>
      </c>
      <c r="D23" s="1">
        <v>35277</v>
      </c>
      <c r="E23" s="1">
        <v>35291</v>
      </c>
      <c r="F23" s="1">
        <v>35286</v>
      </c>
      <c r="G23">
        <v>1</v>
      </c>
      <c r="H23" s="2">
        <v>4.5599999999999996</v>
      </c>
      <c r="I23" t="s">
        <v>112</v>
      </c>
      <c r="J23" t="s">
        <v>113</v>
      </c>
      <c r="K23" t="s">
        <v>114</v>
      </c>
      <c r="L23" t="s">
        <v>115</v>
      </c>
      <c r="M23">
        <v>98124</v>
      </c>
      <c r="N23" t="s">
        <v>86</v>
      </c>
    </row>
    <row r="24" spans="1:14" x14ac:dyDescent="0.2">
      <c r="A24">
        <v>10270</v>
      </c>
      <c r="B24" t="s">
        <v>97</v>
      </c>
      <c r="C24">
        <v>1</v>
      </c>
      <c r="D24" s="1">
        <v>35278</v>
      </c>
      <c r="E24" s="1">
        <v>35306</v>
      </c>
      <c r="F24" s="1">
        <v>35279</v>
      </c>
      <c r="G24">
        <v>1</v>
      </c>
      <c r="H24" s="2">
        <v>136.54</v>
      </c>
      <c r="I24" t="s">
        <v>98</v>
      </c>
      <c r="J24" t="s">
        <v>99</v>
      </c>
      <c r="K24" t="s">
        <v>100</v>
      </c>
      <c r="L24" t="s">
        <v>18</v>
      </c>
      <c r="M24">
        <v>90110</v>
      </c>
      <c r="N24" t="s">
        <v>101</v>
      </c>
    </row>
    <row r="25" spans="1:14" x14ac:dyDescent="0.2">
      <c r="A25">
        <v>10271</v>
      </c>
      <c r="B25" t="s">
        <v>116</v>
      </c>
      <c r="C25">
        <v>6</v>
      </c>
      <c r="D25" s="1">
        <v>35278</v>
      </c>
      <c r="E25" s="1">
        <v>35306</v>
      </c>
      <c r="F25" s="1">
        <v>35307</v>
      </c>
      <c r="G25">
        <v>2</v>
      </c>
      <c r="H25" s="2">
        <v>4.54</v>
      </c>
      <c r="I25" t="s">
        <v>117</v>
      </c>
      <c r="J25" t="s">
        <v>118</v>
      </c>
      <c r="K25" t="s">
        <v>119</v>
      </c>
      <c r="L25" t="s">
        <v>120</v>
      </c>
      <c r="M25">
        <v>82520</v>
      </c>
      <c r="N25" t="s">
        <v>86</v>
      </c>
    </row>
    <row r="26" spans="1:14" x14ac:dyDescent="0.2">
      <c r="A26">
        <v>10272</v>
      </c>
      <c r="B26" t="s">
        <v>81</v>
      </c>
      <c r="C26">
        <v>6</v>
      </c>
      <c r="D26" s="1">
        <v>35279</v>
      </c>
      <c r="E26" s="1">
        <v>35307</v>
      </c>
      <c r="F26" s="1">
        <v>35283</v>
      </c>
      <c r="G26">
        <v>2</v>
      </c>
      <c r="H26" s="2">
        <v>98.03</v>
      </c>
      <c r="I26" t="s">
        <v>82</v>
      </c>
      <c r="J26" t="s">
        <v>83</v>
      </c>
      <c r="K26" t="s">
        <v>84</v>
      </c>
      <c r="L26" t="s">
        <v>85</v>
      </c>
      <c r="M26">
        <v>87110</v>
      </c>
      <c r="N26" t="s">
        <v>86</v>
      </c>
    </row>
    <row r="27" spans="1:14" x14ac:dyDescent="0.2">
      <c r="A27">
        <v>10273</v>
      </c>
      <c r="B27" t="s">
        <v>121</v>
      </c>
      <c r="C27">
        <v>3</v>
      </c>
      <c r="D27" s="1">
        <v>35282</v>
      </c>
      <c r="E27" s="1">
        <v>35310</v>
      </c>
      <c r="F27" s="1">
        <v>35289</v>
      </c>
      <c r="G27">
        <v>3</v>
      </c>
      <c r="H27" s="2">
        <v>76.069999999999993</v>
      </c>
      <c r="I27" t="s">
        <v>122</v>
      </c>
      <c r="J27" t="s">
        <v>123</v>
      </c>
      <c r="K27" t="s">
        <v>124</v>
      </c>
      <c r="L27" t="s">
        <v>18</v>
      </c>
      <c r="M27">
        <v>1307</v>
      </c>
      <c r="N27" t="s">
        <v>24</v>
      </c>
    </row>
    <row r="28" spans="1:14" x14ac:dyDescent="0.2">
      <c r="A28">
        <v>10274</v>
      </c>
      <c r="B28" t="s">
        <v>14</v>
      </c>
      <c r="C28">
        <v>6</v>
      </c>
      <c r="D28" s="1">
        <v>35283</v>
      </c>
      <c r="E28" s="1">
        <v>35311</v>
      </c>
      <c r="F28" s="1">
        <v>35293</v>
      </c>
      <c r="G28">
        <v>1</v>
      </c>
      <c r="H28" s="2">
        <v>6.01</v>
      </c>
      <c r="I28" t="s">
        <v>15</v>
      </c>
      <c r="J28" t="s">
        <v>16</v>
      </c>
      <c r="K28" t="s">
        <v>17</v>
      </c>
      <c r="L28" t="s">
        <v>18</v>
      </c>
      <c r="M28">
        <v>51100</v>
      </c>
      <c r="N28" t="s">
        <v>19</v>
      </c>
    </row>
    <row r="29" spans="1:14" x14ac:dyDescent="0.2">
      <c r="A29">
        <v>10275</v>
      </c>
      <c r="B29" t="s">
        <v>125</v>
      </c>
      <c r="C29">
        <v>1</v>
      </c>
      <c r="D29" s="1">
        <v>35284</v>
      </c>
      <c r="E29" s="1">
        <v>35312</v>
      </c>
      <c r="F29" s="1">
        <v>35286</v>
      </c>
      <c r="G29">
        <v>1</v>
      </c>
      <c r="H29" s="2">
        <v>26.93</v>
      </c>
      <c r="I29" t="s">
        <v>126</v>
      </c>
      <c r="J29" t="s">
        <v>127</v>
      </c>
      <c r="K29" t="s">
        <v>128</v>
      </c>
      <c r="L29" t="s">
        <v>18</v>
      </c>
      <c r="M29">
        <v>24100</v>
      </c>
      <c r="N29" t="s">
        <v>129</v>
      </c>
    </row>
    <row r="30" spans="1:14" x14ac:dyDescent="0.2">
      <c r="A30">
        <v>10276</v>
      </c>
      <c r="B30" t="s">
        <v>130</v>
      </c>
      <c r="C30">
        <v>8</v>
      </c>
      <c r="D30" s="1">
        <v>35285</v>
      </c>
      <c r="E30" s="1">
        <v>35299</v>
      </c>
      <c r="F30" s="1">
        <v>35291</v>
      </c>
      <c r="G30">
        <v>3</v>
      </c>
      <c r="H30" s="2">
        <v>13.84</v>
      </c>
      <c r="I30" t="s">
        <v>131</v>
      </c>
      <c r="J30" t="s">
        <v>132</v>
      </c>
      <c r="K30" t="s">
        <v>71</v>
      </c>
      <c r="L30" t="s">
        <v>18</v>
      </c>
      <c r="M30">
        <v>5033</v>
      </c>
      <c r="N30" t="s">
        <v>72</v>
      </c>
    </row>
    <row r="31" spans="1:14" x14ac:dyDescent="0.2">
      <c r="A31">
        <v>10277</v>
      </c>
      <c r="B31" t="s">
        <v>133</v>
      </c>
      <c r="C31">
        <v>2</v>
      </c>
      <c r="D31" s="1">
        <v>35286</v>
      </c>
      <c r="E31" s="1">
        <v>35314</v>
      </c>
      <c r="F31" s="1">
        <v>35290</v>
      </c>
      <c r="G31">
        <v>3</v>
      </c>
      <c r="H31" s="2">
        <v>125.77</v>
      </c>
      <c r="I31" t="s">
        <v>134</v>
      </c>
      <c r="J31" t="s">
        <v>135</v>
      </c>
      <c r="K31" t="s">
        <v>136</v>
      </c>
      <c r="L31" t="s">
        <v>18</v>
      </c>
      <c r="M31">
        <v>4179</v>
      </c>
      <c r="N31" t="s">
        <v>24</v>
      </c>
    </row>
    <row r="32" spans="1:14" x14ac:dyDescent="0.2">
      <c r="A32">
        <v>10278</v>
      </c>
      <c r="B32" t="s">
        <v>137</v>
      </c>
      <c r="C32">
        <v>8</v>
      </c>
      <c r="D32" s="1">
        <v>35289</v>
      </c>
      <c r="E32" s="1">
        <v>35317</v>
      </c>
      <c r="F32" s="1">
        <v>35293</v>
      </c>
      <c r="G32">
        <v>2</v>
      </c>
      <c r="H32" s="2">
        <v>92.69</v>
      </c>
      <c r="I32" t="s">
        <v>138</v>
      </c>
      <c r="J32" t="s">
        <v>139</v>
      </c>
      <c r="K32" t="s">
        <v>140</v>
      </c>
      <c r="L32" t="s">
        <v>18</v>
      </c>
      <c r="M32" t="s">
        <v>141</v>
      </c>
      <c r="N32" t="s">
        <v>92</v>
      </c>
    </row>
    <row r="33" spans="1:14" x14ac:dyDescent="0.2">
      <c r="A33">
        <v>10279</v>
      </c>
      <c r="B33" t="s">
        <v>142</v>
      </c>
      <c r="C33">
        <v>8</v>
      </c>
      <c r="D33" s="1">
        <v>35290</v>
      </c>
      <c r="E33" s="1">
        <v>35318</v>
      </c>
      <c r="F33" s="1">
        <v>35293</v>
      </c>
      <c r="G33">
        <v>2</v>
      </c>
      <c r="H33" s="2">
        <v>25.83</v>
      </c>
      <c r="I33" t="s">
        <v>143</v>
      </c>
      <c r="J33" t="s">
        <v>144</v>
      </c>
      <c r="K33" t="s">
        <v>145</v>
      </c>
      <c r="L33" t="s">
        <v>18</v>
      </c>
      <c r="M33">
        <v>60528</v>
      </c>
      <c r="N33" t="s">
        <v>24</v>
      </c>
    </row>
    <row r="34" spans="1:14" x14ac:dyDescent="0.2">
      <c r="A34">
        <v>10280</v>
      </c>
      <c r="B34" t="s">
        <v>137</v>
      </c>
      <c r="C34">
        <v>2</v>
      </c>
      <c r="D34" s="1">
        <v>35291</v>
      </c>
      <c r="E34" s="1">
        <v>35319</v>
      </c>
      <c r="F34" s="1">
        <v>35320</v>
      </c>
      <c r="G34">
        <v>1</v>
      </c>
      <c r="H34" s="2">
        <v>8.98</v>
      </c>
      <c r="I34" t="s">
        <v>138</v>
      </c>
      <c r="J34" t="s">
        <v>139</v>
      </c>
      <c r="K34" t="s">
        <v>140</v>
      </c>
      <c r="L34" t="s">
        <v>18</v>
      </c>
      <c r="M34" t="s">
        <v>141</v>
      </c>
      <c r="N34" t="s">
        <v>92</v>
      </c>
    </row>
    <row r="35" spans="1:14" x14ac:dyDescent="0.2">
      <c r="A35">
        <v>10281</v>
      </c>
      <c r="B35" t="s">
        <v>146</v>
      </c>
      <c r="C35">
        <v>4</v>
      </c>
      <c r="D35" s="1">
        <v>35291</v>
      </c>
      <c r="E35" s="1">
        <v>35305</v>
      </c>
      <c r="F35" s="1">
        <v>35298</v>
      </c>
      <c r="G35">
        <v>1</v>
      </c>
      <c r="H35" s="2">
        <v>2.94</v>
      </c>
      <c r="I35" t="s">
        <v>147</v>
      </c>
      <c r="J35" t="s">
        <v>148</v>
      </c>
      <c r="K35" t="s">
        <v>149</v>
      </c>
      <c r="L35" t="s">
        <v>18</v>
      </c>
      <c r="M35">
        <v>28001</v>
      </c>
      <c r="N35" t="s">
        <v>150</v>
      </c>
    </row>
    <row r="36" spans="1:14" x14ac:dyDescent="0.2">
      <c r="A36">
        <v>10282</v>
      </c>
      <c r="B36" t="s">
        <v>146</v>
      </c>
      <c r="C36">
        <v>4</v>
      </c>
      <c r="D36" s="1">
        <v>35292</v>
      </c>
      <c r="E36" s="1">
        <v>35320</v>
      </c>
      <c r="F36" s="1">
        <v>35298</v>
      </c>
      <c r="G36">
        <v>1</v>
      </c>
      <c r="H36" s="2">
        <v>12.69</v>
      </c>
      <c r="I36" t="s">
        <v>147</v>
      </c>
      <c r="J36" t="s">
        <v>148</v>
      </c>
      <c r="K36" t="s">
        <v>149</v>
      </c>
      <c r="L36" t="s">
        <v>18</v>
      </c>
      <c r="M36">
        <v>28001</v>
      </c>
      <c r="N36" t="s">
        <v>150</v>
      </c>
    </row>
    <row r="37" spans="1:14" x14ac:dyDescent="0.2">
      <c r="A37">
        <v>10283</v>
      </c>
      <c r="B37" t="s">
        <v>151</v>
      </c>
      <c r="C37">
        <v>3</v>
      </c>
      <c r="D37" s="1">
        <v>35293</v>
      </c>
      <c r="E37" s="1">
        <v>35321</v>
      </c>
      <c r="F37" s="1">
        <v>35300</v>
      </c>
      <c r="G37">
        <v>3</v>
      </c>
      <c r="H37" s="2">
        <v>84.81</v>
      </c>
      <c r="I37" t="s">
        <v>152</v>
      </c>
      <c r="J37" t="s">
        <v>153</v>
      </c>
      <c r="K37" t="s">
        <v>154</v>
      </c>
      <c r="L37" t="s">
        <v>155</v>
      </c>
      <c r="M37">
        <v>3508</v>
      </c>
      <c r="N37" t="s">
        <v>62</v>
      </c>
    </row>
    <row r="38" spans="1:14" x14ac:dyDescent="0.2">
      <c r="A38">
        <v>10284</v>
      </c>
      <c r="B38" t="s">
        <v>142</v>
      </c>
      <c r="C38">
        <v>4</v>
      </c>
      <c r="D38" s="1">
        <v>35296</v>
      </c>
      <c r="E38" s="1">
        <v>35324</v>
      </c>
      <c r="F38" s="1">
        <v>35304</v>
      </c>
      <c r="G38">
        <v>1</v>
      </c>
      <c r="H38" s="2">
        <v>76.56</v>
      </c>
      <c r="I38" t="s">
        <v>143</v>
      </c>
      <c r="J38" t="s">
        <v>144</v>
      </c>
      <c r="K38" t="s">
        <v>145</v>
      </c>
      <c r="L38" t="s">
        <v>18</v>
      </c>
      <c r="M38">
        <v>60528</v>
      </c>
      <c r="N38" t="s">
        <v>24</v>
      </c>
    </row>
    <row r="39" spans="1:14" x14ac:dyDescent="0.2">
      <c r="A39">
        <v>10285</v>
      </c>
      <c r="B39" t="s">
        <v>121</v>
      </c>
      <c r="C39">
        <v>1</v>
      </c>
      <c r="D39" s="1">
        <v>35297</v>
      </c>
      <c r="E39" s="1">
        <v>35325</v>
      </c>
      <c r="F39" s="1">
        <v>35303</v>
      </c>
      <c r="G39">
        <v>2</v>
      </c>
      <c r="H39" s="2">
        <v>76.83</v>
      </c>
      <c r="I39" t="s">
        <v>122</v>
      </c>
      <c r="J39" t="s">
        <v>123</v>
      </c>
      <c r="K39" t="s">
        <v>124</v>
      </c>
      <c r="L39" t="s">
        <v>18</v>
      </c>
      <c r="M39">
        <v>1307</v>
      </c>
      <c r="N39" t="s">
        <v>24</v>
      </c>
    </row>
    <row r="40" spans="1:14" x14ac:dyDescent="0.2">
      <c r="A40">
        <v>10286</v>
      </c>
      <c r="B40" t="s">
        <v>121</v>
      </c>
      <c r="C40">
        <v>8</v>
      </c>
      <c r="D40" s="1">
        <v>35298</v>
      </c>
      <c r="E40" s="1">
        <v>35326</v>
      </c>
      <c r="F40" s="1">
        <v>35307</v>
      </c>
      <c r="G40">
        <v>3</v>
      </c>
      <c r="H40" s="2">
        <v>229.24</v>
      </c>
      <c r="I40" t="s">
        <v>122</v>
      </c>
      <c r="J40" t="s">
        <v>123</v>
      </c>
      <c r="K40" t="s">
        <v>124</v>
      </c>
      <c r="L40" t="s">
        <v>18</v>
      </c>
      <c r="M40">
        <v>1307</v>
      </c>
      <c r="N40" t="s">
        <v>24</v>
      </c>
    </row>
    <row r="41" spans="1:14" x14ac:dyDescent="0.2">
      <c r="A41">
        <v>10287</v>
      </c>
      <c r="B41" t="s">
        <v>156</v>
      </c>
      <c r="C41">
        <v>8</v>
      </c>
      <c r="D41" s="1">
        <v>35299</v>
      </c>
      <c r="E41" s="1">
        <v>35327</v>
      </c>
      <c r="F41" s="1">
        <v>35305</v>
      </c>
      <c r="G41">
        <v>3</v>
      </c>
      <c r="H41" s="2">
        <v>12.76</v>
      </c>
      <c r="I41" t="s">
        <v>157</v>
      </c>
      <c r="J41" t="s">
        <v>158</v>
      </c>
      <c r="K41" t="s">
        <v>28</v>
      </c>
      <c r="L41" t="s">
        <v>29</v>
      </c>
      <c r="M41" t="s">
        <v>159</v>
      </c>
      <c r="N41" t="s">
        <v>31</v>
      </c>
    </row>
    <row r="42" spans="1:14" x14ac:dyDescent="0.2">
      <c r="A42">
        <v>10288</v>
      </c>
      <c r="B42" t="s">
        <v>160</v>
      </c>
      <c r="C42">
        <v>4</v>
      </c>
      <c r="D42" s="1">
        <v>35300</v>
      </c>
      <c r="E42" s="1">
        <v>35328</v>
      </c>
      <c r="F42" s="1">
        <v>35311</v>
      </c>
      <c r="G42">
        <v>1</v>
      </c>
      <c r="H42" s="2">
        <v>7.45</v>
      </c>
      <c r="I42" t="s">
        <v>161</v>
      </c>
      <c r="J42" t="s">
        <v>162</v>
      </c>
      <c r="K42" t="s">
        <v>163</v>
      </c>
      <c r="L42" t="s">
        <v>18</v>
      </c>
      <c r="M42">
        <v>42100</v>
      </c>
      <c r="N42" t="s">
        <v>129</v>
      </c>
    </row>
    <row r="43" spans="1:14" x14ac:dyDescent="0.2">
      <c r="A43">
        <v>10289</v>
      </c>
      <c r="B43" t="s">
        <v>164</v>
      </c>
      <c r="C43">
        <v>7</v>
      </c>
      <c r="D43" s="1">
        <v>35303</v>
      </c>
      <c r="E43" s="1">
        <v>35331</v>
      </c>
      <c r="F43" s="1">
        <v>35305</v>
      </c>
      <c r="G43">
        <v>3</v>
      </c>
      <c r="H43" s="2">
        <v>22.77</v>
      </c>
      <c r="I43" t="s">
        <v>165</v>
      </c>
      <c r="J43" t="s">
        <v>166</v>
      </c>
      <c r="K43" t="s">
        <v>167</v>
      </c>
      <c r="L43" t="s">
        <v>18</v>
      </c>
      <c r="M43" t="s">
        <v>168</v>
      </c>
      <c r="N43" t="s">
        <v>169</v>
      </c>
    </row>
    <row r="44" spans="1:14" x14ac:dyDescent="0.2">
      <c r="A44">
        <v>10290</v>
      </c>
      <c r="B44" t="s">
        <v>170</v>
      </c>
      <c r="C44">
        <v>8</v>
      </c>
      <c r="D44" s="1">
        <v>35304</v>
      </c>
      <c r="E44" s="1">
        <v>35332</v>
      </c>
      <c r="F44" s="1">
        <v>35311</v>
      </c>
      <c r="G44">
        <v>1</v>
      </c>
      <c r="H44" s="2">
        <v>79.7</v>
      </c>
      <c r="I44" t="s">
        <v>171</v>
      </c>
      <c r="J44" t="s">
        <v>172</v>
      </c>
      <c r="K44" t="s">
        <v>173</v>
      </c>
      <c r="L44" t="s">
        <v>55</v>
      </c>
      <c r="M44" t="s">
        <v>174</v>
      </c>
      <c r="N44" t="s">
        <v>31</v>
      </c>
    </row>
    <row r="45" spans="1:14" x14ac:dyDescent="0.2">
      <c r="A45">
        <v>10291</v>
      </c>
      <c r="B45" t="s">
        <v>77</v>
      </c>
      <c r="C45">
        <v>6</v>
      </c>
      <c r="D45" s="1">
        <v>35304</v>
      </c>
      <c r="E45" s="1">
        <v>35332</v>
      </c>
      <c r="F45" s="1">
        <v>35312</v>
      </c>
      <c r="G45">
        <v>2</v>
      </c>
      <c r="H45" s="2">
        <v>6.4</v>
      </c>
      <c r="I45" t="s">
        <v>78</v>
      </c>
      <c r="J45" t="s">
        <v>79</v>
      </c>
      <c r="K45" t="s">
        <v>28</v>
      </c>
      <c r="L45" t="s">
        <v>29</v>
      </c>
      <c r="M45" t="s">
        <v>80</v>
      </c>
      <c r="N45" t="s">
        <v>31</v>
      </c>
    </row>
    <row r="46" spans="1:14" x14ac:dyDescent="0.2">
      <c r="A46">
        <v>10292</v>
      </c>
      <c r="B46" t="s">
        <v>175</v>
      </c>
      <c r="C46">
        <v>1</v>
      </c>
      <c r="D46" s="1">
        <v>35305</v>
      </c>
      <c r="E46" s="1">
        <v>35333</v>
      </c>
      <c r="F46" s="1">
        <v>35310</v>
      </c>
      <c r="G46">
        <v>2</v>
      </c>
      <c r="H46" s="2">
        <v>1.35</v>
      </c>
      <c r="I46" t="s">
        <v>176</v>
      </c>
      <c r="J46" t="s">
        <v>177</v>
      </c>
      <c r="K46" t="s">
        <v>173</v>
      </c>
      <c r="L46" t="s">
        <v>55</v>
      </c>
      <c r="M46" t="s">
        <v>178</v>
      </c>
      <c r="N46" t="s">
        <v>31</v>
      </c>
    </row>
    <row r="47" spans="1:14" x14ac:dyDescent="0.2">
      <c r="A47">
        <v>10293</v>
      </c>
      <c r="B47" t="s">
        <v>130</v>
      </c>
      <c r="C47">
        <v>1</v>
      </c>
      <c r="D47" s="1">
        <v>35306</v>
      </c>
      <c r="E47" s="1">
        <v>35334</v>
      </c>
      <c r="F47" s="1">
        <v>35319</v>
      </c>
      <c r="G47">
        <v>3</v>
      </c>
      <c r="H47" s="2">
        <v>21.18</v>
      </c>
      <c r="I47" t="s">
        <v>131</v>
      </c>
      <c r="J47" t="s">
        <v>132</v>
      </c>
      <c r="K47" t="s">
        <v>71</v>
      </c>
      <c r="L47" t="s">
        <v>18</v>
      </c>
      <c r="M47">
        <v>5033</v>
      </c>
      <c r="N47" t="s">
        <v>72</v>
      </c>
    </row>
    <row r="48" spans="1:14" x14ac:dyDescent="0.2">
      <c r="A48">
        <v>10294</v>
      </c>
      <c r="B48" t="s">
        <v>81</v>
      </c>
      <c r="C48">
        <v>4</v>
      </c>
      <c r="D48" s="1">
        <v>35307</v>
      </c>
      <c r="E48" s="1">
        <v>35335</v>
      </c>
      <c r="F48" s="1">
        <v>35313</v>
      </c>
      <c r="G48">
        <v>2</v>
      </c>
      <c r="H48" s="2">
        <v>147.26</v>
      </c>
      <c r="I48" t="s">
        <v>82</v>
      </c>
      <c r="J48" t="s">
        <v>83</v>
      </c>
      <c r="K48" t="s">
        <v>84</v>
      </c>
      <c r="L48" t="s">
        <v>85</v>
      </c>
      <c r="M48">
        <v>87110</v>
      </c>
      <c r="N48" t="s">
        <v>86</v>
      </c>
    </row>
    <row r="49" spans="1:14" x14ac:dyDescent="0.2">
      <c r="A49">
        <v>10295</v>
      </c>
      <c r="B49" t="s">
        <v>14</v>
      </c>
      <c r="C49">
        <v>2</v>
      </c>
      <c r="D49" s="1">
        <v>35310</v>
      </c>
      <c r="E49" s="1">
        <v>35338</v>
      </c>
      <c r="F49" s="1">
        <v>35318</v>
      </c>
      <c r="G49">
        <v>2</v>
      </c>
      <c r="H49" s="2">
        <v>1.1499999999999999</v>
      </c>
      <c r="I49" t="s">
        <v>15</v>
      </c>
      <c r="J49" t="s">
        <v>16</v>
      </c>
      <c r="K49" t="s">
        <v>17</v>
      </c>
      <c r="L49" t="s">
        <v>18</v>
      </c>
      <c r="M49">
        <v>51100</v>
      </c>
      <c r="N49" t="s">
        <v>19</v>
      </c>
    </row>
    <row r="50" spans="1:14" x14ac:dyDescent="0.2">
      <c r="A50">
        <v>10296</v>
      </c>
      <c r="B50" t="s">
        <v>151</v>
      </c>
      <c r="C50">
        <v>6</v>
      </c>
      <c r="D50" s="1">
        <v>35311</v>
      </c>
      <c r="E50" s="1">
        <v>35339</v>
      </c>
      <c r="F50" s="1">
        <v>35319</v>
      </c>
      <c r="G50">
        <v>1</v>
      </c>
      <c r="H50" s="2">
        <v>0.12</v>
      </c>
      <c r="I50" t="s">
        <v>152</v>
      </c>
      <c r="J50" t="s">
        <v>153</v>
      </c>
      <c r="K50" t="s">
        <v>154</v>
      </c>
      <c r="L50" t="s">
        <v>155</v>
      </c>
      <c r="M50">
        <v>3508</v>
      </c>
      <c r="N50" t="s">
        <v>62</v>
      </c>
    </row>
    <row r="51" spans="1:14" x14ac:dyDescent="0.2">
      <c r="A51">
        <v>10297</v>
      </c>
      <c r="B51" t="s">
        <v>93</v>
      </c>
      <c r="C51">
        <v>5</v>
      </c>
      <c r="D51" s="1">
        <v>35312</v>
      </c>
      <c r="E51" s="1">
        <v>35354</v>
      </c>
      <c r="F51" s="1">
        <v>35318</v>
      </c>
      <c r="G51">
        <v>2</v>
      </c>
      <c r="H51" s="2">
        <v>5.74</v>
      </c>
      <c r="I51" t="s">
        <v>94</v>
      </c>
      <c r="J51" t="s">
        <v>95</v>
      </c>
      <c r="K51" t="s">
        <v>96</v>
      </c>
      <c r="L51" t="s">
        <v>18</v>
      </c>
      <c r="M51">
        <v>67000</v>
      </c>
      <c r="N51" t="s">
        <v>19</v>
      </c>
    </row>
    <row r="52" spans="1:14" x14ac:dyDescent="0.2">
      <c r="A52">
        <v>10298</v>
      </c>
      <c r="B52" t="s">
        <v>179</v>
      </c>
      <c r="C52">
        <v>6</v>
      </c>
      <c r="D52" s="1">
        <v>35313</v>
      </c>
      <c r="E52" s="1">
        <v>35341</v>
      </c>
      <c r="F52" s="1">
        <v>35319</v>
      </c>
      <c r="G52">
        <v>2</v>
      </c>
      <c r="H52" s="2">
        <v>168.22</v>
      </c>
      <c r="I52" t="s">
        <v>180</v>
      </c>
      <c r="J52" t="s">
        <v>181</v>
      </c>
      <c r="K52" t="s">
        <v>182</v>
      </c>
      <c r="L52" t="s">
        <v>183</v>
      </c>
      <c r="M52" t="s">
        <v>18</v>
      </c>
      <c r="N52" t="s">
        <v>184</v>
      </c>
    </row>
    <row r="53" spans="1:14" x14ac:dyDescent="0.2">
      <c r="A53">
        <v>10299</v>
      </c>
      <c r="B53" t="s">
        <v>156</v>
      </c>
      <c r="C53">
        <v>4</v>
      </c>
      <c r="D53" s="1">
        <v>35314</v>
      </c>
      <c r="E53" s="1">
        <v>35342</v>
      </c>
      <c r="F53" s="1">
        <v>35321</v>
      </c>
      <c r="G53">
        <v>2</v>
      </c>
      <c r="H53" s="2">
        <v>29.76</v>
      </c>
      <c r="I53" t="s">
        <v>157</v>
      </c>
      <c r="J53" t="s">
        <v>158</v>
      </c>
      <c r="K53" t="s">
        <v>28</v>
      </c>
      <c r="L53" t="s">
        <v>29</v>
      </c>
      <c r="M53" t="s">
        <v>159</v>
      </c>
      <c r="N53" t="s">
        <v>31</v>
      </c>
    </row>
    <row r="54" spans="1:14" x14ac:dyDescent="0.2">
      <c r="A54">
        <v>10300</v>
      </c>
      <c r="B54" t="s">
        <v>125</v>
      </c>
      <c r="C54">
        <v>2</v>
      </c>
      <c r="D54" s="1">
        <v>35317</v>
      </c>
      <c r="E54" s="1">
        <v>35345</v>
      </c>
      <c r="F54" s="1">
        <v>35326</v>
      </c>
      <c r="G54">
        <v>2</v>
      </c>
      <c r="H54" s="2">
        <v>17.68</v>
      </c>
      <c r="I54" t="s">
        <v>126</v>
      </c>
      <c r="J54" t="s">
        <v>127</v>
      </c>
      <c r="K54" t="s">
        <v>128</v>
      </c>
      <c r="L54" t="s">
        <v>18</v>
      </c>
      <c r="M54">
        <v>24100</v>
      </c>
      <c r="N54" t="s">
        <v>129</v>
      </c>
    </row>
    <row r="55" spans="1:14" x14ac:dyDescent="0.2">
      <c r="A55">
        <v>10301</v>
      </c>
      <c r="B55" t="s">
        <v>185</v>
      </c>
      <c r="C55">
        <v>8</v>
      </c>
      <c r="D55" s="1">
        <v>35317</v>
      </c>
      <c r="E55" s="1">
        <v>35345</v>
      </c>
      <c r="F55" s="1">
        <v>35325</v>
      </c>
      <c r="G55">
        <v>2</v>
      </c>
      <c r="H55" s="2">
        <v>45.08</v>
      </c>
      <c r="I55" t="s">
        <v>186</v>
      </c>
      <c r="J55" t="s">
        <v>187</v>
      </c>
      <c r="K55" t="s">
        <v>188</v>
      </c>
      <c r="L55" t="s">
        <v>18</v>
      </c>
      <c r="M55">
        <v>70563</v>
      </c>
      <c r="N55" t="s">
        <v>24</v>
      </c>
    </row>
    <row r="56" spans="1:14" x14ac:dyDescent="0.2">
      <c r="A56">
        <v>10302</v>
      </c>
      <c r="B56" t="s">
        <v>36</v>
      </c>
      <c r="C56">
        <v>4</v>
      </c>
      <c r="D56" s="1">
        <v>35318</v>
      </c>
      <c r="E56" s="1">
        <v>35346</v>
      </c>
      <c r="F56" s="1">
        <v>35347</v>
      </c>
      <c r="G56">
        <v>2</v>
      </c>
      <c r="H56" s="2">
        <v>6.27</v>
      </c>
      <c r="I56" t="s">
        <v>37</v>
      </c>
      <c r="J56" t="s">
        <v>38</v>
      </c>
      <c r="K56" t="s">
        <v>39</v>
      </c>
      <c r="L56" t="s">
        <v>18</v>
      </c>
      <c r="M56" t="s">
        <v>40</v>
      </c>
      <c r="N56" t="s">
        <v>41</v>
      </c>
    </row>
    <row r="57" spans="1:14" x14ac:dyDescent="0.2">
      <c r="A57">
        <v>10303</v>
      </c>
      <c r="B57" t="s">
        <v>189</v>
      </c>
      <c r="C57">
        <v>7</v>
      </c>
      <c r="D57" s="1">
        <v>35319</v>
      </c>
      <c r="E57" s="1">
        <v>35347</v>
      </c>
      <c r="F57" s="1">
        <v>35326</v>
      </c>
      <c r="G57">
        <v>2</v>
      </c>
      <c r="H57" s="2">
        <v>107.83</v>
      </c>
      <c r="I57" t="s">
        <v>190</v>
      </c>
      <c r="J57" t="s">
        <v>191</v>
      </c>
      <c r="K57" t="s">
        <v>192</v>
      </c>
      <c r="L57" t="s">
        <v>18</v>
      </c>
      <c r="M57">
        <v>41101</v>
      </c>
      <c r="N57" t="s">
        <v>150</v>
      </c>
    </row>
    <row r="58" spans="1:14" x14ac:dyDescent="0.2">
      <c r="A58">
        <v>10304</v>
      </c>
      <c r="B58" t="s">
        <v>130</v>
      </c>
      <c r="C58">
        <v>1</v>
      </c>
      <c r="D58" s="1">
        <v>35320</v>
      </c>
      <c r="E58" s="1">
        <v>35348</v>
      </c>
      <c r="F58" s="1">
        <v>35325</v>
      </c>
      <c r="G58">
        <v>2</v>
      </c>
      <c r="H58" s="2">
        <v>63.79</v>
      </c>
      <c r="I58" t="s">
        <v>131</v>
      </c>
      <c r="J58" t="s">
        <v>132</v>
      </c>
      <c r="K58" t="s">
        <v>71</v>
      </c>
      <c r="L58" t="s">
        <v>18</v>
      </c>
      <c r="M58">
        <v>5033</v>
      </c>
      <c r="N58" t="s">
        <v>72</v>
      </c>
    </row>
    <row r="59" spans="1:14" x14ac:dyDescent="0.2">
      <c r="A59">
        <v>10305</v>
      </c>
      <c r="B59" t="s">
        <v>193</v>
      </c>
      <c r="C59">
        <v>8</v>
      </c>
      <c r="D59" s="1">
        <v>35321</v>
      </c>
      <c r="E59" s="1">
        <v>35349</v>
      </c>
      <c r="F59" s="1">
        <v>35347</v>
      </c>
      <c r="G59">
        <v>3</v>
      </c>
      <c r="H59" s="2">
        <v>257.62</v>
      </c>
      <c r="I59" t="s">
        <v>194</v>
      </c>
      <c r="J59" t="s">
        <v>195</v>
      </c>
      <c r="K59" t="s">
        <v>196</v>
      </c>
      <c r="L59" t="s">
        <v>197</v>
      </c>
      <c r="M59">
        <v>99508</v>
      </c>
      <c r="N59" t="s">
        <v>86</v>
      </c>
    </row>
    <row r="60" spans="1:14" x14ac:dyDescent="0.2">
      <c r="A60">
        <v>10306</v>
      </c>
      <c r="B60" t="s">
        <v>146</v>
      </c>
      <c r="C60">
        <v>1</v>
      </c>
      <c r="D60" s="1">
        <v>35324</v>
      </c>
      <c r="E60" s="1">
        <v>35352</v>
      </c>
      <c r="F60" s="1">
        <v>35331</v>
      </c>
      <c r="G60">
        <v>3</v>
      </c>
      <c r="H60" s="2">
        <v>7.56</v>
      </c>
      <c r="I60" t="s">
        <v>147</v>
      </c>
      <c r="J60" t="s">
        <v>148</v>
      </c>
      <c r="K60" t="s">
        <v>149</v>
      </c>
      <c r="L60" t="s">
        <v>18</v>
      </c>
      <c r="M60">
        <v>28001</v>
      </c>
      <c r="N60" t="s">
        <v>150</v>
      </c>
    </row>
    <row r="61" spans="1:14" x14ac:dyDescent="0.2">
      <c r="A61">
        <v>10307</v>
      </c>
      <c r="B61" t="s">
        <v>198</v>
      </c>
      <c r="C61">
        <v>2</v>
      </c>
      <c r="D61" s="1">
        <v>35325</v>
      </c>
      <c r="E61" s="1">
        <v>35353</v>
      </c>
      <c r="F61" s="1">
        <v>35333</v>
      </c>
      <c r="G61">
        <v>2</v>
      </c>
      <c r="H61" s="2">
        <v>0.56000000000000005</v>
      </c>
      <c r="I61" t="s">
        <v>199</v>
      </c>
      <c r="J61" t="s">
        <v>200</v>
      </c>
      <c r="K61" t="s">
        <v>201</v>
      </c>
      <c r="L61" t="s">
        <v>202</v>
      </c>
      <c r="M61">
        <v>97219</v>
      </c>
      <c r="N61" t="s">
        <v>86</v>
      </c>
    </row>
    <row r="62" spans="1:14" x14ac:dyDescent="0.2">
      <c r="A62">
        <v>10308</v>
      </c>
      <c r="B62" t="s">
        <v>203</v>
      </c>
      <c r="C62">
        <v>7</v>
      </c>
      <c r="D62" s="1">
        <v>35326</v>
      </c>
      <c r="E62" s="1">
        <v>35354</v>
      </c>
      <c r="F62" s="1">
        <v>35332</v>
      </c>
      <c r="G62">
        <v>3</v>
      </c>
      <c r="H62" s="2">
        <v>1.61</v>
      </c>
      <c r="I62" t="s">
        <v>204</v>
      </c>
      <c r="J62" t="s">
        <v>205</v>
      </c>
      <c r="K62" t="s">
        <v>71</v>
      </c>
      <c r="L62" t="s">
        <v>18</v>
      </c>
      <c r="M62">
        <v>5021</v>
      </c>
      <c r="N62" t="s">
        <v>72</v>
      </c>
    </row>
    <row r="63" spans="1:14" x14ac:dyDescent="0.2">
      <c r="A63">
        <v>10309</v>
      </c>
      <c r="B63" t="s">
        <v>179</v>
      </c>
      <c r="C63">
        <v>3</v>
      </c>
      <c r="D63" s="1">
        <v>35327</v>
      </c>
      <c r="E63" s="1">
        <v>35355</v>
      </c>
      <c r="F63" s="1">
        <v>35361</v>
      </c>
      <c r="G63">
        <v>1</v>
      </c>
      <c r="H63" s="2">
        <v>47.3</v>
      </c>
      <c r="I63" t="s">
        <v>180</v>
      </c>
      <c r="J63" t="s">
        <v>181</v>
      </c>
      <c r="K63" t="s">
        <v>182</v>
      </c>
      <c r="L63" t="s">
        <v>183</v>
      </c>
      <c r="M63" t="s">
        <v>18</v>
      </c>
      <c r="N63" t="s">
        <v>184</v>
      </c>
    </row>
    <row r="64" spans="1:14" x14ac:dyDescent="0.2">
      <c r="A64">
        <v>10310</v>
      </c>
      <c r="B64" t="s">
        <v>206</v>
      </c>
      <c r="C64">
        <v>8</v>
      </c>
      <c r="D64" s="1">
        <v>35328</v>
      </c>
      <c r="E64" s="1">
        <v>35356</v>
      </c>
      <c r="F64" s="1">
        <v>35335</v>
      </c>
      <c r="G64">
        <v>2</v>
      </c>
      <c r="H64" s="2">
        <v>17.52</v>
      </c>
      <c r="I64" t="s">
        <v>207</v>
      </c>
      <c r="J64" t="s">
        <v>208</v>
      </c>
      <c r="K64" t="s">
        <v>201</v>
      </c>
      <c r="L64" t="s">
        <v>202</v>
      </c>
      <c r="M64">
        <v>97201</v>
      </c>
      <c r="N64" t="s">
        <v>86</v>
      </c>
    </row>
    <row r="65" spans="1:14" x14ac:dyDescent="0.2">
      <c r="A65">
        <v>10311</v>
      </c>
      <c r="B65" t="s">
        <v>209</v>
      </c>
      <c r="C65">
        <v>1</v>
      </c>
      <c r="D65" s="1">
        <v>35328</v>
      </c>
      <c r="E65" s="1">
        <v>35342</v>
      </c>
      <c r="F65" s="1">
        <v>35334</v>
      </c>
      <c r="G65">
        <v>3</v>
      </c>
      <c r="H65" s="2">
        <v>24.69</v>
      </c>
      <c r="I65" t="s">
        <v>210</v>
      </c>
      <c r="J65" t="s">
        <v>211</v>
      </c>
      <c r="K65" t="s">
        <v>212</v>
      </c>
      <c r="L65" t="s">
        <v>18</v>
      </c>
      <c r="M65">
        <v>44000</v>
      </c>
      <c r="N65" t="s">
        <v>19</v>
      </c>
    </row>
    <row r="66" spans="1:14" x14ac:dyDescent="0.2">
      <c r="A66">
        <v>10312</v>
      </c>
      <c r="B66" t="s">
        <v>185</v>
      </c>
      <c r="C66">
        <v>2</v>
      </c>
      <c r="D66" s="1">
        <v>35331</v>
      </c>
      <c r="E66" s="1">
        <v>35359</v>
      </c>
      <c r="F66" s="1">
        <v>35341</v>
      </c>
      <c r="G66">
        <v>2</v>
      </c>
      <c r="H66" s="2">
        <v>40.26</v>
      </c>
      <c r="I66" t="s">
        <v>186</v>
      </c>
      <c r="J66" t="s">
        <v>187</v>
      </c>
      <c r="K66" t="s">
        <v>188</v>
      </c>
      <c r="L66" t="s">
        <v>18</v>
      </c>
      <c r="M66">
        <v>70563</v>
      </c>
      <c r="N66" t="s">
        <v>24</v>
      </c>
    </row>
    <row r="67" spans="1:14" x14ac:dyDescent="0.2">
      <c r="A67">
        <v>10313</v>
      </c>
      <c r="B67" t="s">
        <v>121</v>
      </c>
      <c r="C67">
        <v>2</v>
      </c>
      <c r="D67" s="1">
        <v>35332</v>
      </c>
      <c r="E67" s="1">
        <v>35360</v>
      </c>
      <c r="F67" s="1">
        <v>35342</v>
      </c>
      <c r="G67">
        <v>2</v>
      </c>
      <c r="H67" s="2">
        <v>1.96</v>
      </c>
      <c r="I67" t="s">
        <v>122</v>
      </c>
      <c r="J67" t="s">
        <v>123</v>
      </c>
      <c r="K67" t="s">
        <v>124</v>
      </c>
      <c r="L67" t="s">
        <v>18</v>
      </c>
      <c r="M67">
        <v>1307</v>
      </c>
      <c r="N67" t="s">
        <v>24</v>
      </c>
    </row>
    <row r="68" spans="1:14" x14ac:dyDescent="0.2">
      <c r="A68">
        <v>10314</v>
      </c>
      <c r="B68" t="s">
        <v>81</v>
      </c>
      <c r="C68">
        <v>1</v>
      </c>
      <c r="D68" s="1">
        <v>35333</v>
      </c>
      <c r="E68" s="1">
        <v>35361</v>
      </c>
      <c r="F68" s="1">
        <v>35342</v>
      </c>
      <c r="G68">
        <v>2</v>
      </c>
      <c r="H68" s="2">
        <v>74.16</v>
      </c>
      <c r="I68" t="s">
        <v>82</v>
      </c>
      <c r="J68" t="s">
        <v>83</v>
      </c>
      <c r="K68" t="s">
        <v>84</v>
      </c>
      <c r="L68" t="s">
        <v>85</v>
      </c>
      <c r="M68">
        <v>87110</v>
      </c>
      <c r="N68" t="s">
        <v>86</v>
      </c>
    </row>
    <row r="69" spans="1:14" x14ac:dyDescent="0.2">
      <c r="A69">
        <v>10315</v>
      </c>
      <c r="B69" t="s">
        <v>213</v>
      </c>
      <c r="C69">
        <v>4</v>
      </c>
      <c r="D69" s="1">
        <v>35334</v>
      </c>
      <c r="E69" s="1">
        <v>35362</v>
      </c>
      <c r="F69" s="1">
        <v>35341</v>
      </c>
      <c r="G69">
        <v>2</v>
      </c>
      <c r="H69" s="2">
        <v>41.76</v>
      </c>
      <c r="I69" t="s">
        <v>214</v>
      </c>
      <c r="J69" t="s">
        <v>215</v>
      </c>
      <c r="K69" t="s">
        <v>216</v>
      </c>
      <c r="L69" t="s">
        <v>217</v>
      </c>
      <c r="M69" t="s">
        <v>218</v>
      </c>
      <c r="N69" t="s">
        <v>169</v>
      </c>
    </row>
    <row r="70" spans="1:14" x14ac:dyDescent="0.2">
      <c r="A70">
        <v>10316</v>
      </c>
      <c r="B70" t="s">
        <v>81</v>
      </c>
      <c r="C70">
        <v>1</v>
      </c>
      <c r="D70" s="1">
        <v>35335</v>
      </c>
      <c r="E70" s="1">
        <v>35363</v>
      </c>
      <c r="F70" s="1">
        <v>35346</v>
      </c>
      <c r="G70">
        <v>3</v>
      </c>
      <c r="H70" s="2">
        <v>150.15</v>
      </c>
      <c r="I70" t="s">
        <v>82</v>
      </c>
      <c r="J70" t="s">
        <v>83</v>
      </c>
      <c r="K70" t="s">
        <v>84</v>
      </c>
      <c r="L70" t="s">
        <v>85</v>
      </c>
      <c r="M70">
        <v>87110</v>
      </c>
      <c r="N70" t="s">
        <v>86</v>
      </c>
    </row>
    <row r="71" spans="1:14" x14ac:dyDescent="0.2">
      <c r="A71">
        <v>10317</v>
      </c>
      <c r="B71" t="s">
        <v>198</v>
      </c>
      <c r="C71">
        <v>6</v>
      </c>
      <c r="D71" s="1">
        <v>35338</v>
      </c>
      <c r="E71" s="1">
        <v>35366</v>
      </c>
      <c r="F71" s="1">
        <v>35348</v>
      </c>
      <c r="G71">
        <v>1</v>
      </c>
      <c r="H71" s="2">
        <v>12.69</v>
      </c>
      <c r="I71" t="s">
        <v>199</v>
      </c>
      <c r="J71" t="s">
        <v>200</v>
      </c>
      <c r="K71" t="s">
        <v>201</v>
      </c>
      <c r="L71" t="s">
        <v>202</v>
      </c>
      <c r="M71">
        <v>97219</v>
      </c>
      <c r="N71" t="s">
        <v>86</v>
      </c>
    </row>
    <row r="72" spans="1:14" x14ac:dyDescent="0.2">
      <c r="A72">
        <v>10318</v>
      </c>
      <c r="B72" t="s">
        <v>213</v>
      </c>
      <c r="C72">
        <v>8</v>
      </c>
      <c r="D72" s="1">
        <v>35339</v>
      </c>
      <c r="E72" s="1">
        <v>35367</v>
      </c>
      <c r="F72" s="1">
        <v>35342</v>
      </c>
      <c r="G72">
        <v>2</v>
      </c>
      <c r="H72" s="2">
        <v>4.7300000000000004</v>
      </c>
      <c r="I72" t="s">
        <v>214</v>
      </c>
      <c r="J72" t="s">
        <v>215</v>
      </c>
      <c r="K72" t="s">
        <v>216</v>
      </c>
      <c r="L72" t="s">
        <v>217</v>
      </c>
      <c r="M72" t="s">
        <v>218</v>
      </c>
      <c r="N72" t="s">
        <v>169</v>
      </c>
    </row>
    <row r="73" spans="1:14" x14ac:dyDescent="0.2">
      <c r="A73">
        <v>10319</v>
      </c>
      <c r="B73" t="s">
        <v>130</v>
      </c>
      <c r="C73">
        <v>7</v>
      </c>
      <c r="D73" s="1">
        <v>35340</v>
      </c>
      <c r="E73" s="1">
        <v>35368</v>
      </c>
      <c r="F73" s="1">
        <v>35349</v>
      </c>
      <c r="G73">
        <v>3</v>
      </c>
      <c r="H73" s="2">
        <v>64.5</v>
      </c>
      <c r="I73" t="s">
        <v>131</v>
      </c>
      <c r="J73" t="s">
        <v>132</v>
      </c>
      <c r="K73" t="s">
        <v>71</v>
      </c>
      <c r="L73" t="s">
        <v>18</v>
      </c>
      <c r="M73">
        <v>5033</v>
      </c>
      <c r="N73" t="s">
        <v>72</v>
      </c>
    </row>
    <row r="74" spans="1:14" x14ac:dyDescent="0.2">
      <c r="A74">
        <v>10320</v>
      </c>
      <c r="B74" t="s">
        <v>97</v>
      </c>
      <c r="C74">
        <v>5</v>
      </c>
      <c r="D74" s="1">
        <v>35341</v>
      </c>
      <c r="E74" s="1">
        <v>35355</v>
      </c>
      <c r="F74" s="1">
        <v>35356</v>
      </c>
      <c r="G74">
        <v>3</v>
      </c>
      <c r="H74" s="2">
        <v>34.57</v>
      </c>
      <c r="I74" t="s">
        <v>98</v>
      </c>
      <c r="J74" t="s">
        <v>99</v>
      </c>
      <c r="K74" t="s">
        <v>100</v>
      </c>
      <c r="L74" t="s">
        <v>18</v>
      </c>
      <c r="M74">
        <v>90110</v>
      </c>
      <c r="N74" t="s">
        <v>101</v>
      </c>
    </row>
    <row r="75" spans="1:14" x14ac:dyDescent="0.2">
      <c r="A75">
        <v>10321</v>
      </c>
      <c r="B75" t="s">
        <v>213</v>
      </c>
      <c r="C75">
        <v>3</v>
      </c>
      <c r="D75" s="1">
        <v>35341</v>
      </c>
      <c r="E75" s="1">
        <v>35369</v>
      </c>
      <c r="F75" s="1">
        <v>35349</v>
      </c>
      <c r="G75">
        <v>2</v>
      </c>
      <c r="H75" s="2">
        <v>3.43</v>
      </c>
      <c r="I75" t="s">
        <v>214</v>
      </c>
      <c r="J75" t="s">
        <v>215</v>
      </c>
      <c r="K75" t="s">
        <v>216</v>
      </c>
      <c r="L75" t="s">
        <v>217</v>
      </c>
      <c r="M75" t="s">
        <v>218</v>
      </c>
      <c r="N75" t="s">
        <v>169</v>
      </c>
    </row>
    <row r="76" spans="1:14" x14ac:dyDescent="0.2">
      <c r="A76">
        <v>10322</v>
      </c>
      <c r="B76" t="s">
        <v>219</v>
      </c>
      <c r="C76">
        <v>7</v>
      </c>
      <c r="D76" s="1">
        <v>35342</v>
      </c>
      <c r="E76" s="1">
        <v>35370</v>
      </c>
      <c r="F76" s="1">
        <v>35361</v>
      </c>
      <c r="G76">
        <v>3</v>
      </c>
      <c r="H76" s="2">
        <v>0.4</v>
      </c>
      <c r="I76" t="s">
        <v>220</v>
      </c>
      <c r="J76" t="s">
        <v>221</v>
      </c>
      <c r="K76" t="s">
        <v>71</v>
      </c>
      <c r="L76" t="s">
        <v>18</v>
      </c>
      <c r="M76">
        <v>5033</v>
      </c>
      <c r="N76" t="s">
        <v>72</v>
      </c>
    </row>
    <row r="77" spans="1:14" x14ac:dyDescent="0.2">
      <c r="A77">
        <v>10323</v>
      </c>
      <c r="B77" t="s">
        <v>222</v>
      </c>
      <c r="C77">
        <v>4</v>
      </c>
      <c r="D77" s="1">
        <v>35345</v>
      </c>
      <c r="E77" s="1">
        <v>35373</v>
      </c>
      <c r="F77" s="1">
        <v>35352</v>
      </c>
      <c r="G77">
        <v>1</v>
      </c>
      <c r="H77" s="2">
        <v>4.88</v>
      </c>
      <c r="I77" t="s">
        <v>223</v>
      </c>
      <c r="J77" t="s">
        <v>224</v>
      </c>
      <c r="K77" t="s">
        <v>225</v>
      </c>
      <c r="L77" t="s">
        <v>18</v>
      </c>
      <c r="M77">
        <v>14776</v>
      </c>
      <c r="N77" t="s">
        <v>24</v>
      </c>
    </row>
    <row r="78" spans="1:14" x14ac:dyDescent="0.2">
      <c r="A78">
        <v>10324</v>
      </c>
      <c r="B78" t="s">
        <v>226</v>
      </c>
      <c r="C78">
        <v>9</v>
      </c>
      <c r="D78" s="1">
        <v>35346</v>
      </c>
      <c r="E78" s="1">
        <v>35374</v>
      </c>
      <c r="F78" s="1">
        <v>35348</v>
      </c>
      <c r="G78">
        <v>1</v>
      </c>
      <c r="H78" s="2">
        <v>214.27</v>
      </c>
      <c r="I78" t="s">
        <v>227</v>
      </c>
      <c r="J78" t="s">
        <v>228</v>
      </c>
      <c r="K78" t="s">
        <v>229</v>
      </c>
      <c r="L78" t="s">
        <v>230</v>
      </c>
      <c r="M78">
        <v>83720</v>
      </c>
      <c r="N78" t="s">
        <v>86</v>
      </c>
    </row>
    <row r="79" spans="1:14" x14ac:dyDescent="0.2">
      <c r="A79">
        <v>10325</v>
      </c>
      <c r="B79" t="s">
        <v>222</v>
      </c>
      <c r="C79">
        <v>1</v>
      </c>
      <c r="D79" s="1">
        <v>35347</v>
      </c>
      <c r="E79" s="1">
        <v>35361</v>
      </c>
      <c r="F79" s="1">
        <v>35352</v>
      </c>
      <c r="G79">
        <v>3</v>
      </c>
      <c r="H79" s="2">
        <v>64.86</v>
      </c>
      <c r="I79" t="s">
        <v>223</v>
      </c>
      <c r="J79" t="s">
        <v>224</v>
      </c>
      <c r="K79" t="s">
        <v>225</v>
      </c>
      <c r="L79" t="s">
        <v>18</v>
      </c>
      <c r="M79">
        <v>14776</v>
      </c>
      <c r="N79" t="s">
        <v>24</v>
      </c>
    </row>
    <row r="80" spans="1:14" x14ac:dyDescent="0.2">
      <c r="A80">
        <v>10326</v>
      </c>
      <c r="B80" t="s">
        <v>231</v>
      </c>
      <c r="C80">
        <v>4</v>
      </c>
      <c r="D80" s="1">
        <v>35348</v>
      </c>
      <c r="E80" s="1">
        <v>35376</v>
      </c>
      <c r="F80" s="1">
        <v>35352</v>
      </c>
      <c r="G80">
        <v>2</v>
      </c>
      <c r="H80" s="2">
        <v>77.92</v>
      </c>
      <c r="I80" t="s">
        <v>232</v>
      </c>
      <c r="J80" t="s">
        <v>233</v>
      </c>
      <c r="K80" t="s">
        <v>149</v>
      </c>
      <c r="L80" t="s">
        <v>18</v>
      </c>
      <c r="M80">
        <v>28023</v>
      </c>
      <c r="N80" t="s">
        <v>150</v>
      </c>
    </row>
    <row r="81" spans="1:14" x14ac:dyDescent="0.2">
      <c r="A81">
        <v>10327</v>
      </c>
      <c r="B81" t="s">
        <v>87</v>
      </c>
      <c r="C81">
        <v>2</v>
      </c>
      <c r="D81" s="1">
        <v>35349</v>
      </c>
      <c r="E81" s="1">
        <v>35377</v>
      </c>
      <c r="F81" s="1">
        <v>35352</v>
      </c>
      <c r="G81">
        <v>1</v>
      </c>
      <c r="H81" s="2">
        <v>63.36</v>
      </c>
      <c r="I81" t="s">
        <v>88</v>
      </c>
      <c r="J81" t="s">
        <v>89</v>
      </c>
      <c r="K81" t="s">
        <v>90</v>
      </c>
      <c r="L81" t="s">
        <v>18</v>
      </c>
      <c r="M81" t="s">
        <v>91</v>
      </c>
      <c r="N81" t="s">
        <v>92</v>
      </c>
    </row>
    <row r="82" spans="1:14" x14ac:dyDescent="0.2">
      <c r="A82">
        <v>10328</v>
      </c>
      <c r="B82" t="s">
        <v>234</v>
      </c>
      <c r="C82">
        <v>4</v>
      </c>
      <c r="D82" s="1">
        <v>35352</v>
      </c>
      <c r="E82" s="1">
        <v>35380</v>
      </c>
      <c r="F82" s="1">
        <v>35355</v>
      </c>
      <c r="G82">
        <v>3</v>
      </c>
      <c r="H82" s="2">
        <v>87.03</v>
      </c>
      <c r="I82" t="s">
        <v>235</v>
      </c>
      <c r="J82" t="s">
        <v>236</v>
      </c>
      <c r="K82" t="s">
        <v>237</v>
      </c>
      <c r="L82" t="s">
        <v>18</v>
      </c>
      <c r="M82">
        <v>1675</v>
      </c>
      <c r="N82" t="s">
        <v>238</v>
      </c>
    </row>
    <row r="83" spans="1:14" x14ac:dyDescent="0.2">
      <c r="A83">
        <v>10329</v>
      </c>
      <c r="B83" t="s">
        <v>116</v>
      </c>
      <c r="C83">
        <v>4</v>
      </c>
      <c r="D83" s="1">
        <v>35353</v>
      </c>
      <c r="E83" s="1">
        <v>35395</v>
      </c>
      <c r="F83" s="1">
        <v>35361</v>
      </c>
      <c r="G83">
        <v>2</v>
      </c>
      <c r="H83" s="2">
        <v>191.67</v>
      </c>
      <c r="I83" t="s">
        <v>117</v>
      </c>
      <c r="J83" t="s">
        <v>118</v>
      </c>
      <c r="K83" t="s">
        <v>119</v>
      </c>
      <c r="L83" t="s">
        <v>120</v>
      </c>
      <c r="M83">
        <v>82520</v>
      </c>
      <c r="N83" t="s">
        <v>86</v>
      </c>
    </row>
    <row r="84" spans="1:14" x14ac:dyDescent="0.2">
      <c r="A84">
        <v>10330</v>
      </c>
      <c r="B84" t="s">
        <v>151</v>
      </c>
      <c r="C84">
        <v>3</v>
      </c>
      <c r="D84" s="1">
        <v>35354</v>
      </c>
      <c r="E84" s="1">
        <v>35382</v>
      </c>
      <c r="F84" s="1">
        <v>35366</v>
      </c>
      <c r="G84">
        <v>1</v>
      </c>
      <c r="H84" s="2">
        <v>12.75</v>
      </c>
      <c r="I84" t="s">
        <v>152</v>
      </c>
      <c r="J84" t="s">
        <v>153</v>
      </c>
      <c r="K84" t="s">
        <v>154</v>
      </c>
      <c r="L84" t="s">
        <v>155</v>
      </c>
      <c r="M84">
        <v>3508</v>
      </c>
      <c r="N84" t="s">
        <v>62</v>
      </c>
    </row>
    <row r="85" spans="1:14" x14ac:dyDescent="0.2">
      <c r="A85">
        <v>10331</v>
      </c>
      <c r="B85" t="s">
        <v>239</v>
      </c>
      <c r="C85">
        <v>9</v>
      </c>
      <c r="D85" s="1">
        <v>35354</v>
      </c>
      <c r="E85" s="1">
        <v>35396</v>
      </c>
      <c r="F85" s="1">
        <v>35359</v>
      </c>
      <c r="G85">
        <v>1</v>
      </c>
      <c r="H85" s="2">
        <v>10.19</v>
      </c>
      <c r="I85" t="s">
        <v>240</v>
      </c>
      <c r="J85" t="s">
        <v>241</v>
      </c>
      <c r="K85" t="s">
        <v>242</v>
      </c>
      <c r="L85" t="s">
        <v>18</v>
      </c>
      <c r="M85">
        <v>13008</v>
      </c>
      <c r="N85" t="s">
        <v>19</v>
      </c>
    </row>
    <row r="86" spans="1:14" x14ac:dyDescent="0.2">
      <c r="A86">
        <v>10332</v>
      </c>
      <c r="B86" t="s">
        <v>243</v>
      </c>
      <c r="C86">
        <v>3</v>
      </c>
      <c r="D86" s="1">
        <v>35355</v>
      </c>
      <c r="E86" s="1">
        <v>35397</v>
      </c>
      <c r="F86" s="1">
        <v>35359</v>
      </c>
      <c r="G86">
        <v>2</v>
      </c>
      <c r="H86" s="2">
        <v>52.84</v>
      </c>
      <c r="I86" t="s">
        <v>244</v>
      </c>
      <c r="J86" t="s">
        <v>245</v>
      </c>
      <c r="K86" t="s">
        <v>246</v>
      </c>
      <c r="L86" t="s">
        <v>247</v>
      </c>
      <c r="M86" t="s">
        <v>248</v>
      </c>
      <c r="N86" t="s">
        <v>249</v>
      </c>
    </row>
    <row r="87" spans="1:14" x14ac:dyDescent="0.2">
      <c r="A87">
        <v>10333</v>
      </c>
      <c r="B87" t="s">
        <v>97</v>
      </c>
      <c r="C87">
        <v>5</v>
      </c>
      <c r="D87" s="1">
        <v>35356</v>
      </c>
      <c r="E87" s="1">
        <v>35384</v>
      </c>
      <c r="F87" s="1">
        <v>35363</v>
      </c>
      <c r="G87">
        <v>3</v>
      </c>
      <c r="H87" s="2">
        <v>0.59</v>
      </c>
      <c r="I87" t="s">
        <v>98</v>
      </c>
      <c r="J87" t="s">
        <v>99</v>
      </c>
      <c r="K87" t="s">
        <v>100</v>
      </c>
      <c r="L87" t="s">
        <v>18</v>
      </c>
      <c r="M87">
        <v>90110</v>
      </c>
      <c r="N87" t="s">
        <v>101</v>
      </c>
    </row>
    <row r="88" spans="1:14" x14ac:dyDescent="0.2">
      <c r="A88">
        <v>10334</v>
      </c>
      <c r="B88" t="s">
        <v>32</v>
      </c>
      <c r="C88">
        <v>8</v>
      </c>
      <c r="D88" s="1">
        <v>35359</v>
      </c>
      <c r="E88" s="1">
        <v>35387</v>
      </c>
      <c r="F88" s="1">
        <v>35366</v>
      </c>
      <c r="G88">
        <v>2</v>
      </c>
      <c r="H88" s="2">
        <v>8.56</v>
      </c>
      <c r="I88" t="s">
        <v>33</v>
      </c>
      <c r="J88" t="s">
        <v>34</v>
      </c>
      <c r="K88" t="s">
        <v>35</v>
      </c>
      <c r="L88" t="s">
        <v>18</v>
      </c>
      <c r="M88">
        <v>69004</v>
      </c>
      <c r="N88" t="s">
        <v>19</v>
      </c>
    </row>
    <row r="89" spans="1:14" x14ac:dyDescent="0.2">
      <c r="A89">
        <v>10335</v>
      </c>
      <c r="B89" t="s">
        <v>179</v>
      </c>
      <c r="C89">
        <v>7</v>
      </c>
      <c r="D89" s="1">
        <v>35360</v>
      </c>
      <c r="E89" s="1">
        <v>35388</v>
      </c>
      <c r="F89" s="1">
        <v>35362</v>
      </c>
      <c r="G89">
        <v>2</v>
      </c>
      <c r="H89" s="2">
        <v>42.11</v>
      </c>
      <c r="I89" t="s">
        <v>180</v>
      </c>
      <c r="J89" t="s">
        <v>181</v>
      </c>
      <c r="K89" t="s">
        <v>182</v>
      </c>
      <c r="L89" t="s">
        <v>183</v>
      </c>
      <c r="M89" t="s">
        <v>18</v>
      </c>
      <c r="N89" t="s">
        <v>184</v>
      </c>
    </row>
    <row r="90" spans="1:14" x14ac:dyDescent="0.2">
      <c r="A90">
        <v>10336</v>
      </c>
      <c r="B90" t="s">
        <v>250</v>
      </c>
      <c r="C90">
        <v>7</v>
      </c>
      <c r="D90" s="1">
        <v>35361</v>
      </c>
      <c r="E90" s="1">
        <v>35389</v>
      </c>
      <c r="F90" s="1">
        <v>35363</v>
      </c>
      <c r="G90">
        <v>2</v>
      </c>
      <c r="H90" s="2">
        <v>15.51</v>
      </c>
      <c r="I90" t="s">
        <v>251</v>
      </c>
      <c r="J90" t="s">
        <v>252</v>
      </c>
      <c r="K90" t="s">
        <v>237</v>
      </c>
      <c r="L90" t="s">
        <v>18</v>
      </c>
      <c r="M90">
        <v>1756</v>
      </c>
      <c r="N90" t="s">
        <v>238</v>
      </c>
    </row>
    <row r="91" spans="1:14" x14ac:dyDescent="0.2">
      <c r="A91">
        <v>10337</v>
      </c>
      <c r="B91" t="s">
        <v>102</v>
      </c>
      <c r="C91">
        <v>4</v>
      </c>
      <c r="D91" s="1">
        <v>35362</v>
      </c>
      <c r="E91" s="1">
        <v>35390</v>
      </c>
      <c r="F91" s="1">
        <v>35367</v>
      </c>
      <c r="G91">
        <v>3</v>
      </c>
      <c r="H91" s="2">
        <v>108.26</v>
      </c>
      <c r="I91" t="s">
        <v>103</v>
      </c>
      <c r="J91" t="s">
        <v>104</v>
      </c>
      <c r="K91" t="s">
        <v>105</v>
      </c>
      <c r="L91" t="s">
        <v>18</v>
      </c>
      <c r="M91">
        <v>80805</v>
      </c>
      <c r="N91" t="s">
        <v>24</v>
      </c>
    </row>
    <row r="92" spans="1:14" x14ac:dyDescent="0.2">
      <c r="A92">
        <v>10338</v>
      </c>
      <c r="B92" t="s">
        <v>193</v>
      </c>
      <c r="C92">
        <v>4</v>
      </c>
      <c r="D92" s="1">
        <v>35363</v>
      </c>
      <c r="E92" s="1">
        <v>35391</v>
      </c>
      <c r="F92" s="1">
        <v>35367</v>
      </c>
      <c r="G92">
        <v>3</v>
      </c>
      <c r="H92" s="2">
        <v>84.21</v>
      </c>
      <c r="I92" t="s">
        <v>194</v>
      </c>
      <c r="J92" t="s">
        <v>195</v>
      </c>
      <c r="K92" t="s">
        <v>196</v>
      </c>
      <c r="L92" t="s">
        <v>197</v>
      </c>
      <c r="M92">
        <v>99508</v>
      </c>
      <c r="N92" t="s">
        <v>86</v>
      </c>
    </row>
    <row r="93" spans="1:14" x14ac:dyDescent="0.2">
      <c r="A93">
        <v>10339</v>
      </c>
      <c r="B93" t="s">
        <v>243</v>
      </c>
      <c r="C93">
        <v>2</v>
      </c>
      <c r="D93" s="1">
        <v>35366</v>
      </c>
      <c r="E93" s="1">
        <v>35394</v>
      </c>
      <c r="F93" s="1">
        <v>35373</v>
      </c>
      <c r="G93">
        <v>2</v>
      </c>
      <c r="H93" s="2">
        <v>15.66</v>
      </c>
      <c r="I93" t="s">
        <v>244</v>
      </c>
      <c r="J93" t="s">
        <v>245</v>
      </c>
      <c r="K93" t="s">
        <v>246</v>
      </c>
      <c r="L93" t="s">
        <v>247</v>
      </c>
      <c r="M93" t="s">
        <v>248</v>
      </c>
      <c r="N93" t="s">
        <v>249</v>
      </c>
    </row>
    <row r="94" spans="1:14" x14ac:dyDescent="0.2">
      <c r="A94">
        <v>10340</v>
      </c>
      <c r="B94" t="s">
        <v>239</v>
      </c>
      <c r="C94">
        <v>1</v>
      </c>
      <c r="D94" s="1">
        <v>35367</v>
      </c>
      <c r="E94" s="1">
        <v>35395</v>
      </c>
      <c r="F94" s="1">
        <v>35377</v>
      </c>
      <c r="G94">
        <v>3</v>
      </c>
      <c r="H94" s="2">
        <v>166.31</v>
      </c>
      <c r="I94" t="s">
        <v>240</v>
      </c>
      <c r="J94" t="s">
        <v>241</v>
      </c>
      <c r="K94" t="s">
        <v>242</v>
      </c>
      <c r="L94" t="s">
        <v>18</v>
      </c>
      <c r="M94">
        <v>13008</v>
      </c>
      <c r="N94" t="s">
        <v>19</v>
      </c>
    </row>
    <row r="95" spans="1:14" x14ac:dyDescent="0.2">
      <c r="A95">
        <v>10341</v>
      </c>
      <c r="B95" t="s">
        <v>253</v>
      </c>
      <c r="C95">
        <v>7</v>
      </c>
      <c r="D95" s="1">
        <v>35367</v>
      </c>
      <c r="E95" s="1">
        <v>35395</v>
      </c>
      <c r="F95" s="1">
        <v>35374</v>
      </c>
      <c r="G95">
        <v>3</v>
      </c>
      <c r="H95" s="2">
        <v>26.78</v>
      </c>
      <c r="I95" t="s">
        <v>254</v>
      </c>
      <c r="J95" t="s">
        <v>255</v>
      </c>
      <c r="K95" t="s">
        <v>256</v>
      </c>
      <c r="L95" t="s">
        <v>18</v>
      </c>
      <c r="M95">
        <v>1734</v>
      </c>
      <c r="N95" t="s">
        <v>257</v>
      </c>
    </row>
    <row r="96" spans="1:14" x14ac:dyDescent="0.2">
      <c r="A96">
        <v>10342</v>
      </c>
      <c r="B96" t="s">
        <v>102</v>
      </c>
      <c r="C96">
        <v>4</v>
      </c>
      <c r="D96" s="1">
        <v>35368</v>
      </c>
      <c r="E96" s="1">
        <v>35382</v>
      </c>
      <c r="F96" s="1">
        <v>35373</v>
      </c>
      <c r="G96">
        <v>2</v>
      </c>
      <c r="H96" s="2">
        <v>54.83</v>
      </c>
      <c r="I96" t="s">
        <v>103</v>
      </c>
      <c r="J96" t="s">
        <v>104</v>
      </c>
      <c r="K96" t="s">
        <v>105</v>
      </c>
      <c r="L96" t="s">
        <v>18</v>
      </c>
      <c r="M96">
        <v>80805</v>
      </c>
      <c r="N96" t="s">
        <v>24</v>
      </c>
    </row>
    <row r="97" spans="1:14" x14ac:dyDescent="0.2">
      <c r="A97">
        <v>10343</v>
      </c>
      <c r="B97" t="s">
        <v>142</v>
      </c>
      <c r="C97">
        <v>4</v>
      </c>
      <c r="D97" s="1">
        <v>35369</v>
      </c>
      <c r="E97" s="1">
        <v>35397</v>
      </c>
      <c r="F97" s="1">
        <v>35375</v>
      </c>
      <c r="G97">
        <v>1</v>
      </c>
      <c r="H97" s="2">
        <v>110.37</v>
      </c>
      <c r="I97" t="s">
        <v>143</v>
      </c>
      <c r="J97" t="s">
        <v>144</v>
      </c>
      <c r="K97" t="s">
        <v>145</v>
      </c>
      <c r="L97" t="s">
        <v>18</v>
      </c>
      <c r="M97">
        <v>60528</v>
      </c>
      <c r="N97" t="s">
        <v>24</v>
      </c>
    </row>
    <row r="98" spans="1:14" x14ac:dyDescent="0.2">
      <c r="A98">
        <v>10344</v>
      </c>
      <c r="B98" t="s">
        <v>111</v>
      </c>
      <c r="C98">
        <v>4</v>
      </c>
      <c r="D98" s="1">
        <v>35370</v>
      </c>
      <c r="E98" s="1">
        <v>35398</v>
      </c>
      <c r="F98" s="1">
        <v>35374</v>
      </c>
      <c r="G98">
        <v>2</v>
      </c>
      <c r="H98" s="2">
        <v>23.29</v>
      </c>
      <c r="I98" t="s">
        <v>112</v>
      </c>
      <c r="J98" t="s">
        <v>113</v>
      </c>
      <c r="K98" t="s">
        <v>114</v>
      </c>
      <c r="L98" t="s">
        <v>115</v>
      </c>
      <c r="M98">
        <v>98124</v>
      </c>
      <c r="N98" t="s">
        <v>86</v>
      </c>
    </row>
    <row r="99" spans="1:14" x14ac:dyDescent="0.2">
      <c r="A99">
        <v>10345</v>
      </c>
      <c r="B99" t="s">
        <v>121</v>
      </c>
      <c r="C99">
        <v>2</v>
      </c>
      <c r="D99" s="1">
        <v>35373</v>
      </c>
      <c r="E99" s="1">
        <v>35401</v>
      </c>
      <c r="F99" s="1">
        <v>35380</v>
      </c>
      <c r="G99">
        <v>2</v>
      </c>
      <c r="H99" s="2">
        <v>249.06</v>
      </c>
      <c r="I99" t="s">
        <v>122</v>
      </c>
      <c r="J99" t="s">
        <v>123</v>
      </c>
      <c r="K99" t="s">
        <v>124</v>
      </c>
      <c r="L99" t="s">
        <v>18</v>
      </c>
      <c r="M99">
        <v>1307</v>
      </c>
      <c r="N99" t="s">
        <v>24</v>
      </c>
    </row>
    <row r="100" spans="1:14" x14ac:dyDescent="0.2">
      <c r="A100">
        <v>10346</v>
      </c>
      <c r="B100" t="s">
        <v>81</v>
      </c>
      <c r="C100">
        <v>3</v>
      </c>
      <c r="D100" s="1">
        <v>35374</v>
      </c>
      <c r="E100" s="1">
        <v>35416</v>
      </c>
      <c r="F100" s="1">
        <v>35377</v>
      </c>
      <c r="G100">
        <v>3</v>
      </c>
      <c r="H100" s="2">
        <v>142.08000000000001</v>
      </c>
      <c r="I100" t="s">
        <v>82</v>
      </c>
      <c r="J100" t="s">
        <v>83</v>
      </c>
      <c r="K100" t="s">
        <v>84</v>
      </c>
      <c r="L100" t="s">
        <v>85</v>
      </c>
      <c r="M100">
        <v>87110</v>
      </c>
      <c r="N100" t="s">
        <v>86</v>
      </c>
    </row>
    <row r="101" spans="1:14" x14ac:dyDescent="0.2">
      <c r="A101">
        <v>10347</v>
      </c>
      <c r="B101" t="s">
        <v>258</v>
      </c>
      <c r="C101">
        <v>4</v>
      </c>
      <c r="D101" s="1">
        <v>35375</v>
      </c>
      <c r="E101" s="1">
        <v>35403</v>
      </c>
      <c r="F101" s="1">
        <v>35377</v>
      </c>
      <c r="G101">
        <v>3</v>
      </c>
      <c r="H101" s="2">
        <v>3.1</v>
      </c>
      <c r="I101" t="s">
        <v>259</v>
      </c>
      <c r="J101" t="s">
        <v>260</v>
      </c>
      <c r="K101" t="s">
        <v>173</v>
      </c>
      <c r="L101" t="s">
        <v>55</v>
      </c>
      <c r="M101" t="s">
        <v>261</v>
      </c>
      <c r="N101" t="s">
        <v>31</v>
      </c>
    </row>
    <row r="102" spans="1:14" x14ac:dyDescent="0.2">
      <c r="A102">
        <v>10348</v>
      </c>
      <c r="B102" t="s">
        <v>185</v>
      </c>
      <c r="C102">
        <v>4</v>
      </c>
      <c r="D102" s="1">
        <v>35376</v>
      </c>
      <c r="E102" s="1">
        <v>35404</v>
      </c>
      <c r="F102" s="1">
        <v>35384</v>
      </c>
      <c r="G102">
        <v>2</v>
      </c>
      <c r="H102" s="2">
        <v>0.78</v>
      </c>
      <c r="I102" t="s">
        <v>186</v>
      </c>
      <c r="J102" t="s">
        <v>187</v>
      </c>
      <c r="K102" t="s">
        <v>188</v>
      </c>
      <c r="L102" t="s">
        <v>18</v>
      </c>
      <c r="M102">
        <v>70563</v>
      </c>
      <c r="N102" t="s">
        <v>24</v>
      </c>
    </row>
    <row r="103" spans="1:14" x14ac:dyDescent="0.2">
      <c r="A103">
        <v>10349</v>
      </c>
      <c r="B103" t="s">
        <v>116</v>
      </c>
      <c r="C103">
        <v>7</v>
      </c>
      <c r="D103" s="1">
        <v>35377</v>
      </c>
      <c r="E103" s="1">
        <v>35405</v>
      </c>
      <c r="F103" s="1">
        <v>35384</v>
      </c>
      <c r="G103">
        <v>1</v>
      </c>
      <c r="H103" s="2">
        <v>8.6300000000000008</v>
      </c>
      <c r="I103" t="s">
        <v>117</v>
      </c>
      <c r="J103" t="s">
        <v>118</v>
      </c>
      <c r="K103" t="s">
        <v>119</v>
      </c>
      <c r="L103" t="s">
        <v>120</v>
      </c>
      <c r="M103">
        <v>82520</v>
      </c>
      <c r="N103" t="s">
        <v>86</v>
      </c>
    </row>
    <row r="104" spans="1:14" x14ac:dyDescent="0.2">
      <c r="A104">
        <v>10350</v>
      </c>
      <c r="B104" t="s">
        <v>262</v>
      </c>
      <c r="C104">
        <v>6</v>
      </c>
      <c r="D104" s="1">
        <v>35380</v>
      </c>
      <c r="E104" s="1">
        <v>35408</v>
      </c>
      <c r="F104" s="1">
        <v>35402</v>
      </c>
      <c r="G104">
        <v>2</v>
      </c>
      <c r="H104" s="2">
        <v>64.19</v>
      </c>
      <c r="I104" t="s">
        <v>263</v>
      </c>
      <c r="J104" t="s">
        <v>264</v>
      </c>
      <c r="K104" t="s">
        <v>265</v>
      </c>
      <c r="L104" t="s">
        <v>18</v>
      </c>
      <c r="M104">
        <v>31000</v>
      </c>
      <c r="N104" t="s">
        <v>19</v>
      </c>
    </row>
    <row r="105" spans="1:14" x14ac:dyDescent="0.2">
      <c r="A105">
        <v>10351</v>
      </c>
      <c r="B105" t="s">
        <v>63</v>
      </c>
      <c r="C105">
        <v>1</v>
      </c>
      <c r="D105" s="1">
        <v>35380</v>
      </c>
      <c r="E105" s="1">
        <v>35408</v>
      </c>
      <c r="F105" s="1">
        <v>35389</v>
      </c>
      <c r="G105">
        <v>1</v>
      </c>
      <c r="H105" s="2">
        <v>162.33000000000001</v>
      </c>
      <c r="I105" t="s">
        <v>64</v>
      </c>
      <c r="J105" t="s">
        <v>65</v>
      </c>
      <c r="K105" t="s">
        <v>66</v>
      </c>
      <c r="L105" t="s">
        <v>18</v>
      </c>
      <c r="M105">
        <v>8010</v>
      </c>
      <c r="N105" t="s">
        <v>67</v>
      </c>
    </row>
    <row r="106" spans="1:14" x14ac:dyDescent="0.2">
      <c r="A106">
        <v>10352</v>
      </c>
      <c r="B106" t="s">
        <v>234</v>
      </c>
      <c r="C106">
        <v>3</v>
      </c>
      <c r="D106" s="1">
        <v>35381</v>
      </c>
      <c r="E106" s="1">
        <v>35395</v>
      </c>
      <c r="F106" s="1">
        <v>35387</v>
      </c>
      <c r="G106">
        <v>3</v>
      </c>
      <c r="H106" s="2">
        <v>1.3</v>
      </c>
      <c r="I106" t="s">
        <v>235</v>
      </c>
      <c r="J106" t="s">
        <v>236</v>
      </c>
      <c r="K106" t="s">
        <v>237</v>
      </c>
      <c r="L106" t="s">
        <v>18</v>
      </c>
      <c r="M106">
        <v>1675</v>
      </c>
      <c r="N106" t="s">
        <v>238</v>
      </c>
    </row>
    <row r="107" spans="1:14" x14ac:dyDescent="0.2">
      <c r="A107">
        <v>10353</v>
      </c>
      <c r="B107" t="s">
        <v>266</v>
      </c>
      <c r="C107">
        <v>7</v>
      </c>
      <c r="D107" s="1">
        <v>35382</v>
      </c>
      <c r="E107" s="1">
        <v>35410</v>
      </c>
      <c r="F107" s="1">
        <v>35394</v>
      </c>
      <c r="G107">
        <v>3</v>
      </c>
      <c r="H107" s="2">
        <v>360.63</v>
      </c>
      <c r="I107" t="s">
        <v>267</v>
      </c>
      <c r="J107" t="s">
        <v>268</v>
      </c>
      <c r="K107" t="s">
        <v>269</v>
      </c>
      <c r="L107" t="s">
        <v>18</v>
      </c>
      <c r="M107">
        <v>5020</v>
      </c>
      <c r="N107" t="s">
        <v>67</v>
      </c>
    </row>
    <row r="108" spans="1:14" x14ac:dyDescent="0.2">
      <c r="A108">
        <v>10354</v>
      </c>
      <c r="B108" t="s">
        <v>219</v>
      </c>
      <c r="C108">
        <v>8</v>
      </c>
      <c r="D108" s="1">
        <v>35383</v>
      </c>
      <c r="E108" s="1">
        <v>35411</v>
      </c>
      <c r="F108" s="1">
        <v>35389</v>
      </c>
      <c r="G108">
        <v>3</v>
      </c>
      <c r="H108" s="2">
        <v>53.8</v>
      </c>
      <c r="I108" t="s">
        <v>220</v>
      </c>
      <c r="J108" t="s">
        <v>221</v>
      </c>
      <c r="K108" t="s">
        <v>71</v>
      </c>
      <c r="L108" t="s">
        <v>18</v>
      </c>
      <c r="M108">
        <v>5033</v>
      </c>
      <c r="N108" t="s">
        <v>72</v>
      </c>
    </row>
    <row r="109" spans="1:14" x14ac:dyDescent="0.2">
      <c r="A109">
        <v>10355</v>
      </c>
      <c r="B109" t="s">
        <v>270</v>
      </c>
      <c r="C109">
        <v>6</v>
      </c>
      <c r="D109" s="1">
        <v>35384</v>
      </c>
      <c r="E109" s="1">
        <v>35412</v>
      </c>
      <c r="F109" s="1">
        <v>35389</v>
      </c>
      <c r="G109">
        <v>1</v>
      </c>
      <c r="H109" s="2">
        <v>41.95</v>
      </c>
      <c r="I109" t="s">
        <v>271</v>
      </c>
      <c r="J109" t="s">
        <v>272</v>
      </c>
      <c r="K109" t="s">
        <v>273</v>
      </c>
      <c r="L109" t="s">
        <v>274</v>
      </c>
      <c r="M109" t="s">
        <v>275</v>
      </c>
      <c r="N109" t="s">
        <v>169</v>
      </c>
    </row>
    <row r="110" spans="1:14" x14ac:dyDescent="0.2">
      <c r="A110">
        <v>10356</v>
      </c>
      <c r="B110" t="s">
        <v>185</v>
      </c>
      <c r="C110">
        <v>6</v>
      </c>
      <c r="D110" s="1">
        <v>35387</v>
      </c>
      <c r="E110" s="1">
        <v>35415</v>
      </c>
      <c r="F110" s="1">
        <v>35396</v>
      </c>
      <c r="G110">
        <v>2</v>
      </c>
      <c r="H110" s="2">
        <v>36.71</v>
      </c>
      <c r="I110" t="s">
        <v>186</v>
      </c>
      <c r="J110" t="s">
        <v>187</v>
      </c>
      <c r="K110" t="s">
        <v>188</v>
      </c>
      <c r="L110" t="s">
        <v>18</v>
      </c>
      <c r="M110">
        <v>70563</v>
      </c>
      <c r="N110" t="s">
        <v>24</v>
      </c>
    </row>
    <row r="111" spans="1:14" x14ac:dyDescent="0.2">
      <c r="A111">
        <v>10357</v>
      </c>
      <c r="B111" t="s">
        <v>151</v>
      </c>
      <c r="C111">
        <v>1</v>
      </c>
      <c r="D111" s="1">
        <v>35388</v>
      </c>
      <c r="E111" s="1">
        <v>35416</v>
      </c>
      <c r="F111" s="1">
        <v>35401</v>
      </c>
      <c r="G111">
        <v>3</v>
      </c>
      <c r="H111" s="2">
        <v>34.880000000000003</v>
      </c>
      <c r="I111" t="s">
        <v>152</v>
      </c>
      <c r="J111" t="s">
        <v>153</v>
      </c>
      <c r="K111" t="s">
        <v>154</v>
      </c>
      <c r="L111" t="s">
        <v>155</v>
      </c>
      <c r="M111">
        <v>3508</v>
      </c>
      <c r="N111" t="s">
        <v>62</v>
      </c>
    </row>
    <row r="112" spans="1:14" x14ac:dyDescent="0.2">
      <c r="A112">
        <v>10358</v>
      </c>
      <c r="B112" t="s">
        <v>262</v>
      </c>
      <c r="C112">
        <v>5</v>
      </c>
      <c r="D112" s="1">
        <v>35389</v>
      </c>
      <c r="E112" s="1">
        <v>35417</v>
      </c>
      <c r="F112" s="1">
        <v>35396</v>
      </c>
      <c r="G112">
        <v>1</v>
      </c>
      <c r="H112" s="2">
        <v>19.64</v>
      </c>
      <c r="I112" t="s">
        <v>263</v>
      </c>
      <c r="J112" t="s">
        <v>264</v>
      </c>
      <c r="K112" t="s">
        <v>265</v>
      </c>
      <c r="L112" t="s">
        <v>18</v>
      </c>
      <c r="M112">
        <v>31000</v>
      </c>
      <c r="N112" t="s">
        <v>19</v>
      </c>
    </row>
    <row r="113" spans="1:14" x14ac:dyDescent="0.2">
      <c r="A113">
        <v>10359</v>
      </c>
      <c r="B113" t="s">
        <v>276</v>
      </c>
      <c r="C113">
        <v>5</v>
      </c>
      <c r="D113" s="1">
        <v>35390</v>
      </c>
      <c r="E113" s="1">
        <v>35418</v>
      </c>
      <c r="F113" s="1">
        <v>35395</v>
      </c>
      <c r="G113">
        <v>3</v>
      </c>
      <c r="H113" s="2">
        <v>288.43</v>
      </c>
      <c r="I113" t="s">
        <v>277</v>
      </c>
      <c r="J113" t="s">
        <v>278</v>
      </c>
      <c r="K113" t="s">
        <v>167</v>
      </c>
      <c r="L113" t="s">
        <v>18</v>
      </c>
      <c r="M113" t="s">
        <v>279</v>
      </c>
      <c r="N113" t="s">
        <v>169</v>
      </c>
    </row>
    <row r="114" spans="1:14" x14ac:dyDescent="0.2">
      <c r="A114">
        <v>10360</v>
      </c>
      <c r="B114" t="s">
        <v>93</v>
      </c>
      <c r="C114">
        <v>4</v>
      </c>
      <c r="D114" s="1">
        <v>35391</v>
      </c>
      <c r="E114" s="1">
        <v>35419</v>
      </c>
      <c r="F114" s="1">
        <v>35401</v>
      </c>
      <c r="G114">
        <v>3</v>
      </c>
      <c r="H114" s="2">
        <v>131.69999999999999</v>
      </c>
      <c r="I114" t="s">
        <v>94</v>
      </c>
      <c r="J114" t="s">
        <v>95</v>
      </c>
      <c r="K114" t="s">
        <v>96</v>
      </c>
      <c r="L114" t="s">
        <v>18</v>
      </c>
      <c r="M114">
        <v>67000</v>
      </c>
      <c r="N114" t="s">
        <v>19</v>
      </c>
    </row>
    <row r="115" spans="1:14" x14ac:dyDescent="0.2">
      <c r="A115">
        <v>10361</v>
      </c>
      <c r="B115" t="s">
        <v>121</v>
      </c>
      <c r="C115">
        <v>1</v>
      </c>
      <c r="D115" s="1">
        <v>35391</v>
      </c>
      <c r="E115" s="1">
        <v>35419</v>
      </c>
      <c r="F115" s="1">
        <v>35402</v>
      </c>
      <c r="G115">
        <v>2</v>
      </c>
      <c r="H115" s="2">
        <v>183.17</v>
      </c>
      <c r="I115" t="s">
        <v>122</v>
      </c>
      <c r="J115" t="s">
        <v>123</v>
      </c>
      <c r="K115" t="s">
        <v>124</v>
      </c>
      <c r="L115" t="s">
        <v>18</v>
      </c>
      <c r="M115">
        <v>1307</v>
      </c>
      <c r="N115" t="s">
        <v>24</v>
      </c>
    </row>
    <row r="116" spans="1:14" x14ac:dyDescent="0.2">
      <c r="A116">
        <v>10362</v>
      </c>
      <c r="B116" t="s">
        <v>239</v>
      </c>
      <c r="C116">
        <v>3</v>
      </c>
      <c r="D116" s="1">
        <v>35394</v>
      </c>
      <c r="E116" s="1">
        <v>35422</v>
      </c>
      <c r="F116" s="1">
        <v>35397</v>
      </c>
      <c r="G116">
        <v>1</v>
      </c>
      <c r="H116" s="2">
        <v>96.04</v>
      </c>
      <c r="I116" t="s">
        <v>240</v>
      </c>
      <c r="J116" t="s">
        <v>241</v>
      </c>
      <c r="K116" t="s">
        <v>242</v>
      </c>
      <c r="L116" t="s">
        <v>18</v>
      </c>
      <c r="M116">
        <v>13008</v>
      </c>
      <c r="N116" t="s">
        <v>19</v>
      </c>
    </row>
    <row r="117" spans="1:14" x14ac:dyDescent="0.2">
      <c r="A117">
        <v>10363</v>
      </c>
      <c r="B117" t="s">
        <v>280</v>
      </c>
      <c r="C117">
        <v>4</v>
      </c>
      <c r="D117" s="1">
        <v>35395</v>
      </c>
      <c r="E117" s="1">
        <v>35423</v>
      </c>
      <c r="F117" s="1">
        <v>35403</v>
      </c>
      <c r="G117">
        <v>3</v>
      </c>
      <c r="H117" s="2">
        <v>30.54</v>
      </c>
      <c r="I117" t="s">
        <v>281</v>
      </c>
      <c r="J117" t="s">
        <v>282</v>
      </c>
      <c r="K117" t="s">
        <v>283</v>
      </c>
      <c r="L117" t="s">
        <v>18</v>
      </c>
      <c r="M117">
        <v>52066</v>
      </c>
      <c r="N117" t="s">
        <v>24</v>
      </c>
    </row>
    <row r="118" spans="1:14" x14ac:dyDescent="0.2">
      <c r="A118">
        <v>10364</v>
      </c>
      <c r="B118" t="s">
        <v>284</v>
      </c>
      <c r="C118">
        <v>1</v>
      </c>
      <c r="D118" s="1">
        <v>35395</v>
      </c>
      <c r="E118" s="1">
        <v>35437</v>
      </c>
      <c r="F118" s="1">
        <v>35403</v>
      </c>
      <c r="G118">
        <v>1</v>
      </c>
      <c r="H118" s="2">
        <v>71.97</v>
      </c>
      <c r="I118" t="s">
        <v>285</v>
      </c>
      <c r="J118" t="s">
        <v>286</v>
      </c>
      <c r="K118" t="s">
        <v>167</v>
      </c>
      <c r="L118" t="s">
        <v>18</v>
      </c>
      <c r="M118" t="s">
        <v>287</v>
      </c>
      <c r="N118" t="s">
        <v>169</v>
      </c>
    </row>
    <row r="119" spans="1:14" x14ac:dyDescent="0.2">
      <c r="A119">
        <v>10365</v>
      </c>
      <c r="B119" t="s">
        <v>288</v>
      </c>
      <c r="C119">
        <v>3</v>
      </c>
      <c r="D119" s="1">
        <v>35396</v>
      </c>
      <c r="E119" s="1">
        <v>35424</v>
      </c>
      <c r="F119" s="1">
        <v>35401</v>
      </c>
      <c r="G119">
        <v>2</v>
      </c>
      <c r="H119" s="2">
        <v>22</v>
      </c>
      <c r="I119" t="s">
        <v>289</v>
      </c>
      <c r="J119" t="s">
        <v>290</v>
      </c>
      <c r="K119" t="s">
        <v>71</v>
      </c>
      <c r="L119" t="s">
        <v>18</v>
      </c>
      <c r="M119">
        <v>5023</v>
      </c>
      <c r="N119" t="s">
        <v>72</v>
      </c>
    </row>
    <row r="120" spans="1:14" x14ac:dyDescent="0.2">
      <c r="A120">
        <v>10366</v>
      </c>
      <c r="B120" t="s">
        <v>291</v>
      </c>
      <c r="C120">
        <v>8</v>
      </c>
      <c r="D120" s="1">
        <v>35397</v>
      </c>
      <c r="E120" s="1">
        <v>35439</v>
      </c>
      <c r="F120" s="1">
        <v>35429</v>
      </c>
      <c r="G120">
        <v>2</v>
      </c>
      <c r="H120" s="2">
        <v>10.14</v>
      </c>
      <c r="I120" t="s">
        <v>292</v>
      </c>
      <c r="J120" t="s">
        <v>293</v>
      </c>
      <c r="K120" t="s">
        <v>294</v>
      </c>
      <c r="L120" t="s">
        <v>18</v>
      </c>
      <c r="M120">
        <v>8022</v>
      </c>
      <c r="N120" t="s">
        <v>150</v>
      </c>
    </row>
    <row r="121" spans="1:14" x14ac:dyDescent="0.2">
      <c r="A121">
        <v>10367</v>
      </c>
      <c r="B121" t="s">
        <v>295</v>
      </c>
      <c r="C121">
        <v>7</v>
      </c>
      <c r="D121" s="1">
        <v>35397</v>
      </c>
      <c r="E121" s="1">
        <v>35425</v>
      </c>
      <c r="F121" s="1">
        <v>35401</v>
      </c>
      <c r="G121">
        <v>3</v>
      </c>
      <c r="H121" s="2">
        <v>13.55</v>
      </c>
      <c r="I121" t="s">
        <v>296</v>
      </c>
      <c r="J121" t="s">
        <v>297</v>
      </c>
      <c r="K121" t="s">
        <v>298</v>
      </c>
      <c r="L121" t="s">
        <v>18</v>
      </c>
      <c r="M121">
        <v>8200</v>
      </c>
      <c r="N121" t="s">
        <v>257</v>
      </c>
    </row>
    <row r="122" spans="1:14" x14ac:dyDescent="0.2">
      <c r="A122">
        <v>10368</v>
      </c>
      <c r="B122" t="s">
        <v>63</v>
      </c>
      <c r="C122">
        <v>2</v>
      </c>
      <c r="D122" s="1">
        <v>35398</v>
      </c>
      <c r="E122" s="1">
        <v>35426</v>
      </c>
      <c r="F122" s="1">
        <v>35401</v>
      </c>
      <c r="G122">
        <v>2</v>
      </c>
      <c r="H122" s="2">
        <v>101.95</v>
      </c>
      <c r="I122" t="s">
        <v>64</v>
      </c>
      <c r="J122" t="s">
        <v>65</v>
      </c>
      <c r="K122" t="s">
        <v>66</v>
      </c>
      <c r="L122" t="s">
        <v>18</v>
      </c>
      <c r="M122">
        <v>8010</v>
      </c>
      <c r="N122" t="s">
        <v>67</v>
      </c>
    </row>
    <row r="123" spans="1:14" x14ac:dyDescent="0.2">
      <c r="A123">
        <v>10369</v>
      </c>
      <c r="B123" t="s">
        <v>116</v>
      </c>
      <c r="C123">
        <v>8</v>
      </c>
      <c r="D123" s="1">
        <v>35401</v>
      </c>
      <c r="E123" s="1">
        <v>35429</v>
      </c>
      <c r="F123" s="1">
        <v>35408</v>
      </c>
      <c r="G123">
        <v>2</v>
      </c>
      <c r="H123" s="2">
        <v>195.68</v>
      </c>
      <c r="I123" t="s">
        <v>117</v>
      </c>
      <c r="J123" t="s">
        <v>118</v>
      </c>
      <c r="K123" t="s">
        <v>119</v>
      </c>
      <c r="L123" t="s">
        <v>120</v>
      </c>
      <c r="M123">
        <v>82520</v>
      </c>
      <c r="N123" t="s">
        <v>86</v>
      </c>
    </row>
    <row r="124" spans="1:14" x14ac:dyDescent="0.2">
      <c r="A124">
        <v>10370</v>
      </c>
      <c r="B124" t="s">
        <v>42</v>
      </c>
      <c r="C124">
        <v>6</v>
      </c>
      <c r="D124" s="1">
        <v>35402</v>
      </c>
      <c r="E124" s="1">
        <v>35430</v>
      </c>
      <c r="F124" s="1">
        <v>35426</v>
      </c>
      <c r="G124">
        <v>2</v>
      </c>
      <c r="H124" s="2">
        <v>1.17</v>
      </c>
      <c r="I124" t="s">
        <v>43</v>
      </c>
      <c r="J124" t="s">
        <v>44</v>
      </c>
      <c r="K124" t="s">
        <v>45</v>
      </c>
      <c r="L124" t="s">
        <v>18</v>
      </c>
      <c r="M124">
        <v>3012</v>
      </c>
      <c r="N124" t="s">
        <v>46</v>
      </c>
    </row>
    <row r="125" spans="1:14" x14ac:dyDescent="0.2">
      <c r="A125">
        <v>10371</v>
      </c>
      <c r="B125" t="s">
        <v>262</v>
      </c>
      <c r="C125">
        <v>1</v>
      </c>
      <c r="D125" s="1">
        <v>35402</v>
      </c>
      <c r="E125" s="1">
        <v>35430</v>
      </c>
      <c r="F125" s="1">
        <v>35423</v>
      </c>
      <c r="G125">
        <v>1</v>
      </c>
      <c r="H125" s="2">
        <v>0.45</v>
      </c>
      <c r="I125" t="s">
        <v>263</v>
      </c>
      <c r="J125" t="s">
        <v>264</v>
      </c>
      <c r="K125" t="s">
        <v>265</v>
      </c>
      <c r="L125" t="s">
        <v>18</v>
      </c>
      <c r="M125">
        <v>31000</v>
      </c>
      <c r="N125" t="s">
        <v>19</v>
      </c>
    </row>
    <row r="126" spans="1:14" x14ac:dyDescent="0.2">
      <c r="A126">
        <v>10372</v>
      </c>
      <c r="B126" t="s">
        <v>299</v>
      </c>
      <c r="C126">
        <v>5</v>
      </c>
      <c r="D126" s="1">
        <v>35403</v>
      </c>
      <c r="E126" s="1">
        <v>35431</v>
      </c>
      <c r="F126" s="1">
        <v>35408</v>
      </c>
      <c r="G126">
        <v>2</v>
      </c>
      <c r="H126" s="2">
        <v>890.78</v>
      </c>
      <c r="I126" t="s">
        <v>300</v>
      </c>
      <c r="J126" t="s">
        <v>301</v>
      </c>
      <c r="K126" t="s">
        <v>173</v>
      </c>
      <c r="L126" t="s">
        <v>55</v>
      </c>
      <c r="M126" t="s">
        <v>302</v>
      </c>
      <c r="N126" t="s">
        <v>31</v>
      </c>
    </row>
    <row r="127" spans="1:14" x14ac:dyDescent="0.2">
      <c r="A127">
        <v>10373</v>
      </c>
      <c r="B127" t="s">
        <v>179</v>
      </c>
      <c r="C127">
        <v>4</v>
      </c>
      <c r="D127" s="1">
        <v>35404</v>
      </c>
      <c r="E127" s="1">
        <v>35432</v>
      </c>
      <c r="F127" s="1">
        <v>35410</v>
      </c>
      <c r="G127">
        <v>3</v>
      </c>
      <c r="H127" s="2">
        <v>124.12</v>
      </c>
      <c r="I127" t="s">
        <v>180</v>
      </c>
      <c r="J127" t="s">
        <v>181</v>
      </c>
      <c r="K127" t="s">
        <v>182</v>
      </c>
      <c r="L127" t="s">
        <v>183</v>
      </c>
      <c r="M127" t="s">
        <v>18</v>
      </c>
      <c r="N127" t="s">
        <v>184</v>
      </c>
    </row>
    <row r="128" spans="1:14" x14ac:dyDescent="0.2">
      <c r="A128">
        <v>10374</v>
      </c>
      <c r="B128" t="s">
        <v>303</v>
      </c>
      <c r="C128">
        <v>1</v>
      </c>
      <c r="D128" s="1">
        <v>35404</v>
      </c>
      <c r="E128" s="1">
        <v>35432</v>
      </c>
      <c r="F128" s="1">
        <v>35408</v>
      </c>
      <c r="G128">
        <v>3</v>
      </c>
      <c r="H128" s="2">
        <v>3.94</v>
      </c>
      <c r="I128" t="s">
        <v>304</v>
      </c>
      <c r="J128" t="s">
        <v>305</v>
      </c>
      <c r="K128" t="s">
        <v>306</v>
      </c>
      <c r="L128" t="s">
        <v>18</v>
      </c>
      <c r="M128" t="s">
        <v>307</v>
      </c>
      <c r="N128" t="s">
        <v>308</v>
      </c>
    </row>
    <row r="129" spans="1:14" x14ac:dyDescent="0.2">
      <c r="A129">
        <v>10375</v>
      </c>
      <c r="B129" t="s">
        <v>309</v>
      </c>
      <c r="C129">
        <v>3</v>
      </c>
      <c r="D129" s="1">
        <v>35405</v>
      </c>
      <c r="E129" s="1">
        <v>35433</v>
      </c>
      <c r="F129" s="1">
        <v>35408</v>
      </c>
      <c r="G129">
        <v>2</v>
      </c>
      <c r="H129" s="2">
        <v>20.12</v>
      </c>
      <c r="I129" t="s">
        <v>310</v>
      </c>
      <c r="J129" t="s">
        <v>311</v>
      </c>
      <c r="K129" t="s">
        <v>312</v>
      </c>
      <c r="L129" t="s">
        <v>202</v>
      </c>
      <c r="M129">
        <v>97827</v>
      </c>
      <c r="N129" t="s">
        <v>86</v>
      </c>
    </row>
    <row r="130" spans="1:14" x14ac:dyDescent="0.2">
      <c r="A130">
        <v>10376</v>
      </c>
      <c r="B130" t="s">
        <v>243</v>
      </c>
      <c r="C130">
        <v>1</v>
      </c>
      <c r="D130" s="1">
        <v>35408</v>
      </c>
      <c r="E130" s="1">
        <v>35436</v>
      </c>
      <c r="F130" s="1">
        <v>35412</v>
      </c>
      <c r="G130">
        <v>2</v>
      </c>
      <c r="H130" s="2">
        <v>20.39</v>
      </c>
      <c r="I130" t="s">
        <v>244</v>
      </c>
      <c r="J130" t="s">
        <v>245</v>
      </c>
      <c r="K130" t="s">
        <v>246</v>
      </c>
      <c r="L130" t="s">
        <v>247</v>
      </c>
      <c r="M130" t="s">
        <v>248</v>
      </c>
      <c r="N130" t="s">
        <v>249</v>
      </c>
    </row>
    <row r="131" spans="1:14" x14ac:dyDescent="0.2">
      <c r="A131">
        <v>10377</v>
      </c>
      <c r="B131" t="s">
        <v>276</v>
      </c>
      <c r="C131">
        <v>1</v>
      </c>
      <c r="D131" s="1">
        <v>35408</v>
      </c>
      <c r="E131" s="1">
        <v>35436</v>
      </c>
      <c r="F131" s="1">
        <v>35412</v>
      </c>
      <c r="G131">
        <v>3</v>
      </c>
      <c r="H131" s="2">
        <v>22.21</v>
      </c>
      <c r="I131" t="s">
        <v>277</v>
      </c>
      <c r="J131" t="s">
        <v>278</v>
      </c>
      <c r="K131" t="s">
        <v>167</v>
      </c>
      <c r="L131" t="s">
        <v>18</v>
      </c>
      <c r="M131" t="s">
        <v>279</v>
      </c>
      <c r="N131" t="s">
        <v>169</v>
      </c>
    </row>
    <row r="132" spans="1:14" x14ac:dyDescent="0.2">
      <c r="A132">
        <v>10378</v>
      </c>
      <c r="B132" t="s">
        <v>87</v>
      </c>
      <c r="C132">
        <v>5</v>
      </c>
      <c r="D132" s="1">
        <v>35409</v>
      </c>
      <c r="E132" s="1">
        <v>35437</v>
      </c>
      <c r="F132" s="1">
        <v>35418</v>
      </c>
      <c r="G132">
        <v>3</v>
      </c>
      <c r="H132" s="2">
        <v>5.44</v>
      </c>
      <c r="I132" t="s">
        <v>88</v>
      </c>
      <c r="J132" t="s">
        <v>89</v>
      </c>
      <c r="K132" t="s">
        <v>90</v>
      </c>
      <c r="L132" t="s">
        <v>18</v>
      </c>
      <c r="M132" t="s">
        <v>91</v>
      </c>
      <c r="N132" t="s">
        <v>92</v>
      </c>
    </row>
    <row r="133" spans="1:14" x14ac:dyDescent="0.2">
      <c r="A133">
        <v>10379</v>
      </c>
      <c r="B133" t="s">
        <v>77</v>
      </c>
      <c r="C133">
        <v>2</v>
      </c>
      <c r="D133" s="1">
        <v>35410</v>
      </c>
      <c r="E133" s="1">
        <v>35438</v>
      </c>
      <c r="F133" s="1">
        <v>35412</v>
      </c>
      <c r="G133">
        <v>1</v>
      </c>
      <c r="H133" s="2">
        <v>45.03</v>
      </c>
      <c r="I133" t="s">
        <v>78</v>
      </c>
      <c r="J133" t="s">
        <v>79</v>
      </c>
      <c r="K133" t="s">
        <v>28</v>
      </c>
      <c r="L133" t="s">
        <v>29</v>
      </c>
      <c r="M133" t="s">
        <v>80</v>
      </c>
      <c r="N133" t="s">
        <v>31</v>
      </c>
    </row>
    <row r="134" spans="1:14" x14ac:dyDescent="0.2">
      <c r="A134">
        <v>10380</v>
      </c>
      <c r="B134" t="s">
        <v>179</v>
      </c>
      <c r="C134">
        <v>8</v>
      </c>
      <c r="D134" s="1">
        <v>35411</v>
      </c>
      <c r="E134" s="1">
        <v>35439</v>
      </c>
      <c r="F134" s="1">
        <v>35446</v>
      </c>
      <c r="G134">
        <v>3</v>
      </c>
      <c r="H134" s="2">
        <v>35.03</v>
      </c>
      <c r="I134" t="s">
        <v>180</v>
      </c>
      <c r="J134" t="s">
        <v>181</v>
      </c>
      <c r="K134" t="s">
        <v>182</v>
      </c>
      <c r="L134" t="s">
        <v>183</v>
      </c>
      <c r="M134" t="s">
        <v>18</v>
      </c>
      <c r="N134" t="s">
        <v>184</v>
      </c>
    </row>
    <row r="135" spans="1:14" x14ac:dyDescent="0.2">
      <c r="A135">
        <v>10381</v>
      </c>
      <c r="B135" t="s">
        <v>151</v>
      </c>
      <c r="C135">
        <v>3</v>
      </c>
      <c r="D135" s="1">
        <v>35411</v>
      </c>
      <c r="E135" s="1">
        <v>35439</v>
      </c>
      <c r="F135" s="1">
        <v>35412</v>
      </c>
      <c r="G135">
        <v>3</v>
      </c>
      <c r="H135" s="2">
        <v>7.99</v>
      </c>
      <c r="I135" t="s">
        <v>152</v>
      </c>
      <c r="J135" t="s">
        <v>153</v>
      </c>
      <c r="K135" t="s">
        <v>154</v>
      </c>
      <c r="L135" t="s">
        <v>155</v>
      </c>
      <c r="M135">
        <v>3508</v>
      </c>
      <c r="N135" t="s">
        <v>62</v>
      </c>
    </row>
    <row r="136" spans="1:14" x14ac:dyDescent="0.2">
      <c r="A136">
        <v>10382</v>
      </c>
      <c r="B136" t="s">
        <v>63</v>
      </c>
      <c r="C136">
        <v>4</v>
      </c>
      <c r="D136" s="1">
        <v>35412</v>
      </c>
      <c r="E136" s="1">
        <v>35440</v>
      </c>
      <c r="F136" s="1">
        <v>35415</v>
      </c>
      <c r="G136">
        <v>1</v>
      </c>
      <c r="H136" s="2">
        <v>94.77</v>
      </c>
      <c r="I136" t="s">
        <v>64</v>
      </c>
      <c r="J136" t="s">
        <v>65</v>
      </c>
      <c r="K136" t="s">
        <v>66</v>
      </c>
      <c r="L136" t="s">
        <v>18</v>
      </c>
      <c r="M136">
        <v>8010</v>
      </c>
      <c r="N136" t="s">
        <v>67</v>
      </c>
    </row>
    <row r="137" spans="1:14" x14ac:dyDescent="0.2">
      <c r="A137">
        <v>10383</v>
      </c>
      <c r="B137" t="s">
        <v>270</v>
      </c>
      <c r="C137">
        <v>8</v>
      </c>
      <c r="D137" s="1">
        <v>35415</v>
      </c>
      <c r="E137" s="1">
        <v>35443</v>
      </c>
      <c r="F137" s="1">
        <v>35417</v>
      </c>
      <c r="G137">
        <v>3</v>
      </c>
      <c r="H137" s="2">
        <v>34.24</v>
      </c>
      <c r="I137" t="s">
        <v>271</v>
      </c>
      <c r="J137" t="s">
        <v>272</v>
      </c>
      <c r="K137" t="s">
        <v>273</v>
      </c>
      <c r="L137" t="s">
        <v>274</v>
      </c>
      <c r="M137" t="s">
        <v>275</v>
      </c>
      <c r="N137" t="s">
        <v>169</v>
      </c>
    </row>
    <row r="138" spans="1:14" x14ac:dyDescent="0.2">
      <c r="A138">
        <v>10384</v>
      </c>
      <c r="B138" t="s">
        <v>137</v>
      </c>
      <c r="C138">
        <v>3</v>
      </c>
      <c r="D138" s="1">
        <v>35415</v>
      </c>
      <c r="E138" s="1">
        <v>35443</v>
      </c>
      <c r="F138" s="1">
        <v>35419</v>
      </c>
      <c r="G138">
        <v>3</v>
      </c>
      <c r="H138" s="2">
        <v>168.64</v>
      </c>
      <c r="I138" t="s">
        <v>138</v>
      </c>
      <c r="J138" t="s">
        <v>139</v>
      </c>
      <c r="K138" t="s">
        <v>140</v>
      </c>
      <c r="L138" t="s">
        <v>18</v>
      </c>
      <c r="M138" t="s">
        <v>141</v>
      </c>
      <c r="N138" t="s">
        <v>92</v>
      </c>
    </row>
    <row r="139" spans="1:14" x14ac:dyDescent="0.2">
      <c r="A139">
        <v>10385</v>
      </c>
      <c r="B139" t="s">
        <v>116</v>
      </c>
      <c r="C139">
        <v>1</v>
      </c>
      <c r="D139" s="1">
        <v>35416</v>
      </c>
      <c r="E139" s="1">
        <v>35444</v>
      </c>
      <c r="F139" s="1">
        <v>35422</v>
      </c>
      <c r="G139">
        <v>2</v>
      </c>
      <c r="H139" s="2">
        <v>30.96</v>
      </c>
      <c r="I139" t="s">
        <v>117</v>
      </c>
      <c r="J139" t="s">
        <v>118</v>
      </c>
      <c r="K139" t="s">
        <v>119</v>
      </c>
      <c r="L139" t="s">
        <v>120</v>
      </c>
      <c r="M139">
        <v>82520</v>
      </c>
      <c r="N139" t="s">
        <v>86</v>
      </c>
    </row>
    <row r="140" spans="1:14" x14ac:dyDescent="0.2">
      <c r="A140">
        <v>10386</v>
      </c>
      <c r="B140" t="s">
        <v>258</v>
      </c>
      <c r="C140">
        <v>9</v>
      </c>
      <c r="D140" s="1">
        <v>35417</v>
      </c>
      <c r="E140" s="1">
        <v>35431</v>
      </c>
      <c r="F140" s="1">
        <v>35424</v>
      </c>
      <c r="G140">
        <v>3</v>
      </c>
      <c r="H140" s="2">
        <v>13.99</v>
      </c>
      <c r="I140" t="s">
        <v>259</v>
      </c>
      <c r="J140" t="s">
        <v>260</v>
      </c>
      <c r="K140" t="s">
        <v>173</v>
      </c>
      <c r="L140" t="s">
        <v>55</v>
      </c>
      <c r="M140" t="s">
        <v>261</v>
      </c>
      <c r="N140" t="s">
        <v>31</v>
      </c>
    </row>
    <row r="141" spans="1:14" x14ac:dyDescent="0.2">
      <c r="A141">
        <v>10387</v>
      </c>
      <c r="B141" t="s">
        <v>313</v>
      </c>
      <c r="C141">
        <v>1</v>
      </c>
      <c r="D141" s="1">
        <v>35417</v>
      </c>
      <c r="E141" s="1">
        <v>35445</v>
      </c>
      <c r="F141" s="1">
        <v>35419</v>
      </c>
      <c r="G141">
        <v>2</v>
      </c>
      <c r="H141" s="2">
        <v>93.63</v>
      </c>
      <c r="I141" t="s">
        <v>314</v>
      </c>
      <c r="J141" t="s">
        <v>315</v>
      </c>
      <c r="K141" t="s">
        <v>316</v>
      </c>
      <c r="L141" t="s">
        <v>18</v>
      </c>
      <c r="M141">
        <v>4110</v>
      </c>
      <c r="N141" t="s">
        <v>317</v>
      </c>
    </row>
    <row r="142" spans="1:14" x14ac:dyDescent="0.2">
      <c r="A142">
        <v>10388</v>
      </c>
      <c r="B142" t="s">
        <v>276</v>
      </c>
      <c r="C142">
        <v>2</v>
      </c>
      <c r="D142" s="1">
        <v>35418</v>
      </c>
      <c r="E142" s="1">
        <v>35446</v>
      </c>
      <c r="F142" s="1">
        <v>35419</v>
      </c>
      <c r="G142">
        <v>1</v>
      </c>
      <c r="H142" s="2">
        <v>34.86</v>
      </c>
      <c r="I142" t="s">
        <v>277</v>
      </c>
      <c r="J142" t="s">
        <v>278</v>
      </c>
      <c r="K142" t="s">
        <v>167</v>
      </c>
      <c r="L142" t="s">
        <v>18</v>
      </c>
      <c r="M142" t="s">
        <v>279</v>
      </c>
      <c r="N142" t="s">
        <v>169</v>
      </c>
    </row>
    <row r="143" spans="1:14" x14ac:dyDescent="0.2">
      <c r="A143">
        <v>10389</v>
      </c>
      <c r="B143" t="s">
        <v>318</v>
      </c>
      <c r="C143">
        <v>4</v>
      </c>
      <c r="D143" s="1">
        <v>35419</v>
      </c>
      <c r="E143" s="1">
        <v>35447</v>
      </c>
      <c r="F143" s="1">
        <v>35423</v>
      </c>
      <c r="G143">
        <v>2</v>
      </c>
      <c r="H143" s="2">
        <v>47.42</v>
      </c>
      <c r="I143" t="s">
        <v>319</v>
      </c>
      <c r="J143" t="s">
        <v>320</v>
      </c>
      <c r="K143" t="s">
        <v>321</v>
      </c>
      <c r="L143" t="s">
        <v>322</v>
      </c>
      <c r="M143" t="s">
        <v>323</v>
      </c>
      <c r="N143" t="s">
        <v>249</v>
      </c>
    </row>
    <row r="144" spans="1:14" x14ac:dyDescent="0.2">
      <c r="A144">
        <v>10390</v>
      </c>
      <c r="B144" t="s">
        <v>63</v>
      </c>
      <c r="C144">
        <v>6</v>
      </c>
      <c r="D144" s="1">
        <v>35422</v>
      </c>
      <c r="E144" s="1">
        <v>35450</v>
      </c>
      <c r="F144" s="1">
        <v>35425</v>
      </c>
      <c r="G144">
        <v>1</v>
      </c>
      <c r="H144" s="2">
        <v>126.38</v>
      </c>
      <c r="I144" t="s">
        <v>64</v>
      </c>
      <c r="J144" t="s">
        <v>65</v>
      </c>
      <c r="K144" t="s">
        <v>66</v>
      </c>
      <c r="L144" t="s">
        <v>18</v>
      </c>
      <c r="M144">
        <v>8010</v>
      </c>
      <c r="N144" t="s">
        <v>67</v>
      </c>
    </row>
    <row r="145" spans="1:14" x14ac:dyDescent="0.2">
      <c r="A145">
        <v>10391</v>
      </c>
      <c r="B145" t="s">
        <v>280</v>
      </c>
      <c r="C145">
        <v>3</v>
      </c>
      <c r="D145" s="1">
        <v>35422</v>
      </c>
      <c r="E145" s="1">
        <v>35450</v>
      </c>
      <c r="F145" s="1">
        <v>35430</v>
      </c>
      <c r="G145">
        <v>3</v>
      </c>
      <c r="H145" s="2">
        <v>5.45</v>
      </c>
      <c r="I145" t="s">
        <v>281</v>
      </c>
      <c r="J145" t="s">
        <v>282</v>
      </c>
      <c r="K145" t="s">
        <v>283</v>
      </c>
      <c r="L145" t="s">
        <v>18</v>
      </c>
      <c r="M145">
        <v>52066</v>
      </c>
      <c r="N145" t="s">
        <v>24</v>
      </c>
    </row>
    <row r="146" spans="1:14" x14ac:dyDescent="0.2">
      <c r="A146">
        <v>10392</v>
      </c>
      <c r="B146" t="s">
        <v>266</v>
      </c>
      <c r="C146">
        <v>2</v>
      </c>
      <c r="D146" s="1">
        <v>35423</v>
      </c>
      <c r="E146" s="1">
        <v>35451</v>
      </c>
      <c r="F146" s="1">
        <v>35431</v>
      </c>
      <c r="G146">
        <v>3</v>
      </c>
      <c r="H146" s="2">
        <v>122.46</v>
      </c>
      <c r="I146" t="s">
        <v>267</v>
      </c>
      <c r="J146" t="s">
        <v>268</v>
      </c>
      <c r="K146" t="s">
        <v>269</v>
      </c>
      <c r="L146" t="s">
        <v>18</v>
      </c>
      <c r="M146">
        <v>5020</v>
      </c>
      <c r="N146" t="s">
        <v>67</v>
      </c>
    </row>
    <row r="147" spans="1:14" x14ac:dyDescent="0.2">
      <c r="A147">
        <v>10393</v>
      </c>
      <c r="B147" t="s">
        <v>226</v>
      </c>
      <c r="C147">
        <v>1</v>
      </c>
      <c r="D147" s="1">
        <v>35424</v>
      </c>
      <c r="E147" s="1">
        <v>35452</v>
      </c>
      <c r="F147" s="1">
        <v>35433</v>
      </c>
      <c r="G147">
        <v>3</v>
      </c>
      <c r="H147" s="2">
        <v>126.56</v>
      </c>
      <c r="I147" t="s">
        <v>227</v>
      </c>
      <c r="J147" t="s">
        <v>228</v>
      </c>
      <c r="K147" t="s">
        <v>229</v>
      </c>
      <c r="L147" t="s">
        <v>230</v>
      </c>
      <c r="M147">
        <v>83720</v>
      </c>
      <c r="N147" t="s">
        <v>86</v>
      </c>
    </row>
    <row r="148" spans="1:14" x14ac:dyDescent="0.2">
      <c r="A148">
        <v>10394</v>
      </c>
      <c r="B148" t="s">
        <v>309</v>
      </c>
      <c r="C148">
        <v>1</v>
      </c>
      <c r="D148" s="1">
        <v>35424</v>
      </c>
      <c r="E148" s="1">
        <v>35452</v>
      </c>
      <c r="F148" s="1">
        <v>35433</v>
      </c>
      <c r="G148">
        <v>3</v>
      </c>
      <c r="H148" s="2">
        <v>30.34</v>
      </c>
      <c r="I148" t="s">
        <v>310</v>
      </c>
      <c r="J148" t="s">
        <v>311</v>
      </c>
      <c r="K148" t="s">
        <v>312</v>
      </c>
      <c r="L148" t="s">
        <v>202</v>
      </c>
      <c r="M148">
        <v>97827</v>
      </c>
      <c r="N148" t="s">
        <v>86</v>
      </c>
    </row>
    <row r="149" spans="1:14" x14ac:dyDescent="0.2">
      <c r="A149">
        <v>10395</v>
      </c>
      <c r="B149" t="s">
        <v>57</v>
      </c>
      <c r="C149">
        <v>6</v>
      </c>
      <c r="D149" s="1">
        <v>35425</v>
      </c>
      <c r="E149" s="1">
        <v>35453</v>
      </c>
      <c r="F149" s="1">
        <v>35433</v>
      </c>
      <c r="G149">
        <v>1</v>
      </c>
      <c r="H149" s="2">
        <v>184.41</v>
      </c>
      <c r="I149" t="s">
        <v>58</v>
      </c>
      <c r="J149" t="s">
        <v>59</v>
      </c>
      <c r="K149" t="s">
        <v>60</v>
      </c>
      <c r="L149" t="s">
        <v>61</v>
      </c>
      <c r="M149">
        <v>5022</v>
      </c>
      <c r="N149" t="s">
        <v>62</v>
      </c>
    </row>
    <row r="150" spans="1:14" x14ac:dyDescent="0.2">
      <c r="A150">
        <v>10396</v>
      </c>
      <c r="B150" t="s">
        <v>102</v>
      </c>
      <c r="C150">
        <v>1</v>
      </c>
      <c r="D150" s="1">
        <v>35426</v>
      </c>
      <c r="E150" s="1">
        <v>35440</v>
      </c>
      <c r="F150" s="1">
        <v>35436</v>
      </c>
      <c r="G150">
        <v>3</v>
      </c>
      <c r="H150" s="2">
        <v>135.35</v>
      </c>
      <c r="I150" t="s">
        <v>103</v>
      </c>
      <c r="J150" t="s">
        <v>104</v>
      </c>
      <c r="K150" t="s">
        <v>105</v>
      </c>
      <c r="L150" t="s">
        <v>18</v>
      </c>
      <c r="M150">
        <v>80805</v>
      </c>
      <c r="N150" t="s">
        <v>24</v>
      </c>
    </row>
    <row r="151" spans="1:14" x14ac:dyDescent="0.2">
      <c r="A151">
        <v>10397</v>
      </c>
      <c r="B151" t="s">
        <v>250</v>
      </c>
      <c r="C151">
        <v>5</v>
      </c>
      <c r="D151" s="1">
        <v>35426</v>
      </c>
      <c r="E151" s="1">
        <v>35454</v>
      </c>
      <c r="F151" s="1">
        <v>35432</v>
      </c>
      <c r="G151">
        <v>1</v>
      </c>
      <c r="H151" s="2">
        <v>60.26</v>
      </c>
      <c r="I151" t="s">
        <v>251</v>
      </c>
      <c r="J151" t="s">
        <v>252</v>
      </c>
      <c r="K151" t="s">
        <v>237</v>
      </c>
      <c r="L151" t="s">
        <v>18</v>
      </c>
      <c r="M151">
        <v>1756</v>
      </c>
      <c r="N151" t="s">
        <v>238</v>
      </c>
    </row>
    <row r="152" spans="1:14" x14ac:dyDescent="0.2">
      <c r="A152">
        <v>10398</v>
      </c>
      <c r="B152" t="s">
        <v>226</v>
      </c>
      <c r="C152">
        <v>2</v>
      </c>
      <c r="D152" s="1">
        <v>35429</v>
      </c>
      <c r="E152" s="1">
        <v>35457</v>
      </c>
      <c r="F152" s="1">
        <v>35439</v>
      </c>
      <c r="G152">
        <v>3</v>
      </c>
      <c r="H152" s="2">
        <v>89.16</v>
      </c>
      <c r="I152" t="s">
        <v>227</v>
      </c>
      <c r="J152" t="s">
        <v>228</v>
      </c>
      <c r="K152" t="s">
        <v>229</v>
      </c>
      <c r="L152" t="s">
        <v>230</v>
      </c>
      <c r="M152">
        <v>83720</v>
      </c>
      <c r="N152" t="s">
        <v>86</v>
      </c>
    </row>
    <row r="153" spans="1:14" x14ac:dyDescent="0.2">
      <c r="A153">
        <v>10399</v>
      </c>
      <c r="B153" t="s">
        <v>295</v>
      </c>
      <c r="C153">
        <v>8</v>
      </c>
      <c r="D153" s="1">
        <v>35430</v>
      </c>
      <c r="E153" s="1">
        <v>35444</v>
      </c>
      <c r="F153" s="1">
        <v>35438</v>
      </c>
      <c r="G153">
        <v>3</v>
      </c>
      <c r="H153" s="2">
        <v>27.36</v>
      </c>
      <c r="I153" t="s">
        <v>296</v>
      </c>
      <c r="J153" t="s">
        <v>297</v>
      </c>
      <c r="K153" t="s">
        <v>298</v>
      </c>
      <c r="L153" t="s">
        <v>18</v>
      </c>
      <c r="M153">
        <v>8200</v>
      </c>
      <c r="N153" t="s">
        <v>257</v>
      </c>
    </row>
    <row r="154" spans="1:14" x14ac:dyDescent="0.2">
      <c r="A154">
        <v>10400</v>
      </c>
      <c r="B154" t="s">
        <v>284</v>
      </c>
      <c r="C154">
        <v>1</v>
      </c>
      <c r="D154" s="1">
        <v>35431</v>
      </c>
      <c r="E154" s="1">
        <v>35459</v>
      </c>
      <c r="F154" s="1">
        <v>35446</v>
      </c>
      <c r="G154">
        <v>3</v>
      </c>
      <c r="H154" s="2">
        <v>83.93</v>
      </c>
      <c r="I154" t="s">
        <v>285</v>
      </c>
      <c r="J154" t="s">
        <v>286</v>
      </c>
      <c r="K154" t="s">
        <v>167</v>
      </c>
      <c r="L154" t="s">
        <v>18</v>
      </c>
      <c r="M154" t="s">
        <v>287</v>
      </c>
      <c r="N154" t="s">
        <v>169</v>
      </c>
    </row>
    <row r="155" spans="1:14" x14ac:dyDescent="0.2">
      <c r="A155">
        <v>10401</v>
      </c>
      <c r="B155" t="s">
        <v>81</v>
      </c>
      <c r="C155">
        <v>1</v>
      </c>
      <c r="D155" s="1">
        <v>35431</v>
      </c>
      <c r="E155" s="1">
        <v>35459</v>
      </c>
      <c r="F155" s="1">
        <v>35440</v>
      </c>
      <c r="G155">
        <v>1</v>
      </c>
      <c r="H155" s="2">
        <v>12.51</v>
      </c>
      <c r="I155" t="s">
        <v>82</v>
      </c>
      <c r="J155" t="s">
        <v>83</v>
      </c>
      <c r="K155" t="s">
        <v>84</v>
      </c>
      <c r="L155" t="s">
        <v>85</v>
      </c>
      <c r="M155">
        <v>87110</v>
      </c>
      <c r="N155" t="s">
        <v>86</v>
      </c>
    </row>
    <row r="156" spans="1:14" x14ac:dyDescent="0.2">
      <c r="A156">
        <v>10402</v>
      </c>
      <c r="B156" t="s">
        <v>63</v>
      </c>
      <c r="C156">
        <v>8</v>
      </c>
      <c r="D156" s="1">
        <v>35432</v>
      </c>
      <c r="E156" s="1">
        <v>35474</v>
      </c>
      <c r="F156" s="1">
        <v>35440</v>
      </c>
      <c r="G156">
        <v>2</v>
      </c>
      <c r="H156" s="2">
        <v>67.88</v>
      </c>
      <c r="I156" t="s">
        <v>64</v>
      </c>
      <c r="J156" t="s">
        <v>65</v>
      </c>
      <c r="K156" t="s">
        <v>66</v>
      </c>
      <c r="L156" t="s">
        <v>18</v>
      </c>
      <c r="M156">
        <v>8010</v>
      </c>
      <c r="N156" t="s">
        <v>67</v>
      </c>
    </row>
    <row r="157" spans="1:14" x14ac:dyDescent="0.2">
      <c r="A157">
        <v>10403</v>
      </c>
      <c r="B157" t="s">
        <v>63</v>
      </c>
      <c r="C157">
        <v>4</v>
      </c>
      <c r="D157" s="1">
        <v>35433</v>
      </c>
      <c r="E157" s="1">
        <v>35461</v>
      </c>
      <c r="F157" s="1">
        <v>35439</v>
      </c>
      <c r="G157">
        <v>3</v>
      </c>
      <c r="H157" s="2">
        <v>73.790000000000006</v>
      </c>
      <c r="I157" t="s">
        <v>64</v>
      </c>
      <c r="J157" t="s">
        <v>65</v>
      </c>
      <c r="K157" t="s">
        <v>66</v>
      </c>
      <c r="L157" t="s">
        <v>18</v>
      </c>
      <c r="M157">
        <v>8010</v>
      </c>
      <c r="N157" t="s">
        <v>67</v>
      </c>
    </row>
    <row r="158" spans="1:14" x14ac:dyDescent="0.2">
      <c r="A158">
        <v>10404</v>
      </c>
      <c r="B158" t="s">
        <v>125</v>
      </c>
      <c r="C158">
        <v>2</v>
      </c>
      <c r="D158" s="1">
        <v>35433</v>
      </c>
      <c r="E158" s="1">
        <v>35461</v>
      </c>
      <c r="F158" s="1">
        <v>35438</v>
      </c>
      <c r="G158">
        <v>1</v>
      </c>
      <c r="H158" s="2">
        <v>155.97</v>
      </c>
      <c r="I158" t="s">
        <v>126</v>
      </c>
      <c r="J158" t="s">
        <v>127</v>
      </c>
      <c r="K158" t="s">
        <v>128</v>
      </c>
      <c r="L158" t="s">
        <v>18</v>
      </c>
      <c r="M158">
        <v>24100</v>
      </c>
      <c r="N158" t="s">
        <v>129</v>
      </c>
    </row>
    <row r="159" spans="1:14" x14ac:dyDescent="0.2">
      <c r="A159">
        <v>10405</v>
      </c>
      <c r="B159" t="s">
        <v>324</v>
      </c>
      <c r="C159">
        <v>1</v>
      </c>
      <c r="D159" s="1">
        <v>35436</v>
      </c>
      <c r="E159" s="1">
        <v>35464</v>
      </c>
      <c r="F159" s="1">
        <v>35452</v>
      </c>
      <c r="G159">
        <v>1</v>
      </c>
      <c r="H159" s="2">
        <v>34.82</v>
      </c>
      <c r="I159" t="s">
        <v>325</v>
      </c>
      <c r="J159" t="s">
        <v>326</v>
      </c>
      <c r="K159" t="s">
        <v>327</v>
      </c>
      <c r="L159" t="s">
        <v>328</v>
      </c>
      <c r="M159">
        <v>4980</v>
      </c>
      <c r="N159" t="s">
        <v>62</v>
      </c>
    </row>
    <row r="160" spans="1:14" x14ac:dyDescent="0.2">
      <c r="A160">
        <v>10406</v>
      </c>
      <c r="B160" t="s">
        <v>299</v>
      </c>
      <c r="C160">
        <v>7</v>
      </c>
      <c r="D160" s="1">
        <v>35437</v>
      </c>
      <c r="E160" s="1">
        <v>35479</v>
      </c>
      <c r="F160" s="1">
        <v>35443</v>
      </c>
      <c r="G160">
        <v>1</v>
      </c>
      <c r="H160" s="2">
        <v>108.04</v>
      </c>
      <c r="I160" t="s">
        <v>300</v>
      </c>
      <c r="J160" t="s">
        <v>301</v>
      </c>
      <c r="K160" t="s">
        <v>173</v>
      </c>
      <c r="L160" t="s">
        <v>55</v>
      </c>
      <c r="M160" t="s">
        <v>302</v>
      </c>
      <c r="N160" t="s">
        <v>31</v>
      </c>
    </row>
    <row r="161" spans="1:14" x14ac:dyDescent="0.2">
      <c r="A161">
        <v>10407</v>
      </c>
      <c r="B161" t="s">
        <v>73</v>
      </c>
      <c r="C161">
        <v>2</v>
      </c>
      <c r="D161" s="1">
        <v>35437</v>
      </c>
      <c r="E161" s="1">
        <v>35465</v>
      </c>
      <c r="F161" s="1">
        <v>35460</v>
      </c>
      <c r="G161">
        <v>2</v>
      </c>
      <c r="H161" s="2">
        <v>91.48</v>
      </c>
      <c r="I161" t="s">
        <v>74</v>
      </c>
      <c r="J161" t="s">
        <v>75</v>
      </c>
      <c r="K161" t="s">
        <v>76</v>
      </c>
      <c r="L161" t="s">
        <v>18</v>
      </c>
      <c r="M161">
        <v>50739</v>
      </c>
      <c r="N161" t="s">
        <v>24</v>
      </c>
    </row>
    <row r="162" spans="1:14" x14ac:dyDescent="0.2">
      <c r="A162">
        <v>10408</v>
      </c>
      <c r="B162" t="s">
        <v>329</v>
      </c>
      <c r="C162">
        <v>8</v>
      </c>
      <c r="D162" s="1">
        <v>35438</v>
      </c>
      <c r="E162" s="1">
        <v>35466</v>
      </c>
      <c r="F162" s="1">
        <v>35444</v>
      </c>
      <c r="G162">
        <v>1</v>
      </c>
      <c r="H162" s="2">
        <v>11.26</v>
      </c>
      <c r="I162" t="s">
        <v>330</v>
      </c>
      <c r="J162" t="s">
        <v>331</v>
      </c>
      <c r="K162" t="s">
        <v>332</v>
      </c>
      <c r="L162" t="s">
        <v>18</v>
      </c>
      <c r="M162">
        <v>59000</v>
      </c>
      <c r="N162" t="s">
        <v>19</v>
      </c>
    </row>
    <row r="163" spans="1:14" x14ac:dyDescent="0.2">
      <c r="A163">
        <v>10409</v>
      </c>
      <c r="B163" t="s">
        <v>333</v>
      </c>
      <c r="C163">
        <v>3</v>
      </c>
      <c r="D163" s="1">
        <v>35439</v>
      </c>
      <c r="E163" s="1">
        <v>35467</v>
      </c>
      <c r="F163" s="1">
        <v>35444</v>
      </c>
      <c r="G163">
        <v>1</v>
      </c>
      <c r="H163" s="2">
        <v>29.83</v>
      </c>
      <c r="I163" t="s">
        <v>334</v>
      </c>
      <c r="J163" t="s">
        <v>335</v>
      </c>
      <c r="K163" t="s">
        <v>336</v>
      </c>
      <c r="L163" t="s">
        <v>18</v>
      </c>
      <c r="M163">
        <v>1010</v>
      </c>
      <c r="N163" t="s">
        <v>337</v>
      </c>
    </row>
    <row r="164" spans="1:14" x14ac:dyDescent="0.2">
      <c r="A164">
        <v>10410</v>
      </c>
      <c r="B164" t="s">
        <v>318</v>
      </c>
      <c r="C164">
        <v>3</v>
      </c>
      <c r="D164" s="1">
        <v>35440</v>
      </c>
      <c r="E164" s="1">
        <v>35468</v>
      </c>
      <c r="F164" s="1">
        <v>35445</v>
      </c>
      <c r="G164">
        <v>3</v>
      </c>
      <c r="H164" s="2">
        <v>2.4</v>
      </c>
      <c r="I164" t="s">
        <v>319</v>
      </c>
      <c r="J164" t="s">
        <v>320</v>
      </c>
      <c r="K164" t="s">
        <v>321</v>
      </c>
      <c r="L164" t="s">
        <v>322</v>
      </c>
      <c r="M164" t="s">
        <v>323</v>
      </c>
      <c r="N164" t="s">
        <v>249</v>
      </c>
    </row>
    <row r="165" spans="1:14" x14ac:dyDescent="0.2">
      <c r="A165">
        <v>10411</v>
      </c>
      <c r="B165" t="s">
        <v>318</v>
      </c>
      <c r="C165">
        <v>9</v>
      </c>
      <c r="D165" s="1">
        <v>35440</v>
      </c>
      <c r="E165" s="1">
        <v>35468</v>
      </c>
      <c r="F165" s="1">
        <v>35451</v>
      </c>
      <c r="G165">
        <v>3</v>
      </c>
      <c r="H165" s="2">
        <v>23.65</v>
      </c>
      <c r="I165" t="s">
        <v>319</v>
      </c>
      <c r="J165" t="s">
        <v>320</v>
      </c>
      <c r="K165" t="s">
        <v>321</v>
      </c>
      <c r="L165" t="s">
        <v>322</v>
      </c>
      <c r="M165" t="s">
        <v>323</v>
      </c>
      <c r="N165" t="s">
        <v>249</v>
      </c>
    </row>
    <row r="166" spans="1:14" x14ac:dyDescent="0.2">
      <c r="A166">
        <v>10412</v>
      </c>
      <c r="B166" t="s">
        <v>97</v>
      </c>
      <c r="C166">
        <v>8</v>
      </c>
      <c r="D166" s="1">
        <v>35443</v>
      </c>
      <c r="E166" s="1">
        <v>35471</v>
      </c>
      <c r="F166" s="1">
        <v>35445</v>
      </c>
      <c r="G166">
        <v>2</v>
      </c>
      <c r="H166" s="2">
        <v>3.77</v>
      </c>
      <c r="I166" t="s">
        <v>98</v>
      </c>
      <c r="J166" t="s">
        <v>99</v>
      </c>
      <c r="K166" t="s">
        <v>100</v>
      </c>
      <c r="L166" t="s">
        <v>18</v>
      </c>
      <c r="M166">
        <v>90110</v>
      </c>
      <c r="N166" t="s">
        <v>101</v>
      </c>
    </row>
    <row r="167" spans="1:14" x14ac:dyDescent="0.2">
      <c r="A167">
        <v>10413</v>
      </c>
      <c r="B167" t="s">
        <v>262</v>
      </c>
      <c r="C167">
        <v>3</v>
      </c>
      <c r="D167" s="1">
        <v>35444</v>
      </c>
      <c r="E167" s="1">
        <v>35472</v>
      </c>
      <c r="F167" s="1">
        <v>35446</v>
      </c>
      <c r="G167">
        <v>2</v>
      </c>
      <c r="H167" s="2">
        <v>95.66</v>
      </c>
      <c r="I167" t="s">
        <v>263</v>
      </c>
      <c r="J167" t="s">
        <v>264</v>
      </c>
      <c r="K167" t="s">
        <v>265</v>
      </c>
      <c r="L167" t="s">
        <v>18</v>
      </c>
      <c r="M167">
        <v>31000</v>
      </c>
      <c r="N167" t="s">
        <v>19</v>
      </c>
    </row>
    <row r="168" spans="1:14" x14ac:dyDescent="0.2">
      <c r="A168">
        <v>10414</v>
      </c>
      <c r="B168" t="s">
        <v>258</v>
      </c>
      <c r="C168">
        <v>2</v>
      </c>
      <c r="D168" s="1">
        <v>35444</v>
      </c>
      <c r="E168" s="1">
        <v>35472</v>
      </c>
      <c r="F168" s="1">
        <v>35447</v>
      </c>
      <c r="G168">
        <v>3</v>
      </c>
      <c r="H168" s="2">
        <v>21.48</v>
      </c>
      <c r="I168" t="s">
        <v>259</v>
      </c>
      <c r="J168" t="s">
        <v>260</v>
      </c>
      <c r="K168" t="s">
        <v>173</v>
      </c>
      <c r="L168" t="s">
        <v>55</v>
      </c>
      <c r="M168" t="s">
        <v>261</v>
      </c>
      <c r="N168" t="s">
        <v>31</v>
      </c>
    </row>
    <row r="169" spans="1:14" x14ac:dyDescent="0.2">
      <c r="A169">
        <v>10415</v>
      </c>
      <c r="B169" t="s">
        <v>309</v>
      </c>
      <c r="C169">
        <v>3</v>
      </c>
      <c r="D169" s="1">
        <v>35445</v>
      </c>
      <c r="E169" s="1">
        <v>35473</v>
      </c>
      <c r="F169" s="1">
        <v>35454</v>
      </c>
      <c r="G169">
        <v>1</v>
      </c>
      <c r="H169" s="2">
        <v>0.2</v>
      </c>
      <c r="I169" t="s">
        <v>310</v>
      </c>
      <c r="J169" t="s">
        <v>311</v>
      </c>
      <c r="K169" t="s">
        <v>312</v>
      </c>
      <c r="L169" t="s">
        <v>202</v>
      </c>
      <c r="M169">
        <v>97827</v>
      </c>
      <c r="N169" t="s">
        <v>86</v>
      </c>
    </row>
    <row r="170" spans="1:14" x14ac:dyDescent="0.2">
      <c r="A170">
        <v>10416</v>
      </c>
      <c r="B170" t="s">
        <v>97</v>
      </c>
      <c r="C170">
        <v>8</v>
      </c>
      <c r="D170" s="1">
        <v>35446</v>
      </c>
      <c r="E170" s="1">
        <v>35474</v>
      </c>
      <c r="F170" s="1">
        <v>35457</v>
      </c>
      <c r="G170">
        <v>3</v>
      </c>
      <c r="H170" s="2">
        <v>22.72</v>
      </c>
      <c r="I170" t="s">
        <v>98</v>
      </c>
      <c r="J170" t="s">
        <v>99</v>
      </c>
      <c r="K170" t="s">
        <v>100</v>
      </c>
      <c r="L170" t="s">
        <v>18</v>
      </c>
      <c r="M170">
        <v>90110</v>
      </c>
      <c r="N170" t="s">
        <v>101</v>
      </c>
    </row>
    <row r="171" spans="1:14" x14ac:dyDescent="0.2">
      <c r="A171">
        <v>10417</v>
      </c>
      <c r="B171" t="s">
        <v>253</v>
      </c>
      <c r="C171">
        <v>4</v>
      </c>
      <c r="D171" s="1">
        <v>35446</v>
      </c>
      <c r="E171" s="1">
        <v>35474</v>
      </c>
      <c r="F171" s="1">
        <v>35458</v>
      </c>
      <c r="G171">
        <v>3</v>
      </c>
      <c r="H171" s="2">
        <v>70.290000000000006</v>
      </c>
      <c r="I171" t="s">
        <v>254</v>
      </c>
      <c r="J171" t="s">
        <v>255</v>
      </c>
      <c r="K171" t="s">
        <v>256</v>
      </c>
      <c r="L171" t="s">
        <v>18</v>
      </c>
      <c r="M171">
        <v>1734</v>
      </c>
      <c r="N171" t="s">
        <v>257</v>
      </c>
    </row>
    <row r="172" spans="1:14" x14ac:dyDescent="0.2">
      <c r="A172">
        <v>10418</v>
      </c>
      <c r="B172" t="s">
        <v>121</v>
      </c>
      <c r="C172">
        <v>4</v>
      </c>
      <c r="D172" s="1">
        <v>35447</v>
      </c>
      <c r="E172" s="1">
        <v>35475</v>
      </c>
      <c r="F172" s="1">
        <v>35454</v>
      </c>
      <c r="G172">
        <v>1</v>
      </c>
      <c r="H172" s="2">
        <v>17.55</v>
      </c>
      <c r="I172" t="s">
        <v>122</v>
      </c>
      <c r="J172" t="s">
        <v>123</v>
      </c>
      <c r="K172" t="s">
        <v>124</v>
      </c>
      <c r="L172" t="s">
        <v>18</v>
      </c>
      <c r="M172">
        <v>1307</v>
      </c>
      <c r="N172" t="s">
        <v>24</v>
      </c>
    </row>
    <row r="173" spans="1:14" x14ac:dyDescent="0.2">
      <c r="A173">
        <v>10419</v>
      </c>
      <c r="B173" t="s">
        <v>47</v>
      </c>
      <c r="C173">
        <v>4</v>
      </c>
      <c r="D173" s="1">
        <v>35450</v>
      </c>
      <c r="E173" s="1">
        <v>35478</v>
      </c>
      <c r="F173" s="1">
        <v>35460</v>
      </c>
      <c r="G173">
        <v>2</v>
      </c>
      <c r="H173" s="2">
        <v>137.35</v>
      </c>
      <c r="I173" t="s">
        <v>48</v>
      </c>
      <c r="J173" t="s">
        <v>49</v>
      </c>
      <c r="K173" t="s">
        <v>50</v>
      </c>
      <c r="L173" t="s">
        <v>18</v>
      </c>
      <c r="M173">
        <v>1204</v>
      </c>
      <c r="N173" t="s">
        <v>46</v>
      </c>
    </row>
    <row r="174" spans="1:14" x14ac:dyDescent="0.2">
      <c r="A174">
        <v>10420</v>
      </c>
      <c r="B174" t="s">
        <v>51</v>
      </c>
      <c r="C174">
        <v>3</v>
      </c>
      <c r="D174" s="1">
        <v>35451</v>
      </c>
      <c r="E174" s="1">
        <v>35479</v>
      </c>
      <c r="F174" s="1">
        <v>35457</v>
      </c>
      <c r="G174">
        <v>1</v>
      </c>
      <c r="H174" s="2">
        <v>44.12</v>
      </c>
      <c r="I174" t="s">
        <v>52</v>
      </c>
      <c r="J174" t="s">
        <v>53</v>
      </c>
      <c r="K174" t="s">
        <v>54</v>
      </c>
      <c r="L174" t="s">
        <v>55</v>
      </c>
      <c r="M174" t="s">
        <v>56</v>
      </c>
      <c r="N174" t="s">
        <v>31</v>
      </c>
    </row>
    <row r="175" spans="1:14" x14ac:dyDescent="0.2">
      <c r="A175">
        <v>10421</v>
      </c>
      <c r="B175" t="s">
        <v>77</v>
      </c>
      <c r="C175">
        <v>8</v>
      </c>
      <c r="D175" s="1">
        <v>35451</v>
      </c>
      <c r="E175" s="1">
        <v>35493</v>
      </c>
      <c r="F175" s="1">
        <v>35457</v>
      </c>
      <c r="G175">
        <v>1</v>
      </c>
      <c r="H175" s="2">
        <v>99.23</v>
      </c>
      <c r="I175" t="s">
        <v>78</v>
      </c>
      <c r="J175" t="s">
        <v>79</v>
      </c>
      <c r="K175" t="s">
        <v>28</v>
      </c>
      <c r="L175" t="s">
        <v>29</v>
      </c>
      <c r="M175" t="s">
        <v>80</v>
      </c>
      <c r="N175" t="s">
        <v>31</v>
      </c>
    </row>
    <row r="176" spans="1:14" x14ac:dyDescent="0.2">
      <c r="A176">
        <v>10422</v>
      </c>
      <c r="B176" t="s">
        <v>338</v>
      </c>
      <c r="C176">
        <v>2</v>
      </c>
      <c r="D176" s="1">
        <v>35452</v>
      </c>
      <c r="E176" s="1">
        <v>35480</v>
      </c>
      <c r="F176" s="1">
        <v>35461</v>
      </c>
      <c r="G176">
        <v>1</v>
      </c>
      <c r="H176" s="2">
        <v>3.02</v>
      </c>
      <c r="I176" t="s">
        <v>339</v>
      </c>
      <c r="J176" t="s">
        <v>340</v>
      </c>
      <c r="K176" t="s">
        <v>341</v>
      </c>
      <c r="L176" t="s">
        <v>18</v>
      </c>
      <c r="M176">
        <v>10100</v>
      </c>
      <c r="N176" t="s">
        <v>129</v>
      </c>
    </row>
    <row r="177" spans="1:14" x14ac:dyDescent="0.2">
      <c r="A177">
        <v>10423</v>
      </c>
      <c r="B177" t="s">
        <v>342</v>
      </c>
      <c r="C177">
        <v>6</v>
      </c>
      <c r="D177" s="1">
        <v>35453</v>
      </c>
      <c r="E177" s="1">
        <v>35467</v>
      </c>
      <c r="F177" s="1">
        <v>35485</v>
      </c>
      <c r="G177">
        <v>3</v>
      </c>
      <c r="H177" s="2">
        <v>24.5</v>
      </c>
      <c r="I177" t="s">
        <v>343</v>
      </c>
      <c r="J177" t="s">
        <v>344</v>
      </c>
      <c r="K177" t="s">
        <v>345</v>
      </c>
      <c r="L177" t="s">
        <v>55</v>
      </c>
      <c r="M177" t="s">
        <v>346</v>
      </c>
      <c r="N177" t="s">
        <v>31</v>
      </c>
    </row>
    <row r="178" spans="1:14" x14ac:dyDescent="0.2">
      <c r="A178">
        <v>10424</v>
      </c>
      <c r="B178" t="s">
        <v>243</v>
      </c>
      <c r="C178">
        <v>7</v>
      </c>
      <c r="D178" s="1">
        <v>35453</v>
      </c>
      <c r="E178" s="1">
        <v>35481</v>
      </c>
      <c r="F178" s="1">
        <v>35457</v>
      </c>
      <c r="G178">
        <v>2</v>
      </c>
      <c r="H178" s="2">
        <v>370.61</v>
      </c>
      <c r="I178" t="s">
        <v>244</v>
      </c>
      <c r="J178" t="s">
        <v>245</v>
      </c>
      <c r="K178" t="s">
        <v>246</v>
      </c>
      <c r="L178" t="s">
        <v>247</v>
      </c>
      <c r="M178" t="s">
        <v>248</v>
      </c>
      <c r="N178" t="s">
        <v>249</v>
      </c>
    </row>
    <row r="179" spans="1:14" x14ac:dyDescent="0.2">
      <c r="A179">
        <v>10425</v>
      </c>
      <c r="B179" t="s">
        <v>262</v>
      </c>
      <c r="C179">
        <v>6</v>
      </c>
      <c r="D179" s="1">
        <v>35454</v>
      </c>
      <c r="E179" s="1">
        <v>35482</v>
      </c>
      <c r="F179" s="1">
        <v>35475</v>
      </c>
      <c r="G179">
        <v>2</v>
      </c>
      <c r="H179" s="2">
        <v>7.93</v>
      </c>
      <c r="I179" t="s">
        <v>263</v>
      </c>
      <c r="J179" t="s">
        <v>264</v>
      </c>
      <c r="K179" t="s">
        <v>265</v>
      </c>
      <c r="L179" t="s">
        <v>18</v>
      </c>
      <c r="M179">
        <v>31000</v>
      </c>
      <c r="N179" t="s">
        <v>19</v>
      </c>
    </row>
    <row r="180" spans="1:14" x14ac:dyDescent="0.2">
      <c r="A180">
        <v>10426</v>
      </c>
      <c r="B180" t="s">
        <v>291</v>
      </c>
      <c r="C180">
        <v>4</v>
      </c>
      <c r="D180" s="1">
        <v>35457</v>
      </c>
      <c r="E180" s="1">
        <v>35485</v>
      </c>
      <c r="F180" s="1">
        <v>35467</v>
      </c>
      <c r="G180">
        <v>1</v>
      </c>
      <c r="H180" s="2">
        <v>18.690000000000001</v>
      </c>
      <c r="I180" t="s">
        <v>292</v>
      </c>
      <c r="J180" t="s">
        <v>293</v>
      </c>
      <c r="K180" t="s">
        <v>294</v>
      </c>
      <c r="L180" t="s">
        <v>18</v>
      </c>
      <c r="M180">
        <v>8022</v>
      </c>
      <c r="N180" t="s">
        <v>150</v>
      </c>
    </row>
    <row r="181" spans="1:14" x14ac:dyDescent="0.2">
      <c r="A181">
        <v>10427</v>
      </c>
      <c r="B181" t="s">
        <v>266</v>
      </c>
      <c r="C181">
        <v>4</v>
      </c>
      <c r="D181" s="1">
        <v>35457</v>
      </c>
      <c r="E181" s="1">
        <v>35485</v>
      </c>
      <c r="F181" s="1">
        <v>35492</v>
      </c>
      <c r="G181">
        <v>2</v>
      </c>
      <c r="H181" s="2">
        <v>31.29</v>
      </c>
      <c r="I181" t="s">
        <v>267</v>
      </c>
      <c r="J181" t="s">
        <v>268</v>
      </c>
      <c r="K181" t="s">
        <v>269</v>
      </c>
      <c r="L181" t="s">
        <v>18</v>
      </c>
      <c r="M181">
        <v>5020</v>
      </c>
      <c r="N181" t="s">
        <v>67</v>
      </c>
    </row>
    <row r="182" spans="1:14" x14ac:dyDescent="0.2">
      <c r="A182">
        <v>10428</v>
      </c>
      <c r="B182" t="s">
        <v>160</v>
      </c>
      <c r="C182">
        <v>7</v>
      </c>
      <c r="D182" s="1">
        <v>35458</v>
      </c>
      <c r="E182" s="1">
        <v>35486</v>
      </c>
      <c r="F182" s="1">
        <v>35465</v>
      </c>
      <c r="G182">
        <v>1</v>
      </c>
      <c r="H182" s="2">
        <v>11.09</v>
      </c>
      <c r="I182" t="s">
        <v>161</v>
      </c>
      <c r="J182" t="s">
        <v>162</v>
      </c>
      <c r="K182" t="s">
        <v>163</v>
      </c>
      <c r="L182" t="s">
        <v>18</v>
      </c>
      <c r="M182">
        <v>42100</v>
      </c>
      <c r="N182" t="s">
        <v>129</v>
      </c>
    </row>
    <row r="183" spans="1:14" x14ac:dyDescent="0.2">
      <c r="A183">
        <v>10429</v>
      </c>
      <c r="B183" t="s">
        <v>179</v>
      </c>
      <c r="C183">
        <v>3</v>
      </c>
      <c r="D183" s="1">
        <v>35459</v>
      </c>
      <c r="E183" s="1">
        <v>35501</v>
      </c>
      <c r="F183" s="1">
        <v>35468</v>
      </c>
      <c r="G183">
        <v>2</v>
      </c>
      <c r="H183" s="2">
        <v>56.63</v>
      </c>
      <c r="I183" t="s">
        <v>180</v>
      </c>
      <c r="J183" t="s">
        <v>181</v>
      </c>
      <c r="K183" t="s">
        <v>182</v>
      </c>
      <c r="L183" t="s">
        <v>183</v>
      </c>
      <c r="M183" t="s">
        <v>18</v>
      </c>
      <c r="N183" t="s">
        <v>184</v>
      </c>
    </row>
    <row r="184" spans="1:14" x14ac:dyDescent="0.2">
      <c r="A184">
        <v>10430</v>
      </c>
      <c r="B184" t="s">
        <v>63</v>
      </c>
      <c r="C184">
        <v>4</v>
      </c>
      <c r="D184" s="1">
        <v>35460</v>
      </c>
      <c r="E184" s="1">
        <v>35474</v>
      </c>
      <c r="F184" s="1">
        <v>35464</v>
      </c>
      <c r="G184">
        <v>1</v>
      </c>
      <c r="H184" s="2">
        <v>458.78</v>
      </c>
      <c r="I184" t="s">
        <v>64</v>
      </c>
      <c r="J184" t="s">
        <v>65</v>
      </c>
      <c r="K184" t="s">
        <v>66</v>
      </c>
      <c r="L184" t="s">
        <v>18</v>
      </c>
      <c r="M184">
        <v>8010</v>
      </c>
      <c r="N184" t="s">
        <v>67</v>
      </c>
    </row>
    <row r="185" spans="1:14" x14ac:dyDescent="0.2">
      <c r="A185">
        <v>10431</v>
      </c>
      <c r="B185" t="s">
        <v>318</v>
      </c>
      <c r="C185">
        <v>4</v>
      </c>
      <c r="D185" s="1">
        <v>35460</v>
      </c>
      <c r="E185" s="1">
        <v>35474</v>
      </c>
      <c r="F185" s="1">
        <v>35468</v>
      </c>
      <c r="G185">
        <v>2</v>
      </c>
      <c r="H185" s="2">
        <v>44.17</v>
      </c>
      <c r="I185" t="s">
        <v>319</v>
      </c>
      <c r="J185" t="s">
        <v>320</v>
      </c>
      <c r="K185" t="s">
        <v>321</v>
      </c>
      <c r="L185" t="s">
        <v>322</v>
      </c>
      <c r="M185" t="s">
        <v>323</v>
      </c>
      <c r="N185" t="s">
        <v>249</v>
      </c>
    </row>
    <row r="186" spans="1:14" x14ac:dyDescent="0.2">
      <c r="A186">
        <v>10432</v>
      </c>
      <c r="B186" t="s">
        <v>116</v>
      </c>
      <c r="C186">
        <v>3</v>
      </c>
      <c r="D186" s="1">
        <v>35461</v>
      </c>
      <c r="E186" s="1">
        <v>35475</v>
      </c>
      <c r="F186" s="1">
        <v>35468</v>
      </c>
      <c r="G186">
        <v>2</v>
      </c>
      <c r="H186" s="2">
        <v>4.34</v>
      </c>
      <c r="I186" t="s">
        <v>117</v>
      </c>
      <c r="J186" t="s">
        <v>118</v>
      </c>
      <c r="K186" t="s">
        <v>119</v>
      </c>
      <c r="L186" t="s">
        <v>120</v>
      </c>
      <c r="M186">
        <v>82520</v>
      </c>
      <c r="N186" t="s">
        <v>86</v>
      </c>
    </row>
    <row r="187" spans="1:14" x14ac:dyDescent="0.2">
      <c r="A187">
        <v>10433</v>
      </c>
      <c r="B187" t="s">
        <v>250</v>
      </c>
      <c r="C187">
        <v>3</v>
      </c>
      <c r="D187" s="1">
        <v>35464</v>
      </c>
      <c r="E187" s="1">
        <v>35492</v>
      </c>
      <c r="F187" s="1">
        <v>35493</v>
      </c>
      <c r="G187">
        <v>3</v>
      </c>
      <c r="H187" s="2">
        <v>73.83</v>
      </c>
      <c r="I187" t="s">
        <v>251</v>
      </c>
      <c r="J187" t="s">
        <v>252</v>
      </c>
      <c r="K187" t="s">
        <v>237</v>
      </c>
      <c r="L187" t="s">
        <v>18</v>
      </c>
      <c r="M187">
        <v>1756</v>
      </c>
      <c r="N187" t="s">
        <v>238</v>
      </c>
    </row>
    <row r="188" spans="1:14" x14ac:dyDescent="0.2">
      <c r="A188">
        <v>10434</v>
      </c>
      <c r="B188" t="s">
        <v>87</v>
      </c>
      <c r="C188">
        <v>3</v>
      </c>
      <c r="D188" s="1">
        <v>35464</v>
      </c>
      <c r="E188" s="1">
        <v>35492</v>
      </c>
      <c r="F188" s="1">
        <v>35474</v>
      </c>
      <c r="G188">
        <v>2</v>
      </c>
      <c r="H188" s="2">
        <v>17.920000000000002</v>
      </c>
      <c r="I188" t="s">
        <v>88</v>
      </c>
      <c r="J188" t="s">
        <v>89</v>
      </c>
      <c r="K188" t="s">
        <v>90</v>
      </c>
      <c r="L188" t="s">
        <v>18</v>
      </c>
      <c r="M188" t="s">
        <v>91</v>
      </c>
      <c r="N188" t="s">
        <v>92</v>
      </c>
    </row>
    <row r="189" spans="1:14" x14ac:dyDescent="0.2">
      <c r="A189">
        <v>10435</v>
      </c>
      <c r="B189" t="s">
        <v>347</v>
      </c>
      <c r="C189">
        <v>8</v>
      </c>
      <c r="D189" s="1">
        <v>35465</v>
      </c>
      <c r="E189" s="1">
        <v>35507</v>
      </c>
      <c r="F189" s="1">
        <v>35468</v>
      </c>
      <c r="G189">
        <v>2</v>
      </c>
      <c r="H189" s="2">
        <v>9.2100000000000009</v>
      </c>
      <c r="I189" t="s">
        <v>348</v>
      </c>
      <c r="J189" t="s">
        <v>349</v>
      </c>
      <c r="K189" t="s">
        <v>167</v>
      </c>
      <c r="L189" t="s">
        <v>18</v>
      </c>
      <c r="M189" t="s">
        <v>350</v>
      </c>
      <c r="N189" t="s">
        <v>169</v>
      </c>
    </row>
    <row r="190" spans="1:14" x14ac:dyDescent="0.2">
      <c r="A190">
        <v>10436</v>
      </c>
      <c r="B190" t="s">
        <v>93</v>
      </c>
      <c r="C190">
        <v>3</v>
      </c>
      <c r="D190" s="1">
        <v>35466</v>
      </c>
      <c r="E190" s="1">
        <v>35494</v>
      </c>
      <c r="F190" s="1">
        <v>35472</v>
      </c>
      <c r="G190">
        <v>2</v>
      </c>
      <c r="H190" s="2">
        <v>156.66</v>
      </c>
      <c r="I190" t="s">
        <v>94</v>
      </c>
      <c r="J190" t="s">
        <v>95</v>
      </c>
      <c r="K190" t="s">
        <v>96</v>
      </c>
      <c r="L190" t="s">
        <v>18</v>
      </c>
      <c r="M190">
        <v>67000</v>
      </c>
      <c r="N190" t="s">
        <v>19</v>
      </c>
    </row>
    <row r="191" spans="1:14" x14ac:dyDescent="0.2">
      <c r="A191">
        <v>10437</v>
      </c>
      <c r="B191" t="s">
        <v>97</v>
      </c>
      <c r="C191">
        <v>8</v>
      </c>
      <c r="D191" s="1">
        <v>35466</v>
      </c>
      <c r="E191" s="1">
        <v>35494</v>
      </c>
      <c r="F191" s="1">
        <v>35473</v>
      </c>
      <c r="G191">
        <v>1</v>
      </c>
      <c r="H191" s="2">
        <v>19.97</v>
      </c>
      <c r="I191" t="s">
        <v>98</v>
      </c>
      <c r="J191" t="s">
        <v>99</v>
      </c>
      <c r="K191" t="s">
        <v>100</v>
      </c>
      <c r="L191" t="s">
        <v>18</v>
      </c>
      <c r="M191">
        <v>90110</v>
      </c>
      <c r="N191" t="s">
        <v>101</v>
      </c>
    </row>
    <row r="192" spans="1:14" x14ac:dyDescent="0.2">
      <c r="A192">
        <v>10438</v>
      </c>
      <c r="B192" t="s">
        <v>20</v>
      </c>
      <c r="C192">
        <v>3</v>
      </c>
      <c r="D192" s="1">
        <v>35467</v>
      </c>
      <c r="E192" s="1">
        <v>35495</v>
      </c>
      <c r="F192" s="1">
        <v>35475</v>
      </c>
      <c r="G192">
        <v>2</v>
      </c>
      <c r="H192" s="2">
        <v>8.24</v>
      </c>
      <c r="I192" t="s">
        <v>21</v>
      </c>
      <c r="J192" t="s">
        <v>22</v>
      </c>
      <c r="K192" t="s">
        <v>23</v>
      </c>
      <c r="L192" t="s">
        <v>18</v>
      </c>
      <c r="M192">
        <v>44087</v>
      </c>
      <c r="N192" t="s">
        <v>24</v>
      </c>
    </row>
    <row r="193" spans="1:14" x14ac:dyDescent="0.2">
      <c r="A193">
        <v>10439</v>
      </c>
      <c r="B193" t="s">
        <v>243</v>
      </c>
      <c r="C193">
        <v>6</v>
      </c>
      <c r="D193" s="1">
        <v>35468</v>
      </c>
      <c r="E193" s="1">
        <v>35496</v>
      </c>
      <c r="F193" s="1">
        <v>35471</v>
      </c>
      <c r="G193">
        <v>3</v>
      </c>
      <c r="H193" s="2">
        <v>4.07</v>
      </c>
      <c r="I193" t="s">
        <v>244</v>
      </c>
      <c r="J193" t="s">
        <v>245</v>
      </c>
      <c r="K193" t="s">
        <v>246</v>
      </c>
      <c r="L193" t="s">
        <v>247</v>
      </c>
      <c r="M193" t="s">
        <v>248</v>
      </c>
      <c r="N193" t="s">
        <v>249</v>
      </c>
    </row>
    <row r="194" spans="1:14" x14ac:dyDescent="0.2">
      <c r="A194">
        <v>10440</v>
      </c>
      <c r="B194" t="s">
        <v>226</v>
      </c>
      <c r="C194">
        <v>4</v>
      </c>
      <c r="D194" s="1">
        <v>35471</v>
      </c>
      <c r="E194" s="1">
        <v>35499</v>
      </c>
      <c r="F194" s="1">
        <v>35489</v>
      </c>
      <c r="G194">
        <v>2</v>
      </c>
      <c r="H194" s="2">
        <v>86.53</v>
      </c>
      <c r="I194" t="s">
        <v>227</v>
      </c>
      <c r="J194" t="s">
        <v>228</v>
      </c>
      <c r="K194" t="s">
        <v>229</v>
      </c>
      <c r="L194" t="s">
        <v>230</v>
      </c>
      <c r="M194">
        <v>83720</v>
      </c>
      <c r="N194" t="s">
        <v>86</v>
      </c>
    </row>
    <row r="195" spans="1:14" x14ac:dyDescent="0.2">
      <c r="A195">
        <v>10441</v>
      </c>
      <c r="B195" t="s">
        <v>193</v>
      </c>
      <c r="C195">
        <v>3</v>
      </c>
      <c r="D195" s="1">
        <v>35471</v>
      </c>
      <c r="E195" s="1">
        <v>35513</v>
      </c>
      <c r="F195" s="1">
        <v>35503</v>
      </c>
      <c r="G195">
        <v>2</v>
      </c>
      <c r="H195" s="2">
        <v>73.02</v>
      </c>
      <c r="I195" t="s">
        <v>194</v>
      </c>
      <c r="J195" t="s">
        <v>195</v>
      </c>
      <c r="K195" t="s">
        <v>196</v>
      </c>
      <c r="L195" t="s">
        <v>197</v>
      </c>
      <c r="M195">
        <v>99508</v>
      </c>
      <c r="N195" t="s">
        <v>86</v>
      </c>
    </row>
    <row r="196" spans="1:14" x14ac:dyDescent="0.2">
      <c r="A196">
        <v>10442</v>
      </c>
      <c r="B196" t="s">
        <v>63</v>
      </c>
      <c r="C196">
        <v>3</v>
      </c>
      <c r="D196" s="1">
        <v>35472</v>
      </c>
      <c r="E196" s="1">
        <v>35500</v>
      </c>
      <c r="F196" s="1">
        <v>35479</v>
      </c>
      <c r="G196">
        <v>2</v>
      </c>
      <c r="H196" s="2">
        <v>47.94</v>
      </c>
      <c r="I196" t="s">
        <v>64</v>
      </c>
      <c r="J196" t="s">
        <v>65</v>
      </c>
      <c r="K196" t="s">
        <v>66</v>
      </c>
      <c r="L196" t="s">
        <v>18</v>
      </c>
      <c r="M196">
        <v>8010</v>
      </c>
      <c r="N196" t="s">
        <v>67</v>
      </c>
    </row>
    <row r="197" spans="1:14" x14ac:dyDescent="0.2">
      <c r="A197">
        <v>10443</v>
      </c>
      <c r="B197" t="s">
        <v>160</v>
      </c>
      <c r="C197">
        <v>8</v>
      </c>
      <c r="D197" s="1">
        <v>35473</v>
      </c>
      <c r="E197" s="1">
        <v>35501</v>
      </c>
      <c r="F197" s="1">
        <v>35475</v>
      </c>
      <c r="G197">
        <v>1</v>
      </c>
      <c r="H197" s="2">
        <v>13.95</v>
      </c>
      <c r="I197" t="s">
        <v>161</v>
      </c>
      <c r="J197" t="s">
        <v>162</v>
      </c>
      <c r="K197" t="s">
        <v>163</v>
      </c>
      <c r="L197" t="s">
        <v>18</v>
      </c>
      <c r="M197">
        <v>42100</v>
      </c>
      <c r="N197" t="s">
        <v>129</v>
      </c>
    </row>
    <row r="198" spans="1:14" x14ac:dyDescent="0.2">
      <c r="A198">
        <v>10444</v>
      </c>
      <c r="B198" t="s">
        <v>137</v>
      </c>
      <c r="C198">
        <v>3</v>
      </c>
      <c r="D198" s="1">
        <v>35473</v>
      </c>
      <c r="E198" s="1">
        <v>35501</v>
      </c>
      <c r="F198" s="1">
        <v>35482</v>
      </c>
      <c r="G198">
        <v>3</v>
      </c>
      <c r="H198" s="2">
        <v>3.5</v>
      </c>
      <c r="I198" t="s">
        <v>138</v>
      </c>
      <c r="J198" t="s">
        <v>139</v>
      </c>
      <c r="K198" t="s">
        <v>140</v>
      </c>
      <c r="L198" t="s">
        <v>18</v>
      </c>
      <c r="M198" t="s">
        <v>141</v>
      </c>
      <c r="N198" t="s">
        <v>92</v>
      </c>
    </row>
    <row r="199" spans="1:14" x14ac:dyDescent="0.2">
      <c r="A199">
        <v>10445</v>
      </c>
      <c r="B199" t="s">
        <v>137</v>
      </c>
      <c r="C199">
        <v>3</v>
      </c>
      <c r="D199" s="1">
        <v>35474</v>
      </c>
      <c r="E199" s="1">
        <v>35502</v>
      </c>
      <c r="F199" s="1">
        <v>35481</v>
      </c>
      <c r="G199">
        <v>1</v>
      </c>
      <c r="H199" s="2">
        <v>9.3000000000000007</v>
      </c>
      <c r="I199" t="s">
        <v>138</v>
      </c>
      <c r="J199" t="s">
        <v>139</v>
      </c>
      <c r="K199" t="s">
        <v>140</v>
      </c>
      <c r="L199" t="s">
        <v>18</v>
      </c>
      <c r="M199" t="s">
        <v>141</v>
      </c>
      <c r="N199" t="s">
        <v>92</v>
      </c>
    </row>
    <row r="200" spans="1:14" x14ac:dyDescent="0.2">
      <c r="A200">
        <v>10446</v>
      </c>
      <c r="B200" t="s">
        <v>20</v>
      </c>
      <c r="C200">
        <v>6</v>
      </c>
      <c r="D200" s="1">
        <v>35475</v>
      </c>
      <c r="E200" s="1">
        <v>35503</v>
      </c>
      <c r="F200" s="1">
        <v>35480</v>
      </c>
      <c r="G200">
        <v>1</v>
      </c>
      <c r="H200" s="2">
        <v>14.68</v>
      </c>
      <c r="I200" t="s">
        <v>21</v>
      </c>
      <c r="J200" t="s">
        <v>22</v>
      </c>
      <c r="K200" t="s">
        <v>23</v>
      </c>
      <c r="L200" t="s">
        <v>18</v>
      </c>
      <c r="M200">
        <v>44087</v>
      </c>
      <c r="N200" t="s">
        <v>24</v>
      </c>
    </row>
    <row r="201" spans="1:14" x14ac:dyDescent="0.2">
      <c r="A201">
        <v>10447</v>
      </c>
      <c r="B201" t="s">
        <v>156</v>
      </c>
      <c r="C201">
        <v>4</v>
      </c>
      <c r="D201" s="1">
        <v>35475</v>
      </c>
      <c r="E201" s="1">
        <v>35503</v>
      </c>
      <c r="F201" s="1">
        <v>35496</v>
      </c>
      <c r="G201">
        <v>2</v>
      </c>
      <c r="H201" s="2">
        <v>68.66</v>
      </c>
      <c r="I201" t="s">
        <v>157</v>
      </c>
      <c r="J201" t="s">
        <v>158</v>
      </c>
      <c r="K201" t="s">
        <v>28</v>
      </c>
      <c r="L201" t="s">
        <v>29</v>
      </c>
      <c r="M201" t="s">
        <v>159</v>
      </c>
      <c r="N201" t="s">
        <v>31</v>
      </c>
    </row>
    <row r="202" spans="1:14" x14ac:dyDescent="0.2">
      <c r="A202">
        <v>10448</v>
      </c>
      <c r="B202" t="s">
        <v>351</v>
      </c>
      <c r="C202">
        <v>4</v>
      </c>
      <c r="D202" s="1">
        <v>35478</v>
      </c>
      <c r="E202" s="1">
        <v>35506</v>
      </c>
      <c r="F202" s="1">
        <v>35485</v>
      </c>
      <c r="G202">
        <v>2</v>
      </c>
      <c r="H202" s="2">
        <v>38.82</v>
      </c>
      <c r="I202" t="s">
        <v>352</v>
      </c>
      <c r="J202" t="s">
        <v>353</v>
      </c>
      <c r="K202" t="s">
        <v>336</v>
      </c>
      <c r="L202" t="s">
        <v>18</v>
      </c>
      <c r="M202">
        <v>1010</v>
      </c>
      <c r="N202" t="s">
        <v>337</v>
      </c>
    </row>
    <row r="203" spans="1:14" x14ac:dyDescent="0.2">
      <c r="A203">
        <v>10449</v>
      </c>
      <c r="B203" t="s">
        <v>93</v>
      </c>
      <c r="C203">
        <v>3</v>
      </c>
      <c r="D203" s="1">
        <v>35479</v>
      </c>
      <c r="E203" s="1">
        <v>35507</v>
      </c>
      <c r="F203" s="1">
        <v>35488</v>
      </c>
      <c r="G203">
        <v>2</v>
      </c>
      <c r="H203" s="2">
        <v>53.3</v>
      </c>
      <c r="I203" t="s">
        <v>94</v>
      </c>
      <c r="J203" t="s">
        <v>95</v>
      </c>
      <c r="K203" t="s">
        <v>96</v>
      </c>
      <c r="L203" t="s">
        <v>18</v>
      </c>
      <c r="M203">
        <v>67000</v>
      </c>
      <c r="N203" t="s">
        <v>19</v>
      </c>
    </row>
    <row r="204" spans="1:14" x14ac:dyDescent="0.2">
      <c r="A204">
        <v>10450</v>
      </c>
      <c r="B204" t="s">
        <v>32</v>
      </c>
      <c r="C204">
        <v>8</v>
      </c>
      <c r="D204" s="1">
        <v>35480</v>
      </c>
      <c r="E204" s="1">
        <v>35508</v>
      </c>
      <c r="F204" s="1">
        <v>35500</v>
      </c>
      <c r="G204">
        <v>2</v>
      </c>
      <c r="H204" s="2">
        <v>7.23</v>
      </c>
      <c r="I204" t="s">
        <v>33</v>
      </c>
      <c r="J204" t="s">
        <v>34</v>
      </c>
      <c r="K204" t="s">
        <v>35</v>
      </c>
      <c r="L204" t="s">
        <v>18</v>
      </c>
      <c r="M204">
        <v>69004</v>
      </c>
      <c r="N204" t="s">
        <v>19</v>
      </c>
    </row>
    <row r="205" spans="1:14" x14ac:dyDescent="0.2">
      <c r="A205">
        <v>10451</v>
      </c>
      <c r="B205" t="s">
        <v>121</v>
      </c>
      <c r="C205">
        <v>4</v>
      </c>
      <c r="D205" s="1">
        <v>35480</v>
      </c>
      <c r="E205" s="1">
        <v>35494</v>
      </c>
      <c r="F205" s="1">
        <v>35501</v>
      </c>
      <c r="G205">
        <v>3</v>
      </c>
      <c r="H205" s="2">
        <v>189.09</v>
      </c>
      <c r="I205" t="s">
        <v>122</v>
      </c>
      <c r="J205" t="s">
        <v>123</v>
      </c>
      <c r="K205" t="s">
        <v>124</v>
      </c>
      <c r="L205" t="s">
        <v>18</v>
      </c>
      <c r="M205">
        <v>1307</v>
      </c>
      <c r="N205" t="s">
        <v>24</v>
      </c>
    </row>
    <row r="206" spans="1:14" x14ac:dyDescent="0.2">
      <c r="A206">
        <v>10452</v>
      </c>
      <c r="B206" t="s">
        <v>226</v>
      </c>
      <c r="C206">
        <v>8</v>
      </c>
      <c r="D206" s="1">
        <v>35481</v>
      </c>
      <c r="E206" s="1">
        <v>35509</v>
      </c>
      <c r="F206" s="1">
        <v>35487</v>
      </c>
      <c r="G206">
        <v>1</v>
      </c>
      <c r="H206" s="2">
        <v>140.26</v>
      </c>
      <c r="I206" t="s">
        <v>227</v>
      </c>
      <c r="J206" t="s">
        <v>228</v>
      </c>
      <c r="K206" t="s">
        <v>229</v>
      </c>
      <c r="L206" t="s">
        <v>230</v>
      </c>
      <c r="M206">
        <v>83720</v>
      </c>
      <c r="N206" t="s">
        <v>86</v>
      </c>
    </row>
    <row r="207" spans="1:14" x14ac:dyDescent="0.2">
      <c r="A207">
        <v>10453</v>
      </c>
      <c r="B207" t="s">
        <v>270</v>
      </c>
      <c r="C207">
        <v>1</v>
      </c>
      <c r="D207" s="1">
        <v>35482</v>
      </c>
      <c r="E207" s="1">
        <v>35510</v>
      </c>
      <c r="F207" s="1">
        <v>35487</v>
      </c>
      <c r="G207">
        <v>2</v>
      </c>
      <c r="H207" s="2">
        <v>25.36</v>
      </c>
      <c r="I207" t="s">
        <v>271</v>
      </c>
      <c r="J207" t="s">
        <v>272</v>
      </c>
      <c r="K207" t="s">
        <v>273</v>
      </c>
      <c r="L207" t="s">
        <v>274</v>
      </c>
      <c r="M207" t="s">
        <v>275</v>
      </c>
      <c r="N207" t="s">
        <v>169</v>
      </c>
    </row>
    <row r="208" spans="1:14" x14ac:dyDescent="0.2">
      <c r="A208">
        <v>10454</v>
      </c>
      <c r="B208" t="s">
        <v>262</v>
      </c>
      <c r="C208">
        <v>4</v>
      </c>
      <c r="D208" s="1">
        <v>35482</v>
      </c>
      <c r="E208" s="1">
        <v>35510</v>
      </c>
      <c r="F208" s="1">
        <v>35486</v>
      </c>
      <c r="G208">
        <v>3</v>
      </c>
      <c r="H208" s="2">
        <v>2.74</v>
      </c>
      <c r="I208" t="s">
        <v>263</v>
      </c>
      <c r="J208" t="s">
        <v>264</v>
      </c>
      <c r="K208" t="s">
        <v>265</v>
      </c>
      <c r="L208" t="s">
        <v>18</v>
      </c>
      <c r="M208">
        <v>31000</v>
      </c>
      <c r="N208" t="s">
        <v>19</v>
      </c>
    </row>
    <row r="209" spans="1:14" x14ac:dyDescent="0.2">
      <c r="A209">
        <v>10455</v>
      </c>
      <c r="B209" t="s">
        <v>97</v>
      </c>
      <c r="C209">
        <v>8</v>
      </c>
      <c r="D209" s="1">
        <v>35485</v>
      </c>
      <c r="E209" s="1">
        <v>35527</v>
      </c>
      <c r="F209" s="1">
        <v>35492</v>
      </c>
      <c r="G209">
        <v>2</v>
      </c>
      <c r="H209" s="2">
        <v>180.45</v>
      </c>
      <c r="I209" t="s">
        <v>98</v>
      </c>
      <c r="J209" t="s">
        <v>99</v>
      </c>
      <c r="K209" t="s">
        <v>100</v>
      </c>
      <c r="L209" t="s">
        <v>18</v>
      </c>
      <c r="M209">
        <v>90110</v>
      </c>
      <c r="N209" t="s">
        <v>101</v>
      </c>
    </row>
    <row r="210" spans="1:14" x14ac:dyDescent="0.2">
      <c r="A210">
        <v>10456</v>
      </c>
      <c r="B210" t="s">
        <v>222</v>
      </c>
      <c r="C210">
        <v>8</v>
      </c>
      <c r="D210" s="1">
        <v>35486</v>
      </c>
      <c r="E210" s="1">
        <v>35528</v>
      </c>
      <c r="F210" s="1">
        <v>35489</v>
      </c>
      <c r="G210">
        <v>2</v>
      </c>
      <c r="H210" s="2">
        <v>8.1199999999999992</v>
      </c>
      <c r="I210" t="s">
        <v>223</v>
      </c>
      <c r="J210" t="s">
        <v>224</v>
      </c>
      <c r="K210" t="s">
        <v>225</v>
      </c>
      <c r="L210" t="s">
        <v>18</v>
      </c>
      <c r="M210">
        <v>14776</v>
      </c>
      <c r="N210" t="s">
        <v>24</v>
      </c>
    </row>
    <row r="211" spans="1:14" x14ac:dyDescent="0.2">
      <c r="A211">
        <v>10457</v>
      </c>
      <c r="B211" t="s">
        <v>222</v>
      </c>
      <c r="C211">
        <v>2</v>
      </c>
      <c r="D211" s="1">
        <v>35486</v>
      </c>
      <c r="E211" s="1">
        <v>35514</v>
      </c>
      <c r="F211" s="1">
        <v>35492</v>
      </c>
      <c r="G211">
        <v>1</v>
      </c>
      <c r="H211" s="2">
        <v>11.57</v>
      </c>
      <c r="I211" t="s">
        <v>223</v>
      </c>
      <c r="J211" t="s">
        <v>224</v>
      </c>
      <c r="K211" t="s">
        <v>225</v>
      </c>
      <c r="L211" t="s">
        <v>18</v>
      </c>
      <c r="M211">
        <v>14776</v>
      </c>
      <c r="N211" t="s">
        <v>24</v>
      </c>
    </row>
    <row r="212" spans="1:14" x14ac:dyDescent="0.2">
      <c r="A212">
        <v>10458</v>
      </c>
      <c r="B212" t="s">
        <v>36</v>
      </c>
      <c r="C212">
        <v>7</v>
      </c>
      <c r="D212" s="1">
        <v>35487</v>
      </c>
      <c r="E212" s="1">
        <v>35515</v>
      </c>
      <c r="F212" s="1">
        <v>35493</v>
      </c>
      <c r="G212">
        <v>3</v>
      </c>
      <c r="H212" s="2">
        <v>147.06</v>
      </c>
      <c r="I212" t="s">
        <v>37</v>
      </c>
      <c r="J212" t="s">
        <v>38</v>
      </c>
      <c r="K212" t="s">
        <v>39</v>
      </c>
      <c r="L212" t="s">
        <v>18</v>
      </c>
      <c r="M212" t="s">
        <v>40</v>
      </c>
      <c r="N212" t="s">
        <v>41</v>
      </c>
    </row>
    <row r="213" spans="1:14" x14ac:dyDescent="0.2">
      <c r="A213">
        <v>10459</v>
      </c>
      <c r="B213" t="s">
        <v>32</v>
      </c>
      <c r="C213">
        <v>4</v>
      </c>
      <c r="D213" s="1">
        <v>35488</v>
      </c>
      <c r="E213" s="1">
        <v>35516</v>
      </c>
      <c r="F213" s="1">
        <v>35489</v>
      </c>
      <c r="G213">
        <v>2</v>
      </c>
      <c r="H213" s="2">
        <v>25.09</v>
      </c>
      <c r="I213" t="s">
        <v>33</v>
      </c>
      <c r="J213" t="s">
        <v>34</v>
      </c>
      <c r="K213" t="s">
        <v>35</v>
      </c>
      <c r="L213" t="s">
        <v>18</v>
      </c>
      <c r="M213">
        <v>69004</v>
      </c>
      <c r="N213" t="s">
        <v>19</v>
      </c>
    </row>
    <row r="214" spans="1:14" x14ac:dyDescent="0.2">
      <c r="A214">
        <v>10460</v>
      </c>
      <c r="B214" t="s">
        <v>87</v>
      </c>
      <c r="C214">
        <v>8</v>
      </c>
      <c r="D214" s="1">
        <v>35489</v>
      </c>
      <c r="E214" s="1">
        <v>35517</v>
      </c>
      <c r="F214" s="1">
        <v>35492</v>
      </c>
      <c r="G214">
        <v>1</v>
      </c>
      <c r="H214" s="2">
        <v>16.27</v>
      </c>
      <c r="I214" t="s">
        <v>88</v>
      </c>
      <c r="J214" t="s">
        <v>89</v>
      </c>
      <c r="K214" t="s">
        <v>90</v>
      </c>
      <c r="L214" t="s">
        <v>18</v>
      </c>
      <c r="M214" t="s">
        <v>91</v>
      </c>
      <c r="N214" t="s">
        <v>92</v>
      </c>
    </row>
    <row r="215" spans="1:14" x14ac:dyDescent="0.2">
      <c r="A215">
        <v>10461</v>
      </c>
      <c r="B215" t="s">
        <v>151</v>
      </c>
      <c r="C215">
        <v>1</v>
      </c>
      <c r="D215" s="1">
        <v>35489</v>
      </c>
      <c r="E215" s="1">
        <v>35517</v>
      </c>
      <c r="F215" s="1">
        <v>35494</v>
      </c>
      <c r="G215">
        <v>3</v>
      </c>
      <c r="H215" s="2">
        <v>148.61000000000001</v>
      </c>
      <c r="I215" t="s">
        <v>152</v>
      </c>
      <c r="J215" t="s">
        <v>153</v>
      </c>
      <c r="K215" t="s">
        <v>154</v>
      </c>
      <c r="L215" t="s">
        <v>155</v>
      </c>
      <c r="M215">
        <v>3508</v>
      </c>
      <c r="N215" t="s">
        <v>62</v>
      </c>
    </row>
    <row r="216" spans="1:14" x14ac:dyDescent="0.2">
      <c r="A216">
        <v>10462</v>
      </c>
      <c r="B216" t="s">
        <v>347</v>
      </c>
      <c r="C216">
        <v>2</v>
      </c>
      <c r="D216" s="1">
        <v>35492</v>
      </c>
      <c r="E216" s="1">
        <v>35520</v>
      </c>
      <c r="F216" s="1">
        <v>35507</v>
      </c>
      <c r="G216">
        <v>1</v>
      </c>
      <c r="H216" s="2">
        <v>6.17</v>
      </c>
      <c r="I216" t="s">
        <v>348</v>
      </c>
      <c r="J216" t="s">
        <v>349</v>
      </c>
      <c r="K216" t="s">
        <v>167</v>
      </c>
      <c r="L216" t="s">
        <v>18</v>
      </c>
      <c r="M216" t="s">
        <v>350</v>
      </c>
      <c r="N216" t="s">
        <v>169</v>
      </c>
    </row>
    <row r="217" spans="1:14" x14ac:dyDescent="0.2">
      <c r="A217">
        <v>10463</v>
      </c>
      <c r="B217" t="s">
        <v>36</v>
      </c>
      <c r="C217">
        <v>5</v>
      </c>
      <c r="D217" s="1">
        <v>35493</v>
      </c>
      <c r="E217" s="1">
        <v>35521</v>
      </c>
      <c r="F217" s="1">
        <v>35495</v>
      </c>
      <c r="G217">
        <v>3</v>
      </c>
      <c r="H217" s="2">
        <v>14.78</v>
      </c>
      <c r="I217" t="s">
        <v>37</v>
      </c>
      <c r="J217" t="s">
        <v>38</v>
      </c>
      <c r="K217" t="s">
        <v>39</v>
      </c>
      <c r="L217" t="s">
        <v>18</v>
      </c>
      <c r="M217" t="s">
        <v>40</v>
      </c>
      <c r="N217" t="s">
        <v>41</v>
      </c>
    </row>
    <row r="218" spans="1:14" x14ac:dyDescent="0.2">
      <c r="A218">
        <v>10464</v>
      </c>
      <c r="B218" t="s">
        <v>234</v>
      </c>
      <c r="C218">
        <v>4</v>
      </c>
      <c r="D218" s="1">
        <v>35493</v>
      </c>
      <c r="E218" s="1">
        <v>35521</v>
      </c>
      <c r="F218" s="1">
        <v>35503</v>
      </c>
      <c r="G218">
        <v>2</v>
      </c>
      <c r="H218" s="2">
        <v>89</v>
      </c>
      <c r="I218" t="s">
        <v>235</v>
      </c>
      <c r="J218" t="s">
        <v>236</v>
      </c>
      <c r="K218" t="s">
        <v>237</v>
      </c>
      <c r="L218" t="s">
        <v>18</v>
      </c>
      <c r="M218">
        <v>1675</v>
      </c>
      <c r="N218" t="s">
        <v>238</v>
      </c>
    </row>
    <row r="219" spans="1:14" x14ac:dyDescent="0.2">
      <c r="A219">
        <v>10465</v>
      </c>
      <c r="B219" t="s">
        <v>295</v>
      </c>
      <c r="C219">
        <v>1</v>
      </c>
      <c r="D219" s="1">
        <v>35494</v>
      </c>
      <c r="E219" s="1">
        <v>35522</v>
      </c>
      <c r="F219" s="1">
        <v>35503</v>
      </c>
      <c r="G219">
        <v>3</v>
      </c>
      <c r="H219" s="2">
        <v>145.04</v>
      </c>
      <c r="I219" t="s">
        <v>296</v>
      </c>
      <c r="J219" t="s">
        <v>297</v>
      </c>
      <c r="K219" t="s">
        <v>298</v>
      </c>
      <c r="L219" t="s">
        <v>18</v>
      </c>
      <c r="M219">
        <v>8200</v>
      </c>
      <c r="N219" t="s">
        <v>257</v>
      </c>
    </row>
    <row r="220" spans="1:14" x14ac:dyDescent="0.2">
      <c r="A220">
        <v>10466</v>
      </c>
      <c r="B220" t="s">
        <v>170</v>
      </c>
      <c r="C220">
        <v>4</v>
      </c>
      <c r="D220" s="1">
        <v>35495</v>
      </c>
      <c r="E220" s="1">
        <v>35523</v>
      </c>
      <c r="F220" s="1">
        <v>35502</v>
      </c>
      <c r="G220">
        <v>1</v>
      </c>
      <c r="H220" s="2">
        <v>11.93</v>
      </c>
      <c r="I220" t="s">
        <v>171</v>
      </c>
      <c r="J220" t="s">
        <v>172</v>
      </c>
      <c r="K220" t="s">
        <v>173</v>
      </c>
      <c r="L220" t="s">
        <v>55</v>
      </c>
      <c r="M220" t="s">
        <v>174</v>
      </c>
      <c r="N220" t="s">
        <v>31</v>
      </c>
    </row>
    <row r="221" spans="1:14" x14ac:dyDescent="0.2">
      <c r="A221">
        <v>10467</v>
      </c>
      <c r="B221" t="s">
        <v>125</v>
      </c>
      <c r="C221">
        <v>8</v>
      </c>
      <c r="D221" s="1">
        <v>35495</v>
      </c>
      <c r="E221" s="1">
        <v>35523</v>
      </c>
      <c r="F221" s="1">
        <v>35500</v>
      </c>
      <c r="G221">
        <v>2</v>
      </c>
      <c r="H221" s="2">
        <v>4.93</v>
      </c>
      <c r="I221" t="s">
        <v>126</v>
      </c>
      <c r="J221" t="s">
        <v>127</v>
      </c>
      <c r="K221" t="s">
        <v>128</v>
      </c>
      <c r="L221" t="s">
        <v>18</v>
      </c>
      <c r="M221">
        <v>24100</v>
      </c>
      <c r="N221" t="s">
        <v>129</v>
      </c>
    </row>
    <row r="222" spans="1:14" x14ac:dyDescent="0.2">
      <c r="A222">
        <v>10468</v>
      </c>
      <c r="B222" t="s">
        <v>222</v>
      </c>
      <c r="C222">
        <v>3</v>
      </c>
      <c r="D222" s="1">
        <v>35496</v>
      </c>
      <c r="E222" s="1">
        <v>35524</v>
      </c>
      <c r="F222" s="1">
        <v>35501</v>
      </c>
      <c r="G222">
        <v>3</v>
      </c>
      <c r="H222" s="2">
        <v>44.12</v>
      </c>
      <c r="I222" t="s">
        <v>223</v>
      </c>
      <c r="J222" t="s">
        <v>224</v>
      </c>
      <c r="K222" t="s">
        <v>225</v>
      </c>
      <c r="L222" t="s">
        <v>18</v>
      </c>
      <c r="M222">
        <v>14776</v>
      </c>
      <c r="N222" t="s">
        <v>24</v>
      </c>
    </row>
    <row r="223" spans="1:14" x14ac:dyDescent="0.2">
      <c r="A223">
        <v>10469</v>
      </c>
      <c r="B223" t="s">
        <v>111</v>
      </c>
      <c r="C223">
        <v>1</v>
      </c>
      <c r="D223" s="1">
        <v>35499</v>
      </c>
      <c r="E223" s="1">
        <v>35527</v>
      </c>
      <c r="F223" s="1">
        <v>35503</v>
      </c>
      <c r="G223">
        <v>1</v>
      </c>
      <c r="H223" s="2">
        <v>60.18</v>
      </c>
      <c r="I223" t="s">
        <v>112</v>
      </c>
      <c r="J223" t="s">
        <v>113</v>
      </c>
      <c r="K223" t="s">
        <v>114</v>
      </c>
      <c r="L223" t="s">
        <v>115</v>
      </c>
      <c r="M223">
        <v>98124</v>
      </c>
      <c r="N223" t="s">
        <v>86</v>
      </c>
    </row>
    <row r="224" spans="1:14" x14ac:dyDescent="0.2">
      <c r="A224">
        <v>10470</v>
      </c>
      <c r="B224" t="s">
        <v>239</v>
      </c>
      <c r="C224">
        <v>4</v>
      </c>
      <c r="D224" s="1">
        <v>35500</v>
      </c>
      <c r="E224" s="1">
        <v>35528</v>
      </c>
      <c r="F224" s="1">
        <v>35503</v>
      </c>
      <c r="G224">
        <v>2</v>
      </c>
      <c r="H224" s="2">
        <v>64.56</v>
      </c>
      <c r="I224" t="s">
        <v>240</v>
      </c>
      <c r="J224" t="s">
        <v>241</v>
      </c>
      <c r="K224" t="s">
        <v>242</v>
      </c>
      <c r="L224" t="s">
        <v>18</v>
      </c>
      <c r="M224">
        <v>13008</v>
      </c>
      <c r="N224" t="s">
        <v>19</v>
      </c>
    </row>
    <row r="225" spans="1:14" x14ac:dyDescent="0.2">
      <c r="A225">
        <v>10471</v>
      </c>
      <c r="B225" t="s">
        <v>164</v>
      </c>
      <c r="C225">
        <v>2</v>
      </c>
      <c r="D225" s="1">
        <v>35500</v>
      </c>
      <c r="E225" s="1">
        <v>35528</v>
      </c>
      <c r="F225" s="1">
        <v>35507</v>
      </c>
      <c r="G225">
        <v>3</v>
      </c>
      <c r="H225" s="2">
        <v>45.59</v>
      </c>
      <c r="I225" t="s">
        <v>165</v>
      </c>
      <c r="J225" t="s">
        <v>166</v>
      </c>
      <c r="K225" t="s">
        <v>167</v>
      </c>
      <c r="L225" t="s">
        <v>18</v>
      </c>
      <c r="M225" t="s">
        <v>168</v>
      </c>
      <c r="N225" t="s">
        <v>169</v>
      </c>
    </row>
    <row r="226" spans="1:14" x14ac:dyDescent="0.2">
      <c r="A226">
        <v>10472</v>
      </c>
      <c r="B226" t="s">
        <v>276</v>
      </c>
      <c r="C226">
        <v>8</v>
      </c>
      <c r="D226" s="1">
        <v>35501</v>
      </c>
      <c r="E226" s="1">
        <v>35529</v>
      </c>
      <c r="F226" s="1">
        <v>35508</v>
      </c>
      <c r="G226">
        <v>1</v>
      </c>
      <c r="H226" s="2">
        <v>4.2</v>
      </c>
      <c r="I226" t="s">
        <v>277</v>
      </c>
      <c r="J226" t="s">
        <v>278</v>
      </c>
      <c r="K226" t="s">
        <v>167</v>
      </c>
      <c r="L226" t="s">
        <v>18</v>
      </c>
      <c r="M226" t="s">
        <v>279</v>
      </c>
      <c r="N226" t="s">
        <v>169</v>
      </c>
    </row>
    <row r="227" spans="1:14" x14ac:dyDescent="0.2">
      <c r="A227">
        <v>10473</v>
      </c>
      <c r="B227" t="s">
        <v>213</v>
      </c>
      <c r="C227">
        <v>1</v>
      </c>
      <c r="D227" s="1">
        <v>35502</v>
      </c>
      <c r="E227" s="1">
        <v>35516</v>
      </c>
      <c r="F227" s="1">
        <v>35510</v>
      </c>
      <c r="G227">
        <v>3</v>
      </c>
      <c r="H227" s="2">
        <v>16.37</v>
      </c>
      <c r="I227" t="s">
        <v>214</v>
      </c>
      <c r="J227" t="s">
        <v>215</v>
      </c>
      <c r="K227" t="s">
        <v>216</v>
      </c>
      <c r="L227" t="s">
        <v>217</v>
      </c>
      <c r="M227" t="s">
        <v>218</v>
      </c>
      <c r="N227" t="s">
        <v>169</v>
      </c>
    </row>
    <row r="228" spans="1:14" x14ac:dyDescent="0.2">
      <c r="A228">
        <v>10474</v>
      </c>
      <c r="B228" t="s">
        <v>219</v>
      </c>
      <c r="C228">
        <v>5</v>
      </c>
      <c r="D228" s="1">
        <v>35502</v>
      </c>
      <c r="E228" s="1">
        <v>35530</v>
      </c>
      <c r="F228" s="1">
        <v>35510</v>
      </c>
      <c r="G228">
        <v>2</v>
      </c>
      <c r="H228" s="2">
        <v>83.49</v>
      </c>
      <c r="I228" t="s">
        <v>220</v>
      </c>
      <c r="J228" t="s">
        <v>221</v>
      </c>
      <c r="K228" t="s">
        <v>71</v>
      </c>
      <c r="L228" t="s">
        <v>18</v>
      </c>
      <c r="M228">
        <v>5033</v>
      </c>
      <c r="N228" t="s">
        <v>72</v>
      </c>
    </row>
    <row r="229" spans="1:14" x14ac:dyDescent="0.2">
      <c r="A229">
        <v>10475</v>
      </c>
      <c r="B229" t="s">
        <v>36</v>
      </c>
      <c r="C229">
        <v>9</v>
      </c>
      <c r="D229" s="1">
        <v>35503</v>
      </c>
      <c r="E229" s="1">
        <v>35531</v>
      </c>
      <c r="F229" s="1">
        <v>35524</v>
      </c>
      <c r="G229">
        <v>1</v>
      </c>
      <c r="H229" s="2">
        <v>68.52</v>
      </c>
      <c r="I229" t="s">
        <v>37</v>
      </c>
      <c r="J229" t="s">
        <v>38</v>
      </c>
      <c r="K229" t="s">
        <v>39</v>
      </c>
      <c r="L229" t="s">
        <v>18</v>
      </c>
      <c r="M229" t="s">
        <v>40</v>
      </c>
      <c r="N229" t="s">
        <v>41</v>
      </c>
    </row>
    <row r="230" spans="1:14" x14ac:dyDescent="0.2">
      <c r="A230">
        <v>10476</v>
      </c>
      <c r="B230" t="s">
        <v>57</v>
      </c>
      <c r="C230">
        <v>8</v>
      </c>
      <c r="D230" s="1">
        <v>35506</v>
      </c>
      <c r="E230" s="1">
        <v>35534</v>
      </c>
      <c r="F230" s="1">
        <v>35513</v>
      </c>
      <c r="G230">
        <v>3</v>
      </c>
      <c r="H230" s="2">
        <v>4.41</v>
      </c>
      <c r="I230" t="s">
        <v>58</v>
      </c>
      <c r="J230" t="s">
        <v>59</v>
      </c>
      <c r="K230" t="s">
        <v>60</v>
      </c>
      <c r="L230" t="s">
        <v>61</v>
      </c>
      <c r="M230">
        <v>5022</v>
      </c>
      <c r="N230" t="s">
        <v>62</v>
      </c>
    </row>
    <row r="231" spans="1:14" x14ac:dyDescent="0.2">
      <c r="A231">
        <v>10477</v>
      </c>
      <c r="B231" t="s">
        <v>250</v>
      </c>
      <c r="C231">
        <v>5</v>
      </c>
      <c r="D231" s="1">
        <v>35506</v>
      </c>
      <c r="E231" s="1">
        <v>35534</v>
      </c>
      <c r="F231" s="1">
        <v>35514</v>
      </c>
      <c r="G231">
        <v>2</v>
      </c>
      <c r="H231" s="2">
        <v>13.02</v>
      </c>
      <c r="I231" t="s">
        <v>251</v>
      </c>
      <c r="J231" t="s">
        <v>252</v>
      </c>
      <c r="K231" t="s">
        <v>237</v>
      </c>
      <c r="L231" t="s">
        <v>18</v>
      </c>
      <c r="M231">
        <v>1756</v>
      </c>
      <c r="N231" t="s">
        <v>238</v>
      </c>
    </row>
    <row r="232" spans="1:14" x14ac:dyDescent="0.2">
      <c r="A232">
        <v>10478</v>
      </c>
      <c r="B232" t="s">
        <v>32</v>
      </c>
      <c r="C232">
        <v>2</v>
      </c>
      <c r="D232" s="1">
        <v>35507</v>
      </c>
      <c r="E232" s="1">
        <v>35521</v>
      </c>
      <c r="F232" s="1">
        <v>35515</v>
      </c>
      <c r="G232">
        <v>3</v>
      </c>
      <c r="H232" s="2">
        <v>4.8099999999999996</v>
      </c>
      <c r="I232" t="s">
        <v>33</v>
      </c>
      <c r="J232" t="s">
        <v>34</v>
      </c>
      <c r="K232" t="s">
        <v>35</v>
      </c>
      <c r="L232" t="s">
        <v>18</v>
      </c>
      <c r="M232">
        <v>69004</v>
      </c>
      <c r="N232" t="s">
        <v>19</v>
      </c>
    </row>
    <row r="233" spans="1:14" x14ac:dyDescent="0.2">
      <c r="A233">
        <v>10479</v>
      </c>
      <c r="B233" t="s">
        <v>81</v>
      </c>
      <c r="C233">
        <v>3</v>
      </c>
      <c r="D233" s="1">
        <v>35508</v>
      </c>
      <c r="E233" s="1">
        <v>35536</v>
      </c>
      <c r="F233" s="1">
        <v>35510</v>
      </c>
      <c r="G233">
        <v>3</v>
      </c>
      <c r="H233" s="2">
        <v>708.95</v>
      </c>
      <c r="I233" t="s">
        <v>82</v>
      </c>
      <c r="J233" t="s">
        <v>83</v>
      </c>
      <c r="K233" t="s">
        <v>84</v>
      </c>
      <c r="L233" t="s">
        <v>85</v>
      </c>
      <c r="M233">
        <v>87110</v>
      </c>
      <c r="N233" t="s">
        <v>86</v>
      </c>
    </row>
    <row r="234" spans="1:14" x14ac:dyDescent="0.2">
      <c r="A234">
        <v>10480</v>
      </c>
      <c r="B234" t="s">
        <v>329</v>
      </c>
      <c r="C234">
        <v>6</v>
      </c>
      <c r="D234" s="1">
        <v>35509</v>
      </c>
      <c r="E234" s="1">
        <v>35537</v>
      </c>
      <c r="F234" s="1">
        <v>35513</v>
      </c>
      <c r="G234">
        <v>2</v>
      </c>
      <c r="H234" s="2">
        <v>1.35</v>
      </c>
      <c r="I234" t="s">
        <v>330</v>
      </c>
      <c r="J234" t="s">
        <v>331</v>
      </c>
      <c r="K234" t="s">
        <v>332</v>
      </c>
      <c r="L234" t="s">
        <v>18</v>
      </c>
      <c r="M234">
        <v>59000</v>
      </c>
      <c r="N234" t="s">
        <v>19</v>
      </c>
    </row>
    <row r="235" spans="1:14" x14ac:dyDescent="0.2">
      <c r="A235">
        <v>10481</v>
      </c>
      <c r="B235" t="s">
        <v>156</v>
      </c>
      <c r="C235">
        <v>8</v>
      </c>
      <c r="D235" s="1">
        <v>35509</v>
      </c>
      <c r="E235" s="1">
        <v>35537</v>
      </c>
      <c r="F235" s="1">
        <v>35514</v>
      </c>
      <c r="G235">
        <v>2</v>
      </c>
      <c r="H235" s="2">
        <v>64.33</v>
      </c>
      <c r="I235" t="s">
        <v>157</v>
      </c>
      <c r="J235" t="s">
        <v>158</v>
      </c>
      <c r="K235" t="s">
        <v>28</v>
      </c>
      <c r="L235" t="s">
        <v>29</v>
      </c>
      <c r="M235" t="s">
        <v>159</v>
      </c>
      <c r="N235" t="s">
        <v>31</v>
      </c>
    </row>
    <row r="236" spans="1:14" x14ac:dyDescent="0.2">
      <c r="A236">
        <v>10482</v>
      </c>
      <c r="B236" t="s">
        <v>354</v>
      </c>
      <c r="C236">
        <v>1</v>
      </c>
      <c r="D236" s="1">
        <v>35510</v>
      </c>
      <c r="E236" s="1">
        <v>35538</v>
      </c>
      <c r="F236" s="1">
        <v>35530</v>
      </c>
      <c r="G236">
        <v>3</v>
      </c>
      <c r="H236" s="2">
        <v>7.48</v>
      </c>
      <c r="I236" t="s">
        <v>355</v>
      </c>
      <c r="J236" t="s">
        <v>356</v>
      </c>
      <c r="K236" t="s">
        <v>357</v>
      </c>
      <c r="L236" t="s">
        <v>115</v>
      </c>
      <c r="M236">
        <v>99362</v>
      </c>
      <c r="N236" t="s">
        <v>86</v>
      </c>
    </row>
    <row r="237" spans="1:14" x14ac:dyDescent="0.2">
      <c r="A237">
        <v>10483</v>
      </c>
      <c r="B237" t="s">
        <v>111</v>
      </c>
      <c r="C237">
        <v>7</v>
      </c>
      <c r="D237" s="1">
        <v>35513</v>
      </c>
      <c r="E237" s="1">
        <v>35541</v>
      </c>
      <c r="F237" s="1">
        <v>35545</v>
      </c>
      <c r="G237">
        <v>2</v>
      </c>
      <c r="H237" s="2">
        <v>15.28</v>
      </c>
      <c r="I237" t="s">
        <v>112</v>
      </c>
      <c r="J237" t="s">
        <v>113</v>
      </c>
      <c r="K237" t="s">
        <v>114</v>
      </c>
      <c r="L237" t="s">
        <v>115</v>
      </c>
      <c r="M237">
        <v>98124</v>
      </c>
      <c r="N237" t="s">
        <v>86</v>
      </c>
    </row>
    <row r="238" spans="1:14" x14ac:dyDescent="0.2">
      <c r="A238">
        <v>10484</v>
      </c>
      <c r="B238" t="s">
        <v>164</v>
      </c>
      <c r="C238">
        <v>3</v>
      </c>
      <c r="D238" s="1">
        <v>35513</v>
      </c>
      <c r="E238" s="1">
        <v>35541</v>
      </c>
      <c r="F238" s="1">
        <v>35521</v>
      </c>
      <c r="G238">
        <v>3</v>
      </c>
      <c r="H238" s="2">
        <v>6.88</v>
      </c>
      <c r="I238" t="s">
        <v>165</v>
      </c>
      <c r="J238" t="s">
        <v>166</v>
      </c>
      <c r="K238" t="s">
        <v>167</v>
      </c>
      <c r="L238" t="s">
        <v>18</v>
      </c>
      <c r="M238" t="s">
        <v>168</v>
      </c>
      <c r="N238" t="s">
        <v>169</v>
      </c>
    </row>
    <row r="239" spans="1:14" x14ac:dyDescent="0.2">
      <c r="A239">
        <v>10485</v>
      </c>
      <c r="B239" t="s">
        <v>324</v>
      </c>
      <c r="C239">
        <v>4</v>
      </c>
      <c r="D239" s="1">
        <v>35514</v>
      </c>
      <c r="E239" s="1">
        <v>35528</v>
      </c>
      <c r="F239" s="1">
        <v>35520</v>
      </c>
      <c r="G239">
        <v>2</v>
      </c>
      <c r="H239" s="2">
        <v>64.45</v>
      </c>
      <c r="I239" t="s">
        <v>325</v>
      </c>
      <c r="J239" t="s">
        <v>326</v>
      </c>
      <c r="K239" t="s">
        <v>327</v>
      </c>
      <c r="L239" t="s">
        <v>328</v>
      </c>
      <c r="M239">
        <v>4980</v>
      </c>
      <c r="N239" t="s">
        <v>62</v>
      </c>
    </row>
    <row r="240" spans="1:14" x14ac:dyDescent="0.2">
      <c r="A240">
        <v>10486</v>
      </c>
      <c r="B240" t="s">
        <v>57</v>
      </c>
      <c r="C240">
        <v>1</v>
      </c>
      <c r="D240" s="1">
        <v>35515</v>
      </c>
      <c r="E240" s="1">
        <v>35543</v>
      </c>
      <c r="F240" s="1">
        <v>35522</v>
      </c>
      <c r="G240">
        <v>2</v>
      </c>
      <c r="H240" s="2">
        <v>30.53</v>
      </c>
      <c r="I240" t="s">
        <v>58</v>
      </c>
      <c r="J240" t="s">
        <v>59</v>
      </c>
      <c r="K240" t="s">
        <v>60</v>
      </c>
      <c r="L240" t="s">
        <v>61</v>
      </c>
      <c r="M240">
        <v>5022</v>
      </c>
      <c r="N240" t="s">
        <v>62</v>
      </c>
    </row>
    <row r="241" spans="1:14" x14ac:dyDescent="0.2">
      <c r="A241">
        <v>10487</v>
      </c>
      <c r="B241" t="s">
        <v>299</v>
      </c>
      <c r="C241">
        <v>2</v>
      </c>
      <c r="D241" s="1">
        <v>35515</v>
      </c>
      <c r="E241" s="1">
        <v>35543</v>
      </c>
      <c r="F241" s="1">
        <v>35517</v>
      </c>
      <c r="G241">
        <v>2</v>
      </c>
      <c r="H241" s="2">
        <v>71.069999999999993</v>
      </c>
      <c r="I241" t="s">
        <v>300</v>
      </c>
      <c r="J241" t="s">
        <v>301</v>
      </c>
      <c r="K241" t="s">
        <v>173</v>
      </c>
      <c r="L241" t="s">
        <v>55</v>
      </c>
      <c r="M241" t="s">
        <v>302</v>
      </c>
      <c r="N241" t="s">
        <v>31</v>
      </c>
    </row>
    <row r="242" spans="1:14" x14ac:dyDescent="0.2">
      <c r="A242">
        <v>10488</v>
      </c>
      <c r="B242" t="s">
        <v>102</v>
      </c>
      <c r="C242">
        <v>8</v>
      </c>
      <c r="D242" s="1">
        <v>35516</v>
      </c>
      <c r="E242" s="1">
        <v>35544</v>
      </c>
      <c r="F242" s="1">
        <v>35522</v>
      </c>
      <c r="G242">
        <v>2</v>
      </c>
      <c r="H242" s="2">
        <v>4.93</v>
      </c>
      <c r="I242" t="s">
        <v>103</v>
      </c>
      <c r="J242" t="s">
        <v>104</v>
      </c>
      <c r="K242" t="s">
        <v>105</v>
      </c>
      <c r="L242" t="s">
        <v>18</v>
      </c>
      <c r="M242">
        <v>80805</v>
      </c>
      <c r="N242" t="s">
        <v>24</v>
      </c>
    </row>
    <row r="243" spans="1:14" x14ac:dyDescent="0.2">
      <c r="A243">
        <v>10489</v>
      </c>
      <c r="B243" t="s">
        <v>266</v>
      </c>
      <c r="C243">
        <v>6</v>
      </c>
      <c r="D243" s="1">
        <v>35517</v>
      </c>
      <c r="E243" s="1">
        <v>35545</v>
      </c>
      <c r="F243" s="1">
        <v>35529</v>
      </c>
      <c r="G243">
        <v>2</v>
      </c>
      <c r="H243" s="2">
        <v>5.29</v>
      </c>
      <c r="I243" t="s">
        <v>267</v>
      </c>
      <c r="J243" t="s">
        <v>268</v>
      </c>
      <c r="K243" t="s">
        <v>269</v>
      </c>
      <c r="L243" t="s">
        <v>18</v>
      </c>
      <c r="M243">
        <v>5020</v>
      </c>
      <c r="N243" t="s">
        <v>67</v>
      </c>
    </row>
    <row r="244" spans="1:14" x14ac:dyDescent="0.2">
      <c r="A244">
        <v>10490</v>
      </c>
      <c r="B244" t="s">
        <v>57</v>
      </c>
      <c r="C244">
        <v>7</v>
      </c>
      <c r="D244" s="1">
        <v>35520</v>
      </c>
      <c r="E244" s="1">
        <v>35548</v>
      </c>
      <c r="F244" s="1">
        <v>35523</v>
      </c>
      <c r="G244">
        <v>2</v>
      </c>
      <c r="H244" s="2">
        <v>210.19</v>
      </c>
      <c r="I244" t="s">
        <v>58</v>
      </c>
      <c r="J244" t="s">
        <v>59</v>
      </c>
      <c r="K244" t="s">
        <v>60</v>
      </c>
      <c r="L244" t="s">
        <v>61</v>
      </c>
      <c r="M244">
        <v>5022</v>
      </c>
      <c r="N244" t="s">
        <v>62</v>
      </c>
    </row>
    <row r="245" spans="1:14" x14ac:dyDescent="0.2">
      <c r="A245">
        <v>10491</v>
      </c>
      <c r="B245" t="s">
        <v>234</v>
      </c>
      <c r="C245">
        <v>8</v>
      </c>
      <c r="D245" s="1">
        <v>35520</v>
      </c>
      <c r="E245" s="1">
        <v>35548</v>
      </c>
      <c r="F245" s="1">
        <v>35528</v>
      </c>
      <c r="G245">
        <v>3</v>
      </c>
      <c r="H245" s="2">
        <v>16.96</v>
      </c>
      <c r="I245" t="s">
        <v>235</v>
      </c>
      <c r="J245" t="s">
        <v>236</v>
      </c>
      <c r="K245" t="s">
        <v>237</v>
      </c>
      <c r="L245" t="s">
        <v>18</v>
      </c>
      <c r="M245">
        <v>1675</v>
      </c>
      <c r="N245" t="s">
        <v>238</v>
      </c>
    </row>
    <row r="246" spans="1:14" x14ac:dyDescent="0.2">
      <c r="A246">
        <v>10492</v>
      </c>
      <c r="B246" t="s">
        <v>318</v>
      </c>
      <c r="C246">
        <v>3</v>
      </c>
      <c r="D246" s="1">
        <v>35521</v>
      </c>
      <c r="E246" s="1">
        <v>35549</v>
      </c>
      <c r="F246" s="1">
        <v>35531</v>
      </c>
      <c r="G246">
        <v>1</v>
      </c>
      <c r="H246" s="2">
        <v>62.89</v>
      </c>
      <c r="I246" t="s">
        <v>319</v>
      </c>
      <c r="J246" t="s">
        <v>320</v>
      </c>
      <c r="K246" t="s">
        <v>321</v>
      </c>
      <c r="L246" t="s">
        <v>322</v>
      </c>
      <c r="M246" t="s">
        <v>323</v>
      </c>
      <c r="N246" t="s">
        <v>249</v>
      </c>
    </row>
    <row r="247" spans="1:14" x14ac:dyDescent="0.2">
      <c r="A247">
        <v>10493</v>
      </c>
      <c r="B247" t="s">
        <v>262</v>
      </c>
      <c r="C247">
        <v>4</v>
      </c>
      <c r="D247" s="1">
        <v>35522</v>
      </c>
      <c r="E247" s="1">
        <v>35550</v>
      </c>
      <c r="F247" s="1">
        <v>35530</v>
      </c>
      <c r="G247">
        <v>3</v>
      </c>
      <c r="H247" s="2">
        <v>10.64</v>
      </c>
      <c r="I247" t="s">
        <v>263</v>
      </c>
      <c r="J247" t="s">
        <v>264</v>
      </c>
      <c r="K247" t="s">
        <v>265</v>
      </c>
      <c r="L247" t="s">
        <v>18</v>
      </c>
      <c r="M247">
        <v>31000</v>
      </c>
      <c r="N247" t="s">
        <v>19</v>
      </c>
    </row>
    <row r="248" spans="1:14" x14ac:dyDescent="0.2">
      <c r="A248">
        <v>10494</v>
      </c>
      <c r="B248" t="s">
        <v>170</v>
      </c>
      <c r="C248">
        <v>4</v>
      </c>
      <c r="D248" s="1">
        <v>35522</v>
      </c>
      <c r="E248" s="1">
        <v>35550</v>
      </c>
      <c r="F248" s="1">
        <v>35529</v>
      </c>
      <c r="G248">
        <v>2</v>
      </c>
      <c r="H248" s="2">
        <v>65.989999999999995</v>
      </c>
      <c r="I248" t="s">
        <v>171</v>
      </c>
      <c r="J248" t="s">
        <v>172</v>
      </c>
      <c r="K248" t="s">
        <v>173</v>
      </c>
      <c r="L248" t="s">
        <v>55</v>
      </c>
      <c r="M248" t="s">
        <v>174</v>
      </c>
      <c r="N248" t="s">
        <v>31</v>
      </c>
    </row>
    <row r="249" spans="1:14" x14ac:dyDescent="0.2">
      <c r="A249">
        <v>10495</v>
      </c>
      <c r="B249" t="s">
        <v>358</v>
      </c>
      <c r="C249">
        <v>3</v>
      </c>
      <c r="D249" s="1">
        <v>35523</v>
      </c>
      <c r="E249" s="1">
        <v>35551</v>
      </c>
      <c r="F249" s="1">
        <v>35531</v>
      </c>
      <c r="G249">
        <v>3</v>
      </c>
      <c r="H249" s="2">
        <v>4.6500000000000004</v>
      </c>
      <c r="I249" t="s">
        <v>359</v>
      </c>
      <c r="J249" t="s">
        <v>360</v>
      </c>
      <c r="K249" t="s">
        <v>361</v>
      </c>
      <c r="L249" t="s">
        <v>322</v>
      </c>
      <c r="M249" t="s">
        <v>362</v>
      </c>
      <c r="N249" t="s">
        <v>249</v>
      </c>
    </row>
    <row r="250" spans="1:14" x14ac:dyDescent="0.2">
      <c r="A250">
        <v>10496</v>
      </c>
      <c r="B250" t="s">
        <v>175</v>
      </c>
      <c r="C250">
        <v>7</v>
      </c>
      <c r="D250" s="1">
        <v>35524</v>
      </c>
      <c r="E250" s="1">
        <v>35552</v>
      </c>
      <c r="F250" s="1">
        <v>35527</v>
      </c>
      <c r="G250">
        <v>2</v>
      </c>
      <c r="H250" s="2">
        <v>46.77</v>
      </c>
      <c r="I250" t="s">
        <v>176</v>
      </c>
      <c r="J250" t="s">
        <v>177</v>
      </c>
      <c r="K250" t="s">
        <v>173</v>
      </c>
      <c r="L250" t="s">
        <v>55</v>
      </c>
      <c r="M250" t="s">
        <v>178</v>
      </c>
      <c r="N250" t="s">
        <v>31</v>
      </c>
    </row>
    <row r="251" spans="1:14" x14ac:dyDescent="0.2">
      <c r="A251">
        <v>10497</v>
      </c>
      <c r="B251" t="s">
        <v>142</v>
      </c>
      <c r="C251">
        <v>7</v>
      </c>
      <c r="D251" s="1">
        <v>35524</v>
      </c>
      <c r="E251" s="1">
        <v>35552</v>
      </c>
      <c r="F251" s="1">
        <v>35527</v>
      </c>
      <c r="G251">
        <v>1</v>
      </c>
      <c r="H251" s="2">
        <v>36.21</v>
      </c>
      <c r="I251" t="s">
        <v>143</v>
      </c>
      <c r="J251" t="s">
        <v>144</v>
      </c>
      <c r="K251" t="s">
        <v>145</v>
      </c>
      <c r="L251" t="s">
        <v>18</v>
      </c>
      <c r="M251">
        <v>60528</v>
      </c>
      <c r="N251" t="s">
        <v>24</v>
      </c>
    </row>
    <row r="252" spans="1:14" x14ac:dyDescent="0.2">
      <c r="A252">
        <v>10498</v>
      </c>
      <c r="B252" t="s">
        <v>57</v>
      </c>
      <c r="C252">
        <v>8</v>
      </c>
      <c r="D252" s="1">
        <v>35527</v>
      </c>
      <c r="E252" s="1">
        <v>35555</v>
      </c>
      <c r="F252" s="1">
        <v>35531</v>
      </c>
      <c r="G252">
        <v>2</v>
      </c>
      <c r="H252" s="2">
        <v>29.75</v>
      </c>
      <c r="I252" t="s">
        <v>58</v>
      </c>
      <c r="J252" t="s">
        <v>59</v>
      </c>
      <c r="K252" t="s">
        <v>60</v>
      </c>
      <c r="L252" t="s">
        <v>61</v>
      </c>
      <c r="M252">
        <v>5022</v>
      </c>
      <c r="N252" t="s">
        <v>62</v>
      </c>
    </row>
    <row r="253" spans="1:14" x14ac:dyDescent="0.2">
      <c r="A253">
        <v>10499</v>
      </c>
      <c r="B253" t="s">
        <v>151</v>
      </c>
      <c r="C253">
        <v>4</v>
      </c>
      <c r="D253" s="1">
        <v>35528</v>
      </c>
      <c r="E253" s="1">
        <v>35556</v>
      </c>
      <c r="F253" s="1">
        <v>35536</v>
      </c>
      <c r="G253">
        <v>2</v>
      </c>
      <c r="H253" s="2">
        <v>102.02</v>
      </c>
      <c r="I253" t="s">
        <v>152</v>
      </c>
      <c r="J253" t="s">
        <v>153</v>
      </c>
      <c r="K253" t="s">
        <v>154</v>
      </c>
      <c r="L253" t="s">
        <v>155</v>
      </c>
      <c r="M253">
        <v>3508</v>
      </c>
      <c r="N253" t="s">
        <v>62</v>
      </c>
    </row>
    <row r="254" spans="1:14" x14ac:dyDescent="0.2">
      <c r="A254">
        <v>10500</v>
      </c>
      <c r="B254" t="s">
        <v>262</v>
      </c>
      <c r="C254">
        <v>6</v>
      </c>
      <c r="D254" s="1">
        <v>35529</v>
      </c>
      <c r="E254" s="1">
        <v>35557</v>
      </c>
      <c r="F254" s="1">
        <v>35537</v>
      </c>
      <c r="G254">
        <v>1</v>
      </c>
      <c r="H254" s="2">
        <v>42.68</v>
      </c>
      <c r="I254" t="s">
        <v>263</v>
      </c>
      <c r="J254" t="s">
        <v>264</v>
      </c>
      <c r="K254" t="s">
        <v>265</v>
      </c>
      <c r="L254" t="s">
        <v>18</v>
      </c>
      <c r="M254">
        <v>31000</v>
      </c>
      <c r="N254" t="s">
        <v>19</v>
      </c>
    </row>
    <row r="255" spans="1:14" x14ac:dyDescent="0.2">
      <c r="A255">
        <v>10501</v>
      </c>
      <c r="B255" t="s">
        <v>363</v>
      </c>
      <c r="C255">
        <v>9</v>
      </c>
      <c r="D255" s="1">
        <v>35529</v>
      </c>
      <c r="E255" s="1">
        <v>35557</v>
      </c>
      <c r="F255" s="1">
        <v>35536</v>
      </c>
      <c r="G255">
        <v>3</v>
      </c>
      <c r="H255" s="2">
        <v>8.85</v>
      </c>
      <c r="I255" t="s">
        <v>364</v>
      </c>
      <c r="J255" t="s">
        <v>365</v>
      </c>
      <c r="K255" t="s">
        <v>366</v>
      </c>
      <c r="L255" t="s">
        <v>18</v>
      </c>
      <c r="M255">
        <v>68306</v>
      </c>
      <c r="N255" t="s">
        <v>24</v>
      </c>
    </row>
    <row r="256" spans="1:14" x14ac:dyDescent="0.2">
      <c r="A256">
        <v>10502</v>
      </c>
      <c r="B256" t="s">
        <v>219</v>
      </c>
      <c r="C256">
        <v>2</v>
      </c>
      <c r="D256" s="1">
        <v>35530</v>
      </c>
      <c r="E256" s="1">
        <v>35558</v>
      </c>
      <c r="F256" s="1">
        <v>35549</v>
      </c>
      <c r="G256">
        <v>1</v>
      </c>
      <c r="H256" s="2">
        <v>69.319999999999993</v>
      </c>
      <c r="I256" t="s">
        <v>220</v>
      </c>
      <c r="J256" t="s">
        <v>221</v>
      </c>
      <c r="K256" t="s">
        <v>71</v>
      </c>
      <c r="L256" t="s">
        <v>18</v>
      </c>
      <c r="M256">
        <v>5033</v>
      </c>
      <c r="N256" t="s">
        <v>72</v>
      </c>
    </row>
    <row r="257" spans="1:14" x14ac:dyDescent="0.2">
      <c r="A257">
        <v>10503</v>
      </c>
      <c r="B257" t="s">
        <v>179</v>
      </c>
      <c r="C257">
        <v>6</v>
      </c>
      <c r="D257" s="1">
        <v>35531</v>
      </c>
      <c r="E257" s="1">
        <v>35559</v>
      </c>
      <c r="F257" s="1">
        <v>35536</v>
      </c>
      <c r="G257">
        <v>2</v>
      </c>
      <c r="H257" s="2">
        <v>16.739999999999998</v>
      </c>
      <c r="I257" t="s">
        <v>180</v>
      </c>
      <c r="J257" t="s">
        <v>181</v>
      </c>
      <c r="K257" t="s">
        <v>182</v>
      </c>
      <c r="L257" t="s">
        <v>183</v>
      </c>
      <c r="M257" t="s">
        <v>18</v>
      </c>
      <c r="N257" t="s">
        <v>184</v>
      </c>
    </row>
    <row r="258" spans="1:14" x14ac:dyDescent="0.2">
      <c r="A258">
        <v>10504</v>
      </c>
      <c r="B258" t="s">
        <v>111</v>
      </c>
      <c r="C258">
        <v>4</v>
      </c>
      <c r="D258" s="1">
        <v>35531</v>
      </c>
      <c r="E258" s="1">
        <v>35559</v>
      </c>
      <c r="F258" s="1">
        <v>35538</v>
      </c>
      <c r="G258">
        <v>3</v>
      </c>
      <c r="H258" s="2">
        <v>59.13</v>
      </c>
      <c r="I258" t="s">
        <v>112</v>
      </c>
      <c r="J258" t="s">
        <v>113</v>
      </c>
      <c r="K258" t="s">
        <v>114</v>
      </c>
      <c r="L258" t="s">
        <v>115</v>
      </c>
      <c r="M258">
        <v>98124</v>
      </c>
      <c r="N258" t="s">
        <v>86</v>
      </c>
    </row>
    <row r="259" spans="1:14" x14ac:dyDescent="0.2">
      <c r="A259">
        <v>10505</v>
      </c>
      <c r="B259" t="s">
        <v>243</v>
      </c>
      <c r="C259">
        <v>3</v>
      </c>
      <c r="D259" s="1">
        <v>35534</v>
      </c>
      <c r="E259" s="1">
        <v>35562</v>
      </c>
      <c r="F259" s="1">
        <v>35541</v>
      </c>
      <c r="G259">
        <v>3</v>
      </c>
      <c r="H259" s="2">
        <v>7.13</v>
      </c>
      <c r="I259" t="s">
        <v>244</v>
      </c>
      <c r="J259" t="s">
        <v>245</v>
      </c>
      <c r="K259" t="s">
        <v>246</v>
      </c>
      <c r="L259" t="s">
        <v>247</v>
      </c>
      <c r="M259" t="s">
        <v>248</v>
      </c>
      <c r="N259" t="s">
        <v>249</v>
      </c>
    </row>
    <row r="260" spans="1:14" x14ac:dyDescent="0.2">
      <c r="A260">
        <v>10506</v>
      </c>
      <c r="B260" t="s">
        <v>222</v>
      </c>
      <c r="C260">
        <v>9</v>
      </c>
      <c r="D260" s="1">
        <v>35535</v>
      </c>
      <c r="E260" s="1">
        <v>35563</v>
      </c>
      <c r="F260" s="1">
        <v>35552</v>
      </c>
      <c r="G260">
        <v>2</v>
      </c>
      <c r="H260" s="2">
        <v>21.19</v>
      </c>
      <c r="I260" t="s">
        <v>223</v>
      </c>
      <c r="J260" t="s">
        <v>224</v>
      </c>
      <c r="K260" t="s">
        <v>225</v>
      </c>
      <c r="L260" t="s">
        <v>18</v>
      </c>
      <c r="M260">
        <v>14776</v>
      </c>
      <c r="N260" t="s">
        <v>24</v>
      </c>
    </row>
    <row r="261" spans="1:14" x14ac:dyDescent="0.2">
      <c r="A261">
        <v>10507</v>
      </c>
      <c r="B261" t="s">
        <v>288</v>
      </c>
      <c r="C261">
        <v>7</v>
      </c>
      <c r="D261" s="1">
        <v>35535</v>
      </c>
      <c r="E261" s="1">
        <v>35563</v>
      </c>
      <c r="F261" s="1">
        <v>35542</v>
      </c>
      <c r="G261">
        <v>1</v>
      </c>
      <c r="H261" s="2">
        <v>47.45</v>
      </c>
      <c r="I261" t="s">
        <v>289</v>
      </c>
      <c r="J261" t="s">
        <v>290</v>
      </c>
      <c r="K261" t="s">
        <v>71</v>
      </c>
      <c r="L261" t="s">
        <v>18</v>
      </c>
      <c r="M261">
        <v>5023</v>
      </c>
      <c r="N261" t="s">
        <v>72</v>
      </c>
    </row>
    <row r="262" spans="1:14" x14ac:dyDescent="0.2">
      <c r="A262">
        <v>10508</v>
      </c>
      <c r="B262" t="s">
        <v>73</v>
      </c>
      <c r="C262">
        <v>1</v>
      </c>
      <c r="D262" s="1">
        <v>35536</v>
      </c>
      <c r="E262" s="1">
        <v>35564</v>
      </c>
      <c r="F262" s="1">
        <v>35563</v>
      </c>
      <c r="G262">
        <v>2</v>
      </c>
      <c r="H262" s="2">
        <v>4.99</v>
      </c>
      <c r="I262" t="s">
        <v>74</v>
      </c>
      <c r="J262" t="s">
        <v>75</v>
      </c>
      <c r="K262" t="s">
        <v>76</v>
      </c>
      <c r="L262" t="s">
        <v>18</v>
      </c>
      <c r="M262">
        <v>50739</v>
      </c>
      <c r="N262" t="s">
        <v>24</v>
      </c>
    </row>
    <row r="263" spans="1:14" x14ac:dyDescent="0.2">
      <c r="A263">
        <v>10509</v>
      </c>
      <c r="B263" t="s">
        <v>363</v>
      </c>
      <c r="C263">
        <v>4</v>
      </c>
      <c r="D263" s="1">
        <v>35537</v>
      </c>
      <c r="E263" s="1">
        <v>35565</v>
      </c>
      <c r="F263" s="1">
        <v>35549</v>
      </c>
      <c r="G263">
        <v>1</v>
      </c>
      <c r="H263" s="2">
        <v>0.15</v>
      </c>
      <c r="I263" t="s">
        <v>364</v>
      </c>
      <c r="J263" t="s">
        <v>365</v>
      </c>
      <c r="K263" t="s">
        <v>366</v>
      </c>
      <c r="L263" t="s">
        <v>18</v>
      </c>
      <c r="M263">
        <v>68306</v>
      </c>
      <c r="N263" t="s">
        <v>24</v>
      </c>
    </row>
    <row r="264" spans="1:14" x14ac:dyDescent="0.2">
      <c r="A264">
        <v>10510</v>
      </c>
      <c r="B264" t="s">
        <v>226</v>
      </c>
      <c r="C264">
        <v>6</v>
      </c>
      <c r="D264" s="1">
        <v>35538</v>
      </c>
      <c r="E264" s="1">
        <v>35566</v>
      </c>
      <c r="F264" s="1">
        <v>35548</v>
      </c>
      <c r="G264">
        <v>3</v>
      </c>
      <c r="H264" s="2">
        <v>367.63</v>
      </c>
      <c r="I264" t="s">
        <v>227</v>
      </c>
      <c r="J264" t="s">
        <v>228</v>
      </c>
      <c r="K264" t="s">
        <v>229</v>
      </c>
      <c r="L264" t="s">
        <v>230</v>
      </c>
      <c r="M264">
        <v>83720</v>
      </c>
      <c r="N264" t="s">
        <v>86</v>
      </c>
    </row>
    <row r="265" spans="1:14" x14ac:dyDescent="0.2">
      <c r="A265">
        <v>10511</v>
      </c>
      <c r="B265" t="s">
        <v>239</v>
      </c>
      <c r="C265">
        <v>4</v>
      </c>
      <c r="D265" s="1">
        <v>35538</v>
      </c>
      <c r="E265" s="1">
        <v>35566</v>
      </c>
      <c r="F265" s="1">
        <v>35541</v>
      </c>
      <c r="G265">
        <v>3</v>
      </c>
      <c r="H265" s="2">
        <v>350.64</v>
      </c>
      <c r="I265" t="s">
        <v>240</v>
      </c>
      <c r="J265" t="s">
        <v>241</v>
      </c>
      <c r="K265" t="s">
        <v>242</v>
      </c>
      <c r="L265" t="s">
        <v>18</v>
      </c>
      <c r="M265">
        <v>13008</v>
      </c>
      <c r="N265" t="s">
        <v>19</v>
      </c>
    </row>
    <row r="266" spans="1:14" x14ac:dyDescent="0.2">
      <c r="A266">
        <v>10512</v>
      </c>
      <c r="B266" t="s">
        <v>258</v>
      </c>
      <c r="C266">
        <v>7</v>
      </c>
      <c r="D266" s="1">
        <v>35541</v>
      </c>
      <c r="E266" s="1">
        <v>35569</v>
      </c>
      <c r="F266" s="1">
        <v>35544</v>
      </c>
      <c r="G266">
        <v>2</v>
      </c>
      <c r="H266" s="2">
        <v>3.53</v>
      </c>
      <c r="I266" t="s">
        <v>259</v>
      </c>
      <c r="J266" t="s">
        <v>260</v>
      </c>
      <c r="K266" t="s">
        <v>173</v>
      </c>
      <c r="L266" t="s">
        <v>55</v>
      </c>
      <c r="M266" t="s">
        <v>261</v>
      </c>
      <c r="N266" t="s">
        <v>31</v>
      </c>
    </row>
    <row r="267" spans="1:14" x14ac:dyDescent="0.2">
      <c r="A267">
        <v>10513</v>
      </c>
      <c r="B267" t="s">
        <v>185</v>
      </c>
      <c r="C267">
        <v>7</v>
      </c>
      <c r="D267" s="1">
        <v>35542</v>
      </c>
      <c r="E267" s="1">
        <v>35584</v>
      </c>
      <c r="F267" s="1">
        <v>35548</v>
      </c>
      <c r="G267">
        <v>1</v>
      </c>
      <c r="H267" s="2">
        <v>105.65</v>
      </c>
      <c r="I267" t="s">
        <v>186</v>
      </c>
      <c r="J267" t="s">
        <v>187</v>
      </c>
      <c r="K267" t="s">
        <v>188</v>
      </c>
      <c r="L267" t="s">
        <v>18</v>
      </c>
      <c r="M267">
        <v>70563</v>
      </c>
      <c r="N267" t="s">
        <v>24</v>
      </c>
    </row>
    <row r="268" spans="1:14" x14ac:dyDescent="0.2">
      <c r="A268">
        <v>10514</v>
      </c>
      <c r="B268" t="s">
        <v>63</v>
      </c>
      <c r="C268">
        <v>3</v>
      </c>
      <c r="D268" s="1">
        <v>35542</v>
      </c>
      <c r="E268" s="1">
        <v>35570</v>
      </c>
      <c r="F268" s="1">
        <v>35566</v>
      </c>
      <c r="G268">
        <v>2</v>
      </c>
      <c r="H268" s="2">
        <v>789.95</v>
      </c>
      <c r="I268" t="s">
        <v>64</v>
      </c>
      <c r="J268" t="s">
        <v>65</v>
      </c>
      <c r="K268" t="s">
        <v>66</v>
      </c>
      <c r="L268" t="s">
        <v>18</v>
      </c>
      <c r="M268">
        <v>8010</v>
      </c>
      <c r="N268" t="s">
        <v>67</v>
      </c>
    </row>
    <row r="269" spans="1:14" x14ac:dyDescent="0.2">
      <c r="A269">
        <v>10515</v>
      </c>
      <c r="B269" t="s">
        <v>121</v>
      </c>
      <c r="C269">
        <v>2</v>
      </c>
      <c r="D269" s="1">
        <v>35543</v>
      </c>
      <c r="E269" s="1">
        <v>35557</v>
      </c>
      <c r="F269" s="1">
        <v>35573</v>
      </c>
      <c r="G269">
        <v>1</v>
      </c>
      <c r="H269" s="2">
        <v>204.47</v>
      </c>
      <c r="I269" t="s">
        <v>122</v>
      </c>
      <c r="J269" t="s">
        <v>123</v>
      </c>
      <c r="K269" t="s">
        <v>124</v>
      </c>
      <c r="L269" t="s">
        <v>18</v>
      </c>
      <c r="M269">
        <v>1307</v>
      </c>
      <c r="N269" t="s">
        <v>24</v>
      </c>
    </row>
    <row r="270" spans="1:14" x14ac:dyDescent="0.2">
      <c r="A270">
        <v>10516</v>
      </c>
      <c r="B270" t="s">
        <v>179</v>
      </c>
      <c r="C270">
        <v>2</v>
      </c>
      <c r="D270" s="1">
        <v>35544</v>
      </c>
      <c r="E270" s="1">
        <v>35572</v>
      </c>
      <c r="F270" s="1">
        <v>35551</v>
      </c>
      <c r="G270">
        <v>3</v>
      </c>
      <c r="H270" s="2">
        <v>62.78</v>
      </c>
      <c r="I270" t="s">
        <v>180</v>
      </c>
      <c r="J270" t="s">
        <v>181</v>
      </c>
      <c r="K270" t="s">
        <v>182</v>
      </c>
      <c r="L270" t="s">
        <v>183</v>
      </c>
      <c r="M270" t="s">
        <v>18</v>
      </c>
      <c r="N270" t="s">
        <v>184</v>
      </c>
    </row>
    <row r="271" spans="1:14" x14ac:dyDescent="0.2">
      <c r="A271">
        <v>10517</v>
      </c>
      <c r="B271" t="s">
        <v>367</v>
      </c>
      <c r="C271">
        <v>3</v>
      </c>
      <c r="D271" s="1">
        <v>35544</v>
      </c>
      <c r="E271" s="1">
        <v>35572</v>
      </c>
      <c r="F271" s="1">
        <v>35549</v>
      </c>
      <c r="G271">
        <v>3</v>
      </c>
      <c r="H271" s="2">
        <v>32.07</v>
      </c>
      <c r="I271" t="s">
        <v>368</v>
      </c>
      <c r="J271" t="s">
        <v>369</v>
      </c>
      <c r="K271" t="s">
        <v>167</v>
      </c>
      <c r="L271" t="s">
        <v>18</v>
      </c>
      <c r="M271" t="s">
        <v>370</v>
      </c>
      <c r="N271" t="s">
        <v>169</v>
      </c>
    </row>
    <row r="272" spans="1:14" x14ac:dyDescent="0.2">
      <c r="A272">
        <v>10518</v>
      </c>
      <c r="B272" t="s">
        <v>130</v>
      </c>
      <c r="C272">
        <v>4</v>
      </c>
      <c r="D272" s="1">
        <v>35545</v>
      </c>
      <c r="E272" s="1">
        <v>35559</v>
      </c>
      <c r="F272" s="1">
        <v>35555</v>
      </c>
      <c r="G272">
        <v>2</v>
      </c>
      <c r="H272" s="2">
        <v>218.15</v>
      </c>
      <c r="I272" t="s">
        <v>131</v>
      </c>
      <c r="J272" t="s">
        <v>132</v>
      </c>
      <c r="K272" t="s">
        <v>71</v>
      </c>
      <c r="L272" t="s">
        <v>18</v>
      </c>
      <c r="M272">
        <v>5033</v>
      </c>
      <c r="N272" t="s">
        <v>72</v>
      </c>
    </row>
    <row r="273" spans="1:14" x14ac:dyDescent="0.2">
      <c r="A273">
        <v>10519</v>
      </c>
      <c r="B273" t="s">
        <v>42</v>
      </c>
      <c r="C273">
        <v>6</v>
      </c>
      <c r="D273" s="1">
        <v>35548</v>
      </c>
      <c r="E273" s="1">
        <v>35576</v>
      </c>
      <c r="F273" s="1">
        <v>35551</v>
      </c>
      <c r="G273">
        <v>3</v>
      </c>
      <c r="H273" s="2">
        <v>91.76</v>
      </c>
      <c r="I273" t="s">
        <v>43</v>
      </c>
      <c r="J273" t="s">
        <v>44</v>
      </c>
      <c r="K273" t="s">
        <v>45</v>
      </c>
      <c r="L273" t="s">
        <v>18</v>
      </c>
      <c r="M273">
        <v>3012</v>
      </c>
      <c r="N273" t="s">
        <v>46</v>
      </c>
    </row>
    <row r="274" spans="1:14" x14ac:dyDescent="0.2">
      <c r="A274">
        <v>10520</v>
      </c>
      <c r="B274" t="s">
        <v>313</v>
      </c>
      <c r="C274">
        <v>7</v>
      </c>
      <c r="D274" s="1">
        <v>35549</v>
      </c>
      <c r="E274" s="1">
        <v>35577</v>
      </c>
      <c r="F274" s="1">
        <v>35551</v>
      </c>
      <c r="G274">
        <v>1</v>
      </c>
      <c r="H274" s="2">
        <v>13.37</v>
      </c>
      <c r="I274" t="s">
        <v>314</v>
      </c>
      <c r="J274" t="s">
        <v>315</v>
      </c>
      <c r="K274" t="s">
        <v>316</v>
      </c>
      <c r="L274" t="s">
        <v>18</v>
      </c>
      <c r="M274">
        <v>4110</v>
      </c>
      <c r="N274" t="s">
        <v>317</v>
      </c>
    </row>
    <row r="275" spans="1:14" x14ac:dyDescent="0.2">
      <c r="A275">
        <v>10521</v>
      </c>
      <c r="B275" t="s">
        <v>371</v>
      </c>
      <c r="C275">
        <v>8</v>
      </c>
      <c r="D275" s="1">
        <v>35549</v>
      </c>
      <c r="E275" s="1">
        <v>35577</v>
      </c>
      <c r="F275" s="1">
        <v>35552</v>
      </c>
      <c r="G275">
        <v>2</v>
      </c>
      <c r="H275" s="2">
        <v>17.22</v>
      </c>
      <c r="I275" t="s">
        <v>372</v>
      </c>
      <c r="J275" t="s">
        <v>373</v>
      </c>
      <c r="K275" t="s">
        <v>336</v>
      </c>
      <c r="L275" t="s">
        <v>18</v>
      </c>
      <c r="M275">
        <v>1010</v>
      </c>
      <c r="N275" t="s">
        <v>337</v>
      </c>
    </row>
    <row r="276" spans="1:14" x14ac:dyDescent="0.2">
      <c r="A276">
        <v>10522</v>
      </c>
      <c r="B276" t="s">
        <v>142</v>
      </c>
      <c r="C276">
        <v>4</v>
      </c>
      <c r="D276" s="1">
        <v>35550</v>
      </c>
      <c r="E276" s="1">
        <v>35578</v>
      </c>
      <c r="F276" s="1">
        <v>35556</v>
      </c>
      <c r="G276">
        <v>1</v>
      </c>
      <c r="H276" s="2">
        <v>45.33</v>
      </c>
      <c r="I276" t="s">
        <v>143</v>
      </c>
      <c r="J276" t="s">
        <v>144</v>
      </c>
      <c r="K276" t="s">
        <v>145</v>
      </c>
      <c r="L276" t="s">
        <v>18</v>
      </c>
      <c r="M276">
        <v>60528</v>
      </c>
      <c r="N276" t="s">
        <v>24</v>
      </c>
    </row>
    <row r="277" spans="1:14" x14ac:dyDescent="0.2">
      <c r="A277">
        <v>10523</v>
      </c>
      <c r="B277" t="s">
        <v>276</v>
      </c>
      <c r="C277">
        <v>7</v>
      </c>
      <c r="D277" s="1">
        <v>35551</v>
      </c>
      <c r="E277" s="1">
        <v>35579</v>
      </c>
      <c r="F277" s="1">
        <v>35580</v>
      </c>
      <c r="G277">
        <v>2</v>
      </c>
      <c r="H277" s="2">
        <v>77.63</v>
      </c>
      <c r="I277" t="s">
        <v>277</v>
      </c>
      <c r="J277" t="s">
        <v>278</v>
      </c>
      <c r="K277" t="s">
        <v>167</v>
      </c>
      <c r="L277" t="s">
        <v>18</v>
      </c>
      <c r="M277" t="s">
        <v>279</v>
      </c>
      <c r="N277" t="s">
        <v>169</v>
      </c>
    </row>
    <row r="278" spans="1:14" x14ac:dyDescent="0.2">
      <c r="A278">
        <v>10524</v>
      </c>
      <c r="B278" t="s">
        <v>137</v>
      </c>
      <c r="C278">
        <v>1</v>
      </c>
      <c r="D278" s="1">
        <v>35551</v>
      </c>
      <c r="E278" s="1">
        <v>35579</v>
      </c>
      <c r="F278" s="1">
        <v>35557</v>
      </c>
      <c r="G278">
        <v>2</v>
      </c>
      <c r="H278" s="2">
        <v>244.79</v>
      </c>
      <c r="I278" t="s">
        <v>138</v>
      </c>
      <c r="J278" t="s">
        <v>139</v>
      </c>
      <c r="K278" t="s">
        <v>140</v>
      </c>
      <c r="L278" t="s">
        <v>18</v>
      </c>
      <c r="M278" t="s">
        <v>141</v>
      </c>
      <c r="N278" t="s">
        <v>92</v>
      </c>
    </row>
    <row r="279" spans="1:14" x14ac:dyDescent="0.2">
      <c r="A279">
        <v>10525</v>
      </c>
      <c r="B279" t="s">
        <v>239</v>
      </c>
      <c r="C279">
        <v>1</v>
      </c>
      <c r="D279" s="1">
        <v>35552</v>
      </c>
      <c r="E279" s="1">
        <v>35580</v>
      </c>
      <c r="F279" s="1">
        <v>35573</v>
      </c>
      <c r="G279">
        <v>2</v>
      </c>
      <c r="H279" s="2">
        <v>11.06</v>
      </c>
      <c r="I279" t="s">
        <v>240</v>
      </c>
      <c r="J279" t="s">
        <v>241</v>
      </c>
      <c r="K279" t="s">
        <v>242</v>
      </c>
      <c r="L279" t="s">
        <v>18</v>
      </c>
      <c r="M279">
        <v>13008</v>
      </c>
      <c r="N279" t="s">
        <v>19</v>
      </c>
    </row>
    <row r="280" spans="1:14" x14ac:dyDescent="0.2">
      <c r="A280">
        <v>10526</v>
      </c>
      <c r="B280" t="s">
        <v>97</v>
      </c>
      <c r="C280">
        <v>4</v>
      </c>
      <c r="D280" s="1">
        <v>35555</v>
      </c>
      <c r="E280" s="1">
        <v>35583</v>
      </c>
      <c r="F280" s="1">
        <v>35565</v>
      </c>
      <c r="G280">
        <v>2</v>
      </c>
      <c r="H280" s="2">
        <v>58.59</v>
      </c>
      <c r="I280" t="s">
        <v>98</v>
      </c>
      <c r="J280" t="s">
        <v>99</v>
      </c>
      <c r="K280" t="s">
        <v>100</v>
      </c>
      <c r="L280" t="s">
        <v>18</v>
      </c>
      <c r="M280">
        <v>90110</v>
      </c>
      <c r="N280" t="s">
        <v>101</v>
      </c>
    </row>
    <row r="281" spans="1:14" x14ac:dyDescent="0.2">
      <c r="A281">
        <v>10527</v>
      </c>
      <c r="B281" t="s">
        <v>121</v>
      </c>
      <c r="C281">
        <v>7</v>
      </c>
      <c r="D281" s="1">
        <v>35555</v>
      </c>
      <c r="E281" s="1">
        <v>35583</v>
      </c>
      <c r="F281" s="1">
        <v>35557</v>
      </c>
      <c r="G281">
        <v>1</v>
      </c>
      <c r="H281" s="2">
        <v>41.9</v>
      </c>
      <c r="I281" t="s">
        <v>122</v>
      </c>
      <c r="J281" t="s">
        <v>123</v>
      </c>
      <c r="K281" t="s">
        <v>124</v>
      </c>
      <c r="L281" t="s">
        <v>18</v>
      </c>
      <c r="M281">
        <v>1307</v>
      </c>
      <c r="N281" t="s">
        <v>24</v>
      </c>
    </row>
    <row r="282" spans="1:14" x14ac:dyDescent="0.2">
      <c r="A282">
        <v>10528</v>
      </c>
      <c r="B282" t="s">
        <v>374</v>
      </c>
      <c r="C282">
        <v>6</v>
      </c>
      <c r="D282" s="1">
        <v>35556</v>
      </c>
      <c r="E282" s="1">
        <v>35570</v>
      </c>
      <c r="F282" s="1">
        <v>35559</v>
      </c>
      <c r="G282">
        <v>2</v>
      </c>
      <c r="H282" s="2">
        <v>3.35</v>
      </c>
      <c r="I282" t="s">
        <v>375</v>
      </c>
      <c r="J282" t="s">
        <v>376</v>
      </c>
      <c r="K282" t="s">
        <v>377</v>
      </c>
      <c r="L282" t="s">
        <v>202</v>
      </c>
      <c r="M282">
        <v>97403</v>
      </c>
      <c r="N282" t="s">
        <v>86</v>
      </c>
    </row>
    <row r="283" spans="1:14" x14ac:dyDescent="0.2">
      <c r="A283">
        <v>10529</v>
      </c>
      <c r="B283" t="s">
        <v>378</v>
      </c>
      <c r="C283">
        <v>5</v>
      </c>
      <c r="D283" s="1">
        <v>35557</v>
      </c>
      <c r="E283" s="1">
        <v>35585</v>
      </c>
      <c r="F283" s="1">
        <v>35559</v>
      </c>
      <c r="G283">
        <v>2</v>
      </c>
      <c r="H283" s="2">
        <v>66.69</v>
      </c>
      <c r="I283" t="s">
        <v>379</v>
      </c>
      <c r="J283" t="s">
        <v>380</v>
      </c>
      <c r="K283" t="s">
        <v>381</v>
      </c>
      <c r="L283" t="s">
        <v>18</v>
      </c>
      <c r="M283" t="s">
        <v>382</v>
      </c>
      <c r="N283" t="s">
        <v>41</v>
      </c>
    </row>
    <row r="284" spans="1:14" x14ac:dyDescent="0.2">
      <c r="A284">
        <v>10530</v>
      </c>
      <c r="B284" t="s">
        <v>266</v>
      </c>
      <c r="C284">
        <v>3</v>
      </c>
      <c r="D284" s="1">
        <v>35558</v>
      </c>
      <c r="E284" s="1">
        <v>35586</v>
      </c>
      <c r="F284" s="1">
        <v>35562</v>
      </c>
      <c r="G284">
        <v>2</v>
      </c>
      <c r="H284" s="2">
        <v>339.22</v>
      </c>
      <c r="I284" t="s">
        <v>267</v>
      </c>
      <c r="J284" t="s">
        <v>268</v>
      </c>
      <c r="K284" t="s">
        <v>269</v>
      </c>
      <c r="L284" t="s">
        <v>18</v>
      </c>
      <c r="M284">
        <v>5020</v>
      </c>
      <c r="N284" t="s">
        <v>67</v>
      </c>
    </row>
    <row r="285" spans="1:14" x14ac:dyDescent="0.2">
      <c r="A285">
        <v>10531</v>
      </c>
      <c r="B285" t="s">
        <v>333</v>
      </c>
      <c r="C285">
        <v>7</v>
      </c>
      <c r="D285" s="1">
        <v>35558</v>
      </c>
      <c r="E285" s="1">
        <v>35586</v>
      </c>
      <c r="F285" s="1">
        <v>35569</v>
      </c>
      <c r="G285">
        <v>1</v>
      </c>
      <c r="H285" s="2">
        <v>8.1199999999999992</v>
      </c>
      <c r="I285" t="s">
        <v>334</v>
      </c>
      <c r="J285" t="s">
        <v>335</v>
      </c>
      <c r="K285" t="s">
        <v>336</v>
      </c>
      <c r="L285" t="s">
        <v>18</v>
      </c>
      <c r="M285">
        <v>1010</v>
      </c>
      <c r="N285" t="s">
        <v>337</v>
      </c>
    </row>
    <row r="286" spans="1:14" x14ac:dyDescent="0.2">
      <c r="A286">
        <v>10532</v>
      </c>
      <c r="B286" t="s">
        <v>284</v>
      </c>
      <c r="C286">
        <v>7</v>
      </c>
      <c r="D286" s="1">
        <v>35559</v>
      </c>
      <c r="E286" s="1">
        <v>35587</v>
      </c>
      <c r="F286" s="1">
        <v>35562</v>
      </c>
      <c r="G286">
        <v>3</v>
      </c>
      <c r="H286" s="2">
        <v>74.459999999999994</v>
      </c>
      <c r="I286" t="s">
        <v>285</v>
      </c>
      <c r="J286" t="s">
        <v>286</v>
      </c>
      <c r="K286" t="s">
        <v>167</v>
      </c>
      <c r="L286" t="s">
        <v>18</v>
      </c>
      <c r="M286" t="s">
        <v>287</v>
      </c>
      <c r="N286" t="s">
        <v>169</v>
      </c>
    </row>
    <row r="287" spans="1:14" x14ac:dyDescent="0.2">
      <c r="A287">
        <v>10533</v>
      </c>
      <c r="B287" t="s">
        <v>87</v>
      </c>
      <c r="C287">
        <v>8</v>
      </c>
      <c r="D287" s="1">
        <v>35562</v>
      </c>
      <c r="E287" s="1">
        <v>35590</v>
      </c>
      <c r="F287" s="1">
        <v>35572</v>
      </c>
      <c r="G287">
        <v>1</v>
      </c>
      <c r="H287" s="2">
        <v>188.04</v>
      </c>
      <c r="I287" t="s">
        <v>88</v>
      </c>
      <c r="J287" t="s">
        <v>89</v>
      </c>
      <c r="K287" t="s">
        <v>90</v>
      </c>
      <c r="L287" t="s">
        <v>18</v>
      </c>
      <c r="M287" t="s">
        <v>91</v>
      </c>
      <c r="N287" t="s">
        <v>92</v>
      </c>
    </row>
    <row r="288" spans="1:14" x14ac:dyDescent="0.2">
      <c r="A288">
        <v>10534</v>
      </c>
      <c r="B288" t="s">
        <v>142</v>
      </c>
      <c r="C288">
        <v>8</v>
      </c>
      <c r="D288" s="1">
        <v>35562</v>
      </c>
      <c r="E288" s="1">
        <v>35590</v>
      </c>
      <c r="F288" s="1">
        <v>35564</v>
      </c>
      <c r="G288">
        <v>2</v>
      </c>
      <c r="H288" s="2">
        <v>27.94</v>
      </c>
      <c r="I288" t="s">
        <v>143</v>
      </c>
      <c r="J288" t="s">
        <v>144</v>
      </c>
      <c r="K288" t="s">
        <v>145</v>
      </c>
      <c r="L288" t="s">
        <v>18</v>
      </c>
      <c r="M288">
        <v>60528</v>
      </c>
      <c r="N288" t="s">
        <v>24</v>
      </c>
    </row>
    <row r="289" spans="1:14" x14ac:dyDescent="0.2">
      <c r="A289">
        <v>10535</v>
      </c>
      <c r="B289" t="s">
        <v>288</v>
      </c>
      <c r="C289">
        <v>4</v>
      </c>
      <c r="D289" s="1">
        <v>35563</v>
      </c>
      <c r="E289" s="1">
        <v>35591</v>
      </c>
      <c r="F289" s="1">
        <v>35571</v>
      </c>
      <c r="G289">
        <v>1</v>
      </c>
      <c r="H289" s="2">
        <v>15.64</v>
      </c>
      <c r="I289" t="s">
        <v>289</v>
      </c>
      <c r="J289" t="s">
        <v>290</v>
      </c>
      <c r="K289" t="s">
        <v>71</v>
      </c>
      <c r="L289" t="s">
        <v>18</v>
      </c>
      <c r="M289">
        <v>5023</v>
      </c>
      <c r="N289" t="s">
        <v>72</v>
      </c>
    </row>
    <row r="290" spans="1:14" x14ac:dyDescent="0.2">
      <c r="A290">
        <v>10536</v>
      </c>
      <c r="B290" t="s">
        <v>142</v>
      </c>
      <c r="C290">
        <v>3</v>
      </c>
      <c r="D290" s="1">
        <v>35564</v>
      </c>
      <c r="E290" s="1">
        <v>35592</v>
      </c>
      <c r="F290" s="1">
        <v>35587</v>
      </c>
      <c r="G290">
        <v>2</v>
      </c>
      <c r="H290" s="2">
        <v>58.88</v>
      </c>
      <c r="I290" t="s">
        <v>143</v>
      </c>
      <c r="J290" t="s">
        <v>144</v>
      </c>
      <c r="K290" t="s">
        <v>145</v>
      </c>
      <c r="L290" t="s">
        <v>18</v>
      </c>
      <c r="M290">
        <v>60528</v>
      </c>
      <c r="N290" t="s">
        <v>24</v>
      </c>
    </row>
    <row r="291" spans="1:14" x14ac:dyDescent="0.2">
      <c r="A291">
        <v>10537</v>
      </c>
      <c r="B291" t="s">
        <v>47</v>
      </c>
      <c r="C291">
        <v>1</v>
      </c>
      <c r="D291" s="1">
        <v>35564</v>
      </c>
      <c r="E291" s="1">
        <v>35578</v>
      </c>
      <c r="F291" s="1">
        <v>35569</v>
      </c>
      <c r="G291">
        <v>1</v>
      </c>
      <c r="H291" s="2">
        <v>78.849999999999994</v>
      </c>
      <c r="I291" t="s">
        <v>48</v>
      </c>
      <c r="J291" t="s">
        <v>49</v>
      </c>
      <c r="K291" t="s">
        <v>50</v>
      </c>
      <c r="L291" t="s">
        <v>18</v>
      </c>
      <c r="M291">
        <v>1204</v>
      </c>
      <c r="N291" t="s">
        <v>46</v>
      </c>
    </row>
    <row r="292" spans="1:14" x14ac:dyDescent="0.2">
      <c r="A292">
        <v>10538</v>
      </c>
      <c r="B292" t="s">
        <v>164</v>
      </c>
      <c r="C292">
        <v>9</v>
      </c>
      <c r="D292" s="1">
        <v>35565</v>
      </c>
      <c r="E292" s="1">
        <v>35593</v>
      </c>
      <c r="F292" s="1">
        <v>35566</v>
      </c>
      <c r="G292">
        <v>3</v>
      </c>
      <c r="H292" s="2">
        <v>4.87</v>
      </c>
      <c r="I292" t="s">
        <v>165</v>
      </c>
      <c r="J292" t="s">
        <v>166</v>
      </c>
      <c r="K292" t="s">
        <v>167</v>
      </c>
      <c r="L292" t="s">
        <v>18</v>
      </c>
      <c r="M292" t="s">
        <v>168</v>
      </c>
      <c r="N292" t="s">
        <v>169</v>
      </c>
    </row>
    <row r="293" spans="1:14" x14ac:dyDescent="0.2">
      <c r="A293">
        <v>10539</v>
      </c>
      <c r="B293" t="s">
        <v>164</v>
      </c>
      <c r="C293">
        <v>6</v>
      </c>
      <c r="D293" s="1">
        <v>35566</v>
      </c>
      <c r="E293" s="1">
        <v>35594</v>
      </c>
      <c r="F293" s="1">
        <v>35573</v>
      </c>
      <c r="G293">
        <v>3</v>
      </c>
      <c r="H293" s="2">
        <v>12.36</v>
      </c>
      <c r="I293" t="s">
        <v>165</v>
      </c>
      <c r="J293" t="s">
        <v>166</v>
      </c>
      <c r="K293" t="s">
        <v>167</v>
      </c>
      <c r="L293" t="s">
        <v>18</v>
      </c>
      <c r="M293" t="s">
        <v>168</v>
      </c>
      <c r="N293" t="s">
        <v>169</v>
      </c>
    </row>
    <row r="294" spans="1:14" x14ac:dyDescent="0.2">
      <c r="A294">
        <v>10540</v>
      </c>
      <c r="B294" t="s">
        <v>121</v>
      </c>
      <c r="C294">
        <v>3</v>
      </c>
      <c r="D294" s="1">
        <v>35569</v>
      </c>
      <c r="E294" s="1">
        <v>35597</v>
      </c>
      <c r="F294" s="1">
        <v>35594</v>
      </c>
      <c r="G294">
        <v>3</v>
      </c>
      <c r="H294" s="2">
        <v>1007.64</v>
      </c>
      <c r="I294" t="s">
        <v>122</v>
      </c>
      <c r="J294" t="s">
        <v>123</v>
      </c>
      <c r="K294" t="s">
        <v>124</v>
      </c>
      <c r="L294" t="s">
        <v>18</v>
      </c>
      <c r="M294">
        <v>1307</v>
      </c>
      <c r="N294" t="s">
        <v>24</v>
      </c>
    </row>
    <row r="295" spans="1:14" x14ac:dyDescent="0.2">
      <c r="A295">
        <v>10541</v>
      </c>
      <c r="B295" t="s">
        <v>25</v>
      </c>
      <c r="C295">
        <v>2</v>
      </c>
      <c r="D295" s="1">
        <v>35569</v>
      </c>
      <c r="E295" s="1">
        <v>35597</v>
      </c>
      <c r="F295" s="1">
        <v>35579</v>
      </c>
      <c r="G295">
        <v>1</v>
      </c>
      <c r="H295" s="2">
        <v>68.650000000000006</v>
      </c>
      <c r="I295" t="s">
        <v>26</v>
      </c>
      <c r="J295" t="s">
        <v>27</v>
      </c>
      <c r="K295" t="s">
        <v>28</v>
      </c>
      <c r="L295" t="s">
        <v>29</v>
      </c>
      <c r="M295" t="s">
        <v>30</v>
      </c>
      <c r="N295" t="s">
        <v>31</v>
      </c>
    </row>
    <row r="296" spans="1:14" x14ac:dyDescent="0.2">
      <c r="A296">
        <v>10542</v>
      </c>
      <c r="B296" t="s">
        <v>222</v>
      </c>
      <c r="C296">
        <v>1</v>
      </c>
      <c r="D296" s="1">
        <v>35570</v>
      </c>
      <c r="E296" s="1">
        <v>35598</v>
      </c>
      <c r="F296" s="1">
        <v>35576</v>
      </c>
      <c r="G296">
        <v>3</v>
      </c>
      <c r="H296" s="2">
        <v>10.95</v>
      </c>
      <c r="I296" t="s">
        <v>223</v>
      </c>
      <c r="J296" t="s">
        <v>224</v>
      </c>
      <c r="K296" t="s">
        <v>225</v>
      </c>
      <c r="L296" t="s">
        <v>18</v>
      </c>
      <c r="M296">
        <v>14776</v>
      </c>
      <c r="N296" t="s">
        <v>24</v>
      </c>
    </row>
    <row r="297" spans="1:14" x14ac:dyDescent="0.2">
      <c r="A297">
        <v>10543</v>
      </c>
      <c r="B297" t="s">
        <v>151</v>
      </c>
      <c r="C297">
        <v>8</v>
      </c>
      <c r="D297" s="1">
        <v>35571</v>
      </c>
      <c r="E297" s="1">
        <v>35599</v>
      </c>
      <c r="F297" s="1">
        <v>35573</v>
      </c>
      <c r="G297">
        <v>2</v>
      </c>
      <c r="H297" s="2">
        <v>48.17</v>
      </c>
      <c r="I297" t="s">
        <v>152</v>
      </c>
      <c r="J297" t="s">
        <v>153</v>
      </c>
      <c r="K297" t="s">
        <v>154</v>
      </c>
      <c r="L297" t="s">
        <v>155</v>
      </c>
      <c r="M297">
        <v>3508</v>
      </c>
      <c r="N297" t="s">
        <v>62</v>
      </c>
    </row>
    <row r="298" spans="1:14" x14ac:dyDescent="0.2">
      <c r="A298">
        <v>10544</v>
      </c>
      <c r="B298" t="s">
        <v>198</v>
      </c>
      <c r="C298">
        <v>4</v>
      </c>
      <c r="D298" s="1">
        <v>35571</v>
      </c>
      <c r="E298" s="1">
        <v>35599</v>
      </c>
      <c r="F298" s="1">
        <v>35580</v>
      </c>
      <c r="G298">
        <v>1</v>
      </c>
      <c r="H298" s="2">
        <v>24.91</v>
      </c>
      <c r="I298" t="s">
        <v>199</v>
      </c>
      <c r="J298" t="s">
        <v>200</v>
      </c>
      <c r="K298" t="s">
        <v>201</v>
      </c>
      <c r="L298" t="s">
        <v>202</v>
      </c>
      <c r="M298">
        <v>97219</v>
      </c>
      <c r="N298" t="s">
        <v>86</v>
      </c>
    </row>
    <row r="299" spans="1:14" x14ac:dyDescent="0.2">
      <c r="A299">
        <v>10545</v>
      </c>
      <c r="B299" t="s">
        <v>354</v>
      </c>
      <c r="C299">
        <v>8</v>
      </c>
      <c r="D299" s="1">
        <v>35572</v>
      </c>
      <c r="E299" s="1">
        <v>35600</v>
      </c>
      <c r="F299" s="1">
        <v>35607</v>
      </c>
      <c r="G299">
        <v>2</v>
      </c>
      <c r="H299" s="2">
        <v>11.92</v>
      </c>
      <c r="I299" t="s">
        <v>355</v>
      </c>
      <c r="J299" t="s">
        <v>356</v>
      </c>
      <c r="K299" t="s">
        <v>357</v>
      </c>
      <c r="L299" t="s">
        <v>115</v>
      </c>
      <c r="M299">
        <v>99362</v>
      </c>
      <c r="N299" t="s">
        <v>86</v>
      </c>
    </row>
    <row r="300" spans="1:14" x14ac:dyDescent="0.2">
      <c r="A300">
        <v>10546</v>
      </c>
      <c r="B300" t="s">
        <v>32</v>
      </c>
      <c r="C300">
        <v>1</v>
      </c>
      <c r="D300" s="1">
        <v>35573</v>
      </c>
      <c r="E300" s="1">
        <v>35601</v>
      </c>
      <c r="F300" s="1">
        <v>35577</v>
      </c>
      <c r="G300">
        <v>3</v>
      </c>
      <c r="H300" s="2">
        <v>194.72</v>
      </c>
      <c r="I300" t="s">
        <v>33</v>
      </c>
      <c r="J300" t="s">
        <v>34</v>
      </c>
      <c r="K300" t="s">
        <v>35</v>
      </c>
      <c r="L300" t="s">
        <v>18</v>
      </c>
      <c r="M300">
        <v>69004</v>
      </c>
      <c r="N300" t="s">
        <v>19</v>
      </c>
    </row>
    <row r="301" spans="1:14" x14ac:dyDescent="0.2">
      <c r="A301">
        <v>10547</v>
      </c>
      <c r="B301" t="s">
        <v>276</v>
      </c>
      <c r="C301">
        <v>3</v>
      </c>
      <c r="D301" s="1">
        <v>35573</v>
      </c>
      <c r="E301" s="1">
        <v>35601</v>
      </c>
      <c r="F301" s="1">
        <v>35583</v>
      </c>
      <c r="G301">
        <v>2</v>
      </c>
      <c r="H301" s="2">
        <v>178.43</v>
      </c>
      <c r="I301" t="s">
        <v>277</v>
      </c>
      <c r="J301" t="s">
        <v>278</v>
      </c>
      <c r="K301" t="s">
        <v>167</v>
      </c>
      <c r="L301" t="s">
        <v>18</v>
      </c>
      <c r="M301" t="s">
        <v>279</v>
      </c>
      <c r="N301" t="s">
        <v>169</v>
      </c>
    </row>
    <row r="302" spans="1:14" x14ac:dyDescent="0.2">
      <c r="A302">
        <v>10548</v>
      </c>
      <c r="B302" t="s">
        <v>20</v>
      </c>
      <c r="C302">
        <v>3</v>
      </c>
      <c r="D302" s="1">
        <v>35576</v>
      </c>
      <c r="E302" s="1">
        <v>35604</v>
      </c>
      <c r="F302" s="1">
        <v>35583</v>
      </c>
      <c r="G302">
        <v>2</v>
      </c>
      <c r="H302" s="2">
        <v>1.43</v>
      </c>
      <c r="I302" t="s">
        <v>21</v>
      </c>
      <c r="J302" t="s">
        <v>22</v>
      </c>
      <c r="K302" t="s">
        <v>23</v>
      </c>
      <c r="L302" t="s">
        <v>18</v>
      </c>
      <c r="M302">
        <v>44087</v>
      </c>
      <c r="N302" t="s">
        <v>24</v>
      </c>
    </row>
    <row r="303" spans="1:14" x14ac:dyDescent="0.2">
      <c r="A303">
        <v>10549</v>
      </c>
      <c r="B303" t="s">
        <v>121</v>
      </c>
      <c r="C303">
        <v>5</v>
      </c>
      <c r="D303" s="1">
        <v>35577</v>
      </c>
      <c r="E303" s="1">
        <v>35591</v>
      </c>
      <c r="F303" s="1">
        <v>35580</v>
      </c>
      <c r="G303">
        <v>1</v>
      </c>
      <c r="H303" s="2">
        <v>171.24</v>
      </c>
      <c r="I303" t="s">
        <v>122</v>
      </c>
      <c r="J303" t="s">
        <v>123</v>
      </c>
      <c r="K303" t="s">
        <v>124</v>
      </c>
      <c r="L303" t="s">
        <v>18</v>
      </c>
      <c r="M303">
        <v>1307</v>
      </c>
      <c r="N303" t="s">
        <v>24</v>
      </c>
    </row>
    <row r="304" spans="1:14" x14ac:dyDescent="0.2">
      <c r="A304">
        <v>10550</v>
      </c>
      <c r="B304" t="s">
        <v>189</v>
      </c>
      <c r="C304">
        <v>7</v>
      </c>
      <c r="D304" s="1">
        <v>35578</v>
      </c>
      <c r="E304" s="1">
        <v>35606</v>
      </c>
      <c r="F304" s="1">
        <v>35587</v>
      </c>
      <c r="G304">
        <v>3</v>
      </c>
      <c r="H304" s="2">
        <v>4.32</v>
      </c>
      <c r="I304" t="s">
        <v>190</v>
      </c>
      <c r="J304" t="s">
        <v>191</v>
      </c>
      <c r="K304" t="s">
        <v>192</v>
      </c>
      <c r="L304" t="s">
        <v>18</v>
      </c>
      <c r="M304">
        <v>41101</v>
      </c>
      <c r="N304" t="s">
        <v>150</v>
      </c>
    </row>
    <row r="305" spans="1:14" x14ac:dyDescent="0.2">
      <c r="A305">
        <v>10551</v>
      </c>
      <c r="B305" t="s">
        <v>234</v>
      </c>
      <c r="C305">
        <v>4</v>
      </c>
      <c r="D305" s="1">
        <v>35578</v>
      </c>
      <c r="E305" s="1">
        <v>35620</v>
      </c>
      <c r="F305" s="1">
        <v>35587</v>
      </c>
      <c r="G305">
        <v>3</v>
      </c>
      <c r="H305" s="2">
        <v>72.95</v>
      </c>
      <c r="I305" t="s">
        <v>235</v>
      </c>
      <c r="J305" t="s">
        <v>236</v>
      </c>
      <c r="K305" t="s">
        <v>237</v>
      </c>
      <c r="L305" t="s">
        <v>18</v>
      </c>
      <c r="M305">
        <v>1675</v>
      </c>
      <c r="N305" t="s">
        <v>238</v>
      </c>
    </row>
    <row r="306" spans="1:14" x14ac:dyDescent="0.2">
      <c r="A306">
        <v>10552</v>
      </c>
      <c r="B306" t="s">
        <v>57</v>
      </c>
      <c r="C306">
        <v>2</v>
      </c>
      <c r="D306" s="1">
        <v>35579</v>
      </c>
      <c r="E306" s="1">
        <v>35607</v>
      </c>
      <c r="F306" s="1">
        <v>35586</v>
      </c>
      <c r="G306">
        <v>1</v>
      </c>
      <c r="H306" s="2">
        <v>83.22</v>
      </c>
      <c r="I306" t="s">
        <v>58</v>
      </c>
      <c r="J306" t="s">
        <v>59</v>
      </c>
      <c r="K306" t="s">
        <v>60</v>
      </c>
      <c r="L306" t="s">
        <v>61</v>
      </c>
      <c r="M306">
        <v>5022</v>
      </c>
      <c r="N306" t="s">
        <v>62</v>
      </c>
    </row>
    <row r="307" spans="1:14" x14ac:dyDescent="0.2">
      <c r="A307">
        <v>10553</v>
      </c>
      <c r="B307" t="s">
        <v>97</v>
      </c>
      <c r="C307">
        <v>2</v>
      </c>
      <c r="D307" s="1">
        <v>35580</v>
      </c>
      <c r="E307" s="1">
        <v>35608</v>
      </c>
      <c r="F307" s="1">
        <v>35584</v>
      </c>
      <c r="G307">
        <v>2</v>
      </c>
      <c r="H307" s="2">
        <v>149.49</v>
      </c>
      <c r="I307" t="s">
        <v>98</v>
      </c>
      <c r="J307" t="s">
        <v>99</v>
      </c>
      <c r="K307" t="s">
        <v>100</v>
      </c>
      <c r="L307" t="s">
        <v>18</v>
      </c>
      <c r="M307">
        <v>90110</v>
      </c>
      <c r="N307" t="s">
        <v>101</v>
      </c>
    </row>
    <row r="308" spans="1:14" x14ac:dyDescent="0.2">
      <c r="A308">
        <v>10554</v>
      </c>
      <c r="B308" t="s">
        <v>73</v>
      </c>
      <c r="C308">
        <v>4</v>
      </c>
      <c r="D308" s="1">
        <v>35580</v>
      </c>
      <c r="E308" s="1">
        <v>35608</v>
      </c>
      <c r="F308" s="1">
        <v>35586</v>
      </c>
      <c r="G308">
        <v>3</v>
      </c>
      <c r="H308" s="2">
        <v>120.97</v>
      </c>
      <c r="I308" t="s">
        <v>74</v>
      </c>
      <c r="J308" t="s">
        <v>75</v>
      </c>
      <c r="K308" t="s">
        <v>76</v>
      </c>
      <c r="L308" t="s">
        <v>18</v>
      </c>
      <c r="M308">
        <v>50739</v>
      </c>
      <c r="N308" t="s">
        <v>24</v>
      </c>
    </row>
    <row r="309" spans="1:14" x14ac:dyDescent="0.2">
      <c r="A309">
        <v>10555</v>
      </c>
      <c r="B309" t="s">
        <v>226</v>
      </c>
      <c r="C309">
        <v>6</v>
      </c>
      <c r="D309" s="1">
        <v>35583</v>
      </c>
      <c r="E309" s="1">
        <v>35611</v>
      </c>
      <c r="F309" s="1">
        <v>35585</v>
      </c>
      <c r="G309">
        <v>3</v>
      </c>
      <c r="H309" s="2">
        <v>252.49</v>
      </c>
      <c r="I309" t="s">
        <v>227</v>
      </c>
      <c r="J309" t="s">
        <v>228</v>
      </c>
      <c r="K309" t="s">
        <v>229</v>
      </c>
      <c r="L309" t="s">
        <v>230</v>
      </c>
      <c r="M309">
        <v>83720</v>
      </c>
      <c r="N309" t="s">
        <v>86</v>
      </c>
    </row>
    <row r="310" spans="1:14" x14ac:dyDescent="0.2">
      <c r="A310">
        <v>10556</v>
      </c>
      <c r="B310" t="s">
        <v>253</v>
      </c>
      <c r="C310">
        <v>2</v>
      </c>
      <c r="D310" s="1">
        <v>35584</v>
      </c>
      <c r="E310" s="1">
        <v>35626</v>
      </c>
      <c r="F310" s="1">
        <v>35594</v>
      </c>
      <c r="G310">
        <v>1</v>
      </c>
      <c r="H310" s="2">
        <v>9.8000000000000007</v>
      </c>
      <c r="I310" t="s">
        <v>254</v>
      </c>
      <c r="J310" t="s">
        <v>255</v>
      </c>
      <c r="K310" t="s">
        <v>256</v>
      </c>
      <c r="L310" t="s">
        <v>18</v>
      </c>
      <c r="M310">
        <v>1734</v>
      </c>
      <c r="N310" t="s">
        <v>257</v>
      </c>
    </row>
    <row r="311" spans="1:14" x14ac:dyDescent="0.2">
      <c r="A311">
        <v>10557</v>
      </c>
      <c r="B311" t="s">
        <v>142</v>
      </c>
      <c r="C311">
        <v>9</v>
      </c>
      <c r="D311" s="1">
        <v>35584</v>
      </c>
      <c r="E311" s="1">
        <v>35598</v>
      </c>
      <c r="F311" s="1">
        <v>35587</v>
      </c>
      <c r="G311">
        <v>2</v>
      </c>
      <c r="H311" s="2">
        <v>96.72</v>
      </c>
      <c r="I311" t="s">
        <v>143</v>
      </c>
      <c r="J311" t="s">
        <v>144</v>
      </c>
      <c r="K311" t="s">
        <v>145</v>
      </c>
      <c r="L311" t="s">
        <v>18</v>
      </c>
      <c r="M311">
        <v>60528</v>
      </c>
      <c r="N311" t="s">
        <v>24</v>
      </c>
    </row>
    <row r="312" spans="1:14" x14ac:dyDescent="0.2">
      <c r="A312">
        <v>10558</v>
      </c>
      <c r="B312" t="s">
        <v>270</v>
      </c>
      <c r="C312">
        <v>1</v>
      </c>
      <c r="D312" s="1">
        <v>35585</v>
      </c>
      <c r="E312" s="1">
        <v>35613</v>
      </c>
      <c r="F312" s="1">
        <v>35591</v>
      </c>
      <c r="G312">
        <v>2</v>
      </c>
      <c r="H312" s="2">
        <v>72.97</v>
      </c>
      <c r="I312" t="s">
        <v>271</v>
      </c>
      <c r="J312" t="s">
        <v>272</v>
      </c>
      <c r="K312" t="s">
        <v>273</v>
      </c>
      <c r="L312" t="s">
        <v>274</v>
      </c>
      <c r="M312" t="s">
        <v>275</v>
      </c>
      <c r="N312" t="s">
        <v>169</v>
      </c>
    </row>
    <row r="313" spans="1:14" x14ac:dyDescent="0.2">
      <c r="A313">
        <v>10559</v>
      </c>
      <c r="B313" t="s">
        <v>93</v>
      </c>
      <c r="C313">
        <v>6</v>
      </c>
      <c r="D313" s="1">
        <v>35586</v>
      </c>
      <c r="E313" s="1">
        <v>35614</v>
      </c>
      <c r="F313" s="1">
        <v>35594</v>
      </c>
      <c r="G313">
        <v>1</v>
      </c>
      <c r="H313" s="2">
        <v>8.0500000000000007</v>
      </c>
      <c r="I313" t="s">
        <v>94</v>
      </c>
      <c r="J313" t="s">
        <v>95</v>
      </c>
      <c r="K313" t="s">
        <v>96</v>
      </c>
      <c r="L313" t="s">
        <v>18</v>
      </c>
      <c r="M313">
        <v>67000</v>
      </c>
      <c r="N313" t="s">
        <v>19</v>
      </c>
    </row>
    <row r="314" spans="1:14" x14ac:dyDescent="0.2">
      <c r="A314">
        <v>10560</v>
      </c>
      <c r="B314" t="s">
        <v>102</v>
      </c>
      <c r="C314">
        <v>8</v>
      </c>
      <c r="D314" s="1">
        <v>35587</v>
      </c>
      <c r="E314" s="1">
        <v>35615</v>
      </c>
      <c r="F314" s="1">
        <v>35590</v>
      </c>
      <c r="G314">
        <v>1</v>
      </c>
      <c r="H314" s="2">
        <v>36.65</v>
      </c>
      <c r="I314" t="s">
        <v>103</v>
      </c>
      <c r="J314" t="s">
        <v>104</v>
      </c>
      <c r="K314" t="s">
        <v>105</v>
      </c>
      <c r="L314" t="s">
        <v>18</v>
      </c>
      <c r="M314">
        <v>80805</v>
      </c>
      <c r="N314" t="s">
        <v>24</v>
      </c>
    </row>
    <row r="315" spans="1:14" x14ac:dyDescent="0.2">
      <c r="A315">
        <v>10561</v>
      </c>
      <c r="B315" t="s">
        <v>87</v>
      </c>
      <c r="C315">
        <v>2</v>
      </c>
      <c r="D315" s="1">
        <v>35587</v>
      </c>
      <c r="E315" s="1">
        <v>35615</v>
      </c>
      <c r="F315" s="1">
        <v>35590</v>
      </c>
      <c r="G315">
        <v>2</v>
      </c>
      <c r="H315" s="2">
        <v>242.21</v>
      </c>
      <c r="I315" t="s">
        <v>88</v>
      </c>
      <c r="J315" t="s">
        <v>89</v>
      </c>
      <c r="K315" t="s">
        <v>90</v>
      </c>
      <c r="L315" t="s">
        <v>18</v>
      </c>
      <c r="M315" t="s">
        <v>91</v>
      </c>
      <c r="N315" t="s">
        <v>92</v>
      </c>
    </row>
    <row r="316" spans="1:14" x14ac:dyDescent="0.2">
      <c r="A316">
        <v>10562</v>
      </c>
      <c r="B316" t="s">
        <v>160</v>
      </c>
      <c r="C316">
        <v>1</v>
      </c>
      <c r="D316" s="1">
        <v>35590</v>
      </c>
      <c r="E316" s="1">
        <v>35618</v>
      </c>
      <c r="F316" s="1">
        <v>35593</v>
      </c>
      <c r="G316">
        <v>1</v>
      </c>
      <c r="H316" s="2">
        <v>22.95</v>
      </c>
      <c r="I316" t="s">
        <v>161</v>
      </c>
      <c r="J316" t="s">
        <v>162</v>
      </c>
      <c r="K316" t="s">
        <v>163</v>
      </c>
      <c r="L316" t="s">
        <v>18</v>
      </c>
      <c r="M316">
        <v>42100</v>
      </c>
      <c r="N316" t="s">
        <v>129</v>
      </c>
    </row>
    <row r="317" spans="1:14" x14ac:dyDescent="0.2">
      <c r="A317">
        <v>10563</v>
      </c>
      <c r="B317" t="s">
        <v>156</v>
      </c>
      <c r="C317">
        <v>2</v>
      </c>
      <c r="D317" s="1">
        <v>35591</v>
      </c>
      <c r="E317" s="1">
        <v>35633</v>
      </c>
      <c r="F317" s="1">
        <v>35605</v>
      </c>
      <c r="G317">
        <v>2</v>
      </c>
      <c r="H317" s="2">
        <v>60.43</v>
      </c>
      <c r="I317" t="s">
        <v>157</v>
      </c>
      <c r="J317" t="s">
        <v>158</v>
      </c>
      <c r="K317" t="s">
        <v>28</v>
      </c>
      <c r="L317" t="s">
        <v>29</v>
      </c>
      <c r="M317" t="s">
        <v>159</v>
      </c>
      <c r="N317" t="s">
        <v>31</v>
      </c>
    </row>
    <row r="318" spans="1:14" x14ac:dyDescent="0.2">
      <c r="A318">
        <v>10564</v>
      </c>
      <c r="B318" t="s">
        <v>81</v>
      </c>
      <c r="C318">
        <v>4</v>
      </c>
      <c r="D318" s="1">
        <v>35591</v>
      </c>
      <c r="E318" s="1">
        <v>35619</v>
      </c>
      <c r="F318" s="1">
        <v>35597</v>
      </c>
      <c r="G318">
        <v>3</v>
      </c>
      <c r="H318" s="2">
        <v>13.75</v>
      </c>
      <c r="I318" t="s">
        <v>82</v>
      </c>
      <c r="J318" t="s">
        <v>83</v>
      </c>
      <c r="K318" t="s">
        <v>84</v>
      </c>
      <c r="L318" t="s">
        <v>85</v>
      </c>
      <c r="M318">
        <v>87110</v>
      </c>
      <c r="N318" t="s">
        <v>86</v>
      </c>
    </row>
    <row r="319" spans="1:14" x14ac:dyDescent="0.2">
      <c r="A319">
        <v>10565</v>
      </c>
      <c r="B319" t="s">
        <v>243</v>
      </c>
      <c r="C319">
        <v>8</v>
      </c>
      <c r="D319" s="1">
        <v>35592</v>
      </c>
      <c r="E319" s="1">
        <v>35620</v>
      </c>
      <c r="F319" s="1">
        <v>35599</v>
      </c>
      <c r="G319">
        <v>2</v>
      </c>
      <c r="H319" s="2">
        <v>7.15</v>
      </c>
      <c r="I319" t="s">
        <v>244</v>
      </c>
      <c r="J319" t="s">
        <v>245</v>
      </c>
      <c r="K319" t="s">
        <v>246</v>
      </c>
      <c r="L319" t="s">
        <v>247</v>
      </c>
      <c r="M319" t="s">
        <v>248</v>
      </c>
      <c r="N319" t="s">
        <v>249</v>
      </c>
    </row>
    <row r="320" spans="1:14" x14ac:dyDescent="0.2">
      <c r="A320">
        <v>10566</v>
      </c>
      <c r="B320" t="s">
        <v>93</v>
      </c>
      <c r="C320">
        <v>9</v>
      </c>
      <c r="D320" s="1">
        <v>35593</v>
      </c>
      <c r="E320" s="1">
        <v>35621</v>
      </c>
      <c r="F320" s="1">
        <v>35599</v>
      </c>
      <c r="G320">
        <v>1</v>
      </c>
      <c r="H320" s="2">
        <v>88.4</v>
      </c>
      <c r="I320" t="s">
        <v>94</v>
      </c>
      <c r="J320" t="s">
        <v>95</v>
      </c>
      <c r="K320" t="s">
        <v>96</v>
      </c>
      <c r="L320" t="s">
        <v>18</v>
      </c>
      <c r="M320">
        <v>67000</v>
      </c>
      <c r="N320" t="s">
        <v>19</v>
      </c>
    </row>
    <row r="321" spans="1:14" x14ac:dyDescent="0.2">
      <c r="A321">
        <v>10567</v>
      </c>
      <c r="B321" t="s">
        <v>179</v>
      </c>
      <c r="C321">
        <v>1</v>
      </c>
      <c r="D321" s="1">
        <v>35593</v>
      </c>
      <c r="E321" s="1">
        <v>35621</v>
      </c>
      <c r="F321" s="1">
        <v>35598</v>
      </c>
      <c r="G321">
        <v>1</v>
      </c>
      <c r="H321" s="2">
        <v>33.97</v>
      </c>
      <c r="I321" t="s">
        <v>180</v>
      </c>
      <c r="J321" t="s">
        <v>181</v>
      </c>
      <c r="K321" t="s">
        <v>182</v>
      </c>
      <c r="L321" t="s">
        <v>183</v>
      </c>
      <c r="M321" t="s">
        <v>18</v>
      </c>
      <c r="N321" t="s">
        <v>184</v>
      </c>
    </row>
    <row r="322" spans="1:14" x14ac:dyDescent="0.2">
      <c r="A322">
        <v>10568</v>
      </c>
      <c r="B322" t="s">
        <v>291</v>
      </c>
      <c r="C322">
        <v>3</v>
      </c>
      <c r="D322" s="1">
        <v>35594</v>
      </c>
      <c r="E322" s="1">
        <v>35622</v>
      </c>
      <c r="F322" s="1">
        <v>35620</v>
      </c>
      <c r="G322">
        <v>3</v>
      </c>
      <c r="H322" s="2">
        <v>6.54</v>
      </c>
      <c r="I322" t="s">
        <v>292</v>
      </c>
      <c r="J322" t="s">
        <v>293</v>
      </c>
      <c r="K322" t="s">
        <v>294</v>
      </c>
      <c r="L322" t="s">
        <v>18</v>
      </c>
      <c r="M322">
        <v>8022</v>
      </c>
      <c r="N322" t="s">
        <v>150</v>
      </c>
    </row>
    <row r="323" spans="1:14" x14ac:dyDescent="0.2">
      <c r="A323">
        <v>10569</v>
      </c>
      <c r="B323" t="s">
        <v>81</v>
      </c>
      <c r="C323">
        <v>5</v>
      </c>
      <c r="D323" s="1">
        <v>35597</v>
      </c>
      <c r="E323" s="1">
        <v>35625</v>
      </c>
      <c r="F323" s="1">
        <v>35622</v>
      </c>
      <c r="G323">
        <v>1</v>
      </c>
      <c r="H323" s="2">
        <v>58.98</v>
      </c>
      <c r="I323" t="s">
        <v>82</v>
      </c>
      <c r="J323" t="s">
        <v>83</v>
      </c>
      <c r="K323" t="s">
        <v>84</v>
      </c>
      <c r="L323" t="s">
        <v>85</v>
      </c>
      <c r="M323">
        <v>87110</v>
      </c>
      <c r="N323" t="s">
        <v>86</v>
      </c>
    </row>
    <row r="324" spans="1:14" x14ac:dyDescent="0.2">
      <c r="A324">
        <v>10570</v>
      </c>
      <c r="B324" t="s">
        <v>243</v>
      </c>
      <c r="C324">
        <v>3</v>
      </c>
      <c r="D324" s="1">
        <v>35598</v>
      </c>
      <c r="E324" s="1">
        <v>35626</v>
      </c>
      <c r="F324" s="1">
        <v>35600</v>
      </c>
      <c r="G324">
        <v>3</v>
      </c>
      <c r="H324" s="2">
        <v>188.99</v>
      </c>
      <c r="I324" t="s">
        <v>244</v>
      </c>
      <c r="J324" t="s">
        <v>245</v>
      </c>
      <c r="K324" t="s">
        <v>246</v>
      </c>
      <c r="L324" t="s">
        <v>247</v>
      </c>
      <c r="M324" t="s">
        <v>248</v>
      </c>
      <c r="N324" t="s">
        <v>249</v>
      </c>
    </row>
    <row r="325" spans="1:14" x14ac:dyDescent="0.2">
      <c r="A325">
        <v>10571</v>
      </c>
      <c r="B325" t="s">
        <v>63</v>
      </c>
      <c r="C325">
        <v>8</v>
      </c>
      <c r="D325" s="1">
        <v>35598</v>
      </c>
      <c r="E325" s="1">
        <v>35640</v>
      </c>
      <c r="F325" s="1">
        <v>35615</v>
      </c>
      <c r="G325">
        <v>3</v>
      </c>
      <c r="H325" s="2">
        <v>26.06</v>
      </c>
      <c r="I325" t="s">
        <v>64</v>
      </c>
      <c r="J325" t="s">
        <v>65</v>
      </c>
      <c r="K325" t="s">
        <v>66</v>
      </c>
      <c r="L325" t="s">
        <v>18</v>
      </c>
      <c r="M325">
        <v>8010</v>
      </c>
      <c r="N325" t="s">
        <v>67</v>
      </c>
    </row>
    <row r="326" spans="1:14" x14ac:dyDescent="0.2">
      <c r="A326">
        <v>10572</v>
      </c>
      <c r="B326" t="s">
        <v>137</v>
      </c>
      <c r="C326">
        <v>3</v>
      </c>
      <c r="D326" s="1">
        <v>35599</v>
      </c>
      <c r="E326" s="1">
        <v>35627</v>
      </c>
      <c r="F326" s="1">
        <v>35606</v>
      </c>
      <c r="G326">
        <v>2</v>
      </c>
      <c r="H326" s="2">
        <v>116.43</v>
      </c>
      <c r="I326" t="s">
        <v>138</v>
      </c>
      <c r="J326" t="s">
        <v>139</v>
      </c>
      <c r="K326" t="s">
        <v>140</v>
      </c>
      <c r="L326" t="s">
        <v>18</v>
      </c>
      <c r="M326" t="s">
        <v>141</v>
      </c>
      <c r="N326" t="s">
        <v>92</v>
      </c>
    </row>
    <row r="327" spans="1:14" x14ac:dyDescent="0.2">
      <c r="A327">
        <v>10573</v>
      </c>
      <c r="B327" t="s">
        <v>288</v>
      </c>
      <c r="C327">
        <v>7</v>
      </c>
      <c r="D327" s="1">
        <v>35600</v>
      </c>
      <c r="E327" s="1">
        <v>35628</v>
      </c>
      <c r="F327" s="1">
        <v>35601</v>
      </c>
      <c r="G327">
        <v>3</v>
      </c>
      <c r="H327" s="2">
        <v>84.84</v>
      </c>
      <c r="I327" t="s">
        <v>289</v>
      </c>
      <c r="J327" t="s">
        <v>290</v>
      </c>
      <c r="K327" t="s">
        <v>71</v>
      </c>
      <c r="L327" t="s">
        <v>18</v>
      </c>
      <c r="M327">
        <v>5023</v>
      </c>
      <c r="N327" t="s">
        <v>72</v>
      </c>
    </row>
    <row r="328" spans="1:14" x14ac:dyDescent="0.2">
      <c r="A328">
        <v>10574</v>
      </c>
      <c r="B328" t="s">
        <v>383</v>
      </c>
      <c r="C328">
        <v>4</v>
      </c>
      <c r="D328" s="1">
        <v>35600</v>
      </c>
      <c r="E328" s="1">
        <v>35628</v>
      </c>
      <c r="F328" s="1">
        <v>35611</v>
      </c>
      <c r="G328">
        <v>2</v>
      </c>
      <c r="H328" s="2">
        <v>37.6</v>
      </c>
      <c r="I328" t="s">
        <v>384</v>
      </c>
      <c r="J328" t="s">
        <v>385</v>
      </c>
      <c r="K328" t="s">
        <v>386</v>
      </c>
      <c r="L328" t="s">
        <v>115</v>
      </c>
      <c r="M328">
        <v>98034</v>
      </c>
      <c r="N328" t="s">
        <v>86</v>
      </c>
    </row>
    <row r="329" spans="1:14" x14ac:dyDescent="0.2">
      <c r="A329">
        <v>10575</v>
      </c>
      <c r="B329" t="s">
        <v>133</v>
      </c>
      <c r="C329">
        <v>5</v>
      </c>
      <c r="D329" s="1">
        <v>35601</v>
      </c>
      <c r="E329" s="1">
        <v>35615</v>
      </c>
      <c r="F329" s="1">
        <v>35611</v>
      </c>
      <c r="G329">
        <v>1</v>
      </c>
      <c r="H329" s="2">
        <v>127.34</v>
      </c>
      <c r="I329" t="s">
        <v>134</v>
      </c>
      <c r="J329" t="s">
        <v>135</v>
      </c>
      <c r="K329" t="s">
        <v>136</v>
      </c>
      <c r="L329" t="s">
        <v>18</v>
      </c>
      <c r="M329">
        <v>4179</v>
      </c>
      <c r="N329" t="s">
        <v>24</v>
      </c>
    </row>
    <row r="330" spans="1:14" x14ac:dyDescent="0.2">
      <c r="A330">
        <v>10576</v>
      </c>
      <c r="B330" t="s">
        <v>130</v>
      </c>
      <c r="C330">
        <v>3</v>
      </c>
      <c r="D330" s="1">
        <v>35604</v>
      </c>
      <c r="E330" s="1">
        <v>35618</v>
      </c>
      <c r="F330" s="1">
        <v>35611</v>
      </c>
      <c r="G330">
        <v>3</v>
      </c>
      <c r="H330" s="2">
        <v>18.559999999999999</v>
      </c>
      <c r="I330" t="s">
        <v>131</v>
      </c>
      <c r="J330" t="s">
        <v>132</v>
      </c>
      <c r="K330" t="s">
        <v>71</v>
      </c>
      <c r="L330" t="s">
        <v>18</v>
      </c>
      <c r="M330">
        <v>5033</v>
      </c>
      <c r="N330" t="s">
        <v>72</v>
      </c>
    </row>
    <row r="331" spans="1:14" x14ac:dyDescent="0.2">
      <c r="A331">
        <v>10577</v>
      </c>
      <c r="B331" t="s">
        <v>383</v>
      </c>
      <c r="C331">
        <v>9</v>
      </c>
      <c r="D331" s="1">
        <v>35604</v>
      </c>
      <c r="E331" s="1">
        <v>35646</v>
      </c>
      <c r="F331" s="1">
        <v>35611</v>
      </c>
      <c r="G331">
        <v>2</v>
      </c>
      <c r="H331" s="2">
        <v>25.41</v>
      </c>
      <c r="I331" t="s">
        <v>384</v>
      </c>
      <c r="J331" t="s">
        <v>385</v>
      </c>
      <c r="K331" t="s">
        <v>386</v>
      </c>
      <c r="L331" t="s">
        <v>115</v>
      </c>
      <c r="M331">
        <v>98034</v>
      </c>
      <c r="N331" t="s">
        <v>86</v>
      </c>
    </row>
    <row r="332" spans="1:14" x14ac:dyDescent="0.2">
      <c r="A332">
        <v>10578</v>
      </c>
      <c r="B332" t="s">
        <v>164</v>
      </c>
      <c r="C332">
        <v>4</v>
      </c>
      <c r="D332" s="1">
        <v>35605</v>
      </c>
      <c r="E332" s="1">
        <v>35633</v>
      </c>
      <c r="F332" s="1">
        <v>35636</v>
      </c>
      <c r="G332">
        <v>3</v>
      </c>
      <c r="H332" s="2">
        <v>29.6</v>
      </c>
      <c r="I332" t="s">
        <v>165</v>
      </c>
      <c r="J332" t="s">
        <v>166</v>
      </c>
      <c r="K332" t="s">
        <v>167</v>
      </c>
      <c r="L332" t="s">
        <v>18</v>
      </c>
      <c r="M332" t="s">
        <v>168</v>
      </c>
      <c r="N332" t="s">
        <v>169</v>
      </c>
    </row>
    <row r="333" spans="1:14" x14ac:dyDescent="0.2">
      <c r="A333">
        <v>10579</v>
      </c>
      <c r="B333" t="s">
        <v>387</v>
      </c>
      <c r="C333">
        <v>1</v>
      </c>
      <c r="D333" s="1">
        <v>35606</v>
      </c>
      <c r="E333" s="1">
        <v>35634</v>
      </c>
      <c r="F333" s="1">
        <v>35615</v>
      </c>
      <c r="G333">
        <v>2</v>
      </c>
      <c r="H333" s="2">
        <v>13.73</v>
      </c>
      <c r="I333" t="s">
        <v>388</v>
      </c>
      <c r="J333" t="s">
        <v>389</v>
      </c>
      <c r="K333" t="s">
        <v>390</v>
      </c>
      <c r="L333" t="s">
        <v>391</v>
      </c>
      <c r="M333">
        <v>94117</v>
      </c>
      <c r="N333" t="s">
        <v>86</v>
      </c>
    </row>
    <row r="334" spans="1:14" x14ac:dyDescent="0.2">
      <c r="A334">
        <v>10580</v>
      </c>
      <c r="B334" t="s">
        <v>73</v>
      </c>
      <c r="C334">
        <v>4</v>
      </c>
      <c r="D334" s="1">
        <v>35607</v>
      </c>
      <c r="E334" s="1">
        <v>35635</v>
      </c>
      <c r="F334" s="1">
        <v>35612</v>
      </c>
      <c r="G334">
        <v>3</v>
      </c>
      <c r="H334" s="2">
        <v>75.89</v>
      </c>
      <c r="I334" t="s">
        <v>74</v>
      </c>
      <c r="J334" t="s">
        <v>75</v>
      </c>
      <c r="K334" t="s">
        <v>76</v>
      </c>
      <c r="L334" t="s">
        <v>18</v>
      </c>
      <c r="M334">
        <v>50739</v>
      </c>
      <c r="N334" t="s">
        <v>24</v>
      </c>
    </row>
    <row r="335" spans="1:14" x14ac:dyDescent="0.2">
      <c r="A335">
        <v>10581</v>
      </c>
      <c r="B335" t="s">
        <v>258</v>
      </c>
      <c r="C335">
        <v>3</v>
      </c>
      <c r="D335" s="1">
        <v>35607</v>
      </c>
      <c r="E335" s="1">
        <v>35635</v>
      </c>
      <c r="F335" s="1">
        <v>35613</v>
      </c>
      <c r="G335">
        <v>1</v>
      </c>
      <c r="H335" s="2">
        <v>3.01</v>
      </c>
      <c r="I335" t="s">
        <v>259</v>
      </c>
      <c r="J335" t="s">
        <v>260</v>
      </c>
      <c r="K335" t="s">
        <v>173</v>
      </c>
      <c r="L335" t="s">
        <v>55</v>
      </c>
      <c r="M335" t="s">
        <v>261</v>
      </c>
      <c r="N335" t="s">
        <v>31</v>
      </c>
    </row>
    <row r="336" spans="1:14" x14ac:dyDescent="0.2">
      <c r="A336">
        <v>10582</v>
      </c>
      <c r="B336" t="s">
        <v>363</v>
      </c>
      <c r="C336">
        <v>3</v>
      </c>
      <c r="D336" s="1">
        <v>35608</v>
      </c>
      <c r="E336" s="1">
        <v>35636</v>
      </c>
      <c r="F336" s="1">
        <v>35625</v>
      </c>
      <c r="G336">
        <v>2</v>
      </c>
      <c r="H336" s="2">
        <v>27.71</v>
      </c>
      <c r="I336" t="s">
        <v>364</v>
      </c>
      <c r="J336" t="s">
        <v>365</v>
      </c>
      <c r="K336" t="s">
        <v>366</v>
      </c>
      <c r="L336" t="s">
        <v>18</v>
      </c>
      <c r="M336">
        <v>68306</v>
      </c>
      <c r="N336" t="s">
        <v>24</v>
      </c>
    </row>
    <row r="337" spans="1:14" x14ac:dyDescent="0.2">
      <c r="A337">
        <v>10583</v>
      </c>
      <c r="B337" t="s">
        <v>97</v>
      </c>
      <c r="C337">
        <v>2</v>
      </c>
      <c r="D337" s="1">
        <v>35611</v>
      </c>
      <c r="E337" s="1">
        <v>35639</v>
      </c>
      <c r="F337" s="1">
        <v>35615</v>
      </c>
      <c r="G337">
        <v>2</v>
      </c>
      <c r="H337" s="2">
        <v>7.28</v>
      </c>
      <c r="I337" t="s">
        <v>98</v>
      </c>
      <c r="J337" t="s">
        <v>99</v>
      </c>
      <c r="K337" t="s">
        <v>100</v>
      </c>
      <c r="L337" t="s">
        <v>18</v>
      </c>
      <c r="M337">
        <v>90110</v>
      </c>
      <c r="N337" t="s">
        <v>101</v>
      </c>
    </row>
    <row r="338" spans="1:14" x14ac:dyDescent="0.2">
      <c r="A338">
        <v>10584</v>
      </c>
      <c r="B338" t="s">
        <v>93</v>
      </c>
      <c r="C338">
        <v>4</v>
      </c>
      <c r="D338" s="1">
        <v>35611</v>
      </c>
      <c r="E338" s="1">
        <v>35639</v>
      </c>
      <c r="F338" s="1">
        <v>35615</v>
      </c>
      <c r="G338">
        <v>1</v>
      </c>
      <c r="H338" s="2">
        <v>59.14</v>
      </c>
      <c r="I338" t="s">
        <v>94</v>
      </c>
      <c r="J338" t="s">
        <v>95</v>
      </c>
      <c r="K338" t="s">
        <v>96</v>
      </c>
      <c r="L338" t="s">
        <v>18</v>
      </c>
      <c r="M338">
        <v>67000</v>
      </c>
      <c r="N338" t="s">
        <v>19</v>
      </c>
    </row>
    <row r="339" spans="1:14" x14ac:dyDescent="0.2">
      <c r="A339">
        <v>10585</v>
      </c>
      <c r="B339" t="s">
        <v>51</v>
      </c>
      <c r="C339">
        <v>7</v>
      </c>
      <c r="D339" s="1">
        <v>35612</v>
      </c>
      <c r="E339" s="1">
        <v>35640</v>
      </c>
      <c r="F339" s="1">
        <v>35621</v>
      </c>
      <c r="G339">
        <v>1</v>
      </c>
      <c r="H339" s="2">
        <v>13.41</v>
      </c>
      <c r="I339" t="s">
        <v>52</v>
      </c>
      <c r="J339" t="s">
        <v>53</v>
      </c>
      <c r="K339" t="s">
        <v>54</v>
      </c>
      <c r="L339" t="s">
        <v>55</v>
      </c>
      <c r="M339" t="s">
        <v>56</v>
      </c>
      <c r="N339" t="s">
        <v>31</v>
      </c>
    </row>
    <row r="340" spans="1:14" x14ac:dyDescent="0.2">
      <c r="A340">
        <v>10586</v>
      </c>
      <c r="B340" t="s">
        <v>160</v>
      </c>
      <c r="C340">
        <v>9</v>
      </c>
      <c r="D340" s="1">
        <v>35613</v>
      </c>
      <c r="E340" s="1">
        <v>35641</v>
      </c>
      <c r="F340" s="1">
        <v>35620</v>
      </c>
      <c r="G340">
        <v>1</v>
      </c>
      <c r="H340" s="2">
        <v>0.48</v>
      </c>
      <c r="I340" t="s">
        <v>161</v>
      </c>
      <c r="J340" t="s">
        <v>162</v>
      </c>
      <c r="K340" t="s">
        <v>163</v>
      </c>
      <c r="L340" t="s">
        <v>18</v>
      </c>
      <c r="M340">
        <v>42100</v>
      </c>
      <c r="N340" t="s">
        <v>129</v>
      </c>
    </row>
    <row r="341" spans="1:14" x14ac:dyDescent="0.2">
      <c r="A341">
        <v>10587</v>
      </c>
      <c r="B341" t="s">
        <v>77</v>
      </c>
      <c r="C341">
        <v>1</v>
      </c>
      <c r="D341" s="1">
        <v>35613</v>
      </c>
      <c r="E341" s="1">
        <v>35641</v>
      </c>
      <c r="F341" s="1">
        <v>35620</v>
      </c>
      <c r="G341">
        <v>1</v>
      </c>
      <c r="H341" s="2">
        <v>62.52</v>
      </c>
      <c r="I341" t="s">
        <v>78</v>
      </c>
      <c r="J341" t="s">
        <v>79</v>
      </c>
      <c r="K341" t="s">
        <v>28</v>
      </c>
      <c r="L341" t="s">
        <v>29</v>
      </c>
      <c r="M341" t="s">
        <v>80</v>
      </c>
      <c r="N341" t="s">
        <v>31</v>
      </c>
    </row>
    <row r="342" spans="1:14" x14ac:dyDescent="0.2">
      <c r="A342">
        <v>10588</v>
      </c>
      <c r="B342" t="s">
        <v>121</v>
      </c>
      <c r="C342">
        <v>2</v>
      </c>
      <c r="D342" s="1">
        <v>35614</v>
      </c>
      <c r="E342" s="1">
        <v>35642</v>
      </c>
      <c r="F342" s="1">
        <v>35621</v>
      </c>
      <c r="G342">
        <v>3</v>
      </c>
      <c r="H342" s="2">
        <v>194.67</v>
      </c>
      <c r="I342" t="s">
        <v>122</v>
      </c>
      <c r="J342" t="s">
        <v>123</v>
      </c>
      <c r="K342" t="s">
        <v>124</v>
      </c>
      <c r="L342" t="s">
        <v>18</v>
      </c>
      <c r="M342">
        <v>1307</v>
      </c>
      <c r="N342" t="s">
        <v>24</v>
      </c>
    </row>
    <row r="343" spans="1:14" x14ac:dyDescent="0.2">
      <c r="A343">
        <v>10589</v>
      </c>
      <c r="B343" t="s">
        <v>374</v>
      </c>
      <c r="C343">
        <v>8</v>
      </c>
      <c r="D343" s="1">
        <v>35615</v>
      </c>
      <c r="E343" s="1">
        <v>35643</v>
      </c>
      <c r="F343" s="1">
        <v>35625</v>
      </c>
      <c r="G343">
        <v>2</v>
      </c>
      <c r="H343" s="2">
        <v>4.42</v>
      </c>
      <c r="I343" t="s">
        <v>375</v>
      </c>
      <c r="J343" t="s">
        <v>376</v>
      </c>
      <c r="K343" t="s">
        <v>377</v>
      </c>
      <c r="L343" t="s">
        <v>202</v>
      </c>
      <c r="M343">
        <v>97403</v>
      </c>
      <c r="N343" t="s">
        <v>86</v>
      </c>
    </row>
    <row r="344" spans="1:14" x14ac:dyDescent="0.2">
      <c r="A344">
        <v>10590</v>
      </c>
      <c r="B344" t="s">
        <v>243</v>
      </c>
      <c r="C344">
        <v>4</v>
      </c>
      <c r="D344" s="1">
        <v>35618</v>
      </c>
      <c r="E344" s="1">
        <v>35646</v>
      </c>
      <c r="F344" s="1">
        <v>35625</v>
      </c>
      <c r="G344">
        <v>3</v>
      </c>
      <c r="H344" s="2">
        <v>44.77</v>
      </c>
      <c r="I344" t="s">
        <v>244</v>
      </c>
      <c r="J344" t="s">
        <v>245</v>
      </c>
      <c r="K344" t="s">
        <v>246</v>
      </c>
      <c r="L344" t="s">
        <v>247</v>
      </c>
      <c r="M344" t="s">
        <v>248</v>
      </c>
      <c r="N344" t="s">
        <v>249</v>
      </c>
    </row>
    <row r="345" spans="1:14" x14ac:dyDescent="0.2">
      <c r="A345">
        <v>10591</v>
      </c>
      <c r="B345" t="s">
        <v>295</v>
      </c>
      <c r="C345">
        <v>1</v>
      </c>
      <c r="D345" s="1">
        <v>35618</v>
      </c>
      <c r="E345" s="1">
        <v>35632</v>
      </c>
      <c r="F345" s="1">
        <v>35627</v>
      </c>
      <c r="G345">
        <v>1</v>
      </c>
      <c r="H345" s="2">
        <v>55.92</v>
      </c>
      <c r="I345" t="s">
        <v>296</v>
      </c>
      <c r="J345" t="s">
        <v>297</v>
      </c>
      <c r="K345" t="s">
        <v>298</v>
      </c>
      <c r="L345" t="s">
        <v>18</v>
      </c>
      <c r="M345">
        <v>8200</v>
      </c>
      <c r="N345" t="s">
        <v>257</v>
      </c>
    </row>
    <row r="346" spans="1:14" x14ac:dyDescent="0.2">
      <c r="A346">
        <v>10592</v>
      </c>
      <c r="B346" t="s">
        <v>142</v>
      </c>
      <c r="C346">
        <v>3</v>
      </c>
      <c r="D346" s="1">
        <v>35619</v>
      </c>
      <c r="E346" s="1">
        <v>35647</v>
      </c>
      <c r="F346" s="1">
        <v>35627</v>
      </c>
      <c r="G346">
        <v>1</v>
      </c>
      <c r="H346" s="2">
        <v>32.1</v>
      </c>
      <c r="I346" t="s">
        <v>143</v>
      </c>
      <c r="J346" t="s">
        <v>144</v>
      </c>
      <c r="K346" t="s">
        <v>145</v>
      </c>
      <c r="L346" t="s">
        <v>18</v>
      </c>
      <c r="M346">
        <v>60528</v>
      </c>
      <c r="N346" t="s">
        <v>24</v>
      </c>
    </row>
    <row r="347" spans="1:14" x14ac:dyDescent="0.2">
      <c r="A347">
        <v>10593</v>
      </c>
      <c r="B347" t="s">
        <v>142</v>
      </c>
      <c r="C347">
        <v>7</v>
      </c>
      <c r="D347" s="1">
        <v>35620</v>
      </c>
      <c r="E347" s="1">
        <v>35648</v>
      </c>
      <c r="F347" s="1">
        <v>35655</v>
      </c>
      <c r="G347">
        <v>2</v>
      </c>
      <c r="H347" s="2">
        <v>174.2</v>
      </c>
      <c r="I347" t="s">
        <v>143</v>
      </c>
      <c r="J347" t="s">
        <v>144</v>
      </c>
      <c r="K347" t="s">
        <v>145</v>
      </c>
      <c r="L347" t="s">
        <v>18</v>
      </c>
      <c r="M347">
        <v>60528</v>
      </c>
      <c r="N347" t="s">
        <v>24</v>
      </c>
    </row>
    <row r="348" spans="1:14" x14ac:dyDescent="0.2">
      <c r="A348">
        <v>10594</v>
      </c>
      <c r="B348" t="s">
        <v>193</v>
      </c>
      <c r="C348">
        <v>3</v>
      </c>
      <c r="D348" s="1">
        <v>35620</v>
      </c>
      <c r="E348" s="1">
        <v>35648</v>
      </c>
      <c r="F348" s="1">
        <v>35627</v>
      </c>
      <c r="G348">
        <v>2</v>
      </c>
      <c r="H348" s="2">
        <v>5.24</v>
      </c>
      <c r="I348" t="s">
        <v>194</v>
      </c>
      <c r="J348" t="s">
        <v>195</v>
      </c>
      <c r="K348" t="s">
        <v>196</v>
      </c>
      <c r="L348" t="s">
        <v>197</v>
      </c>
      <c r="M348">
        <v>99508</v>
      </c>
      <c r="N348" t="s">
        <v>86</v>
      </c>
    </row>
    <row r="349" spans="1:14" x14ac:dyDescent="0.2">
      <c r="A349">
        <v>10595</v>
      </c>
      <c r="B349" t="s">
        <v>63</v>
      </c>
      <c r="C349">
        <v>2</v>
      </c>
      <c r="D349" s="1">
        <v>35621</v>
      </c>
      <c r="E349" s="1">
        <v>35649</v>
      </c>
      <c r="F349" s="1">
        <v>35625</v>
      </c>
      <c r="G349">
        <v>1</v>
      </c>
      <c r="H349" s="2">
        <v>96.78</v>
      </c>
      <c r="I349" t="s">
        <v>64</v>
      </c>
      <c r="J349" t="s">
        <v>65</v>
      </c>
      <c r="K349" t="s">
        <v>66</v>
      </c>
      <c r="L349" t="s">
        <v>18</v>
      </c>
      <c r="M349">
        <v>8010</v>
      </c>
      <c r="N349" t="s">
        <v>67</v>
      </c>
    </row>
    <row r="350" spans="1:14" x14ac:dyDescent="0.2">
      <c r="A350">
        <v>10596</v>
      </c>
      <c r="B350" t="s">
        <v>111</v>
      </c>
      <c r="C350">
        <v>8</v>
      </c>
      <c r="D350" s="1">
        <v>35622</v>
      </c>
      <c r="E350" s="1">
        <v>35650</v>
      </c>
      <c r="F350" s="1">
        <v>35654</v>
      </c>
      <c r="G350">
        <v>1</v>
      </c>
      <c r="H350" s="2">
        <v>16.34</v>
      </c>
      <c r="I350" t="s">
        <v>112</v>
      </c>
      <c r="J350" t="s">
        <v>113</v>
      </c>
      <c r="K350" t="s">
        <v>114</v>
      </c>
      <c r="L350" t="s">
        <v>115</v>
      </c>
      <c r="M350">
        <v>98124</v>
      </c>
      <c r="N350" t="s">
        <v>86</v>
      </c>
    </row>
    <row r="351" spans="1:14" x14ac:dyDescent="0.2">
      <c r="A351">
        <v>10597</v>
      </c>
      <c r="B351" t="s">
        <v>266</v>
      </c>
      <c r="C351">
        <v>7</v>
      </c>
      <c r="D351" s="1">
        <v>35622</v>
      </c>
      <c r="E351" s="1">
        <v>35650</v>
      </c>
      <c r="F351" s="1">
        <v>35629</v>
      </c>
      <c r="G351">
        <v>3</v>
      </c>
      <c r="H351" s="2">
        <v>35.119999999999997</v>
      </c>
      <c r="I351" t="s">
        <v>267</v>
      </c>
      <c r="J351" t="s">
        <v>268</v>
      </c>
      <c r="K351" t="s">
        <v>269</v>
      </c>
      <c r="L351" t="s">
        <v>18</v>
      </c>
      <c r="M351">
        <v>5020</v>
      </c>
      <c r="N351" t="s">
        <v>67</v>
      </c>
    </row>
    <row r="352" spans="1:14" x14ac:dyDescent="0.2">
      <c r="A352">
        <v>10598</v>
      </c>
      <c r="B352" t="s">
        <v>81</v>
      </c>
      <c r="C352">
        <v>1</v>
      </c>
      <c r="D352" s="1">
        <v>35625</v>
      </c>
      <c r="E352" s="1">
        <v>35653</v>
      </c>
      <c r="F352" s="1">
        <v>35629</v>
      </c>
      <c r="G352">
        <v>3</v>
      </c>
      <c r="H352" s="2">
        <v>44.42</v>
      </c>
      <c r="I352" t="s">
        <v>82</v>
      </c>
      <c r="J352" t="s">
        <v>83</v>
      </c>
      <c r="K352" t="s">
        <v>84</v>
      </c>
      <c r="L352" t="s">
        <v>85</v>
      </c>
      <c r="M352">
        <v>87110</v>
      </c>
      <c r="N352" t="s">
        <v>86</v>
      </c>
    </row>
    <row r="353" spans="1:14" x14ac:dyDescent="0.2">
      <c r="A353">
        <v>10599</v>
      </c>
      <c r="B353" t="s">
        <v>164</v>
      </c>
      <c r="C353">
        <v>6</v>
      </c>
      <c r="D353" s="1">
        <v>35626</v>
      </c>
      <c r="E353" s="1">
        <v>35668</v>
      </c>
      <c r="F353" s="1">
        <v>35632</v>
      </c>
      <c r="G353">
        <v>3</v>
      </c>
      <c r="H353" s="2">
        <v>29.98</v>
      </c>
      <c r="I353" t="s">
        <v>165</v>
      </c>
      <c r="J353" t="s">
        <v>166</v>
      </c>
      <c r="K353" t="s">
        <v>167</v>
      </c>
      <c r="L353" t="s">
        <v>18</v>
      </c>
      <c r="M353" t="s">
        <v>168</v>
      </c>
      <c r="N353" t="s">
        <v>169</v>
      </c>
    </row>
    <row r="354" spans="1:14" x14ac:dyDescent="0.2">
      <c r="A354">
        <v>10600</v>
      </c>
      <c r="B354" t="s">
        <v>309</v>
      </c>
      <c r="C354">
        <v>4</v>
      </c>
      <c r="D354" s="1">
        <v>35627</v>
      </c>
      <c r="E354" s="1">
        <v>35655</v>
      </c>
      <c r="F354" s="1">
        <v>35632</v>
      </c>
      <c r="G354">
        <v>1</v>
      </c>
      <c r="H354" s="2">
        <v>45.13</v>
      </c>
      <c r="I354" t="s">
        <v>310</v>
      </c>
      <c r="J354" t="s">
        <v>311</v>
      </c>
      <c r="K354" t="s">
        <v>312</v>
      </c>
      <c r="L354" t="s">
        <v>202</v>
      </c>
      <c r="M354">
        <v>97827</v>
      </c>
      <c r="N354" t="s">
        <v>86</v>
      </c>
    </row>
    <row r="355" spans="1:14" x14ac:dyDescent="0.2">
      <c r="A355">
        <v>10601</v>
      </c>
      <c r="B355" t="s">
        <v>57</v>
      </c>
      <c r="C355">
        <v>7</v>
      </c>
      <c r="D355" s="1">
        <v>35627</v>
      </c>
      <c r="E355" s="1">
        <v>35669</v>
      </c>
      <c r="F355" s="1">
        <v>35633</v>
      </c>
      <c r="G355">
        <v>1</v>
      </c>
      <c r="H355" s="2">
        <v>58.3</v>
      </c>
      <c r="I355" t="s">
        <v>58</v>
      </c>
      <c r="J355" t="s">
        <v>59</v>
      </c>
      <c r="K355" t="s">
        <v>60</v>
      </c>
      <c r="L355" t="s">
        <v>61</v>
      </c>
      <c r="M355">
        <v>5022</v>
      </c>
      <c r="N355" t="s">
        <v>62</v>
      </c>
    </row>
    <row r="356" spans="1:14" x14ac:dyDescent="0.2">
      <c r="A356">
        <v>10602</v>
      </c>
      <c r="B356" t="s">
        <v>295</v>
      </c>
      <c r="C356">
        <v>8</v>
      </c>
      <c r="D356" s="1">
        <v>35628</v>
      </c>
      <c r="E356" s="1">
        <v>35656</v>
      </c>
      <c r="F356" s="1">
        <v>35633</v>
      </c>
      <c r="G356">
        <v>2</v>
      </c>
      <c r="H356" s="2">
        <v>2.92</v>
      </c>
      <c r="I356" t="s">
        <v>296</v>
      </c>
      <c r="J356" t="s">
        <v>297</v>
      </c>
      <c r="K356" t="s">
        <v>298</v>
      </c>
      <c r="L356" t="s">
        <v>18</v>
      </c>
      <c r="M356">
        <v>8200</v>
      </c>
      <c r="N356" t="s">
        <v>257</v>
      </c>
    </row>
    <row r="357" spans="1:14" x14ac:dyDescent="0.2">
      <c r="A357">
        <v>10603</v>
      </c>
      <c r="B357" t="s">
        <v>226</v>
      </c>
      <c r="C357">
        <v>8</v>
      </c>
      <c r="D357" s="1">
        <v>35629</v>
      </c>
      <c r="E357" s="1">
        <v>35657</v>
      </c>
      <c r="F357" s="1">
        <v>35650</v>
      </c>
      <c r="G357">
        <v>2</v>
      </c>
      <c r="H357" s="2">
        <v>48.77</v>
      </c>
      <c r="I357" t="s">
        <v>227</v>
      </c>
      <c r="J357" t="s">
        <v>228</v>
      </c>
      <c r="K357" t="s">
        <v>229</v>
      </c>
      <c r="L357" t="s">
        <v>230</v>
      </c>
      <c r="M357">
        <v>83720</v>
      </c>
      <c r="N357" t="s">
        <v>86</v>
      </c>
    </row>
    <row r="358" spans="1:14" x14ac:dyDescent="0.2">
      <c r="A358">
        <v>10604</v>
      </c>
      <c r="B358" t="s">
        <v>234</v>
      </c>
      <c r="C358">
        <v>1</v>
      </c>
      <c r="D358" s="1">
        <v>35629</v>
      </c>
      <c r="E358" s="1">
        <v>35657</v>
      </c>
      <c r="F358" s="1">
        <v>35640</v>
      </c>
      <c r="G358">
        <v>1</v>
      </c>
      <c r="H358" s="2">
        <v>7.46</v>
      </c>
      <c r="I358" t="s">
        <v>235</v>
      </c>
      <c r="J358" t="s">
        <v>236</v>
      </c>
      <c r="K358" t="s">
        <v>237</v>
      </c>
      <c r="L358" t="s">
        <v>18</v>
      </c>
      <c r="M358">
        <v>1675</v>
      </c>
      <c r="N358" t="s">
        <v>238</v>
      </c>
    </row>
    <row r="359" spans="1:14" x14ac:dyDescent="0.2">
      <c r="A359">
        <v>10605</v>
      </c>
      <c r="B359" t="s">
        <v>243</v>
      </c>
      <c r="C359">
        <v>1</v>
      </c>
      <c r="D359" s="1">
        <v>35632</v>
      </c>
      <c r="E359" s="1">
        <v>35660</v>
      </c>
      <c r="F359" s="1">
        <v>35640</v>
      </c>
      <c r="G359">
        <v>2</v>
      </c>
      <c r="H359" s="2">
        <v>379.13</v>
      </c>
      <c r="I359" t="s">
        <v>244</v>
      </c>
      <c r="J359" t="s">
        <v>245</v>
      </c>
      <c r="K359" t="s">
        <v>246</v>
      </c>
      <c r="L359" t="s">
        <v>247</v>
      </c>
      <c r="M359" t="s">
        <v>248</v>
      </c>
      <c r="N359" t="s">
        <v>249</v>
      </c>
    </row>
    <row r="360" spans="1:14" x14ac:dyDescent="0.2">
      <c r="A360">
        <v>10606</v>
      </c>
      <c r="B360" t="s">
        <v>175</v>
      </c>
      <c r="C360">
        <v>4</v>
      </c>
      <c r="D360" s="1">
        <v>35633</v>
      </c>
      <c r="E360" s="1">
        <v>35661</v>
      </c>
      <c r="F360" s="1">
        <v>35642</v>
      </c>
      <c r="G360">
        <v>3</v>
      </c>
      <c r="H360" s="2">
        <v>79.400000000000006</v>
      </c>
      <c r="I360" t="s">
        <v>176</v>
      </c>
      <c r="J360" t="s">
        <v>177</v>
      </c>
      <c r="K360" t="s">
        <v>173</v>
      </c>
      <c r="L360" t="s">
        <v>55</v>
      </c>
      <c r="M360" t="s">
        <v>178</v>
      </c>
      <c r="N360" t="s">
        <v>31</v>
      </c>
    </row>
    <row r="361" spans="1:14" x14ac:dyDescent="0.2">
      <c r="A361">
        <v>10607</v>
      </c>
      <c r="B361" t="s">
        <v>226</v>
      </c>
      <c r="C361">
        <v>5</v>
      </c>
      <c r="D361" s="1">
        <v>35633</v>
      </c>
      <c r="E361" s="1">
        <v>35661</v>
      </c>
      <c r="F361" s="1">
        <v>35636</v>
      </c>
      <c r="G361">
        <v>1</v>
      </c>
      <c r="H361" s="2">
        <v>200.24</v>
      </c>
      <c r="I361" t="s">
        <v>227</v>
      </c>
      <c r="J361" t="s">
        <v>228</v>
      </c>
      <c r="K361" t="s">
        <v>229</v>
      </c>
      <c r="L361" t="s">
        <v>230</v>
      </c>
      <c r="M361">
        <v>83720</v>
      </c>
      <c r="N361" t="s">
        <v>86</v>
      </c>
    </row>
    <row r="362" spans="1:14" x14ac:dyDescent="0.2">
      <c r="A362">
        <v>10608</v>
      </c>
      <c r="B362" t="s">
        <v>20</v>
      </c>
      <c r="C362">
        <v>4</v>
      </c>
      <c r="D362" s="1">
        <v>35634</v>
      </c>
      <c r="E362" s="1">
        <v>35662</v>
      </c>
      <c r="F362" s="1">
        <v>35643</v>
      </c>
      <c r="G362">
        <v>2</v>
      </c>
      <c r="H362" s="2">
        <v>27.79</v>
      </c>
      <c r="I362" t="s">
        <v>21</v>
      </c>
      <c r="J362" t="s">
        <v>22</v>
      </c>
      <c r="K362" t="s">
        <v>23</v>
      </c>
      <c r="L362" t="s">
        <v>18</v>
      </c>
      <c r="M362">
        <v>44087</v>
      </c>
      <c r="N362" t="s">
        <v>24</v>
      </c>
    </row>
    <row r="363" spans="1:14" x14ac:dyDescent="0.2">
      <c r="A363">
        <v>10609</v>
      </c>
      <c r="B363" t="s">
        <v>209</v>
      </c>
      <c r="C363">
        <v>7</v>
      </c>
      <c r="D363" s="1">
        <v>35635</v>
      </c>
      <c r="E363" s="1">
        <v>35663</v>
      </c>
      <c r="F363" s="1">
        <v>35641</v>
      </c>
      <c r="G363">
        <v>2</v>
      </c>
      <c r="H363" s="2">
        <v>1.85</v>
      </c>
      <c r="I363" t="s">
        <v>210</v>
      </c>
      <c r="J363" t="s">
        <v>211</v>
      </c>
      <c r="K363" t="s">
        <v>212</v>
      </c>
      <c r="L363" t="s">
        <v>18</v>
      </c>
      <c r="M363">
        <v>44000</v>
      </c>
      <c r="N363" t="s">
        <v>19</v>
      </c>
    </row>
    <row r="364" spans="1:14" x14ac:dyDescent="0.2">
      <c r="A364">
        <v>10610</v>
      </c>
      <c r="B364" t="s">
        <v>262</v>
      </c>
      <c r="C364">
        <v>8</v>
      </c>
      <c r="D364" s="1">
        <v>35636</v>
      </c>
      <c r="E364" s="1">
        <v>35664</v>
      </c>
      <c r="F364" s="1">
        <v>35648</v>
      </c>
      <c r="G364">
        <v>1</v>
      </c>
      <c r="H364" s="2">
        <v>26.78</v>
      </c>
      <c r="I364" t="s">
        <v>263</v>
      </c>
      <c r="J364" t="s">
        <v>264</v>
      </c>
      <c r="K364" t="s">
        <v>265</v>
      </c>
      <c r="L364" t="s">
        <v>18</v>
      </c>
      <c r="M364">
        <v>31000</v>
      </c>
      <c r="N364" t="s">
        <v>19</v>
      </c>
    </row>
    <row r="365" spans="1:14" x14ac:dyDescent="0.2">
      <c r="A365">
        <v>10611</v>
      </c>
      <c r="B365" t="s">
        <v>303</v>
      </c>
      <c r="C365">
        <v>6</v>
      </c>
      <c r="D365" s="1">
        <v>35636</v>
      </c>
      <c r="E365" s="1">
        <v>35664</v>
      </c>
      <c r="F365" s="1">
        <v>35643</v>
      </c>
      <c r="G365">
        <v>2</v>
      </c>
      <c r="H365" s="2">
        <v>80.650000000000006</v>
      </c>
      <c r="I365" t="s">
        <v>304</v>
      </c>
      <c r="J365" t="s">
        <v>305</v>
      </c>
      <c r="K365" t="s">
        <v>306</v>
      </c>
      <c r="L365" t="s">
        <v>18</v>
      </c>
      <c r="M365" t="s">
        <v>307</v>
      </c>
      <c r="N365" t="s">
        <v>308</v>
      </c>
    </row>
    <row r="366" spans="1:14" x14ac:dyDescent="0.2">
      <c r="A366">
        <v>10612</v>
      </c>
      <c r="B366" t="s">
        <v>226</v>
      </c>
      <c r="C366">
        <v>1</v>
      </c>
      <c r="D366" s="1">
        <v>35639</v>
      </c>
      <c r="E366" s="1">
        <v>35667</v>
      </c>
      <c r="F366" s="1">
        <v>35643</v>
      </c>
      <c r="G366">
        <v>2</v>
      </c>
      <c r="H366" s="2">
        <v>544.08000000000004</v>
      </c>
      <c r="I366" t="s">
        <v>227</v>
      </c>
      <c r="J366" t="s">
        <v>228</v>
      </c>
      <c r="K366" t="s">
        <v>229</v>
      </c>
      <c r="L366" t="s">
        <v>230</v>
      </c>
      <c r="M366">
        <v>83720</v>
      </c>
      <c r="N366" t="s">
        <v>86</v>
      </c>
    </row>
    <row r="367" spans="1:14" x14ac:dyDescent="0.2">
      <c r="A367">
        <v>10613</v>
      </c>
      <c r="B367" t="s">
        <v>57</v>
      </c>
      <c r="C367">
        <v>4</v>
      </c>
      <c r="D367" s="1">
        <v>35640</v>
      </c>
      <c r="E367" s="1">
        <v>35668</v>
      </c>
      <c r="F367" s="1">
        <v>35643</v>
      </c>
      <c r="G367">
        <v>2</v>
      </c>
      <c r="H367" s="2">
        <v>8.11</v>
      </c>
      <c r="I367" t="s">
        <v>58</v>
      </c>
      <c r="J367" t="s">
        <v>59</v>
      </c>
      <c r="K367" t="s">
        <v>60</v>
      </c>
      <c r="L367" t="s">
        <v>61</v>
      </c>
      <c r="M367">
        <v>5022</v>
      </c>
      <c r="N367" t="s">
        <v>62</v>
      </c>
    </row>
    <row r="368" spans="1:14" x14ac:dyDescent="0.2">
      <c r="A368">
        <v>10614</v>
      </c>
      <c r="B368" t="s">
        <v>363</v>
      </c>
      <c r="C368">
        <v>8</v>
      </c>
      <c r="D368" s="1">
        <v>35640</v>
      </c>
      <c r="E368" s="1">
        <v>35668</v>
      </c>
      <c r="F368" s="1">
        <v>35643</v>
      </c>
      <c r="G368">
        <v>3</v>
      </c>
      <c r="H368" s="2">
        <v>1.93</v>
      </c>
      <c r="I368" t="s">
        <v>364</v>
      </c>
      <c r="J368" t="s">
        <v>365</v>
      </c>
      <c r="K368" t="s">
        <v>366</v>
      </c>
      <c r="L368" t="s">
        <v>18</v>
      </c>
      <c r="M368">
        <v>68306</v>
      </c>
      <c r="N368" t="s">
        <v>24</v>
      </c>
    </row>
    <row r="369" spans="1:14" x14ac:dyDescent="0.2">
      <c r="A369">
        <v>10615</v>
      </c>
      <c r="B369" t="s">
        <v>392</v>
      </c>
      <c r="C369">
        <v>2</v>
      </c>
      <c r="D369" s="1">
        <v>35641</v>
      </c>
      <c r="E369" s="1">
        <v>35669</v>
      </c>
      <c r="F369" s="1">
        <v>35648</v>
      </c>
      <c r="G369">
        <v>3</v>
      </c>
      <c r="H369" s="2">
        <v>0.75</v>
      </c>
      <c r="I369" t="s">
        <v>393</v>
      </c>
      <c r="J369" t="s">
        <v>394</v>
      </c>
      <c r="K369" t="s">
        <v>395</v>
      </c>
      <c r="L369" t="s">
        <v>18</v>
      </c>
      <c r="M369">
        <v>21240</v>
      </c>
      <c r="N369" t="s">
        <v>101</v>
      </c>
    </row>
    <row r="370" spans="1:14" x14ac:dyDescent="0.2">
      <c r="A370">
        <v>10616</v>
      </c>
      <c r="B370" t="s">
        <v>374</v>
      </c>
      <c r="C370">
        <v>1</v>
      </c>
      <c r="D370" s="1">
        <v>35642</v>
      </c>
      <c r="E370" s="1">
        <v>35670</v>
      </c>
      <c r="F370" s="1">
        <v>35647</v>
      </c>
      <c r="G370">
        <v>2</v>
      </c>
      <c r="H370" s="2">
        <v>116.53</v>
      </c>
      <c r="I370" t="s">
        <v>375</v>
      </c>
      <c r="J370" t="s">
        <v>376</v>
      </c>
      <c r="K370" t="s">
        <v>377</v>
      </c>
      <c r="L370" t="s">
        <v>202</v>
      </c>
      <c r="M370">
        <v>97403</v>
      </c>
      <c r="N370" t="s">
        <v>86</v>
      </c>
    </row>
    <row r="371" spans="1:14" x14ac:dyDescent="0.2">
      <c r="A371">
        <v>10617</v>
      </c>
      <c r="B371" t="s">
        <v>374</v>
      </c>
      <c r="C371">
        <v>4</v>
      </c>
      <c r="D371" s="1">
        <v>35642</v>
      </c>
      <c r="E371" s="1">
        <v>35670</v>
      </c>
      <c r="F371" s="1">
        <v>35646</v>
      </c>
      <c r="G371">
        <v>2</v>
      </c>
      <c r="H371" s="2">
        <v>18.53</v>
      </c>
      <c r="I371" t="s">
        <v>375</v>
      </c>
      <c r="J371" t="s">
        <v>376</v>
      </c>
      <c r="K371" t="s">
        <v>377</v>
      </c>
      <c r="L371" t="s">
        <v>202</v>
      </c>
      <c r="M371">
        <v>97403</v>
      </c>
      <c r="N371" t="s">
        <v>86</v>
      </c>
    </row>
    <row r="372" spans="1:14" x14ac:dyDescent="0.2">
      <c r="A372">
        <v>10618</v>
      </c>
      <c r="B372" t="s">
        <v>243</v>
      </c>
      <c r="C372">
        <v>1</v>
      </c>
      <c r="D372" s="1">
        <v>35643</v>
      </c>
      <c r="E372" s="1">
        <v>35685</v>
      </c>
      <c r="F372" s="1">
        <v>35650</v>
      </c>
      <c r="G372">
        <v>1</v>
      </c>
      <c r="H372" s="2">
        <v>154.68</v>
      </c>
      <c r="I372" t="s">
        <v>244</v>
      </c>
      <c r="J372" t="s">
        <v>245</v>
      </c>
      <c r="K372" t="s">
        <v>246</v>
      </c>
      <c r="L372" t="s">
        <v>247</v>
      </c>
      <c r="M372" t="s">
        <v>248</v>
      </c>
      <c r="N372" t="s">
        <v>249</v>
      </c>
    </row>
    <row r="373" spans="1:14" x14ac:dyDescent="0.2">
      <c r="A373">
        <v>10619</v>
      </c>
      <c r="B373" t="s">
        <v>243</v>
      </c>
      <c r="C373">
        <v>3</v>
      </c>
      <c r="D373" s="1">
        <v>35646</v>
      </c>
      <c r="E373" s="1">
        <v>35674</v>
      </c>
      <c r="F373" s="1">
        <v>35649</v>
      </c>
      <c r="G373">
        <v>3</v>
      </c>
      <c r="H373" s="2">
        <v>91.05</v>
      </c>
      <c r="I373" t="s">
        <v>244</v>
      </c>
      <c r="J373" t="s">
        <v>245</v>
      </c>
      <c r="K373" t="s">
        <v>246</v>
      </c>
      <c r="L373" t="s">
        <v>247</v>
      </c>
      <c r="M373" t="s">
        <v>248</v>
      </c>
      <c r="N373" t="s">
        <v>249</v>
      </c>
    </row>
    <row r="374" spans="1:14" x14ac:dyDescent="0.2">
      <c r="A374">
        <v>10620</v>
      </c>
      <c r="B374" t="s">
        <v>358</v>
      </c>
      <c r="C374">
        <v>2</v>
      </c>
      <c r="D374" s="1">
        <v>35647</v>
      </c>
      <c r="E374" s="1">
        <v>35675</v>
      </c>
      <c r="F374" s="1">
        <v>35656</v>
      </c>
      <c r="G374">
        <v>3</v>
      </c>
      <c r="H374" s="2">
        <v>0.94</v>
      </c>
      <c r="I374" t="s">
        <v>359</v>
      </c>
      <c r="J374" t="s">
        <v>360</v>
      </c>
      <c r="K374" t="s">
        <v>361</v>
      </c>
      <c r="L374" t="s">
        <v>322</v>
      </c>
      <c r="M374" t="s">
        <v>362</v>
      </c>
      <c r="N374" t="s">
        <v>249</v>
      </c>
    </row>
    <row r="375" spans="1:14" x14ac:dyDescent="0.2">
      <c r="A375">
        <v>10621</v>
      </c>
      <c r="B375" t="s">
        <v>213</v>
      </c>
      <c r="C375">
        <v>4</v>
      </c>
      <c r="D375" s="1">
        <v>35647</v>
      </c>
      <c r="E375" s="1">
        <v>35675</v>
      </c>
      <c r="F375" s="1">
        <v>35653</v>
      </c>
      <c r="G375">
        <v>2</v>
      </c>
      <c r="H375" s="2">
        <v>23.73</v>
      </c>
      <c r="I375" t="s">
        <v>214</v>
      </c>
      <c r="J375" t="s">
        <v>215</v>
      </c>
      <c r="K375" t="s">
        <v>216</v>
      </c>
      <c r="L375" t="s">
        <v>217</v>
      </c>
      <c r="M375" t="s">
        <v>218</v>
      </c>
      <c r="N375" t="s">
        <v>169</v>
      </c>
    </row>
    <row r="376" spans="1:14" x14ac:dyDescent="0.2">
      <c r="A376">
        <v>10622</v>
      </c>
      <c r="B376" t="s">
        <v>156</v>
      </c>
      <c r="C376">
        <v>4</v>
      </c>
      <c r="D376" s="1">
        <v>35648</v>
      </c>
      <c r="E376" s="1">
        <v>35676</v>
      </c>
      <c r="F376" s="1">
        <v>35653</v>
      </c>
      <c r="G376">
        <v>3</v>
      </c>
      <c r="H376" s="2">
        <v>50.97</v>
      </c>
      <c r="I376" t="s">
        <v>157</v>
      </c>
      <c r="J376" t="s">
        <v>158</v>
      </c>
      <c r="K376" t="s">
        <v>28</v>
      </c>
      <c r="L376" t="s">
        <v>29</v>
      </c>
      <c r="M376" t="s">
        <v>159</v>
      </c>
      <c r="N376" t="s">
        <v>31</v>
      </c>
    </row>
    <row r="377" spans="1:14" x14ac:dyDescent="0.2">
      <c r="A377">
        <v>10623</v>
      </c>
      <c r="B377" t="s">
        <v>102</v>
      </c>
      <c r="C377">
        <v>8</v>
      </c>
      <c r="D377" s="1">
        <v>35649</v>
      </c>
      <c r="E377" s="1">
        <v>35677</v>
      </c>
      <c r="F377" s="1">
        <v>35654</v>
      </c>
      <c r="G377">
        <v>2</v>
      </c>
      <c r="H377" s="2">
        <v>97.18</v>
      </c>
      <c r="I377" t="s">
        <v>103</v>
      </c>
      <c r="J377" t="s">
        <v>104</v>
      </c>
      <c r="K377" t="s">
        <v>105</v>
      </c>
      <c r="L377" t="s">
        <v>18</v>
      </c>
      <c r="M377">
        <v>80805</v>
      </c>
      <c r="N377" t="s">
        <v>24</v>
      </c>
    </row>
    <row r="378" spans="1:14" x14ac:dyDescent="0.2">
      <c r="A378">
        <v>10624</v>
      </c>
      <c r="B378" t="s">
        <v>396</v>
      </c>
      <c r="C378">
        <v>4</v>
      </c>
      <c r="D378" s="1">
        <v>35649</v>
      </c>
      <c r="E378" s="1">
        <v>35677</v>
      </c>
      <c r="F378" s="1">
        <v>35661</v>
      </c>
      <c r="G378">
        <v>2</v>
      </c>
      <c r="H378" s="2">
        <v>94.8</v>
      </c>
      <c r="I378" t="s">
        <v>397</v>
      </c>
      <c r="J378" t="s">
        <v>398</v>
      </c>
      <c r="K378" t="s">
        <v>399</v>
      </c>
      <c r="L378" t="s">
        <v>400</v>
      </c>
      <c r="M378">
        <v>59801</v>
      </c>
      <c r="N378" t="s">
        <v>86</v>
      </c>
    </row>
    <row r="379" spans="1:14" x14ac:dyDescent="0.2">
      <c r="A379">
        <v>10625</v>
      </c>
      <c r="B379" t="s">
        <v>203</v>
      </c>
      <c r="C379">
        <v>3</v>
      </c>
      <c r="D379" s="1">
        <v>35650</v>
      </c>
      <c r="E379" s="1">
        <v>35678</v>
      </c>
      <c r="F379" s="1">
        <v>35656</v>
      </c>
      <c r="G379">
        <v>1</v>
      </c>
      <c r="H379" s="2">
        <v>43.9</v>
      </c>
      <c r="I379" t="s">
        <v>204</v>
      </c>
      <c r="J379" t="s">
        <v>205</v>
      </c>
      <c r="K379" t="s">
        <v>71</v>
      </c>
      <c r="L379" t="s">
        <v>18</v>
      </c>
      <c r="M379">
        <v>5021</v>
      </c>
      <c r="N379" t="s">
        <v>72</v>
      </c>
    </row>
    <row r="380" spans="1:14" x14ac:dyDescent="0.2">
      <c r="A380">
        <v>10626</v>
      </c>
      <c r="B380" t="s">
        <v>137</v>
      </c>
      <c r="C380">
        <v>1</v>
      </c>
      <c r="D380" s="1">
        <v>35653</v>
      </c>
      <c r="E380" s="1">
        <v>35681</v>
      </c>
      <c r="F380" s="1">
        <v>35662</v>
      </c>
      <c r="G380">
        <v>2</v>
      </c>
      <c r="H380" s="2">
        <v>138.69</v>
      </c>
      <c r="I380" t="s">
        <v>138</v>
      </c>
      <c r="J380" t="s">
        <v>139</v>
      </c>
      <c r="K380" t="s">
        <v>140</v>
      </c>
      <c r="L380" t="s">
        <v>18</v>
      </c>
      <c r="M380" t="s">
        <v>141</v>
      </c>
      <c r="N380" t="s">
        <v>92</v>
      </c>
    </row>
    <row r="381" spans="1:14" x14ac:dyDescent="0.2">
      <c r="A381">
        <v>10627</v>
      </c>
      <c r="B381" t="s">
        <v>226</v>
      </c>
      <c r="C381">
        <v>8</v>
      </c>
      <c r="D381" s="1">
        <v>35653</v>
      </c>
      <c r="E381" s="1">
        <v>35695</v>
      </c>
      <c r="F381" s="1">
        <v>35663</v>
      </c>
      <c r="G381">
        <v>3</v>
      </c>
      <c r="H381" s="2">
        <v>107.46</v>
      </c>
      <c r="I381" t="s">
        <v>227</v>
      </c>
      <c r="J381" t="s">
        <v>228</v>
      </c>
      <c r="K381" t="s">
        <v>229</v>
      </c>
      <c r="L381" t="s">
        <v>230</v>
      </c>
      <c r="M381">
        <v>83720</v>
      </c>
      <c r="N381" t="s">
        <v>86</v>
      </c>
    </row>
    <row r="382" spans="1:14" x14ac:dyDescent="0.2">
      <c r="A382">
        <v>10628</v>
      </c>
      <c r="B382" t="s">
        <v>93</v>
      </c>
      <c r="C382">
        <v>4</v>
      </c>
      <c r="D382" s="1">
        <v>35654</v>
      </c>
      <c r="E382" s="1">
        <v>35682</v>
      </c>
      <c r="F382" s="1">
        <v>35662</v>
      </c>
      <c r="G382">
        <v>3</v>
      </c>
      <c r="H382" s="2">
        <v>30.36</v>
      </c>
      <c r="I382" t="s">
        <v>94</v>
      </c>
      <c r="J382" t="s">
        <v>95</v>
      </c>
      <c r="K382" t="s">
        <v>96</v>
      </c>
      <c r="L382" t="s">
        <v>18</v>
      </c>
      <c r="M382">
        <v>67000</v>
      </c>
      <c r="N382" t="s">
        <v>19</v>
      </c>
    </row>
    <row r="383" spans="1:14" x14ac:dyDescent="0.2">
      <c r="A383">
        <v>10629</v>
      </c>
      <c r="B383" t="s">
        <v>189</v>
      </c>
      <c r="C383">
        <v>4</v>
      </c>
      <c r="D383" s="1">
        <v>35654</v>
      </c>
      <c r="E383" s="1">
        <v>35682</v>
      </c>
      <c r="F383" s="1">
        <v>35662</v>
      </c>
      <c r="G383">
        <v>3</v>
      </c>
      <c r="H383" s="2">
        <v>85.46</v>
      </c>
      <c r="I383" t="s">
        <v>190</v>
      </c>
      <c r="J383" t="s">
        <v>191</v>
      </c>
      <c r="K383" t="s">
        <v>192</v>
      </c>
      <c r="L383" t="s">
        <v>18</v>
      </c>
      <c r="M383">
        <v>41101</v>
      </c>
      <c r="N383" t="s">
        <v>150</v>
      </c>
    </row>
    <row r="384" spans="1:14" x14ac:dyDescent="0.2">
      <c r="A384">
        <v>10630</v>
      </c>
      <c r="B384" t="s">
        <v>222</v>
      </c>
      <c r="C384">
        <v>1</v>
      </c>
      <c r="D384" s="1">
        <v>35655</v>
      </c>
      <c r="E384" s="1">
        <v>35683</v>
      </c>
      <c r="F384" s="1">
        <v>35661</v>
      </c>
      <c r="G384">
        <v>2</v>
      </c>
      <c r="H384" s="2">
        <v>32.35</v>
      </c>
      <c r="I384" t="s">
        <v>223</v>
      </c>
      <c r="J384" t="s">
        <v>224</v>
      </c>
      <c r="K384" t="s">
        <v>225</v>
      </c>
      <c r="L384" t="s">
        <v>18</v>
      </c>
      <c r="M384">
        <v>14776</v>
      </c>
      <c r="N384" t="s">
        <v>24</v>
      </c>
    </row>
    <row r="385" spans="1:14" x14ac:dyDescent="0.2">
      <c r="A385">
        <v>10631</v>
      </c>
      <c r="B385" t="s">
        <v>262</v>
      </c>
      <c r="C385">
        <v>8</v>
      </c>
      <c r="D385" s="1">
        <v>35656</v>
      </c>
      <c r="E385" s="1">
        <v>35684</v>
      </c>
      <c r="F385" s="1">
        <v>35657</v>
      </c>
      <c r="G385">
        <v>1</v>
      </c>
      <c r="H385" s="2">
        <v>0.87</v>
      </c>
      <c r="I385" t="s">
        <v>263</v>
      </c>
      <c r="J385" t="s">
        <v>264</v>
      </c>
      <c r="K385" t="s">
        <v>265</v>
      </c>
      <c r="L385" t="s">
        <v>18</v>
      </c>
      <c r="M385">
        <v>31000</v>
      </c>
      <c r="N385" t="s">
        <v>19</v>
      </c>
    </row>
    <row r="386" spans="1:14" x14ac:dyDescent="0.2">
      <c r="A386">
        <v>10632</v>
      </c>
      <c r="B386" t="s">
        <v>185</v>
      </c>
      <c r="C386">
        <v>8</v>
      </c>
      <c r="D386" s="1">
        <v>35656</v>
      </c>
      <c r="E386" s="1">
        <v>35684</v>
      </c>
      <c r="F386" s="1">
        <v>35661</v>
      </c>
      <c r="G386">
        <v>1</v>
      </c>
      <c r="H386" s="2">
        <v>41.38</v>
      </c>
      <c r="I386" t="s">
        <v>186</v>
      </c>
      <c r="J386" t="s">
        <v>187</v>
      </c>
      <c r="K386" t="s">
        <v>188</v>
      </c>
      <c r="L386" t="s">
        <v>18</v>
      </c>
      <c r="M386">
        <v>70563</v>
      </c>
      <c r="N386" t="s">
        <v>24</v>
      </c>
    </row>
    <row r="387" spans="1:14" x14ac:dyDescent="0.2">
      <c r="A387">
        <v>10633</v>
      </c>
      <c r="B387" t="s">
        <v>63</v>
      </c>
      <c r="C387">
        <v>7</v>
      </c>
      <c r="D387" s="1">
        <v>35657</v>
      </c>
      <c r="E387" s="1">
        <v>35685</v>
      </c>
      <c r="F387" s="1">
        <v>35660</v>
      </c>
      <c r="G387">
        <v>3</v>
      </c>
      <c r="H387" s="2">
        <v>477.9</v>
      </c>
      <c r="I387" t="s">
        <v>64</v>
      </c>
      <c r="J387" t="s">
        <v>65</v>
      </c>
      <c r="K387" t="s">
        <v>66</v>
      </c>
      <c r="L387" t="s">
        <v>18</v>
      </c>
      <c r="M387">
        <v>8010</v>
      </c>
      <c r="N387" t="s">
        <v>67</v>
      </c>
    </row>
    <row r="388" spans="1:14" x14ac:dyDescent="0.2">
      <c r="A388">
        <v>10634</v>
      </c>
      <c r="B388" t="s">
        <v>329</v>
      </c>
      <c r="C388">
        <v>4</v>
      </c>
      <c r="D388" s="1">
        <v>35657</v>
      </c>
      <c r="E388" s="1">
        <v>35685</v>
      </c>
      <c r="F388" s="1">
        <v>35663</v>
      </c>
      <c r="G388">
        <v>3</v>
      </c>
      <c r="H388" s="2">
        <v>487.38</v>
      </c>
      <c r="I388" t="s">
        <v>330</v>
      </c>
      <c r="J388" t="s">
        <v>331</v>
      </c>
      <c r="K388" t="s">
        <v>332</v>
      </c>
      <c r="L388" t="s">
        <v>18</v>
      </c>
      <c r="M388">
        <v>59000</v>
      </c>
      <c r="N388" t="s">
        <v>19</v>
      </c>
    </row>
    <row r="389" spans="1:14" x14ac:dyDescent="0.2">
      <c r="A389">
        <v>10635</v>
      </c>
      <c r="B389" t="s">
        <v>125</v>
      </c>
      <c r="C389">
        <v>8</v>
      </c>
      <c r="D389" s="1">
        <v>35660</v>
      </c>
      <c r="E389" s="1">
        <v>35688</v>
      </c>
      <c r="F389" s="1">
        <v>35663</v>
      </c>
      <c r="G389">
        <v>3</v>
      </c>
      <c r="H389" s="2">
        <v>47.46</v>
      </c>
      <c r="I389" t="s">
        <v>126</v>
      </c>
      <c r="J389" t="s">
        <v>127</v>
      </c>
      <c r="K389" t="s">
        <v>128</v>
      </c>
      <c r="L389" t="s">
        <v>18</v>
      </c>
      <c r="M389">
        <v>24100</v>
      </c>
      <c r="N389" t="s">
        <v>129</v>
      </c>
    </row>
    <row r="390" spans="1:14" x14ac:dyDescent="0.2">
      <c r="A390">
        <v>10636</v>
      </c>
      <c r="B390" t="s">
        <v>97</v>
      </c>
      <c r="C390">
        <v>4</v>
      </c>
      <c r="D390" s="1">
        <v>35661</v>
      </c>
      <c r="E390" s="1">
        <v>35689</v>
      </c>
      <c r="F390" s="1">
        <v>35668</v>
      </c>
      <c r="G390">
        <v>1</v>
      </c>
      <c r="H390" s="2">
        <v>1.1499999999999999</v>
      </c>
      <c r="I390" t="s">
        <v>98</v>
      </c>
      <c r="J390" t="s">
        <v>99</v>
      </c>
      <c r="K390" t="s">
        <v>100</v>
      </c>
      <c r="L390" t="s">
        <v>18</v>
      </c>
      <c r="M390">
        <v>90110</v>
      </c>
      <c r="N390" t="s">
        <v>101</v>
      </c>
    </row>
    <row r="391" spans="1:14" x14ac:dyDescent="0.2">
      <c r="A391">
        <v>10637</v>
      </c>
      <c r="B391" t="s">
        <v>299</v>
      </c>
      <c r="C391">
        <v>6</v>
      </c>
      <c r="D391" s="1">
        <v>35661</v>
      </c>
      <c r="E391" s="1">
        <v>35689</v>
      </c>
      <c r="F391" s="1">
        <v>35668</v>
      </c>
      <c r="G391">
        <v>1</v>
      </c>
      <c r="H391" s="2">
        <v>201.29</v>
      </c>
      <c r="I391" t="s">
        <v>300</v>
      </c>
      <c r="J391" t="s">
        <v>301</v>
      </c>
      <c r="K391" t="s">
        <v>173</v>
      </c>
      <c r="L391" t="s">
        <v>55</v>
      </c>
      <c r="M391" t="s">
        <v>302</v>
      </c>
      <c r="N391" t="s">
        <v>31</v>
      </c>
    </row>
    <row r="392" spans="1:14" x14ac:dyDescent="0.2">
      <c r="A392">
        <v>10638</v>
      </c>
      <c r="B392" t="s">
        <v>324</v>
      </c>
      <c r="C392">
        <v>3</v>
      </c>
      <c r="D392" s="1">
        <v>35662</v>
      </c>
      <c r="E392" s="1">
        <v>35690</v>
      </c>
      <c r="F392" s="1">
        <v>35674</v>
      </c>
      <c r="G392">
        <v>1</v>
      </c>
      <c r="H392" s="2">
        <v>158.44</v>
      </c>
      <c r="I392" t="s">
        <v>325</v>
      </c>
      <c r="J392" t="s">
        <v>326</v>
      </c>
      <c r="K392" t="s">
        <v>327</v>
      </c>
      <c r="L392" t="s">
        <v>328</v>
      </c>
      <c r="M392">
        <v>4980</v>
      </c>
      <c r="N392" t="s">
        <v>62</v>
      </c>
    </row>
    <row r="393" spans="1:14" x14ac:dyDescent="0.2">
      <c r="A393">
        <v>10639</v>
      </c>
      <c r="B393" t="s">
        <v>313</v>
      </c>
      <c r="C393">
        <v>7</v>
      </c>
      <c r="D393" s="1">
        <v>35662</v>
      </c>
      <c r="E393" s="1">
        <v>35690</v>
      </c>
      <c r="F393" s="1">
        <v>35669</v>
      </c>
      <c r="G393">
        <v>3</v>
      </c>
      <c r="H393" s="2">
        <v>38.64</v>
      </c>
      <c r="I393" t="s">
        <v>314</v>
      </c>
      <c r="J393" t="s">
        <v>315</v>
      </c>
      <c r="K393" t="s">
        <v>316</v>
      </c>
      <c r="L393" t="s">
        <v>18</v>
      </c>
      <c r="M393">
        <v>4110</v>
      </c>
      <c r="N393" t="s">
        <v>317</v>
      </c>
    </row>
    <row r="394" spans="1:14" x14ac:dyDescent="0.2">
      <c r="A394">
        <v>10640</v>
      </c>
      <c r="B394" t="s">
        <v>185</v>
      </c>
      <c r="C394">
        <v>4</v>
      </c>
      <c r="D394" s="1">
        <v>35663</v>
      </c>
      <c r="E394" s="1">
        <v>35691</v>
      </c>
      <c r="F394" s="1">
        <v>35670</v>
      </c>
      <c r="G394">
        <v>1</v>
      </c>
      <c r="H394" s="2">
        <v>23.55</v>
      </c>
      <c r="I394" t="s">
        <v>186</v>
      </c>
      <c r="J394" t="s">
        <v>187</v>
      </c>
      <c r="K394" t="s">
        <v>188</v>
      </c>
      <c r="L394" t="s">
        <v>18</v>
      </c>
      <c r="M394">
        <v>70563</v>
      </c>
      <c r="N394" t="s">
        <v>24</v>
      </c>
    </row>
    <row r="395" spans="1:14" x14ac:dyDescent="0.2">
      <c r="A395">
        <v>10641</v>
      </c>
      <c r="B395" t="s">
        <v>57</v>
      </c>
      <c r="C395">
        <v>4</v>
      </c>
      <c r="D395" s="1">
        <v>35664</v>
      </c>
      <c r="E395" s="1">
        <v>35692</v>
      </c>
      <c r="F395" s="1">
        <v>35668</v>
      </c>
      <c r="G395">
        <v>2</v>
      </c>
      <c r="H395" s="2">
        <v>179.61</v>
      </c>
      <c r="I395" t="s">
        <v>58</v>
      </c>
      <c r="J395" t="s">
        <v>59</v>
      </c>
      <c r="K395" t="s">
        <v>60</v>
      </c>
      <c r="L395" t="s">
        <v>61</v>
      </c>
      <c r="M395">
        <v>5022</v>
      </c>
      <c r="N395" t="s">
        <v>62</v>
      </c>
    </row>
    <row r="396" spans="1:14" x14ac:dyDescent="0.2">
      <c r="A396">
        <v>10642</v>
      </c>
      <c r="B396" t="s">
        <v>253</v>
      </c>
      <c r="C396">
        <v>7</v>
      </c>
      <c r="D396" s="1">
        <v>35664</v>
      </c>
      <c r="E396" s="1">
        <v>35692</v>
      </c>
      <c r="F396" s="1">
        <v>35678</v>
      </c>
      <c r="G396">
        <v>3</v>
      </c>
      <c r="H396" s="2">
        <v>41.89</v>
      </c>
      <c r="I396" t="s">
        <v>254</v>
      </c>
      <c r="J396" t="s">
        <v>255</v>
      </c>
      <c r="K396" t="s">
        <v>256</v>
      </c>
      <c r="L396" t="s">
        <v>18</v>
      </c>
      <c r="M396">
        <v>1734</v>
      </c>
      <c r="N396" t="s">
        <v>257</v>
      </c>
    </row>
    <row r="397" spans="1:14" x14ac:dyDescent="0.2">
      <c r="A397">
        <v>10643</v>
      </c>
      <c r="B397" t="s">
        <v>401</v>
      </c>
      <c r="C397">
        <v>6</v>
      </c>
      <c r="D397" s="1">
        <v>35667</v>
      </c>
      <c r="E397" s="1">
        <v>35695</v>
      </c>
      <c r="F397" s="1">
        <v>35675</v>
      </c>
      <c r="G397">
        <v>1</v>
      </c>
      <c r="H397" s="2">
        <v>29.46</v>
      </c>
      <c r="I397" t="s">
        <v>402</v>
      </c>
      <c r="J397" t="s">
        <v>403</v>
      </c>
      <c r="K397" t="s">
        <v>404</v>
      </c>
      <c r="L397" t="s">
        <v>18</v>
      </c>
      <c r="M397">
        <v>12209</v>
      </c>
      <c r="N397" t="s">
        <v>24</v>
      </c>
    </row>
    <row r="398" spans="1:14" x14ac:dyDescent="0.2">
      <c r="A398">
        <v>10644</v>
      </c>
      <c r="B398" t="s">
        <v>51</v>
      </c>
      <c r="C398">
        <v>3</v>
      </c>
      <c r="D398" s="1">
        <v>35667</v>
      </c>
      <c r="E398" s="1">
        <v>35695</v>
      </c>
      <c r="F398" s="1">
        <v>35674</v>
      </c>
      <c r="G398">
        <v>2</v>
      </c>
      <c r="H398" s="2">
        <v>0.14000000000000001</v>
      </c>
      <c r="I398" t="s">
        <v>52</v>
      </c>
      <c r="J398" t="s">
        <v>53</v>
      </c>
      <c r="K398" t="s">
        <v>54</v>
      </c>
      <c r="L398" t="s">
        <v>55</v>
      </c>
      <c r="M398" t="s">
        <v>56</v>
      </c>
      <c r="N398" t="s">
        <v>31</v>
      </c>
    </row>
    <row r="399" spans="1:14" x14ac:dyDescent="0.2">
      <c r="A399">
        <v>10645</v>
      </c>
      <c r="B399" t="s">
        <v>25</v>
      </c>
      <c r="C399">
        <v>4</v>
      </c>
      <c r="D399" s="1">
        <v>35668</v>
      </c>
      <c r="E399" s="1">
        <v>35696</v>
      </c>
      <c r="F399" s="1">
        <v>35675</v>
      </c>
      <c r="G399">
        <v>1</v>
      </c>
      <c r="H399" s="2">
        <v>12.41</v>
      </c>
      <c r="I399" t="s">
        <v>26</v>
      </c>
      <c r="J399" t="s">
        <v>27</v>
      </c>
      <c r="K399" t="s">
        <v>28</v>
      </c>
      <c r="L399" t="s">
        <v>29</v>
      </c>
      <c r="M399" t="s">
        <v>30</v>
      </c>
      <c r="N399" t="s">
        <v>31</v>
      </c>
    </row>
    <row r="400" spans="1:14" x14ac:dyDescent="0.2">
      <c r="A400">
        <v>10646</v>
      </c>
      <c r="B400" t="s">
        <v>179</v>
      </c>
      <c r="C400">
        <v>9</v>
      </c>
      <c r="D400" s="1">
        <v>35669</v>
      </c>
      <c r="E400" s="1">
        <v>35711</v>
      </c>
      <c r="F400" s="1">
        <v>35676</v>
      </c>
      <c r="G400">
        <v>3</v>
      </c>
      <c r="H400" s="2">
        <v>142.33000000000001</v>
      </c>
      <c r="I400" t="s">
        <v>180</v>
      </c>
      <c r="J400" t="s">
        <v>181</v>
      </c>
      <c r="K400" t="s">
        <v>182</v>
      </c>
      <c r="L400" t="s">
        <v>183</v>
      </c>
      <c r="M400" t="s">
        <v>18</v>
      </c>
      <c r="N400" t="s">
        <v>184</v>
      </c>
    </row>
    <row r="401" spans="1:14" x14ac:dyDescent="0.2">
      <c r="A401">
        <v>10647</v>
      </c>
      <c r="B401" t="s">
        <v>77</v>
      </c>
      <c r="C401">
        <v>4</v>
      </c>
      <c r="D401" s="1">
        <v>35669</v>
      </c>
      <c r="E401" s="1">
        <v>35683</v>
      </c>
      <c r="F401" s="1">
        <v>35676</v>
      </c>
      <c r="G401">
        <v>2</v>
      </c>
      <c r="H401" s="2">
        <v>45.54</v>
      </c>
      <c r="I401" t="s">
        <v>78</v>
      </c>
      <c r="J401" t="s">
        <v>79</v>
      </c>
      <c r="K401" t="s">
        <v>28</v>
      </c>
      <c r="L401" t="s">
        <v>29</v>
      </c>
      <c r="M401" t="s">
        <v>80</v>
      </c>
      <c r="N401" t="s">
        <v>31</v>
      </c>
    </row>
    <row r="402" spans="1:14" x14ac:dyDescent="0.2">
      <c r="A402">
        <v>10648</v>
      </c>
      <c r="B402" t="s">
        <v>156</v>
      </c>
      <c r="C402">
        <v>5</v>
      </c>
      <c r="D402" s="1">
        <v>35670</v>
      </c>
      <c r="E402" s="1">
        <v>35712</v>
      </c>
      <c r="F402" s="1">
        <v>35682</v>
      </c>
      <c r="G402">
        <v>2</v>
      </c>
      <c r="H402" s="2">
        <v>14.25</v>
      </c>
      <c r="I402" t="s">
        <v>157</v>
      </c>
      <c r="J402" t="s">
        <v>158</v>
      </c>
      <c r="K402" t="s">
        <v>28</v>
      </c>
      <c r="L402" t="s">
        <v>29</v>
      </c>
      <c r="M402" t="s">
        <v>159</v>
      </c>
      <c r="N402" t="s">
        <v>31</v>
      </c>
    </row>
    <row r="403" spans="1:14" x14ac:dyDescent="0.2">
      <c r="A403">
        <v>10649</v>
      </c>
      <c r="B403" t="s">
        <v>378</v>
      </c>
      <c r="C403">
        <v>5</v>
      </c>
      <c r="D403" s="1">
        <v>35670</v>
      </c>
      <c r="E403" s="1">
        <v>35698</v>
      </c>
      <c r="F403" s="1">
        <v>35671</v>
      </c>
      <c r="G403">
        <v>3</v>
      </c>
      <c r="H403" s="2">
        <v>6.2</v>
      </c>
      <c r="I403" t="s">
        <v>379</v>
      </c>
      <c r="J403" t="s">
        <v>380</v>
      </c>
      <c r="K403" t="s">
        <v>381</v>
      </c>
      <c r="L403" t="s">
        <v>18</v>
      </c>
      <c r="M403" t="s">
        <v>382</v>
      </c>
      <c r="N403" t="s">
        <v>41</v>
      </c>
    </row>
    <row r="404" spans="1:14" x14ac:dyDescent="0.2">
      <c r="A404">
        <v>10650</v>
      </c>
      <c r="B404" t="s">
        <v>258</v>
      </c>
      <c r="C404">
        <v>5</v>
      </c>
      <c r="D404" s="1">
        <v>35671</v>
      </c>
      <c r="E404" s="1">
        <v>35699</v>
      </c>
      <c r="F404" s="1">
        <v>35676</v>
      </c>
      <c r="G404">
        <v>3</v>
      </c>
      <c r="H404" s="2">
        <v>176.81</v>
      </c>
      <c r="I404" t="s">
        <v>259</v>
      </c>
      <c r="J404" t="s">
        <v>260</v>
      </c>
      <c r="K404" t="s">
        <v>173</v>
      </c>
      <c r="L404" t="s">
        <v>55</v>
      </c>
      <c r="M404" t="s">
        <v>261</v>
      </c>
      <c r="N404" t="s">
        <v>31</v>
      </c>
    </row>
    <row r="405" spans="1:14" x14ac:dyDescent="0.2">
      <c r="A405">
        <v>10651</v>
      </c>
      <c r="B405" t="s">
        <v>185</v>
      </c>
      <c r="C405">
        <v>8</v>
      </c>
      <c r="D405" s="1">
        <v>35674</v>
      </c>
      <c r="E405" s="1">
        <v>35702</v>
      </c>
      <c r="F405" s="1">
        <v>35684</v>
      </c>
      <c r="G405">
        <v>2</v>
      </c>
      <c r="H405" s="2">
        <v>20.6</v>
      </c>
      <c r="I405" t="s">
        <v>186</v>
      </c>
      <c r="J405" t="s">
        <v>187</v>
      </c>
      <c r="K405" t="s">
        <v>188</v>
      </c>
      <c r="L405" t="s">
        <v>18</v>
      </c>
      <c r="M405">
        <v>70563</v>
      </c>
      <c r="N405" t="s">
        <v>24</v>
      </c>
    </row>
    <row r="406" spans="1:14" x14ac:dyDescent="0.2">
      <c r="A406">
        <v>10652</v>
      </c>
      <c r="B406" t="s">
        <v>342</v>
      </c>
      <c r="C406">
        <v>4</v>
      </c>
      <c r="D406" s="1">
        <v>35674</v>
      </c>
      <c r="E406" s="1">
        <v>35702</v>
      </c>
      <c r="F406" s="1">
        <v>35681</v>
      </c>
      <c r="G406">
        <v>2</v>
      </c>
      <c r="H406" s="2">
        <v>7.14</v>
      </c>
      <c r="I406" t="s">
        <v>343</v>
      </c>
      <c r="J406" t="s">
        <v>344</v>
      </c>
      <c r="K406" t="s">
        <v>345</v>
      </c>
      <c r="L406" t="s">
        <v>55</v>
      </c>
      <c r="M406" t="s">
        <v>346</v>
      </c>
      <c r="N406" t="s">
        <v>31</v>
      </c>
    </row>
    <row r="407" spans="1:14" x14ac:dyDescent="0.2">
      <c r="A407">
        <v>10653</v>
      </c>
      <c r="B407" t="s">
        <v>102</v>
      </c>
      <c r="C407">
        <v>1</v>
      </c>
      <c r="D407" s="1">
        <v>35675</v>
      </c>
      <c r="E407" s="1">
        <v>35703</v>
      </c>
      <c r="F407" s="1">
        <v>35692</v>
      </c>
      <c r="G407">
        <v>1</v>
      </c>
      <c r="H407" s="2">
        <v>93.25</v>
      </c>
      <c r="I407" t="s">
        <v>103</v>
      </c>
      <c r="J407" t="s">
        <v>104</v>
      </c>
      <c r="K407" t="s">
        <v>105</v>
      </c>
      <c r="L407" t="s">
        <v>18</v>
      </c>
      <c r="M407">
        <v>80805</v>
      </c>
      <c r="N407" t="s">
        <v>24</v>
      </c>
    </row>
    <row r="408" spans="1:14" x14ac:dyDescent="0.2">
      <c r="A408">
        <v>10654</v>
      </c>
      <c r="B408" t="s">
        <v>137</v>
      </c>
      <c r="C408">
        <v>5</v>
      </c>
      <c r="D408" s="1">
        <v>35675</v>
      </c>
      <c r="E408" s="1">
        <v>35703</v>
      </c>
      <c r="F408" s="1">
        <v>35684</v>
      </c>
      <c r="G408">
        <v>1</v>
      </c>
      <c r="H408" s="2">
        <v>55.26</v>
      </c>
      <c r="I408" t="s">
        <v>138</v>
      </c>
      <c r="J408" t="s">
        <v>139</v>
      </c>
      <c r="K408" t="s">
        <v>140</v>
      </c>
      <c r="L408" t="s">
        <v>18</v>
      </c>
      <c r="M408" t="s">
        <v>141</v>
      </c>
      <c r="N408" t="s">
        <v>92</v>
      </c>
    </row>
    <row r="409" spans="1:14" x14ac:dyDescent="0.2">
      <c r="A409">
        <v>10655</v>
      </c>
      <c r="B409" t="s">
        <v>160</v>
      </c>
      <c r="C409">
        <v>1</v>
      </c>
      <c r="D409" s="1">
        <v>35676</v>
      </c>
      <c r="E409" s="1">
        <v>35704</v>
      </c>
      <c r="F409" s="1">
        <v>35684</v>
      </c>
      <c r="G409">
        <v>2</v>
      </c>
      <c r="H409" s="2">
        <v>4.41</v>
      </c>
      <c r="I409" t="s">
        <v>161</v>
      </c>
      <c r="J409" t="s">
        <v>162</v>
      </c>
      <c r="K409" t="s">
        <v>163</v>
      </c>
      <c r="L409" t="s">
        <v>18</v>
      </c>
      <c r="M409">
        <v>42100</v>
      </c>
      <c r="N409" t="s">
        <v>129</v>
      </c>
    </row>
    <row r="410" spans="1:14" x14ac:dyDescent="0.2">
      <c r="A410">
        <v>10656</v>
      </c>
      <c r="B410" t="s">
        <v>374</v>
      </c>
      <c r="C410">
        <v>6</v>
      </c>
      <c r="D410" s="1">
        <v>35677</v>
      </c>
      <c r="E410" s="1">
        <v>35705</v>
      </c>
      <c r="F410" s="1">
        <v>35683</v>
      </c>
      <c r="G410">
        <v>1</v>
      </c>
      <c r="H410" s="2">
        <v>57.15</v>
      </c>
      <c r="I410" t="s">
        <v>375</v>
      </c>
      <c r="J410" t="s">
        <v>376</v>
      </c>
      <c r="K410" t="s">
        <v>377</v>
      </c>
      <c r="L410" t="s">
        <v>202</v>
      </c>
      <c r="M410">
        <v>97403</v>
      </c>
      <c r="N410" t="s">
        <v>86</v>
      </c>
    </row>
    <row r="411" spans="1:14" x14ac:dyDescent="0.2">
      <c r="A411">
        <v>10657</v>
      </c>
      <c r="B411" t="s">
        <v>226</v>
      </c>
      <c r="C411">
        <v>2</v>
      </c>
      <c r="D411" s="1">
        <v>35677</v>
      </c>
      <c r="E411" s="1">
        <v>35705</v>
      </c>
      <c r="F411" s="1">
        <v>35688</v>
      </c>
      <c r="G411">
        <v>2</v>
      </c>
      <c r="H411" s="2">
        <v>352.69</v>
      </c>
      <c r="I411" t="s">
        <v>227</v>
      </c>
      <c r="J411" t="s">
        <v>228</v>
      </c>
      <c r="K411" t="s">
        <v>229</v>
      </c>
      <c r="L411" t="s">
        <v>230</v>
      </c>
      <c r="M411">
        <v>83720</v>
      </c>
      <c r="N411" t="s">
        <v>86</v>
      </c>
    </row>
    <row r="412" spans="1:14" x14ac:dyDescent="0.2">
      <c r="A412">
        <v>10658</v>
      </c>
      <c r="B412" t="s">
        <v>121</v>
      </c>
      <c r="C412">
        <v>4</v>
      </c>
      <c r="D412" s="1">
        <v>35678</v>
      </c>
      <c r="E412" s="1">
        <v>35706</v>
      </c>
      <c r="F412" s="1">
        <v>35681</v>
      </c>
      <c r="G412">
        <v>1</v>
      </c>
      <c r="H412" s="2">
        <v>364.15</v>
      </c>
      <c r="I412" t="s">
        <v>122</v>
      </c>
      <c r="J412" t="s">
        <v>123</v>
      </c>
      <c r="K412" t="s">
        <v>124</v>
      </c>
      <c r="L412" t="s">
        <v>18</v>
      </c>
      <c r="M412">
        <v>1307</v>
      </c>
      <c r="N412" t="s">
        <v>24</v>
      </c>
    </row>
    <row r="413" spans="1:14" x14ac:dyDescent="0.2">
      <c r="A413">
        <v>10659</v>
      </c>
      <c r="B413" t="s">
        <v>299</v>
      </c>
      <c r="C413">
        <v>7</v>
      </c>
      <c r="D413" s="1">
        <v>35678</v>
      </c>
      <c r="E413" s="1">
        <v>35706</v>
      </c>
      <c r="F413" s="1">
        <v>35683</v>
      </c>
      <c r="G413">
        <v>2</v>
      </c>
      <c r="H413" s="2">
        <v>105.81</v>
      </c>
      <c r="I413" t="s">
        <v>300</v>
      </c>
      <c r="J413" t="s">
        <v>301</v>
      </c>
      <c r="K413" t="s">
        <v>173</v>
      </c>
      <c r="L413" t="s">
        <v>55</v>
      </c>
      <c r="M413" t="s">
        <v>302</v>
      </c>
      <c r="N413" t="s">
        <v>31</v>
      </c>
    </row>
    <row r="414" spans="1:14" x14ac:dyDescent="0.2">
      <c r="A414">
        <v>10660</v>
      </c>
      <c r="B414" t="s">
        <v>309</v>
      </c>
      <c r="C414">
        <v>8</v>
      </c>
      <c r="D414" s="1">
        <v>35681</v>
      </c>
      <c r="E414" s="1">
        <v>35709</v>
      </c>
      <c r="F414" s="1">
        <v>35718</v>
      </c>
      <c r="G414">
        <v>1</v>
      </c>
      <c r="H414" s="2">
        <v>111.29</v>
      </c>
      <c r="I414" t="s">
        <v>310</v>
      </c>
      <c r="J414" t="s">
        <v>311</v>
      </c>
      <c r="K414" t="s">
        <v>312</v>
      </c>
      <c r="L414" t="s">
        <v>202</v>
      </c>
      <c r="M414">
        <v>97827</v>
      </c>
      <c r="N414" t="s">
        <v>86</v>
      </c>
    </row>
    <row r="415" spans="1:14" x14ac:dyDescent="0.2">
      <c r="A415">
        <v>10661</v>
      </c>
      <c r="B415" t="s">
        <v>179</v>
      </c>
      <c r="C415">
        <v>7</v>
      </c>
      <c r="D415" s="1">
        <v>35682</v>
      </c>
      <c r="E415" s="1">
        <v>35710</v>
      </c>
      <c r="F415" s="1">
        <v>35688</v>
      </c>
      <c r="G415">
        <v>3</v>
      </c>
      <c r="H415" s="2">
        <v>17.55</v>
      </c>
      <c r="I415" t="s">
        <v>180</v>
      </c>
      <c r="J415" t="s">
        <v>181</v>
      </c>
      <c r="K415" t="s">
        <v>182</v>
      </c>
      <c r="L415" t="s">
        <v>183</v>
      </c>
      <c r="M415" t="s">
        <v>18</v>
      </c>
      <c r="N415" t="s">
        <v>184</v>
      </c>
    </row>
    <row r="416" spans="1:14" x14ac:dyDescent="0.2">
      <c r="A416">
        <v>10662</v>
      </c>
      <c r="B416" t="s">
        <v>198</v>
      </c>
      <c r="C416">
        <v>3</v>
      </c>
      <c r="D416" s="1">
        <v>35682</v>
      </c>
      <c r="E416" s="1">
        <v>35710</v>
      </c>
      <c r="F416" s="1">
        <v>35691</v>
      </c>
      <c r="G416">
        <v>2</v>
      </c>
      <c r="H416" s="2">
        <v>1.28</v>
      </c>
      <c r="I416" t="s">
        <v>199</v>
      </c>
      <c r="J416" t="s">
        <v>200</v>
      </c>
      <c r="K416" t="s">
        <v>201</v>
      </c>
      <c r="L416" t="s">
        <v>202</v>
      </c>
      <c r="M416">
        <v>97219</v>
      </c>
      <c r="N416" t="s">
        <v>86</v>
      </c>
    </row>
    <row r="417" spans="1:14" x14ac:dyDescent="0.2">
      <c r="A417">
        <v>10663</v>
      </c>
      <c r="B417" t="s">
        <v>239</v>
      </c>
      <c r="C417">
        <v>2</v>
      </c>
      <c r="D417" s="1">
        <v>35683</v>
      </c>
      <c r="E417" s="1">
        <v>35697</v>
      </c>
      <c r="F417" s="1">
        <v>35706</v>
      </c>
      <c r="G417">
        <v>2</v>
      </c>
      <c r="H417" s="2">
        <v>113.15</v>
      </c>
      <c r="I417" t="s">
        <v>240</v>
      </c>
      <c r="J417" t="s">
        <v>241</v>
      </c>
      <c r="K417" t="s">
        <v>242</v>
      </c>
      <c r="L417" t="s">
        <v>18</v>
      </c>
      <c r="M417">
        <v>13008</v>
      </c>
      <c r="N417" t="s">
        <v>19</v>
      </c>
    </row>
    <row r="418" spans="1:14" x14ac:dyDescent="0.2">
      <c r="A418">
        <v>10664</v>
      </c>
      <c r="B418" t="s">
        <v>234</v>
      </c>
      <c r="C418">
        <v>1</v>
      </c>
      <c r="D418" s="1">
        <v>35683</v>
      </c>
      <c r="E418" s="1">
        <v>35711</v>
      </c>
      <c r="F418" s="1">
        <v>35692</v>
      </c>
      <c r="G418">
        <v>3</v>
      </c>
      <c r="H418" s="2">
        <v>1.27</v>
      </c>
      <c r="I418" t="s">
        <v>235</v>
      </c>
      <c r="J418" t="s">
        <v>236</v>
      </c>
      <c r="K418" t="s">
        <v>237</v>
      </c>
      <c r="L418" t="s">
        <v>18</v>
      </c>
      <c r="M418">
        <v>1675</v>
      </c>
      <c r="N418" t="s">
        <v>238</v>
      </c>
    </row>
    <row r="419" spans="1:14" x14ac:dyDescent="0.2">
      <c r="A419">
        <v>10665</v>
      </c>
      <c r="B419" t="s">
        <v>198</v>
      </c>
      <c r="C419">
        <v>1</v>
      </c>
      <c r="D419" s="1">
        <v>35684</v>
      </c>
      <c r="E419" s="1">
        <v>35712</v>
      </c>
      <c r="F419" s="1">
        <v>35690</v>
      </c>
      <c r="G419">
        <v>2</v>
      </c>
      <c r="H419" s="2">
        <v>26.31</v>
      </c>
      <c r="I419" t="s">
        <v>199</v>
      </c>
      <c r="J419" t="s">
        <v>200</v>
      </c>
      <c r="K419" t="s">
        <v>201</v>
      </c>
      <c r="L419" t="s">
        <v>202</v>
      </c>
      <c r="M419">
        <v>97219</v>
      </c>
      <c r="N419" t="s">
        <v>86</v>
      </c>
    </row>
    <row r="420" spans="1:14" x14ac:dyDescent="0.2">
      <c r="A420">
        <v>10666</v>
      </c>
      <c r="B420" t="s">
        <v>47</v>
      </c>
      <c r="C420">
        <v>7</v>
      </c>
      <c r="D420" s="1">
        <v>35685</v>
      </c>
      <c r="E420" s="1">
        <v>35713</v>
      </c>
      <c r="F420" s="1">
        <v>35695</v>
      </c>
      <c r="G420">
        <v>2</v>
      </c>
      <c r="H420" s="2">
        <v>232.42</v>
      </c>
      <c r="I420" t="s">
        <v>48</v>
      </c>
      <c r="J420" t="s">
        <v>49</v>
      </c>
      <c r="K420" t="s">
        <v>50</v>
      </c>
      <c r="L420" t="s">
        <v>18</v>
      </c>
      <c r="M420">
        <v>1204</v>
      </c>
      <c r="N420" t="s">
        <v>46</v>
      </c>
    </row>
    <row r="421" spans="1:14" x14ac:dyDescent="0.2">
      <c r="A421">
        <v>10667</v>
      </c>
      <c r="B421" t="s">
        <v>63</v>
      </c>
      <c r="C421">
        <v>7</v>
      </c>
      <c r="D421" s="1">
        <v>35685</v>
      </c>
      <c r="E421" s="1">
        <v>35713</v>
      </c>
      <c r="F421" s="1">
        <v>35692</v>
      </c>
      <c r="G421">
        <v>1</v>
      </c>
      <c r="H421" s="2">
        <v>78.09</v>
      </c>
      <c r="I421" t="s">
        <v>64</v>
      </c>
      <c r="J421" t="s">
        <v>65</v>
      </c>
      <c r="K421" t="s">
        <v>66</v>
      </c>
      <c r="L421" t="s">
        <v>18</v>
      </c>
      <c r="M421">
        <v>8010</v>
      </c>
      <c r="N421" t="s">
        <v>67</v>
      </c>
    </row>
    <row r="422" spans="1:14" x14ac:dyDescent="0.2">
      <c r="A422">
        <v>10668</v>
      </c>
      <c r="B422" t="s">
        <v>185</v>
      </c>
      <c r="C422">
        <v>1</v>
      </c>
      <c r="D422" s="1">
        <v>35688</v>
      </c>
      <c r="E422" s="1">
        <v>35716</v>
      </c>
      <c r="F422" s="1">
        <v>35696</v>
      </c>
      <c r="G422">
        <v>2</v>
      </c>
      <c r="H422" s="2">
        <v>47.22</v>
      </c>
      <c r="I422" t="s">
        <v>186</v>
      </c>
      <c r="J422" t="s">
        <v>187</v>
      </c>
      <c r="K422" t="s">
        <v>188</v>
      </c>
      <c r="L422" t="s">
        <v>18</v>
      </c>
      <c r="M422">
        <v>70563</v>
      </c>
      <c r="N422" t="s">
        <v>24</v>
      </c>
    </row>
    <row r="423" spans="1:14" x14ac:dyDescent="0.2">
      <c r="A423">
        <v>10669</v>
      </c>
      <c r="B423" t="s">
        <v>253</v>
      </c>
      <c r="C423">
        <v>2</v>
      </c>
      <c r="D423" s="1">
        <v>35688</v>
      </c>
      <c r="E423" s="1">
        <v>35716</v>
      </c>
      <c r="F423" s="1">
        <v>35695</v>
      </c>
      <c r="G423">
        <v>1</v>
      </c>
      <c r="H423" s="2">
        <v>24.39</v>
      </c>
      <c r="I423" t="s">
        <v>254</v>
      </c>
      <c r="J423" t="s">
        <v>255</v>
      </c>
      <c r="K423" t="s">
        <v>256</v>
      </c>
      <c r="L423" t="s">
        <v>18</v>
      </c>
      <c r="M423">
        <v>1734</v>
      </c>
      <c r="N423" t="s">
        <v>257</v>
      </c>
    </row>
    <row r="424" spans="1:14" x14ac:dyDescent="0.2">
      <c r="A424">
        <v>10670</v>
      </c>
      <c r="B424" t="s">
        <v>102</v>
      </c>
      <c r="C424">
        <v>4</v>
      </c>
      <c r="D424" s="1">
        <v>35689</v>
      </c>
      <c r="E424" s="1">
        <v>35717</v>
      </c>
      <c r="F424" s="1">
        <v>35691</v>
      </c>
      <c r="G424">
        <v>1</v>
      </c>
      <c r="H424" s="2">
        <v>203.48</v>
      </c>
      <c r="I424" t="s">
        <v>103</v>
      </c>
      <c r="J424" t="s">
        <v>104</v>
      </c>
      <c r="K424" t="s">
        <v>105</v>
      </c>
      <c r="L424" t="s">
        <v>18</v>
      </c>
      <c r="M424">
        <v>80805</v>
      </c>
      <c r="N424" t="s">
        <v>24</v>
      </c>
    </row>
    <row r="425" spans="1:14" x14ac:dyDescent="0.2">
      <c r="A425">
        <v>10671</v>
      </c>
      <c r="B425" t="s">
        <v>405</v>
      </c>
      <c r="C425">
        <v>1</v>
      </c>
      <c r="D425" s="1">
        <v>35690</v>
      </c>
      <c r="E425" s="1">
        <v>35718</v>
      </c>
      <c r="F425" s="1">
        <v>35697</v>
      </c>
      <c r="G425">
        <v>1</v>
      </c>
      <c r="H425" s="2">
        <v>30.34</v>
      </c>
      <c r="I425" t="s">
        <v>406</v>
      </c>
      <c r="J425" t="s">
        <v>407</v>
      </c>
      <c r="K425" t="s">
        <v>212</v>
      </c>
      <c r="L425" t="s">
        <v>18</v>
      </c>
      <c r="M425">
        <v>44000</v>
      </c>
      <c r="N425" t="s">
        <v>19</v>
      </c>
    </row>
    <row r="426" spans="1:14" x14ac:dyDescent="0.2">
      <c r="A426">
        <v>10672</v>
      </c>
      <c r="B426" t="s">
        <v>137</v>
      </c>
      <c r="C426">
        <v>9</v>
      </c>
      <c r="D426" s="1">
        <v>35690</v>
      </c>
      <c r="E426" s="1">
        <v>35704</v>
      </c>
      <c r="F426" s="1">
        <v>35699</v>
      </c>
      <c r="G426">
        <v>2</v>
      </c>
      <c r="H426" s="2">
        <v>95.75</v>
      </c>
      <c r="I426" t="s">
        <v>138</v>
      </c>
      <c r="J426" t="s">
        <v>139</v>
      </c>
      <c r="K426" t="s">
        <v>140</v>
      </c>
      <c r="L426" t="s">
        <v>18</v>
      </c>
      <c r="M426" t="s">
        <v>141</v>
      </c>
      <c r="N426" t="s">
        <v>92</v>
      </c>
    </row>
    <row r="427" spans="1:14" x14ac:dyDescent="0.2">
      <c r="A427">
        <v>10673</v>
      </c>
      <c r="B427" t="s">
        <v>392</v>
      </c>
      <c r="C427">
        <v>2</v>
      </c>
      <c r="D427" s="1">
        <v>35691</v>
      </c>
      <c r="E427" s="1">
        <v>35719</v>
      </c>
      <c r="F427" s="1">
        <v>35692</v>
      </c>
      <c r="G427">
        <v>1</v>
      </c>
      <c r="H427" s="2">
        <v>22.76</v>
      </c>
      <c r="I427" t="s">
        <v>393</v>
      </c>
      <c r="J427" t="s">
        <v>394</v>
      </c>
      <c r="K427" t="s">
        <v>395</v>
      </c>
      <c r="L427" t="s">
        <v>18</v>
      </c>
      <c r="M427">
        <v>21240</v>
      </c>
      <c r="N427" t="s">
        <v>101</v>
      </c>
    </row>
    <row r="428" spans="1:14" x14ac:dyDescent="0.2">
      <c r="A428">
        <v>10674</v>
      </c>
      <c r="B428" t="s">
        <v>213</v>
      </c>
      <c r="C428">
        <v>4</v>
      </c>
      <c r="D428" s="1">
        <v>35691</v>
      </c>
      <c r="E428" s="1">
        <v>35719</v>
      </c>
      <c r="F428" s="1">
        <v>35703</v>
      </c>
      <c r="G428">
        <v>2</v>
      </c>
      <c r="H428" s="2">
        <v>0.9</v>
      </c>
      <c r="I428" t="s">
        <v>214</v>
      </c>
      <c r="J428" t="s">
        <v>215</v>
      </c>
      <c r="K428" t="s">
        <v>216</v>
      </c>
      <c r="L428" t="s">
        <v>217</v>
      </c>
      <c r="M428" t="s">
        <v>218</v>
      </c>
      <c r="N428" t="s">
        <v>169</v>
      </c>
    </row>
    <row r="429" spans="1:14" x14ac:dyDescent="0.2">
      <c r="A429">
        <v>10675</v>
      </c>
      <c r="B429" t="s">
        <v>102</v>
      </c>
      <c r="C429">
        <v>5</v>
      </c>
      <c r="D429" s="1">
        <v>35692</v>
      </c>
      <c r="E429" s="1">
        <v>35720</v>
      </c>
      <c r="F429" s="1">
        <v>35696</v>
      </c>
      <c r="G429">
        <v>2</v>
      </c>
      <c r="H429" s="2">
        <v>31.85</v>
      </c>
      <c r="I429" t="s">
        <v>103</v>
      </c>
      <c r="J429" t="s">
        <v>104</v>
      </c>
      <c r="K429" t="s">
        <v>105</v>
      </c>
      <c r="L429" t="s">
        <v>18</v>
      </c>
      <c r="M429">
        <v>80805</v>
      </c>
      <c r="N429" t="s">
        <v>24</v>
      </c>
    </row>
    <row r="430" spans="1:14" x14ac:dyDescent="0.2">
      <c r="A430">
        <v>10676</v>
      </c>
      <c r="B430" t="s">
        <v>130</v>
      </c>
      <c r="C430">
        <v>2</v>
      </c>
      <c r="D430" s="1">
        <v>35695</v>
      </c>
      <c r="E430" s="1">
        <v>35723</v>
      </c>
      <c r="F430" s="1">
        <v>35702</v>
      </c>
      <c r="G430">
        <v>2</v>
      </c>
      <c r="H430" s="2">
        <v>2.0099999999999998</v>
      </c>
      <c r="I430" t="s">
        <v>131</v>
      </c>
      <c r="J430" t="s">
        <v>132</v>
      </c>
      <c r="K430" t="s">
        <v>71</v>
      </c>
      <c r="L430" t="s">
        <v>18</v>
      </c>
      <c r="M430">
        <v>5033</v>
      </c>
      <c r="N430" t="s">
        <v>72</v>
      </c>
    </row>
    <row r="431" spans="1:14" x14ac:dyDescent="0.2">
      <c r="A431">
        <v>10677</v>
      </c>
      <c r="B431" t="s">
        <v>288</v>
      </c>
      <c r="C431">
        <v>1</v>
      </c>
      <c r="D431" s="1">
        <v>35695</v>
      </c>
      <c r="E431" s="1">
        <v>35723</v>
      </c>
      <c r="F431" s="1">
        <v>35699</v>
      </c>
      <c r="G431">
        <v>3</v>
      </c>
      <c r="H431" s="2">
        <v>4.03</v>
      </c>
      <c r="I431" t="s">
        <v>289</v>
      </c>
      <c r="J431" t="s">
        <v>290</v>
      </c>
      <c r="K431" t="s">
        <v>71</v>
      </c>
      <c r="L431" t="s">
        <v>18</v>
      </c>
      <c r="M431">
        <v>5023</v>
      </c>
      <c r="N431" t="s">
        <v>72</v>
      </c>
    </row>
    <row r="432" spans="1:14" x14ac:dyDescent="0.2">
      <c r="A432">
        <v>10678</v>
      </c>
      <c r="B432" t="s">
        <v>226</v>
      </c>
      <c r="C432">
        <v>7</v>
      </c>
      <c r="D432" s="1">
        <v>35696</v>
      </c>
      <c r="E432" s="1">
        <v>35724</v>
      </c>
      <c r="F432" s="1">
        <v>35719</v>
      </c>
      <c r="G432">
        <v>3</v>
      </c>
      <c r="H432" s="2">
        <v>388.98</v>
      </c>
      <c r="I432" t="s">
        <v>227</v>
      </c>
      <c r="J432" t="s">
        <v>228</v>
      </c>
      <c r="K432" t="s">
        <v>229</v>
      </c>
      <c r="L432" t="s">
        <v>230</v>
      </c>
      <c r="M432">
        <v>83720</v>
      </c>
      <c r="N432" t="s">
        <v>86</v>
      </c>
    </row>
    <row r="433" spans="1:14" x14ac:dyDescent="0.2">
      <c r="A433">
        <v>10679</v>
      </c>
      <c r="B433" t="s">
        <v>93</v>
      </c>
      <c r="C433">
        <v>8</v>
      </c>
      <c r="D433" s="1">
        <v>35696</v>
      </c>
      <c r="E433" s="1">
        <v>35724</v>
      </c>
      <c r="F433" s="1">
        <v>35703</v>
      </c>
      <c r="G433">
        <v>3</v>
      </c>
      <c r="H433" s="2">
        <v>27.94</v>
      </c>
      <c r="I433" t="s">
        <v>94</v>
      </c>
      <c r="J433" t="s">
        <v>95</v>
      </c>
      <c r="K433" t="s">
        <v>96</v>
      </c>
      <c r="L433" t="s">
        <v>18</v>
      </c>
      <c r="M433">
        <v>67000</v>
      </c>
      <c r="N433" t="s">
        <v>19</v>
      </c>
    </row>
    <row r="434" spans="1:14" x14ac:dyDescent="0.2">
      <c r="A434">
        <v>10680</v>
      </c>
      <c r="B434" t="s">
        <v>193</v>
      </c>
      <c r="C434">
        <v>1</v>
      </c>
      <c r="D434" s="1">
        <v>35697</v>
      </c>
      <c r="E434" s="1">
        <v>35725</v>
      </c>
      <c r="F434" s="1">
        <v>35699</v>
      </c>
      <c r="G434">
        <v>1</v>
      </c>
      <c r="H434" s="2">
        <v>26.61</v>
      </c>
      <c r="I434" t="s">
        <v>194</v>
      </c>
      <c r="J434" t="s">
        <v>195</v>
      </c>
      <c r="K434" t="s">
        <v>196</v>
      </c>
      <c r="L434" t="s">
        <v>197</v>
      </c>
      <c r="M434">
        <v>99508</v>
      </c>
      <c r="N434" t="s">
        <v>86</v>
      </c>
    </row>
    <row r="435" spans="1:14" x14ac:dyDescent="0.2">
      <c r="A435">
        <v>10681</v>
      </c>
      <c r="B435" t="s">
        <v>374</v>
      </c>
      <c r="C435">
        <v>3</v>
      </c>
      <c r="D435" s="1">
        <v>35698</v>
      </c>
      <c r="E435" s="1">
        <v>35726</v>
      </c>
      <c r="F435" s="1">
        <v>35703</v>
      </c>
      <c r="G435">
        <v>3</v>
      </c>
      <c r="H435" s="2">
        <v>76.13</v>
      </c>
      <c r="I435" t="s">
        <v>375</v>
      </c>
      <c r="J435" t="s">
        <v>376</v>
      </c>
      <c r="K435" t="s">
        <v>377</v>
      </c>
      <c r="L435" t="s">
        <v>202</v>
      </c>
      <c r="M435">
        <v>97403</v>
      </c>
      <c r="N435" t="s">
        <v>86</v>
      </c>
    </row>
    <row r="436" spans="1:14" x14ac:dyDescent="0.2">
      <c r="A436">
        <v>10682</v>
      </c>
      <c r="B436" t="s">
        <v>288</v>
      </c>
      <c r="C436">
        <v>3</v>
      </c>
      <c r="D436" s="1">
        <v>35698</v>
      </c>
      <c r="E436" s="1">
        <v>35726</v>
      </c>
      <c r="F436" s="1">
        <v>35704</v>
      </c>
      <c r="G436">
        <v>2</v>
      </c>
      <c r="H436" s="2">
        <v>36.130000000000003</v>
      </c>
      <c r="I436" t="s">
        <v>289</v>
      </c>
      <c r="J436" t="s">
        <v>290</v>
      </c>
      <c r="K436" t="s">
        <v>71</v>
      </c>
      <c r="L436" t="s">
        <v>18</v>
      </c>
      <c r="M436">
        <v>5023</v>
      </c>
      <c r="N436" t="s">
        <v>72</v>
      </c>
    </row>
    <row r="437" spans="1:14" x14ac:dyDescent="0.2">
      <c r="A437">
        <v>10683</v>
      </c>
      <c r="B437" t="s">
        <v>209</v>
      </c>
      <c r="C437">
        <v>2</v>
      </c>
      <c r="D437" s="1">
        <v>35699</v>
      </c>
      <c r="E437" s="1">
        <v>35727</v>
      </c>
      <c r="F437" s="1">
        <v>35704</v>
      </c>
      <c r="G437">
        <v>1</v>
      </c>
      <c r="H437" s="2">
        <v>4.4000000000000004</v>
      </c>
      <c r="I437" t="s">
        <v>210</v>
      </c>
      <c r="J437" t="s">
        <v>211</v>
      </c>
      <c r="K437" t="s">
        <v>212</v>
      </c>
      <c r="L437" t="s">
        <v>18</v>
      </c>
      <c r="M437">
        <v>44000</v>
      </c>
      <c r="N437" t="s">
        <v>19</v>
      </c>
    </row>
    <row r="438" spans="1:14" x14ac:dyDescent="0.2">
      <c r="A438">
        <v>10684</v>
      </c>
      <c r="B438" t="s">
        <v>73</v>
      </c>
      <c r="C438">
        <v>3</v>
      </c>
      <c r="D438" s="1">
        <v>35699</v>
      </c>
      <c r="E438" s="1">
        <v>35727</v>
      </c>
      <c r="F438" s="1">
        <v>35703</v>
      </c>
      <c r="G438">
        <v>1</v>
      </c>
      <c r="H438" s="2">
        <v>145.63</v>
      </c>
      <c r="I438" t="s">
        <v>74</v>
      </c>
      <c r="J438" t="s">
        <v>75</v>
      </c>
      <c r="K438" t="s">
        <v>76</v>
      </c>
      <c r="L438" t="s">
        <v>18</v>
      </c>
      <c r="M438">
        <v>50739</v>
      </c>
      <c r="N438" t="s">
        <v>24</v>
      </c>
    </row>
    <row r="439" spans="1:14" x14ac:dyDescent="0.2">
      <c r="A439">
        <v>10685</v>
      </c>
      <c r="B439" t="s">
        <v>342</v>
      </c>
      <c r="C439">
        <v>4</v>
      </c>
      <c r="D439" s="1">
        <v>35702</v>
      </c>
      <c r="E439" s="1">
        <v>35716</v>
      </c>
      <c r="F439" s="1">
        <v>35706</v>
      </c>
      <c r="G439">
        <v>2</v>
      </c>
      <c r="H439" s="2">
        <v>33.75</v>
      </c>
      <c r="I439" t="s">
        <v>343</v>
      </c>
      <c r="J439" t="s">
        <v>344</v>
      </c>
      <c r="K439" t="s">
        <v>345</v>
      </c>
      <c r="L439" t="s">
        <v>55</v>
      </c>
      <c r="M439" t="s">
        <v>346</v>
      </c>
      <c r="N439" t="s">
        <v>31</v>
      </c>
    </row>
    <row r="440" spans="1:14" x14ac:dyDescent="0.2">
      <c r="A440">
        <v>10686</v>
      </c>
      <c r="B440" t="s">
        <v>266</v>
      </c>
      <c r="C440">
        <v>2</v>
      </c>
      <c r="D440" s="1">
        <v>35703</v>
      </c>
      <c r="E440" s="1">
        <v>35731</v>
      </c>
      <c r="F440" s="1">
        <v>35711</v>
      </c>
      <c r="G440">
        <v>1</v>
      </c>
      <c r="H440" s="2">
        <v>96.5</v>
      </c>
      <c r="I440" t="s">
        <v>267</v>
      </c>
      <c r="J440" t="s">
        <v>268</v>
      </c>
      <c r="K440" t="s">
        <v>269</v>
      </c>
      <c r="L440" t="s">
        <v>18</v>
      </c>
      <c r="M440">
        <v>5020</v>
      </c>
      <c r="N440" t="s">
        <v>67</v>
      </c>
    </row>
    <row r="441" spans="1:14" x14ac:dyDescent="0.2">
      <c r="A441">
        <v>10687</v>
      </c>
      <c r="B441" t="s">
        <v>179</v>
      </c>
      <c r="C441">
        <v>9</v>
      </c>
      <c r="D441" s="1">
        <v>35703</v>
      </c>
      <c r="E441" s="1">
        <v>35731</v>
      </c>
      <c r="F441" s="1">
        <v>35733</v>
      </c>
      <c r="G441">
        <v>2</v>
      </c>
      <c r="H441" s="2">
        <v>296.43</v>
      </c>
      <c r="I441" t="s">
        <v>180</v>
      </c>
      <c r="J441" t="s">
        <v>181</v>
      </c>
      <c r="K441" t="s">
        <v>182</v>
      </c>
      <c r="L441" t="s">
        <v>183</v>
      </c>
      <c r="M441" t="s">
        <v>18</v>
      </c>
      <c r="N441" t="s">
        <v>184</v>
      </c>
    </row>
    <row r="442" spans="1:14" x14ac:dyDescent="0.2">
      <c r="A442">
        <v>10688</v>
      </c>
      <c r="B442" t="s">
        <v>295</v>
      </c>
      <c r="C442">
        <v>4</v>
      </c>
      <c r="D442" s="1">
        <v>35704</v>
      </c>
      <c r="E442" s="1">
        <v>35718</v>
      </c>
      <c r="F442" s="1">
        <v>35710</v>
      </c>
      <c r="G442">
        <v>2</v>
      </c>
      <c r="H442" s="2">
        <v>299.08999999999997</v>
      </c>
      <c r="I442" t="s">
        <v>296</v>
      </c>
      <c r="J442" t="s">
        <v>297</v>
      </c>
      <c r="K442" t="s">
        <v>298</v>
      </c>
      <c r="L442" t="s">
        <v>18</v>
      </c>
      <c r="M442">
        <v>8200</v>
      </c>
      <c r="N442" t="s">
        <v>257</v>
      </c>
    </row>
    <row r="443" spans="1:14" x14ac:dyDescent="0.2">
      <c r="A443">
        <v>10689</v>
      </c>
      <c r="B443" t="s">
        <v>137</v>
      </c>
      <c r="C443">
        <v>1</v>
      </c>
      <c r="D443" s="1">
        <v>35704</v>
      </c>
      <c r="E443" s="1">
        <v>35732</v>
      </c>
      <c r="F443" s="1">
        <v>35710</v>
      </c>
      <c r="G443">
        <v>2</v>
      </c>
      <c r="H443" s="2">
        <v>13.42</v>
      </c>
      <c r="I443" t="s">
        <v>138</v>
      </c>
      <c r="J443" t="s">
        <v>139</v>
      </c>
      <c r="K443" t="s">
        <v>140</v>
      </c>
      <c r="L443" t="s">
        <v>18</v>
      </c>
      <c r="M443" t="s">
        <v>141</v>
      </c>
      <c r="N443" t="s">
        <v>92</v>
      </c>
    </row>
    <row r="444" spans="1:14" x14ac:dyDescent="0.2">
      <c r="A444">
        <v>10690</v>
      </c>
      <c r="B444" t="s">
        <v>25</v>
      </c>
      <c r="C444">
        <v>1</v>
      </c>
      <c r="D444" s="1">
        <v>35705</v>
      </c>
      <c r="E444" s="1">
        <v>35733</v>
      </c>
      <c r="F444" s="1">
        <v>35706</v>
      </c>
      <c r="G444">
        <v>1</v>
      </c>
      <c r="H444" s="2">
        <v>15.8</v>
      </c>
      <c r="I444" t="s">
        <v>26</v>
      </c>
      <c r="J444" t="s">
        <v>27</v>
      </c>
      <c r="K444" t="s">
        <v>28</v>
      </c>
      <c r="L444" t="s">
        <v>29</v>
      </c>
      <c r="M444" t="s">
        <v>30</v>
      </c>
      <c r="N444" t="s">
        <v>31</v>
      </c>
    </row>
    <row r="445" spans="1:14" x14ac:dyDescent="0.2">
      <c r="A445">
        <v>10691</v>
      </c>
      <c r="B445" t="s">
        <v>121</v>
      </c>
      <c r="C445">
        <v>2</v>
      </c>
      <c r="D445" s="1">
        <v>35706</v>
      </c>
      <c r="E445" s="1">
        <v>35748</v>
      </c>
      <c r="F445" s="1">
        <v>35725</v>
      </c>
      <c r="G445">
        <v>2</v>
      </c>
      <c r="H445" s="2">
        <v>810.05</v>
      </c>
      <c r="I445" t="s">
        <v>122</v>
      </c>
      <c r="J445" t="s">
        <v>123</v>
      </c>
      <c r="K445" t="s">
        <v>124</v>
      </c>
      <c r="L445" t="s">
        <v>18</v>
      </c>
      <c r="M445">
        <v>1307</v>
      </c>
      <c r="N445" t="s">
        <v>24</v>
      </c>
    </row>
    <row r="446" spans="1:14" x14ac:dyDescent="0.2">
      <c r="A446">
        <v>10692</v>
      </c>
      <c r="B446" t="s">
        <v>401</v>
      </c>
      <c r="C446">
        <v>4</v>
      </c>
      <c r="D446" s="1">
        <v>35706</v>
      </c>
      <c r="E446" s="1">
        <v>35734</v>
      </c>
      <c r="F446" s="1">
        <v>35716</v>
      </c>
      <c r="G446">
        <v>2</v>
      </c>
      <c r="H446" s="2">
        <v>61.02</v>
      </c>
      <c r="I446" t="s">
        <v>408</v>
      </c>
      <c r="J446" t="s">
        <v>403</v>
      </c>
      <c r="K446" t="s">
        <v>404</v>
      </c>
      <c r="L446" t="s">
        <v>18</v>
      </c>
      <c r="M446">
        <v>12209</v>
      </c>
      <c r="N446" t="s">
        <v>24</v>
      </c>
    </row>
    <row r="447" spans="1:14" x14ac:dyDescent="0.2">
      <c r="A447">
        <v>10693</v>
      </c>
      <c r="B447" t="s">
        <v>111</v>
      </c>
      <c r="C447">
        <v>3</v>
      </c>
      <c r="D447" s="1">
        <v>35709</v>
      </c>
      <c r="E447" s="1">
        <v>35723</v>
      </c>
      <c r="F447" s="1">
        <v>35713</v>
      </c>
      <c r="G447">
        <v>3</v>
      </c>
      <c r="H447" s="2">
        <v>139.34</v>
      </c>
      <c r="I447" t="s">
        <v>112</v>
      </c>
      <c r="J447" t="s">
        <v>113</v>
      </c>
      <c r="K447" t="s">
        <v>114</v>
      </c>
      <c r="L447" t="s">
        <v>115</v>
      </c>
      <c r="M447">
        <v>98124</v>
      </c>
      <c r="N447" t="s">
        <v>86</v>
      </c>
    </row>
    <row r="448" spans="1:14" x14ac:dyDescent="0.2">
      <c r="A448">
        <v>10694</v>
      </c>
      <c r="B448" t="s">
        <v>121</v>
      </c>
      <c r="C448">
        <v>8</v>
      </c>
      <c r="D448" s="1">
        <v>35709</v>
      </c>
      <c r="E448" s="1">
        <v>35737</v>
      </c>
      <c r="F448" s="1">
        <v>35712</v>
      </c>
      <c r="G448">
        <v>3</v>
      </c>
      <c r="H448" s="2">
        <v>398.36</v>
      </c>
      <c r="I448" t="s">
        <v>122</v>
      </c>
      <c r="J448" t="s">
        <v>123</v>
      </c>
      <c r="K448" t="s">
        <v>124</v>
      </c>
      <c r="L448" t="s">
        <v>18</v>
      </c>
      <c r="M448">
        <v>1307</v>
      </c>
      <c r="N448" t="s">
        <v>24</v>
      </c>
    </row>
    <row r="449" spans="1:14" x14ac:dyDescent="0.2">
      <c r="A449">
        <v>10695</v>
      </c>
      <c r="B449" t="s">
        <v>392</v>
      </c>
      <c r="C449">
        <v>7</v>
      </c>
      <c r="D449" s="1">
        <v>35710</v>
      </c>
      <c r="E449" s="1">
        <v>35752</v>
      </c>
      <c r="F449" s="1">
        <v>35717</v>
      </c>
      <c r="G449">
        <v>1</v>
      </c>
      <c r="H449" s="2">
        <v>16.72</v>
      </c>
      <c r="I449" t="s">
        <v>393</v>
      </c>
      <c r="J449" t="s">
        <v>394</v>
      </c>
      <c r="K449" t="s">
        <v>395</v>
      </c>
      <c r="L449" t="s">
        <v>18</v>
      </c>
      <c r="M449">
        <v>21240</v>
      </c>
      <c r="N449" t="s">
        <v>101</v>
      </c>
    </row>
    <row r="450" spans="1:14" x14ac:dyDescent="0.2">
      <c r="A450">
        <v>10696</v>
      </c>
      <c r="B450" t="s">
        <v>111</v>
      </c>
      <c r="C450">
        <v>8</v>
      </c>
      <c r="D450" s="1">
        <v>35711</v>
      </c>
      <c r="E450" s="1">
        <v>35753</v>
      </c>
      <c r="F450" s="1">
        <v>35717</v>
      </c>
      <c r="G450">
        <v>3</v>
      </c>
      <c r="H450" s="2">
        <v>102.55</v>
      </c>
      <c r="I450" t="s">
        <v>112</v>
      </c>
      <c r="J450" t="s">
        <v>113</v>
      </c>
      <c r="K450" t="s">
        <v>114</v>
      </c>
      <c r="L450" t="s">
        <v>115</v>
      </c>
      <c r="M450">
        <v>98124</v>
      </c>
      <c r="N450" t="s">
        <v>86</v>
      </c>
    </row>
    <row r="451" spans="1:14" x14ac:dyDescent="0.2">
      <c r="A451">
        <v>10697</v>
      </c>
      <c r="B451" t="s">
        <v>324</v>
      </c>
      <c r="C451">
        <v>3</v>
      </c>
      <c r="D451" s="1">
        <v>35711</v>
      </c>
      <c r="E451" s="1">
        <v>35739</v>
      </c>
      <c r="F451" s="1">
        <v>35717</v>
      </c>
      <c r="G451">
        <v>1</v>
      </c>
      <c r="H451" s="2">
        <v>45.52</v>
      </c>
      <c r="I451" t="s">
        <v>325</v>
      </c>
      <c r="J451" t="s">
        <v>326</v>
      </c>
      <c r="K451" t="s">
        <v>327</v>
      </c>
      <c r="L451" t="s">
        <v>328</v>
      </c>
      <c r="M451">
        <v>4980</v>
      </c>
      <c r="N451" t="s">
        <v>62</v>
      </c>
    </row>
    <row r="452" spans="1:14" x14ac:dyDescent="0.2">
      <c r="A452">
        <v>10698</v>
      </c>
      <c r="B452" t="s">
        <v>63</v>
      </c>
      <c r="C452">
        <v>4</v>
      </c>
      <c r="D452" s="1">
        <v>35712</v>
      </c>
      <c r="E452" s="1">
        <v>35740</v>
      </c>
      <c r="F452" s="1">
        <v>35720</v>
      </c>
      <c r="G452">
        <v>1</v>
      </c>
      <c r="H452" s="2">
        <v>272.47000000000003</v>
      </c>
      <c r="I452" t="s">
        <v>64</v>
      </c>
      <c r="J452" t="s">
        <v>65</v>
      </c>
      <c r="K452" t="s">
        <v>66</v>
      </c>
      <c r="L452" t="s">
        <v>18</v>
      </c>
      <c r="M452">
        <v>8010</v>
      </c>
      <c r="N452" t="s">
        <v>67</v>
      </c>
    </row>
    <row r="453" spans="1:14" x14ac:dyDescent="0.2">
      <c r="A453">
        <v>10699</v>
      </c>
      <c r="B453" t="s">
        <v>133</v>
      </c>
      <c r="C453">
        <v>3</v>
      </c>
      <c r="D453" s="1">
        <v>35712</v>
      </c>
      <c r="E453" s="1">
        <v>35740</v>
      </c>
      <c r="F453" s="1">
        <v>35716</v>
      </c>
      <c r="G453">
        <v>3</v>
      </c>
      <c r="H453" s="2">
        <v>0.57999999999999996</v>
      </c>
      <c r="I453" t="s">
        <v>134</v>
      </c>
      <c r="J453" t="s">
        <v>135</v>
      </c>
      <c r="K453" t="s">
        <v>136</v>
      </c>
      <c r="L453" t="s">
        <v>18</v>
      </c>
      <c r="M453">
        <v>4179</v>
      </c>
      <c r="N453" t="s">
        <v>24</v>
      </c>
    </row>
    <row r="454" spans="1:14" x14ac:dyDescent="0.2">
      <c r="A454">
        <v>10700</v>
      </c>
      <c r="B454" t="s">
        <v>226</v>
      </c>
      <c r="C454">
        <v>3</v>
      </c>
      <c r="D454" s="1">
        <v>35713</v>
      </c>
      <c r="E454" s="1">
        <v>35741</v>
      </c>
      <c r="F454" s="1">
        <v>35719</v>
      </c>
      <c r="G454">
        <v>1</v>
      </c>
      <c r="H454" s="2">
        <v>65.099999999999994</v>
      </c>
      <c r="I454" t="s">
        <v>227</v>
      </c>
      <c r="J454" t="s">
        <v>228</v>
      </c>
      <c r="K454" t="s">
        <v>229</v>
      </c>
      <c r="L454" t="s">
        <v>230</v>
      </c>
      <c r="M454">
        <v>83720</v>
      </c>
      <c r="N454" t="s">
        <v>86</v>
      </c>
    </row>
    <row r="455" spans="1:14" x14ac:dyDescent="0.2">
      <c r="A455">
        <v>10701</v>
      </c>
      <c r="B455" t="s">
        <v>179</v>
      </c>
      <c r="C455">
        <v>6</v>
      </c>
      <c r="D455" s="1">
        <v>35716</v>
      </c>
      <c r="E455" s="1">
        <v>35730</v>
      </c>
      <c r="F455" s="1">
        <v>35718</v>
      </c>
      <c r="G455">
        <v>3</v>
      </c>
      <c r="H455" s="2">
        <v>220.31</v>
      </c>
      <c r="I455" t="s">
        <v>180</v>
      </c>
      <c r="J455" t="s">
        <v>181</v>
      </c>
      <c r="K455" t="s">
        <v>182</v>
      </c>
      <c r="L455" t="s">
        <v>183</v>
      </c>
      <c r="M455" t="s">
        <v>18</v>
      </c>
      <c r="N455" t="s">
        <v>184</v>
      </c>
    </row>
    <row r="456" spans="1:14" x14ac:dyDescent="0.2">
      <c r="A456">
        <v>10702</v>
      </c>
      <c r="B456" t="s">
        <v>401</v>
      </c>
      <c r="C456">
        <v>4</v>
      </c>
      <c r="D456" s="1">
        <v>35716</v>
      </c>
      <c r="E456" s="1">
        <v>35758</v>
      </c>
      <c r="F456" s="1">
        <v>35724</v>
      </c>
      <c r="G456">
        <v>1</v>
      </c>
      <c r="H456" s="2">
        <v>23.94</v>
      </c>
      <c r="I456" t="s">
        <v>408</v>
      </c>
      <c r="J456" t="s">
        <v>403</v>
      </c>
      <c r="K456" t="s">
        <v>404</v>
      </c>
      <c r="L456" t="s">
        <v>18</v>
      </c>
      <c r="M456">
        <v>12209</v>
      </c>
      <c r="N456" t="s">
        <v>24</v>
      </c>
    </row>
    <row r="457" spans="1:14" x14ac:dyDescent="0.2">
      <c r="A457">
        <v>10703</v>
      </c>
      <c r="B457" t="s">
        <v>87</v>
      </c>
      <c r="C457">
        <v>6</v>
      </c>
      <c r="D457" s="1">
        <v>35717</v>
      </c>
      <c r="E457" s="1">
        <v>35745</v>
      </c>
      <c r="F457" s="1">
        <v>35723</v>
      </c>
      <c r="G457">
        <v>2</v>
      </c>
      <c r="H457" s="2">
        <v>152.30000000000001</v>
      </c>
      <c r="I457" t="s">
        <v>88</v>
      </c>
      <c r="J457" t="s">
        <v>89</v>
      </c>
      <c r="K457" t="s">
        <v>90</v>
      </c>
      <c r="L457" t="s">
        <v>18</v>
      </c>
      <c r="M457" t="s">
        <v>91</v>
      </c>
      <c r="N457" t="s">
        <v>92</v>
      </c>
    </row>
    <row r="458" spans="1:14" x14ac:dyDescent="0.2">
      <c r="A458">
        <v>10704</v>
      </c>
      <c r="B458" t="s">
        <v>299</v>
      </c>
      <c r="C458">
        <v>6</v>
      </c>
      <c r="D458" s="1">
        <v>35717</v>
      </c>
      <c r="E458" s="1">
        <v>35745</v>
      </c>
      <c r="F458" s="1">
        <v>35741</v>
      </c>
      <c r="G458">
        <v>1</v>
      </c>
      <c r="H458" s="2">
        <v>4.78</v>
      </c>
      <c r="I458" t="s">
        <v>300</v>
      </c>
      <c r="J458" t="s">
        <v>301</v>
      </c>
      <c r="K458" t="s">
        <v>173</v>
      </c>
      <c r="L458" t="s">
        <v>55</v>
      </c>
      <c r="M458" t="s">
        <v>302</v>
      </c>
      <c r="N458" t="s">
        <v>31</v>
      </c>
    </row>
    <row r="459" spans="1:14" x14ac:dyDescent="0.2">
      <c r="A459">
        <v>10705</v>
      </c>
      <c r="B459" t="s">
        <v>57</v>
      </c>
      <c r="C459">
        <v>9</v>
      </c>
      <c r="D459" s="1">
        <v>35718</v>
      </c>
      <c r="E459" s="1">
        <v>35746</v>
      </c>
      <c r="F459" s="1">
        <v>35752</v>
      </c>
      <c r="G459">
        <v>2</v>
      </c>
      <c r="H459" s="2">
        <v>3.52</v>
      </c>
      <c r="I459" t="s">
        <v>58</v>
      </c>
      <c r="J459" t="s">
        <v>59</v>
      </c>
      <c r="K459" t="s">
        <v>60</v>
      </c>
      <c r="L459" t="s">
        <v>61</v>
      </c>
      <c r="M459">
        <v>5022</v>
      </c>
      <c r="N459" t="s">
        <v>62</v>
      </c>
    </row>
    <row r="460" spans="1:14" x14ac:dyDescent="0.2">
      <c r="A460">
        <v>10706</v>
      </c>
      <c r="B460" t="s">
        <v>193</v>
      </c>
      <c r="C460">
        <v>8</v>
      </c>
      <c r="D460" s="1">
        <v>35719</v>
      </c>
      <c r="E460" s="1">
        <v>35747</v>
      </c>
      <c r="F460" s="1">
        <v>35724</v>
      </c>
      <c r="G460">
        <v>3</v>
      </c>
      <c r="H460" s="2">
        <v>135.63</v>
      </c>
      <c r="I460" t="s">
        <v>194</v>
      </c>
      <c r="J460" t="s">
        <v>195</v>
      </c>
      <c r="K460" t="s">
        <v>196</v>
      </c>
      <c r="L460" t="s">
        <v>197</v>
      </c>
      <c r="M460">
        <v>99508</v>
      </c>
      <c r="N460" t="s">
        <v>86</v>
      </c>
    </row>
    <row r="461" spans="1:14" x14ac:dyDescent="0.2">
      <c r="A461">
        <v>10707</v>
      </c>
      <c r="B461" t="s">
        <v>270</v>
      </c>
      <c r="C461">
        <v>4</v>
      </c>
      <c r="D461" s="1">
        <v>35719</v>
      </c>
      <c r="E461" s="1">
        <v>35733</v>
      </c>
      <c r="F461" s="1">
        <v>35726</v>
      </c>
      <c r="G461">
        <v>3</v>
      </c>
      <c r="H461" s="2">
        <v>21.74</v>
      </c>
      <c r="I461" t="s">
        <v>271</v>
      </c>
      <c r="J461" t="s">
        <v>272</v>
      </c>
      <c r="K461" t="s">
        <v>273</v>
      </c>
      <c r="L461" t="s">
        <v>274</v>
      </c>
      <c r="M461" t="s">
        <v>275</v>
      </c>
      <c r="N461" t="s">
        <v>169</v>
      </c>
    </row>
    <row r="462" spans="1:14" x14ac:dyDescent="0.2">
      <c r="A462">
        <v>10708</v>
      </c>
      <c r="B462" t="s">
        <v>206</v>
      </c>
      <c r="C462">
        <v>6</v>
      </c>
      <c r="D462" s="1">
        <v>35720</v>
      </c>
      <c r="E462" s="1">
        <v>35762</v>
      </c>
      <c r="F462" s="1">
        <v>35739</v>
      </c>
      <c r="G462">
        <v>2</v>
      </c>
      <c r="H462" s="2">
        <v>2.96</v>
      </c>
      <c r="I462" t="s">
        <v>207</v>
      </c>
      <c r="J462" t="s">
        <v>208</v>
      </c>
      <c r="K462" t="s">
        <v>201</v>
      </c>
      <c r="L462" t="s">
        <v>202</v>
      </c>
      <c r="M462">
        <v>97201</v>
      </c>
      <c r="N462" t="s">
        <v>86</v>
      </c>
    </row>
    <row r="463" spans="1:14" x14ac:dyDescent="0.2">
      <c r="A463">
        <v>10709</v>
      </c>
      <c r="B463" t="s">
        <v>342</v>
      </c>
      <c r="C463">
        <v>1</v>
      </c>
      <c r="D463" s="1">
        <v>35720</v>
      </c>
      <c r="E463" s="1">
        <v>35748</v>
      </c>
      <c r="F463" s="1">
        <v>35754</v>
      </c>
      <c r="G463">
        <v>3</v>
      </c>
      <c r="H463" s="2">
        <v>210.8</v>
      </c>
      <c r="I463" t="s">
        <v>343</v>
      </c>
      <c r="J463" t="s">
        <v>344</v>
      </c>
      <c r="K463" t="s">
        <v>345</v>
      </c>
      <c r="L463" t="s">
        <v>55</v>
      </c>
      <c r="M463" t="s">
        <v>346</v>
      </c>
      <c r="N463" t="s">
        <v>31</v>
      </c>
    </row>
    <row r="464" spans="1:14" x14ac:dyDescent="0.2">
      <c r="A464">
        <v>10710</v>
      </c>
      <c r="B464" t="s">
        <v>338</v>
      </c>
      <c r="C464">
        <v>1</v>
      </c>
      <c r="D464" s="1">
        <v>35723</v>
      </c>
      <c r="E464" s="1">
        <v>35751</v>
      </c>
      <c r="F464" s="1">
        <v>35726</v>
      </c>
      <c r="G464">
        <v>1</v>
      </c>
      <c r="H464" s="2">
        <v>4.9800000000000004</v>
      </c>
      <c r="I464" t="s">
        <v>339</v>
      </c>
      <c r="J464" t="s">
        <v>340</v>
      </c>
      <c r="K464" t="s">
        <v>341</v>
      </c>
      <c r="L464" t="s">
        <v>18</v>
      </c>
      <c r="M464">
        <v>10100</v>
      </c>
      <c r="N464" t="s">
        <v>129</v>
      </c>
    </row>
    <row r="465" spans="1:14" x14ac:dyDescent="0.2">
      <c r="A465">
        <v>10711</v>
      </c>
      <c r="B465" t="s">
        <v>226</v>
      </c>
      <c r="C465">
        <v>5</v>
      </c>
      <c r="D465" s="1">
        <v>35724</v>
      </c>
      <c r="E465" s="1">
        <v>35766</v>
      </c>
      <c r="F465" s="1">
        <v>35732</v>
      </c>
      <c r="G465">
        <v>2</v>
      </c>
      <c r="H465" s="2">
        <v>52.41</v>
      </c>
      <c r="I465" t="s">
        <v>227</v>
      </c>
      <c r="J465" t="s">
        <v>228</v>
      </c>
      <c r="K465" t="s">
        <v>229</v>
      </c>
      <c r="L465" t="s">
        <v>230</v>
      </c>
      <c r="M465">
        <v>83720</v>
      </c>
      <c r="N465" t="s">
        <v>86</v>
      </c>
    </row>
    <row r="466" spans="1:14" x14ac:dyDescent="0.2">
      <c r="A466">
        <v>10712</v>
      </c>
      <c r="B466" t="s">
        <v>179</v>
      </c>
      <c r="C466">
        <v>3</v>
      </c>
      <c r="D466" s="1">
        <v>35724</v>
      </c>
      <c r="E466" s="1">
        <v>35752</v>
      </c>
      <c r="F466" s="1">
        <v>35734</v>
      </c>
      <c r="G466">
        <v>1</v>
      </c>
      <c r="H466" s="2">
        <v>89.93</v>
      </c>
      <c r="I466" t="s">
        <v>180</v>
      </c>
      <c r="J466" t="s">
        <v>181</v>
      </c>
      <c r="K466" t="s">
        <v>182</v>
      </c>
      <c r="L466" t="s">
        <v>183</v>
      </c>
      <c r="M466" t="s">
        <v>18</v>
      </c>
      <c r="N466" t="s">
        <v>184</v>
      </c>
    </row>
    <row r="467" spans="1:14" x14ac:dyDescent="0.2">
      <c r="A467">
        <v>10713</v>
      </c>
      <c r="B467" t="s">
        <v>226</v>
      </c>
      <c r="C467">
        <v>1</v>
      </c>
      <c r="D467" s="1">
        <v>35725</v>
      </c>
      <c r="E467" s="1">
        <v>35753</v>
      </c>
      <c r="F467" s="1">
        <v>35727</v>
      </c>
      <c r="G467">
        <v>1</v>
      </c>
      <c r="H467" s="2">
        <v>167.05</v>
      </c>
      <c r="I467" t="s">
        <v>227</v>
      </c>
      <c r="J467" t="s">
        <v>228</v>
      </c>
      <c r="K467" t="s">
        <v>229</v>
      </c>
      <c r="L467" t="s">
        <v>230</v>
      </c>
      <c r="M467">
        <v>83720</v>
      </c>
      <c r="N467" t="s">
        <v>86</v>
      </c>
    </row>
    <row r="468" spans="1:14" x14ac:dyDescent="0.2">
      <c r="A468">
        <v>10714</v>
      </c>
      <c r="B468" t="s">
        <v>226</v>
      </c>
      <c r="C468">
        <v>5</v>
      </c>
      <c r="D468" s="1">
        <v>35725</v>
      </c>
      <c r="E468" s="1">
        <v>35753</v>
      </c>
      <c r="F468" s="1">
        <v>35730</v>
      </c>
      <c r="G468">
        <v>3</v>
      </c>
      <c r="H468" s="2">
        <v>24.49</v>
      </c>
      <c r="I468" t="s">
        <v>227</v>
      </c>
      <c r="J468" t="s">
        <v>228</v>
      </c>
      <c r="K468" t="s">
        <v>229</v>
      </c>
      <c r="L468" t="s">
        <v>230</v>
      </c>
      <c r="M468">
        <v>83720</v>
      </c>
      <c r="N468" t="s">
        <v>86</v>
      </c>
    </row>
    <row r="469" spans="1:14" x14ac:dyDescent="0.2">
      <c r="A469">
        <v>10715</v>
      </c>
      <c r="B469" t="s">
        <v>239</v>
      </c>
      <c r="C469">
        <v>3</v>
      </c>
      <c r="D469" s="1">
        <v>35726</v>
      </c>
      <c r="E469" s="1">
        <v>35740</v>
      </c>
      <c r="F469" s="1">
        <v>35732</v>
      </c>
      <c r="G469">
        <v>1</v>
      </c>
      <c r="H469" s="2">
        <v>63.2</v>
      </c>
      <c r="I469" t="s">
        <v>240</v>
      </c>
      <c r="J469" t="s">
        <v>241</v>
      </c>
      <c r="K469" t="s">
        <v>242</v>
      </c>
      <c r="L469" t="s">
        <v>18</v>
      </c>
      <c r="M469">
        <v>13008</v>
      </c>
      <c r="N469" t="s">
        <v>19</v>
      </c>
    </row>
    <row r="470" spans="1:14" x14ac:dyDescent="0.2">
      <c r="A470">
        <v>10716</v>
      </c>
      <c r="B470" t="s">
        <v>351</v>
      </c>
      <c r="C470">
        <v>4</v>
      </c>
      <c r="D470" s="1">
        <v>35727</v>
      </c>
      <c r="E470" s="1">
        <v>35755</v>
      </c>
      <c r="F470" s="1">
        <v>35730</v>
      </c>
      <c r="G470">
        <v>2</v>
      </c>
      <c r="H470" s="2">
        <v>22.57</v>
      </c>
      <c r="I470" t="s">
        <v>352</v>
      </c>
      <c r="J470" t="s">
        <v>353</v>
      </c>
      <c r="K470" t="s">
        <v>336</v>
      </c>
      <c r="L470" t="s">
        <v>18</v>
      </c>
      <c r="M470">
        <v>1010</v>
      </c>
      <c r="N470" t="s">
        <v>337</v>
      </c>
    </row>
    <row r="471" spans="1:14" x14ac:dyDescent="0.2">
      <c r="A471">
        <v>10717</v>
      </c>
      <c r="B471" t="s">
        <v>102</v>
      </c>
      <c r="C471">
        <v>1</v>
      </c>
      <c r="D471" s="1">
        <v>35727</v>
      </c>
      <c r="E471" s="1">
        <v>35755</v>
      </c>
      <c r="F471" s="1">
        <v>35732</v>
      </c>
      <c r="G471">
        <v>2</v>
      </c>
      <c r="H471" s="2">
        <v>59.25</v>
      </c>
      <c r="I471" t="s">
        <v>103</v>
      </c>
      <c r="J471" t="s">
        <v>104</v>
      </c>
      <c r="K471" t="s">
        <v>105</v>
      </c>
      <c r="L471" t="s">
        <v>18</v>
      </c>
      <c r="M471">
        <v>80805</v>
      </c>
      <c r="N471" t="s">
        <v>24</v>
      </c>
    </row>
    <row r="472" spans="1:14" x14ac:dyDescent="0.2">
      <c r="A472">
        <v>10718</v>
      </c>
      <c r="B472" t="s">
        <v>222</v>
      </c>
      <c r="C472">
        <v>1</v>
      </c>
      <c r="D472" s="1">
        <v>35730</v>
      </c>
      <c r="E472" s="1">
        <v>35758</v>
      </c>
      <c r="F472" s="1">
        <v>35732</v>
      </c>
      <c r="G472">
        <v>3</v>
      </c>
      <c r="H472" s="2">
        <v>170.88</v>
      </c>
      <c r="I472" t="s">
        <v>223</v>
      </c>
      <c r="J472" t="s">
        <v>224</v>
      </c>
      <c r="K472" t="s">
        <v>225</v>
      </c>
      <c r="L472" t="s">
        <v>18</v>
      </c>
      <c r="M472">
        <v>14776</v>
      </c>
      <c r="N472" t="s">
        <v>24</v>
      </c>
    </row>
    <row r="473" spans="1:14" x14ac:dyDescent="0.2">
      <c r="A473">
        <v>10719</v>
      </c>
      <c r="B473" t="s">
        <v>387</v>
      </c>
      <c r="C473">
        <v>8</v>
      </c>
      <c r="D473" s="1">
        <v>35730</v>
      </c>
      <c r="E473" s="1">
        <v>35758</v>
      </c>
      <c r="F473" s="1">
        <v>35739</v>
      </c>
      <c r="G473">
        <v>2</v>
      </c>
      <c r="H473" s="2">
        <v>51.44</v>
      </c>
      <c r="I473" t="s">
        <v>388</v>
      </c>
      <c r="J473" t="s">
        <v>389</v>
      </c>
      <c r="K473" t="s">
        <v>390</v>
      </c>
      <c r="L473" t="s">
        <v>391</v>
      </c>
      <c r="M473">
        <v>94117</v>
      </c>
      <c r="N473" t="s">
        <v>86</v>
      </c>
    </row>
    <row r="474" spans="1:14" x14ac:dyDescent="0.2">
      <c r="A474">
        <v>10720</v>
      </c>
      <c r="B474" t="s">
        <v>77</v>
      </c>
      <c r="C474">
        <v>8</v>
      </c>
      <c r="D474" s="1">
        <v>35731</v>
      </c>
      <c r="E474" s="1">
        <v>35745</v>
      </c>
      <c r="F474" s="1">
        <v>35739</v>
      </c>
      <c r="G474">
        <v>2</v>
      </c>
      <c r="H474" s="2">
        <v>9.5299999999999994</v>
      </c>
      <c r="I474" t="s">
        <v>78</v>
      </c>
      <c r="J474" t="s">
        <v>79</v>
      </c>
      <c r="K474" t="s">
        <v>28</v>
      </c>
      <c r="L474" t="s">
        <v>29</v>
      </c>
      <c r="M474" t="s">
        <v>80</v>
      </c>
      <c r="N474" t="s">
        <v>31</v>
      </c>
    </row>
    <row r="475" spans="1:14" x14ac:dyDescent="0.2">
      <c r="A475">
        <v>10721</v>
      </c>
      <c r="B475" t="s">
        <v>121</v>
      </c>
      <c r="C475">
        <v>5</v>
      </c>
      <c r="D475" s="1">
        <v>35732</v>
      </c>
      <c r="E475" s="1">
        <v>35760</v>
      </c>
      <c r="F475" s="1">
        <v>35734</v>
      </c>
      <c r="G475">
        <v>3</v>
      </c>
      <c r="H475" s="2">
        <v>48.92</v>
      </c>
      <c r="I475" t="s">
        <v>122</v>
      </c>
      <c r="J475" t="s">
        <v>123</v>
      </c>
      <c r="K475" t="s">
        <v>124</v>
      </c>
      <c r="L475" t="s">
        <v>18</v>
      </c>
      <c r="M475">
        <v>1307</v>
      </c>
      <c r="N475" t="s">
        <v>24</v>
      </c>
    </row>
    <row r="476" spans="1:14" x14ac:dyDescent="0.2">
      <c r="A476">
        <v>10722</v>
      </c>
      <c r="B476" t="s">
        <v>226</v>
      </c>
      <c r="C476">
        <v>8</v>
      </c>
      <c r="D476" s="1">
        <v>35732</v>
      </c>
      <c r="E476" s="1">
        <v>35774</v>
      </c>
      <c r="F476" s="1">
        <v>35738</v>
      </c>
      <c r="G476">
        <v>1</v>
      </c>
      <c r="H476" s="2">
        <v>74.58</v>
      </c>
      <c r="I476" t="s">
        <v>227</v>
      </c>
      <c r="J476" t="s">
        <v>228</v>
      </c>
      <c r="K476" t="s">
        <v>229</v>
      </c>
      <c r="L476" t="s">
        <v>230</v>
      </c>
      <c r="M476">
        <v>83720</v>
      </c>
      <c r="N476" t="s">
        <v>86</v>
      </c>
    </row>
    <row r="477" spans="1:14" x14ac:dyDescent="0.2">
      <c r="A477">
        <v>10723</v>
      </c>
      <c r="B477" t="s">
        <v>111</v>
      </c>
      <c r="C477">
        <v>3</v>
      </c>
      <c r="D477" s="1">
        <v>35733</v>
      </c>
      <c r="E477" s="1">
        <v>35761</v>
      </c>
      <c r="F477" s="1">
        <v>35759</v>
      </c>
      <c r="G477">
        <v>1</v>
      </c>
      <c r="H477" s="2">
        <v>21.72</v>
      </c>
      <c r="I477" t="s">
        <v>112</v>
      </c>
      <c r="J477" t="s">
        <v>113</v>
      </c>
      <c r="K477" t="s">
        <v>114</v>
      </c>
      <c r="L477" t="s">
        <v>115</v>
      </c>
      <c r="M477">
        <v>98124</v>
      </c>
      <c r="N477" t="s">
        <v>86</v>
      </c>
    </row>
    <row r="478" spans="1:14" x14ac:dyDescent="0.2">
      <c r="A478">
        <v>10724</v>
      </c>
      <c r="B478" t="s">
        <v>243</v>
      </c>
      <c r="C478">
        <v>8</v>
      </c>
      <c r="D478" s="1">
        <v>35733</v>
      </c>
      <c r="E478" s="1">
        <v>35775</v>
      </c>
      <c r="F478" s="1">
        <v>35739</v>
      </c>
      <c r="G478">
        <v>2</v>
      </c>
      <c r="H478" s="2">
        <v>57.75</v>
      </c>
      <c r="I478" t="s">
        <v>244</v>
      </c>
      <c r="J478" t="s">
        <v>245</v>
      </c>
      <c r="K478" t="s">
        <v>246</v>
      </c>
      <c r="L478" t="s">
        <v>247</v>
      </c>
      <c r="M478" t="s">
        <v>248</v>
      </c>
      <c r="N478" t="s">
        <v>249</v>
      </c>
    </row>
    <row r="479" spans="1:14" x14ac:dyDescent="0.2">
      <c r="A479">
        <v>10725</v>
      </c>
      <c r="B479" t="s">
        <v>258</v>
      </c>
      <c r="C479">
        <v>4</v>
      </c>
      <c r="D479" s="1">
        <v>35734</v>
      </c>
      <c r="E479" s="1">
        <v>35762</v>
      </c>
      <c r="F479" s="1">
        <v>35739</v>
      </c>
      <c r="G479">
        <v>3</v>
      </c>
      <c r="H479" s="2">
        <v>10.83</v>
      </c>
      <c r="I479" t="s">
        <v>259</v>
      </c>
      <c r="J479" t="s">
        <v>260</v>
      </c>
      <c r="K479" t="s">
        <v>173</v>
      </c>
      <c r="L479" t="s">
        <v>55</v>
      </c>
      <c r="M479" t="s">
        <v>261</v>
      </c>
      <c r="N479" t="s">
        <v>31</v>
      </c>
    </row>
    <row r="480" spans="1:14" x14ac:dyDescent="0.2">
      <c r="A480">
        <v>10726</v>
      </c>
      <c r="B480" t="s">
        <v>284</v>
      </c>
      <c r="C480">
        <v>4</v>
      </c>
      <c r="D480" s="1">
        <v>35737</v>
      </c>
      <c r="E480" s="1">
        <v>35751</v>
      </c>
      <c r="F480" s="1">
        <v>35769</v>
      </c>
      <c r="G480">
        <v>1</v>
      </c>
      <c r="H480" s="2">
        <v>16.559999999999999</v>
      </c>
      <c r="I480" t="s">
        <v>285</v>
      </c>
      <c r="J480" t="s">
        <v>286</v>
      </c>
      <c r="K480" t="s">
        <v>167</v>
      </c>
      <c r="L480" t="s">
        <v>18</v>
      </c>
      <c r="M480" t="s">
        <v>287</v>
      </c>
      <c r="N480" t="s">
        <v>169</v>
      </c>
    </row>
    <row r="481" spans="1:14" x14ac:dyDescent="0.2">
      <c r="A481">
        <v>10727</v>
      </c>
      <c r="B481" t="s">
        <v>160</v>
      </c>
      <c r="C481">
        <v>2</v>
      </c>
      <c r="D481" s="1">
        <v>35737</v>
      </c>
      <c r="E481" s="1">
        <v>35765</v>
      </c>
      <c r="F481" s="1">
        <v>35769</v>
      </c>
      <c r="G481">
        <v>1</v>
      </c>
      <c r="H481" s="2">
        <v>89.9</v>
      </c>
      <c r="I481" t="s">
        <v>161</v>
      </c>
      <c r="J481" t="s">
        <v>162</v>
      </c>
      <c r="K481" t="s">
        <v>163</v>
      </c>
      <c r="L481" t="s">
        <v>18</v>
      </c>
      <c r="M481">
        <v>42100</v>
      </c>
      <c r="N481" t="s">
        <v>129</v>
      </c>
    </row>
    <row r="482" spans="1:14" x14ac:dyDescent="0.2">
      <c r="A482">
        <v>10728</v>
      </c>
      <c r="B482" t="s">
        <v>299</v>
      </c>
      <c r="C482">
        <v>4</v>
      </c>
      <c r="D482" s="1">
        <v>35738</v>
      </c>
      <c r="E482" s="1">
        <v>35766</v>
      </c>
      <c r="F482" s="1">
        <v>35745</v>
      </c>
      <c r="G482">
        <v>2</v>
      </c>
      <c r="H482" s="2">
        <v>58.33</v>
      </c>
      <c r="I482" t="s">
        <v>300</v>
      </c>
      <c r="J482" t="s">
        <v>301</v>
      </c>
      <c r="K482" t="s">
        <v>173</v>
      </c>
      <c r="L482" t="s">
        <v>55</v>
      </c>
      <c r="M482" t="s">
        <v>302</v>
      </c>
      <c r="N482" t="s">
        <v>31</v>
      </c>
    </row>
    <row r="483" spans="1:14" x14ac:dyDescent="0.2">
      <c r="A483">
        <v>10729</v>
      </c>
      <c r="B483" t="s">
        <v>324</v>
      </c>
      <c r="C483">
        <v>8</v>
      </c>
      <c r="D483" s="1">
        <v>35738</v>
      </c>
      <c r="E483" s="1">
        <v>35780</v>
      </c>
      <c r="F483" s="1">
        <v>35748</v>
      </c>
      <c r="G483">
        <v>3</v>
      </c>
      <c r="H483" s="2">
        <v>141.06</v>
      </c>
      <c r="I483" t="s">
        <v>325</v>
      </c>
      <c r="J483" t="s">
        <v>326</v>
      </c>
      <c r="K483" t="s">
        <v>327</v>
      </c>
      <c r="L483" t="s">
        <v>328</v>
      </c>
      <c r="M483">
        <v>4980</v>
      </c>
      <c r="N483" t="s">
        <v>62</v>
      </c>
    </row>
    <row r="484" spans="1:14" x14ac:dyDescent="0.2">
      <c r="A484">
        <v>10730</v>
      </c>
      <c r="B484" t="s">
        <v>239</v>
      </c>
      <c r="C484">
        <v>5</v>
      </c>
      <c r="D484" s="1">
        <v>35739</v>
      </c>
      <c r="E484" s="1">
        <v>35767</v>
      </c>
      <c r="F484" s="1">
        <v>35748</v>
      </c>
      <c r="G484">
        <v>1</v>
      </c>
      <c r="H484" s="2">
        <v>20.12</v>
      </c>
      <c r="I484" t="s">
        <v>240</v>
      </c>
      <c r="J484" t="s">
        <v>241</v>
      </c>
      <c r="K484" t="s">
        <v>242</v>
      </c>
      <c r="L484" t="s">
        <v>18</v>
      </c>
      <c r="M484">
        <v>13008</v>
      </c>
      <c r="N484" t="s">
        <v>19</v>
      </c>
    </row>
    <row r="485" spans="1:14" x14ac:dyDescent="0.2">
      <c r="A485">
        <v>10731</v>
      </c>
      <c r="B485" t="s">
        <v>42</v>
      </c>
      <c r="C485">
        <v>7</v>
      </c>
      <c r="D485" s="1">
        <v>35740</v>
      </c>
      <c r="E485" s="1">
        <v>35768</v>
      </c>
      <c r="F485" s="1">
        <v>35748</v>
      </c>
      <c r="G485">
        <v>1</v>
      </c>
      <c r="H485" s="2">
        <v>96.65</v>
      </c>
      <c r="I485" t="s">
        <v>43</v>
      </c>
      <c r="J485" t="s">
        <v>44</v>
      </c>
      <c r="K485" t="s">
        <v>45</v>
      </c>
      <c r="L485" t="s">
        <v>18</v>
      </c>
      <c r="M485">
        <v>3012</v>
      </c>
      <c r="N485" t="s">
        <v>46</v>
      </c>
    </row>
    <row r="486" spans="1:14" x14ac:dyDescent="0.2">
      <c r="A486">
        <v>10732</v>
      </c>
      <c r="B486" t="s">
        <v>239</v>
      </c>
      <c r="C486">
        <v>3</v>
      </c>
      <c r="D486" s="1">
        <v>35740</v>
      </c>
      <c r="E486" s="1">
        <v>35768</v>
      </c>
      <c r="F486" s="1">
        <v>35741</v>
      </c>
      <c r="G486">
        <v>1</v>
      </c>
      <c r="H486" s="2">
        <v>16.97</v>
      </c>
      <c r="I486" t="s">
        <v>240</v>
      </c>
      <c r="J486" t="s">
        <v>241</v>
      </c>
      <c r="K486" t="s">
        <v>242</v>
      </c>
      <c r="L486" t="s">
        <v>18</v>
      </c>
      <c r="M486">
        <v>13008</v>
      </c>
      <c r="N486" t="s">
        <v>19</v>
      </c>
    </row>
    <row r="487" spans="1:14" x14ac:dyDescent="0.2">
      <c r="A487">
        <v>10733</v>
      </c>
      <c r="B487" t="s">
        <v>137</v>
      </c>
      <c r="C487">
        <v>1</v>
      </c>
      <c r="D487" s="1">
        <v>35741</v>
      </c>
      <c r="E487" s="1">
        <v>35769</v>
      </c>
      <c r="F487" s="1">
        <v>35744</v>
      </c>
      <c r="G487">
        <v>3</v>
      </c>
      <c r="H487" s="2">
        <v>110.11</v>
      </c>
      <c r="I487" t="s">
        <v>138</v>
      </c>
      <c r="J487" t="s">
        <v>139</v>
      </c>
      <c r="K487" t="s">
        <v>140</v>
      </c>
      <c r="L487" t="s">
        <v>18</v>
      </c>
      <c r="M487" t="s">
        <v>141</v>
      </c>
      <c r="N487" t="s">
        <v>92</v>
      </c>
    </row>
    <row r="488" spans="1:14" x14ac:dyDescent="0.2">
      <c r="A488">
        <v>10734</v>
      </c>
      <c r="B488" t="s">
        <v>342</v>
      </c>
      <c r="C488">
        <v>2</v>
      </c>
      <c r="D488" s="1">
        <v>35741</v>
      </c>
      <c r="E488" s="1">
        <v>35769</v>
      </c>
      <c r="F488" s="1">
        <v>35746</v>
      </c>
      <c r="G488">
        <v>3</v>
      </c>
      <c r="H488" s="2">
        <v>1.63</v>
      </c>
      <c r="I488" t="s">
        <v>343</v>
      </c>
      <c r="J488" t="s">
        <v>344</v>
      </c>
      <c r="K488" t="s">
        <v>345</v>
      </c>
      <c r="L488" t="s">
        <v>55</v>
      </c>
      <c r="M488" t="s">
        <v>346</v>
      </c>
      <c r="N488" t="s">
        <v>31</v>
      </c>
    </row>
    <row r="489" spans="1:14" x14ac:dyDescent="0.2">
      <c r="A489">
        <v>10735</v>
      </c>
      <c r="B489" t="s">
        <v>387</v>
      </c>
      <c r="C489">
        <v>6</v>
      </c>
      <c r="D489" s="1">
        <v>35744</v>
      </c>
      <c r="E489" s="1">
        <v>35772</v>
      </c>
      <c r="F489" s="1">
        <v>35755</v>
      </c>
      <c r="G489">
        <v>2</v>
      </c>
      <c r="H489" s="2">
        <v>45.97</v>
      </c>
      <c r="I489" t="s">
        <v>388</v>
      </c>
      <c r="J489" t="s">
        <v>389</v>
      </c>
      <c r="K489" t="s">
        <v>390</v>
      </c>
      <c r="L489" t="s">
        <v>391</v>
      </c>
      <c r="M489">
        <v>94117</v>
      </c>
      <c r="N489" t="s">
        <v>86</v>
      </c>
    </row>
    <row r="490" spans="1:14" x14ac:dyDescent="0.2">
      <c r="A490">
        <v>10736</v>
      </c>
      <c r="B490" t="s">
        <v>179</v>
      </c>
      <c r="C490">
        <v>9</v>
      </c>
      <c r="D490" s="1">
        <v>35745</v>
      </c>
      <c r="E490" s="1">
        <v>35773</v>
      </c>
      <c r="F490" s="1">
        <v>35755</v>
      </c>
      <c r="G490">
        <v>2</v>
      </c>
      <c r="H490" s="2">
        <v>44.1</v>
      </c>
      <c r="I490" t="s">
        <v>180</v>
      </c>
      <c r="J490" t="s">
        <v>181</v>
      </c>
      <c r="K490" t="s">
        <v>182</v>
      </c>
      <c r="L490" t="s">
        <v>183</v>
      </c>
      <c r="M490" t="s">
        <v>18</v>
      </c>
      <c r="N490" t="s">
        <v>184</v>
      </c>
    </row>
    <row r="491" spans="1:14" x14ac:dyDescent="0.2">
      <c r="A491">
        <v>10737</v>
      </c>
      <c r="B491" t="s">
        <v>14</v>
      </c>
      <c r="C491">
        <v>2</v>
      </c>
      <c r="D491" s="1">
        <v>35745</v>
      </c>
      <c r="E491" s="1">
        <v>35773</v>
      </c>
      <c r="F491" s="1">
        <v>35752</v>
      </c>
      <c r="G491">
        <v>2</v>
      </c>
      <c r="H491" s="2">
        <v>7.79</v>
      </c>
      <c r="I491" t="s">
        <v>15</v>
      </c>
      <c r="J491" t="s">
        <v>16</v>
      </c>
      <c r="K491" t="s">
        <v>17</v>
      </c>
      <c r="L491" t="s">
        <v>18</v>
      </c>
      <c r="M491">
        <v>51100</v>
      </c>
      <c r="N491" t="s">
        <v>19</v>
      </c>
    </row>
    <row r="492" spans="1:14" x14ac:dyDescent="0.2">
      <c r="A492">
        <v>10738</v>
      </c>
      <c r="B492" t="s">
        <v>409</v>
      </c>
      <c r="C492">
        <v>2</v>
      </c>
      <c r="D492" s="1">
        <v>35746</v>
      </c>
      <c r="E492" s="1">
        <v>35774</v>
      </c>
      <c r="F492" s="1">
        <v>35752</v>
      </c>
      <c r="G492">
        <v>1</v>
      </c>
      <c r="H492" s="2">
        <v>2.91</v>
      </c>
      <c r="I492" t="s">
        <v>410</v>
      </c>
      <c r="J492" t="s">
        <v>411</v>
      </c>
      <c r="K492" t="s">
        <v>412</v>
      </c>
      <c r="L492" t="s">
        <v>18</v>
      </c>
      <c r="M492">
        <v>75016</v>
      </c>
      <c r="N492" t="s">
        <v>19</v>
      </c>
    </row>
    <row r="493" spans="1:14" x14ac:dyDescent="0.2">
      <c r="A493">
        <v>10739</v>
      </c>
      <c r="B493" t="s">
        <v>14</v>
      </c>
      <c r="C493">
        <v>3</v>
      </c>
      <c r="D493" s="1">
        <v>35746</v>
      </c>
      <c r="E493" s="1">
        <v>35774</v>
      </c>
      <c r="F493" s="1">
        <v>35751</v>
      </c>
      <c r="G493">
        <v>3</v>
      </c>
      <c r="H493" s="2">
        <v>11.08</v>
      </c>
      <c r="I493" t="s">
        <v>15</v>
      </c>
      <c r="J493" t="s">
        <v>16</v>
      </c>
      <c r="K493" t="s">
        <v>17</v>
      </c>
      <c r="L493" t="s">
        <v>18</v>
      </c>
      <c r="M493">
        <v>51100</v>
      </c>
      <c r="N493" t="s">
        <v>19</v>
      </c>
    </row>
    <row r="494" spans="1:14" x14ac:dyDescent="0.2">
      <c r="A494">
        <v>10740</v>
      </c>
      <c r="B494" t="s">
        <v>111</v>
      </c>
      <c r="C494">
        <v>4</v>
      </c>
      <c r="D494" s="1">
        <v>35747</v>
      </c>
      <c r="E494" s="1">
        <v>35775</v>
      </c>
      <c r="F494" s="1">
        <v>35759</v>
      </c>
      <c r="G494">
        <v>2</v>
      </c>
      <c r="H494" s="2">
        <v>81.88</v>
      </c>
      <c r="I494" t="s">
        <v>112</v>
      </c>
      <c r="J494" t="s">
        <v>113</v>
      </c>
      <c r="K494" t="s">
        <v>114</v>
      </c>
      <c r="L494" t="s">
        <v>115</v>
      </c>
      <c r="M494">
        <v>98124</v>
      </c>
      <c r="N494" t="s">
        <v>86</v>
      </c>
    </row>
    <row r="495" spans="1:14" x14ac:dyDescent="0.2">
      <c r="A495">
        <v>10741</v>
      </c>
      <c r="B495" t="s">
        <v>270</v>
      </c>
      <c r="C495">
        <v>4</v>
      </c>
      <c r="D495" s="1">
        <v>35748</v>
      </c>
      <c r="E495" s="1">
        <v>35762</v>
      </c>
      <c r="F495" s="1">
        <v>35752</v>
      </c>
      <c r="G495">
        <v>3</v>
      </c>
      <c r="H495" s="2">
        <v>10.96</v>
      </c>
      <c r="I495" t="s">
        <v>271</v>
      </c>
      <c r="J495" t="s">
        <v>272</v>
      </c>
      <c r="K495" t="s">
        <v>273</v>
      </c>
      <c r="L495" t="s">
        <v>274</v>
      </c>
      <c r="M495" t="s">
        <v>275</v>
      </c>
      <c r="N495" t="s">
        <v>169</v>
      </c>
    </row>
    <row r="496" spans="1:14" x14ac:dyDescent="0.2">
      <c r="A496">
        <v>10742</v>
      </c>
      <c r="B496" t="s">
        <v>318</v>
      </c>
      <c r="C496">
        <v>3</v>
      </c>
      <c r="D496" s="1">
        <v>35748</v>
      </c>
      <c r="E496" s="1">
        <v>35776</v>
      </c>
      <c r="F496" s="1">
        <v>35752</v>
      </c>
      <c r="G496">
        <v>3</v>
      </c>
      <c r="H496" s="2">
        <v>243.73</v>
      </c>
      <c r="I496" t="s">
        <v>319</v>
      </c>
      <c r="J496" t="s">
        <v>320</v>
      </c>
      <c r="K496" t="s">
        <v>321</v>
      </c>
      <c r="L496" t="s">
        <v>322</v>
      </c>
      <c r="M496" t="s">
        <v>323</v>
      </c>
      <c r="N496" t="s">
        <v>249</v>
      </c>
    </row>
    <row r="497" spans="1:14" x14ac:dyDescent="0.2">
      <c r="A497">
        <v>10743</v>
      </c>
      <c r="B497" t="s">
        <v>270</v>
      </c>
      <c r="C497">
        <v>1</v>
      </c>
      <c r="D497" s="1">
        <v>35751</v>
      </c>
      <c r="E497" s="1">
        <v>35779</v>
      </c>
      <c r="F497" s="1">
        <v>35755</v>
      </c>
      <c r="G497">
        <v>2</v>
      </c>
      <c r="H497" s="2">
        <v>23.72</v>
      </c>
      <c r="I497" t="s">
        <v>271</v>
      </c>
      <c r="J497" t="s">
        <v>272</v>
      </c>
      <c r="K497" t="s">
        <v>273</v>
      </c>
      <c r="L497" t="s">
        <v>274</v>
      </c>
      <c r="M497" t="s">
        <v>275</v>
      </c>
      <c r="N497" t="s">
        <v>169</v>
      </c>
    </row>
    <row r="498" spans="1:14" x14ac:dyDescent="0.2">
      <c r="A498">
        <v>10744</v>
      </c>
      <c r="B498" t="s">
        <v>295</v>
      </c>
      <c r="C498">
        <v>6</v>
      </c>
      <c r="D498" s="1">
        <v>35751</v>
      </c>
      <c r="E498" s="1">
        <v>35779</v>
      </c>
      <c r="F498" s="1">
        <v>35758</v>
      </c>
      <c r="G498">
        <v>1</v>
      </c>
      <c r="H498" s="2">
        <v>69.19</v>
      </c>
      <c r="I498" t="s">
        <v>296</v>
      </c>
      <c r="J498" t="s">
        <v>297</v>
      </c>
      <c r="K498" t="s">
        <v>298</v>
      </c>
      <c r="L498" t="s">
        <v>18</v>
      </c>
      <c r="M498">
        <v>8200</v>
      </c>
      <c r="N498" t="s">
        <v>257</v>
      </c>
    </row>
    <row r="499" spans="1:14" x14ac:dyDescent="0.2">
      <c r="A499">
        <v>10745</v>
      </c>
      <c r="B499" t="s">
        <v>121</v>
      </c>
      <c r="C499">
        <v>9</v>
      </c>
      <c r="D499" s="1">
        <v>35752</v>
      </c>
      <c r="E499" s="1">
        <v>35780</v>
      </c>
      <c r="F499" s="1">
        <v>35761</v>
      </c>
      <c r="G499">
        <v>1</v>
      </c>
      <c r="H499" s="2">
        <v>3.52</v>
      </c>
      <c r="I499" t="s">
        <v>122</v>
      </c>
      <c r="J499" t="s">
        <v>123</v>
      </c>
      <c r="K499" t="s">
        <v>124</v>
      </c>
      <c r="L499" t="s">
        <v>18</v>
      </c>
      <c r="M499">
        <v>1307</v>
      </c>
      <c r="N499" t="s">
        <v>24</v>
      </c>
    </row>
    <row r="500" spans="1:14" x14ac:dyDescent="0.2">
      <c r="A500">
        <v>10746</v>
      </c>
      <c r="B500" t="s">
        <v>42</v>
      </c>
      <c r="C500">
        <v>1</v>
      </c>
      <c r="D500" s="1">
        <v>35753</v>
      </c>
      <c r="E500" s="1">
        <v>35781</v>
      </c>
      <c r="F500" s="1">
        <v>35755</v>
      </c>
      <c r="G500">
        <v>3</v>
      </c>
      <c r="H500" s="2">
        <v>31.43</v>
      </c>
      <c r="I500" t="s">
        <v>43</v>
      </c>
      <c r="J500" t="s">
        <v>44</v>
      </c>
      <c r="K500" t="s">
        <v>45</v>
      </c>
      <c r="L500" t="s">
        <v>18</v>
      </c>
      <c r="M500">
        <v>3012</v>
      </c>
      <c r="N500" t="s">
        <v>46</v>
      </c>
    </row>
    <row r="501" spans="1:14" x14ac:dyDescent="0.2">
      <c r="A501">
        <v>10747</v>
      </c>
      <c r="B501" t="s">
        <v>266</v>
      </c>
      <c r="C501">
        <v>6</v>
      </c>
      <c r="D501" s="1">
        <v>35753</v>
      </c>
      <c r="E501" s="1">
        <v>35781</v>
      </c>
      <c r="F501" s="1">
        <v>35760</v>
      </c>
      <c r="G501">
        <v>1</v>
      </c>
      <c r="H501" s="2">
        <v>117.33</v>
      </c>
      <c r="I501" t="s">
        <v>267</v>
      </c>
      <c r="J501" t="s">
        <v>268</v>
      </c>
      <c r="K501" t="s">
        <v>269</v>
      </c>
      <c r="L501" t="s">
        <v>18</v>
      </c>
      <c r="M501">
        <v>5020</v>
      </c>
      <c r="N501" t="s">
        <v>67</v>
      </c>
    </row>
    <row r="502" spans="1:14" x14ac:dyDescent="0.2">
      <c r="A502">
        <v>10748</v>
      </c>
      <c r="B502" t="s">
        <v>226</v>
      </c>
      <c r="C502">
        <v>3</v>
      </c>
      <c r="D502" s="1">
        <v>35754</v>
      </c>
      <c r="E502" s="1">
        <v>35782</v>
      </c>
      <c r="F502" s="1">
        <v>35762</v>
      </c>
      <c r="G502">
        <v>1</v>
      </c>
      <c r="H502" s="2">
        <v>232.55</v>
      </c>
      <c r="I502" t="s">
        <v>227</v>
      </c>
      <c r="J502" t="s">
        <v>228</v>
      </c>
      <c r="K502" t="s">
        <v>229</v>
      </c>
      <c r="L502" t="s">
        <v>230</v>
      </c>
      <c r="M502">
        <v>83720</v>
      </c>
      <c r="N502" t="s">
        <v>86</v>
      </c>
    </row>
    <row r="503" spans="1:14" x14ac:dyDescent="0.2">
      <c r="A503">
        <v>10749</v>
      </c>
      <c r="B503" t="s">
        <v>213</v>
      </c>
      <c r="C503">
        <v>4</v>
      </c>
      <c r="D503" s="1">
        <v>35754</v>
      </c>
      <c r="E503" s="1">
        <v>35782</v>
      </c>
      <c r="F503" s="1">
        <v>35783</v>
      </c>
      <c r="G503">
        <v>2</v>
      </c>
      <c r="H503" s="2">
        <v>61.53</v>
      </c>
      <c r="I503" t="s">
        <v>214</v>
      </c>
      <c r="J503" t="s">
        <v>215</v>
      </c>
      <c r="K503" t="s">
        <v>216</v>
      </c>
      <c r="L503" t="s">
        <v>217</v>
      </c>
      <c r="M503" t="s">
        <v>218</v>
      </c>
      <c r="N503" t="s">
        <v>169</v>
      </c>
    </row>
    <row r="504" spans="1:14" x14ac:dyDescent="0.2">
      <c r="A504">
        <v>10750</v>
      </c>
      <c r="B504" t="s">
        <v>97</v>
      </c>
      <c r="C504">
        <v>9</v>
      </c>
      <c r="D504" s="1">
        <v>35755</v>
      </c>
      <c r="E504" s="1">
        <v>35783</v>
      </c>
      <c r="F504" s="1">
        <v>35758</v>
      </c>
      <c r="G504">
        <v>1</v>
      </c>
      <c r="H504" s="2">
        <v>79.3</v>
      </c>
      <c r="I504" t="s">
        <v>98</v>
      </c>
      <c r="J504" t="s">
        <v>99</v>
      </c>
      <c r="K504" t="s">
        <v>100</v>
      </c>
      <c r="L504" t="s">
        <v>18</v>
      </c>
      <c r="M504">
        <v>90110</v>
      </c>
      <c r="N504" t="s">
        <v>101</v>
      </c>
    </row>
    <row r="505" spans="1:14" x14ac:dyDescent="0.2">
      <c r="A505">
        <v>10751</v>
      </c>
      <c r="B505" t="s">
        <v>47</v>
      </c>
      <c r="C505">
        <v>3</v>
      </c>
      <c r="D505" s="1">
        <v>35758</v>
      </c>
      <c r="E505" s="1">
        <v>35786</v>
      </c>
      <c r="F505" s="1">
        <v>35767</v>
      </c>
      <c r="G505">
        <v>3</v>
      </c>
      <c r="H505" s="2">
        <v>130.79</v>
      </c>
      <c r="I505" t="s">
        <v>48</v>
      </c>
      <c r="J505" t="s">
        <v>49</v>
      </c>
      <c r="K505" t="s">
        <v>50</v>
      </c>
      <c r="L505" t="s">
        <v>18</v>
      </c>
      <c r="M505">
        <v>1204</v>
      </c>
      <c r="N505" t="s">
        <v>46</v>
      </c>
    </row>
    <row r="506" spans="1:14" x14ac:dyDescent="0.2">
      <c r="A506">
        <v>10752</v>
      </c>
      <c r="B506" t="s">
        <v>367</v>
      </c>
      <c r="C506">
        <v>2</v>
      </c>
      <c r="D506" s="1">
        <v>35758</v>
      </c>
      <c r="E506" s="1">
        <v>35786</v>
      </c>
      <c r="F506" s="1">
        <v>35762</v>
      </c>
      <c r="G506">
        <v>3</v>
      </c>
      <c r="H506" s="2">
        <v>1.39</v>
      </c>
      <c r="I506" t="s">
        <v>368</v>
      </c>
      <c r="J506" t="s">
        <v>369</v>
      </c>
      <c r="K506" t="s">
        <v>167</v>
      </c>
      <c r="L506" t="s">
        <v>18</v>
      </c>
      <c r="M506" t="s">
        <v>370</v>
      </c>
      <c r="N506" t="s">
        <v>169</v>
      </c>
    </row>
    <row r="507" spans="1:14" x14ac:dyDescent="0.2">
      <c r="A507">
        <v>10753</v>
      </c>
      <c r="B507" t="s">
        <v>338</v>
      </c>
      <c r="C507">
        <v>3</v>
      </c>
      <c r="D507" s="1">
        <v>35759</v>
      </c>
      <c r="E507" s="1">
        <v>35787</v>
      </c>
      <c r="F507" s="1">
        <v>35761</v>
      </c>
      <c r="G507">
        <v>1</v>
      </c>
      <c r="H507" s="2">
        <v>7.7</v>
      </c>
      <c r="I507" t="s">
        <v>339</v>
      </c>
      <c r="J507" t="s">
        <v>340</v>
      </c>
      <c r="K507" t="s">
        <v>341</v>
      </c>
      <c r="L507" t="s">
        <v>18</v>
      </c>
      <c r="M507">
        <v>10100</v>
      </c>
      <c r="N507" t="s">
        <v>129</v>
      </c>
    </row>
    <row r="508" spans="1:14" x14ac:dyDescent="0.2">
      <c r="A508">
        <v>10754</v>
      </c>
      <c r="B508" t="s">
        <v>125</v>
      </c>
      <c r="C508">
        <v>6</v>
      </c>
      <c r="D508" s="1">
        <v>35759</v>
      </c>
      <c r="E508" s="1">
        <v>35787</v>
      </c>
      <c r="F508" s="1">
        <v>35761</v>
      </c>
      <c r="G508">
        <v>3</v>
      </c>
      <c r="H508" s="2">
        <v>2.38</v>
      </c>
      <c r="I508" t="s">
        <v>126</v>
      </c>
      <c r="J508" t="s">
        <v>127</v>
      </c>
      <c r="K508" t="s">
        <v>128</v>
      </c>
      <c r="L508" t="s">
        <v>18</v>
      </c>
      <c r="M508">
        <v>24100</v>
      </c>
      <c r="N508" t="s">
        <v>129</v>
      </c>
    </row>
    <row r="509" spans="1:14" x14ac:dyDescent="0.2">
      <c r="A509">
        <v>10755</v>
      </c>
      <c r="B509" t="s">
        <v>239</v>
      </c>
      <c r="C509">
        <v>4</v>
      </c>
      <c r="D509" s="1">
        <v>35760</v>
      </c>
      <c r="E509" s="1">
        <v>35788</v>
      </c>
      <c r="F509" s="1">
        <v>35762</v>
      </c>
      <c r="G509">
        <v>2</v>
      </c>
      <c r="H509" s="2">
        <v>16.71</v>
      </c>
      <c r="I509" t="s">
        <v>240</v>
      </c>
      <c r="J509" t="s">
        <v>241</v>
      </c>
      <c r="K509" t="s">
        <v>242</v>
      </c>
      <c r="L509" t="s">
        <v>18</v>
      </c>
      <c r="M509">
        <v>13008</v>
      </c>
      <c r="N509" t="s">
        <v>19</v>
      </c>
    </row>
    <row r="510" spans="1:14" x14ac:dyDescent="0.2">
      <c r="A510">
        <v>10756</v>
      </c>
      <c r="B510" t="s">
        <v>116</v>
      </c>
      <c r="C510">
        <v>8</v>
      </c>
      <c r="D510" s="1">
        <v>35761</v>
      </c>
      <c r="E510" s="1">
        <v>35789</v>
      </c>
      <c r="F510" s="1">
        <v>35766</v>
      </c>
      <c r="G510">
        <v>2</v>
      </c>
      <c r="H510" s="2">
        <v>73.209999999999994</v>
      </c>
      <c r="I510" t="s">
        <v>117</v>
      </c>
      <c r="J510" t="s">
        <v>118</v>
      </c>
      <c r="K510" t="s">
        <v>119</v>
      </c>
      <c r="L510" t="s">
        <v>120</v>
      </c>
      <c r="M510">
        <v>82520</v>
      </c>
      <c r="N510" t="s">
        <v>86</v>
      </c>
    </row>
    <row r="511" spans="1:14" x14ac:dyDescent="0.2">
      <c r="A511">
        <v>10757</v>
      </c>
      <c r="B511" t="s">
        <v>226</v>
      </c>
      <c r="C511">
        <v>6</v>
      </c>
      <c r="D511" s="1">
        <v>35761</v>
      </c>
      <c r="E511" s="1">
        <v>35789</v>
      </c>
      <c r="F511" s="1">
        <v>35779</v>
      </c>
      <c r="G511">
        <v>1</v>
      </c>
      <c r="H511" s="2">
        <v>8.19</v>
      </c>
      <c r="I511" t="s">
        <v>227</v>
      </c>
      <c r="J511" t="s">
        <v>228</v>
      </c>
      <c r="K511" t="s">
        <v>229</v>
      </c>
      <c r="L511" t="s">
        <v>230</v>
      </c>
      <c r="M511">
        <v>83720</v>
      </c>
      <c r="N511" t="s">
        <v>86</v>
      </c>
    </row>
    <row r="512" spans="1:14" x14ac:dyDescent="0.2">
      <c r="A512">
        <v>10758</v>
      </c>
      <c r="B512" t="s">
        <v>47</v>
      </c>
      <c r="C512">
        <v>3</v>
      </c>
      <c r="D512" s="1">
        <v>35762</v>
      </c>
      <c r="E512" s="1">
        <v>35790</v>
      </c>
      <c r="F512" s="1">
        <v>35768</v>
      </c>
      <c r="G512">
        <v>3</v>
      </c>
      <c r="H512" s="2">
        <v>138.16999999999999</v>
      </c>
      <c r="I512" t="s">
        <v>48</v>
      </c>
      <c r="J512" t="s">
        <v>49</v>
      </c>
      <c r="K512" t="s">
        <v>50</v>
      </c>
      <c r="L512" t="s">
        <v>18</v>
      </c>
      <c r="M512">
        <v>1204</v>
      </c>
      <c r="N512" t="s">
        <v>46</v>
      </c>
    </row>
    <row r="513" spans="1:14" x14ac:dyDescent="0.2">
      <c r="A513">
        <v>10759</v>
      </c>
      <c r="B513" t="s">
        <v>203</v>
      </c>
      <c r="C513">
        <v>3</v>
      </c>
      <c r="D513" s="1">
        <v>35762</v>
      </c>
      <c r="E513" s="1">
        <v>35790</v>
      </c>
      <c r="F513" s="1">
        <v>35776</v>
      </c>
      <c r="G513">
        <v>3</v>
      </c>
      <c r="H513" s="2">
        <v>11.99</v>
      </c>
      <c r="I513" t="s">
        <v>204</v>
      </c>
      <c r="J513" t="s">
        <v>205</v>
      </c>
      <c r="K513" t="s">
        <v>71</v>
      </c>
      <c r="L513" t="s">
        <v>18</v>
      </c>
      <c r="M513">
        <v>5021</v>
      </c>
      <c r="N513" t="s">
        <v>72</v>
      </c>
    </row>
    <row r="514" spans="1:14" x14ac:dyDescent="0.2">
      <c r="A514">
        <v>10760</v>
      </c>
      <c r="B514" t="s">
        <v>378</v>
      </c>
      <c r="C514">
        <v>4</v>
      </c>
      <c r="D514" s="1">
        <v>35765</v>
      </c>
      <c r="E514" s="1">
        <v>35793</v>
      </c>
      <c r="F514" s="1">
        <v>35774</v>
      </c>
      <c r="G514">
        <v>1</v>
      </c>
      <c r="H514" s="2">
        <v>155.63999999999999</v>
      </c>
      <c r="I514" t="s">
        <v>379</v>
      </c>
      <c r="J514" t="s">
        <v>380</v>
      </c>
      <c r="K514" t="s">
        <v>381</v>
      </c>
      <c r="L514" t="s">
        <v>18</v>
      </c>
      <c r="M514" t="s">
        <v>382</v>
      </c>
      <c r="N514" t="s">
        <v>41</v>
      </c>
    </row>
    <row r="515" spans="1:14" x14ac:dyDescent="0.2">
      <c r="A515">
        <v>10761</v>
      </c>
      <c r="B515" t="s">
        <v>81</v>
      </c>
      <c r="C515">
        <v>5</v>
      </c>
      <c r="D515" s="1">
        <v>35766</v>
      </c>
      <c r="E515" s="1">
        <v>35794</v>
      </c>
      <c r="F515" s="1">
        <v>35772</v>
      </c>
      <c r="G515">
        <v>2</v>
      </c>
      <c r="H515" s="2">
        <v>18.66</v>
      </c>
      <c r="I515" t="s">
        <v>82</v>
      </c>
      <c r="J515" t="s">
        <v>83</v>
      </c>
      <c r="K515" t="s">
        <v>84</v>
      </c>
      <c r="L515" t="s">
        <v>85</v>
      </c>
      <c r="M515">
        <v>87110</v>
      </c>
      <c r="N515" t="s">
        <v>86</v>
      </c>
    </row>
    <row r="516" spans="1:14" x14ac:dyDescent="0.2">
      <c r="A516">
        <v>10762</v>
      </c>
      <c r="B516" t="s">
        <v>87</v>
      </c>
      <c r="C516">
        <v>3</v>
      </c>
      <c r="D516" s="1">
        <v>35766</v>
      </c>
      <c r="E516" s="1">
        <v>35794</v>
      </c>
      <c r="F516" s="1">
        <v>35773</v>
      </c>
      <c r="G516">
        <v>1</v>
      </c>
      <c r="H516" s="2">
        <v>328.74</v>
      </c>
      <c r="I516" t="s">
        <v>88</v>
      </c>
      <c r="J516" t="s">
        <v>89</v>
      </c>
      <c r="K516" t="s">
        <v>90</v>
      </c>
      <c r="L516" t="s">
        <v>18</v>
      </c>
      <c r="M516" t="s">
        <v>91</v>
      </c>
      <c r="N516" t="s">
        <v>92</v>
      </c>
    </row>
    <row r="517" spans="1:14" x14ac:dyDescent="0.2">
      <c r="A517">
        <v>10763</v>
      </c>
      <c r="B517" t="s">
        <v>329</v>
      </c>
      <c r="C517">
        <v>3</v>
      </c>
      <c r="D517" s="1">
        <v>35767</v>
      </c>
      <c r="E517" s="1">
        <v>35795</v>
      </c>
      <c r="F517" s="1">
        <v>35772</v>
      </c>
      <c r="G517">
        <v>3</v>
      </c>
      <c r="H517" s="2">
        <v>37.35</v>
      </c>
      <c r="I517" t="s">
        <v>330</v>
      </c>
      <c r="J517" t="s">
        <v>331</v>
      </c>
      <c r="K517" t="s">
        <v>332</v>
      </c>
      <c r="L517" t="s">
        <v>18</v>
      </c>
      <c r="M517">
        <v>59000</v>
      </c>
      <c r="N517" t="s">
        <v>19</v>
      </c>
    </row>
    <row r="518" spans="1:14" x14ac:dyDescent="0.2">
      <c r="A518">
        <v>10764</v>
      </c>
      <c r="B518" t="s">
        <v>63</v>
      </c>
      <c r="C518">
        <v>6</v>
      </c>
      <c r="D518" s="1">
        <v>35767</v>
      </c>
      <c r="E518" s="1">
        <v>35795</v>
      </c>
      <c r="F518" s="1">
        <v>35772</v>
      </c>
      <c r="G518">
        <v>3</v>
      </c>
      <c r="H518" s="2">
        <v>145.44999999999999</v>
      </c>
      <c r="I518" t="s">
        <v>64</v>
      </c>
      <c r="J518" t="s">
        <v>65</v>
      </c>
      <c r="K518" t="s">
        <v>66</v>
      </c>
      <c r="L518" t="s">
        <v>18</v>
      </c>
      <c r="M518">
        <v>8010</v>
      </c>
      <c r="N518" t="s">
        <v>67</v>
      </c>
    </row>
    <row r="519" spans="1:14" x14ac:dyDescent="0.2">
      <c r="A519">
        <v>10765</v>
      </c>
      <c r="B519" t="s">
        <v>121</v>
      </c>
      <c r="C519">
        <v>3</v>
      </c>
      <c r="D519" s="1">
        <v>35768</v>
      </c>
      <c r="E519" s="1">
        <v>35796</v>
      </c>
      <c r="F519" s="1">
        <v>35773</v>
      </c>
      <c r="G519">
        <v>3</v>
      </c>
      <c r="H519" s="2">
        <v>42.74</v>
      </c>
      <c r="I519" t="s">
        <v>122</v>
      </c>
      <c r="J519" t="s">
        <v>123</v>
      </c>
      <c r="K519" t="s">
        <v>124</v>
      </c>
      <c r="L519" t="s">
        <v>18</v>
      </c>
      <c r="M519">
        <v>1307</v>
      </c>
      <c r="N519" t="s">
        <v>24</v>
      </c>
    </row>
    <row r="520" spans="1:14" x14ac:dyDescent="0.2">
      <c r="A520">
        <v>10766</v>
      </c>
      <c r="B520" t="s">
        <v>73</v>
      </c>
      <c r="C520">
        <v>4</v>
      </c>
      <c r="D520" s="1">
        <v>35769</v>
      </c>
      <c r="E520" s="1">
        <v>35797</v>
      </c>
      <c r="F520" s="1">
        <v>35773</v>
      </c>
      <c r="G520">
        <v>1</v>
      </c>
      <c r="H520" s="2">
        <v>157.55000000000001</v>
      </c>
      <c r="I520" t="s">
        <v>74</v>
      </c>
      <c r="J520" t="s">
        <v>75</v>
      </c>
      <c r="K520" t="s">
        <v>76</v>
      </c>
      <c r="L520" t="s">
        <v>18</v>
      </c>
      <c r="M520">
        <v>50739</v>
      </c>
      <c r="N520" t="s">
        <v>24</v>
      </c>
    </row>
    <row r="521" spans="1:14" x14ac:dyDescent="0.2">
      <c r="A521">
        <v>10767</v>
      </c>
      <c r="B521" t="s">
        <v>36</v>
      </c>
      <c r="C521">
        <v>4</v>
      </c>
      <c r="D521" s="1">
        <v>35769</v>
      </c>
      <c r="E521" s="1">
        <v>35797</v>
      </c>
      <c r="F521" s="1">
        <v>35779</v>
      </c>
      <c r="G521">
        <v>3</v>
      </c>
      <c r="H521" s="2">
        <v>1.59</v>
      </c>
      <c r="I521" t="s">
        <v>37</v>
      </c>
      <c r="J521" t="s">
        <v>38</v>
      </c>
      <c r="K521" t="s">
        <v>39</v>
      </c>
      <c r="L521" t="s">
        <v>18</v>
      </c>
      <c r="M521" t="s">
        <v>40</v>
      </c>
      <c r="N521" t="s">
        <v>41</v>
      </c>
    </row>
    <row r="522" spans="1:14" x14ac:dyDescent="0.2">
      <c r="A522">
        <v>10768</v>
      </c>
      <c r="B522" t="s">
        <v>270</v>
      </c>
      <c r="C522">
        <v>3</v>
      </c>
      <c r="D522" s="1">
        <v>35772</v>
      </c>
      <c r="E522" s="1">
        <v>35800</v>
      </c>
      <c r="F522" s="1">
        <v>35779</v>
      </c>
      <c r="G522">
        <v>2</v>
      </c>
      <c r="H522" s="2">
        <v>146.32</v>
      </c>
      <c r="I522" t="s">
        <v>271</v>
      </c>
      <c r="J522" t="s">
        <v>272</v>
      </c>
      <c r="K522" t="s">
        <v>273</v>
      </c>
      <c r="L522" t="s">
        <v>274</v>
      </c>
      <c r="M522" t="s">
        <v>275</v>
      </c>
      <c r="N522" t="s">
        <v>169</v>
      </c>
    </row>
    <row r="523" spans="1:14" x14ac:dyDescent="0.2">
      <c r="A523">
        <v>10769</v>
      </c>
      <c r="B523" t="s">
        <v>295</v>
      </c>
      <c r="C523">
        <v>3</v>
      </c>
      <c r="D523" s="1">
        <v>35772</v>
      </c>
      <c r="E523" s="1">
        <v>35800</v>
      </c>
      <c r="F523" s="1">
        <v>35776</v>
      </c>
      <c r="G523">
        <v>1</v>
      </c>
      <c r="H523" s="2">
        <v>65.06</v>
      </c>
      <c r="I523" t="s">
        <v>296</v>
      </c>
      <c r="J523" t="s">
        <v>297</v>
      </c>
      <c r="K523" t="s">
        <v>298</v>
      </c>
      <c r="L523" t="s">
        <v>18</v>
      </c>
      <c r="M523">
        <v>8200</v>
      </c>
      <c r="N523" t="s">
        <v>257</v>
      </c>
    </row>
    <row r="524" spans="1:14" x14ac:dyDescent="0.2">
      <c r="A524">
        <v>10770</v>
      </c>
      <c r="B524" t="s">
        <v>25</v>
      </c>
      <c r="C524">
        <v>8</v>
      </c>
      <c r="D524" s="1">
        <v>35773</v>
      </c>
      <c r="E524" s="1">
        <v>35801</v>
      </c>
      <c r="F524" s="1">
        <v>35781</v>
      </c>
      <c r="G524">
        <v>3</v>
      </c>
      <c r="H524" s="2">
        <v>5.32</v>
      </c>
      <c r="I524" t="s">
        <v>26</v>
      </c>
      <c r="J524" t="s">
        <v>27</v>
      </c>
      <c r="K524" t="s">
        <v>28</v>
      </c>
      <c r="L524" t="s">
        <v>29</v>
      </c>
      <c r="M524" t="s">
        <v>30</v>
      </c>
      <c r="N524" t="s">
        <v>31</v>
      </c>
    </row>
    <row r="525" spans="1:14" x14ac:dyDescent="0.2">
      <c r="A525">
        <v>10771</v>
      </c>
      <c r="B525" t="s">
        <v>63</v>
      </c>
      <c r="C525">
        <v>9</v>
      </c>
      <c r="D525" s="1">
        <v>35774</v>
      </c>
      <c r="E525" s="1">
        <v>35802</v>
      </c>
      <c r="F525" s="1">
        <v>35797</v>
      </c>
      <c r="G525">
        <v>2</v>
      </c>
      <c r="H525" s="2">
        <v>11.19</v>
      </c>
      <c r="I525" t="s">
        <v>64</v>
      </c>
      <c r="J525" t="s">
        <v>65</v>
      </c>
      <c r="K525" t="s">
        <v>66</v>
      </c>
      <c r="L525" t="s">
        <v>18</v>
      </c>
      <c r="M525">
        <v>8010</v>
      </c>
      <c r="N525" t="s">
        <v>67</v>
      </c>
    </row>
    <row r="526" spans="1:14" x14ac:dyDescent="0.2">
      <c r="A526">
        <v>10772</v>
      </c>
      <c r="B526" t="s">
        <v>142</v>
      </c>
      <c r="C526">
        <v>3</v>
      </c>
      <c r="D526" s="1">
        <v>35774</v>
      </c>
      <c r="E526" s="1">
        <v>35802</v>
      </c>
      <c r="F526" s="1">
        <v>35783</v>
      </c>
      <c r="G526">
        <v>2</v>
      </c>
      <c r="H526" s="2">
        <v>91.28</v>
      </c>
      <c r="I526" t="s">
        <v>143</v>
      </c>
      <c r="J526" t="s">
        <v>144</v>
      </c>
      <c r="K526" t="s">
        <v>145</v>
      </c>
      <c r="L526" t="s">
        <v>18</v>
      </c>
      <c r="M526">
        <v>60528</v>
      </c>
      <c r="N526" t="s">
        <v>24</v>
      </c>
    </row>
    <row r="527" spans="1:14" x14ac:dyDescent="0.2">
      <c r="A527">
        <v>10773</v>
      </c>
      <c r="B527" t="s">
        <v>63</v>
      </c>
      <c r="C527">
        <v>1</v>
      </c>
      <c r="D527" s="1">
        <v>35775</v>
      </c>
      <c r="E527" s="1">
        <v>35803</v>
      </c>
      <c r="F527" s="1">
        <v>35780</v>
      </c>
      <c r="G527">
        <v>3</v>
      </c>
      <c r="H527" s="2">
        <v>96.43</v>
      </c>
      <c r="I527" t="s">
        <v>64</v>
      </c>
      <c r="J527" t="s">
        <v>65</v>
      </c>
      <c r="K527" t="s">
        <v>66</v>
      </c>
      <c r="L527" t="s">
        <v>18</v>
      </c>
      <c r="M527">
        <v>8010</v>
      </c>
      <c r="N527" t="s">
        <v>67</v>
      </c>
    </row>
    <row r="528" spans="1:14" x14ac:dyDescent="0.2">
      <c r="A528">
        <v>10774</v>
      </c>
      <c r="B528" t="s">
        <v>87</v>
      </c>
      <c r="C528">
        <v>4</v>
      </c>
      <c r="D528" s="1">
        <v>35775</v>
      </c>
      <c r="E528" s="1">
        <v>35789</v>
      </c>
      <c r="F528" s="1">
        <v>35776</v>
      </c>
      <c r="G528">
        <v>1</v>
      </c>
      <c r="H528" s="2">
        <v>48.2</v>
      </c>
      <c r="I528" t="s">
        <v>88</v>
      </c>
      <c r="J528" t="s">
        <v>89</v>
      </c>
      <c r="K528" t="s">
        <v>90</v>
      </c>
      <c r="L528" t="s">
        <v>18</v>
      </c>
      <c r="M528" t="s">
        <v>91</v>
      </c>
      <c r="N528" t="s">
        <v>92</v>
      </c>
    </row>
    <row r="529" spans="1:14" x14ac:dyDescent="0.2">
      <c r="A529">
        <v>10775</v>
      </c>
      <c r="B529" t="s">
        <v>396</v>
      </c>
      <c r="C529">
        <v>7</v>
      </c>
      <c r="D529" s="1">
        <v>35776</v>
      </c>
      <c r="E529" s="1">
        <v>35804</v>
      </c>
      <c r="F529" s="1">
        <v>35790</v>
      </c>
      <c r="G529">
        <v>1</v>
      </c>
      <c r="H529" s="2">
        <v>20.25</v>
      </c>
      <c r="I529" t="s">
        <v>397</v>
      </c>
      <c r="J529" t="s">
        <v>398</v>
      </c>
      <c r="K529" t="s">
        <v>399</v>
      </c>
      <c r="L529" t="s">
        <v>400</v>
      </c>
      <c r="M529">
        <v>59801</v>
      </c>
      <c r="N529" t="s">
        <v>86</v>
      </c>
    </row>
    <row r="530" spans="1:14" x14ac:dyDescent="0.2">
      <c r="A530">
        <v>10776</v>
      </c>
      <c r="B530" t="s">
        <v>63</v>
      </c>
      <c r="C530">
        <v>1</v>
      </c>
      <c r="D530" s="1">
        <v>35779</v>
      </c>
      <c r="E530" s="1">
        <v>35807</v>
      </c>
      <c r="F530" s="1">
        <v>35782</v>
      </c>
      <c r="G530">
        <v>3</v>
      </c>
      <c r="H530" s="2">
        <v>351.53</v>
      </c>
      <c r="I530" t="s">
        <v>64</v>
      </c>
      <c r="J530" t="s">
        <v>65</v>
      </c>
      <c r="K530" t="s">
        <v>66</v>
      </c>
      <c r="L530" t="s">
        <v>18</v>
      </c>
      <c r="M530">
        <v>8010</v>
      </c>
      <c r="N530" t="s">
        <v>67</v>
      </c>
    </row>
    <row r="531" spans="1:14" x14ac:dyDescent="0.2">
      <c r="A531">
        <v>10777</v>
      </c>
      <c r="B531" t="s">
        <v>342</v>
      </c>
      <c r="C531">
        <v>7</v>
      </c>
      <c r="D531" s="1">
        <v>35779</v>
      </c>
      <c r="E531" s="1">
        <v>35793</v>
      </c>
      <c r="F531" s="1">
        <v>35816</v>
      </c>
      <c r="G531">
        <v>2</v>
      </c>
      <c r="H531" s="2">
        <v>3.01</v>
      </c>
      <c r="I531" t="s">
        <v>343</v>
      </c>
      <c r="J531" t="s">
        <v>344</v>
      </c>
      <c r="K531" t="s">
        <v>345</v>
      </c>
      <c r="L531" t="s">
        <v>55</v>
      </c>
      <c r="M531" t="s">
        <v>346</v>
      </c>
      <c r="N531" t="s">
        <v>31</v>
      </c>
    </row>
    <row r="532" spans="1:14" x14ac:dyDescent="0.2">
      <c r="A532">
        <v>10778</v>
      </c>
      <c r="B532" t="s">
        <v>137</v>
      </c>
      <c r="C532">
        <v>3</v>
      </c>
      <c r="D532" s="1">
        <v>35780</v>
      </c>
      <c r="E532" s="1">
        <v>35808</v>
      </c>
      <c r="F532" s="1">
        <v>35788</v>
      </c>
      <c r="G532">
        <v>1</v>
      </c>
      <c r="H532" s="2">
        <v>6.79</v>
      </c>
      <c r="I532" t="s">
        <v>138</v>
      </c>
      <c r="J532" t="s">
        <v>139</v>
      </c>
      <c r="K532" t="s">
        <v>140</v>
      </c>
      <c r="L532" t="s">
        <v>18</v>
      </c>
      <c r="M532" t="s">
        <v>141</v>
      </c>
      <c r="N532" t="s">
        <v>92</v>
      </c>
    </row>
    <row r="533" spans="1:14" x14ac:dyDescent="0.2">
      <c r="A533">
        <v>10779</v>
      </c>
      <c r="B533" t="s">
        <v>133</v>
      </c>
      <c r="C533">
        <v>3</v>
      </c>
      <c r="D533" s="1">
        <v>35780</v>
      </c>
      <c r="E533" s="1">
        <v>35808</v>
      </c>
      <c r="F533" s="1">
        <v>35809</v>
      </c>
      <c r="G533">
        <v>2</v>
      </c>
      <c r="H533" s="2">
        <v>58.13</v>
      </c>
      <c r="I533" t="s">
        <v>134</v>
      </c>
      <c r="J533" t="s">
        <v>135</v>
      </c>
      <c r="K533" t="s">
        <v>136</v>
      </c>
      <c r="L533" t="s">
        <v>18</v>
      </c>
      <c r="M533">
        <v>4179</v>
      </c>
      <c r="N533" t="s">
        <v>24</v>
      </c>
    </row>
    <row r="534" spans="1:14" x14ac:dyDescent="0.2">
      <c r="A534">
        <v>10780</v>
      </c>
      <c r="B534" t="s">
        <v>151</v>
      </c>
      <c r="C534">
        <v>2</v>
      </c>
      <c r="D534" s="1">
        <v>35780</v>
      </c>
      <c r="E534" s="1">
        <v>35794</v>
      </c>
      <c r="F534" s="1">
        <v>35789</v>
      </c>
      <c r="G534">
        <v>1</v>
      </c>
      <c r="H534" s="2">
        <v>42.13</v>
      </c>
      <c r="I534" t="s">
        <v>152</v>
      </c>
      <c r="J534" t="s">
        <v>153</v>
      </c>
      <c r="K534" t="s">
        <v>154</v>
      </c>
      <c r="L534" t="s">
        <v>155</v>
      </c>
      <c r="M534">
        <v>3508</v>
      </c>
      <c r="N534" t="s">
        <v>62</v>
      </c>
    </row>
    <row r="535" spans="1:14" x14ac:dyDescent="0.2">
      <c r="A535">
        <v>10781</v>
      </c>
      <c r="B535" t="s">
        <v>97</v>
      </c>
      <c r="C535">
        <v>2</v>
      </c>
      <c r="D535" s="1">
        <v>35781</v>
      </c>
      <c r="E535" s="1">
        <v>35809</v>
      </c>
      <c r="F535" s="1">
        <v>35783</v>
      </c>
      <c r="G535">
        <v>3</v>
      </c>
      <c r="H535" s="2">
        <v>73.16</v>
      </c>
      <c r="I535" t="s">
        <v>98</v>
      </c>
      <c r="J535" t="s">
        <v>99</v>
      </c>
      <c r="K535" t="s">
        <v>100</v>
      </c>
      <c r="L535" t="s">
        <v>18</v>
      </c>
      <c r="M535">
        <v>90110</v>
      </c>
      <c r="N535" t="s">
        <v>101</v>
      </c>
    </row>
    <row r="536" spans="1:14" x14ac:dyDescent="0.2">
      <c r="A536">
        <v>10782</v>
      </c>
      <c r="B536" t="s">
        <v>371</v>
      </c>
      <c r="C536">
        <v>9</v>
      </c>
      <c r="D536" s="1">
        <v>35781</v>
      </c>
      <c r="E536" s="1">
        <v>35809</v>
      </c>
      <c r="F536" s="1">
        <v>35786</v>
      </c>
      <c r="G536">
        <v>3</v>
      </c>
      <c r="H536" s="2">
        <v>1.1000000000000001</v>
      </c>
      <c r="I536" t="s">
        <v>372</v>
      </c>
      <c r="J536" t="s">
        <v>373</v>
      </c>
      <c r="K536" t="s">
        <v>336</v>
      </c>
      <c r="L536" t="s">
        <v>18</v>
      </c>
      <c r="M536">
        <v>1010</v>
      </c>
      <c r="N536" t="s">
        <v>337</v>
      </c>
    </row>
    <row r="537" spans="1:14" x14ac:dyDescent="0.2">
      <c r="A537">
        <v>10783</v>
      </c>
      <c r="B537" t="s">
        <v>25</v>
      </c>
      <c r="C537">
        <v>4</v>
      </c>
      <c r="D537" s="1">
        <v>35782</v>
      </c>
      <c r="E537" s="1">
        <v>35810</v>
      </c>
      <c r="F537" s="1">
        <v>35783</v>
      </c>
      <c r="G537">
        <v>2</v>
      </c>
      <c r="H537" s="2">
        <v>124.98</v>
      </c>
      <c r="I537" t="s">
        <v>26</v>
      </c>
      <c r="J537" t="s">
        <v>27</v>
      </c>
      <c r="K537" t="s">
        <v>28</v>
      </c>
      <c r="L537" t="s">
        <v>29</v>
      </c>
      <c r="M537" t="s">
        <v>30</v>
      </c>
      <c r="N537" t="s">
        <v>31</v>
      </c>
    </row>
    <row r="538" spans="1:14" x14ac:dyDescent="0.2">
      <c r="A538">
        <v>10784</v>
      </c>
      <c r="B538" t="s">
        <v>125</v>
      </c>
      <c r="C538">
        <v>4</v>
      </c>
      <c r="D538" s="1">
        <v>35782</v>
      </c>
      <c r="E538" s="1">
        <v>35810</v>
      </c>
      <c r="F538" s="1">
        <v>35786</v>
      </c>
      <c r="G538">
        <v>3</v>
      </c>
      <c r="H538" s="2">
        <v>70.09</v>
      </c>
      <c r="I538" t="s">
        <v>126</v>
      </c>
      <c r="J538" t="s">
        <v>127</v>
      </c>
      <c r="K538" t="s">
        <v>128</v>
      </c>
      <c r="L538" t="s">
        <v>18</v>
      </c>
      <c r="M538">
        <v>24100</v>
      </c>
      <c r="N538" t="s">
        <v>129</v>
      </c>
    </row>
    <row r="539" spans="1:14" x14ac:dyDescent="0.2">
      <c r="A539">
        <v>10785</v>
      </c>
      <c r="B539" t="s">
        <v>106</v>
      </c>
      <c r="C539">
        <v>1</v>
      </c>
      <c r="D539" s="1">
        <v>35782</v>
      </c>
      <c r="E539" s="1">
        <v>35810</v>
      </c>
      <c r="F539" s="1">
        <v>35788</v>
      </c>
      <c r="G539">
        <v>3</v>
      </c>
      <c r="H539" s="2">
        <v>1.51</v>
      </c>
      <c r="I539" t="s">
        <v>107</v>
      </c>
      <c r="J539" t="s">
        <v>108</v>
      </c>
      <c r="K539" t="s">
        <v>109</v>
      </c>
      <c r="L539" t="s">
        <v>110</v>
      </c>
      <c r="M539">
        <v>1081</v>
      </c>
      <c r="N539" t="s">
        <v>62</v>
      </c>
    </row>
    <row r="540" spans="1:14" x14ac:dyDescent="0.2">
      <c r="A540">
        <v>10786</v>
      </c>
      <c r="B540" t="s">
        <v>299</v>
      </c>
      <c r="C540">
        <v>8</v>
      </c>
      <c r="D540" s="1">
        <v>35783</v>
      </c>
      <c r="E540" s="1">
        <v>35811</v>
      </c>
      <c r="F540" s="1">
        <v>35787</v>
      </c>
      <c r="G540">
        <v>1</v>
      </c>
      <c r="H540" s="2">
        <v>110.87</v>
      </c>
      <c r="I540" t="s">
        <v>300</v>
      </c>
      <c r="J540" t="s">
        <v>301</v>
      </c>
      <c r="K540" t="s">
        <v>173</v>
      </c>
      <c r="L540" t="s">
        <v>55</v>
      </c>
      <c r="M540" t="s">
        <v>302</v>
      </c>
      <c r="N540" t="s">
        <v>31</v>
      </c>
    </row>
    <row r="541" spans="1:14" x14ac:dyDescent="0.2">
      <c r="A541">
        <v>10787</v>
      </c>
      <c r="B541" t="s">
        <v>262</v>
      </c>
      <c r="C541">
        <v>2</v>
      </c>
      <c r="D541" s="1">
        <v>35783</v>
      </c>
      <c r="E541" s="1">
        <v>35797</v>
      </c>
      <c r="F541" s="1">
        <v>35790</v>
      </c>
      <c r="G541">
        <v>1</v>
      </c>
      <c r="H541" s="2">
        <v>249.93</v>
      </c>
      <c r="I541" t="s">
        <v>263</v>
      </c>
      <c r="J541" t="s">
        <v>264</v>
      </c>
      <c r="K541" t="s">
        <v>265</v>
      </c>
      <c r="L541" t="s">
        <v>18</v>
      </c>
      <c r="M541">
        <v>31000</v>
      </c>
      <c r="N541" t="s">
        <v>19</v>
      </c>
    </row>
    <row r="542" spans="1:14" x14ac:dyDescent="0.2">
      <c r="A542">
        <v>10788</v>
      </c>
      <c r="B542" t="s">
        <v>121</v>
      </c>
      <c r="C542">
        <v>1</v>
      </c>
      <c r="D542" s="1">
        <v>35786</v>
      </c>
      <c r="E542" s="1">
        <v>35814</v>
      </c>
      <c r="F542" s="1">
        <v>35814</v>
      </c>
      <c r="G542">
        <v>2</v>
      </c>
      <c r="H542" s="2">
        <v>42.7</v>
      </c>
      <c r="I542" t="s">
        <v>122</v>
      </c>
      <c r="J542" t="s">
        <v>123</v>
      </c>
      <c r="K542" t="s">
        <v>124</v>
      </c>
      <c r="L542" t="s">
        <v>18</v>
      </c>
      <c r="M542">
        <v>1307</v>
      </c>
      <c r="N542" t="s">
        <v>24</v>
      </c>
    </row>
    <row r="543" spans="1:14" x14ac:dyDescent="0.2">
      <c r="A543">
        <v>10789</v>
      </c>
      <c r="B543" t="s">
        <v>329</v>
      </c>
      <c r="C543">
        <v>1</v>
      </c>
      <c r="D543" s="1">
        <v>35786</v>
      </c>
      <c r="E543" s="1">
        <v>35814</v>
      </c>
      <c r="F543" s="1">
        <v>35795</v>
      </c>
      <c r="G543">
        <v>2</v>
      </c>
      <c r="H543" s="2">
        <v>100.6</v>
      </c>
      <c r="I543" t="s">
        <v>330</v>
      </c>
      <c r="J543" t="s">
        <v>331</v>
      </c>
      <c r="K543" t="s">
        <v>332</v>
      </c>
      <c r="L543" t="s">
        <v>18</v>
      </c>
      <c r="M543">
        <v>59000</v>
      </c>
      <c r="N543" t="s">
        <v>19</v>
      </c>
    </row>
    <row r="544" spans="1:14" x14ac:dyDescent="0.2">
      <c r="A544">
        <v>10790</v>
      </c>
      <c r="B544" t="s">
        <v>342</v>
      </c>
      <c r="C544">
        <v>6</v>
      </c>
      <c r="D544" s="1">
        <v>35786</v>
      </c>
      <c r="E544" s="1">
        <v>35814</v>
      </c>
      <c r="F544" s="1">
        <v>35790</v>
      </c>
      <c r="G544">
        <v>1</v>
      </c>
      <c r="H544" s="2">
        <v>28.23</v>
      </c>
      <c r="I544" t="s">
        <v>343</v>
      </c>
      <c r="J544" t="s">
        <v>344</v>
      </c>
      <c r="K544" t="s">
        <v>345</v>
      </c>
      <c r="L544" t="s">
        <v>55</v>
      </c>
      <c r="M544" t="s">
        <v>346</v>
      </c>
      <c r="N544" t="s">
        <v>31</v>
      </c>
    </row>
    <row r="545" spans="1:14" x14ac:dyDescent="0.2">
      <c r="A545">
        <v>10791</v>
      </c>
      <c r="B545" t="s">
        <v>102</v>
      </c>
      <c r="C545">
        <v>6</v>
      </c>
      <c r="D545" s="1">
        <v>35787</v>
      </c>
      <c r="E545" s="1">
        <v>35815</v>
      </c>
      <c r="F545" s="1">
        <v>35796</v>
      </c>
      <c r="G545">
        <v>2</v>
      </c>
      <c r="H545" s="2">
        <v>16.850000000000001</v>
      </c>
      <c r="I545" t="s">
        <v>103</v>
      </c>
      <c r="J545" t="s">
        <v>104</v>
      </c>
      <c r="K545" t="s">
        <v>105</v>
      </c>
      <c r="L545" t="s">
        <v>18</v>
      </c>
      <c r="M545">
        <v>80805</v>
      </c>
      <c r="N545" t="s">
        <v>24</v>
      </c>
    </row>
    <row r="546" spans="1:14" x14ac:dyDescent="0.2">
      <c r="A546">
        <v>10792</v>
      </c>
      <c r="B546" t="s">
        <v>303</v>
      </c>
      <c r="C546">
        <v>1</v>
      </c>
      <c r="D546" s="1">
        <v>35787</v>
      </c>
      <c r="E546" s="1">
        <v>35815</v>
      </c>
      <c r="F546" s="1">
        <v>35795</v>
      </c>
      <c r="G546">
        <v>3</v>
      </c>
      <c r="H546" s="2">
        <v>23.79</v>
      </c>
      <c r="I546" t="s">
        <v>304</v>
      </c>
      <c r="J546" t="s">
        <v>305</v>
      </c>
      <c r="K546" t="s">
        <v>306</v>
      </c>
      <c r="L546" t="s">
        <v>18</v>
      </c>
      <c r="M546" t="s">
        <v>307</v>
      </c>
      <c r="N546" t="s">
        <v>308</v>
      </c>
    </row>
    <row r="547" spans="1:14" x14ac:dyDescent="0.2">
      <c r="A547">
        <v>10793</v>
      </c>
      <c r="B547" t="s">
        <v>270</v>
      </c>
      <c r="C547">
        <v>3</v>
      </c>
      <c r="D547" s="1">
        <v>35788</v>
      </c>
      <c r="E547" s="1">
        <v>35816</v>
      </c>
      <c r="F547" s="1">
        <v>35803</v>
      </c>
      <c r="G547">
        <v>3</v>
      </c>
      <c r="H547" s="2">
        <v>4.5199999999999996</v>
      </c>
      <c r="I547" t="s">
        <v>271</v>
      </c>
      <c r="J547" t="s">
        <v>272</v>
      </c>
      <c r="K547" t="s">
        <v>273</v>
      </c>
      <c r="L547" t="s">
        <v>274</v>
      </c>
      <c r="M547" t="s">
        <v>275</v>
      </c>
      <c r="N547" t="s">
        <v>169</v>
      </c>
    </row>
    <row r="548" spans="1:14" x14ac:dyDescent="0.2">
      <c r="A548">
        <v>10794</v>
      </c>
      <c r="B548" t="s">
        <v>77</v>
      </c>
      <c r="C548">
        <v>6</v>
      </c>
      <c r="D548" s="1">
        <v>35788</v>
      </c>
      <c r="E548" s="1">
        <v>35816</v>
      </c>
      <c r="F548" s="1">
        <v>35797</v>
      </c>
      <c r="G548">
        <v>1</v>
      </c>
      <c r="H548" s="2">
        <v>21.49</v>
      </c>
      <c r="I548" t="s">
        <v>78</v>
      </c>
      <c r="J548" t="s">
        <v>79</v>
      </c>
      <c r="K548" t="s">
        <v>28</v>
      </c>
      <c r="L548" t="s">
        <v>29</v>
      </c>
      <c r="M548" t="s">
        <v>80</v>
      </c>
      <c r="N548" t="s">
        <v>31</v>
      </c>
    </row>
    <row r="549" spans="1:14" x14ac:dyDescent="0.2">
      <c r="A549">
        <v>10795</v>
      </c>
      <c r="B549" t="s">
        <v>63</v>
      </c>
      <c r="C549">
        <v>8</v>
      </c>
      <c r="D549" s="1">
        <v>35788</v>
      </c>
      <c r="E549" s="1">
        <v>35816</v>
      </c>
      <c r="F549" s="1">
        <v>35815</v>
      </c>
      <c r="G549">
        <v>2</v>
      </c>
      <c r="H549" s="2">
        <v>126.66</v>
      </c>
      <c r="I549" t="s">
        <v>64</v>
      </c>
      <c r="J549" t="s">
        <v>65</v>
      </c>
      <c r="K549" t="s">
        <v>66</v>
      </c>
      <c r="L549" t="s">
        <v>18</v>
      </c>
      <c r="M549">
        <v>8010</v>
      </c>
      <c r="N549" t="s">
        <v>67</v>
      </c>
    </row>
    <row r="550" spans="1:14" x14ac:dyDescent="0.2">
      <c r="A550">
        <v>10796</v>
      </c>
      <c r="B550" t="s">
        <v>57</v>
      </c>
      <c r="C550">
        <v>3</v>
      </c>
      <c r="D550" s="1">
        <v>35789</v>
      </c>
      <c r="E550" s="1">
        <v>35817</v>
      </c>
      <c r="F550" s="1">
        <v>35809</v>
      </c>
      <c r="G550">
        <v>1</v>
      </c>
      <c r="H550" s="2">
        <v>26.52</v>
      </c>
      <c r="I550" t="s">
        <v>58</v>
      </c>
      <c r="J550" t="s">
        <v>59</v>
      </c>
      <c r="K550" t="s">
        <v>60</v>
      </c>
      <c r="L550" t="s">
        <v>61</v>
      </c>
      <c r="M550">
        <v>5022</v>
      </c>
      <c r="N550" t="s">
        <v>62</v>
      </c>
    </row>
    <row r="551" spans="1:14" x14ac:dyDescent="0.2">
      <c r="A551">
        <v>10797</v>
      </c>
      <c r="B551" t="s">
        <v>280</v>
      </c>
      <c r="C551">
        <v>7</v>
      </c>
      <c r="D551" s="1">
        <v>35789</v>
      </c>
      <c r="E551" s="1">
        <v>35817</v>
      </c>
      <c r="F551" s="1">
        <v>35800</v>
      </c>
      <c r="G551">
        <v>2</v>
      </c>
      <c r="H551" s="2">
        <v>33.35</v>
      </c>
      <c r="I551" t="s">
        <v>281</v>
      </c>
      <c r="J551" t="s">
        <v>282</v>
      </c>
      <c r="K551" t="s">
        <v>283</v>
      </c>
      <c r="L551" t="s">
        <v>18</v>
      </c>
      <c r="M551">
        <v>52066</v>
      </c>
      <c r="N551" t="s">
        <v>24</v>
      </c>
    </row>
    <row r="552" spans="1:14" x14ac:dyDescent="0.2">
      <c r="A552">
        <v>10798</v>
      </c>
      <c r="B552" t="s">
        <v>213</v>
      </c>
      <c r="C552">
        <v>2</v>
      </c>
      <c r="D552" s="1">
        <v>35790</v>
      </c>
      <c r="E552" s="1">
        <v>35818</v>
      </c>
      <c r="F552" s="1">
        <v>35800</v>
      </c>
      <c r="G552">
        <v>1</v>
      </c>
      <c r="H552" s="2">
        <v>2.33</v>
      </c>
      <c r="I552" t="s">
        <v>214</v>
      </c>
      <c r="J552" t="s">
        <v>215</v>
      </c>
      <c r="K552" t="s">
        <v>216</v>
      </c>
      <c r="L552" t="s">
        <v>217</v>
      </c>
      <c r="M552" t="s">
        <v>218</v>
      </c>
      <c r="N552" t="s">
        <v>169</v>
      </c>
    </row>
    <row r="553" spans="1:14" x14ac:dyDescent="0.2">
      <c r="A553">
        <v>10799</v>
      </c>
      <c r="B553" t="s">
        <v>222</v>
      </c>
      <c r="C553">
        <v>9</v>
      </c>
      <c r="D553" s="1">
        <v>35790</v>
      </c>
      <c r="E553" s="1">
        <v>35832</v>
      </c>
      <c r="F553" s="1">
        <v>35800</v>
      </c>
      <c r="G553">
        <v>3</v>
      </c>
      <c r="H553" s="2">
        <v>30.76</v>
      </c>
      <c r="I553" t="s">
        <v>223</v>
      </c>
      <c r="J553" t="s">
        <v>224</v>
      </c>
      <c r="K553" t="s">
        <v>225</v>
      </c>
      <c r="L553" t="s">
        <v>18</v>
      </c>
      <c r="M553">
        <v>14776</v>
      </c>
      <c r="N553" t="s">
        <v>24</v>
      </c>
    </row>
    <row r="554" spans="1:14" x14ac:dyDescent="0.2">
      <c r="A554">
        <v>10800</v>
      </c>
      <c r="B554" t="s">
        <v>276</v>
      </c>
      <c r="C554">
        <v>1</v>
      </c>
      <c r="D554" s="1">
        <v>35790</v>
      </c>
      <c r="E554" s="1">
        <v>35818</v>
      </c>
      <c r="F554" s="1">
        <v>35800</v>
      </c>
      <c r="G554">
        <v>3</v>
      </c>
      <c r="H554" s="2">
        <v>137.44</v>
      </c>
      <c r="I554" t="s">
        <v>277</v>
      </c>
      <c r="J554" t="s">
        <v>278</v>
      </c>
      <c r="K554" t="s">
        <v>167</v>
      </c>
      <c r="L554" t="s">
        <v>18</v>
      </c>
      <c r="M554" t="s">
        <v>279</v>
      </c>
      <c r="N554" t="s">
        <v>169</v>
      </c>
    </row>
    <row r="555" spans="1:14" x14ac:dyDescent="0.2">
      <c r="A555">
        <v>10801</v>
      </c>
      <c r="B555" t="s">
        <v>231</v>
      </c>
      <c r="C555">
        <v>4</v>
      </c>
      <c r="D555" s="1">
        <v>35793</v>
      </c>
      <c r="E555" s="1">
        <v>35821</v>
      </c>
      <c r="F555" s="1">
        <v>35795</v>
      </c>
      <c r="G555">
        <v>2</v>
      </c>
      <c r="H555" s="2">
        <v>97.09</v>
      </c>
      <c r="I555" t="s">
        <v>232</v>
      </c>
      <c r="J555" t="s">
        <v>233</v>
      </c>
      <c r="K555" t="s">
        <v>149</v>
      </c>
      <c r="L555" t="s">
        <v>18</v>
      </c>
      <c r="M555">
        <v>28023</v>
      </c>
      <c r="N555" t="s">
        <v>150</v>
      </c>
    </row>
    <row r="556" spans="1:14" x14ac:dyDescent="0.2">
      <c r="A556">
        <v>10802</v>
      </c>
      <c r="B556" t="s">
        <v>253</v>
      </c>
      <c r="C556">
        <v>4</v>
      </c>
      <c r="D556" s="1">
        <v>35793</v>
      </c>
      <c r="E556" s="1">
        <v>35821</v>
      </c>
      <c r="F556" s="1">
        <v>35797</v>
      </c>
      <c r="G556">
        <v>2</v>
      </c>
      <c r="H556" s="2">
        <v>257.26</v>
      </c>
      <c r="I556" t="s">
        <v>254</v>
      </c>
      <c r="J556" t="s">
        <v>255</v>
      </c>
      <c r="K556" t="s">
        <v>256</v>
      </c>
      <c r="L556" t="s">
        <v>18</v>
      </c>
      <c r="M556">
        <v>1734</v>
      </c>
      <c r="N556" t="s">
        <v>257</v>
      </c>
    </row>
    <row r="557" spans="1:14" x14ac:dyDescent="0.2">
      <c r="A557">
        <v>10803</v>
      </c>
      <c r="B557" t="s">
        <v>51</v>
      </c>
      <c r="C557">
        <v>4</v>
      </c>
      <c r="D557" s="1">
        <v>35794</v>
      </c>
      <c r="E557" s="1">
        <v>35822</v>
      </c>
      <c r="F557" s="1">
        <v>35801</v>
      </c>
      <c r="G557">
        <v>1</v>
      </c>
      <c r="H557" s="2">
        <v>55.23</v>
      </c>
      <c r="I557" t="s">
        <v>52</v>
      </c>
      <c r="J557" t="s">
        <v>53</v>
      </c>
      <c r="K557" t="s">
        <v>54</v>
      </c>
      <c r="L557" t="s">
        <v>55</v>
      </c>
      <c r="M557" t="s">
        <v>56</v>
      </c>
      <c r="N557" t="s">
        <v>31</v>
      </c>
    </row>
    <row r="558" spans="1:14" x14ac:dyDescent="0.2">
      <c r="A558">
        <v>10804</v>
      </c>
      <c r="B558" t="s">
        <v>276</v>
      </c>
      <c r="C558">
        <v>6</v>
      </c>
      <c r="D558" s="1">
        <v>35794</v>
      </c>
      <c r="E558" s="1">
        <v>35822</v>
      </c>
      <c r="F558" s="1">
        <v>35802</v>
      </c>
      <c r="G558">
        <v>2</v>
      </c>
      <c r="H558" s="2">
        <v>27.33</v>
      </c>
      <c r="I558" t="s">
        <v>277</v>
      </c>
      <c r="J558" t="s">
        <v>278</v>
      </c>
      <c r="K558" t="s">
        <v>167</v>
      </c>
      <c r="L558" t="s">
        <v>18</v>
      </c>
      <c r="M558" t="s">
        <v>279</v>
      </c>
      <c r="N558" t="s">
        <v>169</v>
      </c>
    </row>
    <row r="559" spans="1:14" x14ac:dyDescent="0.2">
      <c r="A559">
        <v>10805</v>
      </c>
      <c r="B559" t="s">
        <v>206</v>
      </c>
      <c r="C559">
        <v>2</v>
      </c>
      <c r="D559" s="1">
        <v>35794</v>
      </c>
      <c r="E559" s="1">
        <v>35822</v>
      </c>
      <c r="F559" s="1">
        <v>35804</v>
      </c>
      <c r="G559">
        <v>3</v>
      </c>
      <c r="H559" s="2">
        <v>237.34</v>
      </c>
      <c r="I559" t="s">
        <v>207</v>
      </c>
      <c r="J559" t="s">
        <v>208</v>
      </c>
      <c r="K559" t="s">
        <v>201</v>
      </c>
      <c r="L559" t="s">
        <v>202</v>
      </c>
      <c r="M559">
        <v>97201</v>
      </c>
      <c r="N559" t="s">
        <v>86</v>
      </c>
    </row>
    <row r="560" spans="1:14" x14ac:dyDescent="0.2">
      <c r="A560">
        <v>10806</v>
      </c>
      <c r="B560" t="s">
        <v>32</v>
      </c>
      <c r="C560">
        <v>3</v>
      </c>
      <c r="D560" s="1">
        <v>35795</v>
      </c>
      <c r="E560" s="1">
        <v>35823</v>
      </c>
      <c r="F560" s="1">
        <v>35800</v>
      </c>
      <c r="G560">
        <v>2</v>
      </c>
      <c r="H560" s="2">
        <v>22.11</v>
      </c>
      <c r="I560" t="s">
        <v>33</v>
      </c>
      <c r="J560" t="s">
        <v>34</v>
      </c>
      <c r="K560" t="s">
        <v>35</v>
      </c>
      <c r="L560" t="s">
        <v>18</v>
      </c>
      <c r="M560">
        <v>69004</v>
      </c>
      <c r="N560" t="s">
        <v>19</v>
      </c>
    </row>
    <row r="561" spans="1:14" x14ac:dyDescent="0.2">
      <c r="A561">
        <v>10807</v>
      </c>
      <c r="B561" t="s">
        <v>338</v>
      </c>
      <c r="C561">
        <v>4</v>
      </c>
      <c r="D561" s="1">
        <v>35795</v>
      </c>
      <c r="E561" s="1">
        <v>35823</v>
      </c>
      <c r="F561" s="1">
        <v>35825</v>
      </c>
      <c r="G561">
        <v>1</v>
      </c>
      <c r="H561" s="2">
        <v>1.36</v>
      </c>
      <c r="I561" t="s">
        <v>339</v>
      </c>
      <c r="J561" t="s">
        <v>340</v>
      </c>
      <c r="K561" t="s">
        <v>341</v>
      </c>
      <c r="L561" t="s">
        <v>18</v>
      </c>
      <c r="M561">
        <v>10100</v>
      </c>
      <c r="N561" t="s">
        <v>129</v>
      </c>
    </row>
    <row r="562" spans="1:14" x14ac:dyDescent="0.2">
      <c r="A562">
        <v>10808</v>
      </c>
      <c r="B562" t="s">
        <v>193</v>
      </c>
      <c r="C562">
        <v>2</v>
      </c>
      <c r="D562" s="1">
        <v>35796</v>
      </c>
      <c r="E562" s="1">
        <v>35824</v>
      </c>
      <c r="F562" s="1">
        <v>35804</v>
      </c>
      <c r="G562">
        <v>3</v>
      </c>
      <c r="H562" s="2">
        <v>45.53</v>
      </c>
      <c r="I562" t="s">
        <v>194</v>
      </c>
      <c r="J562" t="s">
        <v>195</v>
      </c>
      <c r="K562" t="s">
        <v>196</v>
      </c>
      <c r="L562" t="s">
        <v>197</v>
      </c>
      <c r="M562">
        <v>99508</v>
      </c>
      <c r="N562" t="s">
        <v>86</v>
      </c>
    </row>
    <row r="563" spans="1:14" x14ac:dyDescent="0.2">
      <c r="A563">
        <v>10809</v>
      </c>
      <c r="B563" t="s">
        <v>51</v>
      </c>
      <c r="C563">
        <v>7</v>
      </c>
      <c r="D563" s="1">
        <v>35796</v>
      </c>
      <c r="E563" s="1">
        <v>35824</v>
      </c>
      <c r="F563" s="1">
        <v>35802</v>
      </c>
      <c r="G563">
        <v>1</v>
      </c>
      <c r="H563" s="2">
        <v>4.87</v>
      </c>
      <c r="I563" t="s">
        <v>52</v>
      </c>
      <c r="J563" t="s">
        <v>53</v>
      </c>
      <c r="K563" t="s">
        <v>54</v>
      </c>
      <c r="L563" t="s">
        <v>55</v>
      </c>
      <c r="M563" t="s">
        <v>56</v>
      </c>
      <c r="N563" t="s">
        <v>31</v>
      </c>
    </row>
    <row r="564" spans="1:14" x14ac:dyDescent="0.2">
      <c r="A564">
        <v>10810</v>
      </c>
      <c r="B564" t="s">
        <v>358</v>
      </c>
      <c r="C564">
        <v>2</v>
      </c>
      <c r="D564" s="1">
        <v>35796</v>
      </c>
      <c r="E564" s="1">
        <v>35824</v>
      </c>
      <c r="F564" s="1">
        <v>35802</v>
      </c>
      <c r="G564">
        <v>3</v>
      </c>
      <c r="H564" s="2">
        <v>4.33</v>
      </c>
      <c r="I564" t="s">
        <v>359</v>
      </c>
      <c r="J564" t="s">
        <v>360</v>
      </c>
      <c r="K564" t="s">
        <v>361</v>
      </c>
      <c r="L564" t="s">
        <v>322</v>
      </c>
      <c r="M564" t="s">
        <v>362</v>
      </c>
      <c r="N564" t="s">
        <v>249</v>
      </c>
    </row>
    <row r="565" spans="1:14" x14ac:dyDescent="0.2">
      <c r="A565">
        <v>10811</v>
      </c>
      <c r="B565" t="s">
        <v>324</v>
      </c>
      <c r="C565">
        <v>8</v>
      </c>
      <c r="D565" s="1">
        <v>35797</v>
      </c>
      <c r="E565" s="1">
        <v>35825</v>
      </c>
      <c r="F565" s="1">
        <v>35803</v>
      </c>
      <c r="G565">
        <v>1</v>
      </c>
      <c r="H565" s="2">
        <v>31.22</v>
      </c>
      <c r="I565" t="s">
        <v>325</v>
      </c>
      <c r="J565" t="s">
        <v>326</v>
      </c>
      <c r="K565" t="s">
        <v>327</v>
      </c>
      <c r="L565" t="s">
        <v>328</v>
      </c>
      <c r="M565">
        <v>4980</v>
      </c>
      <c r="N565" t="s">
        <v>62</v>
      </c>
    </row>
    <row r="566" spans="1:14" x14ac:dyDescent="0.2">
      <c r="A566">
        <v>10812</v>
      </c>
      <c r="B566" t="s">
        <v>160</v>
      </c>
      <c r="C566">
        <v>5</v>
      </c>
      <c r="D566" s="1">
        <v>35797</v>
      </c>
      <c r="E566" s="1">
        <v>35825</v>
      </c>
      <c r="F566" s="1">
        <v>35807</v>
      </c>
      <c r="G566">
        <v>1</v>
      </c>
      <c r="H566" s="2">
        <v>59.78</v>
      </c>
      <c r="I566" t="s">
        <v>161</v>
      </c>
      <c r="J566" t="s">
        <v>162</v>
      </c>
      <c r="K566" t="s">
        <v>163</v>
      </c>
      <c r="L566" t="s">
        <v>18</v>
      </c>
      <c r="M566">
        <v>42100</v>
      </c>
      <c r="N566" t="s">
        <v>129</v>
      </c>
    </row>
    <row r="567" spans="1:14" x14ac:dyDescent="0.2">
      <c r="A567">
        <v>10813</v>
      </c>
      <c r="B567" t="s">
        <v>156</v>
      </c>
      <c r="C567">
        <v>1</v>
      </c>
      <c r="D567" s="1">
        <v>35800</v>
      </c>
      <c r="E567" s="1">
        <v>35828</v>
      </c>
      <c r="F567" s="1">
        <v>35804</v>
      </c>
      <c r="G567">
        <v>1</v>
      </c>
      <c r="H567" s="2">
        <v>47.38</v>
      </c>
      <c r="I567" t="s">
        <v>157</v>
      </c>
      <c r="J567" t="s">
        <v>158</v>
      </c>
      <c r="K567" t="s">
        <v>28</v>
      </c>
      <c r="L567" t="s">
        <v>29</v>
      </c>
      <c r="M567" t="s">
        <v>159</v>
      </c>
      <c r="N567" t="s">
        <v>31</v>
      </c>
    </row>
    <row r="568" spans="1:14" x14ac:dyDescent="0.2">
      <c r="A568">
        <v>10814</v>
      </c>
      <c r="B568" t="s">
        <v>32</v>
      </c>
      <c r="C568">
        <v>3</v>
      </c>
      <c r="D568" s="1">
        <v>35800</v>
      </c>
      <c r="E568" s="1">
        <v>35828</v>
      </c>
      <c r="F568" s="1">
        <v>35809</v>
      </c>
      <c r="G568">
        <v>3</v>
      </c>
      <c r="H568" s="2">
        <v>130.94</v>
      </c>
      <c r="I568" t="s">
        <v>33</v>
      </c>
      <c r="J568" t="s">
        <v>34</v>
      </c>
      <c r="K568" t="s">
        <v>35</v>
      </c>
      <c r="L568" t="s">
        <v>18</v>
      </c>
      <c r="M568">
        <v>69004</v>
      </c>
      <c r="N568" t="s">
        <v>19</v>
      </c>
    </row>
    <row r="569" spans="1:14" x14ac:dyDescent="0.2">
      <c r="A569">
        <v>10815</v>
      </c>
      <c r="B569" t="s">
        <v>226</v>
      </c>
      <c r="C569">
        <v>2</v>
      </c>
      <c r="D569" s="1">
        <v>35800</v>
      </c>
      <c r="E569" s="1">
        <v>35828</v>
      </c>
      <c r="F569" s="1">
        <v>35809</v>
      </c>
      <c r="G569">
        <v>3</v>
      </c>
      <c r="H569" s="2">
        <v>14.62</v>
      </c>
      <c r="I569" t="s">
        <v>227</v>
      </c>
      <c r="J569" t="s">
        <v>228</v>
      </c>
      <c r="K569" t="s">
        <v>229</v>
      </c>
      <c r="L569" t="s">
        <v>230</v>
      </c>
      <c r="M569">
        <v>83720</v>
      </c>
      <c r="N569" t="s">
        <v>86</v>
      </c>
    </row>
    <row r="570" spans="1:14" x14ac:dyDescent="0.2">
      <c r="A570">
        <v>10816</v>
      </c>
      <c r="B570" t="s">
        <v>374</v>
      </c>
      <c r="C570">
        <v>4</v>
      </c>
      <c r="D570" s="1">
        <v>35801</v>
      </c>
      <c r="E570" s="1">
        <v>35829</v>
      </c>
      <c r="F570" s="1">
        <v>35830</v>
      </c>
      <c r="G570">
        <v>2</v>
      </c>
      <c r="H570" s="2">
        <v>719.78</v>
      </c>
      <c r="I570" t="s">
        <v>375</v>
      </c>
      <c r="J570" t="s">
        <v>376</v>
      </c>
      <c r="K570" t="s">
        <v>377</v>
      </c>
      <c r="L570" t="s">
        <v>202</v>
      </c>
      <c r="M570">
        <v>97403</v>
      </c>
      <c r="N570" t="s">
        <v>86</v>
      </c>
    </row>
    <row r="571" spans="1:14" x14ac:dyDescent="0.2">
      <c r="A571">
        <v>10817</v>
      </c>
      <c r="B571" t="s">
        <v>222</v>
      </c>
      <c r="C571">
        <v>3</v>
      </c>
      <c r="D571" s="1">
        <v>35801</v>
      </c>
      <c r="E571" s="1">
        <v>35815</v>
      </c>
      <c r="F571" s="1">
        <v>35808</v>
      </c>
      <c r="G571">
        <v>2</v>
      </c>
      <c r="H571" s="2">
        <v>306.07</v>
      </c>
      <c r="I571" t="s">
        <v>223</v>
      </c>
      <c r="J571" t="s">
        <v>224</v>
      </c>
      <c r="K571" t="s">
        <v>225</v>
      </c>
      <c r="L571" t="s">
        <v>18</v>
      </c>
      <c r="M571">
        <v>14776</v>
      </c>
      <c r="N571" t="s">
        <v>24</v>
      </c>
    </row>
    <row r="572" spans="1:14" x14ac:dyDescent="0.2">
      <c r="A572">
        <v>10818</v>
      </c>
      <c r="B572" t="s">
        <v>125</v>
      </c>
      <c r="C572">
        <v>7</v>
      </c>
      <c r="D572" s="1">
        <v>35802</v>
      </c>
      <c r="E572" s="1">
        <v>35830</v>
      </c>
      <c r="F572" s="1">
        <v>35807</v>
      </c>
      <c r="G572">
        <v>3</v>
      </c>
      <c r="H572" s="2">
        <v>65.48</v>
      </c>
      <c r="I572" t="s">
        <v>126</v>
      </c>
      <c r="J572" t="s">
        <v>127</v>
      </c>
      <c r="K572" t="s">
        <v>128</v>
      </c>
      <c r="L572" t="s">
        <v>18</v>
      </c>
      <c r="M572">
        <v>24100</v>
      </c>
      <c r="N572" t="s">
        <v>129</v>
      </c>
    </row>
    <row r="573" spans="1:14" x14ac:dyDescent="0.2">
      <c r="A573">
        <v>10819</v>
      </c>
      <c r="B573" t="s">
        <v>371</v>
      </c>
      <c r="C573">
        <v>2</v>
      </c>
      <c r="D573" s="1">
        <v>35802</v>
      </c>
      <c r="E573" s="1">
        <v>35830</v>
      </c>
      <c r="F573" s="1">
        <v>35811</v>
      </c>
      <c r="G573">
        <v>3</v>
      </c>
      <c r="H573" s="2">
        <v>19.760000000000002</v>
      </c>
      <c r="I573" t="s">
        <v>372</v>
      </c>
      <c r="J573" t="s">
        <v>373</v>
      </c>
      <c r="K573" t="s">
        <v>336</v>
      </c>
      <c r="L573" t="s">
        <v>18</v>
      </c>
      <c r="M573">
        <v>1010</v>
      </c>
      <c r="N573" t="s">
        <v>337</v>
      </c>
    </row>
    <row r="574" spans="1:14" x14ac:dyDescent="0.2">
      <c r="A574">
        <v>10820</v>
      </c>
      <c r="B574" t="s">
        <v>81</v>
      </c>
      <c r="C574">
        <v>3</v>
      </c>
      <c r="D574" s="1">
        <v>35802</v>
      </c>
      <c r="E574" s="1">
        <v>35830</v>
      </c>
      <c r="F574" s="1">
        <v>35808</v>
      </c>
      <c r="G574">
        <v>2</v>
      </c>
      <c r="H574" s="2">
        <v>37.520000000000003</v>
      </c>
      <c r="I574" t="s">
        <v>82</v>
      </c>
      <c r="J574" t="s">
        <v>83</v>
      </c>
      <c r="K574" t="s">
        <v>84</v>
      </c>
      <c r="L574" t="s">
        <v>85</v>
      </c>
      <c r="M574">
        <v>87110</v>
      </c>
      <c r="N574" t="s">
        <v>86</v>
      </c>
    </row>
    <row r="575" spans="1:14" x14ac:dyDescent="0.2">
      <c r="A575">
        <v>10821</v>
      </c>
      <c r="B575" t="s">
        <v>116</v>
      </c>
      <c r="C575">
        <v>1</v>
      </c>
      <c r="D575" s="1">
        <v>35803</v>
      </c>
      <c r="E575" s="1">
        <v>35831</v>
      </c>
      <c r="F575" s="1">
        <v>35810</v>
      </c>
      <c r="G575">
        <v>1</v>
      </c>
      <c r="H575" s="2">
        <v>36.68</v>
      </c>
      <c r="I575" t="s">
        <v>117</v>
      </c>
      <c r="J575" t="s">
        <v>118</v>
      </c>
      <c r="K575" t="s">
        <v>119</v>
      </c>
      <c r="L575" t="s">
        <v>120</v>
      </c>
      <c r="M575">
        <v>82520</v>
      </c>
      <c r="N575" t="s">
        <v>86</v>
      </c>
    </row>
    <row r="576" spans="1:14" x14ac:dyDescent="0.2">
      <c r="A576">
        <v>10822</v>
      </c>
      <c r="B576" t="s">
        <v>383</v>
      </c>
      <c r="C576">
        <v>6</v>
      </c>
      <c r="D576" s="1">
        <v>35803</v>
      </c>
      <c r="E576" s="1">
        <v>35831</v>
      </c>
      <c r="F576" s="1">
        <v>35811</v>
      </c>
      <c r="G576">
        <v>3</v>
      </c>
      <c r="H576" s="2">
        <v>7</v>
      </c>
      <c r="I576" t="s">
        <v>384</v>
      </c>
      <c r="J576" t="s">
        <v>385</v>
      </c>
      <c r="K576" t="s">
        <v>386</v>
      </c>
      <c r="L576" t="s">
        <v>115</v>
      </c>
      <c r="M576">
        <v>98034</v>
      </c>
      <c r="N576" t="s">
        <v>86</v>
      </c>
    </row>
    <row r="577" spans="1:14" x14ac:dyDescent="0.2">
      <c r="A577">
        <v>10823</v>
      </c>
      <c r="B577" t="s">
        <v>151</v>
      </c>
      <c r="C577">
        <v>5</v>
      </c>
      <c r="D577" s="1">
        <v>35804</v>
      </c>
      <c r="E577" s="1">
        <v>35832</v>
      </c>
      <c r="F577" s="1">
        <v>35808</v>
      </c>
      <c r="G577">
        <v>2</v>
      </c>
      <c r="H577" s="2">
        <v>163.97</v>
      </c>
      <c r="I577" t="s">
        <v>152</v>
      </c>
      <c r="J577" t="s">
        <v>153</v>
      </c>
      <c r="K577" t="s">
        <v>154</v>
      </c>
      <c r="L577" t="s">
        <v>155</v>
      </c>
      <c r="M577">
        <v>3508</v>
      </c>
      <c r="N577" t="s">
        <v>62</v>
      </c>
    </row>
    <row r="578" spans="1:14" x14ac:dyDescent="0.2">
      <c r="A578">
        <v>10824</v>
      </c>
      <c r="B578" t="s">
        <v>87</v>
      </c>
      <c r="C578">
        <v>8</v>
      </c>
      <c r="D578" s="1">
        <v>35804</v>
      </c>
      <c r="E578" s="1">
        <v>35832</v>
      </c>
      <c r="F578" s="1">
        <v>35825</v>
      </c>
      <c r="G578">
        <v>1</v>
      </c>
      <c r="H578" s="2">
        <v>1.23</v>
      </c>
      <c r="I578" t="s">
        <v>88</v>
      </c>
      <c r="J578" t="s">
        <v>89</v>
      </c>
      <c r="K578" t="s">
        <v>90</v>
      </c>
      <c r="L578" t="s">
        <v>18</v>
      </c>
      <c r="M578" t="s">
        <v>91</v>
      </c>
      <c r="N578" t="s">
        <v>92</v>
      </c>
    </row>
    <row r="579" spans="1:14" x14ac:dyDescent="0.2">
      <c r="A579">
        <v>10825</v>
      </c>
      <c r="B579" t="s">
        <v>280</v>
      </c>
      <c r="C579">
        <v>1</v>
      </c>
      <c r="D579" s="1">
        <v>35804</v>
      </c>
      <c r="E579" s="1">
        <v>35832</v>
      </c>
      <c r="F579" s="1">
        <v>35809</v>
      </c>
      <c r="G579">
        <v>1</v>
      </c>
      <c r="H579" s="2">
        <v>79.25</v>
      </c>
      <c r="I579" t="s">
        <v>281</v>
      </c>
      <c r="J579" t="s">
        <v>282</v>
      </c>
      <c r="K579" t="s">
        <v>283</v>
      </c>
      <c r="L579" t="s">
        <v>18</v>
      </c>
      <c r="M579">
        <v>52066</v>
      </c>
      <c r="N579" t="s">
        <v>24</v>
      </c>
    </row>
    <row r="580" spans="1:14" x14ac:dyDescent="0.2">
      <c r="A580">
        <v>10826</v>
      </c>
      <c r="B580" t="s">
        <v>93</v>
      </c>
      <c r="C580">
        <v>6</v>
      </c>
      <c r="D580" s="1">
        <v>35807</v>
      </c>
      <c r="E580" s="1">
        <v>35835</v>
      </c>
      <c r="F580" s="1">
        <v>35832</v>
      </c>
      <c r="G580">
        <v>1</v>
      </c>
      <c r="H580" s="2">
        <v>7.09</v>
      </c>
      <c r="I580" t="s">
        <v>94</v>
      </c>
      <c r="J580" t="s">
        <v>95</v>
      </c>
      <c r="K580" t="s">
        <v>96</v>
      </c>
      <c r="L580" t="s">
        <v>18</v>
      </c>
      <c r="M580">
        <v>67000</v>
      </c>
      <c r="N580" t="s">
        <v>19</v>
      </c>
    </row>
    <row r="581" spans="1:14" x14ac:dyDescent="0.2">
      <c r="A581">
        <v>10827</v>
      </c>
      <c r="B581" t="s">
        <v>239</v>
      </c>
      <c r="C581">
        <v>1</v>
      </c>
      <c r="D581" s="1">
        <v>35807</v>
      </c>
      <c r="E581" s="1">
        <v>35821</v>
      </c>
      <c r="F581" s="1">
        <v>35832</v>
      </c>
      <c r="G581">
        <v>2</v>
      </c>
      <c r="H581" s="2">
        <v>63.54</v>
      </c>
      <c r="I581" t="s">
        <v>240</v>
      </c>
      <c r="J581" t="s">
        <v>241</v>
      </c>
      <c r="K581" t="s">
        <v>242</v>
      </c>
      <c r="L581" t="s">
        <v>18</v>
      </c>
      <c r="M581">
        <v>13008</v>
      </c>
      <c r="N581" t="s">
        <v>19</v>
      </c>
    </row>
    <row r="582" spans="1:14" x14ac:dyDescent="0.2">
      <c r="A582">
        <v>10828</v>
      </c>
      <c r="B582" t="s">
        <v>351</v>
      </c>
      <c r="C582">
        <v>9</v>
      </c>
      <c r="D582" s="1">
        <v>35808</v>
      </c>
      <c r="E582" s="1">
        <v>35822</v>
      </c>
      <c r="F582" s="1">
        <v>35830</v>
      </c>
      <c r="G582">
        <v>1</v>
      </c>
      <c r="H582" s="2">
        <v>90.85</v>
      </c>
      <c r="I582" t="s">
        <v>352</v>
      </c>
      <c r="J582" t="s">
        <v>353</v>
      </c>
      <c r="K582" t="s">
        <v>336</v>
      </c>
      <c r="L582" t="s">
        <v>18</v>
      </c>
      <c r="M582">
        <v>1010</v>
      </c>
      <c r="N582" t="s">
        <v>337</v>
      </c>
    </row>
    <row r="583" spans="1:14" x14ac:dyDescent="0.2">
      <c r="A583">
        <v>10829</v>
      </c>
      <c r="B583" t="s">
        <v>213</v>
      </c>
      <c r="C583">
        <v>9</v>
      </c>
      <c r="D583" s="1">
        <v>35808</v>
      </c>
      <c r="E583" s="1">
        <v>35836</v>
      </c>
      <c r="F583" s="1">
        <v>35818</v>
      </c>
      <c r="G583">
        <v>1</v>
      </c>
      <c r="H583" s="2">
        <v>154.72</v>
      </c>
      <c r="I583" t="s">
        <v>214</v>
      </c>
      <c r="J583" t="s">
        <v>215</v>
      </c>
      <c r="K583" t="s">
        <v>216</v>
      </c>
      <c r="L583" t="s">
        <v>217</v>
      </c>
      <c r="M583" t="s">
        <v>218</v>
      </c>
      <c r="N583" t="s">
        <v>169</v>
      </c>
    </row>
    <row r="584" spans="1:14" x14ac:dyDescent="0.2">
      <c r="A584">
        <v>10830</v>
      </c>
      <c r="B584" t="s">
        <v>175</v>
      </c>
      <c r="C584">
        <v>4</v>
      </c>
      <c r="D584" s="1">
        <v>35808</v>
      </c>
      <c r="E584" s="1">
        <v>35850</v>
      </c>
      <c r="F584" s="1">
        <v>35816</v>
      </c>
      <c r="G584">
        <v>2</v>
      </c>
      <c r="H584" s="2">
        <v>81.83</v>
      </c>
      <c r="I584" t="s">
        <v>176</v>
      </c>
      <c r="J584" t="s">
        <v>177</v>
      </c>
      <c r="K584" t="s">
        <v>173</v>
      </c>
      <c r="L584" t="s">
        <v>55</v>
      </c>
      <c r="M584" t="s">
        <v>178</v>
      </c>
      <c r="N584" t="s">
        <v>31</v>
      </c>
    </row>
    <row r="585" spans="1:14" x14ac:dyDescent="0.2">
      <c r="A585">
        <v>10831</v>
      </c>
      <c r="B585" t="s">
        <v>313</v>
      </c>
      <c r="C585">
        <v>3</v>
      </c>
      <c r="D585" s="1">
        <v>35809</v>
      </c>
      <c r="E585" s="1">
        <v>35837</v>
      </c>
      <c r="F585" s="1">
        <v>35818</v>
      </c>
      <c r="G585">
        <v>2</v>
      </c>
      <c r="H585" s="2">
        <v>72.19</v>
      </c>
      <c r="I585" t="s">
        <v>314</v>
      </c>
      <c r="J585" t="s">
        <v>315</v>
      </c>
      <c r="K585" t="s">
        <v>316</v>
      </c>
      <c r="L585" t="s">
        <v>18</v>
      </c>
      <c r="M585">
        <v>4110</v>
      </c>
      <c r="N585" t="s">
        <v>317</v>
      </c>
    </row>
    <row r="586" spans="1:14" x14ac:dyDescent="0.2">
      <c r="A586">
        <v>10832</v>
      </c>
      <c r="B586" t="s">
        <v>262</v>
      </c>
      <c r="C586">
        <v>2</v>
      </c>
      <c r="D586" s="1">
        <v>35809</v>
      </c>
      <c r="E586" s="1">
        <v>35837</v>
      </c>
      <c r="F586" s="1">
        <v>35814</v>
      </c>
      <c r="G586">
        <v>2</v>
      </c>
      <c r="H586" s="2">
        <v>43.26</v>
      </c>
      <c r="I586" t="s">
        <v>263</v>
      </c>
      <c r="J586" t="s">
        <v>264</v>
      </c>
      <c r="K586" t="s">
        <v>265</v>
      </c>
      <c r="L586" t="s">
        <v>18</v>
      </c>
      <c r="M586">
        <v>31000</v>
      </c>
      <c r="N586" t="s">
        <v>19</v>
      </c>
    </row>
    <row r="587" spans="1:14" x14ac:dyDescent="0.2">
      <c r="A587">
        <v>10833</v>
      </c>
      <c r="B587" t="s">
        <v>73</v>
      </c>
      <c r="C587">
        <v>6</v>
      </c>
      <c r="D587" s="1">
        <v>35810</v>
      </c>
      <c r="E587" s="1">
        <v>35838</v>
      </c>
      <c r="F587" s="1">
        <v>35818</v>
      </c>
      <c r="G587">
        <v>2</v>
      </c>
      <c r="H587" s="2">
        <v>71.489999999999995</v>
      </c>
      <c r="I587" t="s">
        <v>74</v>
      </c>
      <c r="J587" t="s">
        <v>75</v>
      </c>
      <c r="K587" t="s">
        <v>76</v>
      </c>
      <c r="L587" t="s">
        <v>18</v>
      </c>
      <c r="M587">
        <v>50739</v>
      </c>
      <c r="N587" t="s">
        <v>24</v>
      </c>
    </row>
    <row r="588" spans="1:14" x14ac:dyDescent="0.2">
      <c r="A588">
        <v>10834</v>
      </c>
      <c r="B588" t="s">
        <v>175</v>
      </c>
      <c r="C588">
        <v>1</v>
      </c>
      <c r="D588" s="1">
        <v>35810</v>
      </c>
      <c r="E588" s="1">
        <v>35838</v>
      </c>
      <c r="F588" s="1">
        <v>35814</v>
      </c>
      <c r="G588">
        <v>3</v>
      </c>
      <c r="H588" s="2">
        <v>29.78</v>
      </c>
      <c r="I588" t="s">
        <v>176</v>
      </c>
      <c r="J588" t="s">
        <v>177</v>
      </c>
      <c r="K588" t="s">
        <v>173</v>
      </c>
      <c r="L588" t="s">
        <v>55</v>
      </c>
      <c r="M588" t="s">
        <v>178</v>
      </c>
      <c r="N588" t="s">
        <v>31</v>
      </c>
    </row>
    <row r="589" spans="1:14" x14ac:dyDescent="0.2">
      <c r="A589">
        <v>10835</v>
      </c>
      <c r="B589" t="s">
        <v>401</v>
      </c>
      <c r="C589">
        <v>1</v>
      </c>
      <c r="D589" s="1">
        <v>35810</v>
      </c>
      <c r="E589" s="1">
        <v>35838</v>
      </c>
      <c r="F589" s="1">
        <v>35816</v>
      </c>
      <c r="G589">
        <v>3</v>
      </c>
      <c r="H589" s="2">
        <v>69.53</v>
      </c>
      <c r="I589" t="s">
        <v>408</v>
      </c>
      <c r="J589" t="s">
        <v>403</v>
      </c>
      <c r="K589" t="s">
        <v>404</v>
      </c>
      <c r="L589" t="s">
        <v>18</v>
      </c>
      <c r="M589">
        <v>12209</v>
      </c>
      <c r="N589" t="s">
        <v>24</v>
      </c>
    </row>
    <row r="590" spans="1:14" x14ac:dyDescent="0.2">
      <c r="A590">
        <v>10836</v>
      </c>
      <c r="B590" t="s">
        <v>63</v>
      </c>
      <c r="C590">
        <v>7</v>
      </c>
      <c r="D590" s="1">
        <v>35811</v>
      </c>
      <c r="E590" s="1">
        <v>35839</v>
      </c>
      <c r="F590" s="1">
        <v>35816</v>
      </c>
      <c r="G590">
        <v>1</v>
      </c>
      <c r="H590" s="2">
        <v>411.88</v>
      </c>
      <c r="I590" t="s">
        <v>64</v>
      </c>
      <c r="J590" t="s">
        <v>65</v>
      </c>
      <c r="K590" t="s">
        <v>66</v>
      </c>
      <c r="L590" t="s">
        <v>18</v>
      </c>
      <c r="M590">
        <v>8010</v>
      </c>
      <c r="N590" t="s">
        <v>67</v>
      </c>
    </row>
    <row r="591" spans="1:14" x14ac:dyDescent="0.2">
      <c r="A591">
        <v>10837</v>
      </c>
      <c r="B591" t="s">
        <v>137</v>
      </c>
      <c r="C591">
        <v>9</v>
      </c>
      <c r="D591" s="1">
        <v>35811</v>
      </c>
      <c r="E591" s="1">
        <v>35839</v>
      </c>
      <c r="F591" s="1">
        <v>35818</v>
      </c>
      <c r="G591">
        <v>3</v>
      </c>
      <c r="H591" s="2">
        <v>13.32</v>
      </c>
      <c r="I591" t="s">
        <v>138</v>
      </c>
      <c r="J591" t="s">
        <v>139</v>
      </c>
      <c r="K591" t="s">
        <v>140</v>
      </c>
      <c r="L591" t="s">
        <v>18</v>
      </c>
      <c r="M591" t="s">
        <v>141</v>
      </c>
      <c r="N591" t="s">
        <v>92</v>
      </c>
    </row>
    <row r="592" spans="1:14" x14ac:dyDescent="0.2">
      <c r="A592">
        <v>10838</v>
      </c>
      <c r="B592" t="s">
        <v>324</v>
      </c>
      <c r="C592">
        <v>3</v>
      </c>
      <c r="D592" s="1">
        <v>35814</v>
      </c>
      <c r="E592" s="1">
        <v>35842</v>
      </c>
      <c r="F592" s="1">
        <v>35818</v>
      </c>
      <c r="G592">
        <v>3</v>
      </c>
      <c r="H592" s="2">
        <v>59.28</v>
      </c>
      <c r="I592" t="s">
        <v>325</v>
      </c>
      <c r="J592" t="s">
        <v>326</v>
      </c>
      <c r="K592" t="s">
        <v>327</v>
      </c>
      <c r="L592" t="s">
        <v>328</v>
      </c>
      <c r="M592">
        <v>4980</v>
      </c>
      <c r="N592" t="s">
        <v>62</v>
      </c>
    </row>
    <row r="593" spans="1:14" x14ac:dyDescent="0.2">
      <c r="A593">
        <v>10839</v>
      </c>
      <c r="B593" t="s">
        <v>175</v>
      </c>
      <c r="C593">
        <v>3</v>
      </c>
      <c r="D593" s="1">
        <v>35814</v>
      </c>
      <c r="E593" s="1">
        <v>35842</v>
      </c>
      <c r="F593" s="1">
        <v>35817</v>
      </c>
      <c r="G593">
        <v>3</v>
      </c>
      <c r="H593" s="2">
        <v>35.43</v>
      </c>
      <c r="I593" t="s">
        <v>176</v>
      </c>
      <c r="J593" t="s">
        <v>177</v>
      </c>
      <c r="K593" t="s">
        <v>173</v>
      </c>
      <c r="L593" t="s">
        <v>55</v>
      </c>
      <c r="M593" t="s">
        <v>178</v>
      </c>
      <c r="N593" t="s">
        <v>31</v>
      </c>
    </row>
    <row r="594" spans="1:14" x14ac:dyDescent="0.2">
      <c r="A594">
        <v>10840</v>
      </c>
      <c r="B594" t="s">
        <v>324</v>
      </c>
      <c r="C594">
        <v>4</v>
      </c>
      <c r="D594" s="1">
        <v>35814</v>
      </c>
      <c r="E594" s="1">
        <v>35856</v>
      </c>
      <c r="F594" s="1">
        <v>35842</v>
      </c>
      <c r="G594">
        <v>2</v>
      </c>
      <c r="H594" s="2">
        <v>2.71</v>
      </c>
      <c r="I594" t="s">
        <v>325</v>
      </c>
      <c r="J594" t="s">
        <v>326</v>
      </c>
      <c r="K594" t="s">
        <v>327</v>
      </c>
      <c r="L594" t="s">
        <v>328</v>
      </c>
      <c r="M594">
        <v>4980</v>
      </c>
      <c r="N594" t="s">
        <v>62</v>
      </c>
    </row>
    <row r="595" spans="1:14" x14ac:dyDescent="0.2">
      <c r="A595">
        <v>10841</v>
      </c>
      <c r="B595" t="s">
        <v>36</v>
      </c>
      <c r="C595">
        <v>5</v>
      </c>
      <c r="D595" s="1">
        <v>35815</v>
      </c>
      <c r="E595" s="1">
        <v>35843</v>
      </c>
      <c r="F595" s="1">
        <v>35824</v>
      </c>
      <c r="G595">
        <v>2</v>
      </c>
      <c r="H595" s="2">
        <v>424.3</v>
      </c>
      <c r="I595" t="s">
        <v>37</v>
      </c>
      <c r="J595" t="s">
        <v>38</v>
      </c>
      <c r="K595" t="s">
        <v>39</v>
      </c>
      <c r="L595" t="s">
        <v>18</v>
      </c>
      <c r="M595" t="s">
        <v>40</v>
      </c>
      <c r="N595" t="s">
        <v>41</v>
      </c>
    </row>
    <row r="596" spans="1:14" x14ac:dyDescent="0.2">
      <c r="A596">
        <v>10842</v>
      </c>
      <c r="B596" t="s">
        <v>130</v>
      </c>
      <c r="C596">
        <v>1</v>
      </c>
      <c r="D596" s="1">
        <v>35815</v>
      </c>
      <c r="E596" s="1">
        <v>35843</v>
      </c>
      <c r="F596" s="1">
        <v>35824</v>
      </c>
      <c r="G596">
        <v>3</v>
      </c>
      <c r="H596" s="2">
        <v>54.42</v>
      </c>
      <c r="I596" t="s">
        <v>131</v>
      </c>
      <c r="J596" t="s">
        <v>132</v>
      </c>
      <c r="K596" t="s">
        <v>71</v>
      </c>
      <c r="L596" t="s">
        <v>18</v>
      </c>
      <c r="M596">
        <v>5033</v>
      </c>
      <c r="N596" t="s">
        <v>72</v>
      </c>
    </row>
    <row r="597" spans="1:14" x14ac:dyDescent="0.2">
      <c r="A597">
        <v>10843</v>
      </c>
      <c r="B597" t="s">
        <v>32</v>
      </c>
      <c r="C597">
        <v>4</v>
      </c>
      <c r="D597" s="1">
        <v>35816</v>
      </c>
      <c r="E597" s="1">
        <v>35844</v>
      </c>
      <c r="F597" s="1">
        <v>35821</v>
      </c>
      <c r="G597">
        <v>2</v>
      </c>
      <c r="H597" s="2">
        <v>9.26</v>
      </c>
      <c r="I597" t="s">
        <v>33</v>
      </c>
      <c r="J597" t="s">
        <v>34</v>
      </c>
      <c r="K597" t="s">
        <v>35</v>
      </c>
      <c r="L597" t="s">
        <v>18</v>
      </c>
      <c r="M597">
        <v>69004</v>
      </c>
      <c r="N597" t="s">
        <v>19</v>
      </c>
    </row>
    <row r="598" spans="1:14" x14ac:dyDescent="0.2">
      <c r="A598">
        <v>10844</v>
      </c>
      <c r="B598" t="s">
        <v>266</v>
      </c>
      <c r="C598">
        <v>8</v>
      </c>
      <c r="D598" s="1">
        <v>35816</v>
      </c>
      <c r="E598" s="1">
        <v>35844</v>
      </c>
      <c r="F598" s="1">
        <v>35821</v>
      </c>
      <c r="G598">
        <v>2</v>
      </c>
      <c r="H598" s="2">
        <v>25.22</v>
      </c>
      <c r="I598" t="s">
        <v>267</v>
      </c>
      <c r="J598" t="s">
        <v>268</v>
      </c>
      <c r="K598" t="s">
        <v>269</v>
      </c>
      <c r="L598" t="s">
        <v>18</v>
      </c>
      <c r="M598">
        <v>5020</v>
      </c>
      <c r="N598" t="s">
        <v>67</v>
      </c>
    </row>
    <row r="599" spans="1:14" x14ac:dyDescent="0.2">
      <c r="A599">
        <v>10845</v>
      </c>
      <c r="B599" t="s">
        <v>121</v>
      </c>
      <c r="C599">
        <v>8</v>
      </c>
      <c r="D599" s="1">
        <v>35816</v>
      </c>
      <c r="E599" s="1">
        <v>35830</v>
      </c>
      <c r="F599" s="1">
        <v>35825</v>
      </c>
      <c r="G599">
        <v>1</v>
      </c>
      <c r="H599" s="2">
        <v>212.98</v>
      </c>
      <c r="I599" t="s">
        <v>122</v>
      </c>
      <c r="J599" t="s">
        <v>123</v>
      </c>
      <c r="K599" t="s">
        <v>124</v>
      </c>
      <c r="L599" t="s">
        <v>18</v>
      </c>
      <c r="M599">
        <v>1307</v>
      </c>
      <c r="N599" t="s">
        <v>24</v>
      </c>
    </row>
    <row r="600" spans="1:14" x14ac:dyDescent="0.2">
      <c r="A600">
        <v>10846</v>
      </c>
      <c r="B600" t="s">
        <v>36</v>
      </c>
      <c r="C600">
        <v>2</v>
      </c>
      <c r="D600" s="1">
        <v>35817</v>
      </c>
      <c r="E600" s="1">
        <v>35859</v>
      </c>
      <c r="F600" s="1">
        <v>35818</v>
      </c>
      <c r="G600">
        <v>3</v>
      </c>
      <c r="H600" s="2">
        <v>56.46</v>
      </c>
      <c r="I600" t="s">
        <v>37</v>
      </c>
      <c r="J600" t="s">
        <v>38</v>
      </c>
      <c r="K600" t="s">
        <v>39</v>
      </c>
      <c r="L600" t="s">
        <v>18</v>
      </c>
      <c r="M600" t="s">
        <v>40</v>
      </c>
      <c r="N600" t="s">
        <v>41</v>
      </c>
    </row>
    <row r="601" spans="1:14" x14ac:dyDescent="0.2">
      <c r="A601">
        <v>10847</v>
      </c>
      <c r="B601" t="s">
        <v>226</v>
      </c>
      <c r="C601">
        <v>4</v>
      </c>
      <c r="D601" s="1">
        <v>35817</v>
      </c>
      <c r="E601" s="1">
        <v>35831</v>
      </c>
      <c r="F601" s="1">
        <v>35836</v>
      </c>
      <c r="G601">
        <v>3</v>
      </c>
      <c r="H601" s="2">
        <v>487.57</v>
      </c>
      <c r="I601" t="s">
        <v>227</v>
      </c>
      <c r="J601" t="s">
        <v>228</v>
      </c>
      <c r="K601" t="s">
        <v>229</v>
      </c>
      <c r="L601" t="s">
        <v>230</v>
      </c>
      <c r="M601">
        <v>83720</v>
      </c>
      <c r="N601" t="s">
        <v>86</v>
      </c>
    </row>
    <row r="602" spans="1:14" x14ac:dyDescent="0.2">
      <c r="A602">
        <v>10848</v>
      </c>
      <c r="B602" t="s">
        <v>347</v>
      </c>
      <c r="C602">
        <v>7</v>
      </c>
      <c r="D602" s="1">
        <v>35818</v>
      </c>
      <c r="E602" s="1">
        <v>35846</v>
      </c>
      <c r="F602" s="1">
        <v>35824</v>
      </c>
      <c r="G602">
        <v>2</v>
      </c>
      <c r="H602" s="2">
        <v>38.24</v>
      </c>
      <c r="I602" t="s">
        <v>348</v>
      </c>
      <c r="J602" t="s">
        <v>349</v>
      </c>
      <c r="K602" t="s">
        <v>167</v>
      </c>
      <c r="L602" t="s">
        <v>18</v>
      </c>
      <c r="M602" t="s">
        <v>350</v>
      </c>
      <c r="N602" t="s">
        <v>169</v>
      </c>
    </row>
    <row r="603" spans="1:14" x14ac:dyDescent="0.2">
      <c r="A603">
        <v>10849</v>
      </c>
      <c r="B603" t="s">
        <v>222</v>
      </c>
      <c r="C603">
        <v>9</v>
      </c>
      <c r="D603" s="1">
        <v>35818</v>
      </c>
      <c r="E603" s="1">
        <v>35846</v>
      </c>
      <c r="F603" s="1">
        <v>35825</v>
      </c>
      <c r="G603">
        <v>2</v>
      </c>
      <c r="H603" s="2">
        <v>0.56000000000000005</v>
      </c>
      <c r="I603" t="s">
        <v>223</v>
      </c>
      <c r="J603" t="s">
        <v>224</v>
      </c>
      <c r="K603" t="s">
        <v>225</v>
      </c>
      <c r="L603" t="s">
        <v>18</v>
      </c>
      <c r="M603">
        <v>14776</v>
      </c>
      <c r="N603" t="s">
        <v>24</v>
      </c>
    </row>
    <row r="604" spans="1:14" x14ac:dyDescent="0.2">
      <c r="A604">
        <v>10850</v>
      </c>
      <c r="B604" t="s">
        <v>32</v>
      </c>
      <c r="C604">
        <v>1</v>
      </c>
      <c r="D604" s="1">
        <v>35818</v>
      </c>
      <c r="E604" s="1">
        <v>35860</v>
      </c>
      <c r="F604" s="1">
        <v>35825</v>
      </c>
      <c r="G604">
        <v>1</v>
      </c>
      <c r="H604" s="2">
        <v>49.19</v>
      </c>
      <c r="I604" t="s">
        <v>33</v>
      </c>
      <c r="J604" t="s">
        <v>34</v>
      </c>
      <c r="K604" t="s">
        <v>35</v>
      </c>
      <c r="L604" t="s">
        <v>18</v>
      </c>
      <c r="M604">
        <v>69004</v>
      </c>
      <c r="N604" t="s">
        <v>19</v>
      </c>
    </row>
    <row r="605" spans="1:14" x14ac:dyDescent="0.2">
      <c r="A605">
        <v>10851</v>
      </c>
      <c r="B605" t="s">
        <v>156</v>
      </c>
      <c r="C605">
        <v>5</v>
      </c>
      <c r="D605" s="1">
        <v>35821</v>
      </c>
      <c r="E605" s="1">
        <v>35849</v>
      </c>
      <c r="F605" s="1">
        <v>35828</v>
      </c>
      <c r="G605">
        <v>1</v>
      </c>
      <c r="H605" s="2">
        <v>160.55000000000001</v>
      </c>
      <c r="I605" t="s">
        <v>157</v>
      </c>
      <c r="J605" t="s">
        <v>158</v>
      </c>
      <c r="K605" t="s">
        <v>28</v>
      </c>
      <c r="L605" t="s">
        <v>29</v>
      </c>
      <c r="M605" t="s">
        <v>159</v>
      </c>
      <c r="N605" t="s">
        <v>31</v>
      </c>
    </row>
    <row r="606" spans="1:14" x14ac:dyDescent="0.2">
      <c r="A606">
        <v>10852</v>
      </c>
      <c r="B606" t="s">
        <v>81</v>
      </c>
      <c r="C606">
        <v>8</v>
      </c>
      <c r="D606" s="1">
        <v>35821</v>
      </c>
      <c r="E606" s="1">
        <v>35835</v>
      </c>
      <c r="F606" s="1">
        <v>35825</v>
      </c>
      <c r="G606">
        <v>1</v>
      </c>
      <c r="H606" s="2">
        <v>174.05</v>
      </c>
      <c r="I606" t="s">
        <v>82</v>
      </c>
      <c r="J606" t="s">
        <v>83</v>
      </c>
      <c r="K606" t="s">
        <v>84</v>
      </c>
      <c r="L606" t="s">
        <v>85</v>
      </c>
      <c r="M606">
        <v>87110</v>
      </c>
      <c r="N606" t="s">
        <v>86</v>
      </c>
    </row>
    <row r="607" spans="1:14" x14ac:dyDescent="0.2">
      <c r="A607">
        <v>10853</v>
      </c>
      <c r="B607" t="s">
        <v>363</v>
      </c>
      <c r="C607">
        <v>9</v>
      </c>
      <c r="D607" s="1">
        <v>35822</v>
      </c>
      <c r="E607" s="1">
        <v>35850</v>
      </c>
      <c r="F607" s="1">
        <v>35829</v>
      </c>
      <c r="G607">
        <v>2</v>
      </c>
      <c r="H607" s="2">
        <v>53.83</v>
      </c>
      <c r="I607" t="s">
        <v>364</v>
      </c>
      <c r="J607" t="s">
        <v>365</v>
      </c>
      <c r="K607" t="s">
        <v>366</v>
      </c>
      <c r="L607" t="s">
        <v>18</v>
      </c>
      <c r="M607">
        <v>68306</v>
      </c>
      <c r="N607" t="s">
        <v>24</v>
      </c>
    </row>
    <row r="608" spans="1:14" x14ac:dyDescent="0.2">
      <c r="A608">
        <v>10854</v>
      </c>
      <c r="B608" t="s">
        <v>63</v>
      </c>
      <c r="C608">
        <v>3</v>
      </c>
      <c r="D608" s="1">
        <v>35822</v>
      </c>
      <c r="E608" s="1">
        <v>35850</v>
      </c>
      <c r="F608" s="1">
        <v>35831</v>
      </c>
      <c r="G608">
        <v>2</v>
      </c>
      <c r="H608" s="2">
        <v>100.22</v>
      </c>
      <c r="I608" t="s">
        <v>64</v>
      </c>
      <c r="J608" t="s">
        <v>65</v>
      </c>
      <c r="K608" t="s">
        <v>66</v>
      </c>
      <c r="L608" t="s">
        <v>18</v>
      </c>
      <c r="M608">
        <v>8010</v>
      </c>
      <c r="N608" t="s">
        <v>67</v>
      </c>
    </row>
    <row r="609" spans="1:14" x14ac:dyDescent="0.2">
      <c r="A609">
        <v>10855</v>
      </c>
      <c r="B609" t="s">
        <v>193</v>
      </c>
      <c r="C609">
        <v>3</v>
      </c>
      <c r="D609" s="1">
        <v>35822</v>
      </c>
      <c r="E609" s="1">
        <v>35850</v>
      </c>
      <c r="F609" s="1">
        <v>35830</v>
      </c>
      <c r="G609">
        <v>1</v>
      </c>
      <c r="H609" s="2">
        <v>170.97</v>
      </c>
      <c r="I609" t="s">
        <v>194</v>
      </c>
      <c r="J609" t="s">
        <v>195</v>
      </c>
      <c r="K609" t="s">
        <v>196</v>
      </c>
      <c r="L609" t="s">
        <v>197</v>
      </c>
      <c r="M609">
        <v>99508</v>
      </c>
      <c r="N609" t="s">
        <v>86</v>
      </c>
    </row>
    <row r="610" spans="1:14" x14ac:dyDescent="0.2">
      <c r="A610">
        <v>10856</v>
      </c>
      <c r="B610" t="s">
        <v>288</v>
      </c>
      <c r="C610">
        <v>3</v>
      </c>
      <c r="D610" s="1">
        <v>35823</v>
      </c>
      <c r="E610" s="1">
        <v>35851</v>
      </c>
      <c r="F610" s="1">
        <v>35836</v>
      </c>
      <c r="G610">
        <v>2</v>
      </c>
      <c r="H610" s="2">
        <v>58.43</v>
      </c>
      <c r="I610" t="s">
        <v>289</v>
      </c>
      <c r="J610" t="s">
        <v>290</v>
      </c>
      <c r="K610" t="s">
        <v>71</v>
      </c>
      <c r="L610" t="s">
        <v>18</v>
      </c>
      <c r="M610">
        <v>5023</v>
      </c>
      <c r="N610" t="s">
        <v>72</v>
      </c>
    </row>
    <row r="611" spans="1:14" x14ac:dyDescent="0.2">
      <c r="A611">
        <v>10857</v>
      </c>
      <c r="B611" t="s">
        <v>137</v>
      </c>
      <c r="C611">
        <v>8</v>
      </c>
      <c r="D611" s="1">
        <v>35823</v>
      </c>
      <c r="E611" s="1">
        <v>35851</v>
      </c>
      <c r="F611" s="1">
        <v>35832</v>
      </c>
      <c r="G611">
        <v>2</v>
      </c>
      <c r="H611" s="2">
        <v>188.85</v>
      </c>
      <c r="I611" t="s">
        <v>138</v>
      </c>
      <c r="J611" t="s">
        <v>139</v>
      </c>
      <c r="K611" t="s">
        <v>140</v>
      </c>
      <c r="L611" t="s">
        <v>18</v>
      </c>
      <c r="M611" t="s">
        <v>141</v>
      </c>
      <c r="N611" t="s">
        <v>92</v>
      </c>
    </row>
    <row r="612" spans="1:14" x14ac:dyDescent="0.2">
      <c r="A612">
        <v>10858</v>
      </c>
      <c r="B612" t="s">
        <v>413</v>
      </c>
      <c r="C612">
        <v>2</v>
      </c>
      <c r="D612" s="1">
        <v>35824</v>
      </c>
      <c r="E612" s="1">
        <v>35852</v>
      </c>
      <c r="F612" s="1">
        <v>35829</v>
      </c>
      <c r="G612">
        <v>1</v>
      </c>
      <c r="H612" s="2">
        <v>52.51</v>
      </c>
      <c r="I612" t="s">
        <v>414</v>
      </c>
      <c r="J612" t="s">
        <v>415</v>
      </c>
      <c r="K612" t="s">
        <v>416</v>
      </c>
      <c r="L612" t="s">
        <v>18</v>
      </c>
      <c r="M612">
        <v>78000</v>
      </c>
      <c r="N612" t="s">
        <v>19</v>
      </c>
    </row>
    <row r="613" spans="1:14" x14ac:dyDescent="0.2">
      <c r="A613">
        <v>10859</v>
      </c>
      <c r="B613" t="s">
        <v>102</v>
      </c>
      <c r="C613">
        <v>1</v>
      </c>
      <c r="D613" s="1">
        <v>35824</v>
      </c>
      <c r="E613" s="1">
        <v>35852</v>
      </c>
      <c r="F613" s="1">
        <v>35828</v>
      </c>
      <c r="G613">
        <v>2</v>
      </c>
      <c r="H613" s="2">
        <v>76.099999999999994</v>
      </c>
      <c r="I613" t="s">
        <v>103</v>
      </c>
      <c r="J613" t="s">
        <v>104</v>
      </c>
      <c r="K613" t="s">
        <v>105</v>
      </c>
      <c r="L613" t="s">
        <v>18</v>
      </c>
      <c r="M613">
        <v>80805</v>
      </c>
      <c r="N613" t="s">
        <v>24</v>
      </c>
    </row>
    <row r="614" spans="1:14" x14ac:dyDescent="0.2">
      <c r="A614">
        <v>10860</v>
      </c>
      <c r="B614" t="s">
        <v>405</v>
      </c>
      <c r="C614">
        <v>3</v>
      </c>
      <c r="D614" s="1">
        <v>35824</v>
      </c>
      <c r="E614" s="1">
        <v>35852</v>
      </c>
      <c r="F614" s="1">
        <v>35830</v>
      </c>
      <c r="G614">
        <v>3</v>
      </c>
      <c r="H614" s="2">
        <v>19.260000000000002</v>
      </c>
      <c r="I614" t="s">
        <v>406</v>
      </c>
      <c r="J614" t="s">
        <v>407</v>
      </c>
      <c r="K614" t="s">
        <v>212</v>
      </c>
      <c r="L614" t="s">
        <v>18</v>
      </c>
      <c r="M614">
        <v>44000</v>
      </c>
      <c r="N614" t="s">
        <v>19</v>
      </c>
    </row>
    <row r="615" spans="1:14" x14ac:dyDescent="0.2">
      <c r="A615">
        <v>10861</v>
      </c>
      <c r="B615" t="s">
        <v>111</v>
      </c>
      <c r="C615">
        <v>4</v>
      </c>
      <c r="D615" s="1">
        <v>35825</v>
      </c>
      <c r="E615" s="1">
        <v>35853</v>
      </c>
      <c r="F615" s="1">
        <v>35843</v>
      </c>
      <c r="G615">
        <v>2</v>
      </c>
      <c r="H615" s="2">
        <v>14.93</v>
      </c>
      <c r="I615" t="s">
        <v>112</v>
      </c>
      <c r="J615" t="s">
        <v>113</v>
      </c>
      <c r="K615" t="s">
        <v>114</v>
      </c>
      <c r="L615" t="s">
        <v>115</v>
      </c>
      <c r="M615">
        <v>98124</v>
      </c>
      <c r="N615" t="s">
        <v>86</v>
      </c>
    </row>
    <row r="616" spans="1:14" x14ac:dyDescent="0.2">
      <c r="A616">
        <v>10862</v>
      </c>
      <c r="B616" t="s">
        <v>142</v>
      </c>
      <c r="C616">
        <v>8</v>
      </c>
      <c r="D616" s="1">
        <v>35825</v>
      </c>
      <c r="E616" s="1">
        <v>35867</v>
      </c>
      <c r="F616" s="1">
        <v>35828</v>
      </c>
      <c r="G616">
        <v>2</v>
      </c>
      <c r="H616" s="2">
        <v>53.23</v>
      </c>
      <c r="I616" t="s">
        <v>143</v>
      </c>
      <c r="J616" t="s">
        <v>144</v>
      </c>
      <c r="K616" t="s">
        <v>145</v>
      </c>
      <c r="L616" t="s">
        <v>18</v>
      </c>
      <c r="M616">
        <v>60528</v>
      </c>
      <c r="N616" t="s">
        <v>24</v>
      </c>
    </row>
    <row r="617" spans="1:14" x14ac:dyDescent="0.2">
      <c r="A617">
        <v>10863</v>
      </c>
      <c r="B617" t="s">
        <v>57</v>
      </c>
      <c r="C617">
        <v>4</v>
      </c>
      <c r="D617" s="1">
        <v>35828</v>
      </c>
      <c r="E617" s="1">
        <v>35856</v>
      </c>
      <c r="F617" s="1">
        <v>35843</v>
      </c>
      <c r="G617">
        <v>2</v>
      </c>
      <c r="H617" s="2">
        <v>30.26</v>
      </c>
      <c r="I617" t="s">
        <v>58</v>
      </c>
      <c r="J617" t="s">
        <v>59</v>
      </c>
      <c r="K617" t="s">
        <v>60</v>
      </c>
      <c r="L617" t="s">
        <v>61</v>
      </c>
      <c r="M617">
        <v>5022</v>
      </c>
      <c r="N617" t="s">
        <v>62</v>
      </c>
    </row>
    <row r="618" spans="1:14" x14ac:dyDescent="0.2">
      <c r="A618">
        <v>10864</v>
      </c>
      <c r="B618" t="s">
        <v>270</v>
      </c>
      <c r="C618">
        <v>4</v>
      </c>
      <c r="D618" s="1">
        <v>35828</v>
      </c>
      <c r="E618" s="1">
        <v>35856</v>
      </c>
      <c r="F618" s="1">
        <v>35835</v>
      </c>
      <c r="G618">
        <v>2</v>
      </c>
      <c r="H618" s="2">
        <v>3.04</v>
      </c>
      <c r="I618" t="s">
        <v>271</v>
      </c>
      <c r="J618" t="s">
        <v>272</v>
      </c>
      <c r="K618" t="s">
        <v>273</v>
      </c>
      <c r="L618" t="s">
        <v>274</v>
      </c>
      <c r="M618" t="s">
        <v>275</v>
      </c>
      <c r="N618" t="s">
        <v>169</v>
      </c>
    </row>
    <row r="619" spans="1:14" x14ac:dyDescent="0.2">
      <c r="A619">
        <v>10865</v>
      </c>
      <c r="B619" t="s">
        <v>121</v>
      </c>
      <c r="C619">
        <v>2</v>
      </c>
      <c r="D619" s="1">
        <v>35828</v>
      </c>
      <c r="E619" s="1">
        <v>35842</v>
      </c>
      <c r="F619" s="1">
        <v>35838</v>
      </c>
      <c r="G619">
        <v>1</v>
      </c>
      <c r="H619" s="2">
        <v>348.14</v>
      </c>
      <c r="I619" t="s">
        <v>122</v>
      </c>
      <c r="J619" t="s">
        <v>123</v>
      </c>
      <c r="K619" t="s">
        <v>124</v>
      </c>
      <c r="L619" t="s">
        <v>18</v>
      </c>
      <c r="M619">
        <v>1307</v>
      </c>
      <c r="N619" t="s">
        <v>24</v>
      </c>
    </row>
    <row r="620" spans="1:14" x14ac:dyDescent="0.2">
      <c r="A620">
        <v>10866</v>
      </c>
      <c r="B620" t="s">
        <v>137</v>
      </c>
      <c r="C620">
        <v>5</v>
      </c>
      <c r="D620" s="1">
        <v>35829</v>
      </c>
      <c r="E620" s="1">
        <v>35857</v>
      </c>
      <c r="F620" s="1">
        <v>35838</v>
      </c>
      <c r="G620">
        <v>1</v>
      </c>
      <c r="H620" s="2">
        <v>109.11</v>
      </c>
      <c r="I620" t="s">
        <v>138</v>
      </c>
      <c r="J620" t="s">
        <v>139</v>
      </c>
      <c r="K620" t="s">
        <v>140</v>
      </c>
      <c r="L620" t="s">
        <v>18</v>
      </c>
      <c r="M620" t="s">
        <v>141</v>
      </c>
      <c r="N620" t="s">
        <v>92</v>
      </c>
    </row>
    <row r="621" spans="1:14" x14ac:dyDescent="0.2">
      <c r="A621">
        <v>10867</v>
      </c>
      <c r="B621" t="s">
        <v>198</v>
      </c>
      <c r="C621">
        <v>6</v>
      </c>
      <c r="D621" s="1">
        <v>35829</v>
      </c>
      <c r="E621" s="1">
        <v>35871</v>
      </c>
      <c r="F621" s="1">
        <v>35837</v>
      </c>
      <c r="G621">
        <v>1</v>
      </c>
      <c r="H621" s="2">
        <v>1.93</v>
      </c>
      <c r="I621" t="s">
        <v>199</v>
      </c>
      <c r="J621" t="s">
        <v>200</v>
      </c>
      <c r="K621" t="s">
        <v>201</v>
      </c>
      <c r="L621" t="s">
        <v>202</v>
      </c>
      <c r="M621">
        <v>97219</v>
      </c>
      <c r="N621" t="s">
        <v>86</v>
      </c>
    </row>
    <row r="622" spans="1:14" x14ac:dyDescent="0.2">
      <c r="A622">
        <v>10868</v>
      </c>
      <c r="B622" t="s">
        <v>299</v>
      </c>
      <c r="C622">
        <v>7</v>
      </c>
      <c r="D622" s="1">
        <v>35830</v>
      </c>
      <c r="E622" s="1">
        <v>35858</v>
      </c>
      <c r="F622" s="1">
        <v>35849</v>
      </c>
      <c r="G622">
        <v>2</v>
      </c>
      <c r="H622" s="2">
        <v>191.27</v>
      </c>
      <c r="I622" t="s">
        <v>300</v>
      </c>
      <c r="J622" t="s">
        <v>301</v>
      </c>
      <c r="K622" t="s">
        <v>173</v>
      </c>
      <c r="L622" t="s">
        <v>55</v>
      </c>
      <c r="M622" t="s">
        <v>302</v>
      </c>
      <c r="N622" t="s">
        <v>31</v>
      </c>
    </row>
    <row r="623" spans="1:14" x14ac:dyDescent="0.2">
      <c r="A623">
        <v>10869</v>
      </c>
      <c r="B623" t="s">
        <v>276</v>
      </c>
      <c r="C623">
        <v>5</v>
      </c>
      <c r="D623" s="1">
        <v>35830</v>
      </c>
      <c r="E623" s="1">
        <v>35858</v>
      </c>
      <c r="F623" s="1">
        <v>35835</v>
      </c>
      <c r="G623">
        <v>1</v>
      </c>
      <c r="H623" s="2">
        <v>143.28</v>
      </c>
      <c r="I623" t="s">
        <v>277</v>
      </c>
      <c r="J623" t="s">
        <v>278</v>
      </c>
      <c r="K623" t="s">
        <v>167</v>
      </c>
      <c r="L623" t="s">
        <v>18</v>
      </c>
      <c r="M623" t="s">
        <v>279</v>
      </c>
      <c r="N623" t="s">
        <v>169</v>
      </c>
    </row>
    <row r="624" spans="1:14" x14ac:dyDescent="0.2">
      <c r="A624">
        <v>10870</v>
      </c>
      <c r="B624" t="s">
        <v>303</v>
      </c>
      <c r="C624">
        <v>5</v>
      </c>
      <c r="D624" s="1">
        <v>35830</v>
      </c>
      <c r="E624" s="1">
        <v>35858</v>
      </c>
      <c r="F624" s="1">
        <v>35839</v>
      </c>
      <c r="G624">
        <v>3</v>
      </c>
      <c r="H624" s="2">
        <v>12.04</v>
      </c>
      <c r="I624" t="s">
        <v>304</v>
      </c>
      <c r="J624" t="s">
        <v>305</v>
      </c>
      <c r="K624" t="s">
        <v>306</v>
      </c>
      <c r="L624" t="s">
        <v>18</v>
      </c>
      <c r="M624" t="s">
        <v>307</v>
      </c>
      <c r="N624" t="s">
        <v>308</v>
      </c>
    </row>
    <row r="625" spans="1:14" x14ac:dyDescent="0.2">
      <c r="A625">
        <v>10871</v>
      </c>
      <c r="B625" t="s">
        <v>239</v>
      </c>
      <c r="C625">
        <v>9</v>
      </c>
      <c r="D625" s="1">
        <v>35831</v>
      </c>
      <c r="E625" s="1">
        <v>35859</v>
      </c>
      <c r="F625" s="1">
        <v>35836</v>
      </c>
      <c r="G625">
        <v>2</v>
      </c>
      <c r="H625" s="2">
        <v>112.27</v>
      </c>
      <c r="I625" t="s">
        <v>240</v>
      </c>
      <c r="J625" t="s">
        <v>241</v>
      </c>
      <c r="K625" t="s">
        <v>242</v>
      </c>
      <c r="L625" t="s">
        <v>18</v>
      </c>
      <c r="M625">
        <v>13008</v>
      </c>
      <c r="N625" t="s">
        <v>19</v>
      </c>
    </row>
    <row r="626" spans="1:14" x14ac:dyDescent="0.2">
      <c r="A626">
        <v>10872</v>
      </c>
      <c r="B626" t="s">
        <v>189</v>
      </c>
      <c r="C626">
        <v>5</v>
      </c>
      <c r="D626" s="1">
        <v>35831</v>
      </c>
      <c r="E626" s="1">
        <v>35859</v>
      </c>
      <c r="F626" s="1">
        <v>35835</v>
      </c>
      <c r="G626">
        <v>2</v>
      </c>
      <c r="H626" s="2">
        <v>175.32</v>
      </c>
      <c r="I626" t="s">
        <v>190</v>
      </c>
      <c r="J626" t="s">
        <v>191</v>
      </c>
      <c r="K626" t="s">
        <v>192</v>
      </c>
      <c r="L626" t="s">
        <v>18</v>
      </c>
      <c r="M626">
        <v>41101</v>
      </c>
      <c r="N626" t="s">
        <v>150</v>
      </c>
    </row>
    <row r="627" spans="1:14" x14ac:dyDescent="0.2">
      <c r="A627">
        <v>10873</v>
      </c>
      <c r="B627" t="s">
        <v>392</v>
      </c>
      <c r="C627">
        <v>4</v>
      </c>
      <c r="D627" s="1">
        <v>35832</v>
      </c>
      <c r="E627" s="1">
        <v>35860</v>
      </c>
      <c r="F627" s="1">
        <v>35835</v>
      </c>
      <c r="G627">
        <v>1</v>
      </c>
      <c r="H627" s="2">
        <v>0.82</v>
      </c>
      <c r="I627" t="s">
        <v>393</v>
      </c>
      <c r="J627" t="s">
        <v>394</v>
      </c>
      <c r="K627" t="s">
        <v>395</v>
      </c>
      <c r="L627" t="s">
        <v>18</v>
      </c>
      <c r="M627">
        <v>21240</v>
      </c>
      <c r="N627" t="s">
        <v>101</v>
      </c>
    </row>
    <row r="628" spans="1:14" x14ac:dyDescent="0.2">
      <c r="A628">
        <v>10874</v>
      </c>
      <c r="B628" t="s">
        <v>189</v>
      </c>
      <c r="C628">
        <v>5</v>
      </c>
      <c r="D628" s="1">
        <v>35832</v>
      </c>
      <c r="E628" s="1">
        <v>35860</v>
      </c>
      <c r="F628" s="1">
        <v>35837</v>
      </c>
      <c r="G628">
        <v>2</v>
      </c>
      <c r="H628" s="2">
        <v>19.579999999999998</v>
      </c>
      <c r="I628" t="s">
        <v>190</v>
      </c>
      <c r="J628" t="s">
        <v>191</v>
      </c>
      <c r="K628" t="s">
        <v>192</v>
      </c>
      <c r="L628" t="s">
        <v>18</v>
      </c>
      <c r="M628">
        <v>41101</v>
      </c>
      <c r="N628" t="s">
        <v>150</v>
      </c>
    </row>
    <row r="629" spans="1:14" x14ac:dyDescent="0.2">
      <c r="A629">
        <v>10875</v>
      </c>
      <c r="B629" t="s">
        <v>137</v>
      </c>
      <c r="C629">
        <v>4</v>
      </c>
      <c r="D629" s="1">
        <v>35832</v>
      </c>
      <c r="E629" s="1">
        <v>35860</v>
      </c>
      <c r="F629" s="1">
        <v>35857</v>
      </c>
      <c r="G629">
        <v>2</v>
      </c>
      <c r="H629" s="2">
        <v>32.369999999999997</v>
      </c>
      <c r="I629" t="s">
        <v>138</v>
      </c>
      <c r="J629" t="s">
        <v>139</v>
      </c>
      <c r="K629" t="s">
        <v>140</v>
      </c>
      <c r="L629" t="s">
        <v>18</v>
      </c>
      <c r="M629" t="s">
        <v>141</v>
      </c>
      <c r="N629" t="s">
        <v>92</v>
      </c>
    </row>
    <row r="630" spans="1:14" x14ac:dyDescent="0.2">
      <c r="A630">
        <v>10876</v>
      </c>
      <c r="B630" t="s">
        <v>239</v>
      </c>
      <c r="C630">
        <v>7</v>
      </c>
      <c r="D630" s="1">
        <v>35835</v>
      </c>
      <c r="E630" s="1">
        <v>35863</v>
      </c>
      <c r="F630" s="1">
        <v>35838</v>
      </c>
      <c r="G630">
        <v>3</v>
      </c>
      <c r="H630" s="2">
        <v>60.42</v>
      </c>
      <c r="I630" t="s">
        <v>240</v>
      </c>
      <c r="J630" t="s">
        <v>241</v>
      </c>
      <c r="K630" t="s">
        <v>242</v>
      </c>
      <c r="L630" t="s">
        <v>18</v>
      </c>
      <c r="M630">
        <v>13008</v>
      </c>
      <c r="N630" t="s">
        <v>19</v>
      </c>
    </row>
    <row r="631" spans="1:14" x14ac:dyDescent="0.2">
      <c r="A631">
        <v>10877</v>
      </c>
      <c r="B631" t="s">
        <v>156</v>
      </c>
      <c r="C631">
        <v>1</v>
      </c>
      <c r="D631" s="1">
        <v>35835</v>
      </c>
      <c r="E631" s="1">
        <v>35863</v>
      </c>
      <c r="F631" s="1">
        <v>35845</v>
      </c>
      <c r="G631">
        <v>1</v>
      </c>
      <c r="H631" s="2">
        <v>38.06</v>
      </c>
      <c r="I631" t="s">
        <v>157</v>
      </c>
      <c r="J631" t="s">
        <v>158</v>
      </c>
      <c r="K631" t="s">
        <v>28</v>
      </c>
      <c r="L631" t="s">
        <v>29</v>
      </c>
      <c r="M631" t="s">
        <v>159</v>
      </c>
      <c r="N631" t="s">
        <v>31</v>
      </c>
    </row>
    <row r="632" spans="1:14" x14ac:dyDescent="0.2">
      <c r="A632">
        <v>10878</v>
      </c>
      <c r="B632" t="s">
        <v>121</v>
      </c>
      <c r="C632">
        <v>4</v>
      </c>
      <c r="D632" s="1">
        <v>35836</v>
      </c>
      <c r="E632" s="1">
        <v>35864</v>
      </c>
      <c r="F632" s="1">
        <v>35838</v>
      </c>
      <c r="G632">
        <v>1</v>
      </c>
      <c r="H632" s="2">
        <v>46.69</v>
      </c>
      <c r="I632" t="s">
        <v>122</v>
      </c>
      <c r="J632" t="s">
        <v>123</v>
      </c>
      <c r="K632" t="s">
        <v>124</v>
      </c>
      <c r="L632" t="s">
        <v>18</v>
      </c>
      <c r="M632">
        <v>1307</v>
      </c>
      <c r="N632" t="s">
        <v>24</v>
      </c>
    </row>
    <row r="633" spans="1:14" x14ac:dyDescent="0.2">
      <c r="A633">
        <v>10879</v>
      </c>
      <c r="B633" t="s">
        <v>392</v>
      </c>
      <c r="C633">
        <v>3</v>
      </c>
      <c r="D633" s="1">
        <v>35836</v>
      </c>
      <c r="E633" s="1">
        <v>35864</v>
      </c>
      <c r="F633" s="1">
        <v>35838</v>
      </c>
      <c r="G633">
        <v>3</v>
      </c>
      <c r="H633" s="2">
        <v>8.5</v>
      </c>
      <c r="I633" t="s">
        <v>393</v>
      </c>
      <c r="J633" t="s">
        <v>394</v>
      </c>
      <c r="K633" t="s">
        <v>395</v>
      </c>
      <c r="L633" t="s">
        <v>18</v>
      </c>
      <c r="M633">
        <v>21240</v>
      </c>
      <c r="N633" t="s">
        <v>101</v>
      </c>
    </row>
    <row r="634" spans="1:14" x14ac:dyDescent="0.2">
      <c r="A634">
        <v>10880</v>
      </c>
      <c r="B634" t="s">
        <v>87</v>
      </c>
      <c r="C634">
        <v>7</v>
      </c>
      <c r="D634" s="1">
        <v>35836</v>
      </c>
      <c r="E634" s="1">
        <v>35878</v>
      </c>
      <c r="F634" s="1">
        <v>35844</v>
      </c>
      <c r="G634">
        <v>1</v>
      </c>
      <c r="H634" s="2">
        <v>88.01</v>
      </c>
      <c r="I634" t="s">
        <v>88</v>
      </c>
      <c r="J634" t="s">
        <v>89</v>
      </c>
      <c r="K634" t="s">
        <v>90</v>
      </c>
      <c r="L634" t="s">
        <v>18</v>
      </c>
      <c r="M634" t="s">
        <v>91</v>
      </c>
      <c r="N634" t="s">
        <v>92</v>
      </c>
    </row>
    <row r="635" spans="1:14" x14ac:dyDescent="0.2">
      <c r="A635">
        <v>10881</v>
      </c>
      <c r="B635" t="s">
        <v>371</v>
      </c>
      <c r="C635">
        <v>4</v>
      </c>
      <c r="D635" s="1">
        <v>35837</v>
      </c>
      <c r="E635" s="1">
        <v>35865</v>
      </c>
      <c r="F635" s="1">
        <v>35844</v>
      </c>
      <c r="G635">
        <v>1</v>
      </c>
      <c r="H635" s="2">
        <v>2.84</v>
      </c>
      <c r="I635" t="s">
        <v>372</v>
      </c>
      <c r="J635" t="s">
        <v>373</v>
      </c>
      <c r="K635" t="s">
        <v>336</v>
      </c>
      <c r="L635" t="s">
        <v>18</v>
      </c>
      <c r="M635">
        <v>1010</v>
      </c>
      <c r="N635" t="s">
        <v>337</v>
      </c>
    </row>
    <row r="636" spans="1:14" x14ac:dyDescent="0.2">
      <c r="A636">
        <v>10882</v>
      </c>
      <c r="B636" t="s">
        <v>226</v>
      </c>
      <c r="C636">
        <v>4</v>
      </c>
      <c r="D636" s="1">
        <v>35837</v>
      </c>
      <c r="E636" s="1">
        <v>35865</v>
      </c>
      <c r="F636" s="1">
        <v>35846</v>
      </c>
      <c r="G636">
        <v>3</v>
      </c>
      <c r="H636" s="2">
        <v>23.1</v>
      </c>
      <c r="I636" t="s">
        <v>227</v>
      </c>
      <c r="J636" t="s">
        <v>228</v>
      </c>
      <c r="K636" t="s">
        <v>229</v>
      </c>
      <c r="L636" t="s">
        <v>230</v>
      </c>
      <c r="M636">
        <v>83720</v>
      </c>
      <c r="N636" t="s">
        <v>86</v>
      </c>
    </row>
    <row r="637" spans="1:14" x14ac:dyDescent="0.2">
      <c r="A637">
        <v>10883</v>
      </c>
      <c r="B637" t="s">
        <v>198</v>
      </c>
      <c r="C637">
        <v>8</v>
      </c>
      <c r="D637" s="1">
        <v>35838</v>
      </c>
      <c r="E637" s="1">
        <v>35866</v>
      </c>
      <c r="F637" s="1">
        <v>35846</v>
      </c>
      <c r="G637">
        <v>3</v>
      </c>
      <c r="H637" s="2">
        <v>0.53</v>
      </c>
      <c r="I637" t="s">
        <v>199</v>
      </c>
      <c r="J637" t="s">
        <v>200</v>
      </c>
      <c r="K637" t="s">
        <v>201</v>
      </c>
      <c r="L637" t="s">
        <v>202</v>
      </c>
      <c r="M637">
        <v>97219</v>
      </c>
      <c r="N637" t="s">
        <v>86</v>
      </c>
    </row>
    <row r="638" spans="1:14" x14ac:dyDescent="0.2">
      <c r="A638">
        <v>10884</v>
      </c>
      <c r="B638" t="s">
        <v>387</v>
      </c>
      <c r="C638">
        <v>4</v>
      </c>
      <c r="D638" s="1">
        <v>35838</v>
      </c>
      <c r="E638" s="1">
        <v>35866</v>
      </c>
      <c r="F638" s="1">
        <v>35839</v>
      </c>
      <c r="G638">
        <v>2</v>
      </c>
      <c r="H638" s="2">
        <v>90.97</v>
      </c>
      <c r="I638" t="s">
        <v>388</v>
      </c>
      <c r="J638" t="s">
        <v>389</v>
      </c>
      <c r="K638" t="s">
        <v>390</v>
      </c>
      <c r="L638" t="s">
        <v>391</v>
      </c>
      <c r="M638">
        <v>94117</v>
      </c>
      <c r="N638" t="s">
        <v>86</v>
      </c>
    </row>
    <row r="639" spans="1:14" x14ac:dyDescent="0.2">
      <c r="A639">
        <v>10885</v>
      </c>
      <c r="B639" t="s">
        <v>36</v>
      </c>
      <c r="C639">
        <v>6</v>
      </c>
      <c r="D639" s="1">
        <v>35838</v>
      </c>
      <c r="E639" s="1">
        <v>35866</v>
      </c>
      <c r="F639" s="1">
        <v>35844</v>
      </c>
      <c r="G639">
        <v>3</v>
      </c>
      <c r="H639" s="2">
        <v>5.64</v>
      </c>
      <c r="I639" t="s">
        <v>37</v>
      </c>
      <c r="J639" t="s">
        <v>38</v>
      </c>
      <c r="K639" t="s">
        <v>39</v>
      </c>
      <c r="L639" t="s">
        <v>18</v>
      </c>
      <c r="M639" t="s">
        <v>40</v>
      </c>
      <c r="N639" t="s">
        <v>41</v>
      </c>
    </row>
    <row r="640" spans="1:14" x14ac:dyDescent="0.2">
      <c r="A640">
        <v>10886</v>
      </c>
      <c r="B640" t="s">
        <v>25</v>
      </c>
      <c r="C640">
        <v>1</v>
      </c>
      <c r="D640" s="1">
        <v>35839</v>
      </c>
      <c r="E640" s="1">
        <v>35867</v>
      </c>
      <c r="F640" s="1">
        <v>35856</v>
      </c>
      <c r="G640">
        <v>1</v>
      </c>
      <c r="H640" s="2">
        <v>4.99</v>
      </c>
      <c r="I640" t="s">
        <v>26</v>
      </c>
      <c r="J640" t="s">
        <v>27</v>
      </c>
      <c r="K640" t="s">
        <v>28</v>
      </c>
      <c r="L640" t="s">
        <v>29</v>
      </c>
      <c r="M640" t="s">
        <v>30</v>
      </c>
      <c r="N640" t="s">
        <v>31</v>
      </c>
    </row>
    <row r="641" spans="1:14" x14ac:dyDescent="0.2">
      <c r="A641">
        <v>10887</v>
      </c>
      <c r="B641" t="s">
        <v>291</v>
      </c>
      <c r="C641">
        <v>8</v>
      </c>
      <c r="D641" s="1">
        <v>35839</v>
      </c>
      <c r="E641" s="1">
        <v>35867</v>
      </c>
      <c r="F641" s="1">
        <v>35842</v>
      </c>
      <c r="G641">
        <v>3</v>
      </c>
      <c r="H641" s="2">
        <v>1.25</v>
      </c>
      <c r="I641" t="s">
        <v>292</v>
      </c>
      <c r="J641" t="s">
        <v>293</v>
      </c>
      <c r="K641" t="s">
        <v>294</v>
      </c>
      <c r="L641" t="s">
        <v>18</v>
      </c>
      <c r="M641">
        <v>8022</v>
      </c>
      <c r="N641" t="s">
        <v>150</v>
      </c>
    </row>
    <row r="642" spans="1:14" x14ac:dyDescent="0.2">
      <c r="A642">
        <v>10888</v>
      </c>
      <c r="B642" t="s">
        <v>189</v>
      </c>
      <c r="C642">
        <v>1</v>
      </c>
      <c r="D642" s="1">
        <v>35842</v>
      </c>
      <c r="E642" s="1">
        <v>35870</v>
      </c>
      <c r="F642" s="1">
        <v>35849</v>
      </c>
      <c r="G642">
        <v>2</v>
      </c>
      <c r="H642" s="2">
        <v>51.87</v>
      </c>
      <c r="I642" t="s">
        <v>190</v>
      </c>
      <c r="J642" t="s">
        <v>191</v>
      </c>
      <c r="K642" t="s">
        <v>192</v>
      </c>
      <c r="L642" t="s">
        <v>18</v>
      </c>
      <c r="M642">
        <v>41101</v>
      </c>
      <c r="N642" t="s">
        <v>150</v>
      </c>
    </row>
    <row r="643" spans="1:14" x14ac:dyDescent="0.2">
      <c r="A643">
        <v>10889</v>
      </c>
      <c r="B643" t="s">
        <v>81</v>
      </c>
      <c r="C643">
        <v>9</v>
      </c>
      <c r="D643" s="1">
        <v>35842</v>
      </c>
      <c r="E643" s="1">
        <v>35870</v>
      </c>
      <c r="F643" s="1">
        <v>35849</v>
      </c>
      <c r="G643">
        <v>3</v>
      </c>
      <c r="H643" s="2">
        <v>280.61</v>
      </c>
      <c r="I643" t="s">
        <v>82</v>
      </c>
      <c r="J643" t="s">
        <v>83</v>
      </c>
      <c r="K643" t="s">
        <v>84</v>
      </c>
      <c r="L643" t="s">
        <v>85</v>
      </c>
      <c r="M643">
        <v>87110</v>
      </c>
      <c r="N643" t="s">
        <v>86</v>
      </c>
    </row>
    <row r="644" spans="1:14" x14ac:dyDescent="0.2">
      <c r="A644">
        <v>10890</v>
      </c>
      <c r="B644" t="s">
        <v>209</v>
      </c>
      <c r="C644">
        <v>7</v>
      </c>
      <c r="D644" s="1">
        <v>35842</v>
      </c>
      <c r="E644" s="1">
        <v>35870</v>
      </c>
      <c r="F644" s="1">
        <v>35844</v>
      </c>
      <c r="G644">
        <v>1</v>
      </c>
      <c r="H644" s="2">
        <v>32.76</v>
      </c>
      <c r="I644" t="s">
        <v>210</v>
      </c>
      <c r="J644" t="s">
        <v>211</v>
      </c>
      <c r="K644" t="s">
        <v>212</v>
      </c>
      <c r="L644" t="s">
        <v>18</v>
      </c>
      <c r="M644">
        <v>44000</v>
      </c>
      <c r="N644" t="s">
        <v>19</v>
      </c>
    </row>
    <row r="645" spans="1:14" x14ac:dyDescent="0.2">
      <c r="A645">
        <v>10891</v>
      </c>
      <c r="B645" t="s">
        <v>142</v>
      </c>
      <c r="C645">
        <v>7</v>
      </c>
      <c r="D645" s="1">
        <v>35843</v>
      </c>
      <c r="E645" s="1">
        <v>35871</v>
      </c>
      <c r="F645" s="1">
        <v>35845</v>
      </c>
      <c r="G645">
        <v>2</v>
      </c>
      <c r="H645" s="2">
        <v>20.37</v>
      </c>
      <c r="I645" t="s">
        <v>143</v>
      </c>
      <c r="J645" t="s">
        <v>144</v>
      </c>
      <c r="K645" t="s">
        <v>145</v>
      </c>
      <c r="L645" t="s">
        <v>18</v>
      </c>
      <c r="M645">
        <v>60528</v>
      </c>
      <c r="N645" t="s">
        <v>24</v>
      </c>
    </row>
    <row r="646" spans="1:14" x14ac:dyDescent="0.2">
      <c r="A646">
        <v>10892</v>
      </c>
      <c r="B646" t="s">
        <v>378</v>
      </c>
      <c r="C646">
        <v>4</v>
      </c>
      <c r="D646" s="1">
        <v>35843</v>
      </c>
      <c r="E646" s="1">
        <v>35871</v>
      </c>
      <c r="F646" s="1">
        <v>35845</v>
      </c>
      <c r="G646">
        <v>2</v>
      </c>
      <c r="H646" s="2">
        <v>120.27</v>
      </c>
      <c r="I646" t="s">
        <v>379</v>
      </c>
      <c r="J646" t="s">
        <v>380</v>
      </c>
      <c r="K646" t="s">
        <v>381</v>
      </c>
      <c r="L646" t="s">
        <v>18</v>
      </c>
      <c r="M646" t="s">
        <v>382</v>
      </c>
      <c r="N646" t="s">
        <v>41</v>
      </c>
    </row>
    <row r="647" spans="1:14" x14ac:dyDescent="0.2">
      <c r="A647">
        <v>10893</v>
      </c>
      <c r="B647" t="s">
        <v>222</v>
      </c>
      <c r="C647">
        <v>9</v>
      </c>
      <c r="D647" s="1">
        <v>35844</v>
      </c>
      <c r="E647" s="1">
        <v>35872</v>
      </c>
      <c r="F647" s="1">
        <v>35846</v>
      </c>
      <c r="G647">
        <v>2</v>
      </c>
      <c r="H647" s="2">
        <v>77.78</v>
      </c>
      <c r="I647" t="s">
        <v>223</v>
      </c>
      <c r="J647" t="s">
        <v>224</v>
      </c>
      <c r="K647" t="s">
        <v>225</v>
      </c>
      <c r="L647" t="s">
        <v>18</v>
      </c>
      <c r="M647">
        <v>14776</v>
      </c>
      <c r="N647" t="s">
        <v>24</v>
      </c>
    </row>
    <row r="648" spans="1:14" x14ac:dyDescent="0.2">
      <c r="A648">
        <v>10894</v>
      </c>
      <c r="B648" t="s">
        <v>226</v>
      </c>
      <c r="C648">
        <v>1</v>
      </c>
      <c r="D648" s="1">
        <v>35844</v>
      </c>
      <c r="E648" s="1">
        <v>35872</v>
      </c>
      <c r="F648" s="1">
        <v>35846</v>
      </c>
      <c r="G648">
        <v>1</v>
      </c>
      <c r="H648" s="2">
        <v>116.13</v>
      </c>
      <c r="I648" t="s">
        <v>227</v>
      </c>
      <c r="J648" t="s">
        <v>228</v>
      </c>
      <c r="K648" t="s">
        <v>229</v>
      </c>
      <c r="L648" t="s">
        <v>230</v>
      </c>
      <c r="M648">
        <v>83720</v>
      </c>
      <c r="N648" t="s">
        <v>86</v>
      </c>
    </row>
    <row r="649" spans="1:14" x14ac:dyDescent="0.2">
      <c r="A649">
        <v>10895</v>
      </c>
      <c r="B649" t="s">
        <v>63</v>
      </c>
      <c r="C649">
        <v>3</v>
      </c>
      <c r="D649" s="1">
        <v>35844</v>
      </c>
      <c r="E649" s="1">
        <v>35872</v>
      </c>
      <c r="F649" s="1">
        <v>35849</v>
      </c>
      <c r="G649">
        <v>1</v>
      </c>
      <c r="H649" s="2">
        <v>162.75</v>
      </c>
      <c r="I649" t="s">
        <v>64</v>
      </c>
      <c r="J649" t="s">
        <v>65</v>
      </c>
      <c r="K649" t="s">
        <v>66</v>
      </c>
      <c r="L649" t="s">
        <v>18</v>
      </c>
      <c r="M649">
        <v>8010</v>
      </c>
      <c r="N649" t="s">
        <v>67</v>
      </c>
    </row>
    <row r="650" spans="1:14" x14ac:dyDescent="0.2">
      <c r="A650">
        <v>10896</v>
      </c>
      <c r="B650" t="s">
        <v>378</v>
      </c>
      <c r="C650">
        <v>7</v>
      </c>
      <c r="D650" s="1">
        <v>35845</v>
      </c>
      <c r="E650" s="1">
        <v>35873</v>
      </c>
      <c r="F650" s="1">
        <v>35853</v>
      </c>
      <c r="G650">
        <v>3</v>
      </c>
      <c r="H650" s="2">
        <v>32.450000000000003</v>
      </c>
      <c r="I650" t="s">
        <v>379</v>
      </c>
      <c r="J650" t="s">
        <v>380</v>
      </c>
      <c r="K650" t="s">
        <v>381</v>
      </c>
      <c r="L650" t="s">
        <v>18</v>
      </c>
      <c r="M650" t="s">
        <v>382</v>
      </c>
      <c r="N650" t="s">
        <v>41</v>
      </c>
    </row>
    <row r="651" spans="1:14" x14ac:dyDescent="0.2">
      <c r="A651">
        <v>10897</v>
      </c>
      <c r="B651" t="s">
        <v>179</v>
      </c>
      <c r="C651">
        <v>3</v>
      </c>
      <c r="D651" s="1">
        <v>35845</v>
      </c>
      <c r="E651" s="1">
        <v>35873</v>
      </c>
      <c r="F651" s="1">
        <v>35851</v>
      </c>
      <c r="G651">
        <v>2</v>
      </c>
      <c r="H651" s="2">
        <v>603.54</v>
      </c>
      <c r="I651" t="s">
        <v>180</v>
      </c>
      <c r="J651" t="s">
        <v>181</v>
      </c>
      <c r="K651" t="s">
        <v>182</v>
      </c>
      <c r="L651" t="s">
        <v>183</v>
      </c>
      <c r="M651" t="s">
        <v>18</v>
      </c>
      <c r="N651" t="s">
        <v>184</v>
      </c>
    </row>
    <row r="652" spans="1:14" x14ac:dyDescent="0.2">
      <c r="A652">
        <v>10898</v>
      </c>
      <c r="B652" t="s">
        <v>333</v>
      </c>
      <c r="C652">
        <v>4</v>
      </c>
      <c r="D652" s="1">
        <v>35846</v>
      </c>
      <c r="E652" s="1">
        <v>35874</v>
      </c>
      <c r="F652" s="1">
        <v>35860</v>
      </c>
      <c r="G652">
        <v>2</v>
      </c>
      <c r="H652" s="2">
        <v>1.27</v>
      </c>
      <c r="I652" t="s">
        <v>334</v>
      </c>
      <c r="J652" t="s">
        <v>335</v>
      </c>
      <c r="K652" t="s">
        <v>336</v>
      </c>
      <c r="L652" t="s">
        <v>18</v>
      </c>
      <c r="M652">
        <v>1010</v>
      </c>
      <c r="N652" t="s">
        <v>337</v>
      </c>
    </row>
    <row r="653" spans="1:14" x14ac:dyDescent="0.2">
      <c r="A653">
        <v>10899</v>
      </c>
      <c r="B653" t="s">
        <v>151</v>
      </c>
      <c r="C653">
        <v>5</v>
      </c>
      <c r="D653" s="1">
        <v>35846</v>
      </c>
      <c r="E653" s="1">
        <v>35874</v>
      </c>
      <c r="F653" s="1">
        <v>35852</v>
      </c>
      <c r="G653">
        <v>3</v>
      </c>
      <c r="H653" s="2">
        <v>1.21</v>
      </c>
      <c r="I653" t="s">
        <v>152</v>
      </c>
      <c r="J653" t="s">
        <v>153</v>
      </c>
      <c r="K653" t="s">
        <v>154</v>
      </c>
      <c r="L653" t="s">
        <v>155</v>
      </c>
      <c r="M653">
        <v>3508</v>
      </c>
      <c r="N653" t="s">
        <v>62</v>
      </c>
    </row>
    <row r="654" spans="1:14" x14ac:dyDescent="0.2">
      <c r="A654">
        <v>10900</v>
      </c>
      <c r="B654" t="s">
        <v>51</v>
      </c>
      <c r="C654">
        <v>1</v>
      </c>
      <c r="D654" s="1">
        <v>35846</v>
      </c>
      <c r="E654" s="1">
        <v>35874</v>
      </c>
      <c r="F654" s="1">
        <v>35858</v>
      </c>
      <c r="G654">
        <v>2</v>
      </c>
      <c r="H654" s="2">
        <v>1.66</v>
      </c>
      <c r="I654" t="s">
        <v>52</v>
      </c>
      <c r="J654" t="s">
        <v>53</v>
      </c>
      <c r="K654" t="s">
        <v>54</v>
      </c>
      <c r="L654" t="s">
        <v>55</v>
      </c>
      <c r="M654" t="s">
        <v>56</v>
      </c>
      <c r="N654" t="s">
        <v>31</v>
      </c>
    </row>
    <row r="655" spans="1:14" x14ac:dyDescent="0.2">
      <c r="A655">
        <v>10901</v>
      </c>
      <c r="B655" t="s">
        <v>57</v>
      </c>
      <c r="C655">
        <v>4</v>
      </c>
      <c r="D655" s="1">
        <v>35849</v>
      </c>
      <c r="E655" s="1">
        <v>35877</v>
      </c>
      <c r="F655" s="1">
        <v>35852</v>
      </c>
      <c r="G655">
        <v>1</v>
      </c>
      <c r="H655" s="2">
        <v>62.09</v>
      </c>
      <c r="I655" t="s">
        <v>58</v>
      </c>
      <c r="J655" t="s">
        <v>59</v>
      </c>
      <c r="K655" t="s">
        <v>60</v>
      </c>
      <c r="L655" t="s">
        <v>61</v>
      </c>
      <c r="M655">
        <v>5022</v>
      </c>
      <c r="N655" t="s">
        <v>62</v>
      </c>
    </row>
    <row r="656" spans="1:14" x14ac:dyDescent="0.2">
      <c r="A656">
        <v>10902</v>
      </c>
      <c r="B656" t="s">
        <v>87</v>
      </c>
      <c r="C656">
        <v>1</v>
      </c>
      <c r="D656" s="1">
        <v>35849</v>
      </c>
      <c r="E656" s="1">
        <v>35877</v>
      </c>
      <c r="F656" s="1">
        <v>35857</v>
      </c>
      <c r="G656">
        <v>1</v>
      </c>
      <c r="H656" s="2">
        <v>44.15</v>
      </c>
      <c r="I656" t="s">
        <v>88</v>
      </c>
      <c r="J656" t="s">
        <v>89</v>
      </c>
      <c r="K656" t="s">
        <v>90</v>
      </c>
      <c r="L656" t="s">
        <v>18</v>
      </c>
      <c r="M656" t="s">
        <v>91</v>
      </c>
      <c r="N656" t="s">
        <v>92</v>
      </c>
    </row>
    <row r="657" spans="1:14" x14ac:dyDescent="0.2">
      <c r="A657">
        <v>10903</v>
      </c>
      <c r="B657" t="s">
        <v>25</v>
      </c>
      <c r="C657">
        <v>3</v>
      </c>
      <c r="D657" s="1">
        <v>35850</v>
      </c>
      <c r="E657" s="1">
        <v>35878</v>
      </c>
      <c r="F657" s="1">
        <v>35858</v>
      </c>
      <c r="G657">
        <v>3</v>
      </c>
      <c r="H657" s="2">
        <v>36.71</v>
      </c>
      <c r="I657" t="s">
        <v>26</v>
      </c>
      <c r="J657" t="s">
        <v>27</v>
      </c>
      <c r="K657" t="s">
        <v>28</v>
      </c>
      <c r="L657" t="s">
        <v>29</v>
      </c>
      <c r="M657" t="s">
        <v>30</v>
      </c>
      <c r="N657" t="s">
        <v>31</v>
      </c>
    </row>
    <row r="658" spans="1:14" x14ac:dyDescent="0.2">
      <c r="A658">
        <v>10904</v>
      </c>
      <c r="B658" t="s">
        <v>111</v>
      </c>
      <c r="C658">
        <v>3</v>
      </c>
      <c r="D658" s="1">
        <v>35850</v>
      </c>
      <c r="E658" s="1">
        <v>35878</v>
      </c>
      <c r="F658" s="1">
        <v>35853</v>
      </c>
      <c r="G658">
        <v>3</v>
      </c>
      <c r="H658" s="2">
        <v>162.94999999999999</v>
      </c>
      <c r="I658" t="s">
        <v>112</v>
      </c>
      <c r="J658" t="s">
        <v>113</v>
      </c>
      <c r="K658" t="s">
        <v>114</v>
      </c>
      <c r="L658" t="s">
        <v>115</v>
      </c>
      <c r="M658">
        <v>98124</v>
      </c>
      <c r="N658" t="s">
        <v>86</v>
      </c>
    </row>
    <row r="659" spans="1:14" x14ac:dyDescent="0.2">
      <c r="A659">
        <v>10905</v>
      </c>
      <c r="B659" t="s">
        <v>51</v>
      </c>
      <c r="C659">
        <v>9</v>
      </c>
      <c r="D659" s="1">
        <v>35850</v>
      </c>
      <c r="E659" s="1">
        <v>35878</v>
      </c>
      <c r="F659" s="1">
        <v>35860</v>
      </c>
      <c r="G659">
        <v>2</v>
      </c>
      <c r="H659" s="2">
        <v>13.72</v>
      </c>
      <c r="I659" t="s">
        <v>52</v>
      </c>
      <c r="J659" t="s">
        <v>53</v>
      </c>
      <c r="K659" t="s">
        <v>54</v>
      </c>
      <c r="L659" t="s">
        <v>55</v>
      </c>
      <c r="M659" t="s">
        <v>56</v>
      </c>
      <c r="N659" t="s">
        <v>31</v>
      </c>
    </row>
    <row r="660" spans="1:14" x14ac:dyDescent="0.2">
      <c r="A660">
        <v>10906</v>
      </c>
      <c r="B660" t="s">
        <v>303</v>
      </c>
      <c r="C660">
        <v>4</v>
      </c>
      <c r="D660" s="1">
        <v>35851</v>
      </c>
      <c r="E660" s="1">
        <v>35865</v>
      </c>
      <c r="F660" s="1">
        <v>35857</v>
      </c>
      <c r="G660">
        <v>3</v>
      </c>
      <c r="H660" s="2">
        <v>26.29</v>
      </c>
      <c r="I660" t="s">
        <v>304</v>
      </c>
      <c r="J660" t="s">
        <v>305</v>
      </c>
      <c r="K660" t="s">
        <v>306</v>
      </c>
      <c r="L660" t="s">
        <v>18</v>
      </c>
      <c r="M660" t="s">
        <v>307</v>
      </c>
      <c r="N660" t="s">
        <v>308</v>
      </c>
    </row>
    <row r="661" spans="1:14" x14ac:dyDescent="0.2">
      <c r="A661">
        <v>10907</v>
      </c>
      <c r="B661" t="s">
        <v>409</v>
      </c>
      <c r="C661">
        <v>6</v>
      </c>
      <c r="D661" s="1">
        <v>35851</v>
      </c>
      <c r="E661" s="1">
        <v>35879</v>
      </c>
      <c r="F661" s="1">
        <v>35853</v>
      </c>
      <c r="G661">
        <v>3</v>
      </c>
      <c r="H661" s="2">
        <v>9.19</v>
      </c>
      <c r="I661" t="s">
        <v>410</v>
      </c>
      <c r="J661" t="s">
        <v>411</v>
      </c>
      <c r="K661" t="s">
        <v>412</v>
      </c>
      <c r="L661" t="s">
        <v>18</v>
      </c>
      <c r="M661">
        <v>75016</v>
      </c>
      <c r="N661" t="s">
        <v>19</v>
      </c>
    </row>
    <row r="662" spans="1:14" x14ac:dyDescent="0.2">
      <c r="A662">
        <v>10908</v>
      </c>
      <c r="B662" t="s">
        <v>160</v>
      </c>
      <c r="C662">
        <v>4</v>
      </c>
      <c r="D662" s="1">
        <v>35852</v>
      </c>
      <c r="E662" s="1">
        <v>35880</v>
      </c>
      <c r="F662" s="1">
        <v>35860</v>
      </c>
      <c r="G662">
        <v>2</v>
      </c>
      <c r="H662" s="2">
        <v>32.96</v>
      </c>
      <c r="I662" t="s">
        <v>161</v>
      </c>
      <c r="J662" t="s">
        <v>162</v>
      </c>
      <c r="K662" t="s">
        <v>163</v>
      </c>
      <c r="L662" t="s">
        <v>18</v>
      </c>
      <c r="M662">
        <v>42100</v>
      </c>
      <c r="N662" t="s">
        <v>129</v>
      </c>
    </row>
    <row r="663" spans="1:14" x14ac:dyDescent="0.2">
      <c r="A663">
        <v>10909</v>
      </c>
      <c r="B663" t="s">
        <v>313</v>
      </c>
      <c r="C663">
        <v>1</v>
      </c>
      <c r="D663" s="1">
        <v>35852</v>
      </c>
      <c r="E663" s="1">
        <v>35880</v>
      </c>
      <c r="F663" s="1">
        <v>35864</v>
      </c>
      <c r="G663">
        <v>2</v>
      </c>
      <c r="H663" s="2">
        <v>53.05</v>
      </c>
      <c r="I663" t="s">
        <v>314</v>
      </c>
      <c r="J663" t="s">
        <v>315</v>
      </c>
      <c r="K663" t="s">
        <v>316</v>
      </c>
      <c r="L663" t="s">
        <v>18</v>
      </c>
      <c r="M663">
        <v>4110</v>
      </c>
      <c r="N663" t="s">
        <v>317</v>
      </c>
    </row>
    <row r="664" spans="1:14" x14ac:dyDescent="0.2">
      <c r="A664">
        <v>10910</v>
      </c>
      <c r="B664" t="s">
        <v>392</v>
      </c>
      <c r="C664">
        <v>1</v>
      </c>
      <c r="D664" s="1">
        <v>35852</v>
      </c>
      <c r="E664" s="1">
        <v>35880</v>
      </c>
      <c r="F664" s="1">
        <v>35858</v>
      </c>
      <c r="G664">
        <v>3</v>
      </c>
      <c r="H664" s="2">
        <v>38.11</v>
      </c>
      <c r="I664" t="s">
        <v>393</v>
      </c>
      <c r="J664" t="s">
        <v>394</v>
      </c>
      <c r="K664" t="s">
        <v>395</v>
      </c>
      <c r="L664" t="s">
        <v>18</v>
      </c>
      <c r="M664">
        <v>21240</v>
      </c>
      <c r="N664" t="s">
        <v>101</v>
      </c>
    </row>
    <row r="665" spans="1:14" x14ac:dyDescent="0.2">
      <c r="A665">
        <v>10911</v>
      </c>
      <c r="B665" t="s">
        <v>189</v>
      </c>
      <c r="C665">
        <v>3</v>
      </c>
      <c r="D665" s="1">
        <v>35852</v>
      </c>
      <c r="E665" s="1">
        <v>35880</v>
      </c>
      <c r="F665" s="1">
        <v>35859</v>
      </c>
      <c r="G665">
        <v>1</v>
      </c>
      <c r="H665" s="2">
        <v>38.19</v>
      </c>
      <c r="I665" t="s">
        <v>190</v>
      </c>
      <c r="J665" t="s">
        <v>191</v>
      </c>
      <c r="K665" t="s">
        <v>192</v>
      </c>
      <c r="L665" t="s">
        <v>18</v>
      </c>
      <c r="M665">
        <v>41101</v>
      </c>
      <c r="N665" t="s">
        <v>150</v>
      </c>
    </row>
    <row r="666" spans="1:14" x14ac:dyDescent="0.2">
      <c r="A666">
        <v>10912</v>
      </c>
      <c r="B666" t="s">
        <v>179</v>
      </c>
      <c r="C666">
        <v>2</v>
      </c>
      <c r="D666" s="1">
        <v>35852</v>
      </c>
      <c r="E666" s="1">
        <v>35880</v>
      </c>
      <c r="F666" s="1">
        <v>35872</v>
      </c>
      <c r="G666">
        <v>2</v>
      </c>
      <c r="H666" s="2">
        <v>580.91</v>
      </c>
      <c r="I666" t="s">
        <v>180</v>
      </c>
      <c r="J666" t="s">
        <v>181</v>
      </c>
      <c r="K666" t="s">
        <v>182</v>
      </c>
      <c r="L666" t="s">
        <v>183</v>
      </c>
      <c r="M666" t="s">
        <v>18</v>
      </c>
      <c r="N666" t="s">
        <v>184</v>
      </c>
    </row>
    <row r="667" spans="1:14" x14ac:dyDescent="0.2">
      <c r="A667">
        <v>10913</v>
      </c>
      <c r="B667" t="s">
        <v>299</v>
      </c>
      <c r="C667">
        <v>4</v>
      </c>
      <c r="D667" s="1">
        <v>35852</v>
      </c>
      <c r="E667" s="1">
        <v>35880</v>
      </c>
      <c r="F667" s="1">
        <v>35858</v>
      </c>
      <c r="G667">
        <v>1</v>
      </c>
      <c r="H667" s="2">
        <v>33.049999999999997</v>
      </c>
      <c r="I667" t="s">
        <v>300</v>
      </c>
      <c r="J667" t="s">
        <v>301</v>
      </c>
      <c r="K667" t="s">
        <v>173</v>
      </c>
      <c r="L667" t="s">
        <v>55</v>
      </c>
      <c r="M667" t="s">
        <v>302</v>
      </c>
      <c r="N667" t="s">
        <v>31</v>
      </c>
    </row>
    <row r="668" spans="1:14" x14ac:dyDescent="0.2">
      <c r="A668">
        <v>10914</v>
      </c>
      <c r="B668" t="s">
        <v>299</v>
      </c>
      <c r="C668">
        <v>6</v>
      </c>
      <c r="D668" s="1">
        <v>35853</v>
      </c>
      <c r="E668" s="1">
        <v>35881</v>
      </c>
      <c r="F668" s="1">
        <v>35856</v>
      </c>
      <c r="G668">
        <v>1</v>
      </c>
      <c r="H668" s="2">
        <v>21.19</v>
      </c>
      <c r="I668" t="s">
        <v>300</v>
      </c>
      <c r="J668" t="s">
        <v>301</v>
      </c>
      <c r="K668" t="s">
        <v>173</v>
      </c>
      <c r="L668" t="s">
        <v>55</v>
      </c>
      <c r="M668" t="s">
        <v>302</v>
      </c>
      <c r="N668" t="s">
        <v>31</v>
      </c>
    </row>
    <row r="669" spans="1:14" x14ac:dyDescent="0.2">
      <c r="A669">
        <v>10915</v>
      </c>
      <c r="B669" t="s">
        <v>130</v>
      </c>
      <c r="C669">
        <v>2</v>
      </c>
      <c r="D669" s="1">
        <v>35853</v>
      </c>
      <c r="E669" s="1">
        <v>35881</v>
      </c>
      <c r="F669" s="1">
        <v>35856</v>
      </c>
      <c r="G669">
        <v>2</v>
      </c>
      <c r="H669" s="2">
        <v>3.51</v>
      </c>
      <c r="I669" t="s">
        <v>131</v>
      </c>
      <c r="J669" t="s">
        <v>132</v>
      </c>
      <c r="K669" t="s">
        <v>71</v>
      </c>
      <c r="L669" t="s">
        <v>18</v>
      </c>
      <c r="M669">
        <v>5033</v>
      </c>
      <c r="N669" t="s">
        <v>72</v>
      </c>
    </row>
    <row r="670" spans="1:14" x14ac:dyDescent="0.2">
      <c r="A670">
        <v>10916</v>
      </c>
      <c r="B670" t="s">
        <v>351</v>
      </c>
      <c r="C670">
        <v>1</v>
      </c>
      <c r="D670" s="1">
        <v>35853</v>
      </c>
      <c r="E670" s="1">
        <v>35881</v>
      </c>
      <c r="F670" s="1">
        <v>35863</v>
      </c>
      <c r="G670">
        <v>2</v>
      </c>
      <c r="H670" s="2">
        <v>63.77</v>
      </c>
      <c r="I670" t="s">
        <v>352</v>
      </c>
      <c r="J670" t="s">
        <v>353</v>
      </c>
      <c r="K670" t="s">
        <v>336</v>
      </c>
      <c r="L670" t="s">
        <v>18</v>
      </c>
      <c r="M670">
        <v>1010</v>
      </c>
      <c r="N670" t="s">
        <v>337</v>
      </c>
    </row>
    <row r="671" spans="1:14" x14ac:dyDescent="0.2">
      <c r="A671">
        <v>10917</v>
      </c>
      <c r="B671" t="s">
        <v>146</v>
      </c>
      <c r="C671">
        <v>4</v>
      </c>
      <c r="D671" s="1">
        <v>35856</v>
      </c>
      <c r="E671" s="1">
        <v>35884</v>
      </c>
      <c r="F671" s="1">
        <v>35865</v>
      </c>
      <c r="G671">
        <v>2</v>
      </c>
      <c r="H671" s="2">
        <v>8.2899999999999991</v>
      </c>
      <c r="I671" t="s">
        <v>147</v>
      </c>
      <c r="J671" t="s">
        <v>148</v>
      </c>
      <c r="K671" t="s">
        <v>149</v>
      </c>
      <c r="L671" t="s">
        <v>18</v>
      </c>
      <c r="M671">
        <v>28001</v>
      </c>
      <c r="N671" t="s">
        <v>150</v>
      </c>
    </row>
    <row r="672" spans="1:14" x14ac:dyDescent="0.2">
      <c r="A672">
        <v>10918</v>
      </c>
      <c r="B672" t="s">
        <v>318</v>
      </c>
      <c r="C672">
        <v>3</v>
      </c>
      <c r="D672" s="1">
        <v>35856</v>
      </c>
      <c r="E672" s="1">
        <v>35884</v>
      </c>
      <c r="F672" s="1">
        <v>35865</v>
      </c>
      <c r="G672">
        <v>3</v>
      </c>
      <c r="H672" s="2">
        <v>48.83</v>
      </c>
      <c r="I672" t="s">
        <v>319</v>
      </c>
      <c r="J672" t="s">
        <v>320</v>
      </c>
      <c r="K672" t="s">
        <v>321</v>
      </c>
      <c r="L672" t="s">
        <v>322</v>
      </c>
      <c r="M672" t="s">
        <v>323</v>
      </c>
      <c r="N672" t="s">
        <v>249</v>
      </c>
    </row>
    <row r="673" spans="1:14" x14ac:dyDescent="0.2">
      <c r="A673">
        <v>10919</v>
      </c>
      <c r="B673" t="s">
        <v>324</v>
      </c>
      <c r="C673">
        <v>2</v>
      </c>
      <c r="D673" s="1">
        <v>35856</v>
      </c>
      <c r="E673" s="1">
        <v>35884</v>
      </c>
      <c r="F673" s="1">
        <v>35858</v>
      </c>
      <c r="G673">
        <v>2</v>
      </c>
      <c r="H673" s="2">
        <v>19.8</v>
      </c>
      <c r="I673" t="s">
        <v>325</v>
      </c>
      <c r="J673" t="s">
        <v>326</v>
      </c>
      <c r="K673" t="s">
        <v>327</v>
      </c>
      <c r="L673" t="s">
        <v>328</v>
      </c>
      <c r="M673">
        <v>4980</v>
      </c>
      <c r="N673" t="s">
        <v>62</v>
      </c>
    </row>
    <row r="674" spans="1:14" x14ac:dyDescent="0.2">
      <c r="A674">
        <v>10920</v>
      </c>
      <c r="B674" t="s">
        <v>270</v>
      </c>
      <c r="C674">
        <v>4</v>
      </c>
      <c r="D674" s="1">
        <v>35857</v>
      </c>
      <c r="E674" s="1">
        <v>35885</v>
      </c>
      <c r="F674" s="1">
        <v>35863</v>
      </c>
      <c r="G674">
        <v>2</v>
      </c>
      <c r="H674" s="2">
        <v>29.61</v>
      </c>
      <c r="I674" t="s">
        <v>271</v>
      </c>
      <c r="J674" t="s">
        <v>272</v>
      </c>
      <c r="K674" t="s">
        <v>273</v>
      </c>
      <c r="L674" t="s">
        <v>274</v>
      </c>
      <c r="M674" t="s">
        <v>275</v>
      </c>
      <c r="N674" t="s">
        <v>169</v>
      </c>
    </row>
    <row r="675" spans="1:14" x14ac:dyDescent="0.2">
      <c r="A675">
        <v>10921</v>
      </c>
      <c r="B675" t="s">
        <v>295</v>
      </c>
      <c r="C675">
        <v>1</v>
      </c>
      <c r="D675" s="1">
        <v>35857</v>
      </c>
      <c r="E675" s="1">
        <v>35899</v>
      </c>
      <c r="F675" s="1">
        <v>35863</v>
      </c>
      <c r="G675">
        <v>1</v>
      </c>
      <c r="H675" s="2">
        <v>176.48</v>
      </c>
      <c r="I675" t="s">
        <v>296</v>
      </c>
      <c r="J675" t="s">
        <v>297</v>
      </c>
      <c r="K675" t="s">
        <v>298</v>
      </c>
      <c r="L675" t="s">
        <v>18</v>
      </c>
      <c r="M675">
        <v>8200</v>
      </c>
      <c r="N675" t="s">
        <v>257</v>
      </c>
    </row>
    <row r="676" spans="1:14" x14ac:dyDescent="0.2">
      <c r="A676">
        <v>10922</v>
      </c>
      <c r="B676" t="s">
        <v>25</v>
      </c>
      <c r="C676">
        <v>5</v>
      </c>
      <c r="D676" s="1">
        <v>35857</v>
      </c>
      <c r="E676" s="1">
        <v>35885</v>
      </c>
      <c r="F676" s="1">
        <v>35859</v>
      </c>
      <c r="G676">
        <v>3</v>
      </c>
      <c r="H676" s="2">
        <v>62.74</v>
      </c>
      <c r="I676" t="s">
        <v>26</v>
      </c>
      <c r="J676" t="s">
        <v>27</v>
      </c>
      <c r="K676" t="s">
        <v>28</v>
      </c>
      <c r="L676" t="s">
        <v>29</v>
      </c>
      <c r="M676" t="s">
        <v>30</v>
      </c>
      <c r="N676" t="s">
        <v>31</v>
      </c>
    </row>
    <row r="677" spans="1:14" x14ac:dyDescent="0.2">
      <c r="A677">
        <v>10923</v>
      </c>
      <c r="B677" t="s">
        <v>262</v>
      </c>
      <c r="C677">
        <v>7</v>
      </c>
      <c r="D677" s="1">
        <v>35857</v>
      </c>
      <c r="E677" s="1">
        <v>35899</v>
      </c>
      <c r="F677" s="1">
        <v>35867</v>
      </c>
      <c r="G677">
        <v>3</v>
      </c>
      <c r="H677" s="2">
        <v>68.260000000000005</v>
      </c>
      <c r="I677" t="s">
        <v>263</v>
      </c>
      <c r="J677" t="s">
        <v>264</v>
      </c>
      <c r="K677" t="s">
        <v>265</v>
      </c>
      <c r="L677" t="s">
        <v>18</v>
      </c>
      <c r="M677">
        <v>31000</v>
      </c>
      <c r="N677" t="s">
        <v>19</v>
      </c>
    </row>
    <row r="678" spans="1:14" x14ac:dyDescent="0.2">
      <c r="A678">
        <v>10924</v>
      </c>
      <c r="B678" t="s">
        <v>137</v>
      </c>
      <c r="C678">
        <v>3</v>
      </c>
      <c r="D678" s="1">
        <v>35858</v>
      </c>
      <c r="E678" s="1">
        <v>35886</v>
      </c>
      <c r="F678" s="1">
        <v>35893</v>
      </c>
      <c r="G678">
        <v>2</v>
      </c>
      <c r="H678" s="2">
        <v>151.52000000000001</v>
      </c>
      <c r="I678" t="s">
        <v>138</v>
      </c>
      <c r="J678" t="s">
        <v>139</v>
      </c>
      <c r="K678" t="s">
        <v>140</v>
      </c>
      <c r="L678" t="s">
        <v>18</v>
      </c>
      <c r="M678" t="s">
        <v>141</v>
      </c>
      <c r="N678" t="s">
        <v>92</v>
      </c>
    </row>
    <row r="679" spans="1:14" x14ac:dyDescent="0.2">
      <c r="A679">
        <v>10925</v>
      </c>
      <c r="B679" t="s">
        <v>25</v>
      </c>
      <c r="C679">
        <v>3</v>
      </c>
      <c r="D679" s="1">
        <v>35858</v>
      </c>
      <c r="E679" s="1">
        <v>35886</v>
      </c>
      <c r="F679" s="1">
        <v>35867</v>
      </c>
      <c r="G679">
        <v>1</v>
      </c>
      <c r="H679" s="2">
        <v>2.27</v>
      </c>
      <c r="I679" t="s">
        <v>26</v>
      </c>
      <c r="J679" t="s">
        <v>27</v>
      </c>
      <c r="K679" t="s">
        <v>28</v>
      </c>
      <c r="L679" t="s">
        <v>29</v>
      </c>
      <c r="M679" t="s">
        <v>30</v>
      </c>
      <c r="N679" t="s">
        <v>31</v>
      </c>
    </row>
    <row r="680" spans="1:14" x14ac:dyDescent="0.2">
      <c r="A680">
        <v>10926</v>
      </c>
      <c r="B680" t="s">
        <v>203</v>
      </c>
      <c r="C680">
        <v>4</v>
      </c>
      <c r="D680" s="1">
        <v>35858</v>
      </c>
      <c r="E680" s="1">
        <v>35886</v>
      </c>
      <c r="F680" s="1">
        <v>35865</v>
      </c>
      <c r="G680">
        <v>3</v>
      </c>
      <c r="H680" s="2">
        <v>39.92</v>
      </c>
      <c r="I680" t="s">
        <v>204</v>
      </c>
      <c r="J680" t="s">
        <v>205</v>
      </c>
      <c r="K680" t="s">
        <v>71</v>
      </c>
      <c r="L680" t="s">
        <v>18</v>
      </c>
      <c r="M680">
        <v>5021</v>
      </c>
      <c r="N680" t="s">
        <v>72</v>
      </c>
    </row>
    <row r="681" spans="1:14" x14ac:dyDescent="0.2">
      <c r="A681">
        <v>10927</v>
      </c>
      <c r="B681" t="s">
        <v>413</v>
      </c>
      <c r="C681">
        <v>4</v>
      </c>
      <c r="D681" s="1">
        <v>35859</v>
      </c>
      <c r="E681" s="1">
        <v>35887</v>
      </c>
      <c r="F681" s="1">
        <v>35893</v>
      </c>
      <c r="G681">
        <v>1</v>
      </c>
      <c r="H681" s="2">
        <v>19.79</v>
      </c>
      <c r="I681" t="s">
        <v>414</v>
      </c>
      <c r="J681" t="s">
        <v>415</v>
      </c>
      <c r="K681" t="s">
        <v>416</v>
      </c>
      <c r="L681" t="s">
        <v>18</v>
      </c>
      <c r="M681">
        <v>78000</v>
      </c>
      <c r="N681" t="s">
        <v>19</v>
      </c>
    </row>
    <row r="682" spans="1:14" x14ac:dyDescent="0.2">
      <c r="A682">
        <v>10928</v>
      </c>
      <c r="B682" t="s">
        <v>291</v>
      </c>
      <c r="C682">
        <v>1</v>
      </c>
      <c r="D682" s="1">
        <v>35859</v>
      </c>
      <c r="E682" s="1">
        <v>35887</v>
      </c>
      <c r="F682" s="1">
        <v>35872</v>
      </c>
      <c r="G682">
        <v>1</v>
      </c>
      <c r="H682" s="2">
        <v>1.36</v>
      </c>
      <c r="I682" t="s">
        <v>292</v>
      </c>
      <c r="J682" t="s">
        <v>293</v>
      </c>
      <c r="K682" t="s">
        <v>294</v>
      </c>
      <c r="L682" t="s">
        <v>18</v>
      </c>
      <c r="M682">
        <v>8022</v>
      </c>
      <c r="N682" t="s">
        <v>150</v>
      </c>
    </row>
    <row r="683" spans="1:14" x14ac:dyDescent="0.2">
      <c r="A683">
        <v>10929</v>
      </c>
      <c r="B683" t="s">
        <v>102</v>
      </c>
      <c r="C683">
        <v>6</v>
      </c>
      <c r="D683" s="1">
        <v>35859</v>
      </c>
      <c r="E683" s="1">
        <v>35887</v>
      </c>
      <c r="F683" s="1">
        <v>35866</v>
      </c>
      <c r="G683">
        <v>1</v>
      </c>
      <c r="H683" s="2">
        <v>33.93</v>
      </c>
      <c r="I683" t="s">
        <v>103</v>
      </c>
      <c r="J683" t="s">
        <v>104</v>
      </c>
      <c r="K683" t="s">
        <v>105</v>
      </c>
      <c r="L683" t="s">
        <v>18</v>
      </c>
      <c r="M683">
        <v>80805</v>
      </c>
      <c r="N683" t="s">
        <v>24</v>
      </c>
    </row>
    <row r="684" spans="1:14" x14ac:dyDescent="0.2">
      <c r="A684">
        <v>10930</v>
      </c>
      <c r="B684" t="s">
        <v>36</v>
      </c>
      <c r="C684">
        <v>4</v>
      </c>
      <c r="D684" s="1">
        <v>35860</v>
      </c>
      <c r="E684" s="1">
        <v>35902</v>
      </c>
      <c r="F684" s="1">
        <v>35872</v>
      </c>
      <c r="G684">
        <v>3</v>
      </c>
      <c r="H684" s="2">
        <v>15.55</v>
      </c>
      <c r="I684" t="s">
        <v>37</v>
      </c>
      <c r="J684" t="s">
        <v>38</v>
      </c>
      <c r="K684" t="s">
        <v>39</v>
      </c>
      <c r="L684" t="s">
        <v>18</v>
      </c>
      <c r="M684" t="s">
        <v>40</v>
      </c>
      <c r="N684" t="s">
        <v>41</v>
      </c>
    </row>
    <row r="685" spans="1:14" x14ac:dyDescent="0.2">
      <c r="A685">
        <v>10931</v>
      </c>
      <c r="B685" t="s">
        <v>47</v>
      </c>
      <c r="C685">
        <v>4</v>
      </c>
      <c r="D685" s="1">
        <v>35860</v>
      </c>
      <c r="E685" s="1">
        <v>35874</v>
      </c>
      <c r="F685" s="1">
        <v>35873</v>
      </c>
      <c r="G685">
        <v>2</v>
      </c>
      <c r="H685" s="2">
        <v>13.6</v>
      </c>
      <c r="I685" t="s">
        <v>48</v>
      </c>
      <c r="J685" t="s">
        <v>49</v>
      </c>
      <c r="K685" t="s">
        <v>50</v>
      </c>
      <c r="L685" t="s">
        <v>18</v>
      </c>
      <c r="M685">
        <v>1204</v>
      </c>
      <c r="N685" t="s">
        <v>46</v>
      </c>
    </row>
    <row r="686" spans="1:14" x14ac:dyDescent="0.2">
      <c r="A686">
        <v>10932</v>
      </c>
      <c r="B686" t="s">
        <v>239</v>
      </c>
      <c r="C686">
        <v>8</v>
      </c>
      <c r="D686" s="1">
        <v>35860</v>
      </c>
      <c r="E686" s="1">
        <v>35888</v>
      </c>
      <c r="F686" s="1">
        <v>35878</v>
      </c>
      <c r="G686">
        <v>1</v>
      </c>
      <c r="H686" s="2">
        <v>134.63999999999999</v>
      </c>
      <c r="I686" t="s">
        <v>240</v>
      </c>
      <c r="J686" t="s">
        <v>241</v>
      </c>
      <c r="K686" t="s">
        <v>242</v>
      </c>
      <c r="L686" t="s">
        <v>18</v>
      </c>
      <c r="M686">
        <v>13008</v>
      </c>
      <c r="N686" t="s">
        <v>19</v>
      </c>
    </row>
    <row r="687" spans="1:14" x14ac:dyDescent="0.2">
      <c r="A687">
        <v>10933</v>
      </c>
      <c r="B687" t="s">
        <v>213</v>
      </c>
      <c r="C687">
        <v>6</v>
      </c>
      <c r="D687" s="1">
        <v>35860</v>
      </c>
      <c r="E687" s="1">
        <v>35888</v>
      </c>
      <c r="F687" s="1">
        <v>35870</v>
      </c>
      <c r="G687">
        <v>3</v>
      </c>
      <c r="H687" s="2">
        <v>54.15</v>
      </c>
      <c r="I687" t="s">
        <v>214</v>
      </c>
      <c r="J687" t="s">
        <v>215</v>
      </c>
      <c r="K687" t="s">
        <v>216</v>
      </c>
      <c r="L687" t="s">
        <v>217</v>
      </c>
      <c r="M687" t="s">
        <v>218</v>
      </c>
      <c r="N687" t="s">
        <v>169</v>
      </c>
    </row>
    <row r="688" spans="1:14" x14ac:dyDescent="0.2">
      <c r="A688">
        <v>10934</v>
      </c>
      <c r="B688" t="s">
        <v>142</v>
      </c>
      <c r="C688">
        <v>3</v>
      </c>
      <c r="D688" s="1">
        <v>35863</v>
      </c>
      <c r="E688" s="1">
        <v>35891</v>
      </c>
      <c r="F688" s="1">
        <v>35866</v>
      </c>
      <c r="G688">
        <v>3</v>
      </c>
      <c r="H688" s="2">
        <v>32.01</v>
      </c>
      <c r="I688" t="s">
        <v>143</v>
      </c>
      <c r="J688" t="s">
        <v>144</v>
      </c>
      <c r="K688" t="s">
        <v>145</v>
      </c>
      <c r="L688" t="s">
        <v>18</v>
      </c>
      <c r="M688">
        <v>60528</v>
      </c>
      <c r="N688" t="s">
        <v>24</v>
      </c>
    </row>
    <row r="689" spans="1:14" x14ac:dyDescent="0.2">
      <c r="A689">
        <v>10935</v>
      </c>
      <c r="B689" t="s">
        <v>51</v>
      </c>
      <c r="C689">
        <v>4</v>
      </c>
      <c r="D689" s="1">
        <v>35863</v>
      </c>
      <c r="E689" s="1">
        <v>35891</v>
      </c>
      <c r="F689" s="1">
        <v>35872</v>
      </c>
      <c r="G689">
        <v>3</v>
      </c>
      <c r="H689" s="2">
        <v>47.59</v>
      </c>
      <c r="I689" t="s">
        <v>52</v>
      </c>
      <c r="J689" t="s">
        <v>53</v>
      </c>
      <c r="K689" t="s">
        <v>54</v>
      </c>
      <c r="L689" t="s">
        <v>55</v>
      </c>
      <c r="M689" t="s">
        <v>56</v>
      </c>
      <c r="N689" t="s">
        <v>31</v>
      </c>
    </row>
    <row r="690" spans="1:14" x14ac:dyDescent="0.2">
      <c r="A690">
        <v>10936</v>
      </c>
      <c r="B690" t="s">
        <v>374</v>
      </c>
      <c r="C690">
        <v>3</v>
      </c>
      <c r="D690" s="1">
        <v>35863</v>
      </c>
      <c r="E690" s="1">
        <v>35891</v>
      </c>
      <c r="F690" s="1">
        <v>35872</v>
      </c>
      <c r="G690">
        <v>2</v>
      </c>
      <c r="H690" s="2">
        <v>33.68</v>
      </c>
      <c r="I690" t="s">
        <v>375</v>
      </c>
      <c r="J690" t="s">
        <v>376</v>
      </c>
      <c r="K690" t="s">
        <v>377</v>
      </c>
      <c r="L690" t="s">
        <v>202</v>
      </c>
      <c r="M690">
        <v>97403</v>
      </c>
      <c r="N690" t="s">
        <v>86</v>
      </c>
    </row>
    <row r="691" spans="1:14" x14ac:dyDescent="0.2">
      <c r="A691">
        <v>10937</v>
      </c>
      <c r="B691" t="s">
        <v>371</v>
      </c>
      <c r="C691">
        <v>7</v>
      </c>
      <c r="D691" s="1">
        <v>35864</v>
      </c>
      <c r="E691" s="1">
        <v>35878</v>
      </c>
      <c r="F691" s="1">
        <v>35867</v>
      </c>
      <c r="G691">
        <v>3</v>
      </c>
      <c r="H691" s="2">
        <v>31.51</v>
      </c>
      <c r="I691" t="s">
        <v>372</v>
      </c>
      <c r="J691" t="s">
        <v>373</v>
      </c>
      <c r="K691" t="s">
        <v>336</v>
      </c>
      <c r="L691" t="s">
        <v>18</v>
      </c>
      <c r="M691">
        <v>1010</v>
      </c>
      <c r="N691" t="s">
        <v>337</v>
      </c>
    </row>
    <row r="692" spans="1:14" x14ac:dyDescent="0.2">
      <c r="A692">
        <v>10938</v>
      </c>
      <c r="B692" t="s">
        <v>121</v>
      </c>
      <c r="C692">
        <v>3</v>
      </c>
      <c r="D692" s="1">
        <v>35864</v>
      </c>
      <c r="E692" s="1">
        <v>35892</v>
      </c>
      <c r="F692" s="1">
        <v>35870</v>
      </c>
      <c r="G692">
        <v>2</v>
      </c>
      <c r="H692" s="2">
        <v>31.89</v>
      </c>
      <c r="I692" t="s">
        <v>122</v>
      </c>
      <c r="J692" t="s">
        <v>123</v>
      </c>
      <c r="K692" t="s">
        <v>124</v>
      </c>
      <c r="L692" t="s">
        <v>18</v>
      </c>
      <c r="M692">
        <v>1307</v>
      </c>
      <c r="N692" t="s">
        <v>24</v>
      </c>
    </row>
    <row r="693" spans="1:14" x14ac:dyDescent="0.2">
      <c r="A693">
        <v>10939</v>
      </c>
      <c r="B693" t="s">
        <v>125</v>
      </c>
      <c r="C693">
        <v>2</v>
      </c>
      <c r="D693" s="1">
        <v>35864</v>
      </c>
      <c r="E693" s="1">
        <v>35892</v>
      </c>
      <c r="F693" s="1">
        <v>35867</v>
      </c>
      <c r="G693">
        <v>2</v>
      </c>
      <c r="H693" s="2">
        <v>76.33</v>
      </c>
      <c r="I693" t="s">
        <v>126</v>
      </c>
      <c r="J693" t="s">
        <v>127</v>
      </c>
      <c r="K693" t="s">
        <v>128</v>
      </c>
      <c r="L693" t="s">
        <v>18</v>
      </c>
      <c r="M693">
        <v>24100</v>
      </c>
      <c r="N693" t="s">
        <v>129</v>
      </c>
    </row>
    <row r="694" spans="1:14" x14ac:dyDescent="0.2">
      <c r="A694">
        <v>10940</v>
      </c>
      <c r="B694" t="s">
        <v>239</v>
      </c>
      <c r="C694">
        <v>8</v>
      </c>
      <c r="D694" s="1">
        <v>35865</v>
      </c>
      <c r="E694" s="1">
        <v>35893</v>
      </c>
      <c r="F694" s="1">
        <v>35877</v>
      </c>
      <c r="G694">
        <v>3</v>
      </c>
      <c r="H694" s="2">
        <v>19.77</v>
      </c>
      <c r="I694" t="s">
        <v>240</v>
      </c>
      <c r="J694" t="s">
        <v>241</v>
      </c>
      <c r="K694" t="s">
        <v>242</v>
      </c>
      <c r="L694" t="s">
        <v>18</v>
      </c>
      <c r="M694">
        <v>13008</v>
      </c>
      <c r="N694" t="s">
        <v>19</v>
      </c>
    </row>
    <row r="695" spans="1:14" x14ac:dyDescent="0.2">
      <c r="A695">
        <v>10941</v>
      </c>
      <c r="B695" t="s">
        <v>226</v>
      </c>
      <c r="C695">
        <v>7</v>
      </c>
      <c r="D695" s="1">
        <v>35865</v>
      </c>
      <c r="E695" s="1">
        <v>35893</v>
      </c>
      <c r="F695" s="1">
        <v>35874</v>
      </c>
      <c r="G695">
        <v>2</v>
      </c>
      <c r="H695" s="2">
        <v>400.81</v>
      </c>
      <c r="I695" t="s">
        <v>227</v>
      </c>
      <c r="J695" t="s">
        <v>228</v>
      </c>
      <c r="K695" t="s">
        <v>229</v>
      </c>
      <c r="L695" t="s">
        <v>230</v>
      </c>
      <c r="M695">
        <v>83720</v>
      </c>
      <c r="N695" t="s">
        <v>86</v>
      </c>
    </row>
    <row r="696" spans="1:14" x14ac:dyDescent="0.2">
      <c r="A696">
        <v>10942</v>
      </c>
      <c r="B696" t="s">
        <v>160</v>
      </c>
      <c r="C696">
        <v>9</v>
      </c>
      <c r="D696" s="1">
        <v>35865</v>
      </c>
      <c r="E696" s="1">
        <v>35893</v>
      </c>
      <c r="F696" s="1">
        <v>35872</v>
      </c>
      <c r="G696">
        <v>3</v>
      </c>
      <c r="H696" s="2">
        <v>17.95</v>
      </c>
      <c r="I696" t="s">
        <v>161</v>
      </c>
      <c r="J696" t="s">
        <v>162</v>
      </c>
      <c r="K696" t="s">
        <v>163</v>
      </c>
      <c r="L696" t="s">
        <v>18</v>
      </c>
      <c r="M696">
        <v>42100</v>
      </c>
      <c r="N696" t="s">
        <v>129</v>
      </c>
    </row>
    <row r="697" spans="1:14" x14ac:dyDescent="0.2">
      <c r="A697">
        <v>10943</v>
      </c>
      <c r="B697" t="s">
        <v>164</v>
      </c>
      <c r="C697">
        <v>4</v>
      </c>
      <c r="D697" s="1">
        <v>35865</v>
      </c>
      <c r="E697" s="1">
        <v>35893</v>
      </c>
      <c r="F697" s="1">
        <v>35873</v>
      </c>
      <c r="G697">
        <v>2</v>
      </c>
      <c r="H697" s="2">
        <v>2.17</v>
      </c>
      <c r="I697" t="s">
        <v>165</v>
      </c>
      <c r="J697" t="s">
        <v>166</v>
      </c>
      <c r="K697" t="s">
        <v>167</v>
      </c>
      <c r="L697" t="s">
        <v>18</v>
      </c>
      <c r="M697" t="s">
        <v>168</v>
      </c>
      <c r="N697" t="s">
        <v>169</v>
      </c>
    </row>
    <row r="698" spans="1:14" x14ac:dyDescent="0.2">
      <c r="A698">
        <v>10944</v>
      </c>
      <c r="B698" t="s">
        <v>318</v>
      </c>
      <c r="C698">
        <v>6</v>
      </c>
      <c r="D698" s="1">
        <v>35866</v>
      </c>
      <c r="E698" s="1">
        <v>35880</v>
      </c>
      <c r="F698" s="1">
        <v>35867</v>
      </c>
      <c r="G698">
        <v>3</v>
      </c>
      <c r="H698" s="2">
        <v>52.92</v>
      </c>
      <c r="I698" t="s">
        <v>319</v>
      </c>
      <c r="J698" t="s">
        <v>320</v>
      </c>
      <c r="K698" t="s">
        <v>321</v>
      </c>
      <c r="L698" t="s">
        <v>322</v>
      </c>
      <c r="M698" t="s">
        <v>323</v>
      </c>
      <c r="N698" t="s">
        <v>249</v>
      </c>
    </row>
    <row r="699" spans="1:14" x14ac:dyDescent="0.2">
      <c r="A699">
        <v>10945</v>
      </c>
      <c r="B699" t="s">
        <v>133</v>
      </c>
      <c r="C699">
        <v>4</v>
      </c>
      <c r="D699" s="1">
        <v>35866</v>
      </c>
      <c r="E699" s="1">
        <v>35894</v>
      </c>
      <c r="F699" s="1">
        <v>35872</v>
      </c>
      <c r="G699">
        <v>1</v>
      </c>
      <c r="H699" s="2">
        <v>10.220000000000001</v>
      </c>
      <c r="I699" t="s">
        <v>134</v>
      </c>
      <c r="J699" t="s">
        <v>135</v>
      </c>
      <c r="K699" t="s">
        <v>136</v>
      </c>
      <c r="L699" t="s">
        <v>18</v>
      </c>
      <c r="M699">
        <v>4179</v>
      </c>
      <c r="N699" t="s">
        <v>24</v>
      </c>
    </row>
    <row r="700" spans="1:14" x14ac:dyDescent="0.2">
      <c r="A700">
        <v>10946</v>
      </c>
      <c r="B700" t="s">
        <v>295</v>
      </c>
      <c r="C700">
        <v>1</v>
      </c>
      <c r="D700" s="1">
        <v>35866</v>
      </c>
      <c r="E700" s="1">
        <v>35894</v>
      </c>
      <c r="F700" s="1">
        <v>35873</v>
      </c>
      <c r="G700">
        <v>2</v>
      </c>
      <c r="H700" s="2">
        <v>27.2</v>
      </c>
      <c r="I700" t="s">
        <v>296</v>
      </c>
      <c r="J700" t="s">
        <v>297</v>
      </c>
      <c r="K700" t="s">
        <v>298</v>
      </c>
      <c r="L700" t="s">
        <v>18</v>
      </c>
      <c r="M700">
        <v>8200</v>
      </c>
      <c r="N700" t="s">
        <v>257</v>
      </c>
    </row>
    <row r="701" spans="1:14" x14ac:dyDescent="0.2">
      <c r="A701">
        <v>10947</v>
      </c>
      <c r="B701" t="s">
        <v>164</v>
      </c>
      <c r="C701">
        <v>3</v>
      </c>
      <c r="D701" s="1">
        <v>35867</v>
      </c>
      <c r="E701" s="1">
        <v>35895</v>
      </c>
      <c r="F701" s="1">
        <v>35870</v>
      </c>
      <c r="G701">
        <v>2</v>
      </c>
      <c r="H701" s="2">
        <v>3.26</v>
      </c>
      <c r="I701" t="s">
        <v>165</v>
      </c>
      <c r="J701" t="s">
        <v>166</v>
      </c>
      <c r="K701" t="s">
        <v>167</v>
      </c>
      <c r="L701" t="s">
        <v>18</v>
      </c>
      <c r="M701" t="s">
        <v>168</v>
      </c>
      <c r="N701" t="s">
        <v>169</v>
      </c>
    </row>
    <row r="702" spans="1:14" x14ac:dyDescent="0.2">
      <c r="A702">
        <v>10948</v>
      </c>
      <c r="B702" t="s">
        <v>189</v>
      </c>
      <c r="C702">
        <v>3</v>
      </c>
      <c r="D702" s="1">
        <v>35867</v>
      </c>
      <c r="E702" s="1">
        <v>35895</v>
      </c>
      <c r="F702" s="1">
        <v>35873</v>
      </c>
      <c r="G702">
        <v>3</v>
      </c>
      <c r="H702" s="2">
        <v>23.39</v>
      </c>
      <c r="I702" t="s">
        <v>190</v>
      </c>
      <c r="J702" t="s">
        <v>191</v>
      </c>
      <c r="K702" t="s">
        <v>192</v>
      </c>
      <c r="L702" t="s">
        <v>18</v>
      </c>
      <c r="M702">
        <v>41101</v>
      </c>
      <c r="N702" t="s">
        <v>150</v>
      </c>
    </row>
    <row r="703" spans="1:14" x14ac:dyDescent="0.2">
      <c r="A703">
        <v>10949</v>
      </c>
      <c r="B703" t="s">
        <v>318</v>
      </c>
      <c r="C703">
        <v>2</v>
      </c>
      <c r="D703" s="1">
        <v>35867</v>
      </c>
      <c r="E703" s="1">
        <v>35895</v>
      </c>
      <c r="F703" s="1">
        <v>35871</v>
      </c>
      <c r="G703">
        <v>3</v>
      </c>
      <c r="H703" s="2">
        <v>74.44</v>
      </c>
      <c r="I703" t="s">
        <v>319</v>
      </c>
      <c r="J703" t="s">
        <v>320</v>
      </c>
      <c r="K703" t="s">
        <v>321</v>
      </c>
      <c r="L703" t="s">
        <v>322</v>
      </c>
      <c r="M703" t="s">
        <v>323</v>
      </c>
      <c r="N703" t="s">
        <v>249</v>
      </c>
    </row>
    <row r="704" spans="1:14" x14ac:dyDescent="0.2">
      <c r="A704">
        <v>10950</v>
      </c>
      <c r="B704" t="s">
        <v>125</v>
      </c>
      <c r="C704">
        <v>1</v>
      </c>
      <c r="D704" s="1">
        <v>35870</v>
      </c>
      <c r="E704" s="1">
        <v>35898</v>
      </c>
      <c r="F704" s="1">
        <v>35877</v>
      </c>
      <c r="G704">
        <v>2</v>
      </c>
      <c r="H704" s="2">
        <v>2.5</v>
      </c>
      <c r="I704" t="s">
        <v>126</v>
      </c>
      <c r="J704" t="s">
        <v>127</v>
      </c>
      <c r="K704" t="s">
        <v>128</v>
      </c>
      <c r="L704" t="s">
        <v>18</v>
      </c>
      <c r="M704">
        <v>24100</v>
      </c>
      <c r="N704" t="s">
        <v>129</v>
      </c>
    </row>
    <row r="705" spans="1:14" x14ac:dyDescent="0.2">
      <c r="A705">
        <v>10951</v>
      </c>
      <c r="B705" t="s">
        <v>47</v>
      </c>
      <c r="C705">
        <v>9</v>
      </c>
      <c r="D705" s="1">
        <v>35870</v>
      </c>
      <c r="E705" s="1">
        <v>35912</v>
      </c>
      <c r="F705" s="1">
        <v>35892</v>
      </c>
      <c r="G705">
        <v>2</v>
      </c>
      <c r="H705" s="2">
        <v>30.85</v>
      </c>
      <c r="I705" t="s">
        <v>48</v>
      </c>
      <c r="J705" t="s">
        <v>49</v>
      </c>
      <c r="K705" t="s">
        <v>50</v>
      </c>
      <c r="L705" t="s">
        <v>18</v>
      </c>
      <c r="M705">
        <v>1204</v>
      </c>
      <c r="N705" t="s">
        <v>46</v>
      </c>
    </row>
    <row r="706" spans="1:14" x14ac:dyDescent="0.2">
      <c r="A706">
        <v>10952</v>
      </c>
      <c r="B706" t="s">
        <v>401</v>
      </c>
      <c r="C706">
        <v>1</v>
      </c>
      <c r="D706" s="1">
        <v>35870</v>
      </c>
      <c r="E706" s="1">
        <v>35912</v>
      </c>
      <c r="F706" s="1">
        <v>35878</v>
      </c>
      <c r="G706">
        <v>1</v>
      </c>
      <c r="H706" s="2">
        <v>40.42</v>
      </c>
      <c r="I706" t="s">
        <v>408</v>
      </c>
      <c r="J706" t="s">
        <v>403</v>
      </c>
      <c r="K706" t="s">
        <v>404</v>
      </c>
      <c r="L706" t="s">
        <v>18</v>
      </c>
      <c r="M706">
        <v>12209</v>
      </c>
      <c r="N706" t="s">
        <v>24</v>
      </c>
    </row>
    <row r="707" spans="1:14" x14ac:dyDescent="0.2">
      <c r="A707">
        <v>10953</v>
      </c>
      <c r="B707" t="s">
        <v>270</v>
      </c>
      <c r="C707">
        <v>9</v>
      </c>
      <c r="D707" s="1">
        <v>35870</v>
      </c>
      <c r="E707" s="1">
        <v>35884</v>
      </c>
      <c r="F707" s="1">
        <v>35879</v>
      </c>
      <c r="G707">
        <v>2</v>
      </c>
      <c r="H707" s="2">
        <v>23.72</v>
      </c>
      <c r="I707" t="s">
        <v>271</v>
      </c>
      <c r="J707" t="s">
        <v>272</v>
      </c>
      <c r="K707" t="s">
        <v>273</v>
      </c>
      <c r="L707" t="s">
        <v>274</v>
      </c>
      <c r="M707" t="s">
        <v>275</v>
      </c>
      <c r="N707" t="s">
        <v>169</v>
      </c>
    </row>
    <row r="708" spans="1:14" x14ac:dyDescent="0.2">
      <c r="A708">
        <v>10954</v>
      </c>
      <c r="B708" t="s">
        <v>324</v>
      </c>
      <c r="C708">
        <v>5</v>
      </c>
      <c r="D708" s="1">
        <v>35871</v>
      </c>
      <c r="E708" s="1">
        <v>35913</v>
      </c>
      <c r="F708" s="1">
        <v>35874</v>
      </c>
      <c r="G708">
        <v>1</v>
      </c>
      <c r="H708" s="2">
        <v>27.91</v>
      </c>
      <c r="I708" t="s">
        <v>325</v>
      </c>
      <c r="J708" t="s">
        <v>326</v>
      </c>
      <c r="K708" t="s">
        <v>327</v>
      </c>
      <c r="L708" t="s">
        <v>328</v>
      </c>
      <c r="M708">
        <v>4980</v>
      </c>
      <c r="N708" t="s">
        <v>62</v>
      </c>
    </row>
    <row r="709" spans="1:14" x14ac:dyDescent="0.2">
      <c r="A709">
        <v>10955</v>
      </c>
      <c r="B709" t="s">
        <v>87</v>
      </c>
      <c r="C709">
        <v>8</v>
      </c>
      <c r="D709" s="1">
        <v>35871</v>
      </c>
      <c r="E709" s="1">
        <v>35899</v>
      </c>
      <c r="F709" s="1">
        <v>35874</v>
      </c>
      <c r="G709">
        <v>2</v>
      </c>
      <c r="H709" s="2">
        <v>3.26</v>
      </c>
      <c r="I709" t="s">
        <v>88</v>
      </c>
      <c r="J709" t="s">
        <v>89</v>
      </c>
      <c r="K709" t="s">
        <v>90</v>
      </c>
      <c r="L709" t="s">
        <v>18</v>
      </c>
      <c r="M709" t="s">
        <v>91</v>
      </c>
      <c r="N709" t="s">
        <v>92</v>
      </c>
    </row>
    <row r="710" spans="1:14" x14ac:dyDescent="0.2">
      <c r="A710">
        <v>10956</v>
      </c>
      <c r="B710" t="s">
        <v>363</v>
      </c>
      <c r="C710">
        <v>6</v>
      </c>
      <c r="D710" s="1">
        <v>35871</v>
      </c>
      <c r="E710" s="1">
        <v>35913</v>
      </c>
      <c r="F710" s="1">
        <v>35874</v>
      </c>
      <c r="G710">
        <v>2</v>
      </c>
      <c r="H710" s="2">
        <v>44.65</v>
      </c>
      <c r="I710" t="s">
        <v>364</v>
      </c>
      <c r="J710" t="s">
        <v>365</v>
      </c>
      <c r="K710" t="s">
        <v>366</v>
      </c>
      <c r="L710" t="s">
        <v>18</v>
      </c>
      <c r="M710">
        <v>68306</v>
      </c>
      <c r="N710" t="s">
        <v>24</v>
      </c>
    </row>
    <row r="711" spans="1:14" x14ac:dyDescent="0.2">
      <c r="A711">
        <v>10957</v>
      </c>
      <c r="B711" t="s">
        <v>57</v>
      </c>
      <c r="C711">
        <v>8</v>
      </c>
      <c r="D711" s="1">
        <v>35872</v>
      </c>
      <c r="E711" s="1">
        <v>35900</v>
      </c>
      <c r="F711" s="1">
        <v>35881</v>
      </c>
      <c r="G711">
        <v>3</v>
      </c>
      <c r="H711" s="2">
        <v>105.36</v>
      </c>
      <c r="I711" t="s">
        <v>58</v>
      </c>
      <c r="J711" t="s">
        <v>59</v>
      </c>
      <c r="K711" t="s">
        <v>60</v>
      </c>
      <c r="L711" t="s">
        <v>61</v>
      </c>
      <c r="M711">
        <v>5022</v>
      </c>
      <c r="N711" t="s">
        <v>62</v>
      </c>
    </row>
    <row r="712" spans="1:14" x14ac:dyDescent="0.2">
      <c r="A712">
        <v>10958</v>
      </c>
      <c r="B712" t="s">
        <v>333</v>
      </c>
      <c r="C712">
        <v>7</v>
      </c>
      <c r="D712" s="1">
        <v>35872</v>
      </c>
      <c r="E712" s="1">
        <v>35900</v>
      </c>
      <c r="F712" s="1">
        <v>35881</v>
      </c>
      <c r="G712">
        <v>2</v>
      </c>
      <c r="H712" s="2">
        <v>49.56</v>
      </c>
      <c r="I712" t="s">
        <v>334</v>
      </c>
      <c r="J712" t="s">
        <v>335</v>
      </c>
      <c r="K712" t="s">
        <v>336</v>
      </c>
      <c r="L712" t="s">
        <v>18</v>
      </c>
      <c r="M712">
        <v>1010</v>
      </c>
      <c r="N712" t="s">
        <v>337</v>
      </c>
    </row>
    <row r="713" spans="1:14" x14ac:dyDescent="0.2">
      <c r="A713">
        <v>10959</v>
      </c>
      <c r="B713" t="s">
        <v>342</v>
      </c>
      <c r="C713">
        <v>6</v>
      </c>
      <c r="D713" s="1">
        <v>35872</v>
      </c>
      <c r="E713" s="1">
        <v>35914</v>
      </c>
      <c r="F713" s="1">
        <v>35877</v>
      </c>
      <c r="G713">
        <v>2</v>
      </c>
      <c r="H713" s="2">
        <v>4.9800000000000004</v>
      </c>
      <c r="I713" t="s">
        <v>343</v>
      </c>
      <c r="J713" t="s">
        <v>344</v>
      </c>
      <c r="K713" t="s">
        <v>345</v>
      </c>
      <c r="L713" t="s">
        <v>55</v>
      </c>
      <c r="M713" t="s">
        <v>346</v>
      </c>
      <c r="N713" t="s">
        <v>31</v>
      </c>
    </row>
    <row r="714" spans="1:14" x14ac:dyDescent="0.2">
      <c r="A714">
        <v>10960</v>
      </c>
      <c r="B714" t="s">
        <v>57</v>
      </c>
      <c r="C714">
        <v>3</v>
      </c>
      <c r="D714" s="1">
        <v>35873</v>
      </c>
      <c r="E714" s="1">
        <v>35887</v>
      </c>
      <c r="F714" s="1">
        <v>35893</v>
      </c>
      <c r="G714">
        <v>1</v>
      </c>
      <c r="H714" s="2">
        <v>2.08</v>
      </c>
      <c r="I714" t="s">
        <v>58</v>
      </c>
      <c r="J714" t="s">
        <v>59</v>
      </c>
      <c r="K714" t="s">
        <v>60</v>
      </c>
      <c r="L714" t="s">
        <v>61</v>
      </c>
      <c r="M714">
        <v>5022</v>
      </c>
      <c r="N714" t="s">
        <v>62</v>
      </c>
    </row>
    <row r="715" spans="1:14" x14ac:dyDescent="0.2">
      <c r="A715">
        <v>10961</v>
      </c>
      <c r="B715" t="s">
        <v>299</v>
      </c>
      <c r="C715">
        <v>8</v>
      </c>
      <c r="D715" s="1">
        <v>35873</v>
      </c>
      <c r="E715" s="1">
        <v>35901</v>
      </c>
      <c r="F715" s="1">
        <v>35884</v>
      </c>
      <c r="G715">
        <v>1</v>
      </c>
      <c r="H715" s="2">
        <v>104.47</v>
      </c>
      <c r="I715" t="s">
        <v>300</v>
      </c>
      <c r="J715" t="s">
        <v>301</v>
      </c>
      <c r="K715" t="s">
        <v>173</v>
      </c>
      <c r="L715" t="s">
        <v>55</v>
      </c>
      <c r="M715" t="s">
        <v>302</v>
      </c>
      <c r="N715" t="s">
        <v>31</v>
      </c>
    </row>
    <row r="716" spans="1:14" x14ac:dyDescent="0.2">
      <c r="A716">
        <v>10962</v>
      </c>
      <c r="B716" t="s">
        <v>121</v>
      </c>
      <c r="C716">
        <v>8</v>
      </c>
      <c r="D716" s="1">
        <v>35873</v>
      </c>
      <c r="E716" s="1">
        <v>35901</v>
      </c>
      <c r="F716" s="1">
        <v>35877</v>
      </c>
      <c r="G716">
        <v>2</v>
      </c>
      <c r="H716" s="2">
        <v>275.79000000000002</v>
      </c>
      <c r="I716" t="s">
        <v>122</v>
      </c>
      <c r="J716" t="s">
        <v>123</v>
      </c>
      <c r="K716" t="s">
        <v>124</v>
      </c>
      <c r="L716" t="s">
        <v>18</v>
      </c>
      <c r="M716">
        <v>1307</v>
      </c>
      <c r="N716" t="s">
        <v>24</v>
      </c>
    </row>
    <row r="717" spans="1:14" x14ac:dyDescent="0.2">
      <c r="A717">
        <v>10963</v>
      </c>
      <c r="B717" t="s">
        <v>234</v>
      </c>
      <c r="C717">
        <v>9</v>
      </c>
      <c r="D717" s="1">
        <v>35873</v>
      </c>
      <c r="E717" s="1">
        <v>35901</v>
      </c>
      <c r="F717" s="1">
        <v>35880</v>
      </c>
      <c r="G717">
        <v>3</v>
      </c>
      <c r="H717" s="2">
        <v>2.7</v>
      </c>
      <c r="I717" t="s">
        <v>235</v>
      </c>
      <c r="J717" t="s">
        <v>236</v>
      </c>
      <c r="K717" t="s">
        <v>237</v>
      </c>
      <c r="L717" t="s">
        <v>18</v>
      </c>
      <c r="M717">
        <v>1675</v>
      </c>
      <c r="N717" t="s">
        <v>238</v>
      </c>
    </row>
    <row r="718" spans="1:14" x14ac:dyDescent="0.2">
      <c r="A718">
        <v>10964</v>
      </c>
      <c r="B718" t="s">
        <v>409</v>
      </c>
      <c r="C718">
        <v>3</v>
      </c>
      <c r="D718" s="1">
        <v>35874</v>
      </c>
      <c r="E718" s="1">
        <v>35902</v>
      </c>
      <c r="F718" s="1">
        <v>35878</v>
      </c>
      <c r="G718">
        <v>2</v>
      </c>
      <c r="H718" s="2">
        <v>87.38</v>
      </c>
      <c r="I718" t="s">
        <v>410</v>
      </c>
      <c r="J718" t="s">
        <v>411</v>
      </c>
      <c r="K718" t="s">
        <v>412</v>
      </c>
      <c r="L718" t="s">
        <v>18</v>
      </c>
      <c r="M718">
        <v>75016</v>
      </c>
      <c r="N718" t="s">
        <v>19</v>
      </c>
    </row>
    <row r="719" spans="1:14" x14ac:dyDescent="0.2">
      <c r="A719">
        <v>10965</v>
      </c>
      <c r="B719" t="s">
        <v>193</v>
      </c>
      <c r="C719">
        <v>6</v>
      </c>
      <c r="D719" s="1">
        <v>35874</v>
      </c>
      <c r="E719" s="1">
        <v>35902</v>
      </c>
      <c r="F719" s="1">
        <v>35884</v>
      </c>
      <c r="G719">
        <v>3</v>
      </c>
      <c r="H719" s="2">
        <v>144.38</v>
      </c>
      <c r="I719" t="s">
        <v>194</v>
      </c>
      <c r="J719" t="s">
        <v>195</v>
      </c>
      <c r="K719" t="s">
        <v>196</v>
      </c>
      <c r="L719" t="s">
        <v>197</v>
      </c>
      <c r="M719">
        <v>99508</v>
      </c>
      <c r="N719" t="s">
        <v>86</v>
      </c>
    </row>
    <row r="720" spans="1:14" x14ac:dyDescent="0.2">
      <c r="A720">
        <v>10966</v>
      </c>
      <c r="B720" t="s">
        <v>42</v>
      </c>
      <c r="C720">
        <v>4</v>
      </c>
      <c r="D720" s="1">
        <v>35874</v>
      </c>
      <c r="E720" s="1">
        <v>35902</v>
      </c>
      <c r="F720" s="1">
        <v>35893</v>
      </c>
      <c r="G720">
        <v>1</v>
      </c>
      <c r="H720" s="2">
        <v>27.19</v>
      </c>
      <c r="I720" t="s">
        <v>43</v>
      </c>
      <c r="J720" t="s">
        <v>44</v>
      </c>
      <c r="K720" t="s">
        <v>45</v>
      </c>
      <c r="L720" t="s">
        <v>18</v>
      </c>
      <c r="M720">
        <v>3012</v>
      </c>
      <c r="N720" t="s">
        <v>46</v>
      </c>
    </row>
    <row r="721" spans="1:14" x14ac:dyDescent="0.2">
      <c r="A721">
        <v>10967</v>
      </c>
      <c r="B721" t="s">
        <v>20</v>
      </c>
      <c r="C721">
        <v>2</v>
      </c>
      <c r="D721" s="1">
        <v>35877</v>
      </c>
      <c r="E721" s="1">
        <v>35905</v>
      </c>
      <c r="F721" s="1">
        <v>35887</v>
      </c>
      <c r="G721">
        <v>2</v>
      </c>
      <c r="H721" s="2">
        <v>62.22</v>
      </c>
      <c r="I721" t="s">
        <v>21</v>
      </c>
      <c r="J721" t="s">
        <v>22</v>
      </c>
      <c r="K721" t="s">
        <v>23</v>
      </c>
      <c r="L721" t="s">
        <v>18</v>
      </c>
      <c r="M721">
        <v>44087</v>
      </c>
      <c r="N721" t="s">
        <v>24</v>
      </c>
    </row>
    <row r="722" spans="1:14" x14ac:dyDescent="0.2">
      <c r="A722">
        <v>10968</v>
      </c>
      <c r="B722" t="s">
        <v>63</v>
      </c>
      <c r="C722">
        <v>1</v>
      </c>
      <c r="D722" s="1">
        <v>35877</v>
      </c>
      <c r="E722" s="1">
        <v>35905</v>
      </c>
      <c r="F722" s="1">
        <v>35886</v>
      </c>
      <c r="G722">
        <v>3</v>
      </c>
      <c r="H722" s="2">
        <v>74.599999999999994</v>
      </c>
      <c r="I722" t="s">
        <v>64</v>
      </c>
      <c r="J722" t="s">
        <v>65</v>
      </c>
      <c r="K722" t="s">
        <v>66</v>
      </c>
      <c r="L722" t="s">
        <v>18</v>
      </c>
      <c r="M722">
        <v>8010</v>
      </c>
      <c r="N722" t="s">
        <v>67</v>
      </c>
    </row>
    <row r="723" spans="1:14" x14ac:dyDescent="0.2">
      <c r="A723">
        <v>10969</v>
      </c>
      <c r="B723" t="s">
        <v>170</v>
      </c>
      <c r="C723">
        <v>1</v>
      </c>
      <c r="D723" s="1">
        <v>35877</v>
      </c>
      <c r="E723" s="1">
        <v>35905</v>
      </c>
      <c r="F723" s="1">
        <v>35884</v>
      </c>
      <c r="G723">
        <v>2</v>
      </c>
      <c r="H723" s="2">
        <v>0.21</v>
      </c>
      <c r="I723" t="s">
        <v>171</v>
      </c>
      <c r="J723" t="s">
        <v>172</v>
      </c>
      <c r="K723" t="s">
        <v>173</v>
      </c>
      <c r="L723" t="s">
        <v>55</v>
      </c>
      <c r="M723" t="s">
        <v>174</v>
      </c>
      <c r="N723" t="s">
        <v>31</v>
      </c>
    </row>
    <row r="724" spans="1:14" x14ac:dyDescent="0.2">
      <c r="A724">
        <v>10970</v>
      </c>
      <c r="B724" t="s">
        <v>231</v>
      </c>
      <c r="C724">
        <v>9</v>
      </c>
      <c r="D724" s="1">
        <v>35878</v>
      </c>
      <c r="E724" s="1">
        <v>35892</v>
      </c>
      <c r="F724" s="1">
        <v>35909</v>
      </c>
      <c r="G724">
        <v>1</v>
      </c>
      <c r="H724" s="2">
        <v>16.16</v>
      </c>
      <c r="I724" t="s">
        <v>232</v>
      </c>
      <c r="J724" t="s">
        <v>233</v>
      </c>
      <c r="K724" t="s">
        <v>149</v>
      </c>
      <c r="L724" t="s">
        <v>18</v>
      </c>
      <c r="M724">
        <v>28023</v>
      </c>
      <c r="N724" t="s">
        <v>150</v>
      </c>
    </row>
    <row r="725" spans="1:14" x14ac:dyDescent="0.2">
      <c r="A725">
        <v>10971</v>
      </c>
      <c r="B725" t="s">
        <v>405</v>
      </c>
      <c r="C725">
        <v>2</v>
      </c>
      <c r="D725" s="1">
        <v>35878</v>
      </c>
      <c r="E725" s="1">
        <v>35906</v>
      </c>
      <c r="F725" s="1">
        <v>35887</v>
      </c>
      <c r="G725">
        <v>2</v>
      </c>
      <c r="H725" s="2">
        <v>121.82</v>
      </c>
      <c r="I725" t="s">
        <v>406</v>
      </c>
      <c r="J725" t="s">
        <v>407</v>
      </c>
      <c r="K725" t="s">
        <v>212</v>
      </c>
      <c r="L725" t="s">
        <v>18</v>
      </c>
      <c r="M725">
        <v>44000</v>
      </c>
      <c r="N725" t="s">
        <v>19</v>
      </c>
    </row>
    <row r="726" spans="1:14" x14ac:dyDescent="0.2">
      <c r="A726">
        <v>10972</v>
      </c>
      <c r="B726" t="s">
        <v>413</v>
      </c>
      <c r="C726">
        <v>4</v>
      </c>
      <c r="D726" s="1">
        <v>35878</v>
      </c>
      <c r="E726" s="1">
        <v>35906</v>
      </c>
      <c r="F726" s="1">
        <v>35880</v>
      </c>
      <c r="G726">
        <v>2</v>
      </c>
      <c r="H726" s="2">
        <v>0.02</v>
      </c>
      <c r="I726" t="s">
        <v>414</v>
      </c>
      <c r="J726" t="s">
        <v>415</v>
      </c>
      <c r="K726" t="s">
        <v>416</v>
      </c>
      <c r="L726" t="s">
        <v>18</v>
      </c>
      <c r="M726">
        <v>78000</v>
      </c>
      <c r="N726" t="s">
        <v>19</v>
      </c>
    </row>
    <row r="727" spans="1:14" x14ac:dyDescent="0.2">
      <c r="A727">
        <v>10973</v>
      </c>
      <c r="B727" t="s">
        <v>413</v>
      </c>
      <c r="C727">
        <v>6</v>
      </c>
      <c r="D727" s="1">
        <v>35878</v>
      </c>
      <c r="E727" s="1">
        <v>35906</v>
      </c>
      <c r="F727" s="1">
        <v>35881</v>
      </c>
      <c r="G727">
        <v>2</v>
      </c>
      <c r="H727" s="2">
        <v>15.17</v>
      </c>
      <c r="I727" t="s">
        <v>414</v>
      </c>
      <c r="J727" t="s">
        <v>415</v>
      </c>
      <c r="K727" t="s">
        <v>416</v>
      </c>
      <c r="L727" t="s">
        <v>18</v>
      </c>
      <c r="M727">
        <v>78000</v>
      </c>
      <c r="N727" t="s">
        <v>19</v>
      </c>
    </row>
    <row r="728" spans="1:14" x14ac:dyDescent="0.2">
      <c r="A728">
        <v>10974</v>
      </c>
      <c r="B728" t="s">
        <v>116</v>
      </c>
      <c r="C728">
        <v>3</v>
      </c>
      <c r="D728" s="1">
        <v>35879</v>
      </c>
      <c r="E728" s="1">
        <v>35893</v>
      </c>
      <c r="F728" s="1">
        <v>35888</v>
      </c>
      <c r="G728">
        <v>3</v>
      </c>
      <c r="H728" s="2">
        <v>12.96</v>
      </c>
      <c r="I728" t="s">
        <v>117</v>
      </c>
      <c r="J728" t="s">
        <v>118</v>
      </c>
      <c r="K728" t="s">
        <v>119</v>
      </c>
      <c r="L728" t="s">
        <v>120</v>
      </c>
      <c r="M728">
        <v>82520</v>
      </c>
      <c r="N728" t="s">
        <v>86</v>
      </c>
    </row>
    <row r="729" spans="1:14" x14ac:dyDescent="0.2">
      <c r="A729">
        <v>10975</v>
      </c>
      <c r="B729" t="s">
        <v>318</v>
      </c>
      <c r="C729">
        <v>1</v>
      </c>
      <c r="D729" s="1">
        <v>35879</v>
      </c>
      <c r="E729" s="1">
        <v>35907</v>
      </c>
      <c r="F729" s="1">
        <v>35881</v>
      </c>
      <c r="G729">
        <v>3</v>
      </c>
      <c r="H729" s="2">
        <v>32.270000000000003</v>
      </c>
      <c r="I729" t="s">
        <v>319</v>
      </c>
      <c r="J729" t="s">
        <v>320</v>
      </c>
      <c r="K729" t="s">
        <v>321</v>
      </c>
      <c r="L729" t="s">
        <v>322</v>
      </c>
      <c r="M729" t="s">
        <v>323</v>
      </c>
      <c r="N729" t="s">
        <v>249</v>
      </c>
    </row>
    <row r="730" spans="1:14" x14ac:dyDescent="0.2">
      <c r="A730">
        <v>10976</v>
      </c>
      <c r="B730" t="s">
        <v>57</v>
      </c>
      <c r="C730">
        <v>1</v>
      </c>
      <c r="D730" s="1">
        <v>35879</v>
      </c>
      <c r="E730" s="1">
        <v>35921</v>
      </c>
      <c r="F730" s="1">
        <v>35888</v>
      </c>
      <c r="G730">
        <v>1</v>
      </c>
      <c r="H730" s="2">
        <v>37.97</v>
      </c>
      <c r="I730" t="s">
        <v>58</v>
      </c>
      <c r="J730" t="s">
        <v>59</v>
      </c>
      <c r="K730" t="s">
        <v>60</v>
      </c>
      <c r="L730" t="s">
        <v>61</v>
      </c>
      <c r="M730">
        <v>5022</v>
      </c>
      <c r="N730" t="s">
        <v>62</v>
      </c>
    </row>
    <row r="731" spans="1:14" x14ac:dyDescent="0.2">
      <c r="A731">
        <v>10977</v>
      </c>
      <c r="B731" t="s">
        <v>87</v>
      </c>
      <c r="C731">
        <v>8</v>
      </c>
      <c r="D731" s="1">
        <v>35880</v>
      </c>
      <c r="E731" s="1">
        <v>35908</v>
      </c>
      <c r="F731" s="1">
        <v>35895</v>
      </c>
      <c r="G731">
        <v>3</v>
      </c>
      <c r="H731" s="2">
        <v>208.5</v>
      </c>
      <c r="I731" t="s">
        <v>88</v>
      </c>
      <c r="J731" t="s">
        <v>89</v>
      </c>
      <c r="K731" t="s">
        <v>90</v>
      </c>
      <c r="L731" t="s">
        <v>18</v>
      </c>
      <c r="M731" t="s">
        <v>91</v>
      </c>
      <c r="N731" t="s">
        <v>92</v>
      </c>
    </row>
    <row r="732" spans="1:14" x14ac:dyDescent="0.2">
      <c r="A732">
        <v>10978</v>
      </c>
      <c r="B732" t="s">
        <v>378</v>
      </c>
      <c r="C732">
        <v>9</v>
      </c>
      <c r="D732" s="1">
        <v>35880</v>
      </c>
      <c r="E732" s="1">
        <v>35908</v>
      </c>
      <c r="F732" s="1">
        <v>35908</v>
      </c>
      <c r="G732">
        <v>2</v>
      </c>
      <c r="H732" s="2">
        <v>32.82</v>
      </c>
      <c r="I732" t="s">
        <v>379</v>
      </c>
      <c r="J732" t="s">
        <v>380</v>
      </c>
      <c r="K732" t="s">
        <v>381</v>
      </c>
      <c r="L732" t="s">
        <v>18</v>
      </c>
      <c r="M732" t="s">
        <v>382</v>
      </c>
      <c r="N732" t="s">
        <v>41</v>
      </c>
    </row>
    <row r="733" spans="1:14" x14ac:dyDescent="0.2">
      <c r="A733">
        <v>10979</v>
      </c>
      <c r="B733" t="s">
        <v>63</v>
      </c>
      <c r="C733">
        <v>8</v>
      </c>
      <c r="D733" s="1">
        <v>35880</v>
      </c>
      <c r="E733" s="1">
        <v>35908</v>
      </c>
      <c r="F733" s="1">
        <v>35885</v>
      </c>
      <c r="G733">
        <v>2</v>
      </c>
      <c r="H733" s="2">
        <v>353.07</v>
      </c>
      <c r="I733" t="s">
        <v>64</v>
      </c>
      <c r="J733" t="s">
        <v>65</v>
      </c>
      <c r="K733" t="s">
        <v>66</v>
      </c>
      <c r="L733" t="s">
        <v>18</v>
      </c>
      <c r="M733">
        <v>8010</v>
      </c>
      <c r="N733" t="s">
        <v>67</v>
      </c>
    </row>
    <row r="734" spans="1:14" x14ac:dyDescent="0.2">
      <c r="A734">
        <v>10980</v>
      </c>
      <c r="B734" t="s">
        <v>87</v>
      </c>
      <c r="C734">
        <v>4</v>
      </c>
      <c r="D734" s="1">
        <v>35881</v>
      </c>
      <c r="E734" s="1">
        <v>35923</v>
      </c>
      <c r="F734" s="1">
        <v>35902</v>
      </c>
      <c r="G734">
        <v>1</v>
      </c>
      <c r="H734" s="2">
        <v>1.26</v>
      </c>
      <c r="I734" t="s">
        <v>88</v>
      </c>
      <c r="J734" t="s">
        <v>89</v>
      </c>
      <c r="K734" t="s">
        <v>90</v>
      </c>
      <c r="L734" t="s">
        <v>18</v>
      </c>
      <c r="M734" t="s">
        <v>91</v>
      </c>
      <c r="N734" t="s">
        <v>92</v>
      </c>
    </row>
    <row r="735" spans="1:14" x14ac:dyDescent="0.2">
      <c r="A735">
        <v>10981</v>
      </c>
      <c r="B735" t="s">
        <v>25</v>
      </c>
      <c r="C735">
        <v>1</v>
      </c>
      <c r="D735" s="1">
        <v>35881</v>
      </c>
      <c r="E735" s="1">
        <v>35909</v>
      </c>
      <c r="F735" s="1">
        <v>35887</v>
      </c>
      <c r="G735">
        <v>2</v>
      </c>
      <c r="H735" s="2">
        <v>193.37</v>
      </c>
      <c r="I735" t="s">
        <v>26</v>
      </c>
      <c r="J735" t="s">
        <v>27</v>
      </c>
      <c r="K735" t="s">
        <v>28</v>
      </c>
      <c r="L735" t="s">
        <v>29</v>
      </c>
      <c r="M735" t="s">
        <v>30</v>
      </c>
      <c r="N735" t="s">
        <v>31</v>
      </c>
    </row>
    <row r="736" spans="1:14" x14ac:dyDescent="0.2">
      <c r="A736">
        <v>10982</v>
      </c>
      <c r="B736" t="s">
        <v>318</v>
      </c>
      <c r="C736">
        <v>2</v>
      </c>
      <c r="D736" s="1">
        <v>35881</v>
      </c>
      <c r="E736" s="1">
        <v>35909</v>
      </c>
      <c r="F736" s="1">
        <v>35893</v>
      </c>
      <c r="G736">
        <v>1</v>
      </c>
      <c r="H736" s="2">
        <v>14.01</v>
      </c>
      <c r="I736" t="s">
        <v>319</v>
      </c>
      <c r="J736" t="s">
        <v>320</v>
      </c>
      <c r="K736" t="s">
        <v>321</v>
      </c>
      <c r="L736" t="s">
        <v>322</v>
      </c>
      <c r="M736" t="s">
        <v>323</v>
      </c>
      <c r="N736" t="s">
        <v>249</v>
      </c>
    </row>
    <row r="737" spans="1:14" x14ac:dyDescent="0.2">
      <c r="A737">
        <v>10983</v>
      </c>
      <c r="B737" t="s">
        <v>226</v>
      </c>
      <c r="C737">
        <v>2</v>
      </c>
      <c r="D737" s="1">
        <v>35881</v>
      </c>
      <c r="E737" s="1">
        <v>35909</v>
      </c>
      <c r="F737" s="1">
        <v>35891</v>
      </c>
      <c r="G737">
        <v>2</v>
      </c>
      <c r="H737" s="2">
        <v>657.54</v>
      </c>
      <c r="I737" t="s">
        <v>227</v>
      </c>
      <c r="J737" t="s">
        <v>228</v>
      </c>
      <c r="K737" t="s">
        <v>229</v>
      </c>
      <c r="L737" t="s">
        <v>230</v>
      </c>
      <c r="M737">
        <v>83720</v>
      </c>
      <c r="N737" t="s">
        <v>86</v>
      </c>
    </row>
    <row r="738" spans="1:14" x14ac:dyDescent="0.2">
      <c r="A738">
        <v>10984</v>
      </c>
      <c r="B738" t="s">
        <v>226</v>
      </c>
      <c r="C738">
        <v>1</v>
      </c>
      <c r="D738" s="1">
        <v>35884</v>
      </c>
      <c r="E738" s="1">
        <v>35912</v>
      </c>
      <c r="F738" s="1">
        <v>35888</v>
      </c>
      <c r="G738">
        <v>3</v>
      </c>
      <c r="H738" s="2">
        <v>211.22</v>
      </c>
      <c r="I738" t="s">
        <v>227</v>
      </c>
      <c r="J738" t="s">
        <v>228</v>
      </c>
      <c r="K738" t="s">
        <v>229</v>
      </c>
      <c r="L738" t="s">
        <v>230</v>
      </c>
      <c r="M738">
        <v>83720</v>
      </c>
      <c r="N738" t="s">
        <v>86</v>
      </c>
    </row>
    <row r="739" spans="1:14" x14ac:dyDescent="0.2">
      <c r="A739">
        <v>10985</v>
      </c>
      <c r="B739" t="s">
        <v>179</v>
      </c>
      <c r="C739">
        <v>2</v>
      </c>
      <c r="D739" s="1">
        <v>35884</v>
      </c>
      <c r="E739" s="1">
        <v>35912</v>
      </c>
      <c r="F739" s="1">
        <v>35887</v>
      </c>
      <c r="G739">
        <v>1</v>
      </c>
      <c r="H739" s="2">
        <v>91.51</v>
      </c>
      <c r="I739" t="s">
        <v>180</v>
      </c>
      <c r="J739" t="s">
        <v>181</v>
      </c>
      <c r="K739" t="s">
        <v>182</v>
      </c>
      <c r="L739" t="s">
        <v>183</v>
      </c>
      <c r="M739" t="s">
        <v>18</v>
      </c>
      <c r="N739" t="s">
        <v>184</v>
      </c>
    </row>
    <row r="740" spans="1:14" x14ac:dyDescent="0.2">
      <c r="A740">
        <v>10986</v>
      </c>
      <c r="B740" t="s">
        <v>333</v>
      </c>
      <c r="C740">
        <v>8</v>
      </c>
      <c r="D740" s="1">
        <v>35884</v>
      </c>
      <c r="E740" s="1">
        <v>35912</v>
      </c>
      <c r="F740" s="1">
        <v>35906</v>
      </c>
      <c r="G740">
        <v>2</v>
      </c>
      <c r="H740" s="2">
        <v>217.86</v>
      </c>
      <c r="I740" t="s">
        <v>334</v>
      </c>
      <c r="J740" t="s">
        <v>335</v>
      </c>
      <c r="K740" t="s">
        <v>336</v>
      </c>
      <c r="L740" t="s">
        <v>18</v>
      </c>
      <c r="M740">
        <v>1010</v>
      </c>
      <c r="N740" t="s">
        <v>337</v>
      </c>
    </row>
    <row r="741" spans="1:14" x14ac:dyDescent="0.2">
      <c r="A741">
        <v>10987</v>
      </c>
      <c r="B741" t="s">
        <v>284</v>
      </c>
      <c r="C741">
        <v>8</v>
      </c>
      <c r="D741" s="1">
        <v>35885</v>
      </c>
      <c r="E741" s="1">
        <v>35913</v>
      </c>
      <c r="F741" s="1">
        <v>35891</v>
      </c>
      <c r="G741">
        <v>1</v>
      </c>
      <c r="H741" s="2">
        <v>185.48</v>
      </c>
      <c r="I741" t="s">
        <v>285</v>
      </c>
      <c r="J741" t="s">
        <v>286</v>
      </c>
      <c r="K741" t="s">
        <v>167</v>
      </c>
      <c r="L741" t="s">
        <v>18</v>
      </c>
      <c r="M741" t="s">
        <v>287</v>
      </c>
      <c r="N741" t="s">
        <v>169</v>
      </c>
    </row>
    <row r="742" spans="1:14" x14ac:dyDescent="0.2">
      <c r="A742">
        <v>10988</v>
      </c>
      <c r="B742" t="s">
        <v>81</v>
      </c>
      <c r="C742">
        <v>3</v>
      </c>
      <c r="D742" s="1">
        <v>35885</v>
      </c>
      <c r="E742" s="1">
        <v>35913</v>
      </c>
      <c r="F742" s="1">
        <v>35895</v>
      </c>
      <c r="G742">
        <v>2</v>
      </c>
      <c r="H742" s="2">
        <v>61.14</v>
      </c>
      <c r="I742" t="s">
        <v>82</v>
      </c>
      <c r="J742" t="s">
        <v>83</v>
      </c>
      <c r="K742" t="s">
        <v>84</v>
      </c>
      <c r="L742" t="s">
        <v>85</v>
      </c>
      <c r="M742">
        <v>87110</v>
      </c>
      <c r="N742" t="s">
        <v>86</v>
      </c>
    </row>
    <row r="743" spans="1:14" x14ac:dyDescent="0.2">
      <c r="A743">
        <v>10989</v>
      </c>
      <c r="B743" t="s">
        <v>77</v>
      </c>
      <c r="C743">
        <v>2</v>
      </c>
      <c r="D743" s="1">
        <v>35885</v>
      </c>
      <c r="E743" s="1">
        <v>35913</v>
      </c>
      <c r="F743" s="1">
        <v>35887</v>
      </c>
      <c r="G743">
        <v>1</v>
      </c>
      <c r="H743" s="2">
        <v>34.76</v>
      </c>
      <c r="I743" t="s">
        <v>78</v>
      </c>
      <c r="J743" t="s">
        <v>79</v>
      </c>
      <c r="K743" t="s">
        <v>28</v>
      </c>
      <c r="L743" t="s">
        <v>29</v>
      </c>
      <c r="M743" t="s">
        <v>80</v>
      </c>
      <c r="N743" t="s">
        <v>31</v>
      </c>
    </row>
    <row r="744" spans="1:14" x14ac:dyDescent="0.2">
      <c r="A744">
        <v>10990</v>
      </c>
      <c r="B744" t="s">
        <v>63</v>
      </c>
      <c r="C744">
        <v>2</v>
      </c>
      <c r="D744" s="1">
        <v>35886</v>
      </c>
      <c r="E744" s="1">
        <v>35928</v>
      </c>
      <c r="F744" s="1">
        <v>35892</v>
      </c>
      <c r="G744">
        <v>3</v>
      </c>
      <c r="H744" s="2">
        <v>117.61</v>
      </c>
      <c r="I744" t="s">
        <v>64</v>
      </c>
      <c r="J744" t="s">
        <v>65</v>
      </c>
      <c r="K744" t="s">
        <v>66</v>
      </c>
      <c r="L744" t="s">
        <v>18</v>
      </c>
      <c r="M744">
        <v>8010</v>
      </c>
      <c r="N744" t="s">
        <v>67</v>
      </c>
    </row>
    <row r="745" spans="1:14" x14ac:dyDescent="0.2">
      <c r="A745">
        <v>10991</v>
      </c>
      <c r="B745" t="s">
        <v>121</v>
      </c>
      <c r="C745">
        <v>1</v>
      </c>
      <c r="D745" s="1">
        <v>35886</v>
      </c>
      <c r="E745" s="1">
        <v>35914</v>
      </c>
      <c r="F745" s="1">
        <v>35892</v>
      </c>
      <c r="G745">
        <v>1</v>
      </c>
      <c r="H745" s="2">
        <v>38.51</v>
      </c>
      <c r="I745" t="s">
        <v>122</v>
      </c>
      <c r="J745" t="s">
        <v>123</v>
      </c>
      <c r="K745" t="s">
        <v>124</v>
      </c>
      <c r="L745" t="s">
        <v>18</v>
      </c>
      <c r="M745">
        <v>1307</v>
      </c>
      <c r="N745" t="s">
        <v>24</v>
      </c>
    </row>
    <row r="746" spans="1:14" x14ac:dyDescent="0.2">
      <c r="A746">
        <v>10992</v>
      </c>
      <c r="B746" t="s">
        <v>206</v>
      </c>
      <c r="C746">
        <v>1</v>
      </c>
      <c r="D746" s="1">
        <v>35886</v>
      </c>
      <c r="E746" s="1">
        <v>35914</v>
      </c>
      <c r="F746" s="1">
        <v>35888</v>
      </c>
      <c r="G746">
        <v>3</v>
      </c>
      <c r="H746" s="2">
        <v>4.2699999999999996</v>
      </c>
      <c r="I746" t="s">
        <v>207</v>
      </c>
      <c r="J746" t="s">
        <v>208</v>
      </c>
      <c r="K746" t="s">
        <v>201</v>
      </c>
      <c r="L746" t="s">
        <v>202</v>
      </c>
      <c r="M746">
        <v>97201</v>
      </c>
      <c r="N746" t="s">
        <v>86</v>
      </c>
    </row>
    <row r="747" spans="1:14" x14ac:dyDescent="0.2">
      <c r="A747">
        <v>10993</v>
      </c>
      <c r="B747" t="s">
        <v>87</v>
      </c>
      <c r="C747">
        <v>7</v>
      </c>
      <c r="D747" s="1">
        <v>35886</v>
      </c>
      <c r="E747" s="1">
        <v>35914</v>
      </c>
      <c r="F747" s="1">
        <v>35895</v>
      </c>
      <c r="G747">
        <v>3</v>
      </c>
      <c r="H747" s="2">
        <v>8.81</v>
      </c>
      <c r="I747" t="s">
        <v>88</v>
      </c>
      <c r="J747" t="s">
        <v>89</v>
      </c>
      <c r="K747" t="s">
        <v>90</v>
      </c>
      <c r="L747" t="s">
        <v>18</v>
      </c>
      <c r="M747" t="s">
        <v>91</v>
      </c>
      <c r="N747" t="s">
        <v>92</v>
      </c>
    </row>
    <row r="748" spans="1:14" x14ac:dyDescent="0.2">
      <c r="A748">
        <v>10994</v>
      </c>
      <c r="B748" t="s">
        <v>295</v>
      </c>
      <c r="C748">
        <v>2</v>
      </c>
      <c r="D748" s="1">
        <v>35887</v>
      </c>
      <c r="E748" s="1">
        <v>35901</v>
      </c>
      <c r="F748" s="1">
        <v>35894</v>
      </c>
      <c r="G748">
        <v>3</v>
      </c>
      <c r="H748" s="2">
        <v>65.53</v>
      </c>
      <c r="I748" t="s">
        <v>296</v>
      </c>
      <c r="J748" t="s">
        <v>297</v>
      </c>
      <c r="K748" t="s">
        <v>298</v>
      </c>
      <c r="L748" t="s">
        <v>18</v>
      </c>
      <c r="M748">
        <v>8200</v>
      </c>
      <c r="N748" t="s">
        <v>257</v>
      </c>
    </row>
    <row r="749" spans="1:14" x14ac:dyDescent="0.2">
      <c r="A749">
        <v>10995</v>
      </c>
      <c r="B749" t="s">
        <v>219</v>
      </c>
      <c r="C749">
        <v>1</v>
      </c>
      <c r="D749" s="1">
        <v>35887</v>
      </c>
      <c r="E749" s="1">
        <v>35915</v>
      </c>
      <c r="F749" s="1">
        <v>35891</v>
      </c>
      <c r="G749">
        <v>3</v>
      </c>
      <c r="H749" s="2">
        <v>46</v>
      </c>
      <c r="I749" t="s">
        <v>220</v>
      </c>
      <c r="J749" t="s">
        <v>221</v>
      </c>
      <c r="K749" t="s">
        <v>71</v>
      </c>
      <c r="L749" t="s">
        <v>18</v>
      </c>
      <c r="M749">
        <v>5033</v>
      </c>
      <c r="N749" t="s">
        <v>72</v>
      </c>
    </row>
    <row r="750" spans="1:14" x14ac:dyDescent="0.2">
      <c r="A750">
        <v>10996</v>
      </c>
      <c r="B750" t="s">
        <v>121</v>
      </c>
      <c r="C750">
        <v>4</v>
      </c>
      <c r="D750" s="1">
        <v>35887</v>
      </c>
      <c r="E750" s="1">
        <v>35915</v>
      </c>
      <c r="F750" s="1">
        <v>35895</v>
      </c>
      <c r="G750">
        <v>2</v>
      </c>
      <c r="H750" s="2">
        <v>1.1200000000000001</v>
      </c>
      <c r="I750" t="s">
        <v>122</v>
      </c>
      <c r="J750" t="s">
        <v>123</v>
      </c>
      <c r="K750" t="s">
        <v>124</v>
      </c>
      <c r="L750" t="s">
        <v>18</v>
      </c>
      <c r="M750">
        <v>1307</v>
      </c>
      <c r="N750" t="s">
        <v>24</v>
      </c>
    </row>
    <row r="751" spans="1:14" x14ac:dyDescent="0.2">
      <c r="A751">
        <v>10997</v>
      </c>
      <c r="B751" t="s">
        <v>151</v>
      </c>
      <c r="C751">
        <v>8</v>
      </c>
      <c r="D751" s="1">
        <v>35888</v>
      </c>
      <c r="E751" s="1">
        <v>35930</v>
      </c>
      <c r="F751" s="1">
        <v>35898</v>
      </c>
      <c r="G751">
        <v>2</v>
      </c>
      <c r="H751" s="2">
        <v>73.91</v>
      </c>
      <c r="I751" t="s">
        <v>152</v>
      </c>
      <c r="J751" t="s">
        <v>153</v>
      </c>
      <c r="K751" t="s">
        <v>154</v>
      </c>
      <c r="L751" t="s">
        <v>155</v>
      </c>
      <c r="M751">
        <v>3508</v>
      </c>
      <c r="N751" t="s">
        <v>62</v>
      </c>
    </row>
    <row r="752" spans="1:14" x14ac:dyDescent="0.2">
      <c r="A752">
        <v>10998</v>
      </c>
      <c r="B752" t="s">
        <v>303</v>
      </c>
      <c r="C752">
        <v>8</v>
      </c>
      <c r="D752" s="1">
        <v>35888</v>
      </c>
      <c r="E752" s="1">
        <v>35902</v>
      </c>
      <c r="F752" s="1">
        <v>35902</v>
      </c>
      <c r="G752">
        <v>2</v>
      </c>
      <c r="H752" s="2">
        <v>20.309999999999999</v>
      </c>
      <c r="I752" t="s">
        <v>304</v>
      </c>
      <c r="J752" t="s">
        <v>305</v>
      </c>
      <c r="K752" t="s">
        <v>306</v>
      </c>
      <c r="L752" t="s">
        <v>18</v>
      </c>
      <c r="M752" t="s">
        <v>307</v>
      </c>
      <c r="N752" t="s">
        <v>308</v>
      </c>
    </row>
    <row r="753" spans="1:14" x14ac:dyDescent="0.2">
      <c r="A753">
        <v>10999</v>
      </c>
      <c r="B753" t="s">
        <v>73</v>
      </c>
      <c r="C753">
        <v>6</v>
      </c>
      <c r="D753" s="1">
        <v>35888</v>
      </c>
      <c r="E753" s="1">
        <v>35916</v>
      </c>
      <c r="F753" s="1">
        <v>35895</v>
      </c>
      <c r="G753">
        <v>2</v>
      </c>
      <c r="H753" s="2">
        <v>96.35</v>
      </c>
      <c r="I753" t="s">
        <v>74</v>
      </c>
      <c r="J753" t="s">
        <v>75</v>
      </c>
      <c r="K753" t="s">
        <v>76</v>
      </c>
      <c r="L753" t="s">
        <v>18</v>
      </c>
      <c r="M753">
        <v>50739</v>
      </c>
      <c r="N753" t="s">
        <v>24</v>
      </c>
    </row>
    <row r="754" spans="1:14" x14ac:dyDescent="0.2">
      <c r="A754">
        <v>11000</v>
      </c>
      <c r="B754" t="s">
        <v>81</v>
      </c>
      <c r="C754">
        <v>2</v>
      </c>
      <c r="D754" s="1">
        <v>35891</v>
      </c>
      <c r="E754" s="1">
        <v>35919</v>
      </c>
      <c r="F754" s="1">
        <v>35899</v>
      </c>
      <c r="G754">
        <v>3</v>
      </c>
      <c r="H754" s="2">
        <v>55.12</v>
      </c>
      <c r="I754" t="s">
        <v>82</v>
      </c>
      <c r="J754" t="s">
        <v>83</v>
      </c>
      <c r="K754" t="s">
        <v>84</v>
      </c>
      <c r="L754" t="s">
        <v>85</v>
      </c>
      <c r="M754">
        <v>87110</v>
      </c>
      <c r="N754" t="s">
        <v>86</v>
      </c>
    </row>
    <row r="755" spans="1:14" x14ac:dyDescent="0.2">
      <c r="A755">
        <v>11001</v>
      </c>
      <c r="B755" t="s">
        <v>87</v>
      </c>
      <c r="C755">
        <v>2</v>
      </c>
      <c r="D755" s="1">
        <v>35891</v>
      </c>
      <c r="E755" s="1">
        <v>35919</v>
      </c>
      <c r="F755" s="1">
        <v>35899</v>
      </c>
      <c r="G755">
        <v>2</v>
      </c>
      <c r="H755" s="2">
        <v>197.3</v>
      </c>
      <c r="I755" t="s">
        <v>88</v>
      </c>
      <c r="J755" t="s">
        <v>89</v>
      </c>
      <c r="K755" t="s">
        <v>90</v>
      </c>
      <c r="L755" t="s">
        <v>18</v>
      </c>
      <c r="M755" t="s">
        <v>91</v>
      </c>
      <c r="N755" t="s">
        <v>92</v>
      </c>
    </row>
    <row r="756" spans="1:14" x14ac:dyDescent="0.2">
      <c r="A756">
        <v>11002</v>
      </c>
      <c r="B756" t="s">
        <v>226</v>
      </c>
      <c r="C756">
        <v>4</v>
      </c>
      <c r="D756" s="1">
        <v>35891</v>
      </c>
      <c r="E756" s="1">
        <v>35919</v>
      </c>
      <c r="F756" s="1">
        <v>35901</v>
      </c>
      <c r="G756">
        <v>1</v>
      </c>
      <c r="H756" s="2">
        <v>141.16</v>
      </c>
      <c r="I756" t="s">
        <v>227</v>
      </c>
      <c r="J756" t="s">
        <v>228</v>
      </c>
      <c r="K756" t="s">
        <v>229</v>
      </c>
      <c r="L756" t="s">
        <v>230</v>
      </c>
      <c r="M756">
        <v>83720</v>
      </c>
      <c r="N756" t="s">
        <v>86</v>
      </c>
    </row>
    <row r="757" spans="1:14" x14ac:dyDescent="0.2">
      <c r="A757">
        <v>11003</v>
      </c>
      <c r="B757" t="s">
        <v>396</v>
      </c>
      <c r="C757">
        <v>3</v>
      </c>
      <c r="D757" s="1">
        <v>35891</v>
      </c>
      <c r="E757" s="1">
        <v>35919</v>
      </c>
      <c r="F757" s="1">
        <v>35893</v>
      </c>
      <c r="G757">
        <v>3</v>
      </c>
      <c r="H757" s="2">
        <v>14.91</v>
      </c>
      <c r="I757" t="s">
        <v>397</v>
      </c>
      <c r="J757" t="s">
        <v>398</v>
      </c>
      <c r="K757" t="s">
        <v>399</v>
      </c>
      <c r="L757" t="s">
        <v>400</v>
      </c>
      <c r="M757">
        <v>59801</v>
      </c>
      <c r="N757" t="s">
        <v>86</v>
      </c>
    </row>
    <row r="758" spans="1:14" x14ac:dyDescent="0.2">
      <c r="A758">
        <v>11004</v>
      </c>
      <c r="B758" t="s">
        <v>378</v>
      </c>
      <c r="C758">
        <v>3</v>
      </c>
      <c r="D758" s="1">
        <v>35892</v>
      </c>
      <c r="E758" s="1">
        <v>35920</v>
      </c>
      <c r="F758" s="1">
        <v>35905</v>
      </c>
      <c r="G758">
        <v>1</v>
      </c>
      <c r="H758" s="2">
        <v>44.84</v>
      </c>
      <c r="I758" t="s">
        <v>379</v>
      </c>
      <c r="J758" t="s">
        <v>380</v>
      </c>
      <c r="K758" t="s">
        <v>381</v>
      </c>
      <c r="L758" t="s">
        <v>18</v>
      </c>
      <c r="M758" t="s">
        <v>382</v>
      </c>
      <c r="N758" t="s">
        <v>41</v>
      </c>
    </row>
    <row r="759" spans="1:14" x14ac:dyDescent="0.2">
      <c r="A759">
        <v>11005</v>
      </c>
      <c r="B759" t="s">
        <v>392</v>
      </c>
      <c r="C759">
        <v>2</v>
      </c>
      <c r="D759" s="1">
        <v>35892</v>
      </c>
      <c r="E759" s="1">
        <v>35920</v>
      </c>
      <c r="F759" s="1">
        <v>35895</v>
      </c>
      <c r="G759">
        <v>1</v>
      </c>
      <c r="H759" s="2">
        <v>0.75</v>
      </c>
      <c r="I759" t="s">
        <v>393</v>
      </c>
      <c r="J759" t="s">
        <v>394</v>
      </c>
      <c r="K759" t="s">
        <v>395</v>
      </c>
      <c r="L759" t="s">
        <v>18</v>
      </c>
      <c r="M759">
        <v>21240</v>
      </c>
      <c r="N759" t="s">
        <v>101</v>
      </c>
    </row>
    <row r="760" spans="1:14" x14ac:dyDescent="0.2">
      <c r="A760">
        <v>11006</v>
      </c>
      <c r="B760" t="s">
        <v>374</v>
      </c>
      <c r="C760">
        <v>3</v>
      </c>
      <c r="D760" s="1">
        <v>35892</v>
      </c>
      <c r="E760" s="1">
        <v>35920</v>
      </c>
      <c r="F760" s="1">
        <v>35900</v>
      </c>
      <c r="G760">
        <v>2</v>
      </c>
      <c r="H760" s="2">
        <v>25.19</v>
      </c>
      <c r="I760" t="s">
        <v>375</v>
      </c>
      <c r="J760" t="s">
        <v>376</v>
      </c>
      <c r="K760" t="s">
        <v>377</v>
      </c>
      <c r="L760" t="s">
        <v>202</v>
      </c>
      <c r="M760">
        <v>97403</v>
      </c>
      <c r="N760" t="s">
        <v>86</v>
      </c>
    </row>
    <row r="761" spans="1:14" x14ac:dyDescent="0.2">
      <c r="A761">
        <v>11007</v>
      </c>
      <c r="B761" t="s">
        <v>250</v>
      </c>
      <c r="C761">
        <v>8</v>
      </c>
      <c r="D761" s="1">
        <v>35893</v>
      </c>
      <c r="E761" s="1">
        <v>35921</v>
      </c>
      <c r="F761" s="1">
        <v>35898</v>
      </c>
      <c r="G761">
        <v>2</v>
      </c>
      <c r="H761" s="2">
        <v>202.24</v>
      </c>
      <c r="I761" t="s">
        <v>251</v>
      </c>
      <c r="J761" t="s">
        <v>252</v>
      </c>
      <c r="K761" t="s">
        <v>237</v>
      </c>
      <c r="L761" t="s">
        <v>18</v>
      </c>
      <c r="M761">
        <v>1756</v>
      </c>
      <c r="N761" t="s">
        <v>238</v>
      </c>
    </row>
    <row r="762" spans="1:14" x14ac:dyDescent="0.2">
      <c r="A762">
        <v>11008</v>
      </c>
      <c r="B762" t="s">
        <v>63</v>
      </c>
      <c r="C762">
        <v>7</v>
      </c>
      <c r="D762" s="1">
        <v>35893</v>
      </c>
      <c r="E762" s="1">
        <v>35921</v>
      </c>
      <c r="F762" t="s">
        <v>18</v>
      </c>
      <c r="G762">
        <v>3</v>
      </c>
      <c r="H762" s="2">
        <v>79.459999999999994</v>
      </c>
      <c r="I762" t="s">
        <v>64</v>
      </c>
      <c r="J762" t="s">
        <v>65</v>
      </c>
      <c r="K762" t="s">
        <v>66</v>
      </c>
      <c r="L762" t="s">
        <v>18</v>
      </c>
      <c r="M762">
        <v>8010</v>
      </c>
      <c r="N762" t="s">
        <v>67</v>
      </c>
    </row>
    <row r="763" spans="1:14" x14ac:dyDescent="0.2">
      <c r="A763">
        <v>11009</v>
      </c>
      <c r="B763" t="s">
        <v>189</v>
      </c>
      <c r="C763">
        <v>2</v>
      </c>
      <c r="D763" s="1">
        <v>35893</v>
      </c>
      <c r="E763" s="1">
        <v>35921</v>
      </c>
      <c r="F763" s="1">
        <v>35895</v>
      </c>
      <c r="G763">
        <v>1</v>
      </c>
      <c r="H763" s="2">
        <v>59.11</v>
      </c>
      <c r="I763" t="s">
        <v>190</v>
      </c>
      <c r="J763" t="s">
        <v>191</v>
      </c>
      <c r="K763" t="s">
        <v>192</v>
      </c>
      <c r="L763" t="s">
        <v>18</v>
      </c>
      <c r="M763">
        <v>41101</v>
      </c>
      <c r="N763" t="s">
        <v>150</v>
      </c>
    </row>
    <row r="764" spans="1:14" x14ac:dyDescent="0.2">
      <c r="A764">
        <v>11010</v>
      </c>
      <c r="B764" t="s">
        <v>160</v>
      </c>
      <c r="C764">
        <v>2</v>
      </c>
      <c r="D764" s="1">
        <v>35894</v>
      </c>
      <c r="E764" s="1">
        <v>35922</v>
      </c>
      <c r="F764" s="1">
        <v>35906</v>
      </c>
      <c r="G764">
        <v>2</v>
      </c>
      <c r="H764" s="2">
        <v>28.71</v>
      </c>
      <c r="I764" t="s">
        <v>161</v>
      </c>
      <c r="J764" t="s">
        <v>162</v>
      </c>
      <c r="K764" t="s">
        <v>163</v>
      </c>
      <c r="L764" t="s">
        <v>18</v>
      </c>
      <c r="M764">
        <v>42100</v>
      </c>
      <c r="N764" t="s">
        <v>129</v>
      </c>
    </row>
    <row r="765" spans="1:14" x14ac:dyDescent="0.2">
      <c r="A765">
        <v>11011</v>
      </c>
      <c r="B765" t="s">
        <v>401</v>
      </c>
      <c r="C765">
        <v>3</v>
      </c>
      <c r="D765" s="1">
        <v>35894</v>
      </c>
      <c r="E765" s="1">
        <v>35922</v>
      </c>
      <c r="F765" s="1">
        <v>35898</v>
      </c>
      <c r="G765">
        <v>1</v>
      </c>
      <c r="H765" s="2">
        <v>1.21</v>
      </c>
      <c r="I765" t="s">
        <v>408</v>
      </c>
      <c r="J765" t="s">
        <v>403</v>
      </c>
      <c r="K765" t="s">
        <v>404</v>
      </c>
      <c r="L765" t="s">
        <v>18</v>
      </c>
      <c r="M765">
        <v>12209</v>
      </c>
      <c r="N765" t="s">
        <v>24</v>
      </c>
    </row>
    <row r="766" spans="1:14" x14ac:dyDescent="0.2">
      <c r="A766">
        <v>11012</v>
      </c>
      <c r="B766" t="s">
        <v>102</v>
      </c>
      <c r="C766">
        <v>1</v>
      </c>
      <c r="D766" s="1">
        <v>35894</v>
      </c>
      <c r="E766" s="1">
        <v>35908</v>
      </c>
      <c r="F766" s="1">
        <v>35902</v>
      </c>
      <c r="G766">
        <v>3</v>
      </c>
      <c r="H766" s="2">
        <v>242.95</v>
      </c>
      <c r="I766" t="s">
        <v>103</v>
      </c>
      <c r="J766" t="s">
        <v>104</v>
      </c>
      <c r="K766" t="s">
        <v>105</v>
      </c>
      <c r="L766" t="s">
        <v>18</v>
      </c>
      <c r="M766">
        <v>80805</v>
      </c>
      <c r="N766" t="s">
        <v>24</v>
      </c>
    </row>
    <row r="767" spans="1:14" x14ac:dyDescent="0.2">
      <c r="A767">
        <v>11013</v>
      </c>
      <c r="B767" t="s">
        <v>146</v>
      </c>
      <c r="C767">
        <v>2</v>
      </c>
      <c r="D767" s="1">
        <v>35894</v>
      </c>
      <c r="E767" s="1">
        <v>35922</v>
      </c>
      <c r="F767" s="1">
        <v>35895</v>
      </c>
      <c r="G767">
        <v>1</v>
      </c>
      <c r="H767" s="2">
        <v>32.99</v>
      </c>
      <c r="I767" t="s">
        <v>147</v>
      </c>
      <c r="J767" t="s">
        <v>148</v>
      </c>
      <c r="K767" t="s">
        <v>149</v>
      </c>
      <c r="L767" t="s">
        <v>18</v>
      </c>
      <c r="M767">
        <v>28001</v>
      </c>
      <c r="N767" t="s">
        <v>150</v>
      </c>
    </row>
    <row r="768" spans="1:14" x14ac:dyDescent="0.2">
      <c r="A768">
        <v>11014</v>
      </c>
      <c r="B768" t="s">
        <v>324</v>
      </c>
      <c r="C768">
        <v>2</v>
      </c>
      <c r="D768" s="1">
        <v>35895</v>
      </c>
      <c r="E768" s="1">
        <v>35923</v>
      </c>
      <c r="F768" s="1">
        <v>35900</v>
      </c>
      <c r="G768">
        <v>3</v>
      </c>
      <c r="H768" s="2">
        <v>23.6</v>
      </c>
      <c r="I768" t="s">
        <v>325</v>
      </c>
      <c r="J768" t="s">
        <v>326</v>
      </c>
      <c r="K768" t="s">
        <v>327</v>
      </c>
      <c r="L768" t="s">
        <v>328</v>
      </c>
      <c r="M768">
        <v>4980</v>
      </c>
      <c r="N768" t="s">
        <v>62</v>
      </c>
    </row>
    <row r="769" spans="1:14" x14ac:dyDescent="0.2">
      <c r="A769">
        <v>11015</v>
      </c>
      <c r="B769" t="s">
        <v>313</v>
      </c>
      <c r="C769">
        <v>2</v>
      </c>
      <c r="D769" s="1">
        <v>35895</v>
      </c>
      <c r="E769" s="1">
        <v>35909</v>
      </c>
      <c r="F769" s="1">
        <v>35905</v>
      </c>
      <c r="G769">
        <v>2</v>
      </c>
      <c r="H769" s="2">
        <v>4.62</v>
      </c>
      <c r="I769" t="s">
        <v>314</v>
      </c>
      <c r="J769" t="s">
        <v>315</v>
      </c>
      <c r="K769" t="s">
        <v>316</v>
      </c>
      <c r="L769" t="s">
        <v>18</v>
      </c>
      <c r="M769">
        <v>4110</v>
      </c>
      <c r="N769" t="s">
        <v>317</v>
      </c>
    </row>
    <row r="770" spans="1:14" x14ac:dyDescent="0.2">
      <c r="A770">
        <v>11016</v>
      </c>
      <c r="B770" t="s">
        <v>270</v>
      </c>
      <c r="C770">
        <v>9</v>
      </c>
      <c r="D770" s="1">
        <v>35895</v>
      </c>
      <c r="E770" s="1">
        <v>35923</v>
      </c>
      <c r="F770" s="1">
        <v>35898</v>
      </c>
      <c r="G770">
        <v>2</v>
      </c>
      <c r="H770" s="2">
        <v>33.799999999999997</v>
      </c>
      <c r="I770" t="s">
        <v>271</v>
      </c>
      <c r="J770" t="s">
        <v>272</v>
      </c>
      <c r="K770" t="s">
        <v>273</v>
      </c>
      <c r="L770" t="s">
        <v>274</v>
      </c>
      <c r="M770" t="s">
        <v>275</v>
      </c>
      <c r="N770" t="s">
        <v>169</v>
      </c>
    </row>
    <row r="771" spans="1:14" x14ac:dyDescent="0.2">
      <c r="A771">
        <v>11017</v>
      </c>
      <c r="B771" t="s">
        <v>63</v>
      </c>
      <c r="C771">
        <v>9</v>
      </c>
      <c r="D771" s="1">
        <v>35898</v>
      </c>
      <c r="E771" s="1">
        <v>35926</v>
      </c>
      <c r="F771" s="1">
        <v>35905</v>
      </c>
      <c r="G771">
        <v>2</v>
      </c>
      <c r="H771" s="2">
        <v>754.26</v>
      </c>
      <c r="I771" t="s">
        <v>64</v>
      </c>
      <c r="J771" t="s">
        <v>65</v>
      </c>
      <c r="K771" t="s">
        <v>66</v>
      </c>
      <c r="L771" t="s">
        <v>18</v>
      </c>
      <c r="M771">
        <v>8010</v>
      </c>
      <c r="N771" t="s">
        <v>67</v>
      </c>
    </row>
    <row r="772" spans="1:14" x14ac:dyDescent="0.2">
      <c r="A772">
        <v>11018</v>
      </c>
      <c r="B772" t="s">
        <v>198</v>
      </c>
      <c r="C772">
        <v>4</v>
      </c>
      <c r="D772" s="1">
        <v>35898</v>
      </c>
      <c r="E772" s="1">
        <v>35926</v>
      </c>
      <c r="F772" s="1">
        <v>35901</v>
      </c>
      <c r="G772">
        <v>2</v>
      </c>
      <c r="H772" s="2">
        <v>11.65</v>
      </c>
      <c r="I772" t="s">
        <v>199</v>
      </c>
      <c r="J772" t="s">
        <v>200</v>
      </c>
      <c r="K772" t="s">
        <v>201</v>
      </c>
      <c r="L772" t="s">
        <v>202</v>
      </c>
      <c r="M772">
        <v>97219</v>
      </c>
      <c r="N772" t="s">
        <v>86</v>
      </c>
    </row>
    <row r="773" spans="1:14" x14ac:dyDescent="0.2">
      <c r="A773">
        <v>11019</v>
      </c>
      <c r="B773" t="s">
        <v>351</v>
      </c>
      <c r="C773">
        <v>6</v>
      </c>
      <c r="D773" s="1">
        <v>35898</v>
      </c>
      <c r="E773" s="1">
        <v>35926</v>
      </c>
      <c r="F773" t="s">
        <v>18</v>
      </c>
      <c r="G773">
        <v>3</v>
      </c>
      <c r="H773" s="2">
        <v>3.17</v>
      </c>
      <c r="I773" t="s">
        <v>352</v>
      </c>
      <c r="J773" t="s">
        <v>353</v>
      </c>
      <c r="K773" t="s">
        <v>336</v>
      </c>
      <c r="L773" t="s">
        <v>18</v>
      </c>
      <c r="M773">
        <v>1010</v>
      </c>
      <c r="N773" t="s">
        <v>337</v>
      </c>
    </row>
    <row r="774" spans="1:14" x14ac:dyDescent="0.2">
      <c r="A774">
        <v>11020</v>
      </c>
      <c r="B774" t="s">
        <v>73</v>
      </c>
      <c r="C774">
        <v>2</v>
      </c>
      <c r="D774" s="1">
        <v>35899</v>
      </c>
      <c r="E774" s="1">
        <v>35927</v>
      </c>
      <c r="F774" s="1">
        <v>35901</v>
      </c>
      <c r="G774">
        <v>2</v>
      </c>
      <c r="H774" s="2">
        <v>43.3</v>
      </c>
      <c r="I774" t="s">
        <v>74</v>
      </c>
      <c r="J774" t="s">
        <v>75</v>
      </c>
      <c r="K774" t="s">
        <v>76</v>
      </c>
      <c r="L774" t="s">
        <v>18</v>
      </c>
      <c r="M774">
        <v>50739</v>
      </c>
      <c r="N774" t="s">
        <v>24</v>
      </c>
    </row>
    <row r="775" spans="1:14" x14ac:dyDescent="0.2">
      <c r="A775">
        <v>11021</v>
      </c>
      <c r="B775" t="s">
        <v>121</v>
      </c>
      <c r="C775">
        <v>3</v>
      </c>
      <c r="D775" s="1">
        <v>35899</v>
      </c>
      <c r="E775" s="1">
        <v>35927</v>
      </c>
      <c r="F775" s="1">
        <v>35906</v>
      </c>
      <c r="G775">
        <v>1</v>
      </c>
      <c r="H775" s="2">
        <v>297.18</v>
      </c>
      <c r="I775" t="s">
        <v>122</v>
      </c>
      <c r="J775" t="s">
        <v>123</v>
      </c>
      <c r="K775" t="s">
        <v>124</v>
      </c>
      <c r="L775" t="s">
        <v>18</v>
      </c>
      <c r="M775">
        <v>1307</v>
      </c>
      <c r="N775" t="s">
        <v>24</v>
      </c>
    </row>
    <row r="776" spans="1:14" x14ac:dyDescent="0.2">
      <c r="A776">
        <v>11022</v>
      </c>
      <c r="B776" t="s">
        <v>25</v>
      </c>
      <c r="C776">
        <v>9</v>
      </c>
      <c r="D776" s="1">
        <v>35899</v>
      </c>
      <c r="E776" s="1">
        <v>35927</v>
      </c>
      <c r="F776" s="1">
        <v>35919</v>
      </c>
      <c r="G776">
        <v>2</v>
      </c>
      <c r="H776" s="2">
        <v>6.27</v>
      </c>
      <c r="I776" t="s">
        <v>26</v>
      </c>
      <c r="J776" t="s">
        <v>27</v>
      </c>
      <c r="K776" t="s">
        <v>28</v>
      </c>
      <c r="L776" t="s">
        <v>29</v>
      </c>
      <c r="M776" t="s">
        <v>30</v>
      </c>
      <c r="N776" t="s">
        <v>31</v>
      </c>
    </row>
    <row r="777" spans="1:14" x14ac:dyDescent="0.2">
      <c r="A777">
        <v>11023</v>
      </c>
      <c r="B777" t="s">
        <v>164</v>
      </c>
      <c r="C777">
        <v>1</v>
      </c>
      <c r="D777" s="1">
        <v>35899</v>
      </c>
      <c r="E777" s="1">
        <v>35913</v>
      </c>
      <c r="F777" s="1">
        <v>35909</v>
      </c>
      <c r="G777">
        <v>2</v>
      </c>
      <c r="H777" s="2">
        <v>123.83</v>
      </c>
      <c r="I777" t="s">
        <v>165</v>
      </c>
      <c r="J777" t="s">
        <v>166</v>
      </c>
      <c r="K777" t="s">
        <v>167</v>
      </c>
      <c r="L777" t="s">
        <v>18</v>
      </c>
      <c r="M777" t="s">
        <v>168</v>
      </c>
      <c r="N777" t="s">
        <v>169</v>
      </c>
    </row>
    <row r="778" spans="1:14" x14ac:dyDescent="0.2">
      <c r="A778">
        <v>11024</v>
      </c>
      <c r="B778" t="s">
        <v>284</v>
      </c>
      <c r="C778">
        <v>4</v>
      </c>
      <c r="D778" s="1">
        <v>35900</v>
      </c>
      <c r="E778" s="1">
        <v>35928</v>
      </c>
      <c r="F778" s="1">
        <v>35905</v>
      </c>
      <c r="G778">
        <v>1</v>
      </c>
      <c r="H778" s="2">
        <v>74.36</v>
      </c>
      <c r="I778" t="s">
        <v>285</v>
      </c>
      <c r="J778" t="s">
        <v>286</v>
      </c>
      <c r="K778" t="s">
        <v>167</v>
      </c>
      <c r="L778" t="s">
        <v>18</v>
      </c>
      <c r="M778" t="s">
        <v>287</v>
      </c>
      <c r="N778" t="s">
        <v>169</v>
      </c>
    </row>
    <row r="779" spans="1:14" x14ac:dyDescent="0.2">
      <c r="A779">
        <v>11025</v>
      </c>
      <c r="B779" t="s">
        <v>97</v>
      </c>
      <c r="C779">
        <v>6</v>
      </c>
      <c r="D779" s="1">
        <v>35900</v>
      </c>
      <c r="E779" s="1">
        <v>35928</v>
      </c>
      <c r="F779" s="1">
        <v>35909</v>
      </c>
      <c r="G779">
        <v>3</v>
      </c>
      <c r="H779" s="2">
        <v>29.17</v>
      </c>
      <c r="I779" t="s">
        <v>98</v>
      </c>
      <c r="J779" t="s">
        <v>99</v>
      </c>
      <c r="K779" t="s">
        <v>100</v>
      </c>
      <c r="L779" t="s">
        <v>18</v>
      </c>
      <c r="M779">
        <v>90110</v>
      </c>
      <c r="N779" t="s">
        <v>101</v>
      </c>
    </row>
    <row r="780" spans="1:14" x14ac:dyDescent="0.2">
      <c r="A780">
        <v>11026</v>
      </c>
      <c r="B780" t="s">
        <v>338</v>
      </c>
      <c r="C780">
        <v>4</v>
      </c>
      <c r="D780" s="1">
        <v>35900</v>
      </c>
      <c r="E780" s="1">
        <v>35928</v>
      </c>
      <c r="F780" s="1">
        <v>35913</v>
      </c>
      <c r="G780">
        <v>1</v>
      </c>
      <c r="H780" s="2">
        <v>47.09</v>
      </c>
      <c r="I780" t="s">
        <v>339</v>
      </c>
      <c r="J780" t="s">
        <v>340</v>
      </c>
      <c r="K780" t="s">
        <v>341</v>
      </c>
      <c r="L780" t="s">
        <v>18</v>
      </c>
      <c r="M780">
        <v>10100</v>
      </c>
      <c r="N780" t="s">
        <v>129</v>
      </c>
    </row>
    <row r="781" spans="1:14" x14ac:dyDescent="0.2">
      <c r="A781">
        <v>11027</v>
      </c>
      <c r="B781" t="s">
        <v>318</v>
      </c>
      <c r="C781">
        <v>1</v>
      </c>
      <c r="D781" s="1">
        <v>35901</v>
      </c>
      <c r="E781" s="1">
        <v>35929</v>
      </c>
      <c r="F781" s="1">
        <v>35905</v>
      </c>
      <c r="G781">
        <v>1</v>
      </c>
      <c r="H781" s="2">
        <v>52.52</v>
      </c>
      <c r="I781" t="s">
        <v>319</v>
      </c>
      <c r="J781" t="s">
        <v>320</v>
      </c>
      <c r="K781" t="s">
        <v>321</v>
      </c>
      <c r="L781" t="s">
        <v>322</v>
      </c>
      <c r="M781" t="s">
        <v>323</v>
      </c>
      <c r="N781" t="s">
        <v>249</v>
      </c>
    </row>
    <row r="782" spans="1:14" x14ac:dyDescent="0.2">
      <c r="A782">
        <v>11028</v>
      </c>
      <c r="B782" t="s">
        <v>222</v>
      </c>
      <c r="C782">
        <v>2</v>
      </c>
      <c r="D782" s="1">
        <v>35901</v>
      </c>
      <c r="E782" s="1">
        <v>35929</v>
      </c>
      <c r="F782" s="1">
        <v>35907</v>
      </c>
      <c r="G782">
        <v>1</v>
      </c>
      <c r="H782" s="2">
        <v>29.59</v>
      </c>
      <c r="I782" t="s">
        <v>223</v>
      </c>
      <c r="J782" t="s">
        <v>224</v>
      </c>
      <c r="K782" t="s">
        <v>225</v>
      </c>
      <c r="L782" t="s">
        <v>18</v>
      </c>
      <c r="M782">
        <v>14776</v>
      </c>
      <c r="N782" t="s">
        <v>24</v>
      </c>
    </row>
    <row r="783" spans="1:14" x14ac:dyDescent="0.2">
      <c r="A783">
        <v>11029</v>
      </c>
      <c r="B783" t="s">
        <v>42</v>
      </c>
      <c r="C783">
        <v>4</v>
      </c>
      <c r="D783" s="1">
        <v>35901</v>
      </c>
      <c r="E783" s="1">
        <v>35929</v>
      </c>
      <c r="F783" s="1">
        <v>35912</v>
      </c>
      <c r="G783">
        <v>1</v>
      </c>
      <c r="H783" s="2">
        <v>47.84</v>
      </c>
      <c r="I783" t="s">
        <v>43</v>
      </c>
      <c r="J783" t="s">
        <v>44</v>
      </c>
      <c r="K783" t="s">
        <v>45</v>
      </c>
      <c r="L783" t="s">
        <v>18</v>
      </c>
      <c r="M783">
        <v>3012</v>
      </c>
      <c r="N783" t="s">
        <v>46</v>
      </c>
    </row>
    <row r="784" spans="1:14" x14ac:dyDescent="0.2">
      <c r="A784">
        <v>11030</v>
      </c>
      <c r="B784" t="s">
        <v>226</v>
      </c>
      <c r="C784">
        <v>7</v>
      </c>
      <c r="D784" s="1">
        <v>35902</v>
      </c>
      <c r="E784" s="1">
        <v>35930</v>
      </c>
      <c r="F784" s="1">
        <v>35912</v>
      </c>
      <c r="G784">
        <v>2</v>
      </c>
      <c r="H784" s="2">
        <v>830.75</v>
      </c>
      <c r="I784" t="s">
        <v>227</v>
      </c>
      <c r="J784" t="s">
        <v>228</v>
      </c>
      <c r="K784" t="s">
        <v>229</v>
      </c>
      <c r="L784" t="s">
        <v>230</v>
      </c>
      <c r="M784">
        <v>83720</v>
      </c>
      <c r="N784" t="s">
        <v>86</v>
      </c>
    </row>
    <row r="785" spans="1:14" x14ac:dyDescent="0.2">
      <c r="A785">
        <v>11031</v>
      </c>
      <c r="B785" t="s">
        <v>226</v>
      </c>
      <c r="C785">
        <v>6</v>
      </c>
      <c r="D785" s="1">
        <v>35902</v>
      </c>
      <c r="E785" s="1">
        <v>35930</v>
      </c>
      <c r="F785" s="1">
        <v>35909</v>
      </c>
      <c r="G785">
        <v>2</v>
      </c>
      <c r="H785" s="2">
        <v>227.22</v>
      </c>
      <c r="I785" t="s">
        <v>227</v>
      </c>
      <c r="J785" t="s">
        <v>228</v>
      </c>
      <c r="K785" t="s">
        <v>229</v>
      </c>
      <c r="L785" t="s">
        <v>230</v>
      </c>
      <c r="M785">
        <v>83720</v>
      </c>
      <c r="N785" t="s">
        <v>86</v>
      </c>
    </row>
    <row r="786" spans="1:14" x14ac:dyDescent="0.2">
      <c r="A786">
        <v>11032</v>
      </c>
      <c r="B786" t="s">
        <v>111</v>
      </c>
      <c r="C786">
        <v>2</v>
      </c>
      <c r="D786" s="1">
        <v>35902</v>
      </c>
      <c r="E786" s="1">
        <v>35930</v>
      </c>
      <c r="F786" s="1">
        <v>35908</v>
      </c>
      <c r="G786">
        <v>3</v>
      </c>
      <c r="H786" s="2">
        <v>606.19000000000005</v>
      </c>
      <c r="I786" t="s">
        <v>112</v>
      </c>
      <c r="J786" t="s">
        <v>113</v>
      </c>
      <c r="K786" t="s">
        <v>114</v>
      </c>
      <c r="L786" t="s">
        <v>115</v>
      </c>
      <c r="M786">
        <v>98124</v>
      </c>
      <c r="N786" t="s">
        <v>86</v>
      </c>
    </row>
    <row r="787" spans="1:14" x14ac:dyDescent="0.2">
      <c r="A787">
        <v>11033</v>
      </c>
      <c r="B787" t="s">
        <v>47</v>
      </c>
      <c r="C787">
        <v>7</v>
      </c>
      <c r="D787" s="1">
        <v>35902</v>
      </c>
      <c r="E787" s="1">
        <v>35930</v>
      </c>
      <c r="F787" s="1">
        <v>35908</v>
      </c>
      <c r="G787">
        <v>3</v>
      </c>
      <c r="H787" s="2">
        <v>84.74</v>
      </c>
      <c r="I787" t="s">
        <v>48</v>
      </c>
      <c r="J787" t="s">
        <v>49</v>
      </c>
      <c r="K787" t="s">
        <v>50</v>
      </c>
      <c r="L787" t="s">
        <v>18</v>
      </c>
      <c r="M787">
        <v>1204</v>
      </c>
      <c r="N787" t="s">
        <v>46</v>
      </c>
    </row>
    <row r="788" spans="1:14" x14ac:dyDescent="0.2">
      <c r="A788">
        <v>11034</v>
      </c>
      <c r="B788" t="s">
        <v>193</v>
      </c>
      <c r="C788">
        <v>8</v>
      </c>
      <c r="D788" s="1">
        <v>35905</v>
      </c>
      <c r="E788" s="1">
        <v>35947</v>
      </c>
      <c r="F788" s="1">
        <v>35912</v>
      </c>
      <c r="G788">
        <v>1</v>
      </c>
      <c r="H788" s="2">
        <v>40.32</v>
      </c>
      <c r="I788" t="s">
        <v>194</v>
      </c>
      <c r="J788" t="s">
        <v>195</v>
      </c>
      <c r="K788" t="s">
        <v>196</v>
      </c>
      <c r="L788" t="s">
        <v>197</v>
      </c>
      <c r="M788">
        <v>99508</v>
      </c>
      <c r="N788" t="s">
        <v>86</v>
      </c>
    </row>
    <row r="789" spans="1:14" x14ac:dyDescent="0.2">
      <c r="A789">
        <v>11035</v>
      </c>
      <c r="B789" t="s">
        <v>36</v>
      </c>
      <c r="C789">
        <v>2</v>
      </c>
      <c r="D789" s="1">
        <v>35905</v>
      </c>
      <c r="E789" s="1">
        <v>35933</v>
      </c>
      <c r="F789" s="1">
        <v>35909</v>
      </c>
      <c r="G789">
        <v>2</v>
      </c>
      <c r="H789" s="2">
        <v>0.17</v>
      </c>
      <c r="I789" t="s">
        <v>37</v>
      </c>
      <c r="J789" t="s">
        <v>38</v>
      </c>
      <c r="K789" t="s">
        <v>39</v>
      </c>
      <c r="L789" t="s">
        <v>18</v>
      </c>
      <c r="M789" t="s">
        <v>40</v>
      </c>
      <c r="N789" t="s">
        <v>41</v>
      </c>
    </row>
    <row r="790" spans="1:14" x14ac:dyDescent="0.2">
      <c r="A790">
        <v>11036</v>
      </c>
      <c r="B790" t="s">
        <v>280</v>
      </c>
      <c r="C790">
        <v>8</v>
      </c>
      <c r="D790" s="1">
        <v>35905</v>
      </c>
      <c r="E790" s="1">
        <v>35933</v>
      </c>
      <c r="F790" s="1">
        <v>35907</v>
      </c>
      <c r="G790">
        <v>3</v>
      </c>
      <c r="H790" s="2">
        <v>149.47</v>
      </c>
      <c r="I790" t="s">
        <v>281</v>
      </c>
      <c r="J790" t="s">
        <v>282</v>
      </c>
      <c r="K790" t="s">
        <v>283</v>
      </c>
      <c r="L790" t="s">
        <v>18</v>
      </c>
      <c r="M790">
        <v>52066</v>
      </c>
      <c r="N790" t="s">
        <v>24</v>
      </c>
    </row>
    <row r="791" spans="1:14" x14ac:dyDescent="0.2">
      <c r="A791">
        <v>11037</v>
      </c>
      <c r="B791" t="s">
        <v>189</v>
      </c>
      <c r="C791">
        <v>7</v>
      </c>
      <c r="D791" s="1">
        <v>35906</v>
      </c>
      <c r="E791" s="1">
        <v>35934</v>
      </c>
      <c r="F791" s="1">
        <v>35912</v>
      </c>
      <c r="G791">
        <v>1</v>
      </c>
      <c r="H791" s="2">
        <v>3.2</v>
      </c>
      <c r="I791" t="s">
        <v>190</v>
      </c>
      <c r="J791" t="s">
        <v>191</v>
      </c>
      <c r="K791" t="s">
        <v>192</v>
      </c>
      <c r="L791" t="s">
        <v>18</v>
      </c>
      <c r="M791">
        <v>41101</v>
      </c>
      <c r="N791" t="s">
        <v>150</v>
      </c>
    </row>
    <row r="792" spans="1:14" x14ac:dyDescent="0.2">
      <c r="A792">
        <v>11038</v>
      </c>
      <c r="B792" t="s">
        <v>36</v>
      </c>
      <c r="C792">
        <v>1</v>
      </c>
      <c r="D792" s="1">
        <v>35906</v>
      </c>
      <c r="E792" s="1">
        <v>35934</v>
      </c>
      <c r="F792" s="1">
        <v>35915</v>
      </c>
      <c r="G792">
        <v>2</v>
      </c>
      <c r="H792" s="2">
        <v>29.59</v>
      </c>
      <c r="I792" t="s">
        <v>37</v>
      </c>
      <c r="J792" t="s">
        <v>38</v>
      </c>
      <c r="K792" t="s">
        <v>39</v>
      </c>
      <c r="L792" t="s">
        <v>18</v>
      </c>
      <c r="M792" t="s">
        <v>40</v>
      </c>
      <c r="N792" t="s">
        <v>41</v>
      </c>
    </row>
    <row r="793" spans="1:14" x14ac:dyDescent="0.2">
      <c r="A793">
        <v>11039</v>
      </c>
      <c r="B793" t="s">
        <v>324</v>
      </c>
      <c r="C793">
        <v>1</v>
      </c>
      <c r="D793" s="1">
        <v>35906</v>
      </c>
      <c r="E793" s="1">
        <v>35934</v>
      </c>
      <c r="F793" t="s">
        <v>18</v>
      </c>
      <c r="G793">
        <v>2</v>
      </c>
      <c r="H793" s="2">
        <v>65</v>
      </c>
      <c r="I793" t="s">
        <v>325</v>
      </c>
      <c r="J793" t="s">
        <v>326</v>
      </c>
      <c r="K793" t="s">
        <v>327</v>
      </c>
      <c r="L793" t="s">
        <v>328</v>
      </c>
      <c r="M793">
        <v>4980</v>
      </c>
      <c r="N793" t="s">
        <v>62</v>
      </c>
    </row>
    <row r="794" spans="1:14" x14ac:dyDescent="0.2">
      <c r="A794">
        <v>11040</v>
      </c>
      <c r="B794" t="s">
        <v>374</v>
      </c>
      <c r="C794">
        <v>4</v>
      </c>
      <c r="D794" s="1">
        <v>35907</v>
      </c>
      <c r="E794" s="1">
        <v>35935</v>
      </c>
      <c r="F794" t="s">
        <v>18</v>
      </c>
      <c r="G794">
        <v>3</v>
      </c>
      <c r="H794" s="2">
        <v>18.84</v>
      </c>
      <c r="I794" t="s">
        <v>375</v>
      </c>
      <c r="J794" t="s">
        <v>376</v>
      </c>
      <c r="K794" t="s">
        <v>377</v>
      </c>
      <c r="L794" t="s">
        <v>202</v>
      </c>
      <c r="M794">
        <v>97403</v>
      </c>
      <c r="N794" t="s">
        <v>86</v>
      </c>
    </row>
    <row r="795" spans="1:14" x14ac:dyDescent="0.2">
      <c r="A795">
        <v>11041</v>
      </c>
      <c r="B795" t="s">
        <v>42</v>
      </c>
      <c r="C795">
        <v>3</v>
      </c>
      <c r="D795" s="1">
        <v>35907</v>
      </c>
      <c r="E795" s="1">
        <v>35935</v>
      </c>
      <c r="F795" s="1">
        <v>35913</v>
      </c>
      <c r="G795">
        <v>2</v>
      </c>
      <c r="H795" s="2">
        <v>48.22</v>
      </c>
      <c r="I795" t="s">
        <v>43</v>
      </c>
      <c r="J795" t="s">
        <v>44</v>
      </c>
      <c r="K795" t="s">
        <v>45</v>
      </c>
      <c r="L795" t="s">
        <v>18</v>
      </c>
      <c r="M795">
        <v>3012</v>
      </c>
      <c r="N795" t="s">
        <v>46</v>
      </c>
    </row>
    <row r="796" spans="1:14" x14ac:dyDescent="0.2">
      <c r="A796">
        <v>11042</v>
      </c>
      <c r="B796" t="s">
        <v>170</v>
      </c>
      <c r="C796">
        <v>2</v>
      </c>
      <c r="D796" s="1">
        <v>35907</v>
      </c>
      <c r="E796" s="1">
        <v>35921</v>
      </c>
      <c r="F796" s="1">
        <v>35916</v>
      </c>
      <c r="G796">
        <v>1</v>
      </c>
      <c r="H796" s="2">
        <v>29.99</v>
      </c>
      <c r="I796" t="s">
        <v>171</v>
      </c>
      <c r="J796" t="s">
        <v>172</v>
      </c>
      <c r="K796" t="s">
        <v>173</v>
      </c>
      <c r="L796" t="s">
        <v>55</v>
      </c>
      <c r="M796" t="s">
        <v>174</v>
      </c>
      <c r="N796" t="s">
        <v>31</v>
      </c>
    </row>
    <row r="797" spans="1:14" x14ac:dyDescent="0.2">
      <c r="A797">
        <v>11043</v>
      </c>
      <c r="B797" t="s">
        <v>409</v>
      </c>
      <c r="C797">
        <v>5</v>
      </c>
      <c r="D797" s="1">
        <v>35907</v>
      </c>
      <c r="E797" s="1">
        <v>35935</v>
      </c>
      <c r="F797" s="1">
        <v>35914</v>
      </c>
      <c r="G797">
        <v>2</v>
      </c>
      <c r="H797" s="2">
        <v>8.8000000000000007</v>
      </c>
      <c r="I797" t="s">
        <v>410</v>
      </c>
      <c r="J797" t="s">
        <v>411</v>
      </c>
      <c r="K797" t="s">
        <v>412</v>
      </c>
      <c r="L797" t="s">
        <v>18</v>
      </c>
      <c r="M797">
        <v>75016</v>
      </c>
      <c r="N797" t="s">
        <v>19</v>
      </c>
    </row>
    <row r="798" spans="1:14" x14ac:dyDescent="0.2">
      <c r="A798">
        <v>11044</v>
      </c>
      <c r="B798" t="s">
        <v>303</v>
      </c>
      <c r="C798">
        <v>4</v>
      </c>
      <c r="D798" s="1">
        <v>35908</v>
      </c>
      <c r="E798" s="1">
        <v>35936</v>
      </c>
      <c r="F798" s="1">
        <v>35916</v>
      </c>
      <c r="G798">
        <v>1</v>
      </c>
      <c r="H798" s="2">
        <v>8.7200000000000006</v>
      </c>
      <c r="I798" t="s">
        <v>304</v>
      </c>
      <c r="J798" t="s">
        <v>305</v>
      </c>
      <c r="K798" t="s">
        <v>306</v>
      </c>
      <c r="L798" t="s">
        <v>18</v>
      </c>
      <c r="M798" t="s">
        <v>307</v>
      </c>
      <c r="N798" t="s">
        <v>308</v>
      </c>
    </row>
    <row r="799" spans="1:14" x14ac:dyDescent="0.2">
      <c r="A799">
        <v>11045</v>
      </c>
      <c r="B799" t="s">
        <v>318</v>
      </c>
      <c r="C799">
        <v>6</v>
      </c>
      <c r="D799" s="1">
        <v>35908</v>
      </c>
      <c r="E799" s="1">
        <v>35936</v>
      </c>
      <c r="F799" t="s">
        <v>18</v>
      </c>
      <c r="G799">
        <v>2</v>
      </c>
      <c r="H799" s="2">
        <v>70.58</v>
      </c>
      <c r="I799" t="s">
        <v>319</v>
      </c>
      <c r="J799" t="s">
        <v>320</v>
      </c>
      <c r="K799" t="s">
        <v>321</v>
      </c>
      <c r="L799" t="s">
        <v>322</v>
      </c>
      <c r="M799" t="s">
        <v>323</v>
      </c>
      <c r="N799" t="s">
        <v>249</v>
      </c>
    </row>
    <row r="800" spans="1:14" x14ac:dyDescent="0.2">
      <c r="A800">
        <v>11046</v>
      </c>
      <c r="B800" t="s">
        <v>185</v>
      </c>
      <c r="C800">
        <v>8</v>
      </c>
      <c r="D800" s="1">
        <v>35908</v>
      </c>
      <c r="E800" s="1">
        <v>35936</v>
      </c>
      <c r="F800" s="1">
        <v>35909</v>
      </c>
      <c r="G800">
        <v>2</v>
      </c>
      <c r="H800" s="2">
        <v>71.64</v>
      </c>
      <c r="I800" t="s">
        <v>186</v>
      </c>
      <c r="J800" t="s">
        <v>187</v>
      </c>
      <c r="K800" t="s">
        <v>188</v>
      </c>
      <c r="L800" t="s">
        <v>18</v>
      </c>
      <c r="M800">
        <v>70563</v>
      </c>
      <c r="N800" t="s">
        <v>24</v>
      </c>
    </row>
    <row r="801" spans="1:14" x14ac:dyDescent="0.2">
      <c r="A801">
        <v>11047</v>
      </c>
      <c r="B801" t="s">
        <v>284</v>
      </c>
      <c r="C801">
        <v>7</v>
      </c>
      <c r="D801" s="1">
        <v>35909</v>
      </c>
      <c r="E801" s="1">
        <v>35937</v>
      </c>
      <c r="F801" s="1">
        <v>35916</v>
      </c>
      <c r="G801">
        <v>3</v>
      </c>
      <c r="H801" s="2">
        <v>46.62</v>
      </c>
      <c r="I801" t="s">
        <v>285</v>
      </c>
      <c r="J801" t="s">
        <v>286</v>
      </c>
      <c r="K801" t="s">
        <v>167</v>
      </c>
      <c r="L801" t="s">
        <v>18</v>
      </c>
      <c r="M801" t="s">
        <v>287</v>
      </c>
      <c r="N801" t="s">
        <v>169</v>
      </c>
    </row>
    <row r="802" spans="1:14" x14ac:dyDescent="0.2">
      <c r="A802">
        <v>11048</v>
      </c>
      <c r="B802" t="s">
        <v>318</v>
      </c>
      <c r="C802">
        <v>7</v>
      </c>
      <c r="D802" s="1">
        <v>35909</v>
      </c>
      <c r="E802" s="1">
        <v>35937</v>
      </c>
      <c r="F802" s="1">
        <v>35915</v>
      </c>
      <c r="G802">
        <v>3</v>
      </c>
      <c r="H802" s="2">
        <v>24.12</v>
      </c>
      <c r="I802" t="s">
        <v>319</v>
      </c>
      <c r="J802" t="s">
        <v>320</v>
      </c>
      <c r="K802" t="s">
        <v>321</v>
      </c>
      <c r="L802" t="s">
        <v>322</v>
      </c>
      <c r="M802" t="s">
        <v>323</v>
      </c>
      <c r="N802" t="s">
        <v>249</v>
      </c>
    </row>
    <row r="803" spans="1:14" x14ac:dyDescent="0.2">
      <c r="A803">
        <v>11049</v>
      </c>
      <c r="B803" t="s">
        <v>342</v>
      </c>
      <c r="C803">
        <v>3</v>
      </c>
      <c r="D803" s="1">
        <v>35909</v>
      </c>
      <c r="E803" s="1">
        <v>35937</v>
      </c>
      <c r="F803" s="1">
        <v>35919</v>
      </c>
      <c r="G803">
        <v>1</v>
      </c>
      <c r="H803" s="2">
        <v>8.34</v>
      </c>
      <c r="I803" t="s">
        <v>343</v>
      </c>
      <c r="J803" t="s">
        <v>344</v>
      </c>
      <c r="K803" t="s">
        <v>345</v>
      </c>
      <c r="L803" t="s">
        <v>55</v>
      </c>
      <c r="M803" t="s">
        <v>346</v>
      </c>
      <c r="N803" t="s">
        <v>31</v>
      </c>
    </row>
    <row r="804" spans="1:14" x14ac:dyDescent="0.2">
      <c r="A804">
        <v>11050</v>
      </c>
      <c r="B804" t="s">
        <v>87</v>
      </c>
      <c r="C804">
        <v>8</v>
      </c>
      <c r="D804" s="1">
        <v>35912</v>
      </c>
      <c r="E804" s="1">
        <v>35940</v>
      </c>
      <c r="F804" s="1">
        <v>35920</v>
      </c>
      <c r="G804">
        <v>2</v>
      </c>
      <c r="H804" s="2">
        <v>59.41</v>
      </c>
      <c r="I804" t="s">
        <v>88</v>
      </c>
      <c r="J804" t="s">
        <v>89</v>
      </c>
      <c r="K804" t="s">
        <v>90</v>
      </c>
      <c r="L804" t="s">
        <v>18</v>
      </c>
      <c r="M804" t="s">
        <v>91</v>
      </c>
      <c r="N804" t="s">
        <v>92</v>
      </c>
    </row>
    <row r="805" spans="1:14" x14ac:dyDescent="0.2">
      <c r="A805">
        <v>11051</v>
      </c>
      <c r="B805" t="s">
        <v>262</v>
      </c>
      <c r="C805">
        <v>7</v>
      </c>
      <c r="D805" s="1">
        <v>35912</v>
      </c>
      <c r="E805" s="1">
        <v>35940</v>
      </c>
      <c r="F805" t="s">
        <v>18</v>
      </c>
      <c r="G805">
        <v>3</v>
      </c>
      <c r="H805" s="2">
        <v>2.79</v>
      </c>
      <c r="I805" t="s">
        <v>263</v>
      </c>
      <c r="J805" t="s">
        <v>264</v>
      </c>
      <c r="K805" t="s">
        <v>265</v>
      </c>
      <c r="L805" t="s">
        <v>18</v>
      </c>
      <c r="M805">
        <v>31000</v>
      </c>
      <c r="N805" t="s">
        <v>19</v>
      </c>
    </row>
    <row r="806" spans="1:14" x14ac:dyDescent="0.2">
      <c r="A806">
        <v>11052</v>
      </c>
      <c r="B806" t="s">
        <v>25</v>
      </c>
      <c r="C806">
        <v>3</v>
      </c>
      <c r="D806" s="1">
        <v>35912</v>
      </c>
      <c r="E806" s="1">
        <v>35940</v>
      </c>
      <c r="F806" s="1">
        <v>35916</v>
      </c>
      <c r="G806">
        <v>1</v>
      </c>
      <c r="H806" s="2">
        <v>67.260000000000005</v>
      </c>
      <c r="I806" t="s">
        <v>26</v>
      </c>
      <c r="J806" t="s">
        <v>27</v>
      </c>
      <c r="K806" t="s">
        <v>28</v>
      </c>
      <c r="L806" t="s">
        <v>29</v>
      </c>
      <c r="M806" t="s">
        <v>30</v>
      </c>
      <c r="N806" t="s">
        <v>31</v>
      </c>
    </row>
    <row r="807" spans="1:14" x14ac:dyDescent="0.2">
      <c r="A807">
        <v>11053</v>
      </c>
      <c r="B807" t="s">
        <v>266</v>
      </c>
      <c r="C807">
        <v>2</v>
      </c>
      <c r="D807" s="1">
        <v>35912</v>
      </c>
      <c r="E807" s="1">
        <v>35940</v>
      </c>
      <c r="F807" s="1">
        <v>35914</v>
      </c>
      <c r="G807">
        <v>2</v>
      </c>
      <c r="H807" s="2">
        <v>53.05</v>
      </c>
      <c r="I807" t="s">
        <v>267</v>
      </c>
      <c r="J807" t="s">
        <v>268</v>
      </c>
      <c r="K807" t="s">
        <v>269</v>
      </c>
      <c r="L807" t="s">
        <v>18</v>
      </c>
      <c r="M807">
        <v>5020</v>
      </c>
      <c r="N807" t="s">
        <v>67</v>
      </c>
    </row>
    <row r="808" spans="1:14" x14ac:dyDescent="0.2">
      <c r="A808">
        <v>11054</v>
      </c>
      <c r="B808" t="s">
        <v>371</v>
      </c>
      <c r="C808">
        <v>8</v>
      </c>
      <c r="D808" s="1">
        <v>35913</v>
      </c>
      <c r="E808" s="1">
        <v>35941</v>
      </c>
      <c r="F808" t="s">
        <v>18</v>
      </c>
      <c r="G808">
        <v>1</v>
      </c>
      <c r="H808" s="2">
        <v>0.33</v>
      </c>
      <c r="I808" t="s">
        <v>372</v>
      </c>
      <c r="J808" t="s">
        <v>373</v>
      </c>
      <c r="K808" t="s">
        <v>336</v>
      </c>
      <c r="L808" t="s">
        <v>18</v>
      </c>
      <c r="M808">
        <v>1010</v>
      </c>
      <c r="N808" t="s">
        <v>337</v>
      </c>
    </row>
    <row r="809" spans="1:14" x14ac:dyDescent="0.2">
      <c r="A809">
        <v>11055</v>
      </c>
      <c r="B809" t="s">
        <v>57</v>
      </c>
      <c r="C809">
        <v>7</v>
      </c>
      <c r="D809" s="1">
        <v>35913</v>
      </c>
      <c r="E809" s="1">
        <v>35941</v>
      </c>
      <c r="F809" s="1">
        <v>35920</v>
      </c>
      <c r="G809">
        <v>2</v>
      </c>
      <c r="H809" s="2">
        <v>120.92</v>
      </c>
      <c r="I809" t="s">
        <v>58</v>
      </c>
      <c r="J809" t="s">
        <v>59</v>
      </c>
      <c r="K809" t="s">
        <v>60</v>
      </c>
      <c r="L809" t="s">
        <v>61</v>
      </c>
      <c r="M809">
        <v>5022</v>
      </c>
      <c r="N809" t="s">
        <v>62</v>
      </c>
    </row>
    <row r="810" spans="1:14" x14ac:dyDescent="0.2">
      <c r="A810">
        <v>11056</v>
      </c>
      <c r="B810" t="s">
        <v>284</v>
      </c>
      <c r="C810">
        <v>8</v>
      </c>
      <c r="D810" s="1">
        <v>35913</v>
      </c>
      <c r="E810" s="1">
        <v>35927</v>
      </c>
      <c r="F810" s="1">
        <v>35916</v>
      </c>
      <c r="G810">
        <v>2</v>
      </c>
      <c r="H810" s="2">
        <v>278.95999999999998</v>
      </c>
      <c r="I810" t="s">
        <v>285</v>
      </c>
      <c r="J810" t="s">
        <v>286</v>
      </c>
      <c r="K810" t="s">
        <v>167</v>
      </c>
      <c r="L810" t="s">
        <v>18</v>
      </c>
      <c r="M810" t="s">
        <v>287</v>
      </c>
      <c r="N810" t="s">
        <v>169</v>
      </c>
    </row>
    <row r="811" spans="1:14" x14ac:dyDescent="0.2">
      <c r="A811">
        <v>11057</v>
      </c>
      <c r="B811" t="s">
        <v>367</v>
      </c>
      <c r="C811">
        <v>3</v>
      </c>
      <c r="D811" s="1">
        <v>35914</v>
      </c>
      <c r="E811" s="1">
        <v>35942</v>
      </c>
      <c r="F811" s="1">
        <v>35916</v>
      </c>
      <c r="G811">
        <v>3</v>
      </c>
      <c r="H811" s="2">
        <v>4.13</v>
      </c>
      <c r="I811" t="s">
        <v>368</v>
      </c>
      <c r="J811" t="s">
        <v>369</v>
      </c>
      <c r="K811" t="s">
        <v>167</v>
      </c>
      <c r="L811" t="s">
        <v>18</v>
      </c>
      <c r="M811" t="s">
        <v>370</v>
      </c>
      <c r="N811" t="s">
        <v>169</v>
      </c>
    </row>
    <row r="812" spans="1:14" x14ac:dyDescent="0.2">
      <c r="A812">
        <v>11058</v>
      </c>
      <c r="B812" t="s">
        <v>363</v>
      </c>
      <c r="C812">
        <v>9</v>
      </c>
      <c r="D812" s="1">
        <v>35914</v>
      </c>
      <c r="E812" s="1">
        <v>35942</v>
      </c>
      <c r="F812" t="s">
        <v>18</v>
      </c>
      <c r="G812">
        <v>3</v>
      </c>
      <c r="H812" s="2">
        <v>31.14</v>
      </c>
      <c r="I812" t="s">
        <v>364</v>
      </c>
      <c r="J812" t="s">
        <v>365</v>
      </c>
      <c r="K812" t="s">
        <v>366</v>
      </c>
      <c r="L812" t="s">
        <v>18</v>
      </c>
      <c r="M812">
        <v>68306</v>
      </c>
      <c r="N812" t="s">
        <v>24</v>
      </c>
    </row>
    <row r="813" spans="1:14" x14ac:dyDescent="0.2">
      <c r="A813">
        <v>11059</v>
      </c>
      <c r="B813" t="s">
        <v>156</v>
      </c>
      <c r="C813">
        <v>2</v>
      </c>
      <c r="D813" s="1">
        <v>35914</v>
      </c>
      <c r="E813" s="1">
        <v>35956</v>
      </c>
      <c r="F813" t="s">
        <v>18</v>
      </c>
      <c r="G813">
        <v>2</v>
      </c>
      <c r="H813" s="2">
        <v>85.8</v>
      </c>
      <c r="I813" t="s">
        <v>157</v>
      </c>
      <c r="J813" t="s">
        <v>158</v>
      </c>
      <c r="K813" t="s">
        <v>28</v>
      </c>
      <c r="L813" t="s">
        <v>29</v>
      </c>
      <c r="M813" t="s">
        <v>159</v>
      </c>
      <c r="N813" t="s">
        <v>31</v>
      </c>
    </row>
    <row r="814" spans="1:14" x14ac:dyDescent="0.2">
      <c r="A814">
        <v>11060</v>
      </c>
      <c r="B814" t="s">
        <v>338</v>
      </c>
      <c r="C814">
        <v>2</v>
      </c>
      <c r="D814" s="1">
        <v>35915</v>
      </c>
      <c r="E814" s="1">
        <v>35943</v>
      </c>
      <c r="F814" s="1">
        <v>35919</v>
      </c>
      <c r="G814">
        <v>2</v>
      </c>
      <c r="H814" s="2">
        <v>10.98</v>
      </c>
      <c r="I814" t="s">
        <v>339</v>
      </c>
      <c r="J814" t="s">
        <v>340</v>
      </c>
      <c r="K814" t="s">
        <v>341</v>
      </c>
      <c r="L814" t="s">
        <v>18</v>
      </c>
      <c r="M814">
        <v>10100</v>
      </c>
      <c r="N814" t="s">
        <v>129</v>
      </c>
    </row>
    <row r="815" spans="1:14" x14ac:dyDescent="0.2">
      <c r="A815">
        <v>11061</v>
      </c>
      <c r="B815" t="s">
        <v>374</v>
      </c>
      <c r="C815">
        <v>4</v>
      </c>
      <c r="D815" s="1">
        <v>35915</v>
      </c>
      <c r="E815" s="1">
        <v>35957</v>
      </c>
      <c r="F815" t="s">
        <v>18</v>
      </c>
      <c r="G815">
        <v>3</v>
      </c>
      <c r="H815" s="2">
        <v>14.01</v>
      </c>
      <c r="I815" t="s">
        <v>375</v>
      </c>
      <c r="J815" t="s">
        <v>376</v>
      </c>
      <c r="K815" t="s">
        <v>377</v>
      </c>
      <c r="L815" t="s">
        <v>202</v>
      </c>
      <c r="M815">
        <v>97403</v>
      </c>
      <c r="N815" t="s">
        <v>86</v>
      </c>
    </row>
    <row r="816" spans="1:14" x14ac:dyDescent="0.2">
      <c r="A816">
        <v>11062</v>
      </c>
      <c r="B816" t="s">
        <v>160</v>
      </c>
      <c r="C816">
        <v>4</v>
      </c>
      <c r="D816" s="1">
        <v>35915</v>
      </c>
      <c r="E816" s="1">
        <v>35943</v>
      </c>
      <c r="F816" t="s">
        <v>18</v>
      </c>
      <c r="G816">
        <v>2</v>
      </c>
      <c r="H816" s="2">
        <v>29.93</v>
      </c>
      <c r="I816" t="s">
        <v>161</v>
      </c>
      <c r="J816" t="s">
        <v>162</v>
      </c>
      <c r="K816" t="s">
        <v>163</v>
      </c>
      <c r="L816" t="s">
        <v>18</v>
      </c>
      <c r="M816">
        <v>42100</v>
      </c>
      <c r="N816" t="s">
        <v>129</v>
      </c>
    </row>
    <row r="817" spans="1:14" x14ac:dyDescent="0.2">
      <c r="A817">
        <v>11063</v>
      </c>
      <c r="B817" t="s">
        <v>179</v>
      </c>
      <c r="C817">
        <v>3</v>
      </c>
      <c r="D817" s="1">
        <v>35915</v>
      </c>
      <c r="E817" s="1">
        <v>35943</v>
      </c>
      <c r="F817" s="1">
        <v>35921</v>
      </c>
      <c r="G817">
        <v>2</v>
      </c>
      <c r="H817" s="2">
        <v>81.73</v>
      </c>
      <c r="I817" t="s">
        <v>180</v>
      </c>
      <c r="J817" t="s">
        <v>181</v>
      </c>
      <c r="K817" t="s">
        <v>182</v>
      </c>
      <c r="L817" t="s">
        <v>183</v>
      </c>
      <c r="M817" t="s">
        <v>18</v>
      </c>
      <c r="N817" t="s">
        <v>184</v>
      </c>
    </row>
    <row r="818" spans="1:14" x14ac:dyDescent="0.2">
      <c r="A818">
        <v>11064</v>
      </c>
      <c r="B818" t="s">
        <v>226</v>
      </c>
      <c r="C818">
        <v>1</v>
      </c>
      <c r="D818" s="1">
        <v>35916</v>
      </c>
      <c r="E818" s="1">
        <v>35944</v>
      </c>
      <c r="F818" s="1">
        <v>35919</v>
      </c>
      <c r="G818">
        <v>1</v>
      </c>
      <c r="H818" s="2">
        <v>30.09</v>
      </c>
      <c r="I818" t="s">
        <v>227</v>
      </c>
      <c r="J818" t="s">
        <v>228</v>
      </c>
      <c r="K818" t="s">
        <v>229</v>
      </c>
      <c r="L818" t="s">
        <v>230</v>
      </c>
      <c r="M818">
        <v>83720</v>
      </c>
      <c r="N818" t="s">
        <v>86</v>
      </c>
    </row>
    <row r="819" spans="1:14" x14ac:dyDescent="0.2">
      <c r="A819">
        <v>11065</v>
      </c>
      <c r="B819" t="s">
        <v>151</v>
      </c>
      <c r="C819">
        <v>8</v>
      </c>
      <c r="D819" s="1">
        <v>35916</v>
      </c>
      <c r="E819" s="1">
        <v>35944</v>
      </c>
      <c r="F819" t="s">
        <v>18</v>
      </c>
      <c r="G819">
        <v>1</v>
      </c>
      <c r="H819" s="2">
        <v>12.91</v>
      </c>
      <c r="I819" t="s">
        <v>152</v>
      </c>
      <c r="J819" t="s">
        <v>153</v>
      </c>
      <c r="K819" t="s">
        <v>154</v>
      </c>
      <c r="L819" t="s">
        <v>155</v>
      </c>
      <c r="M819">
        <v>3508</v>
      </c>
      <c r="N819" t="s">
        <v>62</v>
      </c>
    </row>
    <row r="820" spans="1:14" x14ac:dyDescent="0.2">
      <c r="A820">
        <v>11066</v>
      </c>
      <c r="B820" t="s">
        <v>111</v>
      </c>
      <c r="C820">
        <v>7</v>
      </c>
      <c r="D820" s="1">
        <v>35916</v>
      </c>
      <c r="E820" s="1">
        <v>35944</v>
      </c>
      <c r="F820" s="1">
        <v>35919</v>
      </c>
      <c r="G820">
        <v>2</v>
      </c>
      <c r="H820" s="2">
        <v>44.72</v>
      </c>
      <c r="I820" t="s">
        <v>112</v>
      </c>
      <c r="J820" t="s">
        <v>113</v>
      </c>
      <c r="K820" t="s">
        <v>114</v>
      </c>
      <c r="L820" t="s">
        <v>115</v>
      </c>
      <c r="M820">
        <v>98124</v>
      </c>
      <c r="N820" t="s">
        <v>86</v>
      </c>
    </row>
    <row r="821" spans="1:14" x14ac:dyDescent="0.2">
      <c r="A821">
        <v>11067</v>
      </c>
      <c r="B821" t="s">
        <v>280</v>
      </c>
      <c r="C821">
        <v>1</v>
      </c>
      <c r="D821" s="1">
        <v>35919</v>
      </c>
      <c r="E821" s="1">
        <v>35933</v>
      </c>
      <c r="F821" s="1">
        <v>35921</v>
      </c>
      <c r="G821">
        <v>2</v>
      </c>
      <c r="H821" s="2">
        <v>7.98</v>
      </c>
      <c r="I821" t="s">
        <v>281</v>
      </c>
      <c r="J821" t="s">
        <v>282</v>
      </c>
      <c r="K821" t="s">
        <v>283</v>
      </c>
      <c r="L821" t="s">
        <v>18</v>
      </c>
      <c r="M821">
        <v>52066</v>
      </c>
      <c r="N821" t="s">
        <v>24</v>
      </c>
    </row>
    <row r="822" spans="1:14" x14ac:dyDescent="0.2">
      <c r="A822">
        <v>11068</v>
      </c>
      <c r="B822" t="s">
        <v>299</v>
      </c>
      <c r="C822">
        <v>8</v>
      </c>
      <c r="D822" s="1">
        <v>35919</v>
      </c>
      <c r="E822" s="1">
        <v>35947</v>
      </c>
      <c r="F822" t="s">
        <v>18</v>
      </c>
      <c r="G822">
        <v>2</v>
      </c>
      <c r="H822" s="2">
        <v>81.75</v>
      </c>
      <c r="I822" t="s">
        <v>300</v>
      </c>
      <c r="J822" t="s">
        <v>301</v>
      </c>
      <c r="K822" t="s">
        <v>173</v>
      </c>
      <c r="L822" t="s">
        <v>55</v>
      </c>
      <c r="M822" t="s">
        <v>302</v>
      </c>
      <c r="N822" t="s">
        <v>31</v>
      </c>
    </row>
    <row r="823" spans="1:14" x14ac:dyDescent="0.2">
      <c r="A823">
        <v>11069</v>
      </c>
      <c r="B823" t="s">
        <v>130</v>
      </c>
      <c r="C823">
        <v>1</v>
      </c>
      <c r="D823" s="1">
        <v>35919</v>
      </c>
      <c r="E823" s="1">
        <v>35947</v>
      </c>
      <c r="F823" s="1">
        <v>35921</v>
      </c>
      <c r="G823">
        <v>2</v>
      </c>
      <c r="H823" s="2">
        <v>15.67</v>
      </c>
      <c r="I823" t="s">
        <v>131</v>
      </c>
      <c r="J823" t="s">
        <v>132</v>
      </c>
      <c r="K823" t="s">
        <v>71</v>
      </c>
      <c r="L823" t="s">
        <v>18</v>
      </c>
      <c r="M823">
        <v>5033</v>
      </c>
      <c r="N823" t="s">
        <v>72</v>
      </c>
    </row>
    <row r="824" spans="1:14" x14ac:dyDescent="0.2">
      <c r="A824">
        <v>11070</v>
      </c>
      <c r="B824" t="s">
        <v>142</v>
      </c>
      <c r="C824">
        <v>2</v>
      </c>
      <c r="D824" s="1">
        <v>35920</v>
      </c>
      <c r="E824" s="1">
        <v>35948</v>
      </c>
      <c r="F824" t="s">
        <v>18</v>
      </c>
      <c r="G824">
        <v>1</v>
      </c>
      <c r="H824" s="2">
        <v>136</v>
      </c>
      <c r="I824" t="s">
        <v>143</v>
      </c>
      <c r="J824" t="s">
        <v>144</v>
      </c>
      <c r="K824" t="s">
        <v>145</v>
      </c>
      <c r="L824" t="s">
        <v>18</v>
      </c>
      <c r="M824">
        <v>60528</v>
      </c>
      <c r="N824" t="s">
        <v>24</v>
      </c>
    </row>
    <row r="825" spans="1:14" x14ac:dyDescent="0.2">
      <c r="A825">
        <v>11071</v>
      </c>
      <c r="B825" t="s">
        <v>151</v>
      </c>
      <c r="C825">
        <v>1</v>
      </c>
      <c r="D825" s="1">
        <v>35920</v>
      </c>
      <c r="E825" s="1">
        <v>35948</v>
      </c>
      <c r="F825" t="s">
        <v>18</v>
      </c>
      <c r="G825">
        <v>1</v>
      </c>
      <c r="H825" s="2">
        <v>0.93</v>
      </c>
      <c r="I825" t="s">
        <v>152</v>
      </c>
      <c r="J825" t="s">
        <v>153</v>
      </c>
      <c r="K825" t="s">
        <v>154</v>
      </c>
      <c r="L825" t="s">
        <v>155</v>
      </c>
      <c r="M825">
        <v>3508</v>
      </c>
      <c r="N825" t="s">
        <v>62</v>
      </c>
    </row>
    <row r="826" spans="1:14" x14ac:dyDescent="0.2">
      <c r="A826">
        <v>11072</v>
      </c>
      <c r="B826" t="s">
        <v>63</v>
      </c>
      <c r="C826">
        <v>4</v>
      </c>
      <c r="D826" s="1">
        <v>35920</v>
      </c>
      <c r="E826" s="1">
        <v>35948</v>
      </c>
      <c r="F826" t="s">
        <v>18</v>
      </c>
      <c r="G826">
        <v>2</v>
      </c>
      <c r="H826" s="2">
        <v>258.64</v>
      </c>
      <c r="I826" t="s">
        <v>64</v>
      </c>
      <c r="J826" t="s">
        <v>65</v>
      </c>
      <c r="K826" t="s">
        <v>66</v>
      </c>
      <c r="L826" t="s">
        <v>18</v>
      </c>
      <c r="M826">
        <v>8010</v>
      </c>
      <c r="N826" t="s">
        <v>67</v>
      </c>
    </row>
    <row r="827" spans="1:14" x14ac:dyDescent="0.2">
      <c r="A827">
        <v>11073</v>
      </c>
      <c r="B827" t="s">
        <v>219</v>
      </c>
      <c r="C827">
        <v>2</v>
      </c>
      <c r="D827" s="1">
        <v>35920</v>
      </c>
      <c r="E827" s="1">
        <v>35948</v>
      </c>
      <c r="F827" t="s">
        <v>18</v>
      </c>
      <c r="G827">
        <v>2</v>
      </c>
      <c r="H827" s="2">
        <v>24.95</v>
      </c>
      <c r="I827" t="s">
        <v>220</v>
      </c>
      <c r="J827" t="s">
        <v>221</v>
      </c>
      <c r="K827" t="s">
        <v>71</v>
      </c>
      <c r="L827" t="s">
        <v>18</v>
      </c>
      <c r="M827">
        <v>5033</v>
      </c>
      <c r="N827" t="s">
        <v>72</v>
      </c>
    </row>
    <row r="828" spans="1:14" x14ac:dyDescent="0.2">
      <c r="A828">
        <v>11074</v>
      </c>
      <c r="B828" t="s">
        <v>253</v>
      </c>
      <c r="C828">
        <v>7</v>
      </c>
      <c r="D828" s="1">
        <v>35921</v>
      </c>
      <c r="E828" s="1">
        <v>35949</v>
      </c>
      <c r="F828" t="s">
        <v>18</v>
      </c>
      <c r="G828">
        <v>2</v>
      </c>
      <c r="H828" s="2">
        <v>18.440000000000001</v>
      </c>
      <c r="I828" t="s">
        <v>254</v>
      </c>
      <c r="J828" t="s">
        <v>255</v>
      </c>
      <c r="K828" t="s">
        <v>256</v>
      </c>
      <c r="L828" t="s">
        <v>18</v>
      </c>
      <c r="M828">
        <v>1734</v>
      </c>
      <c r="N828" t="s">
        <v>257</v>
      </c>
    </row>
    <row r="829" spans="1:14" x14ac:dyDescent="0.2">
      <c r="A829">
        <v>11075</v>
      </c>
      <c r="B829" t="s">
        <v>47</v>
      </c>
      <c r="C829">
        <v>8</v>
      </c>
      <c r="D829" s="1">
        <v>35921</v>
      </c>
      <c r="E829" s="1">
        <v>35949</v>
      </c>
      <c r="F829" t="s">
        <v>18</v>
      </c>
      <c r="G829">
        <v>2</v>
      </c>
      <c r="H829" s="2">
        <v>6.19</v>
      </c>
      <c r="I829" t="s">
        <v>48</v>
      </c>
      <c r="J829" t="s">
        <v>49</v>
      </c>
      <c r="K829" t="s">
        <v>50</v>
      </c>
      <c r="L829" t="s">
        <v>18</v>
      </c>
      <c r="M829">
        <v>1204</v>
      </c>
      <c r="N829" t="s">
        <v>46</v>
      </c>
    </row>
    <row r="830" spans="1:14" x14ac:dyDescent="0.2">
      <c r="A830">
        <v>11076</v>
      </c>
      <c r="B830" t="s">
        <v>239</v>
      </c>
      <c r="C830">
        <v>4</v>
      </c>
      <c r="D830" s="1">
        <v>35921</v>
      </c>
      <c r="E830" s="1">
        <v>35949</v>
      </c>
      <c r="F830" t="s">
        <v>18</v>
      </c>
      <c r="G830">
        <v>2</v>
      </c>
      <c r="H830" s="2">
        <v>38.28</v>
      </c>
      <c r="I830" t="s">
        <v>240</v>
      </c>
      <c r="J830" t="s">
        <v>241</v>
      </c>
      <c r="K830" t="s">
        <v>242</v>
      </c>
      <c r="L830" t="s">
        <v>18</v>
      </c>
      <c r="M830">
        <v>13008</v>
      </c>
      <c r="N830" t="s">
        <v>19</v>
      </c>
    </row>
    <row r="831" spans="1:14" x14ac:dyDescent="0.2">
      <c r="A831">
        <v>11077</v>
      </c>
      <c r="B831" t="s">
        <v>81</v>
      </c>
      <c r="C831">
        <v>1</v>
      </c>
      <c r="D831" s="1">
        <v>35921</v>
      </c>
      <c r="E831" s="1">
        <v>35949</v>
      </c>
      <c r="F831" t="s">
        <v>18</v>
      </c>
      <c r="G831">
        <v>2</v>
      </c>
      <c r="H831" s="2">
        <v>8.5299999999999994</v>
      </c>
      <c r="I831" t="s">
        <v>82</v>
      </c>
      <c r="J831" t="s">
        <v>83</v>
      </c>
      <c r="K831" t="s">
        <v>84</v>
      </c>
      <c r="L831" t="s">
        <v>85</v>
      </c>
      <c r="M831">
        <v>87110</v>
      </c>
      <c r="N831" t="s">
        <v>86</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ED745-8E91-634A-9BF7-0CD4884D9C80}">
  <dimension ref="A1:E2156"/>
  <sheetViews>
    <sheetView workbookViewId="0">
      <selection sqref="A1:E2156"/>
    </sheetView>
  </sheetViews>
  <sheetFormatPr baseColWidth="10" defaultRowHeight="16" x14ac:dyDescent="0.2"/>
  <cols>
    <col min="2" max="3" width="11.6640625" customWidth="1"/>
  </cols>
  <sheetData>
    <row r="1" spans="1:5" x14ac:dyDescent="0.2">
      <c r="A1" t="s">
        <v>0</v>
      </c>
      <c r="B1" t="s">
        <v>417</v>
      </c>
      <c r="C1" t="s">
        <v>418</v>
      </c>
      <c r="D1" t="s">
        <v>419</v>
      </c>
      <c r="E1" t="s">
        <v>420</v>
      </c>
    </row>
    <row r="2" spans="1:5" x14ac:dyDescent="0.2">
      <c r="A2">
        <v>10248</v>
      </c>
      <c r="B2">
        <v>11</v>
      </c>
      <c r="C2" s="2">
        <v>14</v>
      </c>
      <c r="D2" s="2">
        <v>12</v>
      </c>
      <c r="E2" s="3">
        <v>0</v>
      </c>
    </row>
    <row r="3" spans="1:5" x14ac:dyDescent="0.2">
      <c r="A3">
        <v>10248</v>
      </c>
      <c r="B3">
        <v>42</v>
      </c>
      <c r="C3" s="2">
        <v>9.8000000000000007</v>
      </c>
      <c r="D3" s="2">
        <v>10</v>
      </c>
      <c r="E3" s="3">
        <v>0</v>
      </c>
    </row>
    <row r="4" spans="1:5" x14ac:dyDescent="0.2">
      <c r="A4">
        <v>10248</v>
      </c>
      <c r="B4">
        <v>72</v>
      </c>
      <c r="C4" s="2">
        <v>34.799999999999997</v>
      </c>
      <c r="D4" s="2">
        <v>5</v>
      </c>
      <c r="E4" s="3">
        <v>0</v>
      </c>
    </row>
    <row r="5" spans="1:5" x14ac:dyDescent="0.2">
      <c r="A5">
        <v>10249</v>
      </c>
      <c r="B5">
        <v>14</v>
      </c>
      <c r="C5" s="2">
        <v>18.600000000000001</v>
      </c>
      <c r="D5" s="2">
        <v>9</v>
      </c>
      <c r="E5" s="3">
        <v>0</v>
      </c>
    </row>
    <row r="6" spans="1:5" x14ac:dyDescent="0.2">
      <c r="A6">
        <v>10249</v>
      </c>
      <c r="B6">
        <v>51</v>
      </c>
      <c r="C6" s="2">
        <v>42.4</v>
      </c>
      <c r="D6" s="2">
        <v>40</v>
      </c>
      <c r="E6" s="3">
        <v>0</v>
      </c>
    </row>
    <row r="7" spans="1:5" x14ac:dyDescent="0.2">
      <c r="A7">
        <v>10250</v>
      </c>
      <c r="B7">
        <v>41</v>
      </c>
      <c r="C7" s="2">
        <v>7.7</v>
      </c>
      <c r="D7" s="2">
        <v>10</v>
      </c>
      <c r="E7" s="3">
        <v>0</v>
      </c>
    </row>
    <row r="8" spans="1:5" x14ac:dyDescent="0.2">
      <c r="A8">
        <v>10250</v>
      </c>
      <c r="B8">
        <v>51</v>
      </c>
      <c r="C8" s="2">
        <v>42.4</v>
      </c>
      <c r="D8" s="2">
        <v>35</v>
      </c>
      <c r="E8" s="3">
        <v>0.15</v>
      </c>
    </row>
    <row r="9" spans="1:5" x14ac:dyDescent="0.2">
      <c r="A9">
        <v>10250</v>
      </c>
      <c r="B9">
        <v>65</v>
      </c>
      <c r="C9" s="2">
        <v>16.8</v>
      </c>
      <c r="D9" s="2">
        <v>15</v>
      </c>
      <c r="E9" s="3">
        <v>0.15</v>
      </c>
    </row>
    <row r="10" spans="1:5" x14ac:dyDescent="0.2">
      <c r="A10">
        <v>10251</v>
      </c>
      <c r="B10">
        <v>22</v>
      </c>
      <c r="C10" s="2">
        <v>16.8</v>
      </c>
      <c r="D10" s="2">
        <v>6</v>
      </c>
      <c r="E10" s="3">
        <v>0.05</v>
      </c>
    </row>
    <row r="11" spans="1:5" x14ac:dyDescent="0.2">
      <c r="A11">
        <v>10251</v>
      </c>
      <c r="B11">
        <v>57</v>
      </c>
      <c r="C11" s="2">
        <v>15.6</v>
      </c>
      <c r="D11" s="2">
        <v>15</v>
      </c>
      <c r="E11" s="3">
        <v>0.05</v>
      </c>
    </row>
    <row r="12" spans="1:5" x14ac:dyDescent="0.2">
      <c r="A12">
        <v>10251</v>
      </c>
      <c r="B12">
        <v>65</v>
      </c>
      <c r="C12" s="2">
        <v>16.8</v>
      </c>
      <c r="D12" s="2">
        <v>20</v>
      </c>
      <c r="E12" s="3">
        <v>0</v>
      </c>
    </row>
    <row r="13" spans="1:5" x14ac:dyDescent="0.2">
      <c r="A13">
        <v>10252</v>
      </c>
      <c r="B13">
        <v>20</v>
      </c>
      <c r="C13" s="2">
        <v>64.8</v>
      </c>
      <c r="D13" s="2">
        <v>40</v>
      </c>
      <c r="E13" s="3">
        <v>0.05</v>
      </c>
    </row>
    <row r="14" spans="1:5" x14ac:dyDescent="0.2">
      <c r="A14">
        <v>10252</v>
      </c>
      <c r="B14">
        <v>33</v>
      </c>
      <c r="C14" s="2">
        <v>2</v>
      </c>
      <c r="D14" s="2">
        <v>25</v>
      </c>
      <c r="E14" s="3">
        <v>0.05</v>
      </c>
    </row>
    <row r="15" spans="1:5" x14ac:dyDescent="0.2">
      <c r="A15">
        <v>10252</v>
      </c>
      <c r="B15">
        <v>60</v>
      </c>
      <c r="C15" s="2">
        <v>27.2</v>
      </c>
      <c r="D15" s="2">
        <v>40</v>
      </c>
      <c r="E15" s="3">
        <v>0</v>
      </c>
    </row>
    <row r="16" spans="1:5" x14ac:dyDescent="0.2">
      <c r="A16">
        <v>10253</v>
      </c>
      <c r="B16">
        <v>31</v>
      </c>
      <c r="C16" s="2">
        <v>10</v>
      </c>
      <c r="D16" s="2">
        <v>20</v>
      </c>
      <c r="E16" s="3">
        <v>0</v>
      </c>
    </row>
    <row r="17" spans="1:5" x14ac:dyDescent="0.2">
      <c r="A17">
        <v>10253</v>
      </c>
      <c r="B17">
        <v>39</v>
      </c>
      <c r="C17" s="2">
        <v>14.4</v>
      </c>
      <c r="D17" s="2">
        <v>42</v>
      </c>
      <c r="E17" s="3">
        <v>0</v>
      </c>
    </row>
    <row r="18" spans="1:5" x14ac:dyDescent="0.2">
      <c r="A18">
        <v>10253</v>
      </c>
      <c r="B18">
        <v>49</v>
      </c>
      <c r="C18" s="2">
        <v>16</v>
      </c>
      <c r="D18" s="2">
        <v>40</v>
      </c>
      <c r="E18" s="3">
        <v>0</v>
      </c>
    </row>
    <row r="19" spans="1:5" x14ac:dyDescent="0.2">
      <c r="A19">
        <v>10254</v>
      </c>
      <c r="B19">
        <v>24</v>
      </c>
      <c r="C19" s="2">
        <v>3.6</v>
      </c>
      <c r="D19" s="2">
        <v>15</v>
      </c>
      <c r="E19" s="3">
        <v>0.15</v>
      </c>
    </row>
    <row r="20" spans="1:5" x14ac:dyDescent="0.2">
      <c r="A20">
        <v>10254</v>
      </c>
      <c r="B20">
        <v>55</v>
      </c>
      <c r="C20" s="2">
        <v>19.2</v>
      </c>
      <c r="D20" s="2">
        <v>21</v>
      </c>
      <c r="E20" s="3">
        <v>0.15</v>
      </c>
    </row>
    <row r="21" spans="1:5" x14ac:dyDescent="0.2">
      <c r="A21">
        <v>10254</v>
      </c>
      <c r="B21">
        <v>74</v>
      </c>
      <c r="C21" s="2">
        <v>8</v>
      </c>
      <c r="D21" s="2">
        <v>21</v>
      </c>
      <c r="E21" s="3">
        <v>0</v>
      </c>
    </row>
    <row r="22" spans="1:5" x14ac:dyDescent="0.2">
      <c r="A22">
        <v>10255</v>
      </c>
      <c r="B22">
        <v>2</v>
      </c>
      <c r="C22" s="2">
        <v>15.2</v>
      </c>
      <c r="D22" s="2">
        <v>20</v>
      </c>
      <c r="E22" s="3">
        <v>0</v>
      </c>
    </row>
    <row r="23" spans="1:5" x14ac:dyDescent="0.2">
      <c r="A23">
        <v>10255</v>
      </c>
      <c r="B23">
        <v>16</v>
      </c>
      <c r="C23" s="2">
        <v>13.9</v>
      </c>
      <c r="D23" s="2">
        <v>35</v>
      </c>
      <c r="E23" s="3">
        <v>0</v>
      </c>
    </row>
    <row r="24" spans="1:5" x14ac:dyDescent="0.2">
      <c r="A24">
        <v>10255</v>
      </c>
      <c r="B24">
        <v>36</v>
      </c>
      <c r="C24" s="2">
        <v>15.2</v>
      </c>
      <c r="D24" s="2">
        <v>25</v>
      </c>
      <c r="E24" s="3">
        <v>0</v>
      </c>
    </row>
    <row r="25" spans="1:5" x14ac:dyDescent="0.2">
      <c r="A25">
        <v>10255</v>
      </c>
      <c r="B25">
        <v>59</v>
      </c>
      <c r="C25" s="2">
        <v>44</v>
      </c>
      <c r="D25" s="2">
        <v>30</v>
      </c>
      <c r="E25" s="3">
        <v>0</v>
      </c>
    </row>
    <row r="26" spans="1:5" x14ac:dyDescent="0.2">
      <c r="A26">
        <v>10256</v>
      </c>
      <c r="B26">
        <v>53</v>
      </c>
      <c r="C26" s="2">
        <v>26.2</v>
      </c>
      <c r="D26" s="2">
        <v>15</v>
      </c>
      <c r="E26" s="3">
        <v>0</v>
      </c>
    </row>
    <row r="27" spans="1:5" x14ac:dyDescent="0.2">
      <c r="A27">
        <v>10256</v>
      </c>
      <c r="B27">
        <v>77</v>
      </c>
      <c r="C27" s="2">
        <v>10.4</v>
      </c>
      <c r="D27" s="2">
        <v>12</v>
      </c>
      <c r="E27" s="3">
        <v>0</v>
      </c>
    </row>
    <row r="28" spans="1:5" x14ac:dyDescent="0.2">
      <c r="A28">
        <v>10257</v>
      </c>
      <c r="B28">
        <v>27</v>
      </c>
      <c r="C28" s="2">
        <v>35.1</v>
      </c>
      <c r="D28" s="2">
        <v>25</v>
      </c>
      <c r="E28" s="3">
        <v>0</v>
      </c>
    </row>
    <row r="29" spans="1:5" x14ac:dyDescent="0.2">
      <c r="A29">
        <v>10257</v>
      </c>
      <c r="B29">
        <v>39</v>
      </c>
      <c r="C29" s="2">
        <v>14.4</v>
      </c>
      <c r="D29" s="2">
        <v>6</v>
      </c>
      <c r="E29" s="3">
        <v>0</v>
      </c>
    </row>
    <row r="30" spans="1:5" x14ac:dyDescent="0.2">
      <c r="A30">
        <v>10257</v>
      </c>
      <c r="B30">
        <v>77</v>
      </c>
      <c r="C30" s="2">
        <v>10.4</v>
      </c>
      <c r="D30" s="2">
        <v>15</v>
      </c>
      <c r="E30" s="3">
        <v>0</v>
      </c>
    </row>
    <row r="31" spans="1:5" x14ac:dyDescent="0.2">
      <c r="A31">
        <v>10258</v>
      </c>
      <c r="B31">
        <v>2</v>
      </c>
      <c r="C31" s="2">
        <v>15.2</v>
      </c>
      <c r="D31" s="2">
        <v>50</v>
      </c>
      <c r="E31" s="3">
        <v>0.2</v>
      </c>
    </row>
    <row r="32" spans="1:5" x14ac:dyDescent="0.2">
      <c r="A32">
        <v>10258</v>
      </c>
      <c r="B32">
        <v>5</v>
      </c>
      <c r="C32" s="2">
        <v>17</v>
      </c>
      <c r="D32" s="2">
        <v>65</v>
      </c>
      <c r="E32" s="3">
        <v>0.2</v>
      </c>
    </row>
    <row r="33" spans="1:5" x14ac:dyDescent="0.2">
      <c r="A33">
        <v>10258</v>
      </c>
      <c r="B33">
        <v>32</v>
      </c>
      <c r="C33" s="2">
        <v>25.6</v>
      </c>
      <c r="D33" s="2">
        <v>6</v>
      </c>
      <c r="E33" s="3">
        <v>0.2</v>
      </c>
    </row>
    <row r="34" spans="1:5" x14ac:dyDescent="0.2">
      <c r="A34">
        <v>10259</v>
      </c>
      <c r="B34">
        <v>21</v>
      </c>
      <c r="C34" s="2">
        <v>8</v>
      </c>
      <c r="D34" s="2">
        <v>10</v>
      </c>
      <c r="E34" s="3">
        <v>0</v>
      </c>
    </row>
    <row r="35" spans="1:5" x14ac:dyDescent="0.2">
      <c r="A35">
        <v>10259</v>
      </c>
      <c r="B35">
        <v>37</v>
      </c>
      <c r="C35" s="2">
        <v>20.8</v>
      </c>
      <c r="D35" s="2">
        <v>1</v>
      </c>
      <c r="E35" s="3">
        <v>0</v>
      </c>
    </row>
    <row r="36" spans="1:5" x14ac:dyDescent="0.2">
      <c r="A36">
        <v>10260</v>
      </c>
      <c r="B36">
        <v>41</v>
      </c>
      <c r="C36" s="2">
        <v>7.7</v>
      </c>
      <c r="D36" s="2">
        <v>16</v>
      </c>
      <c r="E36" s="3">
        <v>0.25</v>
      </c>
    </row>
    <row r="37" spans="1:5" x14ac:dyDescent="0.2">
      <c r="A37">
        <v>10260</v>
      </c>
      <c r="B37">
        <v>57</v>
      </c>
      <c r="C37" s="2">
        <v>15.6</v>
      </c>
      <c r="D37" s="2">
        <v>50</v>
      </c>
      <c r="E37" s="3">
        <v>0</v>
      </c>
    </row>
    <row r="38" spans="1:5" x14ac:dyDescent="0.2">
      <c r="A38">
        <v>10260</v>
      </c>
      <c r="B38">
        <v>62</v>
      </c>
      <c r="C38" s="2">
        <v>39.4</v>
      </c>
      <c r="D38" s="2">
        <v>15</v>
      </c>
      <c r="E38" s="3">
        <v>0.25</v>
      </c>
    </row>
    <row r="39" spans="1:5" x14ac:dyDescent="0.2">
      <c r="A39">
        <v>10260</v>
      </c>
      <c r="B39">
        <v>70</v>
      </c>
      <c r="C39" s="2">
        <v>12</v>
      </c>
      <c r="D39" s="2">
        <v>21</v>
      </c>
      <c r="E39" s="3">
        <v>0.25</v>
      </c>
    </row>
    <row r="40" spans="1:5" x14ac:dyDescent="0.2">
      <c r="A40">
        <v>10261</v>
      </c>
      <c r="B40">
        <v>21</v>
      </c>
      <c r="C40" s="2">
        <v>8</v>
      </c>
      <c r="D40" s="2">
        <v>20</v>
      </c>
      <c r="E40" s="3">
        <v>0</v>
      </c>
    </row>
    <row r="41" spans="1:5" x14ac:dyDescent="0.2">
      <c r="A41">
        <v>10261</v>
      </c>
      <c r="B41">
        <v>35</v>
      </c>
      <c r="C41" s="2">
        <v>14.4</v>
      </c>
      <c r="D41" s="2">
        <v>20</v>
      </c>
      <c r="E41" s="3">
        <v>0</v>
      </c>
    </row>
    <row r="42" spans="1:5" x14ac:dyDescent="0.2">
      <c r="A42">
        <v>10262</v>
      </c>
      <c r="B42">
        <v>5</v>
      </c>
      <c r="C42" s="2">
        <v>17</v>
      </c>
      <c r="D42" s="2">
        <v>12</v>
      </c>
      <c r="E42" s="3">
        <v>0.2</v>
      </c>
    </row>
    <row r="43" spans="1:5" x14ac:dyDescent="0.2">
      <c r="A43">
        <v>10262</v>
      </c>
      <c r="B43">
        <v>7</v>
      </c>
      <c r="C43" s="2">
        <v>24</v>
      </c>
      <c r="D43" s="2">
        <v>15</v>
      </c>
      <c r="E43" s="3">
        <v>0</v>
      </c>
    </row>
    <row r="44" spans="1:5" x14ac:dyDescent="0.2">
      <c r="A44">
        <v>10262</v>
      </c>
      <c r="B44">
        <v>56</v>
      </c>
      <c r="C44" s="2">
        <v>30.4</v>
      </c>
      <c r="D44" s="2">
        <v>2</v>
      </c>
      <c r="E44" s="3">
        <v>0</v>
      </c>
    </row>
    <row r="45" spans="1:5" x14ac:dyDescent="0.2">
      <c r="A45">
        <v>10263</v>
      </c>
      <c r="B45">
        <v>16</v>
      </c>
      <c r="C45" s="2">
        <v>13.9</v>
      </c>
      <c r="D45" s="2">
        <v>60</v>
      </c>
      <c r="E45" s="3">
        <v>0.25</v>
      </c>
    </row>
    <row r="46" spans="1:5" x14ac:dyDescent="0.2">
      <c r="A46">
        <v>10263</v>
      </c>
      <c r="B46">
        <v>24</v>
      </c>
      <c r="C46" s="2">
        <v>3.6</v>
      </c>
      <c r="D46" s="2">
        <v>28</v>
      </c>
      <c r="E46" s="3">
        <v>0</v>
      </c>
    </row>
    <row r="47" spans="1:5" x14ac:dyDescent="0.2">
      <c r="A47">
        <v>10263</v>
      </c>
      <c r="B47">
        <v>30</v>
      </c>
      <c r="C47" s="2">
        <v>20.7</v>
      </c>
      <c r="D47" s="2">
        <v>60</v>
      </c>
      <c r="E47" s="3">
        <v>0.25</v>
      </c>
    </row>
    <row r="48" spans="1:5" x14ac:dyDescent="0.2">
      <c r="A48">
        <v>10263</v>
      </c>
      <c r="B48">
        <v>74</v>
      </c>
      <c r="C48" s="2">
        <v>8</v>
      </c>
      <c r="D48" s="2">
        <v>36</v>
      </c>
      <c r="E48" s="3">
        <v>0.25</v>
      </c>
    </row>
    <row r="49" spans="1:5" x14ac:dyDescent="0.2">
      <c r="A49">
        <v>10264</v>
      </c>
      <c r="B49">
        <v>2</v>
      </c>
      <c r="C49" s="2">
        <v>15.2</v>
      </c>
      <c r="D49" s="2">
        <v>35</v>
      </c>
      <c r="E49" s="3">
        <v>0</v>
      </c>
    </row>
    <row r="50" spans="1:5" x14ac:dyDescent="0.2">
      <c r="A50">
        <v>10264</v>
      </c>
      <c r="B50">
        <v>41</v>
      </c>
      <c r="C50" s="2">
        <v>7.7</v>
      </c>
      <c r="D50" s="2">
        <v>25</v>
      </c>
      <c r="E50" s="3">
        <v>0.15</v>
      </c>
    </row>
    <row r="51" spans="1:5" x14ac:dyDescent="0.2">
      <c r="A51">
        <v>10265</v>
      </c>
      <c r="B51">
        <v>17</v>
      </c>
      <c r="C51" s="2">
        <v>31.2</v>
      </c>
      <c r="D51" s="2">
        <v>30</v>
      </c>
      <c r="E51" s="3">
        <v>0</v>
      </c>
    </row>
    <row r="52" spans="1:5" x14ac:dyDescent="0.2">
      <c r="A52">
        <v>10265</v>
      </c>
      <c r="B52">
        <v>70</v>
      </c>
      <c r="C52" s="2">
        <v>12</v>
      </c>
      <c r="D52" s="2">
        <v>20</v>
      </c>
      <c r="E52" s="3">
        <v>0</v>
      </c>
    </row>
    <row r="53" spans="1:5" x14ac:dyDescent="0.2">
      <c r="A53">
        <v>10266</v>
      </c>
      <c r="B53">
        <v>12</v>
      </c>
      <c r="C53" s="2">
        <v>30.4</v>
      </c>
      <c r="D53" s="2">
        <v>12</v>
      </c>
      <c r="E53" s="3">
        <v>0.05</v>
      </c>
    </row>
    <row r="54" spans="1:5" x14ac:dyDescent="0.2">
      <c r="A54">
        <v>10267</v>
      </c>
      <c r="B54">
        <v>40</v>
      </c>
      <c r="C54" s="2">
        <v>14.7</v>
      </c>
      <c r="D54" s="2">
        <v>50</v>
      </c>
      <c r="E54" s="3">
        <v>0</v>
      </c>
    </row>
    <row r="55" spans="1:5" x14ac:dyDescent="0.2">
      <c r="A55">
        <v>10267</v>
      </c>
      <c r="B55">
        <v>59</v>
      </c>
      <c r="C55" s="2">
        <v>44</v>
      </c>
      <c r="D55" s="2">
        <v>70</v>
      </c>
      <c r="E55" s="3">
        <v>0.15</v>
      </c>
    </row>
    <row r="56" spans="1:5" x14ac:dyDescent="0.2">
      <c r="A56">
        <v>10267</v>
      </c>
      <c r="B56">
        <v>76</v>
      </c>
      <c r="C56" s="2">
        <v>14.4</v>
      </c>
      <c r="D56" s="2">
        <v>15</v>
      </c>
      <c r="E56" s="3">
        <v>0.15</v>
      </c>
    </row>
    <row r="57" spans="1:5" x14ac:dyDescent="0.2">
      <c r="A57">
        <v>10268</v>
      </c>
      <c r="B57">
        <v>29</v>
      </c>
      <c r="C57" s="2">
        <v>99</v>
      </c>
      <c r="D57" s="2">
        <v>10</v>
      </c>
      <c r="E57" s="3">
        <v>0</v>
      </c>
    </row>
    <row r="58" spans="1:5" x14ac:dyDescent="0.2">
      <c r="A58">
        <v>10268</v>
      </c>
      <c r="B58">
        <v>72</v>
      </c>
      <c r="C58" s="2">
        <v>27.8</v>
      </c>
      <c r="D58" s="2">
        <v>4</v>
      </c>
      <c r="E58" s="3">
        <v>0</v>
      </c>
    </row>
    <row r="59" spans="1:5" x14ac:dyDescent="0.2">
      <c r="A59">
        <v>10269</v>
      </c>
      <c r="B59">
        <v>33</v>
      </c>
      <c r="C59" s="2">
        <v>2</v>
      </c>
      <c r="D59" s="2">
        <v>60</v>
      </c>
      <c r="E59" s="3">
        <v>0.05</v>
      </c>
    </row>
    <row r="60" spans="1:5" x14ac:dyDescent="0.2">
      <c r="A60">
        <v>10269</v>
      </c>
      <c r="B60">
        <v>72</v>
      </c>
      <c r="C60" s="2">
        <v>27.8</v>
      </c>
      <c r="D60" s="2">
        <v>20</v>
      </c>
      <c r="E60" s="3">
        <v>0.05</v>
      </c>
    </row>
    <row r="61" spans="1:5" x14ac:dyDescent="0.2">
      <c r="A61">
        <v>10270</v>
      </c>
      <c r="B61">
        <v>36</v>
      </c>
      <c r="C61" s="2">
        <v>15.2</v>
      </c>
      <c r="D61" s="2">
        <v>30</v>
      </c>
      <c r="E61" s="3">
        <v>0</v>
      </c>
    </row>
    <row r="62" spans="1:5" x14ac:dyDescent="0.2">
      <c r="A62">
        <v>10270</v>
      </c>
      <c r="B62">
        <v>43</v>
      </c>
      <c r="C62" s="2">
        <v>36.799999999999997</v>
      </c>
      <c r="D62" s="2">
        <v>25</v>
      </c>
      <c r="E62" s="3">
        <v>0</v>
      </c>
    </row>
    <row r="63" spans="1:5" x14ac:dyDescent="0.2">
      <c r="A63">
        <v>10271</v>
      </c>
      <c r="B63">
        <v>33</v>
      </c>
      <c r="C63" s="2">
        <v>2</v>
      </c>
      <c r="D63" s="2">
        <v>24</v>
      </c>
      <c r="E63" s="3">
        <v>0</v>
      </c>
    </row>
    <row r="64" spans="1:5" x14ac:dyDescent="0.2">
      <c r="A64">
        <v>10272</v>
      </c>
      <c r="B64">
        <v>20</v>
      </c>
      <c r="C64" s="2">
        <v>64.8</v>
      </c>
      <c r="D64" s="2">
        <v>6</v>
      </c>
      <c r="E64" s="3">
        <v>0</v>
      </c>
    </row>
    <row r="65" spans="1:5" x14ac:dyDescent="0.2">
      <c r="A65">
        <v>10272</v>
      </c>
      <c r="B65">
        <v>31</v>
      </c>
      <c r="C65" s="2">
        <v>10</v>
      </c>
      <c r="D65" s="2">
        <v>40</v>
      </c>
      <c r="E65" s="3">
        <v>0</v>
      </c>
    </row>
    <row r="66" spans="1:5" x14ac:dyDescent="0.2">
      <c r="A66">
        <v>10272</v>
      </c>
      <c r="B66">
        <v>72</v>
      </c>
      <c r="C66" s="2">
        <v>27.8</v>
      </c>
      <c r="D66" s="2">
        <v>24</v>
      </c>
      <c r="E66" s="3">
        <v>0</v>
      </c>
    </row>
    <row r="67" spans="1:5" x14ac:dyDescent="0.2">
      <c r="A67">
        <v>10273</v>
      </c>
      <c r="B67">
        <v>10</v>
      </c>
      <c r="C67" s="2">
        <v>24.8</v>
      </c>
      <c r="D67" s="2">
        <v>24</v>
      </c>
      <c r="E67" s="3">
        <v>0.05</v>
      </c>
    </row>
    <row r="68" spans="1:5" x14ac:dyDescent="0.2">
      <c r="A68">
        <v>10273</v>
      </c>
      <c r="B68">
        <v>31</v>
      </c>
      <c r="C68" s="2">
        <v>10</v>
      </c>
      <c r="D68" s="2">
        <v>15</v>
      </c>
      <c r="E68" s="3">
        <v>0.05</v>
      </c>
    </row>
    <row r="69" spans="1:5" x14ac:dyDescent="0.2">
      <c r="A69">
        <v>10273</v>
      </c>
      <c r="B69">
        <v>33</v>
      </c>
      <c r="C69" s="2">
        <v>2</v>
      </c>
      <c r="D69" s="2">
        <v>20</v>
      </c>
      <c r="E69" s="3">
        <v>0</v>
      </c>
    </row>
    <row r="70" spans="1:5" x14ac:dyDescent="0.2">
      <c r="A70">
        <v>10273</v>
      </c>
      <c r="B70">
        <v>40</v>
      </c>
      <c r="C70" s="2">
        <v>14.7</v>
      </c>
      <c r="D70" s="2">
        <v>60</v>
      </c>
      <c r="E70" s="3">
        <v>0.05</v>
      </c>
    </row>
    <row r="71" spans="1:5" x14ac:dyDescent="0.2">
      <c r="A71">
        <v>10273</v>
      </c>
      <c r="B71">
        <v>76</v>
      </c>
      <c r="C71" s="2">
        <v>14.4</v>
      </c>
      <c r="D71" s="2">
        <v>33</v>
      </c>
      <c r="E71" s="3">
        <v>0.05</v>
      </c>
    </row>
    <row r="72" spans="1:5" x14ac:dyDescent="0.2">
      <c r="A72">
        <v>10274</v>
      </c>
      <c r="B72">
        <v>71</v>
      </c>
      <c r="C72" s="2">
        <v>17.2</v>
      </c>
      <c r="D72" s="2">
        <v>20</v>
      </c>
      <c r="E72" s="3">
        <v>0</v>
      </c>
    </row>
    <row r="73" spans="1:5" x14ac:dyDescent="0.2">
      <c r="A73">
        <v>10274</v>
      </c>
      <c r="B73">
        <v>72</v>
      </c>
      <c r="C73" s="2">
        <v>27.8</v>
      </c>
      <c r="D73" s="2">
        <v>7</v>
      </c>
      <c r="E73" s="3">
        <v>0</v>
      </c>
    </row>
    <row r="74" spans="1:5" x14ac:dyDescent="0.2">
      <c r="A74">
        <v>10275</v>
      </c>
      <c r="B74">
        <v>24</v>
      </c>
      <c r="C74" s="2">
        <v>3.6</v>
      </c>
      <c r="D74" s="2">
        <v>12</v>
      </c>
      <c r="E74" s="3">
        <v>0.05</v>
      </c>
    </row>
    <row r="75" spans="1:5" x14ac:dyDescent="0.2">
      <c r="A75">
        <v>10275</v>
      </c>
      <c r="B75">
        <v>59</v>
      </c>
      <c r="C75" s="2">
        <v>44</v>
      </c>
      <c r="D75" s="2">
        <v>6</v>
      </c>
      <c r="E75" s="3">
        <v>0.05</v>
      </c>
    </row>
    <row r="76" spans="1:5" x14ac:dyDescent="0.2">
      <c r="A76">
        <v>10276</v>
      </c>
      <c r="B76">
        <v>10</v>
      </c>
      <c r="C76" s="2">
        <v>24.8</v>
      </c>
      <c r="D76" s="2">
        <v>15</v>
      </c>
      <c r="E76" s="3">
        <v>0</v>
      </c>
    </row>
    <row r="77" spans="1:5" x14ac:dyDescent="0.2">
      <c r="A77">
        <v>10276</v>
      </c>
      <c r="B77">
        <v>13</v>
      </c>
      <c r="C77" s="2">
        <v>4.8</v>
      </c>
      <c r="D77" s="2">
        <v>10</v>
      </c>
      <c r="E77" s="3">
        <v>0</v>
      </c>
    </row>
    <row r="78" spans="1:5" x14ac:dyDescent="0.2">
      <c r="A78">
        <v>10277</v>
      </c>
      <c r="B78">
        <v>28</v>
      </c>
      <c r="C78" s="2">
        <v>36.4</v>
      </c>
      <c r="D78" s="2">
        <v>20</v>
      </c>
      <c r="E78" s="3">
        <v>0</v>
      </c>
    </row>
    <row r="79" spans="1:5" x14ac:dyDescent="0.2">
      <c r="A79">
        <v>10277</v>
      </c>
      <c r="B79">
        <v>62</v>
      </c>
      <c r="C79" s="2">
        <v>39.4</v>
      </c>
      <c r="D79" s="2">
        <v>12</v>
      </c>
      <c r="E79" s="3">
        <v>0</v>
      </c>
    </row>
    <row r="80" spans="1:5" x14ac:dyDescent="0.2">
      <c r="A80">
        <v>10278</v>
      </c>
      <c r="B80">
        <v>44</v>
      </c>
      <c r="C80" s="2">
        <v>15.5</v>
      </c>
      <c r="D80" s="2">
        <v>16</v>
      </c>
      <c r="E80" s="3">
        <v>0</v>
      </c>
    </row>
    <row r="81" spans="1:5" x14ac:dyDescent="0.2">
      <c r="A81">
        <v>10278</v>
      </c>
      <c r="B81">
        <v>59</v>
      </c>
      <c r="C81" s="2">
        <v>44</v>
      </c>
      <c r="D81" s="2">
        <v>15</v>
      </c>
      <c r="E81" s="3">
        <v>0</v>
      </c>
    </row>
    <row r="82" spans="1:5" x14ac:dyDescent="0.2">
      <c r="A82">
        <v>10278</v>
      </c>
      <c r="B82">
        <v>63</v>
      </c>
      <c r="C82" s="2">
        <v>35.1</v>
      </c>
      <c r="D82" s="2">
        <v>8</v>
      </c>
      <c r="E82" s="3">
        <v>0</v>
      </c>
    </row>
    <row r="83" spans="1:5" x14ac:dyDescent="0.2">
      <c r="A83">
        <v>10278</v>
      </c>
      <c r="B83">
        <v>73</v>
      </c>
      <c r="C83" s="2">
        <v>12</v>
      </c>
      <c r="D83" s="2">
        <v>25</v>
      </c>
      <c r="E83" s="3">
        <v>0</v>
      </c>
    </row>
    <row r="84" spans="1:5" x14ac:dyDescent="0.2">
      <c r="A84">
        <v>10279</v>
      </c>
      <c r="B84">
        <v>17</v>
      </c>
      <c r="C84" s="2">
        <v>31.2</v>
      </c>
      <c r="D84" s="2">
        <v>15</v>
      </c>
      <c r="E84" s="3">
        <v>0.25</v>
      </c>
    </row>
    <row r="85" spans="1:5" x14ac:dyDescent="0.2">
      <c r="A85">
        <v>10280</v>
      </c>
      <c r="B85">
        <v>24</v>
      </c>
      <c r="C85" s="2">
        <v>3.6</v>
      </c>
      <c r="D85" s="2">
        <v>12</v>
      </c>
      <c r="E85" s="3">
        <v>0</v>
      </c>
    </row>
    <row r="86" spans="1:5" x14ac:dyDescent="0.2">
      <c r="A86">
        <v>10280</v>
      </c>
      <c r="B86">
        <v>55</v>
      </c>
      <c r="C86" s="2">
        <v>19.2</v>
      </c>
      <c r="D86" s="2">
        <v>20</v>
      </c>
      <c r="E86" s="3">
        <v>0</v>
      </c>
    </row>
    <row r="87" spans="1:5" x14ac:dyDescent="0.2">
      <c r="A87">
        <v>10280</v>
      </c>
      <c r="B87">
        <v>75</v>
      </c>
      <c r="C87" s="2">
        <v>6.2</v>
      </c>
      <c r="D87" s="2">
        <v>30</v>
      </c>
      <c r="E87" s="3">
        <v>0</v>
      </c>
    </row>
    <row r="88" spans="1:5" x14ac:dyDescent="0.2">
      <c r="A88">
        <v>10281</v>
      </c>
      <c r="B88">
        <v>19</v>
      </c>
      <c r="C88" s="2">
        <v>7.3</v>
      </c>
      <c r="D88" s="2">
        <v>1</v>
      </c>
      <c r="E88" s="3">
        <v>0</v>
      </c>
    </row>
    <row r="89" spans="1:5" x14ac:dyDescent="0.2">
      <c r="A89">
        <v>10281</v>
      </c>
      <c r="B89">
        <v>24</v>
      </c>
      <c r="C89" s="2">
        <v>3.6</v>
      </c>
      <c r="D89" s="2">
        <v>6</v>
      </c>
      <c r="E89" s="3">
        <v>0</v>
      </c>
    </row>
    <row r="90" spans="1:5" x14ac:dyDescent="0.2">
      <c r="A90">
        <v>10281</v>
      </c>
      <c r="B90">
        <v>35</v>
      </c>
      <c r="C90" s="2">
        <v>14.4</v>
      </c>
      <c r="D90" s="2">
        <v>4</v>
      </c>
      <c r="E90" s="3">
        <v>0</v>
      </c>
    </row>
    <row r="91" spans="1:5" x14ac:dyDescent="0.2">
      <c r="A91">
        <v>10282</v>
      </c>
      <c r="B91">
        <v>30</v>
      </c>
      <c r="C91" s="2">
        <v>20.7</v>
      </c>
      <c r="D91" s="2">
        <v>6</v>
      </c>
      <c r="E91" s="3">
        <v>0</v>
      </c>
    </row>
    <row r="92" spans="1:5" x14ac:dyDescent="0.2">
      <c r="A92">
        <v>10282</v>
      </c>
      <c r="B92">
        <v>57</v>
      </c>
      <c r="C92" s="2">
        <v>15.6</v>
      </c>
      <c r="D92" s="2">
        <v>2</v>
      </c>
      <c r="E92" s="3">
        <v>0</v>
      </c>
    </row>
    <row r="93" spans="1:5" x14ac:dyDescent="0.2">
      <c r="A93">
        <v>10283</v>
      </c>
      <c r="B93">
        <v>15</v>
      </c>
      <c r="C93" s="2">
        <v>12.4</v>
      </c>
      <c r="D93" s="2">
        <v>20</v>
      </c>
      <c r="E93" s="3">
        <v>0</v>
      </c>
    </row>
    <row r="94" spans="1:5" x14ac:dyDescent="0.2">
      <c r="A94">
        <v>10283</v>
      </c>
      <c r="B94">
        <v>19</v>
      </c>
      <c r="C94" s="2">
        <v>7.3</v>
      </c>
      <c r="D94" s="2">
        <v>18</v>
      </c>
      <c r="E94" s="3">
        <v>0</v>
      </c>
    </row>
    <row r="95" spans="1:5" x14ac:dyDescent="0.2">
      <c r="A95">
        <v>10283</v>
      </c>
      <c r="B95">
        <v>60</v>
      </c>
      <c r="C95" s="2">
        <v>27.2</v>
      </c>
      <c r="D95" s="2">
        <v>35</v>
      </c>
      <c r="E95" s="3">
        <v>0</v>
      </c>
    </row>
    <row r="96" spans="1:5" x14ac:dyDescent="0.2">
      <c r="A96">
        <v>10283</v>
      </c>
      <c r="B96">
        <v>72</v>
      </c>
      <c r="C96" s="2">
        <v>27.8</v>
      </c>
      <c r="D96" s="2">
        <v>3</v>
      </c>
      <c r="E96" s="3">
        <v>0</v>
      </c>
    </row>
    <row r="97" spans="1:5" x14ac:dyDescent="0.2">
      <c r="A97">
        <v>10284</v>
      </c>
      <c r="B97">
        <v>27</v>
      </c>
      <c r="C97" s="2">
        <v>35.1</v>
      </c>
      <c r="D97" s="2">
        <v>15</v>
      </c>
      <c r="E97" s="3">
        <v>0.25</v>
      </c>
    </row>
    <row r="98" spans="1:5" x14ac:dyDescent="0.2">
      <c r="A98">
        <v>10284</v>
      </c>
      <c r="B98">
        <v>44</v>
      </c>
      <c r="C98" s="2">
        <v>15.5</v>
      </c>
      <c r="D98" s="2">
        <v>21</v>
      </c>
      <c r="E98" s="3">
        <v>0</v>
      </c>
    </row>
    <row r="99" spans="1:5" x14ac:dyDescent="0.2">
      <c r="A99">
        <v>10284</v>
      </c>
      <c r="B99">
        <v>60</v>
      </c>
      <c r="C99" s="2">
        <v>27.2</v>
      </c>
      <c r="D99" s="2">
        <v>20</v>
      </c>
      <c r="E99" s="3">
        <v>0.25</v>
      </c>
    </row>
    <row r="100" spans="1:5" x14ac:dyDescent="0.2">
      <c r="A100">
        <v>10284</v>
      </c>
      <c r="B100">
        <v>67</v>
      </c>
      <c r="C100" s="2">
        <v>11.2</v>
      </c>
      <c r="D100" s="2">
        <v>5</v>
      </c>
      <c r="E100" s="3">
        <v>0.25</v>
      </c>
    </row>
    <row r="101" spans="1:5" x14ac:dyDescent="0.2">
      <c r="A101">
        <v>10285</v>
      </c>
      <c r="B101">
        <v>1</v>
      </c>
      <c r="C101" s="2">
        <v>14.4</v>
      </c>
      <c r="D101" s="2">
        <v>45</v>
      </c>
      <c r="E101" s="3">
        <v>0.2</v>
      </c>
    </row>
    <row r="102" spans="1:5" x14ac:dyDescent="0.2">
      <c r="A102">
        <v>10285</v>
      </c>
      <c r="B102">
        <v>40</v>
      </c>
      <c r="C102" s="2">
        <v>14.7</v>
      </c>
      <c r="D102" s="2">
        <v>40</v>
      </c>
      <c r="E102" s="3">
        <v>0.2</v>
      </c>
    </row>
    <row r="103" spans="1:5" x14ac:dyDescent="0.2">
      <c r="A103">
        <v>10285</v>
      </c>
      <c r="B103">
        <v>53</v>
      </c>
      <c r="C103" s="2">
        <v>26.2</v>
      </c>
      <c r="D103" s="2">
        <v>36</v>
      </c>
      <c r="E103" s="3">
        <v>0.2</v>
      </c>
    </row>
    <row r="104" spans="1:5" x14ac:dyDescent="0.2">
      <c r="A104">
        <v>10286</v>
      </c>
      <c r="B104">
        <v>35</v>
      </c>
      <c r="C104" s="2">
        <v>14.4</v>
      </c>
      <c r="D104" s="2">
        <v>100</v>
      </c>
      <c r="E104" s="3">
        <v>0</v>
      </c>
    </row>
    <row r="105" spans="1:5" x14ac:dyDescent="0.2">
      <c r="A105">
        <v>10286</v>
      </c>
      <c r="B105">
        <v>62</v>
      </c>
      <c r="C105" s="2">
        <v>39.4</v>
      </c>
      <c r="D105" s="2">
        <v>40</v>
      </c>
      <c r="E105" s="3">
        <v>0</v>
      </c>
    </row>
    <row r="106" spans="1:5" x14ac:dyDescent="0.2">
      <c r="A106">
        <v>10287</v>
      </c>
      <c r="B106">
        <v>16</v>
      </c>
      <c r="C106" s="2">
        <v>13.9</v>
      </c>
      <c r="D106" s="2">
        <v>40</v>
      </c>
      <c r="E106" s="3">
        <v>0.15</v>
      </c>
    </row>
    <row r="107" spans="1:5" x14ac:dyDescent="0.2">
      <c r="A107">
        <v>10287</v>
      </c>
      <c r="B107">
        <v>34</v>
      </c>
      <c r="C107" s="2">
        <v>11.2</v>
      </c>
      <c r="D107" s="2">
        <v>20</v>
      </c>
      <c r="E107" s="3">
        <v>0</v>
      </c>
    </row>
    <row r="108" spans="1:5" x14ac:dyDescent="0.2">
      <c r="A108">
        <v>10287</v>
      </c>
      <c r="B108">
        <v>46</v>
      </c>
      <c r="C108" s="2">
        <v>9.6</v>
      </c>
      <c r="D108" s="2">
        <v>15</v>
      </c>
      <c r="E108" s="3">
        <v>0.15</v>
      </c>
    </row>
    <row r="109" spans="1:5" x14ac:dyDescent="0.2">
      <c r="A109">
        <v>10288</v>
      </c>
      <c r="B109">
        <v>54</v>
      </c>
      <c r="C109" s="2">
        <v>5.9</v>
      </c>
      <c r="D109" s="2">
        <v>10</v>
      </c>
      <c r="E109" s="3">
        <v>0.1</v>
      </c>
    </row>
    <row r="110" spans="1:5" x14ac:dyDescent="0.2">
      <c r="A110">
        <v>10288</v>
      </c>
      <c r="B110">
        <v>68</v>
      </c>
      <c r="C110" s="2">
        <v>10</v>
      </c>
      <c r="D110" s="2">
        <v>3</v>
      </c>
      <c r="E110" s="3">
        <v>0.1</v>
      </c>
    </row>
    <row r="111" spans="1:5" x14ac:dyDescent="0.2">
      <c r="A111">
        <v>10289</v>
      </c>
      <c r="B111">
        <v>3</v>
      </c>
      <c r="C111" s="2">
        <v>8</v>
      </c>
      <c r="D111" s="2">
        <v>30</v>
      </c>
      <c r="E111" s="3">
        <v>0</v>
      </c>
    </row>
    <row r="112" spans="1:5" x14ac:dyDescent="0.2">
      <c r="A112">
        <v>10289</v>
      </c>
      <c r="B112">
        <v>64</v>
      </c>
      <c r="C112" s="2">
        <v>26.6</v>
      </c>
      <c r="D112" s="2">
        <v>9</v>
      </c>
      <c r="E112" s="3">
        <v>0</v>
      </c>
    </row>
    <row r="113" spans="1:5" x14ac:dyDescent="0.2">
      <c r="A113">
        <v>10290</v>
      </c>
      <c r="B113">
        <v>5</v>
      </c>
      <c r="C113" s="2">
        <v>17</v>
      </c>
      <c r="D113" s="2">
        <v>20</v>
      </c>
      <c r="E113" s="3">
        <v>0</v>
      </c>
    </row>
    <row r="114" spans="1:5" x14ac:dyDescent="0.2">
      <c r="A114">
        <v>10290</v>
      </c>
      <c r="B114">
        <v>29</v>
      </c>
      <c r="C114" s="2">
        <v>99</v>
      </c>
      <c r="D114" s="2">
        <v>15</v>
      </c>
      <c r="E114" s="3">
        <v>0</v>
      </c>
    </row>
    <row r="115" spans="1:5" x14ac:dyDescent="0.2">
      <c r="A115">
        <v>10290</v>
      </c>
      <c r="B115">
        <v>49</v>
      </c>
      <c r="C115" s="2">
        <v>16</v>
      </c>
      <c r="D115" s="2">
        <v>15</v>
      </c>
      <c r="E115" s="3">
        <v>0</v>
      </c>
    </row>
    <row r="116" spans="1:5" x14ac:dyDescent="0.2">
      <c r="A116">
        <v>10290</v>
      </c>
      <c r="B116">
        <v>77</v>
      </c>
      <c r="C116" s="2">
        <v>10.4</v>
      </c>
      <c r="D116" s="2">
        <v>10</v>
      </c>
      <c r="E116" s="3">
        <v>0</v>
      </c>
    </row>
    <row r="117" spans="1:5" x14ac:dyDescent="0.2">
      <c r="A117">
        <v>10291</v>
      </c>
      <c r="B117">
        <v>13</v>
      </c>
      <c r="C117" s="2">
        <v>4.8</v>
      </c>
      <c r="D117" s="2">
        <v>20</v>
      </c>
      <c r="E117" s="3">
        <v>0.1</v>
      </c>
    </row>
    <row r="118" spans="1:5" x14ac:dyDescent="0.2">
      <c r="A118">
        <v>10291</v>
      </c>
      <c r="B118">
        <v>44</v>
      </c>
      <c r="C118" s="2">
        <v>15.5</v>
      </c>
      <c r="D118" s="2">
        <v>24</v>
      </c>
      <c r="E118" s="3">
        <v>0.1</v>
      </c>
    </row>
    <row r="119" spans="1:5" x14ac:dyDescent="0.2">
      <c r="A119">
        <v>10291</v>
      </c>
      <c r="B119">
        <v>51</v>
      </c>
      <c r="C119" s="2">
        <v>42.4</v>
      </c>
      <c r="D119" s="2">
        <v>2</v>
      </c>
      <c r="E119" s="3">
        <v>0.1</v>
      </c>
    </row>
    <row r="120" spans="1:5" x14ac:dyDescent="0.2">
      <c r="A120">
        <v>10292</v>
      </c>
      <c r="B120">
        <v>20</v>
      </c>
      <c r="C120" s="2">
        <v>64.8</v>
      </c>
      <c r="D120" s="2">
        <v>20</v>
      </c>
      <c r="E120" s="3">
        <v>0</v>
      </c>
    </row>
    <row r="121" spans="1:5" x14ac:dyDescent="0.2">
      <c r="A121">
        <v>10293</v>
      </c>
      <c r="B121">
        <v>18</v>
      </c>
      <c r="C121" s="2">
        <v>50</v>
      </c>
      <c r="D121" s="2">
        <v>12</v>
      </c>
      <c r="E121" s="3">
        <v>0</v>
      </c>
    </row>
    <row r="122" spans="1:5" x14ac:dyDescent="0.2">
      <c r="A122">
        <v>10293</v>
      </c>
      <c r="B122">
        <v>24</v>
      </c>
      <c r="C122" s="2">
        <v>3.6</v>
      </c>
      <c r="D122" s="2">
        <v>10</v>
      </c>
      <c r="E122" s="3">
        <v>0</v>
      </c>
    </row>
    <row r="123" spans="1:5" x14ac:dyDescent="0.2">
      <c r="A123">
        <v>10293</v>
      </c>
      <c r="B123">
        <v>63</v>
      </c>
      <c r="C123" s="2">
        <v>35.1</v>
      </c>
      <c r="D123" s="2">
        <v>5</v>
      </c>
      <c r="E123" s="3">
        <v>0</v>
      </c>
    </row>
    <row r="124" spans="1:5" x14ac:dyDescent="0.2">
      <c r="A124">
        <v>10293</v>
      </c>
      <c r="B124">
        <v>75</v>
      </c>
      <c r="C124" s="2">
        <v>6.2</v>
      </c>
      <c r="D124" s="2">
        <v>6</v>
      </c>
      <c r="E124" s="3">
        <v>0</v>
      </c>
    </row>
    <row r="125" spans="1:5" x14ac:dyDescent="0.2">
      <c r="A125">
        <v>10294</v>
      </c>
      <c r="B125">
        <v>1</v>
      </c>
      <c r="C125" s="2">
        <v>14.4</v>
      </c>
      <c r="D125" s="2">
        <v>18</v>
      </c>
      <c r="E125" s="3">
        <v>0</v>
      </c>
    </row>
    <row r="126" spans="1:5" x14ac:dyDescent="0.2">
      <c r="A126">
        <v>10294</v>
      </c>
      <c r="B126">
        <v>17</v>
      </c>
      <c r="C126" s="2">
        <v>31.2</v>
      </c>
      <c r="D126" s="2">
        <v>15</v>
      </c>
      <c r="E126" s="3">
        <v>0</v>
      </c>
    </row>
    <row r="127" spans="1:5" x14ac:dyDescent="0.2">
      <c r="A127">
        <v>10294</v>
      </c>
      <c r="B127">
        <v>43</v>
      </c>
      <c r="C127" s="2">
        <v>36.799999999999997</v>
      </c>
      <c r="D127" s="2">
        <v>15</v>
      </c>
      <c r="E127" s="3">
        <v>0</v>
      </c>
    </row>
    <row r="128" spans="1:5" x14ac:dyDescent="0.2">
      <c r="A128">
        <v>10294</v>
      </c>
      <c r="B128">
        <v>60</v>
      </c>
      <c r="C128" s="2">
        <v>27.2</v>
      </c>
      <c r="D128" s="2">
        <v>21</v>
      </c>
      <c r="E128" s="3">
        <v>0</v>
      </c>
    </row>
    <row r="129" spans="1:5" x14ac:dyDescent="0.2">
      <c r="A129">
        <v>10294</v>
      </c>
      <c r="B129">
        <v>75</v>
      </c>
      <c r="C129" s="2">
        <v>6.2</v>
      </c>
      <c r="D129" s="2">
        <v>6</v>
      </c>
      <c r="E129" s="3">
        <v>0</v>
      </c>
    </row>
    <row r="130" spans="1:5" x14ac:dyDescent="0.2">
      <c r="A130">
        <v>10295</v>
      </c>
      <c r="B130">
        <v>56</v>
      </c>
      <c r="C130" s="2">
        <v>30.4</v>
      </c>
      <c r="D130" s="2">
        <v>4</v>
      </c>
      <c r="E130" s="3">
        <v>0</v>
      </c>
    </row>
    <row r="131" spans="1:5" x14ac:dyDescent="0.2">
      <c r="A131">
        <v>10296</v>
      </c>
      <c r="B131">
        <v>11</v>
      </c>
      <c r="C131" s="2">
        <v>16.8</v>
      </c>
      <c r="D131" s="2">
        <v>12</v>
      </c>
      <c r="E131" s="3">
        <v>0</v>
      </c>
    </row>
    <row r="132" spans="1:5" x14ac:dyDescent="0.2">
      <c r="A132">
        <v>10296</v>
      </c>
      <c r="B132">
        <v>16</v>
      </c>
      <c r="C132" s="2">
        <v>13.9</v>
      </c>
      <c r="D132" s="2">
        <v>30</v>
      </c>
      <c r="E132" s="3">
        <v>0</v>
      </c>
    </row>
    <row r="133" spans="1:5" x14ac:dyDescent="0.2">
      <c r="A133">
        <v>10296</v>
      </c>
      <c r="B133">
        <v>69</v>
      </c>
      <c r="C133" s="2">
        <v>28.8</v>
      </c>
      <c r="D133" s="2">
        <v>15</v>
      </c>
      <c r="E133" s="3">
        <v>0</v>
      </c>
    </row>
    <row r="134" spans="1:5" x14ac:dyDescent="0.2">
      <c r="A134">
        <v>10297</v>
      </c>
      <c r="B134">
        <v>39</v>
      </c>
      <c r="C134" s="2">
        <v>14.4</v>
      </c>
      <c r="D134" s="2">
        <v>60</v>
      </c>
      <c r="E134" s="3">
        <v>0</v>
      </c>
    </row>
    <row r="135" spans="1:5" x14ac:dyDescent="0.2">
      <c r="A135">
        <v>10297</v>
      </c>
      <c r="B135">
        <v>72</v>
      </c>
      <c r="C135" s="2">
        <v>27.8</v>
      </c>
      <c r="D135" s="2">
        <v>20</v>
      </c>
      <c r="E135" s="3">
        <v>0</v>
      </c>
    </row>
    <row r="136" spans="1:5" x14ac:dyDescent="0.2">
      <c r="A136">
        <v>10298</v>
      </c>
      <c r="B136">
        <v>2</v>
      </c>
      <c r="C136" s="2">
        <v>15.2</v>
      </c>
      <c r="D136" s="2">
        <v>40</v>
      </c>
      <c r="E136" s="3">
        <v>0</v>
      </c>
    </row>
    <row r="137" spans="1:5" x14ac:dyDescent="0.2">
      <c r="A137">
        <v>10298</v>
      </c>
      <c r="B137">
        <v>36</v>
      </c>
      <c r="C137" s="2">
        <v>15.2</v>
      </c>
      <c r="D137" s="2">
        <v>40</v>
      </c>
      <c r="E137" s="3">
        <v>0.25</v>
      </c>
    </row>
    <row r="138" spans="1:5" x14ac:dyDescent="0.2">
      <c r="A138">
        <v>10298</v>
      </c>
      <c r="B138">
        <v>59</v>
      </c>
      <c r="C138" s="2">
        <v>44</v>
      </c>
      <c r="D138" s="2">
        <v>30</v>
      </c>
      <c r="E138" s="3">
        <v>0.25</v>
      </c>
    </row>
    <row r="139" spans="1:5" x14ac:dyDescent="0.2">
      <c r="A139">
        <v>10298</v>
      </c>
      <c r="B139">
        <v>62</v>
      </c>
      <c r="C139" s="2">
        <v>39.4</v>
      </c>
      <c r="D139" s="2">
        <v>15</v>
      </c>
      <c r="E139" s="3">
        <v>0</v>
      </c>
    </row>
    <row r="140" spans="1:5" x14ac:dyDescent="0.2">
      <c r="A140">
        <v>10299</v>
      </c>
      <c r="B140">
        <v>19</v>
      </c>
      <c r="C140" s="2">
        <v>7.3</v>
      </c>
      <c r="D140" s="2">
        <v>15</v>
      </c>
      <c r="E140" s="3">
        <v>0</v>
      </c>
    </row>
    <row r="141" spans="1:5" x14ac:dyDescent="0.2">
      <c r="A141">
        <v>10299</v>
      </c>
      <c r="B141">
        <v>70</v>
      </c>
      <c r="C141" s="2">
        <v>12</v>
      </c>
      <c r="D141" s="2">
        <v>20</v>
      </c>
      <c r="E141" s="3">
        <v>0</v>
      </c>
    </row>
    <row r="142" spans="1:5" x14ac:dyDescent="0.2">
      <c r="A142">
        <v>10300</v>
      </c>
      <c r="B142">
        <v>66</v>
      </c>
      <c r="C142" s="2">
        <v>13.6</v>
      </c>
      <c r="D142" s="2">
        <v>30</v>
      </c>
      <c r="E142" s="3">
        <v>0</v>
      </c>
    </row>
    <row r="143" spans="1:5" x14ac:dyDescent="0.2">
      <c r="A143">
        <v>10300</v>
      </c>
      <c r="B143">
        <v>68</v>
      </c>
      <c r="C143" s="2">
        <v>10</v>
      </c>
      <c r="D143" s="2">
        <v>20</v>
      </c>
      <c r="E143" s="3">
        <v>0</v>
      </c>
    </row>
    <row r="144" spans="1:5" x14ac:dyDescent="0.2">
      <c r="A144">
        <v>10301</v>
      </c>
      <c r="B144">
        <v>40</v>
      </c>
      <c r="C144" s="2">
        <v>14.7</v>
      </c>
      <c r="D144" s="2">
        <v>10</v>
      </c>
      <c r="E144" s="3">
        <v>0</v>
      </c>
    </row>
    <row r="145" spans="1:5" x14ac:dyDescent="0.2">
      <c r="A145">
        <v>10301</v>
      </c>
      <c r="B145">
        <v>56</v>
      </c>
      <c r="C145" s="2">
        <v>30.4</v>
      </c>
      <c r="D145" s="2">
        <v>20</v>
      </c>
      <c r="E145" s="3">
        <v>0</v>
      </c>
    </row>
    <row r="146" spans="1:5" x14ac:dyDescent="0.2">
      <c r="A146">
        <v>10302</v>
      </c>
      <c r="B146">
        <v>17</v>
      </c>
      <c r="C146" s="2">
        <v>31.2</v>
      </c>
      <c r="D146" s="2">
        <v>40</v>
      </c>
      <c r="E146" s="3">
        <v>0</v>
      </c>
    </row>
    <row r="147" spans="1:5" x14ac:dyDescent="0.2">
      <c r="A147">
        <v>10302</v>
      </c>
      <c r="B147">
        <v>28</v>
      </c>
      <c r="C147" s="2">
        <v>36.4</v>
      </c>
      <c r="D147" s="2">
        <v>28</v>
      </c>
      <c r="E147" s="3">
        <v>0</v>
      </c>
    </row>
    <row r="148" spans="1:5" x14ac:dyDescent="0.2">
      <c r="A148">
        <v>10302</v>
      </c>
      <c r="B148">
        <v>43</v>
      </c>
      <c r="C148" s="2">
        <v>36.799999999999997</v>
      </c>
      <c r="D148" s="2">
        <v>12</v>
      </c>
      <c r="E148" s="3">
        <v>0</v>
      </c>
    </row>
    <row r="149" spans="1:5" x14ac:dyDescent="0.2">
      <c r="A149">
        <v>10303</v>
      </c>
      <c r="B149">
        <v>40</v>
      </c>
      <c r="C149" s="2">
        <v>14.7</v>
      </c>
      <c r="D149" s="2">
        <v>40</v>
      </c>
      <c r="E149" s="3">
        <v>0.1</v>
      </c>
    </row>
    <row r="150" spans="1:5" x14ac:dyDescent="0.2">
      <c r="A150">
        <v>10303</v>
      </c>
      <c r="B150">
        <v>65</v>
      </c>
      <c r="C150" s="2">
        <v>16.8</v>
      </c>
      <c r="D150" s="2">
        <v>30</v>
      </c>
      <c r="E150" s="3">
        <v>0.1</v>
      </c>
    </row>
    <row r="151" spans="1:5" x14ac:dyDescent="0.2">
      <c r="A151">
        <v>10303</v>
      </c>
      <c r="B151">
        <v>68</v>
      </c>
      <c r="C151" s="2">
        <v>10</v>
      </c>
      <c r="D151" s="2">
        <v>15</v>
      </c>
      <c r="E151" s="3">
        <v>0.1</v>
      </c>
    </row>
    <row r="152" spans="1:5" x14ac:dyDescent="0.2">
      <c r="A152">
        <v>10304</v>
      </c>
      <c r="B152">
        <v>49</v>
      </c>
      <c r="C152" s="2">
        <v>16</v>
      </c>
      <c r="D152" s="2">
        <v>30</v>
      </c>
      <c r="E152" s="3">
        <v>0</v>
      </c>
    </row>
    <row r="153" spans="1:5" x14ac:dyDescent="0.2">
      <c r="A153">
        <v>10304</v>
      </c>
      <c r="B153">
        <v>59</v>
      </c>
      <c r="C153" s="2">
        <v>44</v>
      </c>
      <c r="D153" s="2">
        <v>10</v>
      </c>
      <c r="E153" s="3">
        <v>0</v>
      </c>
    </row>
    <row r="154" spans="1:5" x14ac:dyDescent="0.2">
      <c r="A154">
        <v>10304</v>
      </c>
      <c r="B154">
        <v>71</v>
      </c>
      <c r="C154" s="2">
        <v>17.2</v>
      </c>
      <c r="D154" s="2">
        <v>2</v>
      </c>
      <c r="E154" s="3">
        <v>0</v>
      </c>
    </row>
    <row r="155" spans="1:5" x14ac:dyDescent="0.2">
      <c r="A155">
        <v>10305</v>
      </c>
      <c r="B155">
        <v>18</v>
      </c>
      <c r="C155" s="2">
        <v>50</v>
      </c>
      <c r="D155" s="2">
        <v>25</v>
      </c>
      <c r="E155" s="3">
        <v>0.1</v>
      </c>
    </row>
    <row r="156" spans="1:5" x14ac:dyDescent="0.2">
      <c r="A156">
        <v>10305</v>
      </c>
      <c r="B156">
        <v>29</v>
      </c>
      <c r="C156" s="2">
        <v>99</v>
      </c>
      <c r="D156" s="2">
        <v>25</v>
      </c>
      <c r="E156" s="3">
        <v>0.1</v>
      </c>
    </row>
    <row r="157" spans="1:5" x14ac:dyDescent="0.2">
      <c r="A157">
        <v>10305</v>
      </c>
      <c r="B157">
        <v>39</v>
      </c>
      <c r="C157" s="2">
        <v>14.4</v>
      </c>
      <c r="D157" s="2">
        <v>30</v>
      </c>
      <c r="E157" s="3">
        <v>0.1</v>
      </c>
    </row>
    <row r="158" spans="1:5" x14ac:dyDescent="0.2">
      <c r="A158">
        <v>10306</v>
      </c>
      <c r="B158">
        <v>30</v>
      </c>
      <c r="C158" s="2">
        <v>20.7</v>
      </c>
      <c r="D158" s="2">
        <v>10</v>
      </c>
      <c r="E158" s="3">
        <v>0</v>
      </c>
    </row>
    <row r="159" spans="1:5" x14ac:dyDescent="0.2">
      <c r="A159">
        <v>10306</v>
      </c>
      <c r="B159">
        <v>53</v>
      </c>
      <c r="C159" s="2">
        <v>26.2</v>
      </c>
      <c r="D159" s="2">
        <v>10</v>
      </c>
      <c r="E159" s="3">
        <v>0</v>
      </c>
    </row>
    <row r="160" spans="1:5" x14ac:dyDescent="0.2">
      <c r="A160">
        <v>10306</v>
      </c>
      <c r="B160">
        <v>54</v>
      </c>
      <c r="C160" s="2">
        <v>5.9</v>
      </c>
      <c r="D160" s="2">
        <v>5</v>
      </c>
      <c r="E160" s="3">
        <v>0</v>
      </c>
    </row>
    <row r="161" spans="1:5" x14ac:dyDescent="0.2">
      <c r="A161">
        <v>10307</v>
      </c>
      <c r="B161">
        <v>62</v>
      </c>
      <c r="C161" s="2">
        <v>39.4</v>
      </c>
      <c r="D161" s="2">
        <v>10</v>
      </c>
      <c r="E161" s="3">
        <v>0</v>
      </c>
    </row>
    <row r="162" spans="1:5" x14ac:dyDescent="0.2">
      <c r="A162">
        <v>10307</v>
      </c>
      <c r="B162">
        <v>68</v>
      </c>
      <c r="C162" s="2">
        <v>10</v>
      </c>
      <c r="D162" s="2">
        <v>3</v>
      </c>
      <c r="E162" s="3">
        <v>0</v>
      </c>
    </row>
    <row r="163" spans="1:5" x14ac:dyDescent="0.2">
      <c r="A163">
        <v>10308</v>
      </c>
      <c r="B163">
        <v>69</v>
      </c>
      <c r="C163" s="2">
        <v>28.8</v>
      </c>
      <c r="D163" s="2">
        <v>1</v>
      </c>
      <c r="E163" s="3">
        <v>0</v>
      </c>
    </row>
    <row r="164" spans="1:5" x14ac:dyDescent="0.2">
      <c r="A164">
        <v>10308</v>
      </c>
      <c r="B164">
        <v>70</v>
      </c>
      <c r="C164" s="2">
        <v>12</v>
      </c>
      <c r="D164" s="2">
        <v>5</v>
      </c>
      <c r="E164" s="3">
        <v>0</v>
      </c>
    </row>
    <row r="165" spans="1:5" x14ac:dyDescent="0.2">
      <c r="A165">
        <v>10309</v>
      </c>
      <c r="B165">
        <v>4</v>
      </c>
      <c r="C165" s="2">
        <v>17.600000000000001</v>
      </c>
      <c r="D165" s="2">
        <v>20</v>
      </c>
      <c r="E165" s="3">
        <v>0</v>
      </c>
    </row>
    <row r="166" spans="1:5" x14ac:dyDescent="0.2">
      <c r="A166">
        <v>10309</v>
      </c>
      <c r="B166">
        <v>6</v>
      </c>
      <c r="C166" s="2">
        <v>20</v>
      </c>
      <c r="D166" s="2">
        <v>30</v>
      </c>
      <c r="E166" s="3">
        <v>0</v>
      </c>
    </row>
    <row r="167" spans="1:5" x14ac:dyDescent="0.2">
      <c r="A167">
        <v>10309</v>
      </c>
      <c r="B167">
        <v>42</v>
      </c>
      <c r="C167" s="2">
        <v>11.2</v>
      </c>
      <c r="D167" s="2">
        <v>2</v>
      </c>
      <c r="E167" s="3">
        <v>0</v>
      </c>
    </row>
    <row r="168" spans="1:5" x14ac:dyDescent="0.2">
      <c r="A168">
        <v>10309</v>
      </c>
      <c r="B168">
        <v>43</v>
      </c>
      <c r="C168" s="2">
        <v>36.799999999999997</v>
      </c>
      <c r="D168" s="2">
        <v>20</v>
      </c>
      <c r="E168" s="3">
        <v>0</v>
      </c>
    </row>
    <row r="169" spans="1:5" x14ac:dyDescent="0.2">
      <c r="A169">
        <v>10309</v>
      </c>
      <c r="B169">
        <v>71</v>
      </c>
      <c r="C169" s="2">
        <v>17.2</v>
      </c>
      <c r="D169" s="2">
        <v>3</v>
      </c>
      <c r="E169" s="3">
        <v>0</v>
      </c>
    </row>
    <row r="170" spans="1:5" x14ac:dyDescent="0.2">
      <c r="A170">
        <v>10310</v>
      </c>
      <c r="B170">
        <v>16</v>
      </c>
      <c r="C170" s="2">
        <v>13.9</v>
      </c>
      <c r="D170" s="2">
        <v>10</v>
      </c>
      <c r="E170" s="3">
        <v>0</v>
      </c>
    </row>
    <row r="171" spans="1:5" x14ac:dyDescent="0.2">
      <c r="A171">
        <v>10310</v>
      </c>
      <c r="B171">
        <v>62</v>
      </c>
      <c r="C171" s="2">
        <v>39.4</v>
      </c>
      <c r="D171" s="2">
        <v>5</v>
      </c>
      <c r="E171" s="3">
        <v>0</v>
      </c>
    </row>
    <row r="172" spans="1:5" x14ac:dyDescent="0.2">
      <c r="A172">
        <v>10311</v>
      </c>
      <c r="B172">
        <v>42</v>
      </c>
      <c r="C172" s="2">
        <v>11.2</v>
      </c>
      <c r="D172" s="2">
        <v>6</v>
      </c>
      <c r="E172" s="3">
        <v>0</v>
      </c>
    </row>
    <row r="173" spans="1:5" x14ac:dyDescent="0.2">
      <c r="A173">
        <v>10311</v>
      </c>
      <c r="B173">
        <v>69</v>
      </c>
      <c r="C173" s="2">
        <v>28.8</v>
      </c>
      <c r="D173" s="2">
        <v>7</v>
      </c>
      <c r="E173" s="3">
        <v>0</v>
      </c>
    </row>
    <row r="174" spans="1:5" x14ac:dyDescent="0.2">
      <c r="A174">
        <v>10312</v>
      </c>
      <c r="B174">
        <v>28</v>
      </c>
      <c r="C174" s="2">
        <v>36.4</v>
      </c>
      <c r="D174" s="2">
        <v>4</v>
      </c>
      <c r="E174" s="3">
        <v>0</v>
      </c>
    </row>
    <row r="175" spans="1:5" x14ac:dyDescent="0.2">
      <c r="A175">
        <v>10312</v>
      </c>
      <c r="B175">
        <v>43</v>
      </c>
      <c r="C175" s="2">
        <v>36.799999999999997</v>
      </c>
      <c r="D175" s="2">
        <v>24</v>
      </c>
      <c r="E175" s="3">
        <v>0</v>
      </c>
    </row>
    <row r="176" spans="1:5" x14ac:dyDescent="0.2">
      <c r="A176">
        <v>10312</v>
      </c>
      <c r="B176">
        <v>53</v>
      </c>
      <c r="C176" s="2">
        <v>26.2</v>
      </c>
      <c r="D176" s="2">
        <v>20</v>
      </c>
      <c r="E176" s="3">
        <v>0</v>
      </c>
    </row>
    <row r="177" spans="1:5" x14ac:dyDescent="0.2">
      <c r="A177">
        <v>10312</v>
      </c>
      <c r="B177">
        <v>75</v>
      </c>
      <c r="C177" s="2">
        <v>6.2</v>
      </c>
      <c r="D177" s="2">
        <v>10</v>
      </c>
      <c r="E177" s="3">
        <v>0</v>
      </c>
    </row>
    <row r="178" spans="1:5" x14ac:dyDescent="0.2">
      <c r="A178">
        <v>10313</v>
      </c>
      <c r="B178">
        <v>36</v>
      </c>
      <c r="C178" s="2">
        <v>15.2</v>
      </c>
      <c r="D178" s="2">
        <v>12</v>
      </c>
      <c r="E178" s="3">
        <v>0</v>
      </c>
    </row>
    <row r="179" spans="1:5" x14ac:dyDescent="0.2">
      <c r="A179">
        <v>10314</v>
      </c>
      <c r="B179">
        <v>32</v>
      </c>
      <c r="C179" s="2">
        <v>25.6</v>
      </c>
      <c r="D179" s="2">
        <v>40</v>
      </c>
      <c r="E179" s="3">
        <v>0.1</v>
      </c>
    </row>
    <row r="180" spans="1:5" x14ac:dyDescent="0.2">
      <c r="A180">
        <v>10314</v>
      </c>
      <c r="B180">
        <v>58</v>
      </c>
      <c r="C180" s="2">
        <v>10.6</v>
      </c>
      <c r="D180" s="2">
        <v>30</v>
      </c>
      <c r="E180" s="3">
        <v>0.1</v>
      </c>
    </row>
    <row r="181" spans="1:5" x14ac:dyDescent="0.2">
      <c r="A181">
        <v>10314</v>
      </c>
      <c r="B181">
        <v>62</v>
      </c>
      <c r="C181" s="2">
        <v>39.4</v>
      </c>
      <c r="D181" s="2">
        <v>25</v>
      </c>
      <c r="E181" s="3">
        <v>0.1</v>
      </c>
    </row>
    <row r="182" spans="1:5" x14ac:dyDescent="0.2">
      <c r="A182">
        <v>10315</v>
      </c>
      <c r="B182">
        <v>34</v>
      </c>
      <c r="C182" s="2">
        <v>11.2</v>
      </c>
      <c r="D182" s="2">
        <v>14</v>
      </c>
      <c r="E182" s="3">
        <v>0</v>
      </c>
    </row>
    <row r="183" spans="1:5" x14ac:dyDescent="0.2">
      <c r="A183">
        <v>10315</v>
      </c>
      <c r="B183">
        <v>70</v>
      </c>
      <c r="C183" s="2">
        <v>12</v>
      </c>
      <c r="D183" s="2">
        <v>30</v>
      </c>
      <c r="E183" s="3">
        <v>0</v>
      </c>
    </row>
    <row r="184" spans="1:5" x14ac:dyDescent="0.2">
      <c r="A184">
        <v>10316</v>
      </c>
      <c r="B184">
        <v>41</v>
      </c>
      <c r="C184" s="2">
        <v>7.7</v>
      </c>
      <c r="D184" s="2">
        <v>10</v>
      </c>
      <c r="E184" s="3">
        <v>0</v>
      </c>
    </row>
    <row r="185" spans="1:5" x14ac:dyDescent="0.2">
      <c r="A185">
        <v>10316</v>
      </c>
      <c r="B185">
        <v>62</v>
      </c>
      <c r="C185" s="2">
        <v>39.4</v>
      </c>
      <c r="D185" s="2">
        <v>70</v>
      </c>
      <c r="E185" s="3">
        <v>0</v>
      </c>
    </row>
    <row r="186" spans="1:5" x14ac:dyDescent="0.2">
      <c r="A186">
        <v>10317</v>
      </c>
      <c r="B186">
        <v>1</v>
      </c>
      <c r="C186" s="2">
        <v>14.4</v>
      </c>
      <c r="D186" s="2">
        <v>20</v>
      </c>
      <c r="E186" s="3">
        <v>0</v>
      </c>
    </row>
    <row r="187" spans="1:5" x14ac:dyDescent="0.2">
      <c r="A187">
        <v>10318</v>
      </c>
      <c r="B187">
        <v>41</v>
      </c>
      <c r="C187" s="2">
        <v>7.7</v>
      </c>
      <c r="D187" s="2">
        <v>20</v>
      </c>
      <c r="E187" s="3">
        <v>0</v>
      </c>
    </row>
    <row r="188" spans="1:5" x14ac:dyDescent="0.2">
      <c r="A188">
        <v>10318</v>
      </c>
      <c r="B188">
        <v>76</v>
      </c>
      <c r="C188" s="2">
        <v>14.4</v>
      </c>
      <c r="D188" s="2">
        <v>6</v>
      </c>
      <c r="E188" s="3">
        <v>0</v>
      </c>
    </row>
    <row r="189" spans="1:5" x14ac:dyDescent="0.2">
      <c r="A189">
        <v>10319</v>
      </c>
      <c r="B189">
        <v>17</v>
      </c>
      <c r="C189" s="2">
        <v>31.2</v>
      </c>
      <c r="D189" s="2">
        <v>8</v>
      </c>
      <c r="E189" s="3">
        <v>0</v>
      </c>
    </row>
    <row r="190" spans="1:5" x14ac:dyDescent="0.2">
      <c r="A190">
        <v>10319</v>
      </c>
      <c r="B190">
        <v>28</v>
      </c>
      <c r="C190" s="2">
        <v>36.4</v>
      </c>
      <c r="D190" s="2">
        <v>14</v>
      </c>
      <c r="E190" s="3">
        <v>0</v>
      </c>
    </row>
    <row r="191" spans="1:5" x14ac:dyDescent="0.2">
      <c r="A191">
        <v>10319</v>
      </c>
      <c r="B191">
        <v>76</v>
      </c>
      <c r="C191" s="2">
        <v>14.4</v>
      </c>
      <c r="D191" s="2">
        <v>30</v>
      </c>
      <c r="E191" s="3">
        <v>0</v>
      </c>
    </row>
    <row r="192" spans="1:5" x14ac:dyDescent="0.2">
      <c r="A192">
        <v>10320</v>
      </c>
      <c r="B192">
        <v>71</v>
      </c>
      <c r="C192" s="2">
        <v>17.2</v>
      </c>
      <c r="D192" s="2">
        <v>30</v>
      </c>
      <c r="E192" s="3">
        <v>0</v>
      </c>
    </row>
    <row r="193" spans="1:5" x14ac:dyDescent="0.2">
      <c r="A193">
        <v>10321</v>
      </c>
      <c r="B193">
        <v>35</v>
      </c>
      <c r="C193" s="2">
        <v>14.4</v>
      </c>
      <c r="D193" s="2">
        <v>10</v>
      </c>
      <c r="E193" s="3">
        <v>0</v>
      </c>
    </row>
    <row r="194" spans="1:5" x14ac:dyDescent="0.2">
      <c r="A194">
        <v>10322</v>
      </c>
      <c r="B194">
        <v>52</v>
      </c>
      <c r="C194" s="2">
        <v>5.6</v>
      </c>
      <c r="D194" s="2">
        <v>20</v>
      </c>
      <c r="E194" s="3">
        <v>0</v>
      </c>
    </row>
    <row r="195" spans="1:5" x14ac:dyDescent="0.2">
      <c r="A195">
        <v>10323</v>
      </c>
      <c r="B195">
        <v>15</v>
      </c>
      <c r="C195" s="2">
        <v>12.4</v>
      </c>
      <c r="D195" s="2">
        <v>5</v>
      </c>
      <c r="E195" s="3">
        <v>0</v>
      </c>
    </row>
    <row r="196" spans="1:5" x14ac:dyDescent="0.2">
      <c r="A196">
        <v>10323</v>
      </c>
      <c r="B196">
        <v>25</v>
      </c>
      <c r="C196" s="2">
        <v>11.2</v>
      </c>
      <c r="D196" s="2">
        <v>4</v>
      </c>
      <c r="E196" s="3">
        <v>0</v>
      </c>
    </row>
    <row r="197" spans="1:5" x14ac:dyDescent="0.2">
      <c r="A197">
        <v>10323</v>
      </c>
      <c r="B197">
        <v>39</v>
      </c>
      <c r="C197" s="2">
        <v>14.4</v>
      </c>
      <c r="D197" s="2">
        <v>4</v>
      </c>
      <c r="E197" s="3">
        <v>0</v>
      </c>
    </row>
    <row r="198" spans="1:5" x14ac:dyDescent="0.2">
      <c r="A198">
        <v>10324</v>
      </c>
      <c r="B198">
        <v>16</v>
      </c>
      <c r="C198" s="2">
        <v>13.9</v>
      </c>
      <c r="D198" s="2">
        <v>21</v>
      </c>
      <c r="E198" s="3">
        <v>0.15</v>
      </c>
    </row>
    <row r="199" spans="1:5" x14ac:dyDescent="0.2">
      <c r="A199">
        <v>10324</v>
      </c>
      <c r="B199">
        <v>35</v>
      </c>
      <c r="C199" s="2">
        <v>14.4</v>
      </c>
      <c r="D199" s="2">
        <v>70</v>
      </c>
      <c r="E199" s="3">
        <v>0.15</v>
      </c>
    </row>
    <row r="200" spans="1:5" x14ac:dyDescent="0.2">
      <c r="A200">
        <v>10324</v>
      </c>
      <c r="B200">
        <v>46</v>
      </c>
      <c r="C200" s="2">
        <v>9.6</v>
      </c>
      <c r="D200" s="2">
        <v>30</v>
      </c>
      <c r="E200" s="3">
        <v>0</v>
      </c>
    </row>
    <row r="201" spans="1:5" x14ac:dyDescent="0.2">
      <c r="A201">
        <v>10324</v>
      </c>
      <c r="B201">
        <v>59</v>
      </c>
      <c r="C201" s="2">
        <v>44</v>
      </c>
      <c r="D201" s="2">
        <v>40</v>
      </c>
      <c r="E201" s="3">
        <v>0.15</v>
      </c>
    </row>
    <row r="202" spans="1:5" x14ac:dyDescent="0.2">
      <c r="A202">
        <v>10324</v>
      </c>
      <c r="B202">
        <v>63</v>
      </c>
      <c r="C202" s="2">
        <v>35.1</v>
      </c>
      <c r="D202" s="2">
        <v>80</v>
      </c>
      <c r="E202" s="3">
        <v>0.15</v>
      </c>
    </row>
    <row r="203" spans="1:5" x14ac:dyDescent="0.2">
      <c r="A203">
        <v>10325</v>
      </c>
      <c r="B203">
        <v>6</v>
      </c>
      <c r="C203" s="2">
        <v>20</v>
      </c>
      <c r="D203" s="2">
        <v>6</v>
      </c>
      <c r="E203" s="3">
        <v>0</v>
      </c>
    </row>
    <row r="204" spans="1:5" x14ac:dyDescent="0.2">
      <c r="A204">
        <v>10325</v>
      </c>
      <c r="B204">
        <v>13</v>
      </c>
      <c r="C204" s="2">
        <v>4.8</v>
      </c>
      <c r="D204" s="2">
        <v>12</v>
      </c>
      <c r="E204" s="3">
        <v>0</v>
      </c>
    </row>
    <row r="205" spans="1:5" x14ac:dyDescent="0.2">
      <c r="A205">
        <v>10325</v>
      </c>
      <c r="B205">
        <v>14</v>
      </c>
      <c r="C205" s="2">
        <v>18.600000000000001</v>
      </c>
      <c r="D205" s="2">
        <v>9</v>
      </c>
      <c r="E205" s="3">
        <v>0</v>
      </c>
    </row>
    <row r="206" spans="1:5" x14ac:dyDescent="0.2">
      <c r="A206">
        <v>10325</v>
      </c>
      <c r="B206">
        <v>31</v>
      </c>
      <c r="C206" s="2">
        <v>10</v>
      </c>
      <c r="D206" s="2">
        <v>4</v>
      </c>
      <c r="E206" s="3">
        <v>0</v>
      </c>
    </row>
    <row r="207" spans="1:5" x14ac:dyDescent="0.2">
      <c r="A207">
        <v>10325</v>
      </c>
      <c r="B207">
        <v>72</v>
      </c>
      <c r="C207" s="2">
        <v>27.8</v>
      </c>
      <c r="D207" s="2">
        <v>40</v>
      </c>
      <c r="E207" s="3">
        <v>0</v>
      </c>
    </row>
    <row r="208" spans="1:5" x14ac:dyDescent="0.2">
      <c r="A208">
        <v>10326</v>
      </c>
      <c r="B208">
        <v>4</v>
      </c>
      <c r="C208" s="2">
        <v>17.600000000000001</v>
      </c>
      <c r="D208" s="2">
        <v>24</v>
      </c>
      <c r="E208" s="3">
        <v>0</v>
      </c>
    </row>
    <row r="209" spans="1:5" x14ac:dyDescent="0.2">
      <c r="A209">
        <v>10326</v>
      </c>
      <c r="B209">
        <v>57</v>
      </c>
      <c r="C209" s="2">
        <v>15.6</v>
      </c>
      <c r="D209" s="2">
        <v>16</v>
      </c>
      <c r="E209" s="3">
        <v>0</v>
      </c>
    </row>
    <row r="210" spans="1:5" x14ac:dyDescent="0.2">
      <c r="A210">
        <v>10326</v>
      </c>
      <c r="B210">
        <v>75</v>
      </c>
      <c r="C210" s="2">
        <v>6.2</v>
      </c>
      <c r="D210" s="2">
        <v>50</v>
      </c>
      <c r="E210" s="3">
        <v>0</v>
      </c>
    </row>
    <row r="211" spans="1:5" x14ac:dyDescent="0.2">
      <c r="A211">
        <v>10327</v>
      </c>
      <c r="B211">
        <v>2</v>
      </c>
      <c r="C211" s="2">
        <v>15.2</v>
      </c>
      <c r="D211" s="2">
        <v>25</v>
      </c>
      <c r="E211" s="3">
        <v>0.2</v>
      </c>
    </row>
    <row r="212" spans="1:5" x14ac:dyDescent="0.2">
      <c r="A212">
        <v>10327</v>
      </c>
      <c r="B212">
        <v>11</v>
      </c>
      <c r="C212" s="2">
        <v>16.8</v>
      </c>
      <c r="D212" s="2">
        <v>50</v>
      </c>
      <c r="E212" s="3">
        <v>0.2</v>
      </c>
    </row>
    <row r="213" spans="1:5" x14ac:dyDescent="0.2">
      <c r="A213">
        <v>10327</v>
      </c>
      <c r="B213">
        <v>30</v>
      </c>
      <c r="C213" s="2">
        <v>20.7</v>
      </c>
      <c r="D213" s="2">
        <v>35</v>
      </c>
      <c r="E213" s="3">
        <v>0.2</v>
      </c>
    </row>
    <row r="214" spans="1:5" x14ac:dyDescent="0.2">
      <c r="A214">
        <v>10327</v>
      </c>
      <c r="B214">
        <v>58</v>
      </c>
      <c r="C214" s="2">
        <v>10.6</v>
      </c>
      <c r="D214" s="2">
        <v>30</v>
      </c>
      <c r="E214" s="3">
        <v>0.2</v>
      </c>
    </row>
    <row r="215" spans="1:5" x14ac:dyDescent="0.2">
      <c r="A215">
        <v>10328</v>
      </c>
      <c r="B215">
        <v>59</v>
      </c>
      <c r="C215" s="2">
        <v>44</v>
      </c>
      <c r="D215" s="2">
        <v>9</v>
      </c>
      <c r="E215" s="3">
        <v>0</v>
      </c>
    </row>
    <row r="216" spans="1:5" x14ac:dyDescent="0.2">
      <c r="A216">
        <v>10328</v>
      </c>
      <c r="B216">
        <v>65</v>
      </c>
      <c r="C216" s="2">
        <v>16.8</v>
      </c>
      <c r="D216" s="2">
        <v>40</v>
      </c>
      <c r="E216" s="3">
        <v>0</v>
      </c>
    </row>
    <row r="217" spans="1:5" x14ac:dyDescent="0.2">
      <c r="A217">
        <v>10328</v>
      </c>
      <c r="B217">
        <v>68</v>
      </c>
      <c r="C217" s="2">
        <v>10</v>
      </c>
      <c r="D217" s="2">
        <v>10</v>
      </c>
      <c r="E217" s="3">
        <v>0</v>
      </c>
    </row>
    <row r="218" spans="1:5" x14ac:dyDescent="0.2">
      <c r="A218">
        <v>10329</v>
      </c>
      <c r="B218">
        <v>19</v>
      </c>
      <c r="C218" s="2">
        <v>7.3</v>
      </c>
      <c r="D218" s="2">
        <v>10</v>
      </c>
      <c r="E218" s="3">
        <v>0.05</v>
      </c>
    </row>
    <row r="219" spans="1:5" x14ac:dyDescent="0.2">
      <c r="A219">
        <v>10329</v>
      </c>
      <c r="B219">
        <v>30</v>
      </c>
      <c r="C219" s="2">
        <v>20.7</v>
      </c>
      <c r="D219" s="2">
        <v>8</v>
      </c>
      <c r="E219" s="3">
        <v>0.05</v>
      </c>
    </row>
    <row r="220" spans="1:5" x14ac:dyDescent="0.2">
      <c r="A220">
        <v>10329</v>
      </c>
      <c r="B220">
        <v>38</v>
      </c>
      <c r="C220" s="2">
        <v>210.8</v>
      </c>
      <c r="D220" s="2">
        <v>20</v>
      </c>
      <c r="E220" s="3">
        <v>0.05</v>
      </c>
    </row>
    <row r="221" spans="1:5" x14ac:dyDescent="0.2">
      <c r="A221">
        <v>10329</v>
      </c>
      <c r="B221">
        <v>56</v>
      </c>
      <c r="C221" s="2">
        <v>30.4</v>
      </c>
      <c r="D221" s="2">
        <v>12</v>
      </c>
      <c r="E221" s="3">
        <v>0.05</v>
      </c>
    </row>
    <row r="222" spans="1:5" x14ac:dyDescent="0.2">
      <c r="A222">
        <v>10330</v>
      </c>
      <c r="B222">
        <v>26</v>
      </c>
      <c r="C222" s="2">
        <v>24.9</v>
      </c>
      <c r="D222" s="2">
        <v>50</v>
      </c>
      <c r="E222" s="3">
        <v>0.15</v>
      </c>
    </row>
    <row r="223" spans="1:5" x14ac:dyDescent="0.2">
      <c r="A223">
        <v>10330</v>
      </c>
      <c r="B223">
        <v>72</v>
      </c>
      <c r="C223" s="2">
        <v>27.8</v>
      </c>
      <c r="D223" s="2">
        <v>25</v>
      </c>
      <c r="E223" s="3">
        <v>0.15</v>
      </c>
    </row>
    <row r="224" spans="1:5" x14ac:dyDescent="0.2">
      <c r="A224">
        <v>10331</v>
      </c>
      <c r="B224">
        <v>54</v>
      </c>
      <c r="C224" s="2">
        <v>5.9</v>
      </c>
      <c r="D224" s="2">
        <v>15</v>
      </c>
      <c r="E224" s="3">
        <v>0</v>
      </c>
    </row>
    <row r="225" spans="1:5" x14ac:dyDescent="0.2">
      <c r="A225">
        <v>10332</v>
      </c>
      <c r="B225">
        <v>18</v>
      </c>
      <c r="C225" s="2">
        <v>50</v>
      </c>
      <c r="D225" s="2">
        <v>40</v>
      </c>
      <c r="E225" s="3">
        <v>0.2</v>
      </c>
    </row>
    <row r="226" spans="1:5" x14ac:dyDescent="0.2">
      <c r="A226">
        <v>10332</v>
      </c>
      <c r="B226">
        <v>42</v>
      </c>
      <c r="C226" s="2">
        <v>11.2</v>
      </c>
      <c r="D226" s="2">
        <v>10</v>
      </c>
      <c r="E226" s="3">
        <v>0.2</v>
      </c>
    </row>
    <row r="227" spans="1:5" x14ac:dyDescent="0.2">
      <c r="A227">
        <v>10332</v>
      </c>
      <c r="B227">
        <v>47</v>
      </c>
      <c r="C227" s="2">
        <v>7.6</v>
      </c>
      <c r="D227" s="2">
        <v>16</v>
      </c>
      <c r="E227" s="3">
        <v>0.2</v>
      </c>
    </row>
    <row r="228" spans="1:5" x14ac:dyDescent="0.2">
      <c r="A228">
        <v>10333</v>
      </c>
      <c r="B228">
        <v>14</v>
      </c>
      <c r="C228" s="2">
        <v>18.600000000000001</v>
      </c>
      <c r="D228" s="2">
        <v>10</v>
      </c>
      <c r="E228" s="3">
        <v>0</v>
      </c>
    </row>
    <row r="229" spans="1:5" x14ac:dyDescent="0.2">
      <c r="A229">
        <v>10333</v>
      </c>
      <c r="B229">
        <v>21</v>
      </c>
      <c r="C229" s="2">
        <v>8</v>
      </c>
      <c r="D229" s="2">
        <v>10</v>
      </c>
      <c r="E229" s="3">
        <v>0.1</v>
      </c>
    </row>
    <row r="230" spans="1:5" x14ac:dyDescent="0.2">
      <c r="A230">
        <v>10333</v>
      </c>
      <c r="B230">
        <v>71</v>
      </c>
      <c r="C230" s="2">
        <v>17.2</v>
      </c>
      <c r="D230" s="2">
        <v>40</v>
      </c>
      <c r="E230" s="3">
        <v>0.1</v>
      </c>
    </row>
    <row r="231" spans="1:5" x14ac:dyDescent="0.2">
      <c r="A231">
        <v>10334</v>
      </c>
      <c r="B231">
        <v>52</v>
      </c>
      <c r="C231" s="2">
        <v>5.6</v>
      </c>
      <c r="D231" s="2">
        <v>8</v>
      </c>
      <c r="E231" s="3">
        <v>0</v>
      </c>
    </row>
    <row r="232" spans="1:5" x14ac:dyDescent="0.2">
      <c r="A232">
        <v>10334</v>
      </c>
      <c r="B232">
        <v>68</v>
      </c>
      <c r="C232" s="2">
        <v>10</v>
      </c>
      <c r="D232" s="2">
        <v>10</v>
      </c>
      <c r="E232" s="3">
        <v>0</v>
      </c>
    </row>
    <row r="233" spans="1:5" x14ac:dyDescent="0.2">
      <c r="A233">
        <v>10335</v>
      </c>
      <c r="B233">
        <v>2</v>
      </c>
      <c r="C233" s="2">
        <v>15.2</v>
      </c>
      <c r="D233" s="2">
        <v>7</v>
      </c>
      <c r="E233" s="3">
        <v>0.2</v>
      </c>
    </row>
    <row r="234" spans="1:5" x14ac:dyDescent="0.2">
      <c r="A234">
        <v>10335</v>
      </c>
      <c r="B234">
        <v>31</v>
      </c>
      <c r="C234" s="2">
        <v>10</v>
      </c>
      <c r="D234" s="2">
        <v>25</v>
      </c>
      <c r="E234" s="3">
        <v>0.2</v>
      </c>
    </row>
    <row r="235" spans="1:5" x14ac:dyDescent="0.2">
      <c r="A235">
        <v>10335</v>
      </c>
      <c r="B235">
        <v>32</v>
      </c>
      <c r="C235" s="2">
        <v>25.6</v>
      </c>
      <c r="D235" s="2">
        <v>6</v>
      </c>
      <c r="E235" s="3">
        <v>0.2</v>
      </c>
    </row>
    <row r="236" spans="1:5" x14ac:dyDescent="0.2">
      <c r="A236">
        <v>10335</v>
      </c>
      <c r="B236">
        <v>51</v>
      </c>
      <c r="C236" s="2">
        <v>42.4</v>
      </c>
      <c r="D236" s="2">
        <v>48</v>
      </c>
      <c r="E236" s="3">
        <v>0.2</v>
      </c>
    </row>
    <row r="237" spans="1:5" x14ac:dyDescent="0.2">
      <c r="A237">
        <v>10336</v>
      </c>
      <c r="B237">
        <v>4</v>
      </c>
      <c r="C237" s="2">
        <v>17.600000000000001</v>
      </c>
      <c r="D237" s="2">
        <v>18</v>
      </c>
      <c r="E237" s="3">
        <v>0.1</v>
      </c>
    </row>
    <row r="238" spans="1:5" x14ac:dyDescent="0.2">
      <c r="A238">
        <v>10337</v>
      </c>
      <c r="B238">
        <v>23</v>
      </c>
      <c r="C238" s="2">
        <v>7.2</v>
      </c>
      <c r="D238" s="2">
        <v>40</v>
      </c>
      <c r="E238" s="3">
        <v>0</v>
      </c>
    </row>
    <row r="239" spans="1:5" x14ac:dyDescent="0.2">
      <c r="A239">
        <v>10337</v>
      </c>
      <c r="B239">
        <v>26</v>
      </c>
      <c r="C239" s="2">
        <v>24.9</v>
      </c>
      <c r="D239" s="2">
        <v>24</v>
      </c>
      <c r="E239" s="3">
        <v>0</v>
      </c>
    </row>
    <row r="240" spans="1:5" x14ac:dyDescent="0.2">
      <c r="A240">
        <v>10337</v>
      </c>
      <c r="B240">
        <v>36</v>
      </c>
      <c r="C240" s="2">
        <v>15.2</v>
      </c>
      <c r="D240" s="2">
        <v>20</v>
      </c>
      <c r="E240" s="3">
        <v>0</v>
      </c>
    </row>
    <row r="241" spans="1:5" x14ac:dyDescent="0.2">
      <c r="A241">
        <v>10337</v>
      </c>
      <c r="B241">
        <v>37</v>
      </c>
      <c r="C241" s="2">
        <v>20.8</v>
      </c>
      <c r="D241" s="2">
        <v>28</v>
      </c>
      <c r="E241" s="3">
        <v>0</v>
      </c>
    </row>
    <row r="242" spans="1:5" x14ac:dyDescent="0.2">
      <c r="A242">
        <v>10337</v>
      </c>
      <c r="B242">
        <v>72</v>
      </c>
      <c r="C242" s="2">
        <v>27.8</v>
      </c>
      <c r="D242" s="2">
        <v>25</v>
      </c>
      <c r="E242" s="3">
        <v>0</v>
      </c>
    </row>
    <row r="243" spans="1:5" x14ac:dyDescent="0.2">
      <c r="A243">
        <v>10338</v>
      </c>
      <c r="B243">
        <v>17</v>
      </c>
      <c r="C243" s="2">
        <v>31.2</v>
      </c>
      <c r="D243" s="2">
        <v>20</v>
      </c>
      <c r="E243" s="3">
        <v>0</v>
      </c>
    </row>
    <row r="244" spans="1:5" x14ac:dyDescent="0.2">
      <c r="A244">
        <v>10338</v>
      </c>
      <c r="B244">
        <v>30</v>
      </c>
      <c r="C244" s="2">
        <v>20.7</v>
      </c>
      <c r="D244" s="2">
        <v>15</v>
      </c>
      <c r="E244" s="3">
        <v>0</v>
      </c>
    </row>
    <row r="245" spans="1:5" x14ac:dyDescent="0.2">
      <c r="A245">
        <v>10339</v>
      </c>
      <c r="B245">
        <v>4</v>
      </c>
      <c r="C245" s="2">
        <v>17.600000000000001</v>
      </c>
      <c r="D245" s="2">
        <v>10</v>
      </c>
      <c r="E245" s="3">
        <v>0</v>
      </c>
    </row>
    <row r="246" spans="1:5" x14ac:dyDescent="0.2">
      <c r="A246">
        <v>10339</v>
      </c>
      <c r="B246">
        <v>17</v>
      </c>
      <c r="C246" s="2">
        <v>31.2</v>
      </c>
      <c r="D246" s="2">
        <v>70</v>
      </c>
      <c r="E246" s="3">
        <v>0.05</v>
      </c>
    </row>
    <row r="247" spans="1:5" x14ac:dyDescent="0.2">
      <c r="A247">
        <v>10339</v>
      </c>
      <c r="B247">
        <v>62</v>
      </c>
      <c r="C247" s="2">
        <v>39.4</v>
      </c>
      <c r="D247" s="2">
        <v>28</v>
      </c>
      <c r="E247" s="3">
        <v>0</v>
      </c>
    </row>
    <row r="248" spans="1:5" x14ac:dyDescent="0.2">
      <c r="A248">
        <v>10340</v>
      </c>
      <c r="B248">
        <v>18</v>
      </c>
      <c r="C248" s="2">
        <v>50</v>
      </c>
      <c r="D248" s="2">
        <v>20</v>
      </c>
      <c r="E248" s="3">
        <v>0.05</v>
      </c>
    </row>
    <row r="249" spans="1:5" x14ac:dyDescent="0.2">
      <c r="A249">
        <v>10340</v>
      </c>
      <c r="B249">
        <v>41</v>
      </c>
      <c r="C249" s="2">
        <v>7.7</v>
      </c>
      <c r="D249" s="2">
        <v>12</v>
      </c>
      <c r="E249" s="3">
        <v>0.05</v>
      </c>
    </row>
    <row r="250" spans="1:5" x14ac:dyDescent="0.2">
      <c r="A250">
        <v>10340</v>
      </c>
      <c r="B250">
        <v>43</v>
      </c>
      <c r="C250" s="2">
        <v>36.799999999999997</v>
      </c>
      <c r="D250" s="2">
        <v>40</v>
      </c>
      <c r="E250" s="3">
        <v>0.05</v>
      </c>
    </row>
    <row r="251" spans="1:5" x14ac:dyDescent="0.2">
      <c r="A251">
        <v>10341</v>
      </c>
      <c r="B251">
        <v>33</v>
      </c>
      <c r="C251" s="2">
        <v>2</v>
      </c>
      <c r="D251" s="2">
        <v>8</v>
      </c>
      <c r="E251" s="3">
        <v>0</v>
      </c>
    </row>
    <row r="252" spans="1:5" x14ac:dyDescent="0.2">
      <c r="A252">
        <v>10341</v>
      </c>
      <c r="B252">
        <v>59</v>
      </c>
      <c r="C252" s="2">
        <v>44</v>
      </c>
      <c r="D252" s="2">
        <v>9</v>
      </c>
      <c r="E252" s="3">
        <v>0.15</v>
      </c>
    </row>
    <row r="253" spans="1:5" x14ac:dyDescent="0.2">
      <c r="A253">
        <v>10342</v>
      </c>
      <c r="B253">
        <v>2</v>
      </c>
      <c r="C253" s="2">
        <v>15.2</v>
      </c>
      <c r="D253" s="2">
        <v>24</v>
      </c>
      <c r="E253" s="3">
        <v>0.2</v>
      </c>
    </row>
    <row r="254" spans="1:5" x14ac:dyDescent="0.2">
      <c r="A254">
        <v>10342</v>
      </c>
      <c r="B254">
        <v>31</v>
      </c>
      <c r="C254" s="2">
        <v>10</v>
      </c>
      <c r="D254" s="2">
        <v>56</v>
      </c>
      <c r="E254" s="3">
        <v>0.2</v>
      </c>
    </row>
    <row r="255" spans="1:5" x14ac:dyDescent="0.2">
      <c r="A255">
        <v>10342</v>
      </c>
      <c r="B255">
        <v>36</v>
      </c>
      <c r="C255" s="2">
        <v>15.2</v>
      </c>
      <c r="D255" s="2">
        <v>40</v>
      </c>
      <c r="E255" s="3">
        <v>0.2</v>
      </c>
    </row>
    <row r="256" spans="1:5" x14ac:dyDescent="0.2">
      <c r="A256">
        <v>10342</v>
      </c>
      <c r="B256">
        <v>55</v>
      </c>
      <c r="C256" s="2">
        <v>19.2</v>
      </c>
      <c r="D256" s="2">
        <v>40</v>
      </c>
      <c r="E256" s="3">
        <v>0.2</v>
      </c>
    </row>
    <row r="257" spans="1:5" x14ac:dyDescent="0.2">
      <c r="A257">
        <v>10343</v>
      </c>
      <c r="B257">
        <v>64</v>
      </c>
      <c r="C257" s="2">
        <v>26.6</v>
      </c>
      <c r="D257" s="2">
        <v>50</v>
      </c>
      <c r="E257" s="3">
        <v>0</v>
      </c>
    </row>
    <row r="258" spans="1:5" x14ac:dyDescent="0.2">
      <c r="A258">
        <v>10343</v>
      </c>
      <c r="B258">
        <v>68</v>
      </c>
      <c r="C258" s="2">
        <v>10</v>
      </c>
      <c r="D258" s="2">
        <v>4</v>
      </c>
      <c r="E258" s="3">
        <v>0.05</v>
      </c>
    </row>
    <row r="259" spans="1:5" x14ac:dyDescent="0.2">
      <c r="A259">
        <v>10343</v>
      </c>
      <c r="B259">
        <v>76</v>
      </c>
      <c r="C259" s="2">
        <v>14.4</v>
      </c>
      <c r="D259" s="2">
        <v>15</v>
      </c>
      <c r="E259" s="3">
        <v>0</v>
      </c>
    </row>
    <row r="260" spans="1:5" x14ac:dyDescent="0.2">
      <c r="A260">
        <v>10344</v>
      </c>
      <c r="B260">
        <v>4</v>
      </c>
      <c r="C260" s="2">
        <v>17.600000000000001</v>
      </c>
      <c r="D260" s="2">
        <v>35</v>
      </c>
      <c r="E260" s="3">
        <v>0</v>
      </c>
    </row>
    <row r="261" spans="1:5" x14ac:dyDescent="0.2">
      <c r="A261">
        <v>10344</v>
      </c>
      <c r="B261">
        <v>8</v>
      </c>
      <c r="C261" s="2">
        <v>32</v>
      </c>
      <c r="D261" s="2">
        <v>70</v>
      </c>
      <c r="E261" s="3">
        <v>0.25</v>
      </c>
    </row>
    <row r="262" spans="1:5" x14ac:dyDescent="0.2">
      <c r="A262">
        <v>10345</v>
      </c>
      <c r="B262">
        <v>8</v>
      </c>
      <c r="C262" s="2">
        <v>32</v>
      </c>
      <c r="D262" s="2">
        <v>70</v>
      </c>
      <c r="E262" s="3">
        <v>0</v>
      </c>
    </row>
    <row r="263" spans="1:5" x14ac:dyDescent="0.2">
      <c r="A263">
        <v>10345</v>
      </c>
      <c r="B263">
        <v>19</v>
      </c>
      <c r="C263" s="2">
        <v>7.3</v>
      </c>
      <c r="D263" s="2">
        <v>80</v>
      </c>
      <c r="E263" s="3">
        <v>0</v>
      </c>
    </row>
    <row r="264" spans="1:5" x14ac:dyDescent="0.2">
      <c r="A264">
        <v>10345</v>
      </c>
      <c r="B264">
        <v>42</v>
      </c>
      <c r="C264" s="2">
        <v>11.2</v>
      </c>
      <c r="D264" s="2">
        <v>9</v>
      </c>
      <c r="E264" s="3">
        <v>0</v>
      </c>
    </row>
    <row r="265" spans="1:5" x14ac:dyDescent="0.2">
      <c r="A265">
        <v>10346</v>
      </c>
      <c r="B265">
        <v>17</v>
      </c>
      <c r="C265" s="2">
        <v>31.2</v>
      </c>
      <c r="D265" s="2">
        <v>36</v>
      </c>
      <c r="E265" s="3">
        <v>0.1</v>
      </c>
    </row>
    <row r="266" spans="1:5" x14ac:dyDescent="0.2">
      <c r="A266">
        <v>10346</v>
      </c>
      <c r="B266">
        <v>56</v>
      </c>
      <c r="C266" s="2">
        <v>30.4</v>
      </c>
      <c r="D266" s="2">
        <v>20</v>
      </c>
      <c r="E266" s="3">
        <v>0</v>
      </c>
    </row>
    <row r="267" spans="1:5" x14ac:dyDescent="0.2">
      <c r="A267">
        <v>10347</v>
      </c>
      <c r="B267">
        <v>25</v>
      </c>
      <c r="C267" s="2">
        <v>11.2</v>
      </c>
      <c r="D267" s="2">
        <v>10</v>
      </c>
      <c r="E267" s="3">
        <v>0</v>
      </c>
    </row>
    <row r="268" spans="1:5" x14ac:dyDescent="0.2">
      <c r="A268">
        <v>10347</v>
      </c>
      <c r="B268">
        <v>39</v>
      </c>
      <c r="C268" s="2">
        <v>14.4</v>
      </c>
      <c r="D268" s="2">
        <v>50</v>
      </c>
      <c r="E268" s="3">
        <v>0.15</v>
      </c>
    </row>
    <row r="269" spans="1:5" x14ac:dyDescent="0.2">
      <c r="A269">
        <v>10347</v>
      </c>
      <c r="B269">
        <v>40</v>
      </c>
      <c r="C269" s="2">
        <v>14.7</v>
      </c>
      <c r="D269" s="2">
        <v>4</v>
      </c>
      <c r="E269" s="3">
        <v>0</v>
      </c>
    </row>
    <row r="270" spans="1:5" x14ac:dyDescent="0.2">
      <c r="A270">
        <v>10347</v>
      </c>
      <c r="B270">
        <v>75</v>
      </c>
      <c r="C270" s="2">
        <v>6.2</v>
      </c>
      <c r="D270" s="2">
        <v>6</v>
      </c>
      <c r="E270" s="3">
        <v>0.15</v>
      </c>
    </row>
    <row r="271" spans="1:5" x14ac:dyDescent="0.2">
      <c r="A271">
        <v>10348</v>
      </c>
      <c r="B271">
        <v>1</v>
      </c>
      <c r="C271" s="2">
        <v>14.4</v>
      </c>
      <c r="D271" s="2">
        <v>15</v>
      </c>
      <c r="E271" s="3">
        <v>0.15</v>
      </c>
    </row>
    <row r="272" spans="1:5" x14ac:dyDescent="0.2">
      <c r="A272">
        <v>10348</v>
      </c>
      <c r="B272">
        <v>23</v>
      </c>
      <c r="C272" s="2">
        <v>7.2</v>
      </c>
      <c r="D272" s="2">
        <v>25</v>
      </c>
      <c r="E272" s="3">
        <v>0</v>
      </c>
    </row>
    <row r="273" spans="1:5" x14ac:dyDescent="0.2">
      <c r="A273">
        <v>10349</v>
      </c>
      <c r="B273">
        <v>54</v>
      </c>
      <c r="C273" s="2">
        <v>5.9</v>
      </c>
      <c r="D273" s="2">
        <v>24</v>
      </c>
      <c r="E273" s="3">
        <v>0</v>
      </c>
    </row>
    <row r="274" spans="1:5" x14ac:dyDescent="0.2">
      <c r="A274">
        <v>10350</v>
      </c>
      <c r="B274">
        <v>50</v>
      </c>
      <c r="C274" s="2">
        <v>13</v>
      </c>
      <c r="D274" s="2">
        <v>15</v>
      </c>
      <c r="E274" s="3">
        <v>0.1</v>
      </c>
    </row>
    <row r="275" spans="1:5" x14ac:dyDescent="0.2">
      <c r="A275">
        <v>10350</v>
      </c>
      <c r="B275">
        <v>69</v>
      </c>
      <c r="C275" s="2">
        <v>28.8</v>
      </c>
      <c r="D275" s="2">
        <v>18</v>
      </c>
      <c r="E275" s="3">
        <v>0.1</v>
      </c>
    </row>
    <row r="276" spans="1:5" x14ac:dyDescent="0.2">
      <c r="A276">
        <v>10351</v>
      </c>
      <c r="B276">
        <v>38</v>
      </c>
      <c r="C276" s="2">
        <v>210.8</v>
      </c>
      <c r="D276" s="2">
        <v>20</v>
      </c>
      <c r="E276" s="3">
        <v>0.05</v>
      </c>
    </row>
    <row r="277" spans="1:5" x14ac:dyDescent="0.2">
      <c r="A277">
        <v>10351</v>
      </c>
      <c r="B277">
        <v>41</v>
      </c>
      <c r="C277" s="2">
        <v>7.7</v>
      </c>
      <c r="D277" s="2">
        <v>13</v>
      </c>
      <c r="E277" s="3">
        <v>0</v>
      </c>
    </row>
    <row r="278" spans="1:5" x14ac:dyDescent="0.2">
      <c r="A278">
        <v>10351</v>
      </c>
      <c r="B278">
        <v>44</v>
      </c>
      <c r="C278" s="2">
        <v>15.5</v>
      </c>
      <c r="D278" s="2">
        <v>77</v>
      </c>
      <c r="E278" s="3">
        <v>0.05</v>
      </c>
    </row>
    <row r="279" spans="1:5" x14ac:dyDescent="0.2">
      <c r="A279">
        <v>10351</v>
      </c>
      <c r="B279">
        <v>65</v>
      </c>
      <c r="C279" s="2">
        <v>16.8</v>
      </c>
      <c r="D279" s="2">
        <v>10</v>
      </c>
      <c r="E279" s="3">
        <v>0.05</v>
      </c>
    </row>
    <row r="280" spans="1:5" x14ac:dyDescent="0.2">
      <c r="A280">
        <v>10352</v>
      </c>
      <c r="B280">
        <v>24</v>
      </c>
      <c r="C280" s="2">
        <v>3.6</v>
      </c>
      <c r="D280" s="2">
        <v>10</v>
      </c>
      <c r="E280" s="3">
        <v>0</v>
      </c>
    </row>
    <row r="281" spans="1:5" x14ac:dyDescent="0.2">
      <c r="A281">
        <v>10352</v>
      </c>
      <c r="B281">
        <v>54</v>
      </c>
      <c r="C281" s="2">
        <v>5.9</v>
      </c>
      <c r="D281" s="2">
        <v>20</v>
      </c>
      <c r="E281" s="3">
        <v>0.15</v>
      </c>
    </row>
    <row r="282" spans="1:5" x14ac:dyDescent="0.2">
      <c r="A282">
        <v>10353</v>
      </c>
      <c r="B282">
        <v>11</v>
      </c>
      <c r="C282" s="2">
        <v>16.8</v>
      </c>
      <c r="D282" s="2">
        <v>12</v>
      </c>
      <c r="E282" s="3">
        <v>0.2</v>
      </c>
    </row>
    <row r="283" spans="1:5" x14ac:dyDescent="0.2">
      <c r="A283">
        <v>10353</v>
      </c>
      <c r="B283">
        <v>38</v>
      </c>
      <c r="C283" s="2">
        <v>210.8</v>
      </c>
      <c r="D283" s="2">
        <v>50</v>
      </c>
      <c r="E283" s="3">
        <v>0.2</v>
      </c>
    </row>
    <row r="284" spans="1:5" x14ac:dyDescent="0.2">
      <c r="A284">
        <v>10354</v>
      </c>
      <c r="B284">
        <v>1</v>
      </c>
      <c r="C284" s="2">
        <v>14.4</v>
      </c>
      <c r="D284" s="2">
        <v>12</v>
      </c>
      <c r="E284" s="3">
        <v>0</v>
      </c>
    </row>
    <row r="285" spans="1:5" x14ac:dyDescent="0.2">
      <c r="A285">
        <v>10354</v>
      </c>
      <c r="B285">
        <v>29</v>
      </c>
      <c r="C285" s="2">
        <v>99</v>
      </c>
      <c r="D285" s="2">
        <v>4</v>
      </c>
      <c r="E285" s="3">
        <v>0</v>
      </c>
    </row>
    <row r="286" spans="1:5" x14ac:dyDescent="0.2">
      <c r="A286">
        <v>10355</v>
      </c>
      <c r="B286">
        <v>24</v>
      </c>
      <c r="C286" s="2">
        <v>3.6</v>
      </c>
      <c r="D286" s="2">
        <v>25</v>
      </c>
      <c r="E286" s="3">
        <v>0</v>
      </c>
    </row>
    <row r="287" spans="1:5" x14ac:dyDescent="0.2">
      <c r="A287">
        <v>10355</v>
      </c>
      <c r="B287">
        <v>57</v>
      </c>
      <c r="C287" s="2">
        <v>15.6</v>
      </c>
      <c r="D287" s="2">
        <v>25</v>
      </c>
      <c r="E287" s="3">
        <v>0</v>
      </c>
    </row>
    <row r="288" spans="1:5" x14ac:dyDescent="0.2">
      <c r="A288">
        <v>10356</v>
      </c>
      <c r="B288">
        <v>31</v>
      </c>
      <c r="C288" s="2">
        <v>10</v>
      </c>
      <c r="D288" s="2">
        <v>30</v>
      </c>
      <c r="E288" s="3">
        <v>0</v>
      </c>
    </row>
    <row r="289" spans="1:5" x14ac:dyDescent="0.2">
      <c r="A289">
        <v>10356</v>
      </c>
      <c r="B289">
        <v>55</v>
      </c>
      <c r="C289" s="2">
        <v>19.2</v>
      </c>
      <c r="D289" s="2">
        <v>12</v>
      </c>
      <c r="E289" s="3">
        <v>0</v>
      </c>
    </row>
    <row r="290" spans="1:5" x14ac:dyDescent="0.2">
      <c r="A290">
        <v>10356</v>
      </c>
      <c r="B290">
        <v>69</v>
      </c>
      <c r="C290" s="2">
        <v>28.8</v>
      </c>
      <c r="D290" s="2">
        <v>20</v>
      </c>
      <c r="E290" s="3">
        <v>0</v>
      </c>
    </row>
    <row r="291" spans="1:5" x14ac:dyDescent="0.2">
      <c r="A291">
        <v>10357</v>
      </c>
      <c r="B291">
        <v>10</v>
      </c>
      <c r="C291" s="2">
        <v>24.8</v>
      </c>
      <c r="D291" s="2">
        <v>30</v>
      </c>
      <c r="E291" s="3">
        <v>0.2</v>
      </c>
    </row>
    <row r="292" spans="1:5" x14ac:dyDescent="0.2">
      <c r="A292">
        <v>10357</v>
      </c>
      <c r="B292">
        <v>26</v>
      </c>
      <c r="C292" s="2">
        <v>24.9</v>
      </c>
      <c r="D292" s="2">
        <v>16</v>
      </c>
      <c r="E292" s="3">
        <v>0</v>
      </c>
    </row>
    <row r="293" spans="1:5" x14ac:dyDescent="0.2">
      <c r="A293">
        <v>10357</v>
      </c>
      <c r="B293">
        <v>60</v>
      </c>
      <c r="C293" s="2">
        <v>27.2</v>
      </c>
      <c r="D293" s="2">
        <v>8</v>
      </c>
      <c r="E293" s="3">
        <v>0.2</v>
      </c>
    </row>
    <row r="294" spans="1:5" x14ac:dyDescent="0.2">
      <c r="A294">
        <v>10358</v>
      </c>
      <c r="B294">
        <v>24</v>
      </c>
      <c r="C294" s="2">
        <v>3.6</v>
      </c>
      <c r="D294" s="2">
        <v>10</v>
      </c>
      <c r="E294" s="3">
        <v>0.05</v>
      </c>
    </row>
    <row r="295" spans="1:5" x14ac:dyDescent="0.2">
      <c r="A295">
        <v>10358</v>
      </c>
      <c r="B295">
        <v>34</v>
      </c>
      <c r="C295" s="2">
        <v>11.2</v>
      </c>
      <c r="D295" s="2">
        <v>10</v>
      </c>
      <c r="E295" s="3">
        <v>0.05</v>
      </c>
    </row>
    <row r="296" spans="1:5" x14ac:dyDescent="0.2">
      <c r="A296">
        <v>10358</v>
      </c>
      <c r="B296">
        <v>36</v>
      </c>
      <c r="C296" s="2">
        <v>15.2</v>
      </c>
      <c r="D296" s="2">
        <v>20</v>
      </c>
      <c r="E296" s="3">
        <v>0.05</v>
      </c>
    </row>
    <row r="297" spans="1:5" x14ac:dyDescent="0.2">
      <c r="A297">
        <v>10359</v>
      </c>
      <c r="B297">
        <v>16</v>
      </c>
      <c r="C297" s="2">
        <v>13.9</v>
      </c>
      <c r="D297" s="2">
        <v>56</v>
      </c>
      <c r="E297" s="3">
        <v>0.05</v>
      </c>
    </row>
    <row r="298" spans="1:5" x14ac:dyDescent="0.2">
      <c r="A298">
        <v>10359</v>
      </c>
      <c r="B298">
        <v>31</v>
      </c>
      <c r="C298" s="2">
        <v>10</v>
      </c>
      <c r="D298" s="2">
        <v>70</v>
      </c>
      <c r="E298" s="3">
        <v>0.05</v>
      </c>
    </row>
    <row r="299" spans="1:5" x14ac:dyDescent="0.2">
      <c r="A299">
        <v>10359</v>
      </c>
      <c r="B299">
        <v>60</v>
      </c>
      <c r="C299" s="2">
        <v>27.2</v>
      </c>
      <c r="D299" s="2">
        <v>80</v>
      </c>
      <c r="E299" s="3">
        <v>0.05</v>
      </c>
    </row>
    <row r="300" spans="1:5" x14ac:dyDescent="0.2">
      <c r="A300">
        <v>10360</v>
      </c>
      <c r="B300">
        <v>28</v>
      </c>
      <c r="C300" s="2">
        <v>36.4</v>
      </c>
      <c r="D300" s="2">
        <v>30</v>
      </c>
      <c r="E300" s="3">
        <v>0</v>
      </c>
    </row>
    <row r="301" spans="1:5" x14ac:dyDescent="0.2">
      <c r="A301">
        <v>10360</v>
      </c>
      <c r="B301">
        <v>29</v>
      </c>
      <c r="C301" s="2">
        <v>99</v>
      </c>
      <c r="D301" s="2">
        <v>35</v>
      </c>
      <c r="E301" s="3">
        <v>0</v>
      </c>
    </row>
    <row r="302" spans="1:5" x14ac:dyDescent="0.2">
      <c r="A302">
        <v>10360</v>
      </c>
      <c r="B302">
        <v>38</v>
      </c>
      <c r="C302" s="2">
        <v>210.8</v>
      </c>
      <c r="D302" s="2">
        <v>10</v>
      </c>
      <c r="E302" s="3">
        <v>0</v>
      </c>
    </row>
    <row r="303" spans="1:5" x14ac:dyDescent="0.2">
      <c r="A303">
        <v>10360</v>
      </c>
      <c r="B303">
        <v>49</v>
      </c>
      <c r="C303" s="2">
        <v>16</v>
      </c>
      <c r="D303" s="2">
        <v>35</v>
      </c>
      <c r="E303" s="3">
        <v>0</v>
      </c>
    </row>
    <row r="304" spans="1:5" x14ac:dyDescent="0.2">
      <c r="A304">
        <v>10360</v>
      </c>
      <c r="B304">
        <v>54</v>
      </c>
      <c r="C304" s="2">
        <v>5.9</v>
      </c>
      <c r="D304" s="2">
        <v>28</v>
      </c>
      <c r="E304" s="3">
        <v>0</v>
      </c>
    </row>
    <row r="305" spans="1:5" x14ac:dyDescent="0.2">
      <c r="A305">
        <v>10361</v>
      </c>
      <c r="B305">
        <v>39</v>
      </c>
      <c r="C305" s="2">
        <v>14.4</v>
      </c>
      <c r="D305" s="2">
        <v>54</v>
      </c>
      <c r="E305" s="3">
        <v>0.1</v>
      </c>
    </row>
    <row r="306" spans="1:5" x14ac:dyDescent="0.2">
      <c r="A306">
        <v>10361</v>
      </c>
      <c r="B306">
        <v>60</v>
      </c>
      <c r="C306" s="2">
        <v>27.2</v>
      </c>
      <c r="D306" s="2">
        <v>55</v>
      </c>
      <c r="E306" s="3">
        <v>0.1</v>
      </c>
    </row>
    <row r="307" spans="1:5" x14ac:dyDescent="0.2">
      <c r="A307">
        <v>10362</v>
      </c>
      <c r="B307">
        <v>25</v>
      </c>
      <c r="C307" s="2">
        <v>11.2</v>
      </c>
      <c r="D307" s="2">
        <v>50</v>
      </c>
      <c r="E307" s="3">
        <v>0</v>
      </c>
    </row>
    <row r="308" spans="1:5" x14ac:dyDescent="0.2">
      <c r="A308">
        <v>10362</v>
      </c>
      <c r="B308">
        <v>51</v>
      </c>
      <c r="C308" s="2">
        <v>42.4</v>
      </c>
      <c r="D308" s="2">
        <v>20</v>
      </c>
      <c r="E308" s="3">
        <v>0</v>
      </c>
    </row>
    <row r="309" spans="1:5" x14ac:dyDescent="0.2">
      <c r="A309">
        <v>10362</v>
      </c>
      <c r="B309">
        <v>54</v>
      </c>
      <c r="C309" s="2">
        <v>5.9</v>
      </c>
      <c r="D309" s="2">
        <v>24</v>
      </c>
      <c r="E309" s="3">
        <v>0</v>
      </c>
    </row>
    <row r="310" spans="1:5" x14ac:dyDescent="0.2">
      <c r="A310">
        <v>10363</v>
      </c>
      <c r="B310">
        <v>31</v>
      </c>
      <c r="C310" s="2">
        <v>10</v>
      </c>
      <c r="D310" s="2">
        <v>20</v>
      </c>
      <c r="E310" s="3">
        <v>0</v>
      </c>
    </row>
    <row r="311" spans="1:5" x14ac:dyDescent="0.2">
      <c r="A311">
        <v>10363</v>
      </c>
      <c r="B311">
        <v>75</v>
      </c>
      <c r="C311" s="2">
        <v>6.2</v>
      </c>
      <c r="D311" s="2">
        <v>12</v>
      </c>
      <c r="E311" s="3">
        <v>0</v>
      </c>
    </row>
    <row r="312" spans="1:5" x14ac:dyDescent="0.2">
      <c r="A312">
        <v>10363</v>
      </c>
      <c r="B312">
        <v>76</v>
      </c>
      <c r="C312" s="2">
        <v>14.4</v>
      </c>
      <c r="D312" s="2">
        <v>12</v>
      </c>
      <c r="E312" s="3">
        <v>0</v>
      </c>
    </row>
    <row r="313" spans="1:5" x14ac:dyDescent="0.2">
      <c r="A313">
        <v>10364</v>
      </c>
      <c r="B313">
        <v>69</v>
      </c>
      <c r="C313" s="2">
        <v>28.8</v>
      </c>
      <c r="D313" s="2">
        <v>30</v>
      </c>
      <c r="E313" s="3">
        <v>0</v>
      </c>
    </row>
    <row r="314" spans="1:5" x14ac:dyDescent="0.2">
      <c r="A314">
        <v>10364</v>
      </c>
      <c r="B314">
        <v>71</v>
      </c>
      <c r="C314" s="2">
        <v>17.2</v>
      </c>
      <c r="D314" s="2">
        <v>5</v>
      </c>
      <c r="E314" s="3">
        <v>0</v>
      </c>
    </row>
    <row r="315" spans="1:5" x14ac:dyDescent="0.2">
      <c r="A315">
        <v>10365</v>
      </c>
      <c r="B315">
        <v>11</v>
      </c>
      <c r="C315" s="2">
        <v>16.8</v>
      </c>
      <c r="D315" s="2">
        <v>24</v>
      </c>
      <c r="E315" s="3">
        <v>0</v>
      </c>
    </row>
    <row r="316" spans="1:5" x14ac:dyDescent="0.2">
      <c r="A316">
        <v>10366</v>
      </c>
      <c r="B316">
        <v>65</v>
      </c>
      <c r="C316" s="2">
        <v>16.8</v>
      </c>
      <c r="D316" s="2">
        <v>5</v>
      </c>
      <c r="E316" s="3">
        <v>0</v>
      </c>
    </row>
    <row r="317" spans="1:5" x14ac:dyDescent="0.2">
      <c r="A317">
        <v>10366</v>
      </c>
      <c r="B317">
        <v>77</v>
      </c>
      <c r="C317" s="2">
        <v>10.4</v>
      </c>
      <c r="D317" s="2">
        <v>5</v>
      </c>
      <c r="E317" s="3">
        <v>0</v>
      </c>
    </row>
    <row r="318" spans="1:5" x14ac:dyDescent="0.2">
      <c r="A318">
        <v>10367</v>
      </c>
      <c r="B318">
        <v>34</v>
      </c>
      <c r="C318" s="2">
        <v>11.2</v>
      </c>
      <c r="D318" s="2">
        <v>36</v>
      </c>
      <c r="E318" s="3">
        <v>0</v>
      </c>
    </row>
    <row r="319" spans="1:5" x14ac:dyDescent="0.2">
      <c r="A319">
        <v>10367</v>
      </c>
      <c r="B319">
        <v>54</v>
      </c>
      <c r="C319" s="2">
        <v>5.9</v>
      </c>
      <c r="D319" s="2">
        <v>18</v>
      </c>
      <c r="E319" s="3">
        <v>0</v>
      </c>
    </row>
    <row r="320" spans="1:5" x14ac:dyDescent="0.2">
      <c r="A320">
        <v>10367</v>
      </c>
      <c r="B320">
        <v>65</v>
      </c>
      <c r="C320" s="2">
        <v>16.8</v>
      </c>
      <c r="D320" s="2">
        <v>15</v>
      </c>
      <c r="E320" s="3">
        <v>0</v>
      </c>
    </row>
    <row r="321" spans="1:5" x14ac:dyDescent="0.2">
      <c r="A321">
        <v>10367</v>
      </c>
      <c r="B321">
        <v>77</v>
      </c>
      <c r="C321" s="2">
        <v>10.4</v>
      </c>
      <c r="D321" s="2">
        <v>7</v>
      </c>
      <c r="E321" s="3">
        <v>0</v>
      </c>
    </row>
    <row r="322" spans="1:5" x14ac:dyDescent="0.2">
      <c r="A322">
        <v>10368</v>
      </c>
      <c r="B322">
        <v>21</v>
      </c>
      <c r="C322" s="2">
        <v>8</v>
      </c>
      <c r="D322" s="2">
        <v>5</v>
      </c>
      <c r="E322" s="3">
        <v>0.1</v>
      </c>
    </row>
    <row r="323" spans="1:5" x14ac:dyDescent="0.2">
      <c r="A323">
        <v>10368</v>
      </c>
      <c r="B323">
        <v>28</v>
      </c>
      <c r="C323" s="2">
        <v>36.4</v>
      </c>
      <c r="D323" s="2">
        <v>13</v>
      </c>
      <c r="E323" s="3">
        <v>0.1</v>
      </c>
    </row>
    <row r="324" spans="1:5" x14ac:dyDescent="0.2">
      <c r="A324">
        <v>10368</v>
      </c>
      <c r="B324">
        <v>57</v>
      </c>
      <c r="C324" s="2">
        <v>15.6</v>
      </c>
      <c r="D324" s="2">
        <v>25</v>
      </c>
      <c r="E324" s="3">
        <v>0</v>
      </c>
    </row>
    <row r="325" spans="1:5" x14ac:dyDescent="0.2">
      <c r="A325">
        <v>10368</v>
      </c>
      <c r="B325">
        <v>64</v>
      </c>
      <c r="C325" s="2">
        <v>26.6</v>
      </c>
      <c r="D325" s="2">
        <v>35</v>
      </c>
      <c r="E325" s="3">
        <v>0.1</v>
      </c>
    </row>
    <row r="326" spans="1:5" x14ac:dyDescent="0.2">
      <c r="A326">
        <v>10369</v>
      </c>
      <c r="B326">
        <v>29</v>
      </c>
      <c r="C326" s="2">
        <v>99</v>
      </c>
      <c r="D326" s="2">
        <v>20</v>
      </c>
      <c r="E326" s="3">
        <v>0</v>
      </c>
    </row>
    <row r="327" spans="1:5" x14ac:dyDescent="0.2">
      <c r="A327">
        <v>10369</v>
      </c>
      <c r="B327">
        <v>56</v>
      </c>
      <c r="C327" s="2">
        <v>30.4</v>
      </c>
      <c r="D327" s="2">
        <v>18</v>
      </c>
      <c r="E327" s="3">
        <v>0.25</v>
      </c>
    </row>
    <row r="328" spans="1:5" x14ac:dyDescent="0.2">
      <c r="A328">
        <v>10370</v>
      </c>
      <c r="B328">
        <v>1</v>
      </c>
      <c r="C328" s="2">
        <v>14.4</v>
      </c>
      <c r="D328" s="2">
        <v>15</v>
      </c>
      <c r="E328" s="3">
        <v>0.15</v>
      </c>
    </row>
    <row r="329" spans="1:5" x14ac:dyDescent="0.2">
      <c r="A329">
        <v>10370</v>
      </c>
      <c r="B329">
        <v>64</v>
      </c>
      <c r="C329" s="2">
        <v>26.6</v>
      </c>
      <c r="D329" s="2">
        <v>30</v>
      </c>
      <c r="E329" s="3">
        <v>0</v>
      </c>
    </row>
    <row r="330" spans="1:5" x14ac:dyDescent="0.2">
      <c r="A330">
        <v>10370</v>
      </c>
      <c r="B330">
        <v>74</v>
      </c>
      <c r="C330" s="2">
        <v>8</v>
      </c>
      <c r="D330" s="2">
        <v>20</v>
      </c>
      <c r="E330" s="3">
        <v>0.15</v>
      </c>
    </row>
    <row r="331" spans="1:5" x14ac:dyDescent="0.2">
      <c r="A331">
        <v>10371</v>
      </c>
      <c r="B331">
        <v>36</v>
      </c>
      <c r="C331" s="2">
        <v>15.2</v>
      </c>
      <c r="D331" s="2">
        <v>6</v>
      </c>
      <c r="E331" s="3">
        <v>0.2</v>
      </c>
    </row>
    <row r="332" spans="1:5" x14ac:dyDescent="0.2">
      <c r="A332">
        <v>10372</v>
      </c>
      <c r="B332">
        <v>20</v>
      </c>
      <c r="C332" s="2">
        <v>64.8</v>
      </c>
      <c r="D332" s="2">
        <v>12</v>
      </c>
      <c r="E332" s="3">
        <v>0.25</v>
      </c>
    </row>
    <row r="333" spans="1:5" x14ac:dyDescent="0.2">
      <c r="A333">
        <v>10372</v>
      </c>
      <c r="B333">
        <v>38</v>
      </c>
      <c r="C333" s="2">
        <v>210.8</v>
      </c>
      <c r="D333" s="2">
        <v>40</v>
      </c>
      <c r="E333" s="3">
        <v>0.25</v>
      </c>
    </row>
    <row r="334" spans="1:5" x14ac:dyDescent="0.2">
      <c r="A334">
        <v>10372</v>
      </c>
      <c r="B334">
        <v>60</v>
      </c>
      <c r="C334" s="2">
        <v>27.2</v>
      </c>
      <c r="D334" s="2">
        <v>70</v>
      </c>
      <c r="E334" s="3">
        <v>0.25</v>
      </c>
    </row>
    <row r="335" spans="1:5" x14ac:dyDescent="0.2">
      <c r="A335">
        <v>10372</v>
      </c>
      <c r="B335">
        <v>72</v>
      </c>
      <c r="C335" s="2">
        <v>27.8</v>
      </c>
      <c r="D335" s="2">
        <v>42</v>
      </c>
      <c r="E335" s="3">
        <v>0.25</v>
      </c>
    </row>
    <row r="336" spans="1:5" x14ac:dyDescent="0.2">
      <c r="A336">
        <v>10373</v>
      </c>
      <c r="B336">
        <v>58</v>
      </c>
      <c r="C336" s="2">
        <v>10.6</v>
      </c>
      <c r="D336" s="2">
        <v>80</v>
      </c>
      <c r="E336" s="3">
        <v>0.2</v>
      </c>
    </row>
    <row r="337" spans="1:5" x14ac:dyDescent="0.2">
      <c r="A337">
        <v>10373</v>
      </c>
      <c r="B337">
        <v>71</v>
      </c>
      <c r="C337" s="2">
        <v>17.2</v>
      </c>
      <c r="D337" s="2">
        <v>50</v>
      </c>
      <c r="E337" s="3">
        <v>0.2</v>
      </c>
    </row>
    <row r="338" spans="1:5" x14ac:dyDescent="0.2">
      <c r="A338">
        <v>10374</v>
      </c>
      <c r="B338">
        <v>31</v>
      </c>
      <c r="C338" s="2">
        <v>10</v>
      </c>
      <c r="D338" s="2">
        <v>30</v>
      </c>
      <c r="E338" s="3">
        <v>0</v>
      </c>
    </row>
    <row r="339" spans="1:5" x14ac:dyDescent="0.2">
      <c r="A339">
        <v>10374</v>
      </c>
      <c r="B339">
        <v>58</v>
      </c>
      <c r="C339" s="2">
        <v>10.6</v>
      </c>
      <c r="D339" s="2">
        <v>15</v>
      </c>
      <c r="E339" s="3">
        <v>0</v>
      </c>
    </row>
    <row r="340" spans="1:5" x14ac:dyDescent="0.2">
      <c r="A340">
        <v>10375</v>
      </c>
      <c r="B340">
        <v>14</v>
      </c>
      <c r="C340" s="2">
        <v>18.600000000000001</v>
      </c>
      <c r="D340" s="2">
        <v>15</v>
      </c>
      <c r="E340" s="3">
        <v>0</v>
      </c>
    </row>
    <row r="341" spans="1:5" x14ac:dyDescent="0.2">
      <c r="A341">
        <v>10375</v>
      </c>
      <c r="B341">
        <v>54</v>
      </c>
      <c r="C341" s="2">
        <v>5.9</v>
      </c>
      <c r="D341" s="2">
        <v>10</v>
      </c>
      <c r="E341" s="3">
        <v>0</v>
      </c>
    </row>
    <row r="342" spans="1:5" x14ac:dyDescent="0.2">
      <c r="A342">
        <v>10376</v>
      </c>
      <c r="B342">
        <v>31</v>
      </c>
      <c r="C342" s="2">
        <v>10</v>
      </c>
      <c r="D342" s="2">
        <v>42</v>
      </c>
      <c r="E342" s="3">
        <v>0.05</v>
      </c>
    </row>
    <row r="343" spans="1:5" x14ac:dyDescent="0.2">
      <c r="A343">
        <v>10377</v>
      </c>
      <c r="B343">
        <v>28</v>
      </c>
      <c r="C343" s="2">
        <v>36.4</v>
      </c>
      <c r="D343" s="2">
        <v>20</v>
      </c>
      <c r="E343" s="3">
        <v>0.15</v>
      </c>
    </row>
    <row r="344" spans="1:5" x14ac:dyDescent="0.2">
      <c r="A344">
        <v>10377</v>
      </c>
      <c r="B344">
        <v>39</v>
      </c>
      <c r="C344" s="2">
        <v>14.4</v>
      </c>
      <c r="D344" s="2">
        <v>20</v>
      </c>
      <c r="E344" s="3">
        <v>0.15</v>
      </c>
    </row>
    <row r="345" spans="1:5" x14ac:dyDescent="0.2">
      <c r="A345">
        <v>10378</v>
      </c>
      <c r="B345">
        <v>71</v>
      </c>
      <c r="C345" s="2">
        <v>17.2</v>
      </c>
      <c r="D345" s="2">
        <v>6</v>
      </c>
      <c r="E345" s="3">
        <v>0</v>
      </c>
    </row>
    <row r="346" spans="1:5" x14ac:dyDescent="0.2">
      <c r="A346">
        <v>10379</v>
      </c>
      <c r="B346">
        <v>41</v>
      </c>
      <c r="C346" s="2">
        <v>7.7</v>
      </c>
      <c r="D346" s="2">
        <v>8</v>
      </c>
      <c r="E346" s="3">
        <v>0.1</v>
      </c>
    </row>
    <row r="347" spans="1:5" x14ac:dyDescent="0.2">
      <c r="A347">
        <v>10379</v>
      </c>
      <c r="B347">
        <v>63</v>
      </c>
      <c r="C347" s="2">
        <v>35.1</v>
      </c>
      <c r="D347" s="2">
        <v>16</v>
      </c>
      <c r="E347" s="3">
        <v>0.1</v>
      </c>
    </row>
    <row r="348" spans="1:5" x14ac:dyDescent="0.2">
      <c r="A348">
        <v>10379</v>
      </c>
      <c r="B348">
        <v>65</v>
      </c>
      <c r="C348" s="2">
        <v>16.8</v>
      </c>
      <c r="D348" s="2">
        <v>20</v>
      </c>
      <c r="E348" s="3">
        <v>0.1</v>
      </c>
    </row>
    <row r="349" spans="1:5" x14ac:dyDescent="0.2">
      <c r="A349">
        <v>10380</v>
      </c>
      <c r="B349">
        <v>30</v>
      </c>
      <c r="C349" s="2">
        <v>20.7</v>
      </c>
      <c r="D349" s="2">
        <v>18</v>
      </c>
      <c r="E349" s="3">
        <v>0.1</v>
      </c>
    </row>
    <row r="350" spans="1:5" x14ac:dyDescent="0.2">
      <c r="A350">
        <v>10380</v>
      </c>
      <c r="B350">
        <v>53</v>
      </c>
      <c r="C350" s="2">
        <v>26.2</v>
      </c>
      <c r="D350" s="2">
        <v>20</v>
      </c>
      <c r="E350" s="3">
        <v>0.1</v>
      </c>
    </row>
    <row r="351" spans="1:5" x14ac:dyDescent="0.2">
      <c r="A351">
        <v>10380</v>
      </c>
      <c r="B351">
        <v>60</v>
      </c>
      <c r="C351" s="2">
        <v>27.2</v>
      </c>
      <c r="D351" s="2">
        <v>6</v>
      </c>
      <c r="E351" s="3">
        <v>0.1</v>
      </c>
    </row>
    <row r="352" spans="1:5" x14ac:dyDescent="0.2">
      <c r="A352">
        <v>10380</v>
      </c>
      <c r="B352">
        <v>70</v>
      </c>
      <c r="C352" s="2">
        <v>12</v>
      </c>
      <c r="D352" s="2">
        <v>30</v>
      </c>
      <c r="E352" s="3">
        <v>0</v>
      </c>
    </row>
    <row r="353" spans="1:5" x14ac:dyDescent="0.2">
      <c r="A353">
        <v>10381</v>
      </c>
      <c r="B353">
        <v>74</v>
      </c>
      <c r="C353" s="2">
        <v>8</v>
      </c>
      <c r="D353" s="2">
        <v>14</v>
      </c>
      <c r="E353" s="3">
        <v>0</v>
      </c>
    </row>
    <row r="354" spans="1:5" x14ac:dyDescent="0.2">
      <c r="A354">
        <v>10382</v>
      </c>
      <c r="B354">
        <v>5</v>
      </c>
      <c r="C354" s="2">
        <v>17</v>
      </c>
      <c r="D354" s="2">
        <v>32</v>
      </c>
      <c r="E354" s="3">
        <v>0</v>
      </c>
    </row>
    <row r="355" spans="1:5" x14ac:dyDescent="0.2">
      <c r="A355">
        <v>10382</v>
      </c>
      <c r="B355">
        <v>18</v>
      </c>
      <c r="C355" s="2">
        <v>50</v>
      </c>
      <c r="D355" s="2">
        <v>9</v>
      </c>
      <c r="E355" s="3">
        <v>0</v>
      </c>
    </row>
    <row r="356" spans="1:5" x14ac:dyDescent="0.2">
      <c r="A356">
        <v>10382</v>
      </c>
      <c r="B356">
        <v>29</v>
      </c>
      <c r="C356" s="2">
        <v>99</v>
      </c>
      <c r="D356" s="2">
        <v>14</v>
      </c>
      <c r="E356" s="3">
        <v>0</v>
      </c>
    </row>
    <row r="357" spans="1:5" x14ac:dyDescent="0.2">
      <c r="A357">
        <v>10382</v>
      </c>
      <c r="B357">
        <v>33</v>
      </c>
      <c r="C357" s="2">
        <v>2</v>
      </c>
      <c r="D357" s="2">
        <v>60</v>
      </c>
      <c r="E357" s="3">
        <v>0</v>
      </c>
    </row>
    <row r="358" spans="1:5" x14ac:dyDescent="0.2">
      <c r="A358">
        <v>10382</v>
      </c>
      <c r="B358">
        <v>74</v>
      </c>
      <c r="C358" s="2">
        <v>8</v>
      </c>
      <c r="D358" s="2">
        <v>50</v>
      </c>
      <c r="E358" s="3">
        <v>0</v>
      </c>
    </row>
    <row r="359" spans="1:5" x14ac:dyDescent="0.2">
      <c r="A359">
        <v>10383</v>
      </c>
      <c r="B359">
        <v>13</v>
      </c>
      <c r="C359" s="2">
        <v>4.8</v>
      </c>
      <c r="D359" s="2">
        <v>20</v>
      </c>
      <c r="E359" s="3">
        <v>0</v>
      </c>
    </row>
    <row r="360" spans="1:5" x14ac:dyDescent="0.2">
      <c r="A360">
        <v>10383</v>
      </c>
      <c r="B360">
        <v>50</v>
      </c>
      <c r="C360" s="2">
        <v>13</v>
      </c>
      <c r="D360" s="2">
        <v>15</v>
      </c>
      <c r="E360" s="3">
        <v>0</v>
      </c>
    </row>
    <row r="361" spans="1:5" x14ac:dyDescent="0.2">
      <c r="A361">
        <v>10383</v>
      </c>
      <c r="B361">
        <v>56</v>
      </c>
      <c r="C361" s="2">
        <v>30.4</v>
      </c>
      <c r="D361" s="2">
        <v>20</v>
      </c>
      <c r="E361" s="3">
        <v>0</v>
      </c>
    </row>
    <row r="362" spans="1:5" x14ac:dyDescent="0.2">
      <c r="A362">
        <v>10384</v>
      </c>
      <c r="B362">
        <v>20</v>
      </c>
      <c r="C362" s="2">
        <v>64.8</v>
      </c>
      <c r="D362" s="2">
        <v>28</v>
      </c>
      <c r="E362" s="3">
        <v>0</v>
      </c>
    </row>
    <row r="363" spans="1:5" x14ac:dyDescent="0.2">
      <c r="A363">
        <v>10384</v>
      </c>
      <c r="B363">
        <v>60</v>
      </c>
      <c r="C363" s="2">
        <v>27.2</v>
      </c>
      <c r="D363" s="2">
        <v>15</v>
      </c>
      <c r="E363" s="3">
        <v>0</v>
      </c>
    </row>
    <row r="364" spans="1:5" x14ac:dyDescent="0.2">
      <c r="A364">
        <v>10385</v>
      </c>
      <c r="B364">
        <v>7</v>
      </c>
      <c r="C364" s="2">
        <v>24</v>
      </c>
      <c r="D364" s="2">
        <v>10</v>
      </c>
      <c r="E364" s="3">
        <v>0.2</v>
      </c>
    </row>
    <row r="365" spans="1:5" x14ac:dyDescent="0.2">
      <c r="A365">
        <v>10385</v>
      </c>
      <c r="B365">
        <v>60</v>
      </c>
      <c r="C365" s="2">
        <v>27.2</v>
      </c>
      <c r="D365" s="2">
        <v>20</v>
      </c>
      <c r="E365" s="3">
        <v>0.2</v>
      </c>
    </row>
    <row r="366" spans="1:5" x14ac:dyDescent="0.2">
      <c r="A366">
        <v>10385</v>
      </c>
      <c r="B366">
        <v>68</v>
      </c>
      <c r="C366" s="2">
        <v>10</v>
      </c>
      <c r="D366" s="2">
        <v>8</v>
      </c>
      <c r="E366" s="3">
        <v>0.2</v>
      </c>
    </row>
    <row r="367" spans="1:5" x14ac:dyDescent="0.2">
      <c r="A367">
        <v>10386</v>
      </c>
      <c r="B367">
        <v>24</v>
      </c>
      <c r="C367" s="2">
        <v>3.6</v>
      </c>
      <c r="D367" s="2">
        <v>15</v>
      </c>
      <c r="E367" s="3">
        <v>0</v>
      </c>
    </row>
    <row r="368" spans="1:5" x14ac:dyDescent="0.2">
      <c r="A368">
        <v>10386</v>
      </c>
      <c r="B368">
        <v>34</v>
      </c>
      <c r="C368" s="2">
        <v>11.2</v>
      </c>
      <c r="D368" s="2">
        <v>10</v>
      </c>
      <c r="E368" s="3">
        <v>0</v>
      </c>
    </row>
    <row r="369" spans="1:5" x14ac:dyDescent="0.2">
      <c r="A369">
        <v>10387</v>
      </c>
      <c r="B369">
        <v>24</v>
      </c>
      <c r="C369" s="2">
        <v>3.6</v>
      </c>
      <c r="D369" s="2">
        <v>15</v>
      </c>
      <c r="E369" s="3">
        <v>0</v>
      </c>
    </row>
    <row r="370" spans="1:5" x14ac:dyDescent="0.2">
      <c r="A370">
        <v>10387</v>
      </c>
      <c r="B370">
        <v>28</v>
      </c>
      <c r="C370" s="2">
        <v>36.4</v>
      </c>
      <c r="D370" s="2">
        <v>6</v>
      </c>
      <c r="E370" s="3">
        <v>0</v>
      </c>
    </row>
    <row r="371" spans="1:5" x14ac:dyDescent="0.2">
      <c r="A371">
        <v>10387</v>
      </c>
      <c r="B371">
        <v>59</v>
      </c>
      <c r="C371" s="2">
        <v>44</v>
      </c>
      <c r="D371" s="2">
        <v>12</v>
      </c>
      <c r="E371" s="3">
        <v>0</v>
      </c>
    </row>
    <row r="372" spans="1:5" x14ac:dyDescent="0.2">
      <c r="A372">
        <v>10387</v>
      </c>
      <c r="B372">
        <v>71</v>
      </c>
      <c r="C372" s="2">
        <v>17.2</v>
      </c>
      <c r="D372" s="2">
        <v>15</v>
      </c>
      <c r="E372" s="3">
        <v>0</v>
      </c>
    </row>
    <row r="373" spans="1:5" x14ac:dyDescent="0.2">
      <c r="A373">
        <v>10388</v>
      </c>
      <c r="B373">
        <v>45</v>
      </c>
      <c r="C373" s="2">
        <v>7.6</v>
      </c>
      <c r="D373" s="2">
        <v>15</v>
      </c>
      <c r="E373" s="3">
        <v>0.2</v>
      </c>
    </row>
    <row r="374" spans="1:5" x14ac:dyDescent="0.2">
      <c r="A374">
        <v>10388</v>
      </c>
      <c r="B374">
        <v>52</v>
      </c>
      <c r="C374" s="2">
        <v>5.6</v>
      </c>
      <c r="D374" s="2">
        <v>20</v>
      </c>
      <c r="E374" s="3">
        <v>0.2</v>
      </c>
    </row>
    <row r="375" spans="1:5" x14ac:dyDescent="0.2">
      <c r="A375">
        <v>10388</v>
      </c>
      <c r="B375">
        <v>53</v>
      </c>
      <c r="C375" s="2">
        <v>26.2</v>
      </c>
      <c r="D375" s="2">
        <v>40</v>
      </c>
      <c r="E375" s="3">
        <v>0</v>
      </c>
    </row>
    <row r="376" spans="1:5" x14ac:dyDescent="0.2">
      <c r="A376">
        <v>10389</v>
      </c>
      <c r="B376">
        <v>10</v>
      </c>
      <c r="C376" s="2">
        <v>24.8</v>
      </c>
      <c r="D376" s="2">
        <v>16</v>
      </c>
      <c r="E376" s="3">
        <v>0</v>
      </c>
    </row>
    <row r="377" spans="1:5" x14ac:dyDescent="0.2">
      <c r="A377">
        <v>10389</v>
      </c>
      <c r="B377">
        <v>55</v>
      </c>
      <c r="C377" s="2">
        <v>19.2</v>
      </c>
      <c r="D377" s="2">
        <v>15</v>
      </c>
      <c r="E377" s="3">
        <v>0</v>
      </c>
    </row>
    <row r="378" spans="1:5" x14ac:dyDescent="0.2">
      <c r="A378">
        <v>10389</v>
      </c>
      <c r="B378">
        <v>62</v>
      </c>
      <c r="C378" s="2">
        <v>39.4</v>
      </c>
      <c r="D378" s="2">
        <v>20</v>
      </c>
      <c r="E378" s="3">
        <v>0</v>
      </c>
    </row>
    <row r="379" spans="1:5" x14ac:dyDescent="0.2">
      <c r="A379">
        <v>10389</v>
      </c>
      <c r="B379">
        <v>70</v>
      </c>
      <c r="C379" s="2">
        <v>12</v>
      </c>
      <c r="D379" s="2">
        <v>30</v>
      </c>
      <c r="E379" s="3">
        <v>0</v>
      </c>
    </row>
    <row r="380" spans="1:5" x14ac:dyDescent="0.2">
      <c r="A380">
        <v>10390</v>
      </c>
      <c r="B380">
        <v>31</v>
      </c>
      <c r="C380" s="2">
        <v>10</v>
      </c>
      <c r="D380" s="2">
        <v>60</v>
      </c>
      <c r="E380" s="3">
        <v>0.1</v>
      </c>
    </row>
    <row r="381" spans="1:5" x14ac:dyDescent="0.2">
      <c r="A381">
        <v>10390</v>
      </c>
      <c r="B381">
        <v>35</v>
      </c>
      <c r="C381" s="2">
        <v>14.4</v>
      </c>
      <c r="D381" s="2">
        <v>40</v>
      </c>
      <c r="E381" s="3">
        <v>0.1</v>
      </c>
    </row>
    <row r="382" spans="1:5" x14ac:dyDescent="0.2">
      <c r="A382">
        <v>10390</v>
      </c>
      <c r="B382">
        <v>46</v>
      </c>
      <c r="C382" s="2">
        <v>9.6</v>
      </c>
      <c r="D382" s="2">
        <v>45</v>
      </c>
      <c r="E382" s="3">
        <v>0</v>
      </c>
    </row>
    <row r="383" spans="1:5" x14ac:dyDescent="0.2">
      <c r="A383">
        <v>10390</v>
      </c>
      <c r="B383">
        <v>72</v>
      </c>
      <c r="C383" s="2">
        <v>27.8</v>
      </c>
      <c r="D383" s="2">
        <v>24</v>
      </c>
      <c r="E383" s="3">
        <v>0.1</v>
      </c>
    </row>
    <row r="384" spans="1:5" x14ac:dyDescent="0.2">
      <c r="A384">
        <v>10391</v>
      </c>
      <c r="B384">
        <v>13</v>
      </c>
      <c r="C384" s="2">
        <v>4.8</v>
      </c>
      <c r="D384" s="2">
        <v>18</v>
      </c>
      <c r="E384" s="3">
        <v>0</v>
      </c>
    </row>
    <row r="385" spans="1:5" x14ac:dyDescent="0.2">
      <c r="A385">
        <v>10392</v>
      </c>
      <c r="B385">
        <v>69</v>
      </c>
      <c r="C385" s="2">
        <v>28.8</v>
      </c>
      <c r="D385" s="2">
        <v>50</v>
      </c>
      <c r="E385" s="3">
        <v>0</v>
      </c>
    </row>
    <row r="386" spans="1:5" x14ac:dyDescent="0.2">
      <c r="A386">
        <v>10393</v>
      </c>
      <c r="B386">
        <v>2</v>
      </c>
      <c r="C386" s="2">
        <v>15.2</v>
      </c>
      <c r="D386" s="2">
        <v>25</v>
      </c>
      <c r="E386" s="3">
        <v>0.25</v>
      </c>
    </row>
    <row r="387" spans="1:5" x14ac:dyDescent="0.2">
      <c r="A387">
        <v>10393</v>
      </c>
      <c r="B387">
        <v>14</v>
      </c>
      <c r="C387" s="2">
        <v>18.600000000000001</v>
      </c>
      <c r="D387" s="2">
        <v>42</v>
      </c>
      <c r="E387" s="3">
        <v>0.25</v>
      </c>
    </row>
    <row r="388" spans="1:5" x14ac:dyDescent="0.2">
      <c r="A388">
        <v>10393</v>
      </c>
      <c r="B388">
        <v>25</v>
      </c>
      <c r="C388" s="2">
        <v>11.2</v>
      </c>
      <c r="D388" s="2">
        <v>7</v>
      </c>
      <c r="E388" s="3">
        <v>0.25</v>
      </c>
    </row>
    <row r="389" spans="1:5" x14ac:dyDescent="0.2">
      <c r="A389">
        <v>10393</v>
      </c>
      <c r="B389">
        <v>26</v>
      </c>
      <c r="C389" s="2">
        <v>24.9</v>
      </c>
      <c r="D389" s="2">
        <v>70</v>
      </c>
      <c r="E389" s="3">
        <v>0.25</v>
      </c>
    </row>
    <row r="390" spans="1:5" x14ac:dyDescent="0.2">
      <c r="A390">
        <v>10393</v>
      </c>
      <c r="B390">
        <v>31</v>
      </c>
      <c r="C390" s="2">
        <v>10</v>
      </c>
      <c r="D390" s="2">
        <v>32</v>
      </c>
      <c r="E390" s="3">
        <v>0</v>
      </c>
    </row>
    <row r="391" spans="1:5" x14ac:dyDescent="0.2">
      <c r="A391">
        <v>10394</v>
      </c>
      <c r="B391">
        <v>13</v>
      </c>
      <c r="C391" s="2">
        <v>4.8</v>
      </c>
      <c r="D391" s="2">
        <v>10</v>
      </c>
      <c r="E391" s="3">
        <v>0</v>
      </c>
    </row>
    <row r="392" spans="1:5" x14ac:dyDescent="0.2">
      <c r="A392">
        <v>10394</v>
      </c>
      <c r="B392">
        <v>62</v>
      </c>
      <c r="C392" s="2">
        <v>39.4</v>
      </c>
      <c r="D392" s="2">
        <v>10</v>
      </c>
      <c r="E392" s="3">
        <v>0</v>
      </c>
    </row>
    <row r="393" spans="1:5" x14ac:dyDescent="0.2">
      <c r="A393">
        <v>10395</v>
      </c>
      <c r="B393">
        <v>46</v>
      </c>
      <c r="C393" s="2">
        <v>9.6</v>
      </c>
      <c r="D393" s="2">
        <v>28</v>
      </c>
      <c r="E393" s="3">
        <v>0.1</v>
      </c>
    </row>
    <row r="394" spans="1:5" x14ac:dyDescent="0.2">
      <c r="A394">
        <v>10395</v>
      </c>
      <c r="B394">
        <v>53</v>
      </c>
      <c r="C394" s="2">
        <v>26.2</v>
      </c>
      <c r="D394" s="2">
        <v>70</v>
      </c>
      <c r="E394" s="3">
        <v>0.1</v>
      </c>
    </row>
    <row r="395" spans="1:5" x14ac:dyDescent="0.2">
      <c r="A395">
        <v>10395</v>
      </c>
      <c r="B395">
        <v>69</v>
      </c>
      <c r="C395" s="2">
        <v>28.8</v>
      </c>
      <c r="D395" s="2">
        <v>8</v>
      </c>
      <c r="E395" s="3">
        <v>0</v>
      </c>
    </row>
    <row r="396" spans="1:5" x14ac:dyDescent="0.2">
      <c r="A396">
        <v>10396</v>
      </c>
      <c r="B396">
        <v>23</v>
      </c>
      <c r="C396" s="2">
        <v>7.2</v>
      </c>
      <c r="D396" s="2">
        <v>40</v>
      </c>
      <c r="E396" s="3">
        <v>0</v>
      </c>
    </row>
    <row r="397" spans="1:5" x14ac:dyDescent="0.2">
      <c r="A397">
        <v>10396</v>
      </c>
      <c r="B397">
        <v>71</v>
      </c>
      <c r="C397" s="2">
        <v>17.2</v>
      </c>
      <c r="D397" s="2">
        <v>60</v>
      </c>
      <c r="E397" s="3">
        <v>0</v>
      </c>
    </row>
    <row r="398" spans="1:5" x14ac:dyDescent="0.2">
      <c r="A398">
        <v>10396</v>
      </c>
      <c r="B398">
        <v>72</v>
      </c>
      <c r="C398" s="2">
        <v>27.8</v>
      </c>
      <c r="D398" s="2">
        <v>21</v>
      </c>
      <c r="E398" s="3">
        <v>0</v>
      </c>
    </row>
    <row r="399" spans="1:5" x14ac:dyDescent="0.2">
      <c r="A399">
        <v>10397</v>
      </c>
      <c r="B399">
        <v>21</v>
      </c>
      <c r="C399" s="2">
        <v>8</v>
      </c>
      <c r="D399" s="2">
        <v>10</v>
      </c>
      <c r="E399" s="3">
        <v>0.15</v>
      </c>
    </row>
    <row r="400" spans="1:5" x14ac:dyDescent="0.2">
      <c r="A400">
        <v>10397</v>
      </c>
      <c r="B400">
        <v>51</v>
      </c>
      <c r="C400" s="2">
        <v>42.4</v>
      </c>
      <c r="D400" s="2">
        <v>18</v>
      </c>
      <c r="E400" s="3">
        <v>0.15</v>
      </c>
    </row>
    <row r="401" spans="1:5" x14ac:dyDescent="0.2">
      <c r="A401">
        <v>10398</v>
      </c>
      <c r="B401">
        <v>35</v>
      </c>
      <c r="C401" s="2">
        <v>14.4</v>
      </c>
      <c r="D401" s="2">
        <v>30</v>
      </c>
      <c r="E401" s="3">
        <v>0</v>
      </c>
    </row>
    <row r="402" spans="1:5" x14ac:dyDescent="0.2">
      <c r="A402">
        <v>10398</v>
      </c>
      <c r="B402">
        <v>55</v>
      </c>
      <c r="C402" s="2">
        <v>19.2</v>
      </c>
      <c r="D402" s="2">
        <v>120</v>
      </c>
      <c r="E402" s="3">
        <v>0.1</v>
      </c>
    </row>
    <row r="403" spans="1:5" x14ac:dyDescent="0.2">
      <c r="A403">
        <v>10399</v>
      </c>
      <c r="B403">
        <v>68</v>
      </c>
      <c r="C403" s="2">
        <v>10</v>
      </c>
      <c r="D403" s="2">
        <v>60</v>
      </c>
      <c r="E403" s="3">
        <v>0</v>
      </c>
    </row>
    <row r="404" spans="1:5" x14ac:dyDescent="0.2">
      <c r="A404">
        <v>10399</v>
      </c>
      <c r="B404">
        <v>71</v>
      </c>
      <c r="C404" s="2">
        <v>17.2</v>
      </c>
      <c r="D404" s="2">
        <v>30</v>
      </c>
      <c r="E404" s="3">
        <v>0</v>
      </c>
    </row>
    <row r="405" spans="1:5" x14ac:dyDescent="0.2">
      <c r="A405">
        <v>10399</v>
      </c>
      <c r="B405">
        <v>76</v>
      </c>
      <c r="C405" s="2">
        <v>14.4</v>
      </c>
      <c r="D405" s="2">
        <v>35</v>
      </c>
      <c r="E405" s="3">
        <v>0</v>
      </c>
    </row>
    <row r="406" spans="1:5" x14ac:dyDescent="0.2">
      <c r="A406">
        <v>10399</v>
      </c>
      <c r="B406">
        <v>77</v>
      </c>
      <c r="C406" s="2">
        <v>10.4</v>
      </c>
      <c r="D406" s="2">
        <v>14</v>
      </c>
      <c r="E406" s="3">
        <v>0</v>
      </c>
    </row>
    <row r="407" spans="1:5" x14ac:dyDescent="0.2">
      <c r="A407">
        <v>10400</v>
      </c>
      <c r="B407">
        <v>29</v>
      </c>
      <c r="C407" s="2">
        <v>99</v>
      </c>
      <c r="D407" s="2">
        <v>21</v>
      </c>
      <c r="E407" s="3">
        <v>0</v>
      </c>
    </row>
    <row r="408" spans="1:5" x14ac:dyDescent="0.2">
      <c r="A408">
        <v>10400</v>
      </c>
      <c r="B408">
        <v>35</v>
      </c>
      <c r="C408" s="2">
        <v>14.4</v>
      </c>
      <c r="D408" s="2">
        <v>35</v>
      </c>
      <c r="E408" s="3">
        <v>0</v>
      </c>
    </row>
    <row r="409" spans="1:5" x14ac:dyDescent="0.2">
      <c r="A409">
        <v>10400</v>
      </c>
      <c r="B409">
        <v>49</v>
      </c>
      <c r="C409" s="2">
        <v>16</v>
      </c>
      <c r="D409" s="2">
        <v>30</v>
      </c>
      <c r="E409" s="3">
        <v>0</v>
      </c>
    </row>
    <row r="410" spans="1:5" x14ac:dyDescent="0.2">
      <c r="A410">
        <v>10401</v>
      </c>
      <c r="B410">
        <v>30</v>
      </c>
      <c r="C410" s="2">
        <v>20.7</v>
      </c>
      <c r="D410" s="2">
        <v>18</v>
      </c>
      <c r="E410" s="3">
        <v>0</v>
      </c>
    </row>
    <row r="411" spans="1:5" x14ac:dyDescent="0.2">
      <c r="A411">
        <v>10401</v>
      </c>
      <c r="B411">
        <v>56</v>
      </c>
      <c r="C411" s="2">
        <v>30.4</v>
      </c>
      <c r="D411" s="2">
        <v>70</v>
      </c>
      <c r="E411" s="3">
        <v>0</v>
      </c>
    </row>
    <row r="412" spans="1:5" x14ac:dyDescent="0.2">
      <c r="A412">
        <v>10401</v>
      </c>
      <c r="B412">
        <v>65</v>
      </c>
      <c r="C412" s="2">
        <v>16.8</v>
      </c>
      <c r="D412" s="2">
        <v>20</v>
      </c>
      <c r="E412" s="3">
        <v>0</v>
      </c>
    </row>
    <row r="413" spans="1:5" x14ac:dyDescent="0.2">
      <c r="A413">
        <v>10401</v>
      </c>
      <c r="B413">
        <v>71</v>
      </c>
      <c r="C413" s="2">
        <v>17.2</v>
      </c>
      <c r="D413" s="2">
        <v>60</v>
      </c>
      <c r="E413" s="3">
        <v>0</v>
      </c>
    </row>
    <row r="414" spans="1:5" x14ac:dyDescent="0.2">
      <c r="A414">
        <v>10402</v>
      </c>
      <c r="B414">
        <v>23</v>
      </c>
      <c r="C414" s="2">
        <v>7.2</v>
      </c>
      <c r="D414" s="2">
        <v>60</v>
      </c>
      <c r="E414" s="3">
        <v>0</v>
      </c>
    </row>
    <row r="415" spans="1:5" x14ac:dyDescent="0.2">
      <c r="A415">
        <v>10402</v>
      </c>
      <c r="B415">
        <v>63</v>
      </c>
      <c r="C415" s="2">
        <v>35.1</v>
      </c>
      <c r="D415" s="2">
        <v>65</v>
      </c>
      <c r="E415" s="3">
        <v>0</v>
      </c>
    </row>
    <row r="416" spans="1:5" x14ac:dyDescent="0.2">
      <c r="A416">
        <v>10403</v>
      </c>
      <c r="B416">
        <v>16</v>
      </c>
      <c r="C416" s="2">
        <v>13.9</v>
      </c>
      <c r="D416" s="2">
        <v>21</v>
      </c>
      <c r="E416" s="3">
        <v>0.15</v>
      </c>
    </row>
    <row r="417" spans="1:5" x14ac:dyDescent="0.2">
      <c r="A417">
        <v>10403</v>
      </c>
      <c r="B417">
        <v>48</v>
      </c>
      <c r="C417" s="2">
        <v>10.199999999999999</v>
      </c>
      <c r="D417" s="2">
        <v>70</v>
      </c>
      <c r="E417" s="3">
        <v>0.15</v>
      </c>
    </row>
    <row r="418" spans="1:5" x14ac:dyDescent="0.2">
      <c r="A418">
        <v>10404</v>
      </c>
      <c r="B418">
        <v>26</v>
      </c>
      <c r="C418" s="2">
        <v>24.9</v>
      </c>
      <c r="D418" s="2">
        <v>30</v>
      </c>
      <c r="E418" s="3">
        <v>0.05</v>
      </c>
    </row>
    <row r="419" spans="1:5" x14ac:dyDescent="0.2">
      <c r="A419">
        <v>10404</v>
      </c>
      <c r="B419">
        <v>42</v>
      </c>
      <c r="C419" s="2">
        <v>11.2</v>
      </c>
      <c r="D419" s="2">
        <v>40</v>
      </c>
      <c r="E419" s="3">
        <v>0.05</v>
      </c>
    </row>
    <row r="420" spans="1:5" x14ac:dyDescent="0.2">
      <c r="A420">
        <v>10404</v>
      </c>
      <c r="B420">
        <v>49</v>
      </c>
      <c r="C420" s="2">
        <v>16</v>
      </c>
      <c r="D420" s="2">
        <v>30</v>
      </c>
      <c r="E420" s="3">
        <v>0.05</v>
      </c>
    </row>
    <row r="421" spans="1:5" x14ac:dyDescent="0.2">
      <c r="A421">
        <v>10405</v>
      </c>
      <c r="B421">
        <v>3</v>
      </c>
      <c r="C421" s="2">
        <v>8</v>
      </c>
      <c r="D421" s="2">
        <v>50</v>
      </c>
      <c r="E421" s="3">
        <v>0</v>
      </c>
    </row>
    <row r="422" spans="1:5" x14ac:dyDescent="0.2">
      <c r="A422">
        <v>10406</v>
      </c>
      <c r="B422">
        <v>1</v>
      </c>
      <c r="C422" s="2">
        <v>14.4</v>
      </c>
      <c r="D422" s="2">
        <v>10</v>
      </c>
      <c r="E422" s="3">
        <v>0</v>
      </c>
    </row>
    <row r="423" spans="1:5" x14ac:dyDescent="0.2">
      <c r="A423">
        <v>10406</v>
      </c>
      <c r="B423">
        <v>21</v>
      </c>
      <c r="C423" s="2">
        <v>8</v>
      </c>
      <c r="D423" s="2">
        <v>30</v>
      </c>
      <c r="E423" s="3">
        <v>0.1</v>
      </c>
    </row>
    <row r="424" spans="1:5" x14ac:dyDescent="0.2">
      <c r="A424">
        <v>10406</v>
      </c>
      <c r="B424">
        <v>28</v>
      </c>
      <c r="C424" s="2">
        <v>36.4</v>
      </c>
      <c r="D424" s="2">
        <v>42</v>
      </c>
      <c r="E424" s="3">
        <v>0.1</v>
      </c>
    </row>
    <row r="425" spans="1:5" x14ac:dyDescent="0.2">
      <c r="A425">
        <v>10406</v>
      </c>
      <c r="B425">
        <v>36</v>
      </c>
      <c r="C425" s="2">
        <v>15.2</v>
      </c>
      <c r="D425" s="2">
        <v>5</v>
      </c>
      <c r="E425" s="3">
        <v>0.1</v>
      </c>
    </row>
    <row r="426" spans="1:5" x14ac:dyDescent="0.2">
      <c r="A426">
        <v>10406</v>
      </c>
      <c r="B426">
        <v>40</v>
      </c>
      <c r="C426" s="2">
        <v>14.7</v>
      </c>
      <c r="D426" s="2">
        <v>2</v>
      </c>
      <c r="E426" s="3">
        <v>0.1</v>
      </c>
    </row>
    <row r="427" spans="1:5" x14ac:dyDescent="0.2">
      <c r="A427">
        <v>10407</v>
      </c>
      <c r="B427">
        <v>11</v>
      </c>
      <c r="C427" s="2">
        <v>16.8</v>
      </c>
      <c r="D427" s="2">
        <v>30</v>
      </c>
      <c r="E427" s="3">
        <v>0</v>
      </c>
    </row>
    <row r="428" spans="1:5" x14ac:dyDescent="0.2">
      <c r="A428">
        <v>10407</v>
      </c>
      <c r="B428">
        <v>69</v>
      </c>
      <c r="C428" s="2">
        <v>28.8</v>
      </c>
      <c r="D428" s="2">
        <v>15</v>
      </c>
      <c r="E428" s="3">
        <v>0</v>
      </c>
    </row>
    <row r="429" spans="1:5" x14ac:dyDescent="0.2">
      <c r="A429">
        <v>10407</v>
      </c>
      <c r="B429">
        <v>71</v>
      </c>
      <c r="C429" s="2">
        <v>17.2</v>
      </c>
      <c r="D429" s="2">
        <v>15</v>
      </c>
      <c r="E429" s="3">
        <v>0</v>
      </c>
    </row>
    <row r="430" spans="1:5" x14ac:dyDescent="0.2">
      <c r="A430">
        <v>10408</v>
      </c>
      <c r="B430">
        <v>37</v>
      </c>
      <c r="C430" s="2">
        <v>20.8</v>
      </c>
      <c r="D430" s="2">
        <v>10</v>
      </c>
      <c r="E430" s="3">
        <v>0</v>
      </c>
    </row>
    <row r="431" spans="1:5" x14ac:dyDescent="0.2">
      <c r="A431">
        <v>10408</v>
      </c>
      <c r="B431">
        <v>54</v>
      </c>
      <c r="C431" s="2">
        <v>5.9</v>
      </c>
      <c r="D431" s="2">
        <v>6</v>
      </c>
      <c r="E431" s="3">
        <v>0</v>
      </c>
    </row>
    <row r="432" spans="1:5" x14ac:dyDescent="0.2">
      <c r="A432">
        <v>10408</v>
      </c>
      <c r="B432">
        <v>62</v>
      </c>
      <c r="C432" s="2">
        <v>39.4</v>
      </c>
      <c r="D432" s="2">
        <v>35</v>
      </c>
      <c r="E432" s="3">
        <v>0</v>
      </c>
    </row>
    <row r="433" spans="1:5" x14ac:dyDescent="0.2">
      <c r="A433">
        <v>10409</v>
      </c>
      <c r="B433">
        <v>14</v>
      </c>
      <c r="C433" s="2">
        <v>18.600000000000001</v>
      </c>
      <c r="D433" s="2">
        <v>12</v>
      </c>
      <c r="E433" s="3">
        <v>0</v>
      </c>
    </row>
    <row r="434" spans="1:5" x14ac:dyDescent="0.2">
      <c r="A434">
        <v>10409</v>
      </c>
      <c r="B434">
        <v>21</v>
      </c>
      <c r="C434" s="2">
        <v>8</v>
      </c>
      <c r="D434" s="2">
        <v>12</v>
      </c>
      <c r="E434" s="3">
        <v>0</v>
      </c>
    </row>
    <row r="435" spans="1:5" x14ac:dyDescent="0.2">
      <c r="A435">
        <v>10410</v>
      </c>
      <c r="B435">
        <v>33</v>
      </c>
      <c r="C435" s="2">
        <v>2</v>
      </c>
      <c r="D435" s="2">
        <v>49</v>
      </c>
      <c r="E435" s="3">
        <v>0</v>
      </c>
    </row>
    <row r="436" spans="1:5" x14ac:dyDescent="0.2">
      <c r="A436">
        <v>10410</v>
      </c>
      <c r="B436">
        <v>59</v>
      </c>
      <c r="C436" s="2">
        <v>44</v>
      </c>
      <c r="D436" s="2">
        <v>16</v>
      </c>
      <c r="E436" s="3">
        <v>0</v>
      </c>
    </row>
    <row r="437" spans="1:5" x14ac:dyDescent="0.2">
      <c r="A437">
        <v>10411</v>
      </c>
      <c r="B437">
        <v>41</v>
      </c>
      <c r="C437" s="2">
        <v>7.7</v>
      </c>
      <c r="D437" s="2">
        <v>25</v>
      </c>
      <c r="E437" s="3">
        <v>0.2</v>
      </c>
    </row>
    <row r="438" spans="1:5" x14ac:dyDescent="0.2">
      <c r="A438">
        <v>10411</v>
      </c>
      <c r="B438">
        <v>44</v>
      </c>
      <c r="C438" s="2">
        <v>15.5</v>
      </c>
      <c r="D438" s="2">
        <v>40</v>
      </c>
      <c r="E438" s="3">
        <v>0.2</v>
      </c>
    </row>
    <row r="439" spans="1:5" x14ac:dyDescent="0.2">
      <c r="A439">
        <v>10411</v>
      </c>
      <c r="B439">
        <v>59</v>
      </c>
      <c r="C439" s="2">
        <v>44</v>
      </c>
      <c r="D439" s="2">
        <v>9</v>
      </c>
      <c r="E439" s="3">
        <v>0.2</v>
      </c>
    </row>
    <row r="440" spans="1:5" x14ac:dyDescent="0.2">
      <c r="A440">
        <v>10412</v>
      </c>
      <c r="B440">
        <v>14</v>
      </c>
      <c r="C440" s="2">
        <v>18.600000000000001</v>
      </c>
      <c r="D440" s="2">
        <v>20</v>
      </c>
      <c r="E440" s="3">
        <v>0.1</v>
      </c>
    </row>
    <row r="441" spans="1:5" x14ac:dyDescent="0.2">
      <c r="A441">
        <v>10413</v>
      </c>
      <c r="B441">
        <v>1</v>
      </c>
      <c r="C441" s="2">
        <v>14.4</v>
      </c>
      <c r="D441" s="2">
        <v>24</v>
      </c>
      <c r="E441" s="3">
        <v>0</v>
      </c>
    </row>
    <row r="442" spans="1:5" x14ac:dyDescent="0.2">
      <c r="A442">
        <v>10413</v>
      </c>
      <c r="B442">
        <v>62</v>
      </c>
      <c r="C442" s="2">
        <v>39.4</v>
      </c>
      <c r="D442" s="2">
        <v>40</v>
      </c>
      <c r="E442" s="3">
        <v>0</v>
      </c>
    </row>
    <row r="443" spans="1:5" x14ac:dyDescent="0.2">
      <c r="A443">
        <v>10413</v>
      </c>
      <c r="B443">
        <v>76</v>
      </c>
      <c r="C443" s="2">
        <v>14.4</v>
      </c>
      <c r="D443" s="2">
        <v>14</v>
      </c>
      <c r="E443" s="3">
        <v>0</v>
      </c>
    </row>
    <row r="444" spans="1:5" x14ac:dyDescent="0.2">
      <c r="A444">
        <v>10414</v>
      </c>
      <c r="B444">
        <v>19</v>
      </c>
      <c r="C444" s="2">
        <v>7.3</v>
      </c>
      <c r="D444" s="2">
        <v>18</v>
      </c>
      <c r="E444" s="3">
        <v>0.05</v>
      </c>
    </row>
    <row r="445" spans="1:5" x14ac:dyDescent="0.2">
      <c r="A445">
        <v>10414</v>
      </c>
      <c r="B445">
        <v>33</v>
      </c>
      <c r="C445" s="2">
        <v>2</v>
      </c>
      <c r="D445" s="2">
        <v>50</v>
      </c>
      <c r="E445" s="3">
        <v>0</v>
      </c>
    </row>
    <row r="446" spans="1:5" x14ac:dyDescent="0.2">
      <c r="A446">
        <v>10415</v>
      </c>
      <c r="B446">
        <v>17</v>
      </c>
      <c r="C446" s="2">
        <v>31.2</v>
      </c>
      <c r="D446" s="2">
        <v>2</v>
      </c>
      <c r="E446" s="3">
        <v>0</v>
      </c>
    </row>
    <row r="447" spans="1:5" x14ac:dyDescent="0.2">
      <c r="A447">
        <v>10415</v>
      </c>
      <c r="B447">
        <v>33</v>
      </c>
      <c r="C447" s="2">
        <v>2</v>
      </c>
      <c r="D447" s="2">
        <v>20</v>
      </c>
      <c r="E447" s="3">
        <v>0</v>
      </c>
    </row>
    <row r="448" spans="1:5" x14ac:dyDescent="0.2">
      <c r="A448">
        <v>10416</v>
      </c>
      <c r="B448">
        <v>19</v>
      </c>
      <c r="C448" s="2">
        <v>7.3</v>
      </c>
      <c r="D448" s="2">
        <v>20</v>
      </c>
      <c r="E448" s="3">
        <v>0</v>
      </c>
    </row>
    <row r="449" spans="1:5" x14ac:dyDescent="0.2">
      <c r="A449">
        <v>10416</v>
      </c>
      <c r="B449">
        <v>53</v>
      </c>
      <c r="C449" s="2">
        <v>26.2</v>
      </c>
      <c r="D449" s="2">
        <v>10</v>
      </c>
      <c r="E449" s="3">
        <v>0</v>
      </c>
    </row>
    <row r="450" spans="1:5" x14ac:dyDescent="0.2">
      <c r="A450">
        <v>10416</v>
      </c>
      <c r="B450">
        <v>57</v>
      </c>
      <c r="C450" s="2">
        <v>15.6</v>
      </c>
      <c r="D450" s="2">
        <v>20</v>
      </c>
      <c r="E450" s="3">
        <v>0</v>
      </c>
    </row>
    <row r="451" spans="1:5" x14ac:dyDescent="0.2">
      <c r="A451">
        <v>10417</v>
      </c>
      <c r="B451">
        <v>38</v>
      </c>
      <c r="C451" s="2">
        <v>210.8</v>
      </c>
      <c r="D451" s="2">
        <v>50</v>
      </c>
      <c r="E451" s="3">
        <v>0</v>
      </c>
    </row>
    <row r="452" spans="1:5" x14ac:dyDescent="0.2">
      <c r="A452">
        <v>10417</v>
      </c>
      <c r="B452">
        <v>46</v>
      </c>
      <c r="C452" s="2">
        <v>9.6</v>
      </c>
      <c r="D452" s="2">
        <v>2</v>
      </c>
      <c r="E452" s="3">
        <v>0.25</v>
      </c>
    </row>
    <row r="453" spans="1:5" x14ac:dyDescent="0.2">
      <c r="A453">
        <v>10417</v>
      </c>
      <c r="B453">
        <v>68</v>
      </c>
      <c r="C453" s="2">
        <v>10</v>
      </c>
      <c r="D453" s="2">
        <v>36</v>
      </c>
      <c r="E453" s="3">
        <v>0.25</v>
      </c>
    </row>
    <row r="454" spans="1:5" x14ac:dyDescent="0.2">
      <c r="A454">
        <v>10417</v>
      </c>
      <c r="B454">
        <v>77</v>
      </c>
      <c r="C454" s="2">
        <v>10.4</v>
      </c>
      <c r="D454" s="2">
        <v>35</v>
      </c>
      <c r="E454" s="3">
        <v>0</v>
      </c>
    </row>
    <row r="455" spans="1:5" x14ac:dyDescent="0.2">
      <c r="A455">
        <v>10418</v>
      </c>
      <c r="B455">
        <v>2</v>
      </c>
      <c r="C455" s="2">
        <v>15.2</v>
      </c>
      <c r="D455" s="2">
        <v>60</v>
      </c>
      <c r="E455" s="3">
        <v>0</v>
      </c>
    </row>
    <row r="456" spans="1:5" x14ac:dyDescent="0.2">
      <c r="A456">
        <v>10418</v>
      </c>
      <c r="B456">
        <v>47</v>
      </c>
      <c r="C456" s="2">
        <v>7.6</v>
      </c>
      <c r="D456" s="2">
        <v>55</v>
      </c>
      <c r="E456" s="3">
        <v>0</v>
      </c>
    </row>
    <row r="457" spans="1:5" x14ac:dyDescent="0.2">
      <c r="A457">
        <v>10418</v>
      </c>
      <c r="B457">
        <v>61</v>
      </c>
      <c r="C457" s="2">
        <v>22.8</v>
      </c>
      <c r="D457" s="2">
        <v>16</v>
      </c>
      <c r="E457" s="3">
        <v>0</v>
      </c>
    </row>
    <row r="458" spans="1:5" x14ac:dyDescent="0.2">
      <c r="A458">
        <v>10418</v>
      </c>
      <c r="B458">
        <v>74</v>
      </c>
      <c r="C458" s="2">
        <v>8</v>
      </c>
      <c r="D458" s="2">
        <v>15</v>
      </c>
      <c r="E458" s="3">
        <v>0</v>
      </c>
    </row>
    <row r="459" spans="1:5" x14ac:dyDescent="0.2">
      <c r="A459">
        <v>10419</v>
      </c>
      <c r="B459">
        <v>60</v>
      </c>
      <c r="C459" s="2">
        <v>27.2</v>
      </c>
      <c r="D459" s="2">
        <v>60</v>
      </c>
      <c r="E459" s="3">
        <v>0.05</v>
      </c>
    </row>
    <row r="460" spans="1:5" x14ac:dyDescent="0.2">
      <c r="A460">
        <v>10419</v>
      </c>
      <c r="B460">
        <v>69</v>
      </c>
      <c r="C460" s="2">
        <v>28.8</v>
      </c>
      <c r="D460" s="2">
        <v>20</v>
      </c>
      <c r="E460" s="3">
        <v>0.05</v>
      </c>
    </row>
    <row r="461" spans="1:5" x14ac:dyDescent="0.2">
      <c r="A461">
        <v>10420</v>
      </c>
      <c r="B461">
        <v>9</v>
      </c>
      <c r="C461" s="2">
        <v>77.599999999999994</v>
      </c>
      <c r="D461" s="2">
        <v>20</v>
      </c>
      <c r="E461" s="3">
        <v>0.1</v>
      </c>
    </row>
    <row r="462" spans="1:5" x14ac:dyDescent="0.2">
      <c r="A462">
        <v>10420</v>
      </c>
      <c r="B462">
        <v>13</v>
      </c>
      <c r="C462" s="2">
        <v>4.8</v>
      </c>
      <c r="D462" s="2">
        <v>2</v>
      </c>
      <c r="E462" s="3">
        <v>0.1</v>
      </c>
    </row>
    <row r="463" spans="1:5" x14ac:dyDescent="0.2">
      <c r="A463">
        <v>10420</v>
      </c>
      <c r="B463">
        <v>70</v>
      </c>
      <c r="C463" s="2">
        <v>12</v>
      </c>
      <c r="D463" s="2">
        <v>8</v>
      </c>
      <c r="E463" s="3">
        <v>0.1</v>
      </c>
    </row>
    <row r="464" spans="1:5" x14ac:dyDescent="0.2">
      <c r="A464">
        <v>10420</v>
      </c>
      <c r="B464">
        <v>73</v>
      </c>
      <c r="C464" s="2">
        <v>12</v>
      </c>
      <c r="D464" s="2">
        <v>20</v>
      </c>
      <c r="E464" s="3">
        <v>0.1</v>
      </c>
    </row>
    <row r="465" spans="1:5" x14ac:dyDescent="0.2">
      <c r="A465">
        <v>10421</v>
      </c>
      <c r="B465">
        <v>19</v>
      </c>
      <c r="C465" s="2">
        <v>7.3</v>
      </c>
      <c r="D465" s="2">
        <v>4</v>
      </c>
      <c r="E465" s="3">
        <v>0.15</v>
      </c>
    </row>
    <row r="466" spans="1:5" x14ac:dyDescent="0.2">
      <c r="A466">
        <v>10421</v>
      </c>
      <c r="B466">
        <v>26</v>
      </c>
      <c r="C466" s="2">
        <v>24.9</v>
      </c>
      <c r="D466" s="2">
        <v>30</v>
      </c>
      <c r="E466" s="3">
        <v>0</v>
      </c>
    </row>
    <row r="467" spans="1:5" x14ac:dyDescent="0.2">
      <c r="A467">
        <v>10421</v>
      </c>
      <c r="B467">
        <v>53</v>
      </c>
      <c r="C467" s="2">
        <v>26.2</v>
      </c>
      <c r="D467" s="2">
        <v>15</v>
      </c>
      <c r="E467" s="3">
        <v>0.15</v>
      </c>
    </row>
    <row r="468" spans="1:5" x14ac:dyDescent="0.2">
      <c r="A468">
        <v>10421</v>
      </c>
      <c r="B468">
        <v>77</v>
      </c>
      <c r="C468" s="2">
        <v>10.4</v>
      </c>
      <c r="D468" s="2">
        <v>10</v>
      </c>
      <c r="E468" s="3">
        <v>0.15</v>
      </c>
    </row>
    <row r="469" spans="1:5" x14ac:dyDescent="0.2">
      <c r="A469">
        <v>10422</v>
      </c>
      <c r="B469">
        <v>26</v>
      </c>
      <c r="C469" s="2">
        <v>24.9</v>
      </c>
      <c r="D469" s="2">
        <v>2</v>
      </c>
      <c r="E469" s="3">
        <v>0</v>
      </c>
    </row>
    <row r="470" spans="1:5" x14ac:dyDescent="0.2">
      <c r="A470">
        <v>10423</v>
      </c>
      <c r="B470">
        <v>31</v>
      </c>
      <c r="C470" s="2">
        <v>10</v>
      </c>
      <c r="D470" s="2">
        <v>14</v>
      </c>
      <c r="E470" s="3">
        <v>0</v>
      </c>
    </row>
    <row r="471" spans="1:5" x14ac:dyDescent="0.2">
      <c r="A471">
        <v>10423</v>
      </c>
      <c r="B471">
        <v>59</v>
      </c>
      <c r="C471" s="2">
        <v>44</v>
      </c>
      <c r="D471" s="2">
        <v>20</v>
      </c>
      <c r="E471" s="3">
        <v>0</v>
      </c>
    </row>
    <row r="472" spans="1:5" x14ac:dyDescent="0.2">
      <c r="A472">
        <v>10424</v>
      </c>
      <c r="B472">
        <v>35</v>
      </c>
      <c r="C472" s="2">
        <v>14.4</v>
      </c>
      <c r="D472" s="2">
        <v>60</v>
      </c>
      <c r="E472" s="3">
        <v>0.2</v>
      </c>
    </row>
    <row r="473" spans="1:5" x14ac:dyDescent="0.2">
      <c r="A473">
        <v>10424</v>
      </c>
      <c r="B473">
        <v>38</v>
      </c>
      <c r="C473" s="2">
        <v>210.8</v>
      </c>
      <c r="D473" s="2">
        <v>49</v>
      </c>
      <c r="E473" s="3">
        <v>0.2</v>
      </c>
    </row>
    <row r="474" spans="1:5" x14ac:dyDescent="0.2">
      <c r="A474">
        <v>10424</v>
      </c>
      <c r="B474">
        <v>68</v>
      </c>
      <c r="C474" s="2">
        <v>10</v>
      </c>
      <c r="D474" s="2">
        <v>30</v>
      </c>
      <c r="E474" s="3">
        <v>0.2</v>
      </c>
    </row>
    <row r="475" spans="1:5" x14ac:dyDescent="0.2">
      <c r="A475">
        <v>10425</v>
      </c>
      <c r="B475">
        <v>55</v>
      </c>
      <c r="C475" s="2">
        <v>19.2</v>
      </c>
      <c r="D475" s="2">
        <v>10</v>
      </c>
      <c r="E475" s="3">
        <v>0.25</v>
      </c>
    </row>
    <row r="476" spans="1:5" x14ac:dyDescent="0.2">
      <c r="A476">
        <v>10425</v>
      </c>
      <c r="B476">
        <v>76</v>
      </c>
      <c r="C476" s="2">
        <v>14.4</v>
      </c>
      <c r="D476" s="2">
        <v>20</v>
      </c>
      <c r="E476" s="3">
        <v>0.25</v>
      </c>
    </row>
    <row r="477" spans="1:5" x14ac:dyDescent="0.2">
      <c r="A477">
        <v>10426</v>
      </c>
      <c r="B477">
        <v>56</v>
      </c>
      <c r="C477" s="2">
        <v>30.4</v>
      </c>
      <c r="D477" s="2">
        <v>5</v>
      </c>
      <c r="E477" s="3">
        <v>0</v>
      </c>
    </row>
    <row r="478" spans="1:5" x14ac:dyDescent="0.2">
      <c r="A478">
        <v>10426</v>
      </c>
      <c r="B478">
        <v>64</v>
      </c>
      <c r="C478" s="2">
        <v>26.6</v>
      </c>
      <c r="D478" s="2">
        <v>7</v>
      </c>
      <c r="E478" s="3">
        <v>0</v>
      </c>
    </row>
    <row r="479" spans="1:5" x14ac:dyDescent="0.2">
      <c r="A479">
        <v>10427</v>
      </c>
      <c r="B479">
        <v>14</v>
      </c>
      <c r="C479" s="2">
        <v>18.600000000000001</v>
      </c>
      <c r="D479" s="2">
        <v>35</v>
      </c>
      <c r="E479" s="3">
        <v>0</v>
      </c>
    </row>
    <row r="480" spans="1:5" x14ac:dyDescent="0.2">
      <c r="A480">
        <v>10428</v>
      </c>
      <c r="B480">
        <v>46</v>
      </c>
      <c r="C480" s="2">
        <v>9.6</v>
      </c>
      <c r="D480" s="2">
        <v>20</v>
      </c>
      <c r="E480" s="3">
        <v>0</v>
      </c>
    </row>
    <row r="481" spans="1:5" x14ac:dyDescent="0.2">
      <c r="A481">
        <v>10429</v>
      </c>
      <c r="B481">
        <v>50</v>
      </c>
      <c r="C481" s="2">
        <v>13</v>
      </c>
      <c r="D481" s="2">
        <v>40</v>
      </c>
      <c r="E481" s="3">
        <v>0</v>
      </c>
    </row>
    <row r="482" spans="1:5" x14ac:dyDescent="0.2">
      <c r="A482">
        <v>10429</v>
      </c>
      <c r="B482">
        <v>63</v>
      </c>
      <c r="C482" s="2">
        <v>35.1</v>
      </c>
      <c r="D482" s="2">
        <v>35</v>
      </c>
      <c r="E482" s="3">
        <v>0.25</v>
      </c>
    </row>
    <row r="483" spans="1:5" x14ac:dyDescent="0.2">
      <c r="A483">
        <v>10430</v>
      </c>
      <c r="B483">
        <v>17</v>
      </c>
      <c r="C483" s="2">
        <v>31.2</v>
      </c>
      <c r="D483" s="2">
        <v>45</v>
      </c>
      <c r="E483" s="3">
        <v>0.2</v>
      </c>
    </row>
    <row r="484" spans="1:5" x14ac:dyDescent="0.2">
      <c r="A484">
        <v>10430</v>
      </c>
      <c r="B484">
        <v>21</v>
      </c>
      <c r="C484" s="2">
        <v>8</v>
      </c>
      <c r="D484" s="2">
        <v>50</v>
      </c>
      <c r="E484" s="3">
        <v>0</v>
      </c>
    </row>
    <row r="485" spans="1:5" x14ac:dyDescent="0.2">
      <c r="A485">
        <v>10430</v>
      </c>
      <c r="B485">
        <v>56</v>
      </c>
      <c r="C485" s="2">
        <v>30.4</v>
      </c>
      <c r="D485" s="2">
        <v>30</v>
      </c>
      <c r="E485" s="3">
        <v>0</v>
      </c>
    </row>
    <row r="486" spans="1:5" x14ac:dyDescent="0.2">
      <c r="A486">
        <v>10430</v>
      </c>
      <c r="B486">
        <v>59</v>
      </c>
      <c r="C486" s="2">
        <v>44</v>
      </c>
      <c r="D486" s="2">
        <v>70</v>
      </c>
      <c r="E486" s="3">
        <v>0.2</v>
      </c>
    </row>
    <row r="487" spans="1:5" x14ac:dyDescent="0.2">
      <c r="A487">
        <v>10431</v>
      </c>
      <c r="B487">
        <v>17</v>
      </c>
      <c r="C487" s="2">
        <v>31.2</v>
      </c>
      <c r="D487" s="2">
        <v>50</v>
      </c>
      <c r="E487" s="3">
        <v>0.25</v>
      </c>
    </row>
    <row r="488" spans="1:5" x14ac:dyDescent="0.2">
      <c r="A488">
        <v>10431</v>
      </c>
      <c r="B488">
        <v>40</v>
      </c>
      <c r="C488" s="2">
        <v>14.7</v>
      </c>
      <c r="D488" s="2">
        <v>50</v>
      </c>
      <c r="E488" s="3">
        <v>0.25</v>
      </c>
    </row>
    <row r="489" spans="1:5" x14ac:dyDescent="0.2">
      <c r="A489">
        <v>10431</v>
      </c>
      <c r="B489">
        <v>47</v>
      </c>
      <c r="C489" s="2">
        <v>7.6</v>
      </c>
      <c r="D489" s="2">
        <v>30</v>
      </c>
      <c r="E489" s="3">
        <v>0.25</v>
      </c>
    </row>
    <row r="490" spans="1:5" x14ac:dyDescent="0.2">
      <c r="A490">
        <v>10432</v>
      </c>
      <c r="B490">
        <v>26</v>
      </c>
      <c r="C490" s="2">
        <v>24.9</v>
      </c>
      <c r="D490" s="2">
        <v>10</v>
      </c>
      <c r="E490" s="3">
        <v>0</v>
      </c>
    </row>
    <row r="491" spans="1:5" x14ac:dyDescent="0.2">
      <c r="A491">
        <v>10432</v>
      </c>
      <c r="B491">
        <v>54</v>
      </c>
      <c r="C491" s="2">
        <v>5.9</v>
      </c>
      <c r="D491" s="2">
        <v>40</v>
      </c>
      <c r="E491" s="3">
        <v>0</v>
      </c>
    </row>
    <row r="492" spans="1:5" x14ac:dyDescent="0.2">
      <c r="A492">
        <v>10433</v>
      </c>
      <c r="B492">
        <v>56</v>
      </c>
      <c r="C492" s="2">
        <v>30.4</v>
      </c>
      <c r="D492" s="2">
        <v>28</v>
      </c>
      <c r="E492" s="3">
        <v>0</v>
      </c>
    </row>
    <row r="493" spans="1:5" x14ac:dyDescent="0.2">
      <c r="A493">
        <v>10434</v>
      </c>
      <c r="B493">
        <v>11</v>
      </c>
      <c r="C493" s="2">
        <v>16.8</v>
      </c>
      <c r="D493" s="2">
        <v>6</v>
      </c>
      <c r="E493" s="3">
        <v>0</v>
      </c>
    </row>
    <row r="494" spans="1:5" x14ac:dyDescent="0.2">
      <c r="A494">
        <v>10434</v>
      </c>
      <c r="B494">
        <v>76</v>
      </c>
      <c r="C494" s="2">
        <v>14.4</v>
      </c>
      <c r="D494" s="2">
        <v>18</v>
      </c>
      <c r="E494" s="3">
        <v>0.15</v>
      </c>
    </row>
    <row r="495" spans="1:5" x14ac:dyDescent="0.2">
      <c r="A495">
        <v>10435</v>
      </c>
      <c r="B495">
        <v>2</v>
      </c>
      <c r="C495" s="2">
        <v>15.2</v>
      </c>
      <c r="D495" s="2">
        <v>10</v>
      </c>
      <c r="E495" s="3">
        <v>0</v>
      </c>
    </row>
    <row r="496" spans="1:5" x14ac:dyDescent="0.2">
      <c r="A496">
        <v>10435</v>
      </c>
      <c r="B496">
        <v>22</v>
      </c>
      <c r="C496" s="2">
        <v>16.8</v>
      </c>
      <c r="D496" s="2">
        <v>12</v>
      </c>
      <c r="E496" s="3">
        <v>0</v>
      </c>
    </row>
    <row r="497" spans="1:5" x14ac:dyDescent="0.2">
      <c r="A497">
        <v>10435</v>
      </c>
      <c r="B497">
        <v>72</v>
      </c>
      <c r="C497" s="2">
        <v>27.8</v>
      </c>
      <c r="D497" s="2">
        <v>10</v>
      </c>
      <c r="E497" s="3">
        <v>0</v>
      </c>
    </row>
    <row r="498" spans="1:5" x14ac:dyDescent="0.2">
      <c r="A498">
        <v>10436</v>
      </c>
      <c r="B498">
        <v>46</v>
      </c>
      <c r="C498" s="2">
        <v>9.6</v>
      </c>
      <c r="D498" s="2">
        <v>5</v>
      </c>
      <c r="E498" s="3">
        <v>0</v>
      </c>
    </row>
    <row r="499" spans="1:5" x14ac:dyDescent="0.2">
      <c r="A499">
        <v>10436</v>
      </c>
      <c r="B499">
        <v>56</v>
      </c>
      <c r="C499" s="2">
        <v>30.4</v>
      </c>
      <c r="D499" s="2">
        <v>40</v>
      </c>
      <c r="E499" s="3">
        <v>0.1</v>
      </c>
    </row>
    <row r="500" spans="1:5" x14ac:dyDescent="0.2">
      <c r="A500">
        <v>10436</v>
      </c>
      <c r="B500">
        <v>64</v>
      </c>
      <c r="C500" s="2">
        <v>26.6</v>
      </c>
      <c r="D500" s="2">
        <v>30</v>
      </c>
      <c r="E500" s="3">
        <v>0.1</v>
      </c>
    </row>
    <row r="501" spans="1:5" x14ac:dyDescent="0.2">
      <c r="A501">
        <v>10436</v>
      </c>
      <c r="B501">
        <v>75</v>
      </c>
      <c r="C501" s="2">
        <v>6.2</v>
      </c>
      <c r="D501" s="2">
        <v>24</v>
      </c>
      <c r="E501" s="3">
        <v>0.1</v>
      </c>
    </row>
    <row r="502" spans="1:5" x14ac:dyDescent="0.2">
      <c r="A502">
        <v>10437</v>
      </c>
      <c r="B502">
        <v>53</v>
      </c>
      <c r="C502" s="2">
        <v>26.2</v>
      </c>
      <c r="D502" s="2">
        <v>15</v>
      </c>
      <c r="E502" s="3">
        <v>0</v>
      </c>
    </row>
    <row r="503" spans="1:5" x14ac:dyDescent="0.2">
      <c r="A503">
        <v>10438</v>
      </c>
      <c r="B503">
        <v>19</v>
      </c>
      <c r="C503" s="2">
        <v>7.3</v>
      </c>
      <c r="D503" s="2">
        <v>15</v>
      </c>
      <c r="E503" s="3">
        <v>0.2</v>
      </c>
    </row>
    <row r="504" spans="1:5" x14ac:dyDescent="0.2">
      <c r="A504">
        <v>10438</v>
      </c>
      <c r="B504">
        <v>34</v>
      </c>
      <c r="C504" s="2">
        <v>11.2</v>
      </c>
      <c r="D504" s="2">
        <v>20</v>
      </c>
      <c r="E504" s="3">
        <v>0.2</v>
      </c>
    </row>
    <row r="505" spans="1:5" x14ac:dyDescent="0.2">
      <c r="A505">
        <v>10438</v>
      </c>
      <c r="B505">
        <v>57</v>
      </c>
      <c r="C505" s="2">
        <v>15.6</v>
      </c>
      <c r="D505" s="2">
        <v>15</v>
      </c>
      <c r="E505" s="3">
        <v>0.2</v>
      </c>
    </row>
    <row r="506" spans="1:5" x14ac:dyDescent="0.2">
      <c r="A506">
        <v>10439</v>
      </c>
      <c r="B506">
        <v>12</v>
      </c>
      <c r="C506" s="2">
        <v>30.4</v>
      </c>
      <c r="D506" s="2">
        <v>15</v>
      </c>
      <c r="E506" s="3">
        <v>0</v>
      </c>
    </row>
    <row r="507" spans="1:5" x14ac:dyDescent="0.2">
      <c r="A507">
        <v>10439</v>
      </c>
      <c r="B507">
        <v>16</v>
      </c>
      <c r="C507" s="2">
        <v>13.9</v>
      </c>
      <c r="D507" s="2">
        <v>16</v>
      </c>
      <c r="E507" s="3">
        <v>0</v>
      </c>
    </row>
    <row r="508" spans="1:5" x14ac:dyDescent="0.2">
      <c r="A508">
        <v>10439</v>
      </c>
      <c r="B508">
        <v>64</v>
      </c>
      <c r="C508" s="2">
        <v>26.6</v>
      </c>
      <c r="D508" s="2">
        <v>6</v>
      </c>
      <c r="E508" s="3">
        <v>0</v>
      </c>
    </row>
    <row r="509" spans="1:5" x14ac:dyDescent="0.2">
      <c r="A509">
        <v>10439</v>
      </c>
      <c r="B509">
        <v>74</v>
      </c>
      <c r="C509" s="2">
        <v>8</v>
      </c>
      <c r="D509" s="2">
        <v>30</v>
      </c>
      <c r="E509" s="3">
        <v>0</v>
      </c>
    </row>
    <row r="510" spans="1:5" x14ac:dyDescent="0.2">
      <c r="A510">
        <v>10440</v>
      </c>
      <c r="B510">
        <v>2</v>
      </c>
      <c r="C510" s="2">
        <v>15.2</v>
      </c>
      <c r="D510" s="2">
        <v>45</v>
      </c>
      <c r="E510" s="3">
        <v>0.15</v>
      </c>
    </row>
    <row r="511" spans="1:5" x14ac:dyDescent="0.2">
      <c r="A511">
        <v>10440</v>
      </c>
      <c r="B511">
        <v>16</v>
      </c>
      <c r="C511" s="2">
        <v>13.9</v>
      </c>
      <c r="D511" s="2">
        <v>49</v>
      </c>
      <c r="E511" s="3">
        <v>0.15</v>
      </c>
    </row>
    <row r="512" spans="1:5" x14ac:dyDescent="0.2">
      <c r="A512">
        <v>10440</v>
      </c>
      <c r="B512">
        <v>29</v>
      </c>
      <c r="C512" s="2">
        <v>99</v>
      </c>
      <c r="D512" s="2">
        <v>24</v>
      </c>
      <c r="E512" s="3">
        <v>0.15</v>
      </c>
    </row>
    <row r="513" spans="1:5" x14ac:dyDescent="0.2">
      <c r="A513">
        <v>10440</v>
      </c>
      <c r="B513">
        <v>61</v>
      </c>
      <c r="C513" s="2">
        <v>22.8</v>
      </c>
      <c r="D513" s="2">
        <v>90</v>
      </c>
      <c r="E513" s="3">
        <v>0.15</v>
      </c>
    </row>
    <row r="514" spans="1:5" x14ac:dyDescent="0.2">
      <c r="A514">
        <v>10441</v>
      </c>
      <c r="B514">
        <v>27</v>
      </c>
      <c r="C514" s="2">
        <v>35.1</v>
      </c>
      <c r="D514" s="2">
        <v>50</v>
      </c>
      <c r="E514" s="3">
        <v>0</v>
      </c>
    </row>
    <row r="515" spans="1:5" x14ac:dyDescent="0.2">
      <c r="A515">
        <v>10442</v>
      </c>
      <c r="B515">
        <v>11</v>
      </c>
      <c r="C515" s="2">
        <v>16.8</v>
      </c>
      <c r="D515" s="2">
        <v>30</v>
      </c>
      <c r="E515" s="3">
        <v>0</v>
      </c>
    </row>
    <row r="516" spans="1:5" x14ac:dyDescent="0.2">
      <c r="A516">
        <v>10442</v>
      </c>
      <c r="B516">
        <v>54</v>
      </c>
      <c r="C516" s="2">
        <v>5.9</v>
      </c>
      <c r="D516" s="2">
        <v>80</v>
      </c>
      <c r="E516" s="3">
        <v>0</v>
      </c>
    </row>
    <row r="517" spans="1:5" x14ac:dyDescent="0.2">
      <c r="A517">
        <v>10442</v>
      </c>
      <c r="B517">
        <v>66</v>
      </c>
      <c r="C517" s="2">
        <v>13.6</v>
      </c>
      <c r="D517" s="2">
        <v>60</v>
      </c>
      <c r="E517" s="3">
        <v>0</v>
      </c>
    </row>
    <row r="518" spans="1:5" x14ac:dyDescent="0.2">
      <c r="A518">
        <v>10443</v>
      </c>
      <c r="B518">
        <v>11</v>
      </c>
      <c r="C518" s="2">
        <v>16.8</v>
      </c>
      <c r="D518" s="2">
        <v>6</v>
      </c>
      <c r="E518" s="3">
        <v>0.2</v>
      </c>
    </row>
    <row r="519" spans="1:5" x14ac:dyDescent="0.2">
      <c r="A519">
        <v>10443</v>
      </c>
      <c r="B519">
        <v>28</v>
      </c>
      <c r="C519" s="2">
        <v>36.4</v>
      </c>
      <c r="D519" s="2">
        <v>12</v>
      </c>
      <c r="E519" s="3">
        <v>0</v>
      </c>
    </row>
    <row r="520" spans="1:5" x14ac:dyDescent="0.2">
      <c r="A520">
        <v>10444</v>
      </c>
      <c r="B520">
        <v>17</v>
      </c>
      <c r="C520" s="2">
        <v>31.2</v>
      </c>
      <c r="D520" s="2">
        <v>10</v>
      </c>
      <c r="E520" s="3">
        <v>0</v>
      </c>
    </row>
    <row r="521" spans="1:5" x14ac:dyDescent="0.2">
      <c r="A521">
        <v>10444</v>
      </c>
      <c r="B521">
        <v>26</v>
      </c>
      <c r="C521" s="2">
        <v>24.9</v>
      </c>
      <c r="D521" s="2">
        <v>15</v>
      </c>
      <c r="E521" s="3">
        <v>0</v>
      </c>
    </row>
    <row r="522" spans="1:5" x14ac:dyDescent="0.2">
      <c r="A522">
        <v>10444</v>
      </c>
      <c r="B522">
        <v>35</v>
      </c>
      <c r="C522" s="2">
        <v>14.4</v>
      </c>
      <c r="D522" s="2">
        <v>8</v>
      </c>
      <c r="E522" s="3">
        <v>0</v>
      </c>
    </row>
    <row r="523" spans="1:5" x14ac:dyDescent="0.2">
      <c r="A523">
        <v>10444</v>
      </c>
      <c r="B523">
        <v>41</v>
      </c>
      <c r="C523" s="2">
        <v>7.7</v>
      </c>
      <c r="D523" s="2">
        <v>30</v>
      </c>
      <c r="E523" s="3">
        <v>0</v>
      </c>
    </row>
    <row r="524" spans="1:5" x14ac:dyDescent="0.2">
      <c r="A524">
        <v>10445</v>
      </c>
      <c r="B524">
        <v>39</v>
      </c>
      <c r="C524" s="2">
        <v>14.4</v>
      </c>
      <c r="D524" s="2">
        <v>6</v>
      </c>
      <c r="E524" s="3">
        <v>0</v>
      </c>
    </row>
    <row r="525" spans="1:5" x14ac:dyDescent="0.2">
      <c r="A525">
        <v>10445</v>
      </c>
      <c r="B525">
        <v>54</v>
      </c>
      <c r="C525" s="2">
        <v>5.9</v>
      </c>
      <c r="D525" s="2">
        <v>15</v>
      </c>
      <c r="E525" s="3">
        <v>0</v>
      </c>
    </row>
    <row r="526" spans="1:5" x14ac:dyDescent="0.2">
      <c r="A526">
        <v>10446</v>
      </c>
      <c r="B526">
        <v>19</v>
      </c>
      <c r="C526" s="2">
        <v>7.3</v>
      </c>
      <c r="D526" s="2">
        <v>12</v>
      </c>
      <c r="E526" s="3">
        <v>0.1</v>
      </c>
    </row>
    <row r="527" spans="1:5" x14ac:dyDescent="0.2">
      <c r="A527">
        <v>10446</v>
      </c>
      <c r="B527">
        <v>24</v>
      </c>
      <c r="C527" s="2">
        <v>3.6</v>
      </c>
      <c r="D527" s="2">
        <v>20</v>
      </c>
      <c r="E527" s="3">
        <v>0.1</v>
      </c>
    </row>
    <row r="528" spans="1:5" x14ac:dyDescent="0.2">
      <c r="A528">
        <v>10446</v>
      </c>
      <c r="B528">
        <v>31</v>
      </c>
      <c r="C528" s="2">
        <v>10</v>
      </c>
      <c r="D528" s="2">
        <v>3</v>
      </c>
      <c r="E528" s="3">
        <v>0.1</v>
      </c>
    </row>
    <row r="529" spans="1:5" x14ac:dyDescent="0.2">
      <c r="A529">
        <v>10446</v>
      </c>
      <c r="B529">
        <v>52</v>
      </c>
      <c r="C529" s="2">
        <v>5.6</v>
      </c>
      <c r="D529" s="2">
        <v>15</v>
      </c>
      <c r="E529" s="3">
        <v>0.1</v>
      </c>
    </row>
    <row r="530" spans="1:5" x14ac:dyDescent="0.2">
      <c r="A530">
        <v>10447</v>
      </c>
      <c r="B530">
        <v>19</v>
      </c>
      <c r="C530" s="2">
        <v>7.3</v>
      </c>
      <c r="D530" s="2">
        <v>40</v>
      </c>
      <c r="E530" s="3">
        <v>0</v>
      </c>
    </row>
    <row r="531" spans="1:5" x14ac:dyDescent="0.2">
      <c r="A531">
        <v>10447</v>
      </c>
      <c r="B531">
        <v>65</v>
      </c>
      <c r="C531" s="2">
        <v>16.8</v>
      </c>
      <c r="D531" s="2">
        <v>35</v>
      </c>
      <c r="E531" s="3">
        <v>0</v>
      </c>
    </row>
    <row r="532" spans="1:5" x14ac:dyDescent="0.2">
      <c r="A532">
        <v>10447</v>
      </c>
      <c r="B532">
        <v>71</v>
      </c>
      <c r="C532" s="2">
        <v>17.2</v>
      </c>
      <c r="D532" s="2">
        <v>2</v>
      </c>
      <c r="E532" s="3">
        <v>0</v>
      </c>
    </row>
    <row r="533" spans="1:5" x14ac:dyDescent="0.2">
      <c r="A533">
        <v>10448</v>
      </c>
      <c r="B533">
        <v>26</v>
      </c>
      <c r="C533" s="2">
        <v>24.9</v>
      </c>
      <c r="D533" s="2">
        <v>6</v>
      </c>
      <c r="E533" s="3">
        <v>0</v>
      </c>
    </row>
    <row r="534" spans="1:5" x14ac:dyDescent="0.2">
      <c r="A534">
        <v>10448</v>
      </c>
      <c r="B534">
        <v>40</v>
      </c>
      <c r="C534" s="2">
        <v>14.7</v>
      </c>
      <c r="D534" s="2">
        <v>20</v>
      </c>
      <c r="E534" s="3">
        <v>0</v>
      </c>
    </row>
    <row r="535" spans="1:5" x14ac:dyDescent="0.2">
      <c r="A535">
        <v>10449</v>
      </c>
      <c r="B535">
        <v>10</v>
      </c>
      <c r="C535" s="2">
        <v>24.8</v>
      </c>
      <c r="D535" s="2">
        <v>14</v>
      </c>
      <c r="E535" s="3">
        <v>0</v>
      </c>
    </row>
    <row r="536" spans="1:5" x14ac:dyDescent="0.2">
      <c r="A536">
        <v>10449</v>
      </c>
      <c r="B536">
        <v>52</v>
      </c>
      <c r="C536" s="2">
        <v>5.6</v>
      </c>
      <c r="D536" s="2">
        <v>20</v>
      </c>
      <c r="E536" s="3">
        <v>0</v>
      </c>
    </row>
    <row r="537" spans="1:5" x14ac:dyDescent="0.2">
      <c r="A537">
        <v>10449</v>
      </c>
      <c r="B537">
        <v>62</v>
      </c>
      <c r="C537" s="2">
        <v>39.4</v>
      </c>
      <c r="D537" s="2">
        <v>35</v>
      </c>
      <c r="E537" s="3">
        <v>0</v>
      </c>
    </row>
    <row r="538" spans="1:5" x14ac:dyDescent="0.2">
      <c r="A538">
        <v>10450</v>
      </c>
      <c r="B538">
        <v>10</v>
      </c>
      <c r="C538" s="2">
        <v>24.8</v>
      </c>
      <c r="D538" s="2">
        <v>20</v>
      </c>
      <c r="E538" s="3">
        <v>0.2</v>
      </c>
    </row>
    <row r="539" spans="1:5" x14ac:dyDescent="0.2">
      <c r="A539">
        <v>10450</v>
      </c>
      <c r="B539">
        <v>54</v>
      </c>
      <c r="C539" s="2">
        <v>5.9</v>
      </c>
      <c r="D539" s="2">
        <v>6</v>
      </c>
      <c r="E539" s="3">
        <v>0.2</v>
      </c>
    </row>
    <row r="540" spans="1:5" x14ac:dyDescent="0.2">
      <c r="A540">
        <v>10451</v>
      </c>
      <c r="B540">
        <v>55</v>
      </c>
      <c r="C540" s="2">
        <v>19.2</v>
      </c>
      <c r="D540" s="2">
        <v>120</v>
      </c>
      <c r="E540" s="3">
        <v>0.1</v>
      </c>
    </row>
    <row r="541" spans="1:5" x14ac:dyDescent="0.2">
      <c r="A541">
        <v>10451</v>
      </c>
      <c r="B541">
        <v>64</v>
      </c>
      <c r="C541" s="2">
        <v>26.6</v>
      </c>
      <c r="D541" s="2">
        <v>35</v>
      </c>
      <c r="E541" s="3">
        <v>0.1</v>
      </c>
    </row>
    <row r="542" spans="1:5" x14ac:dyDescent="0.2">
      <c r="A542">
        <v>10451</v>
      </c>
      <c r="B542">
        <v>65</v>
      </c>
      <c r="C542" s="2">
        <v>16.8</v>
      </c>
      <c r="D542" s="2">
        <v>28</v>
      </c>
      <c r="E542" s="3">
        <v>0.1</v>
      </c>
    </row>
    <row r="543" spans="1:5" x14ac:dyDescent="0.2">
      <c r="A543">
        <v>10451</v>
      </c>
      <c r="B543">
        <v>77</v>
      </c>
      <c r="C543" s="2">
        <v>10.4</v>
      </c>
      <c r="D543" s="2">
        <v>55</v>
      </c>
      <c r="E543" s="3">
        <v>0.1</v>
      </c>
    </row>
    <row r="544" spans="1:5" x14ac:dyDescent="0.2">
      <c r="A544">
        <v>10452</v>
      </c>
      <c r="B544">
        <v>28</v>
      </c>
      <c r="C544" s="2">
        <v>36.4</v>
      </c>
      <c r="D544" s="2">
        <v>15</v>
      </c>
      <c r="E544" s="3">
        <v>0</v>
      </c>
    </row>
    <row r="545" spans="1:5" x14ac:dyDescent="0.2">
      <c r="A545">
        <v>10452</v>
      </c>
      <c r="B545">
        <v>44</v>
      </c>
      <c r="C545" s="2">
        <v>15.5</v>
      </c>
      <c r="D545" s="2">
        <v>100</v>
      </c>
      <c r="E545" s="3">
        <v>0.05</v>
      </c>
    </row>
    <row r="546" spans="1:5" x14ac:dyDescent="0.2">
      <c r="A546">
        <v>10453</v>
      </c>
      <c r="B546">
        <v>48</v>
      </c>
      <c r="C546" s="2">
        <v>10.199999999999999</v>
      </c>
      <c r="D546" s="2">
        <v>15</v>
      </c>
      <c r="E546" s="3">
        <v>0.1</v>
      </c>
    </row>
    <row r="547" spans="1:5" x14ac:dyDescent="0.2">
      <c r="A547">
        <v>10453</v>
      </c>
      <c r="B547">
        <v>70</v>
      </c>
      <c r="C547" s="2">
        <v>12</v>
      </c>
      <c r="D547" s="2">
        <v>25</v>
      </c>
      <c r="E547" s="3">
        <v>0.1</v>
      </c>
    </row>
    <row r="548" spans="1:5" x14ac:dyDescent="0.2">
      <c r="A548">
        <v>10454</v>
      </c>
      <c r="B548">
        <v>16</v>
      </c>
      <c r="C548" s="2">
        <v>13.9</v>
      </c>
      <c r="D548" s="2">
        <v>20</v>
      </c>
      <c r="E548" s="3">
        <v>0.2</v>
      </c>
    </row>
    <row r="549" spans="1:5" x14ac:dyDescent="0.2">
      <c r="A549">
        <v>10454</v>
      </c>
      <c r="B549">
        <v>33</v>
      </c>
      <c r="C549" s="2">
        <v>2</v>
      </c>
      <c r="D549" s="2">
        <v>20</v>
      </c>
      <c r="E549" s="3">
        <v>0.2</v>
      </c>
    </row>
    <row r="550" spans="1:5" x14ac:dyDescent="0.2">
      <c r="A550">
        <v>10454</v>
      </c>
      <c r="B550">
        <v>46</v>
      </c>
      <c r="C550" s="2">
        <v>9.6</v>
      </c>
      <c r="D550" s="2">
        <v>10</v>
      </c>
      <c r="E550" s="3">
        <v>0.2</v>
      </c>
    </row>
    <row r="551" spans="1:5" x14ac:dyDescent="0.2">
      <c r="A551">
        <v>10455</v>
      </c>
      <c r="B551">
        <v>39</v>
      </c>
      <c r="C551" s="2">
        <v>14.4</v>
      </c>
      <c r="D551" s="2">
        <v>20</v>
      </c>
      <c r="E551" s="3">
        <v>0</v>
      </c>
    </row>
    <row r="552" spans="1:5" x14ac:dyDescent="0.2">
      <c r="A552">
        <v>10455</v>
      </c>
      <c r="B552">
        <v>53</v>
      </c>
      <c r="C552" s="2">
        <v>26.2</v>
      </c>
      <c r="D552" s="2">
        <v>50</v>
      </c>
      <c r="E552" s="3">
        <v>0</v>
      </c>
    </row>
    <row r="553" spans="1:5" x14ac:dyDescent="0.2">
      <c r="A553">
        <v>10455</v>
      </c>
      <c r="B553">
        <v>61</v>
      </c>
      <c r="C553" s="2">
        <v>22.8</v>
      </c>
      <c r="D553" s="2">
        <v>25</v>
      </c>
      <c r="E553" s="3">
        <v>0</v>
      </c>
    </row>
    <row r="554" spans="1:5" x14ac:dyDescent="0.2">
      <c r="A554">
        <v>10455</v>
      </c>
      <c r="B554">
        <v>71</v>
      </c>
      <c r="C554" s="2">
        <v>17.2</v>
      </c>
      <c r="D554" s="2">
        <v>30</v>
      </c>
      <c r="E554" s="3">
        <v>0</v>
      </c>
    </row>
    <row r="555" spans="1:5" x14ac:dyDescent="0.2">
      <c r="A555">
        <v>10456</v>
      </c>
      <c r="B555">
        <v>21</v>
      </c>
      <c r="C555" s="2">
        <v>8</v>
      </c>
      <c r="D555" s="2">
        <v>40</v>
      </c>
      <c r="E555" s="3">
        <v>0.15</v>
      </c>
    </row>
    <row r="556" spans="1:5" x14ac:dyDescent="0.2">
      <c r="A556">
        <v>10456</v>
      </c>
      <c r="B556">
        <v>49</v>
      </c>
      <c r="C556" s="2">
        <v>16</v>
      </c>
      <c r="D556" s="2">
        <v>21</v>
      </c>
      <c r="E556" s="3">
        <v>0.15</v>
      </c>
    </row>
    <row r="557" spans="1:5" x14ac:dyDescent="0.2">
      <c r="A557">
        <v>10457</v>
      </c>
      <c r="B557">
        <v>59</v>
      </c>
      <c r="C557" s="2">
        <v>44</v>
      </c>
      <c r="D557" s="2">
        <v>36</v>
      </c>
      <c r="E557" s="3">
        <v>0</v>
      </c>
    </row>
    <row r="558" spans="1:5" x14ac:dyDescent="0.2">
      <c r="A558">
        <v>10458</v>
      </c>
      <c r="B558">
        <v>26</v>
      </c>
      <c r="C558" s="2">
        <v>24.9</v>
      </c>
      <c r="D558" s="2">
        <v>30</v>
      </c>
      <c r="E558" s="3">
        <v>0</v>
      </c>
    </row>
    <row r="559" spans="1:5" x14ac:dyDescent="0.2">
      <c r="A559">
        <v>10458</v>
      </c>
      <c r="B559">
        <v>28</v>
      </c>
      <c r="C559" s="2">
        <v>36.4</v>
      </c>
      <c r="D559" s="2">
        <v>30</v>
      </c>
      <c r="E559" s="3">
        <v>0</v>
      </c>
    </row>
    <row r="560" spans="1:5" x14ac:dyDescent="0.2">
      <c r="A560">
        <v>10458</v>
      </c>
      <c r="B560">
        <v>43</v>
      </c>
      <c r="C560" s="2">
        <v>36.799999999999997</v>
      </c>
      <c r="D560" s="2">
        <v>20</v>
      </c>
      <c r="E560" s="3">
        <v>0</v>
      </c>
    </row>
    <row r="561" spans="1:5" x14ac:dyDescent="0.2">
      <c r="A561">
        <v>10458</v>
      </c>
      <c r="B561">
        <v>56</v>
      </c>
      <c r="C561" s="2">
        <v>30.4</v>
      </c>
      <c r="D561" s="2">
        <v>15</v>
      </c>
      <c r="E561" s="3">
        <v>0</v>
      </c>
    </row>
    <row r="562" spans="1:5" x14ac:dyDescent="0.2">
      <c r="A562">
        <v>10458</v>
      </c>
      <c r="B562">
        <v>71</v>
      </c>
      <c r="C562" s="2">
        <v>17.2</v>
      </c>
      <c r="D562" s="2">
        <v>50</v>
      </c>
      <c r="E562" s="3">
        <v>0</v>
      </c>
    </row>
    <row r="563" spans="1:5" x14ac:dyDescent="0.2">
      <c r="A563">
        <v>10459</v>
      </c>
      <c r="B563">
        <v>7</v>
      </c>
      <c r="C563" s="2">
        <v>24</v>
      </c>
      <c r="D563" s="2">
        <v>16</v>
      </c>
      <c r="E563" s="3">
        <v>0.05</v>
      </c>
    </row>
    <row r="564" spans="1:5" x14ac:dyDescent="0.2">
      <c r="A564">
        <v>10459</v>
      </c>
      <c r="B564">
        <v>46</v>
      </c>
      <c r="C564" s="2">
        <v>9.6</v>
      </c>
      <c r="D564" s="2">
        <v>20</v>
      </c>
      <c r="E564" s="3">
        <v>0.05</v>
      </c>
    </row>
    <row r="565" spans="1:5" x14ac:dyDescent="0.2">
      <c r="A565">
        <v>10459</v>
      </c>
      <c r="B565">
        <v>72</v>
      </c>
      <c r="C565" s="2">
        <v>27.8</v>
      </c>
      <c r="D565" s="2">
        <v>40</v>
      </c>
      <c r="E565" s="3">
        <v>0</v>
      </c>
    </row>
    <row r="566" spans="1:5" x14ac:dyDescent="0.2">
      <c r="A566">
        <v>10460</v>
      </c>
      <c r="B566">
        <v>68</v>
      </c>
      <c r="C566" s="2">
        <v>10</v>
      </c>
      <c r="D566" s="2">
        <v>21</v>
      </c>
      <c r="E566" s="3">
        <v>0.25</v>
      </c>
    </row>
    <row r="567" spans="1:5" x14ac:dyDescent="0.2">
      <c r="A567">
        <v>10460</v>
      </c>
      <c r="B567">
        <v>75</v>
      </c>
      <c r="C567" s="2">
        <v>6.2</v>
      </c>
      <c r="D567" s="2">
        <v>4</v>
      </c>
      <c r="E567" s="3">
        <v>0.25</v>
      </c>
    </row>
    <row r="568" spans="1:5" x14ac:dyDescent="0.2">
      <c r="A568">
        <v>10461</v>
      </c>
      <c r="B568">
        <v>21</v>
      </c>
      <c r="C568" s="2">
        <v>8</v>
      </c>
      <c r="D568" s="2">
        <v>40</v>
      </c>
      <c r="E568" s="3">
        <v>0.25</v>
      </c>
    </row>
    <row r="569" spans="1:5" x14ac:dyDescent="0.2">
      <c r="A569">
        <v>10461</v>
      </c>
      <c r="B569">
        <v>30</v>
      </c>
      <c r="C569" s="2">
        <v>20.7</v>
      </c>
      <c r="D569" s="2">
        <v>28</v>
      </c>
      <c r="E569" s="3">
        <v>0.25</v>
      </c>
    </row>
    <row r="570" spans="1:5" x14ac:dyDescent="0.2">
      <c r="A570">
        <v>10461</v>
      </c>
      <c r="B570">
        <v>55</v>
      </c>
      <c r="C570" s="2">
        <v>19.2</v>
      </c>
      <c r="D570" s="2">
        <v>60</v>
      </c>
      <c r="E570" s="3">
        <v>0.25</v>
      </c>
    </row>
    <row r="571" spans="1:5" x14ac:dyDescent="0.2">
      <c r="A571">
        <v>10462</v>
      </c>
      <c r="B571">
        <v>13</v>
      </c>
      <c r="C571" s="2">
        <v>4.8</v>
      </c>
      <c r="D571" s="2">
        <v>1</v>
      </c>
      <c r="E571" s="3">
        <v>0</v>
      </c>
    </row>
    <row r="572" spans="1:5" x14ac:dyDescent="0.2">
      <c r="A572">
        <v>10462</v>
      </c>
      <c r="B572">
        <v>23</v>
      </c>
      <c r="C572" s="2">
        <v>7.2</v>
      </c>
      <c r="D572" s="2">
        <v>21</v>
      </c>
      <c r="E572" s="3">
        <v>0</v>
      </c>
    </row>
    <row r="573" spans="1:5" x14ac:dyDescent="0.2">
      <c r="A573">
        <v>10463</v>
      </c>
      <c r="B573">
        <v>19</v>
      </c>
      <c r="C573" s="2">
        <v>7.3</v>
      </c>
      <c r="D573" s="2">
        <v>21</v>
      </c>
      <c r="E573" s="3">
        <v>0</v>
      </c>
    </row>
    <row r="574" spans="1:5" x14ac:dyDescent="0.2">
      <c r="A574">
        <v>10463</v>
      </c>
      <c r="B574">
        <v>42</v>
      </c>
      <c r="C574" s="2">
        <v>11.2</v>
      </c>
      <c r="D574" s="2">
        <v>50</v>
      </c>
      <c r="E574" s="3">
        <v>0</v>
      </c>
    </row>
    <row r="575" spans="1:5" x14ac:dyDescent="0.2">
      <c r="A575">
        <v>10464</v>
      </c>
      <c r="B575">
        <v>4</v>
      </c>
      <c r="C575" s="2">
        <v>17.600000000000001</v>
      </c>
      <c r="D575" s="2">
        <v>16</v>
      </c>
      <c r="E575" s="3">
        <v>0.2</v>
      </c>
    </row>
    <row r="576" spans="1:5" x14ac:dyDescent="0.2">
      <c r="A576">
        <v>10464</v>
      </c>
      <c r="B576">
        <v>43</v>
      </c>
      <c r="C576" s="2">
        <v>36.799999999999997</v>
      </c>
      <c r="D576" s="2">
        <v>3</v>
      </c>
      <c r="E576" s="3">
        <v>0</v>
      </c>
    </row>
    <row r="577" spans="1:5" x14ac:dyDescent="0.2">
      <c r="A577">
        <v>10464</v>
      </c>
      <c r="B577">
        <v>56</v>
      </c>
      <c r="C577" s="2">
        <v>30.4</v>
      </c>
      <c r="D577" s="2">
        <v>30</v>
      </c>
      <c r="E577" s="3">
        <v>0.2</v>
      </c>
    </row>
    <row r="578" spans="1:5" x14ac:dyDescent="0.2">
      <c r="A578">
        <v>10464</v>
      </c>
      <c r="B578">
        <v>60</v>
      </c>
      <c r="C578" s="2">
        <v>27.2</v>
      </c>
      <c r="D578" s="2">
        <v>20</v>
      </c>
      <c r="E578" s="3">
        <v>0</v>
      </c>
    </row>
    <row r="579" spans="1:5" x14ac:dyDescent="0.2">
      <c r="A579">
        <v>10465</v>
      </c>
      <c r="B579">
        <v>24</v>
      </c>
      <c r="C579" s="2">
        <v>3.6</v>
      </c>
      <c r="D579" s="2">
        <v>25</v>
      </c>
      <c r="E579" s="3">
        <v>0</v>
      </c>
    </row>
    <row r="580" spans="1:5" x14ac:dyDescent="0.2">
      <c r="A580">
        <v>10465</v>
      </c>
      <c r="B580">
        <v>29</v>
      </c>
      <c r="C580" s="2">
        <v>99</v>
      </c>
      <c r="D580" s="2">
        <v>18</v>
      </c>
      <c r="E580" s="3">
        <v>0.1</v>
      </c>
    </row>
    <row r="581" spans="1:5" x14ac:dyDescent="0.2">
      <c r="A581">
        <v>10465</v>
      </c>
      <c r="B581">
        <v>40</v>
      </c>
      <c r="C581" s="2">
        <v>14.7</v>
      </c>
      <c r="D581" s="2">
        <v>20</v>
      </c>
      <c r="E581" s="3">
        <v>0</v>
      </c>
    </row>
    <row r="582" spans="1:5" x14ac:dyDescent="0.2">
      <c r="A582">
        <v>10465</v>
      </c>
      <c r="B582">
        <v>45</v>
      </c>
      <c r="C582" s="2">
        <v>7.6</v>
      </c>
      <c r="D582" s="2">
        <v>30</v>
      </c>
      <c r="E582" s="3">
        <v>0.1</v>
      </c>
    </row>
    <row r="583" spans="1:5" x14ac:dyDescent="0.2">
      <c r="A583">
        <v>10465</v>
      </c>
      <c r="B583">
        <v>50</v>
      </c>
      <c r="C583" s="2">
        <v>13</v>
      </c>
      <c r="D583" s="2">
        <v>25</v>
      </c>
      <c r="E583" s="3">
        <v>0</v>
      </c>
    </row>
    <row r="584" spans="1:5" x14ac:dyDescent="0.2">
      <c r="A584">
        <v>10466</v>
      </c>
      <c r="B584">
        <v>11</v>
      </c>
      <c r="C584" s="2">
        <v>16.8</v>
      </c>
      <c r="D584" s="2">
        <v>10</v>
      </c>
      <c r="E584" s="3">
        <v>0</v>
      </c>
    </row>
    <row r="585" spans="1:5" x14ac:dyDescent="0.2">
      <c r="A585">
        <v>10466</v>
      </c>
      <c r="B585">
        <v>46</v>
      </c>
      <c r="C585" s="2">
        <v>9.6</v>
      </c>
      <c r="D585" s="2">
        <v>5</v>
      </c>
      <c r="E585" s="3">
        <v>0</v>
      </c>
    </row>
    <row r="586" spans="1:5" x14ac:dyDescent="0.2">
      <c r="A586">
        <v>10467</v>
      </c>
      <c r="B586">
        <v>24</v>
      </c>
      <c r="C586" s="2">
        <v>3.6</v>
      </c>
      <c r="D586" s="2">
        <v>28</v>
      </c>
      <c r="E586" s="3">
        <v>0</v>
      </c>
    </row>
    <row r="587" spans="1:5" x14ac:dyDescent="0.2">
      <c r="A587">
        <v>10467</v>
      </c>
      <c r="B587">
        <v>25</v>
      </c>
      <c r="C587" s="2">
        <v>11.2</v>
      </c>
      <c r="D587" s="2">
        <v>12</v>
      </c>
      <c r="E587" s="3">
        <v>0</v>
      </c>
    </row>
    <row r="588" spans="1:5" x14ac:dyDescent="0.2">
      <c r="A588">
        <v>10468</v>
      </c>
      <c r="B588">
        <v>30</v>
      </c>
      <c r="C588" s="2">
        <v>20.7</v>
      </c>
      <c r="D588" s="2">
        <v>8</v>
      </c>
      <c r="E588" s="3">
        <v>0</v>
      </c>
    </row>
    <row r="589" spans="1:5" x14ac:dyDescent="0.2">
      <c r="A589">
        <v>10468</v>
      </c>
      <c r="B589">
        <v>43</v>
      </c>
      <c r="C589" s="2">
        <v>36.799999999999997</v>
      </c>
      <c r="D589" s="2">
        <v>15</v>
      </c>
      <c r="E589" s="3">
        <v>0</v>
      </c>
    </row>
    <row r="590" spans="1:5" x14ac:dyDescent="0.2">
      <c r="A590">
        <v>10469</v>
      </c>
      <c r="B590">
        <v>2</v>
      </c>
      <c r="C590" s="2">
        <v>15.2</v>
      </c>
      <c r="D590" s="2">
        <v>40</v>
      </c>
      <c r="E590" s="3">
        <v>0.15</v>
      </c>
    </row>
    <row r="591" spans="1:5" x14ac:dyDescent="0.2">
      <c r="A591">
        <v>10469</v>
      </c>
      <c r="B591">
        <v>16</v>
      </c>
      <c r="C591" s="2">
        <v>13.9</v>
      </c>
      <c r="D591" s="2">
        <v>35</v>
      </c>
      <c r="E591" s="3">
        <v>0.15</v>
      </c>
    </row>
    <row r="592" spans="1:5" x14ac:dyDescent="0.2">
      <c r="A592">
        <v>10469</v>
      </c>
      <c r="B592">
        <v>44</v>
      </c>
      <c r="C592" s="2">
        <v>15.5</v>
      </c>
      <c r="D592" s="2">
        <v>2</v>
      </c>
      <c r="E592" s="3">
        <v>0.15</v>
      </c>
    </row>
    <row r="593" spans="1:5" x14ac:dyDescent="0.2">
      <c r="A593">
        <v>10470</v>
      </c>
      <c r="B593">
        <v>18</v>
      </c>
      <c r="C593" s="2">
        <v>50</v>
      </c>
      <c r="D593" s="2">
        <v>30</v>
      </c>
      <c r="E593" s="3">
        <v>0</v>
      </c>
    </row>
    <row r="594" spans="1:5" x14ac:dyDescent="0.2">
      <c r="A594">
        <v>10470</v>
      </c>
      <c r="B594">
        <v>23</v>
      </c>
      <c r="C594" s="2">
        <v>7.2</v>
      </c>
      <c r="D594" s="2">
        <v>15</v>
      </c>
      <c r="E594" s="3">
        <v>0</v>
      </c>
    </row>
    <row r="595" spans="1:5" x14ac:dyDescent="0.2">
      <c r="A595">
        <v>10470</v>
      </c>
      <c r="B595">
        <v>64</v>
      </c>
      <c r="C595" s="2">
        <v>26.6</v>
      </c>
      <c r="D595" s="2">
        <v>8</v>
      </c>
      <c r="E595" s="3">
        <v>0</v>
      </c>
    </row>
    <row r="596" spans="1:5" x14ac:dyDescent="0.2">
      <c r="A596">
        <v>10471</v>
      </c>
      <c r="B596">
        <v>7</v>
      </c>
      <c r="C596" s="2">
        <v>24</v>
      </c>
      <c r="D596" s="2">
        <v>30</v>
      </c>
      <c r="E596" s="3">
        <v>0</v>
      </c>
    </row>
    <row r="597" spans="1:5" x14ac:dyDescent="0.2">
      <c r="A597">
        <v>10471</v>
      </c>
      <c r="B597">
        <v>56</v>
      </c>
      <c r="C597" s="2">
        <v>30.4</v>
      </c>
      <c r="D597" s="2">
        <v>20</v>
      </c>
      <c r="E597" s="3">
        <v>0</v>
      </c>
    </row>
    <row r="598" spans="1:5" x14ac:dyDescent="0.2">
      <c r="A598">
        <v>10472</v>
      </c>
      <c r="B598">
        <v>24</v>
      </c>
      <c r="C598" s="2">
        <v>3.6</v>
      </c>
      <c r="D598" s="2">
        <v>80</v>
      </c>
      <c r="E598" s="3">
        <v>0.05</v>
      </c>
    </row>
    <row r="599" spans="1:5" x14ac:dyDescent="0.2">
      <c r="A599">
        <v>10472</v>
      </c>
      <c r="B599">
        <v>51</v>
      </c>
      <c r="C599" s="2">
        <v>42.4</v>
      </c>
      <c r="D599" s="2">
        <v>18</v>
      </c>
      <c r="E599" s="3">
        <v>0</v>
      </c>
    </row>
    <row r="600" spans="1:5" x14ac:dyDescent="0.2">
      <c r="A600">
        <v>10473</v>
      </c>
      <c r="B600">
        <v>33</v>
      </c>
      <c r="C600" s="2">
        <v>2</v>
      </c>
      <c r="D600" s="2">
        <v>12</v>
      </c>
      <c r="E600" s="3">
        <v>0</v>
      </c>
    </row>
    <row r="601" spans="1:5" x14ac:dyDescent="0.2">
      <c r="A601">
        <v>10473</v>
      </c>
      <c r="B601">
        <v>71</v>
      </c>
      <c r="C601" s="2">
        <v>17.2</v>
      </c>
      <c r="D601" s="2">
        <v>12</v>
      </c>
      <c r="E601" s="3">
        <v>0</v>
      </c>
    </row>
    <row r="602" spans="1:5" x14ac:dyDescent="0.2">
      <c r="A602">
        <v>10474</v>
      </c>
      <c r="B602">
        <v>14</v>
      </c>
      <c r="C602" s="2">
        <v>18.600000000000001</v>
      </c>
      <c r="D602" s="2">
        <v>12</v>
      </c>
      <c r="E602" s="3">
        <v>0</v>
      </c>
    </row>
    <row r="603" spans="1:5" x14ac:dyDescent="0.2">
      <c r="A603">
        <v>10474</v>
      </c>
      <c r="B603">
        <v>28</v>
      </c>
      <c r="C603" s="2">
        <v>36.4</v>
      </c>
      <c r="D603" s="2">
        <v>18</v>
      </c>
      <c r="E603" s="3">
        <v>0</v>
      </c>
    </row>
    <row r="604" spans="1:5" x14ac:dyDescent="0.2">
      <c r="A604">
        <v>10474</v>
      </c>
      <c r="B604">
        <v>40</v>
      </c>
      <c r="C604" s="2">
        <v>14.7</v>
      </c>
      <c r="D604" s="2">
        <v>21</v>
      </c>
      <c r="E604" s="3">
        <v>0</v>
      </c>
    </row>
    <row r="605" spans="1:5" x14ac:dyDescent="0.2">
      <c r="A605">
        <v>10474</v>
      </c>
      <c r="B605">
        <v>75</v>
      </c>
      <c r="C605" s="2">
        <v>6.2</v>
      </c>
      <c r="D605" s="2">
        <v>10</v>
      </c>
      <c r="E605" s="3">
        <v>0</v>
      </c>
    </row>
    <row r="606" spans="1:5" x14ac:dyDescent="0.2">
      <c r="A606">
        <v>10475</v>
      </c>
      <c r="B606">
        <v>31</v>
      </c>
      <c r="C606" s="2">
        <v>10</v>
      </c>
      <c r="D606" s="2">
        <v>35</v>
      </c>
      <c r="E606" s="3">
        <v>0.15</v>
      </c>
    </row>
    <row r="607" spans="1:5" x14ac:dyDescent="0.2">
      <c r="A607">
        <v>10475</v>
      </c>
      <c r="B607">
        <v>66</v>
      </c>
      <c r="C607" s="2">
        <v>13.6</v>
      </c>
      <c r="D607" s="2">
        <v>60</v>
      </c>
      <c r="E607" s="3">
        <v>0.15</v>
      </c>
    </row>
    <row r="608" spans="1:5" x14ac:dyDescent="0.2">
      <c r="A608">
        <v>10475</v>
      </c>
      <c r="B608">
        <v>76</v>
      </c>
      <c r="C608" s="2">
        <v>14.4</v>
      </c>
      <c r="D608" s="2">
        <v>42</v>
      </c>
      <c r="E608" s="3">
        <v>0.15</v>
      </c>
    </row>
    <row r="609" spans="1:5" x14ac:dyDescent="0.2">
      <c r="A609">
        <v>10476</v>
      </c>
      <c r="B609">
        <v>55</v>
      </c>
      <c r="C609" s="2">
        <v>19.2</v>
      </c>
      <c r="D609" s="2">
        <v>2</v>
      </c>
      <c r="E609" s="3">
        <v>0.05</v>
      </c>
    </row>
    <row r="610" spans="1:5" x14ac:dyDescent="0.2">
      <c r="A610">
        <v>10476</v>
      </c>
      <c r="B610">
        <v>70</v>
      </c>
      <c r="C610" s="2">
        <v>12</v>
      </c>
      <c r="D610" s="2">
        <v>12</v>
      </c>
      <c r="E610" s="3">
        <v>0</v>
      </c>
    </row>
    <row r="611" spans="1:5" x14ac:dyDescent="0.2">
      <c r="A611">
        <v>10477</v>
      </c>
      <c r="B611">
        <v>1</v>
      </c>
      <c r="C611" s="2">
        <v>14.4</v>
      </c>
      <c r="D611" s="2">
        <v>15</v>
      </c>
      <c r="E611" s="3">
        <v>0</v>
      </c>
    </row>
    <row r="612" spans="1:5" x14ac:dyDescent="0.2">
      <c r="A612">
        <v>10477</v>
      </c>
      <c r="B612">
        <v>21</v>
      </c>
      <c r="C612" s="2">
        <v>8</v>
      </c>
      <c r="D612" s="2">
        <v>21</v>
      </c>
      <c r="E612" s="3">
        <v>0.25</v>
      </c>
    </row>
    <row r="613" spans="1:5" x14ac:dyDescent="0.2">
      <c r="A613">
        <v>10477</v>
      </c>
      <c r="B613">
        <v>39</v>
      </c>
      <c r="C613" s="2">
        <v>14.4</v>
      </c>
      <c r="D613" s="2">
        <v>20</v>
      </c>
      <c r="E613" s="3">
        <v>0.25</v>
      </c>
    </row>
    <row r="614" spans="1:5" x14ac:dyDescent="0.2">
      <c r="A614">
        <v>10478</v>
      </c>
      <c r="B614">
        <v>10</v>
      </c>
      <c r="C614" s="2">
        <v>24.8</v>
      </c>
      <c r="D614" s="2">
        <v>20</v>
      </c>
      <c r="E614" s="3">
        <v>0.05</v>
      </c>
    </row>
    <row r="615" spans="1:5" x14ac:dyDescent="0.2">
      <c r="A615">
        <v>10479</v>
      </c>
      <c r="B615">
        <v>38</v>
      </c>
      <c r="C615" s="2">
        <v>210.8</v>
      </c>
      <c r="D615" s="2">
        <v>30</v>
      </c>
      <c r="E615" s="3">
        <v>0</v>
      </c>
    </row>
    <row r="616" spans="1:5" x14ac:dyDescent="0.2">
      <c r="A616">
        <v>10479</v>
      </c>
      <c r="B616">
        <v>53</v>
      </c>
      <c r="C616" s="2">
        <v>26.2</v>
      </c>
      <c r="D616" s="2">
        <v>28</v>
      </c>
      <c r="E616" s="3">
        <v>0</v>
      </c>
    </row>
    <row r="617" spans="1:5" x14ac:dyDescent="0.2">
      <c r="A617">
        <v>10479</v>
      </c>
      <c r="B617">
        <v>59</v>
      </c>
      <c r="C617" s="2">
        <v>44</v>
      </c>
      <c r="D617" s="2">
        <v>60</v>
      </c>
      <c r="E617" s="3">
        <v>0</v>
      </c>
    </row>
    <row r="618" spans="1:5" x14ac:dyDescent="0.2">
      <c r="A618">
        <v>10479</v>
      </c>
      <c r="B618">
        <v>64</v>
      </c>
      <c r="C618" s="2">
        <v>26.6</v>
      </c>
      <c r="D618" s="2">
        <v>30</v>
      </c>
      <c r="E618" s="3">
        <v>0</v>
      </c>
    </row>
    <row r="619" spans="1:5" x14ac:dyDescent="0.2">
      <c r="A619">
        <v>10480</v>
      </c>
      <c r="B619">
        <v>47</v>
      </c>
      <c r="C619" s="2">
        <v>7.6</v>
      </c>
      <c r="D619" s="2">
        <v>30</v>
      </c>
      <c r="E619" s="3">
        <v>0</v>
      </c>
    </row>
    <row r="620" spans="1:5" x14ac:dyDescent="0.2">
      <c r="A620">
        <v>10480</v>
      </c>
      <c r="B620">
        <v>59</v>
      </c>
      <c r="C620" s="2">
        <v>44</v>
      </c>
      <c r="D620" s="2">
        <v>12</v>
      </c>
      <c r="E620" s="3">
        <v>0</v>
      </c>
    </row>
    <row r="621" spans="1:5" x14ac:dyDescent="0.2">
      <c r="A621">
        <v>10481</v>
      </c>
      <c r="B621">
        <v>49</v>
      </c>
      <c r="C621" s="2">
        <v>16</v>
      </c>
      <c r="D621" s="2">
        <v>24</v>
      </c>
      <c r="E621" s="3">
        <v>0</v>
      </c>
    </row>
    <row r="622" spans="1:5" x14ac:dyDescent="0.2">
      <c r="A622">
        <v>10481</v>
      </c>
      <c r="B622">
        <v>60</v>
      </c>
      <c r="C622" s="2">
        <v>27.2</v>
      </c>
      <c r="D622" s="2">
        <v>40</v>
      </c>
      <c r="E622" s="3">
        <v>0</v>
      </c>
    </row>
    <row r="623" spans="1:5" x14ac:dyDescent="0.2">
      <c r="A623">
        <v>10482</v>
      </c>
      <c r="B623">
        <v>40</v>
      </c>
      <c r="C623" s="2">
        <v>14.7</v>
      </c>
      <c r="D623" s="2">
        <v>10</v>
      </c>
      <c r="E623" s="3">
        <v>0</v>
      </c>
    </row>
    <row r="624" spans="1:5" x14ac:dyDescent="0.2">
      <c r="A624">
        <v>10483</v>
      </c>
      <c r="B624">
        <v>34</v>
      </c>
      <c r="C624" s="2">
        <v>11.2</v>
      </c>
      <c r="D624" s="2">
        <v>35</v>
      </c>
      <c r="E624" s="3">
        <v>0.05</v>
      </c>
    </row>
    <row r="625" spans="1:5" x14ac:dyDescent="0.2">
      <c r="A625">
        <v>10483</v>
      </c>
      <c r="B625">
        <v>77</v>
      </c>
      <c r="C625" s="2">
        <v>10.4</v>
      </c>
      <c r="D625" s="2">
        <v>30</v>
      </c>
      <c r="E625" s="3">
        <v>0.05</v>
      </c>
    </row>
    <row r="626" spans="1:5" x14ac:dyDescent="0.2">
      <c r="A626">
        <v>10484</v>
      </c>
      <c r="B626">
        <v>21</v>
      </c>
      <c r="C626" s="2">
        <v>8</v>
      </c>
      <c r="D626" s="2">
        <v>14</v>
      </c>
      <c r="E626" s="3">
        <v>0</v>
      </c>
    </row>
    <row r="627" spans="1:5" x14ac:dyDescent="0.2">
      <c r="A627">
        <v>10484</v>
      </c>
      <c r="B627">
        <v>40</v>
      </c>
      <c r="C627" s="2">
        <v>14.7</v>
      </c>
      <c r="D627" s="2">
        <v>10</v>
      </c>
      <c r="E627" s="3">
        <v>0</v>
      </c>
    </row>
    <row r="628" spans="1:5" x14ac:dyDescent="0.2">
      <c r="A628">
        <v>10484</v>
      </c>
      <c r="B628">
        <v>51</v>
      </c>
      <c r="C628" s="2">
        <v>42.4</v>
      </c>
      <c r="D628" s="2">
        <v>3</v>
      </c>
      <c r="E628" s="3">
        <v>0</v>
      </c>
    </row>
    <row r="629" spans="1:5" x14ac:dyDescent="0.2">
      <c r="A629">
        <v>10485</v>
      </c>
      <c r="B629">
        <v>2</v>
      </c>
      <c r="C629" s="2">
        <v>15.2</v>
      </c>
      <c r="D629" s="2">
        <v>20</v>
      </c>
      <c r="E629" s="3">
        <v>0.1</v>
      </c>
    </row>
    <row r="630" spans="1:5" x14ac:dyDescent="0.2">
      <c r="A630">
        <v>10485</v>
      </c>
      <c r="B630">
        <v>3</v>
      </c>
      <c r="C630" s="2">
        <v>8</v>
      </c>
      <c r="D630" s="2">
        <v>20</v>
      </c>
      <c r="E630" s="3">
        <v>0.1</v>
      </c>
    </row>
    <row r="631" spans="1:5" x14ac:dyDescent="0.2">
      <c r="A631">
        <v>10485</v>
      </c>
      <c r="B631">
        <v>55</v>
      </c>
      <c r="C631" s="2">
        <v>19.2</v>
      </c>
      <c r="D631" s="2">
        <v>30</v>
      </c>
      <c r="E631" s="3">
        <v>0.1</v>
      </c>
    </row>
    <row r="632" spans="1:5" x14ac:dyDescent="0.2">
      <c r="A632">
        <v>10485</v>
      </c>
      <c r="B632">
        <v>70</v>
      </c>
      <c r="C632" s="2">
        <v>12</v>
      </c>
      <c r="D632" s="2">
        <v>60</v>
      </c>
      <c r="E632" s="3">
        <v>0.1</v>
      </c>
    </row>
    <row r="633" spans="1:5" x14ac:dyDescent="0.2">
      <c r="A633">
        <v>10486</v>
      </c>
      <c r="B633">
        <v>11</v>
      </c>
      <c r="C633" s="2">
        <v>16.8</v>
      </c>
      <c r="D633" s="2">
        <v>5</v>
      </c>
      <c r="E633" s="3">
        <v>0</v>
      </c>
    </row>
    <row r="634" spans="1:5" x14ac:dyDescent="0.2">
      <c r="A634">
        <v>10486</v>
      </c>
      <c r="B634">
        <v>51</v>
      </c>
      <c r="C634" s="2">
        <v>42.4</v>
      </c>
      <c r="D634" s="2">
        <v>25</v>
      </c>
      <c r="E634" s="3">
        <v>0</v>
      </c>
    </row>
    <row r="635" spans="1:5" x14ac:dyDescent="0.2">
      <c r="A635">
        <v>10486</v>
      </c>
      <c r="B635">
        <v>74</v>
      </c>
      <c r="C635" s="2">
        <v>8</v>
      </c>
      <c r="D635" s="2">
        <v>16</v>
      </c>
      <c r="E635" s="3">
        <v>0</v>
      </c>
    </row>
    <row r="636" spans="1:5" x14ac:dyDescent="0.2">
      <c r="A636">
        <v>10487</v>
      </c>
      <c r="B636">
        <v>19</v>
      </c>
      <c r="C636" s="2">
        <v>7.3</v>
      </c>
      <c r="D636" s="2">
        <v>5</v>
      </c>
      <c r="E636" s="3">
        <v>0</v>
      </c>
    </row>
    <row r="637" spans="1:5" x14ac:dyDescent="0.2">
      <c r="A637">
        <v>10487</v>
      </c>
      <c r="B637">
        <v>26</v>
      </c>
      <c r="C637" s="2">
        <v>24.9</v>
      </c>
      <c r="D637" s="2">
        <v>30</v>
      </c>
      <c r="E637" s="3">
        <v>0</v>
      </c>
    </row>
    <row r="638" spans="1:5" x14ac:dyDescent="0.2">
      <c r="A638">
        <v>10487</v>
      </c>
      <c r="B638">
        <v>54</v>
      </c>
      <c r="C638" s="2">
        <v>5.9</v>
      </c>
      <c r="D638" s="2">
        <v>24</v>
      </c>
      <c r="E638" s="3">
        <v>0.25</v>
      </c>
    </row>
    <row r="639" spans="1:5" x14ac:dyDescent="0.2">
      <c r="A639">
        <v>10488</v>
      </c>
      <c r="B639">
        <v>59</v>
      </c>
      <c r="C639" s="2">
        <v>44</v>
      </c>
      <c r="D639" s="2">
        <v>30</v>
      </c>
      <c r="E639" s="3">
        <v>0</v>
      </c>
    </row>
    <row r="640" spans="1:5" x14ac:dyDescent="0.2">
      <c r="A640">
        <v>10488</v>
      </c>
      <c r="B640">
        <v>73</v>
      </c>
      <c r="C640" s="2">
        <v>12</v>
      </c>
      <c r="D640" s="2">
        <v>20</v>
      </c>
      <c r="E640" s="3">
        <v>0.2</v>
      </c>
    </row>
    <row r="641" spans="1:5" x14ac:dyDescent="0.2">
      <c r="A641">
        <v>10489</v>
      </c>
      <c r="B641">
        <v>11</v>
      </c>
      <c r="C641" s="2">
        <v>16.8</v>
      </c>
      <c r="D641" s="2">
        <v>15</v>
      </c>
      <c r="E641" s="3">
        <v>0.25</v>
      </c>
    </row>
    <row r="642" spans="1:5" x14ac:dyDescent="0.2">
      <c r="A642">
        <v>10489</v>
      </c>
      <c r="B642">
        <v>16</v>
      </c>
      <c r="C642" s="2">
        <v>13.9</v>
      </c>
      <c r="D642" s="2">
        <v>18</v>
      </c>
      <c r="E642" s="3">
        <v>0</v>
      </c>
    </row>
    <row r="643" spans="1:5" x14ac:dyDescent="0.2">
      <c r="A643">
        <v>10490</v>
      </c>
      <c r="B643">
        <v>59</v>
      </c>
      <c r="C643" s="2">
        <v>44</v>
      </c>
      <c r="D643" s="2">
        <v>60</v>
      </c>
      <c r="E643" s="3">
        <v>0</v>
      </c>
    </row>
    <row r="644" spans="1:5" x14ac:dyDescent="0.2">
      <c r="A644">
        <v>10490</v>
      </c>
      <c r="B644">
        <v>68</v>
      </c>
      <c r="C644" s="2">
        <v>10</v>
      </c>
      <c r="D644" s="2">
        <v>30</v>
      </c>
      <c r="E644" s="3">
        <v>0</v>
      </c>
    </row>
    <row r="645" spans="1:5" x14ac:dyDescent="0.2">
      <c r="A645">
        <v>10490</v>
      </c>
      <c r="B645">
        <v>75</v>
      </c>
      <c r="C645" s="2">
        <v>6.2</v>
      </c>
      <c r="D645" s="2">
        <v>36</v>
      </c>
      <c r="E645" s="3">
        <v>0</v>
      </c>
    </row>
    <row r="646" spans="1:5" x14ac:dyDescent="0.2">
      <c r="A646">
        <v>10491</v>
      </c>
      <c r="B646">
        <v>44</v>
      </c>
      <c r="C646" s="2">
        <v>15.5</v>
      </c>
      <c r="D646" s="2">
        <v>15</v>
      </c>
      <c r="E646" s="3">
        <v>0.15</v>
      </c>
    </row>
    <row r="647" spans="1:5" x14ac:dyDescent="0.2">
      <c r="A647">
        <v>10491</v>
      </c>
      <c r="B647">
        <v>77</v>
      </c>
      <c r="C647" s="2">
        <v>10.4</v>
      </c>
      <c r="D647" s="2">
        <v>7</v>
      </c>
      <c r="E647" s="3">
        <v>0.15</v>
      </c>
    </row>
    <row r="648" spans="1:5" x14ac:dyDescent="0.2">
      <c r="A648">
        <v>10492</v>
      </c>
      <c r="B648">
        <v>25</v>
      </c>
      <c r="C648" s="2">
        <v>11.2</v>
      </c>
      <c r="D648" s="2">
        <v>60</v>
      </c>
      <c r="E648" s="3">
        <v>0.05</v>
      </c>
    </row>
    <row r="649" spans="1:5" x14ac:dyDescent="0.2">
      <c r="A649">
        <v>10492</v>
      </c>
      <c r="B649">
        <v>42</v>
      </c>
      <c r="C649" s="2">
        <v>11.2</v>
      </c>
      <c r="D649" s="2">
        <v>20</v>
      </c>
      <c r="E649" s="3">
        <v>0.05</v>
      </c>
    </row>
    <row r="650" spans="1:5" x14ac:dyDescent="0.2">
      <c r="A650">
        <v>10493</v>
      </c>
      <c r="B650">
        <v>65</v>
      </c>
      <c r="C650" s="2">
        <v>16.8</v>
      </c>
      <c r="D650" s="2">
        <v>15</v>
      </c>
      <c r="E650" s="3">
        <v>0.1</v>
      </c>
    </row>
    <row r="651" spans="1:5" x14ac:dyDescent="0.2">
      <c r="A651">
        <v>10493</v>
      </c>
      <c r="B651">
        <v>66</v>
      </c>
      <c r="C651" s="2">
        <v>13.6</v>
      </c>
      <c r="D651" s="2">
        <v>10</v>
      </c>
      <c r="E651" s="3">
        <v>0.1</v>
      </c>
    </row>
    <row r="652" spans="1:5" x14ac:dyDescent="0.2">
      <c r="A652">
        <v>10493</v>
      </c>
      <c r="B652">
        <v>69</v>
      </c>
      <c r="C652" s="2">
        <v>28.8</v>
      </c>
      <c r="D652" s="2">
        <v>10</v>
      </c>
      <c r="E652" s="3">
        <v>0.1</v>
      </c>
    </row>
    <row r="653" spans="1:5" x14ac:dyDescent="0.2">
      <c r="A653">
        <v>10494</v>
      </c>
      <c r="B653">
        <v>56</v>
      </c>
      <c r="C653" s="2">
        <v>30.4</v>
      </c>
      <c r="D653" s="2">
        <v>30</v>
      </c>
      <c r="E653" s="3">
        <v>0</v>
      </c>
    </row>
    <row r="654" spans="1:5" x14ac:dyDescent="0.2">
      <c r="A654">
        <v>10495</v>
      </c>
      <c r="B654">
        <v>23</v>
      </c>
      <c r="C654" s="2">
        <v>7.2</v>
      </c>
      <c r="D654" s="2">
        <v>10</v>
      </c>
      <c r="E654" s="3">
        <v>0</v>
      </c>
    </row>
    <row r="655" spans="1:5" x14ac:dyDescent="0.2">
      <c r="A655">
        <v>10495</v>
      </c>
      <c r="B655">
        <v>41</v>
      </c>
      <c r="C655" s="2">
        <v>7.7</v>
      </c>
      <c r="D655" s="2">
        <v>20</v>
      </c>
      <c r="E655" s="3">
        <v>0</v>
      </c>
    </row>
    <row r="656" spans="1:5" x14ac:dyDescent="0.2">
      <c r="A656">
        <v>10495</v>
      </c>
      <c r="B656">
        <v>77</v>
      </c>
      <c r="C656" s="2">
        <v>10.4</v>
      </c>
      <c r="D656" s="2">
        <v>5</v>
      </c>
      <c r="E656" s="3">
        <v>0</v>
      </c>
    </row>
    <row r="657" spans="1:5" x14ac:dyDescent="0.2">
      <c r="A657">
        <v>10496</v>
      </c>
      <c r="B657">
        <v>31</v>
      </c>
      <c r="C657" s="2">
        <v>10</v>
      </c>
      <c r="D657" s="2">
        <v>20</v>
      </c>
      <c r="E657" s="3">
        <v>0.05</v>
      </c>
    </row>
    <row r="658" spans="1:5" x14ac:dyDescent="0.2">
      <c r="A658">
        <v>10497</v>
      </c>
      <c r="B658">
        <v>56</v>
      </c>
      <c r="C658" s="2">
        <v>30.4</v>
      </c>
      <c r="D658" s="2">
        <v>14</v>
      </c>
      <c r="E658" s="3">
        <v>0</v>
      </c>
    </row>
    <row r="659" spans="1:5" x14ac:dyDescent="0.2">
      <c r="A659">
        <v>10497</v>
      </c>
      <c r="B659">
        <v>72</v>
      </c>
      <c r="C659" s="2">
        <v>27.8</v>
      </c>
      <c r="D659" s="2">
        <v>25</v>
      </c>
      <c r="E659" s="3">
        <v>0</v>
      </c>
    </row>
    <row r="660" spans="1:5" x14ac:dyDescent="0.2">
      <c r="A660">
        <v>10497</v>
      </c>
      <c r="B660">
        <v>77</v>
      </c>
      <c r="C660" s="2">
        <v>10.4</v>
      </c>
      <c r="D660" s="2">
        <v>25</v>
      </c>
      <c r="E660" s="3">
        <v>0</v>
      </c>
    </row>
    <row r="661" spans="1:5" x14ac:dyDescent="0.2">
      <c r="A661">
        <v>10498</v>
      </c>
      <c r="B661">
        <v>24</v>
      </c>
      <c r="C661" s="2">
        <v>4.5</v>
      </c>
      <c r="D661" s="2">
        <v>14</v>
      </c>
      <c r="E661" s="3">
        <v>0</v>
      </c>
    </row>
    <row r="662" spans="1:5" x14ac:dyDescent="0.2">
      <c r="A662">
        <v>10498</v>
      </c>
      <c r="B662">
        <v>40</v>
      </c>
      <c r="C662" s="2">
        <v>18.399999999999999</v>
      </c>
      <c r="D662" s="2">
        <v>5</v>
      </c>
      <c r="E662" s="3">
        <v>0</v>
      </c>
    </row>
    <row r="663" spans="1:5" x14ac:dyDescent="0.2">
      <c r="A663">
        <v>10498</v>
      </c>
      <c r="B663">
        <v>42</v>
      </c>
      <c r="C663" s="2">
        <v>14</v>
      </c>
      <c r="D663" s="2">
        <v>30</v>
      </c>
      <c r="E663" s="3">
        <v>0</v>
      </c>
    </row>
    <row r="664" spans="1:5" x14ac:dyDescent="0.2">
      <c r="A664">
        <v>10499</v>
      </c>
      <c r="B664">
        <v>28</v>
      </c>
      <c r="C664" s="2">
        <v>45.6</v>
      </c>
      <c r="D664" s="2">
        <v>20</v>
      </c>
      <c r="E664" s="3">
        <v>0</v>
      </c>
    </row>
    <row r="665" spans="1:5" x14ac:dyDescent="0.2">
      <c r="A665">
        <v>10499</v>
      </c>
      <c r="B665">
        <v>49</v>
      </c>
      <c r="C665" s="2">
        <v>20</v>
      </c>
      <c r="D665" s="2">
        <v>25</v>
      </c>
      <c r="E665" s="3">
        <v>0</v>
      </c>
    </row>
    <row r="666" spans="1:5" x14ac:dyDescent="0.2">
      <c r="A666">
        <v>10500</v>
      </c>
      <c r="B666">
        <v>15</v>
      </c>
      <c r="C666" s="2">
        <v>15.5</v>
      </c>
      <c r="D666" s="2">
        <v>12</v>
      </c>
      <c r="E666" s="3">
        <v>0.05</v>
      </c>
    </row>
    <row r="667" spans="1:5" x14ac:dyDescent="0.2">
      <c r="A667">
        <v>10500</v>
      </c>
      <c r="B667">
        <v>28</v>
      </c>
      <c r="C667" s="2">
        <v>45.6</v>
      </c>
      <c r="D667" s="2">
        <v>8</v>
      </c>
      <c r="E667" s="3">
        <v>0.05</v>
      </c>
    </row>
    <row r="668" spans="1:5" x14ac:dyDescent="0.2">
      <c r="A668">
        <v>10501</v>
      </c>
      <c r="B668">
        <v>54</v>
      </c>
      <c r="C668" s="2">
        <v>7.45</v>
      </c>
      <c r="D668" s="2">
        <v>20</v>
      </c>
      <c r="E668" s="3">
        <v>0</v>
      </c>
    </row>
    <row r="669" spans="1:5" x14ac:dyDescent="0.2">
      <c r="A669">
        <v>10502</v>
      </c>
      <c r="B669">
        <v>45</v>
      </c>
      <c r="C669" s="2">
        <v>9.5</v>
      </c>
      <c r="D669" s="2">
        <v>21</v>
      </c>
      <c r="E669" s="3">
        <v>0</v>
      </c>
    </row>
    <row r="670" spans="1:5" x14ac:dyDescent="0.2">
      <c r="A670">
        <v>10502</v>
      </c>
      <c r="B670">
        <v>53</v>
      </c>
      <c r="C670" s="2">
        <v>32.799999999999997</v>
      </c>
      <c r="D670" s="2">
        <v>6</v>
      </c>
      <c r="E670" s="3">
        <v>0</v>
      </c>
    </row>
    <row r="671" spans="1:5" x14ac:dyDescent="0.2">
      <c r="A671">
        <v>10502</v>
      </c>
      <c r="B671">
        <v>67</v>
      </c>
      <c r="C671" s="2">
        <v>14</v>
      </c>
      <c r="D671" s="2">
        <v>30</v>
      </c>
      <c r="E671" s="3">
        <v>0</v>
      </c>
    </row>
    <row r="672" spans="1:5" x14ac:dyDescent="0.2">
      <c r="A672">
        <v>10503</v>
      </c>
      <c r="B672">
        <v>14</v>
      </c>
      <c r="C672" s="2">
        <v>23.25</v>
      </c>
      <c r="D672" s="2">
        <v>70</v>
      </c>
      <c r="E672" s="3">
        <v>0</v>
      </c>
    </row>
    <row r="673" spans="1:5" x14ac:dyDescent="0.2">
      <c r="A673">
        <v>10503</v>
      </c>
      <c r="B673">
        <v>65</v>
      </c>
      <c r="C673" s="2">
        <v>21.05</v>
      </c>
      <c r="D673" s="2">
        <v>20</v>
      </c>
      <c r="E673" s="3">
        <v>0</v>
      </c>
    </row>
    <row r="674" spans="1:5" x14ac:dyDescent="0.2">
      <c r="A674">
        <v>10504</v>
      </c>
      <c r="B674">
        <v>2</v>
      </c>
      <c r="C674" s="2">
        <v>19</v>
      </c>
      <c r="D674" s="2">
        <v>12</v>
      </c>
      <c r="E674" s="3">
        <v>0</v>
      </c>
    </row>
    <row r="675" spans="1:5" x14ac:dyDescent="0.2">
      <c r="A675">
        <v>10504</v>
      </c>
      <c r="B675">
        <v>21</v>
      </c>
      <c r="C675" s="2">
        <v>10</v>
      </c>
      <c r="D675" s="2">
        <v>12</v>
      </c>
      <c r="E675" s="3">
        <v>0</v>
      </c>
    </row>
    <row r="676" spans="1:5" x14ac:dyDescent="0.2">
      <c r="A676">
        <v>10504</v>
      </c>
      <c r="B676">
        <v>53</v>
      </c>
      <c r="C676" s="2">
        <v>32.799999999999997</v>
      </c>
      <c r="D676" s="2">
        <v>10</v>
      </c>
      <c r="E676" s="3">
        <v>0</v>
      </c>
    </row>
    <row r="677" spans="1:5" x14ac:dyDescent="0.2">
      <c r="A677">
        <v>10504</v>
      </c>
      <c r="B677">
        <v>61</v>
      </c>
      <c r="C677" s="2">
        <v>28.5</v>
      </c>
      <c r="D677" s="2">
        <v>25</v>
      </c>
      <c r="E677" s="3">
        <v>0</v>
      </c>
    </row>
    <row r="678" spans="1:5" x14ac:dyDescent="0.2">
      <c r="A678">
        <v>10505</v>
      </c>
      <c r="B678">
        <v>62</v>
      </c>
      <c r="C678" s="2">
        <v>49.3</v>
      </c>
      <c r="D678" s="2">
        <v>3</v>
      </c>
      <c r="E678" s="3">
        <v>0</v>
      </c>
    </row>
    <row r="679" spans="1:5" x14ac:dyDescent="0.2">
      <c r="A679">
        <v>10506</v>
      </c>
      <c r="B679">
        <v>25</v>
      </c>
      <c r="C679" s="2">
        <v>14</v>
      </c>
      <c r="D679" s="2">
        <v>18</v>
      </c>
      <c r="E679" s="3">
        <v>0.1</v>
      </c>
    </row>
    <row r="680" spans="1:5" x14ac:dyDescent="0.2">
      <c r="A680">
        <v>10506</v>
      </c>
      <c r="B680">
        <v>70</v>
      </c>
      <c r="C680" s="2">
        <v>15</v>
      </c>
      <c r="D680" s="2">
        <v>14</v>
      </c>
      <c r="E680" s="3">
        <v>0.1</v>
      </c>
    </row>
    <row r="681" spans="1:5" x14ac:dyDescent="0.2">
      <c r="A681">
        <v>10507</v>
      </c>
      <c r="B681">
        <v>43</v>
      </c>
      <c r="C681" s="2">
        <v>46</v>
      </c>
      <c r="D681" s="2">
        <v>15</v>
      </c>
      <c r="E681" s="3">
        <v>0.15</v>
      </c>
    </row>
    <row r="682" spans="1:5" x14ac:dyDescent="0.2">
      <c r="A682">
        <v>10507</v>
      </c>
      <c r="B682">
        <v>48</v>
      </c>
      <c r="C682" s="2">
        <v>12.75</v>
      </c>
      <c r="D682" s="2">
        <v>15</v>
      </c>
      <c r="E682" s="3">
        <v>0.15</v>
      </c>
    </row>
    <row r="683" spans="1:5" x14ac:dyDescent="0.2">
      <c r="A683">
        <v>10508</v>
      </c>
      <c r="B683">
        <v>13</v>
      </c>
      <c r="C683" s="2">
        <v>6</v>
      </c>
      <c r="D683" s="2">
        <v>10</v>
      </c>
      <c r="E683" s="3">
        <v>0</v>
      </c>
    </row>
    <row r="684" spans="1:5" x14ac:dyDescent="0.2">
      <c r="A684">
        <v>10508</v>
      </c>
      <c r="B684">
        <v>39</v>
      </c>
      <c r="C684" s="2">
        <v>18</v>
      </c>
      <c r="D684" s="2">
        <v>10</v>
      </c>
      <c r="E684" s="3">
        <v>0</v>
      </c>
    </row>
    <row r="685" spans="1:5" x14ac:dyDescent="0.2">
      <c r="A685">
        <v>10509</v>
      </c>
      <c r="B685">
        <v>28</v>
      </c>
      <c r="C685" s="2">
        <v>45.6</v>
      </c>
      <c r="D685" s="2">
        <v>3</v>
      </c>
      <c r="E685" s="3">
        <v>0</v>
      </c>
    </row>
    <row r="686" spans="1:5" x14ac:dyDescent="0.2">
      <c r="A686">
        <v>10510</v>
      </c>
      <c r="B686">
        <v>29</v>
      </c>
      <c r="C686" s="2">
        <v>123.79</v>
      </c>
      <c r="D686" s="2">
        <v>36</v>
      </c>
      <c r="E686" s="3">
        <v>0</v>
      </c>
    </row>
    <row r="687" spans="1:5" x14ac:dyDescent="0.2">
      <c r="A687">
        <v>10510</v>
      </c>
      <c r="B687">
        <v>75</v>
      </c>
      <c r="C687" s="2">
        <v>7.75</v>
      </c>
      <c r="D687" s="2">
        <v>36</v>
      </c>
      <c r="E687" s="3">
        <v>0.1</v>
      </c>
    </row>
    <row r="688" spans="1:5" x14ac:dyDescent="0.2">
      <c r="A688">
        <v>10511</v>
      </c>
      <c r="B688">
        <v>4</v>
      </c>
      <c r="C688" s="2">
        <v>22</v>
      </c>
      <c r="D688" s="2">
        <v>50</v>
      </c>
      <c r="E688" s="3">
        <v>0.15</v>
      </c>
    </row>
    <row r="689" spans="1:5" x14ac:dyDescent="0.2">
      <c r="A689">
        <v>10511</v>
      </c>
      <c r="B689">
        <v>7</v>
      </c>
      <c r="C689" s="2">
        <v>30</v>
      </c>
      <c r="D689" s="2">
        <v>50</v>
      </c>
      <c r="E689" s="3">
        <v>0.15</v>
      </c>
    </row>
    <row r="690" spans="1:5" x14ac:dyDescent="0.2">
      <c r="A690">
        <v>10511</v>
      </c>
      <c r="B690">
        <v>8</v>
      </c>
      <c r="C690" s="2">
        <v>40</v>
      </c>
      <c r="D690" s="2">
        <v>10</v>
      </c>
      <c r="E690" s="3">
        <v>0.15</v>
      </c>
    </row>
    <row r="691" spans="1:5" x14ac:dyDescent="0.2">
      <c r="A691">
        <v>10512</v>
      </c>
      <c r="B691">
        <v>24</v>
      </c>
      <c r="C691" s="2">
        <v>4.5</v>
      </c>
      <c r="D691" s="2">
        <v>10</v>
      </c>
      <c r="E691" s="3">
        <v>0.15</v>
      </c>
    </row>
    <row r="692" spans="1:5" x14ac:dyDescent="0.2">
      <c r="A692">
        <v>10512</v>
      </c>
      <c r="B692">
        <v>46</v>
      </c>
      <c r="C692" s="2">
        <v>12</v>
      </c>
      <c r="D692" s="2">
        <v>9</v>
      </c>
      <c r="E692" s="3">
        <v>0.15</v>
      </c>
    </row>
    <row r="693" spans="1:5" x14ac:dyDescent="0.2">
      <c r="A693">
        <v>10512</v>
      </c>
      <c r="B693">
        <v>47</v>
      </c>
      <c r="C693" s="2">
        <v>9.5</v>
      </c>
      <c r="D693" s="2">
        <v>6</v>
      </c>
      <c r="E693" s="3">
        <v>0.15</v>
      </c>
    </row>
    <row r="694" spans="1:5" x14ac:dyDescent="0.2">
      <c r="A694">
        <v>10512</v>
      </c>
      <c r="B694">
        <v>60</v>
      </c>
      <c r="C694" s="2">
        <v>34</v>
      </c>
      <c r="D694" s="2">
        <v>12</v>
      </c>
      <c r="E694" s="3">
        <v>0.15</v>
      </c>
    </row>
    <row r="695" spans="1:5" x14ac:dyDescent="0.2">
      <c r="A695">
        <v>10513</v>
      </c>
      <c r="B695">
        <v>21</v>
      </c>
      <c r="C695" s="2">
        <v>10</v>
      </c>
      <c r="D695" s="2">
        <v>40</v>
      </c>
      <c r="E695" s="3">
        <v>0.2</v>
      </c>
    </row>
    <row r="696" spans="1:5" x14ac:dyDescent="0.2">
      <c r="A696">
        <v>10513</v>
      </c>
      <c r="B696">
        <v>32</v>
      </c>
      <c r="C696" s="2">
        <v>32</v>
      </c>
      <c r="D696" s="2">
        <v>50</v>
      </c>
      <c r="E696" s="3">
        <v>0.2</v>
      </c>
    </row>
    <row r="697" spans="1:5" x14ac:dyDescent="0.2">
      <c r="A697">
        <v>10513</v>
      </c>
      <c r="B697">
        <v>61</v>
      </c>
      <c r="C697" s="2">
        <v>28.5</v>
      </c>
      <c r="D697" s="2">
        <v>15</v>
      </c>
      <c r="E697" s="3">
        <v>0.2</v>
      </c>
    </row>
    <row r="698" spans="1:5" x14ac:dyDescent="0.2">
      <c r="A698">
        <v>10514</v>
      </c>
      <c r="B698">
        <v>20</v>
      </c>
      <c r="C698" s="2">
        <v>81</v>
      </c>
      <c r="D698" s="2">
        <v>39</v>
      </c>
      <c r="E698" s="3">
        <v>0</v>
      </c>
    </row>
    <row r="699" spans="1:5" x14ac:dyDescent="0.2">
      <c r="A699">
        <v>10514</v>
      </c>
      <c r="B699">
        <v>28</v>
      </c>
      <c r="C699" s="2">
        <v>45.6</v>
      </c>
      <c r="D699" s="2">
        <v>35</v>
      </c>
      <c r="E699" s="3">
        <v>0</v>
      </c>
    </row>
    <row r="700" spans="1:5" x14ac:dyDescent="0.2">
      <c r="A700">
        <v>10514</v>
      </c>
      <c r="B700">
        <v>56</v>
      </c>
      <c r="C700" s="2">
        <v>38</v>
      </c>
      <c r="D700" s="2">
        <v>70</v>
      </c>
      <c r="E700" s="3">
        <v>0</v>
      </c>
    </row>
    <row r="701" spans="1:5" x14ac:dyDescent="0.2">
      <c r="A701">
        <v>10514</v>
      </c>
      <c r="B701">
        <v>65</v>
      </c>
      <c r="C701" s="2">
        <v>21.05</v>
      </c>
      <c r="D701" s="2">
        <v>39</v>
      </c>
      <c r="E701" s="3">
        <v>0</v>
      </c>
    </row>
    <row r="702" spans="1:5" x14ac:dyDescent="0.2">
      <c r="A702">
        <v>10514</v>
      </c>
      <c r="B702">
        <v>75</v>
      </c>
      <c r="C702" s="2">
        <v>7.75</v>
      </c>
      <c r="D702" s="2">
        <v>50</v>
      </c>
      <c r="E702" s="3">
        <v>0</v>
      </c>
    </row>
    <row r="703" spans="1:5" x14ac:dyDescent="0.2">
      <c r="A703">
        <v>10515</v>
      </c>
      <c r="B703">
        <v>9</v>
      </c>
      <c r="C703" s="2">
        <v>97</v>
      </c>
      <c r="D703" s="2">
        <v>16</v>
      </c>
      <c r="E703" s="3">
        <v>0.15</v>
      </c>
    </row>
    <row r="704" spans="1:5" x14ac:dyDescent="0.2">
      <c r="A704">
        <v>10515</v>
      </c>
      <c r="B704">
        <v>16</v>
      </c>
      <c r="C704" s="2">
        <v>17.45</v>
      </c>
      <c r="D704" s="2">
        <v>50</v>
      </c>
      <c r="E704" s="3">
        <v>0</v>
      </c>
    </row>
    <row r="705" spans="1:5" x14ac:dyDescent="0.2">
      <c r="A705">
        <v>10515</v>
      </c>
      <c r="B705">
        <v>27</v>
      </c>
      <c r="C705" s="2">
        <v>43.9</v>
      </c>
      <c r="D705" s="2">
        <v>120</v>
      </c>
      <c r="E705" s="3">
        <v>0</v>
      </c>
    </row>
    <row r="706" spans="1:5" x14ac:dyDescent="0.2">
      <c r="A706">
        <v>10515</v>
      </c>
      <c r="B706">
        <v>33</v>
      </c>
      <c r="C706" s="2">
        <v>2.5</v>
      </c>
      <c r="D706" s="2">
        <v>16</v>
      </c>
      <c r="E706" s="3">
        <v>0.15</v>
      </c>
    </row>
    <row r="707" spans="1:5" x14ac:dyDescent="0.2">
      <c r="A707">
        <v>10515</v>
      </c>
      <c r="B707">
        <v>60</v>
      </c>
      <c r="C707" s="2">
        <v>34</v>
      </c>
      <c r="D707" s="2">
        <v>84</v>
      </c>
      <c r="E707" s="3">
        <v>0.15</v>
      </c>
    </row>
    <row r="708" spans="1:5" x14ac:dyDescent="0.2">
      <c r="A708">
        <v>10516</v>
      </c>
      <c r="B708">
        <v>18</v>
      </c>
      <c r="C708" s="2">
        <v>62.5</v>
      </c>
      <c r="D708" s="2">
        <v>25</v>
      </c>
      <c r="E708" s="3">
        <v>0.1</v>
      </c>
    </row>
    <row r="709" spans="1:5" x14ac:dyDescent="0.2">
      <c r="A709">
        <v>10516</v>
      </c>
      <c r="B709">
        <v>41</v>
      </c>
      <c r="C709" s="2">
        <v>9.65</v>
      </c>
      <c r="D709" s="2">
        <v>80</v>
      </c>
      <c r="E709" s="3">
        <v>0.1</v>
      </c>
    </row>
    <row r="710" spans="1:5" x14ac:dyDescent="0.2">
      <c r="A710">
        <v>10516</v>
      </c>
      <c r="B710">
        <v>42</v>
      </c>
      <c r="C710" s="2">
        <v>14</v>
      </c>
      <c r="D710" s="2">
        <v>20</v>
      </c>
      <c r="E710" s="3">
        <v>0</v>
      </c>
    </row>
    <row r="711" spans="1:5" x14ac:dyDescent="0.2">
      <c r="A711">
        <v>10517</v>
      </c>
      <c r="B711">
        <v>52</v>
      </c>
      <c r="C711" s="2">
        <v>7</v>
      </c>
      <c r="D711" s="2">
        <v>6</v>
      </c>
      <c r="E711" s="3">
        <v>0</v>
      </c>
    </row>
    <row r="712" spans="1:5" x14ac:dyDescent="0.2">
      <c r="A712">
        <v>10517</v>
      </c>
      <c r="B712">
        <v>59</v>
      </c>
      <c r="C712" s="2">
        <v>55</v>
      </c>
      <c r="D712" s="2">
        <v>4</v>
      </c>
      <c r="E712" s="3">
        <v>0</v>
      </c>
    </row>
    <row r="713" spans="1:5" x14ac:dyDescent="0.2">
      <c r="A713">
        <v>10517</v>
      </c>
      <c r="B713">
        <v>70</v>
      </c>
      <c r="C713" s="2">
        <v>15</v>
      </c>
      <c r="D713" s="2">
        <v>6</v>
      </c>
      <c r="E713" s="3">
        <v>0</v>
      </c>
    </row>
    <row r="714" spans="1:5" x14ac:dyDescent="0.2">
      <c r="A714">
        <v>10518</v>
      </c>
      <c r="B714">
        <v>24</v>
      </c>
      <c r="C714" s="2">
        <v>4.5</v>
      </c>
      <c r="D714" s="2">
        <v>5</v>
      </c>
      <c r="E714" s="3">
        <v>0</v>
      </c>
    </row>
    <row r="715" spans="1:5" x14ac:dyDescent="0.2">
      <c r="A715">
        <v>10518</v>
      </c>
      <c r="B715">
        <v>38</v>
      </c>
      <c r="C715" s="2">
        <v>263.5</v>
      </c>
      <c r="D715" s="2">
        <v>15</v>
      </c>
      <c r="E715" s="3">
        <v>0</v>
      </c>
    </row>
    <row r="716" spans="1:5" x14ac:dyDescent="0.2">
      <c r="A716">
        <v>10518</v>
      </c>
      <c r="B716">
        <v>44</v>
      </c>
      <c r="C716" s="2">
        <v>19.45</v>
      </c>
      <c r="D716" s="2">
        <v>9</v>
      </c>
      <c r="E716" s="3">
        <v>0</v>
      </c>
    </row>
    <row r="717" spans="1:5" x14ac:dyDescent="0.2">
      <c r="A717">
        <v>10519</v>
      </c>
      <c r="B717">
        <v>10</v>
      </c>
      <c r="C717" s="2">
        <v>31</v>
      </c>
      <c r="D717" s="2">
        <v>16</v>
      </c>
      <c r="E717" s="3">
        <v>0.05</v>
      </c>
    </row>
    <row r="718" spans="1:5" x14ac:dyDescent="0.2">
      <c r="A718">
        <v>10519</v>
      </c>
      <c r="B718">
        <v>56</v>
      </c>
      <c r="C718" s="2">
        <v>38</v>
      </c>
      <c r="D718" s="2">
        <v>40</v>
      </c>
      <c r="E718" s="3">
        <v>0</v>
      </c>
    </row>
    <row r="719" spans="1:5" x14ac:dyDescent="0.2">
      <c r="A719">
        <v>10519</v>
      </c>
      <c r="B719">
        <v>60</v>
      </c>
      <c r="C719" s="2">
        <v>34</v>
      </c>
      <c r="D719" s="2">
        <v>10</v>
      </c>
      <c r="E719" s="3">
        <v>0.05</v>
      </c>
    </row>
    <row r="720" spans="1:5" x14ac:dyDescent="0.2">
      <c r="A720">
        <v>10520</v>
      </c>
      <c r="B720">
        <v>24</v>
      </c>
      <c r="C720" s="2">
        <v>4.5</v>
      </c>
      <c r="D720" s="2">
        <v>8</v>
      </c>
      <c r="E720" s="3">
        <v>0</v>
      </c>
    </row>
    <row r="721" spans="1:5" x14ac:dyDescent="0.2">
      <c r="A721">
        <v>10520</v>
      </c>
      <c r="B721">
        <v>53</v>
      </c>
      <c r="C721" s="2">
        <v>32.799999999999997</v>
      </c>
      <c r="D721" s="2">
        <v>5</v>
      </c>
      <c r="E721" s="3">
        <v>0</v>
      </c>
    </row>
    <row r="722" spans="1:5" x14ac:dyDescent="0.2">
      <c r="A722">
        <v>10521</v>
      </c>
      <c r="B722">
        <v>35</v>
      </c>
      <c r="C722" s="2">
        <v>18</v>
      </c>
      <c r="D722" s="2">
        <v>3</v>
      </c>
      <c r="E722" s="3">
        <v>0</v>
      </c>
    </row>
    <row r="723" spans="1:5" x14ac:dyDescent="0.2">
      <c r="A723">
        <v>10521</v>
      </c>
      <c r="B723">
        <v>41</v>
      </c>
      <c r="C723" s="2">
        <v>9.65</v>
      </c>
      <c r="D723" s="2">
        <v>10</v>
      </c>
      <c r="E723" s="3">
        <v>0</v>
      </c>
    </row>
    <row r="724" spans="1:5" x14ac:dyDescent="0.2">
      <c r="A724">
        <v>10521</v>
      </c>
      <c r="B724">
        <v>68</v>
      </c>
      <c r="C724" s="2">
        <v>12.5</v>
      </c>
      <c r="D724" s="2">
        <v>6</v>
      </c>
      <c r="E724" s="3">
        <v>0</v>
      </c>
    </row>
    <row r="725" spans="1:5" x14ac:dyDescent="0.2">
      <c r="A725">
        <v>10522</v>
      </c>
      <c r="B725">
        <v>1</v>
      </c>
      <c r="C725" s="2">
        <v>18</v>
      </c>
      <c r="D725" s="2">
        <v>40</v>
      </c>
      <c r="E725" s="3">
        <v>0.2</v>
      </c>
    </row>
    <row r="726" spans="1:5" x14ac:dyDescent="0.2">
      <c r="A726">
        <v>10522</v>
      </c>
      <c r="B726">
        <v>8</v>
      </c>
      <c r="C726" s="2">
        <v>40</v>
      </c>
      <c r="D726" s="2">
        <v>24</v>
      </c>
      <c r="E726" s="3">
        <v>0</v>
      </c>
    </row>
    <row r="727" spans="1:5" x14ac:dyDescent="0.2">
      <c r="A727">
        <v>10522</v>
      </c>
      <c r="B727">
        <v>30</v>
      </c>
      <c r="C727" s="2">
        <v>25.89</v>
      </c>
      <c r="D727" s="2">
        <v>20</v>
      </c>
      <c r="E727" s="3">
        <v>0.2</v>
      </c>
    </row>
    <row r="728" spans="1:5" x14ac:dyDescent="0.2">
      <c r="A728">
        <v>10522</v>
      </c>
      <c r="B728">
        <v>40</v>
      </c>
      <c r="C728" s="2">
        <v>18.399999999999999</v>
      </c>
      <c r="D728" s="2">
        <v>25</v>
      </c>
      <c r="E728" s="3">
        <v>0.2</v>
      </c>
    </row>
    <row r="729" spans="1:5" x14ac:dyDescent="0.2">
      <c r="A729">
        <v>10523</v>
      </c>
      <c r="B729">
        <v>17</v>
      </c>
      <c r="C729" s="2">
        <v>39</v>
      </c>
      <c r="D729" s="2">
        <v>25</v>
      </c>
      <c r="E729" s="3">
        <v>0.1</v>
      </c>
    </row>
    <row r="730" spans="1:5" x14ac:dyDescent="0.2">
      <c r="A730">
        <v>10523</v>
      </c>
      <c r="B730">
        <v>20</v>
      </c>
      <c r="C730" s="2">
        <v>81</v>
      </c>
      <c r="D730" s="2">
        <v>15</v>
      </c>
      <c r="E730" s="3">
        <v>0.1</v>
      </c>
    </row>
    <row r="731" spans="1:5" x14ac:dyDescent="0.2">
      <c r="A731">
        <v>10523</v>
      </c>
      <c r="B731">
        <v>37</v>
      </c>
      <c r="C731" s="2">
        <v>26</v>
      </c>
      <c r="D731" s="2">
        <v>18</v>
      </c>
      <c r="E731" s="3">
        <v>0.1</v>
      </c>
    </row>
    <row r="732" spans="1:5" x14ac:dyDescent="0.2">
      <c r="A732">
        <v>10523</v>
      </c>
      <c r="B732">
        <v>41</v>
      </c>
      <c r="C732" s="2">
        <v>9.65</v>
      </c>
      <c r="D732" s="2">
        <v>6</v>
      </c>
      <c r="E732" s="3">
        <v>0.1</v>
      </c>
    </row>
    <row r="733" spans="1:5" x14ac:dyDescent="0.2">
      <c r="A733">
        <v>10524</v>
      </c>
      <c r="B733">
        <v>10</v>
      </c>
      <c r="C733" s="2">
        <v>31</v>
      </c>
      <c r="D733" s="2">
        <v>2</v>
      </c>
      <c r="E733" s="3">
        <v>0</v>
      </c>
    </row>
    <row r="734" spans="1:5" x14ac:dyDescent="0.2">
      <c r="A734">
        <v>10524</v>
      </c>
      <c r="B734">
        <v>30</v>
      </c>
      <c r="C734" s="2">
        <v>25.89</v>
      </c>
      <c r="D734" s="2">
        <v>10</v>
      </c>
      <c r="E734" s="3">
        <v>0</v>
      </c>
    </row>
    <row r="735" spans="1:5" x14ac:dyDescent="0.2">
      <c r="A735">
        <v>10524</v>
      </c>
      <c r="B735">
        <v>43</v>
      </c>
      <c r="C735" s="2">
        <v>46</v>
      </c>
      <c r="D735" s="2">
        <v>60</v>
      </c>
      <c r="E735" s="3">
        <v>0</v>
      </c>
    </row>
    <row r="736" spans="1:5" x14ac:dyDescent="0.2">
      <c r="A736">
        <v>10524</v>
      </c>
      <c r="B736">
        <v>54</v>
      </c>
      <c r="C736" s="2">
        <v>7.45</v>
      </c>
      <c r="D736" s="2">
        <v>15</v>
      </c>
      <c r="E736" s="3">
        <v>0</v>
      </c>
    </row>
    <row r="737" spans="1:5" x14ac:dyDescent="0.2">
      <c r="A737">
        <v>10525</v>
      </c>
      <c r="B737">
        <v>36</v>
      </c>
      <c r="C737" s="2">
        <v>19</v>
      </c>
      <c r="D737" s="2">
        <v>30</v>
      </c>
      <c r="E737" s="3">
        <v>0</v>
      </c>
    </row>
    <row r="738" spans="1:5" x14ac:dyDescent="0.2">
      <c r="A738">
        <v>10525</v>
      </c>
      <c r="B738">
        <v>40</v>
      </c>
      <c r="C738" s="2">
        <v>18.399999999999999</v>
      </c>
      <c r="D738" s="2">
        <v>15</v>
      </c>
      <c r="E738" s="3">
        <v>0.1</v>
      </c>
    </row>
    <row r="739" spans="1:5" x14ac:dyDescent="0.2">
      <c r="A739">
        <v>10526</v>
      </c>
      <c r="B739">
        <v>1</v>
      </c>
      <c r="C739" s="2">
        <v>18</v>
      </c>
      <c r="D739" s="2">
        <v>8</v>
      </c>
      <c r="E739" s="3">
        <v>0.15</v>
      </c>
    </row>
    <row r="740" spans="1:5" x14ac:dyDescent="0.2">
      <c r="A740">
        <v>10526</v>
      </c>
      <c r="B740">
        <v>13</v>
      </c>
      <c r="C740" s="2">
        <v>6</v>
      </c>
      <c r="D740" s="2">
        <v>10</v>
      </c>
      <c r="E740" s="3">
        <v>0</v>
      </c>
    </row>
    <row r="741" spans="1:5" x14ac:dyDescent="0.2">
      <c r="A741">
        <v>10526</v>
      </c>
      <c r="B741">
        <v>56</v>
      </c>
      <c r="C741" s="2">
        <v>38</v>
      </c>
      <c r="D741" s="2">
        <v>30</v>
      </c>
      <c r="E741" s="3">
        <v>0.15</v>
      </c>
    </row>
    <row r="742" spans="1:5" x14ac:dyDescent="0.2">
      <c r="A742">
        <v>10527</v>
      </c>
      <c r="B742">
        <v>4</v>
      </c>
      <c r="C742" s="2">
        <v>22</v>
      </c>
      <c r="D742" s="2">
        <v>50</v>
      </c>
      <c r="E742" s="3">
        <v>0.1</v>
      </c>
    </row>
    <row r="743" spans="1:5" x14ac:dyDescent="0.2">
      <c r="A743">
        <v>10527</v>
      </c>
      <c r="B743">
        <v>36</v>
      </c>
      <c r="C743" s="2">
        <v>19</v>
      </c>
      <c r="D743" s="2">
        <v>30</v>
      </c>
      <c r="E743" s="3">
        <v>0.1</v>
      </c>
    </row>
    <row r="744" spans="1:5" x14ac:dyDescent="0.2">
      <c r="A744">
        <v>10528</v>
      </c>
      <c r="B744">
        <v>11</v>
      </c>
      <c r="C744" s="2">
        <v>21</v>
      </c>
      <c r="D744" s="2">
        <v>3</v>
      </c>
      <c r="E744" s="3">
        <v>0</v>
      </c>
    </row>
    <row r="745" spans="1:5" x14ac:dyDescent="0.2">
      <c r="A745">
        <v>10528</v>
      </c>
      <c r="B745">
        <v>33</v>
      </c>
      <c r="C745" s="2">
        <v>2.5</v>
      </c>
      <c r="D745" s="2">
        <v>8</v>
      </c>
      <c r="E745" s="3">
        <v>0.2</v>
      </c>
    </row>
    <row r="746" spans="1:5" x14ac:dyDescent="0.2">
      <c r="A746">
        <v>10528</v>
      </c>
      <c r="B746">
        <v>72</v>
      </c>
      <c r="C746" s="2">
        <v>34.799999999999997</v>
      </c>
      <c r="D746" s="2">
        <v>9</v>
      </c>
      <c r="E746" s="3">
        <v>0</v>
      </c>
    </row>
    <row r="747" spans="1:5" x14ac:dyDescent="0.2">
      <c r="A747">
        <v>10529</v>
      </c>
      <c r="B747">
        <v>55</v>
      </c>
      <c r="C747" s="2">
        <v>24</v>
      </c>
      <c r="D747" s="2">
        <v>14</v>
      </c>
      <c r="E747" s="3">
        <v>0</v>
      </c>
    </row>
    <row r="748" spans="1:5" x14ac:dyDescent="0.2">
      <c r="A748">
        <v>10529</v>
      </c>
      <c r="B748">
        <v>68</v>
      </c>
      <c r="C748" s="2">
        <v>12.5</v>
      </c>
      <c r="D748" s="2">
        <v>20</v>
      </c>
      <c r="E748" s="3">
        <v>0</v>
      </c>
    </row>
    <row r="749" spans="1:5" x14ac:dyDescent="0.2">
      <c r="A749">
        <v>10529</v>
      </c>
      <c r="B749">
        <v>69</v>
      </c>
      <c r="C749" s="2">
        <v>36</v>
      </c>
      <c r="D749" s="2">
        <v>10</v>
      </c>
      <c r="E749" s="3">
        <v>0</v>
      </c>
    </row>
    <row r="750" spans="1:5" x14ac:dyDescent="0.2">
      <c r="A750">
        <v>10530</v>
      </c>
      <c r="B750">
        <v>17</v>
      </c>
      <c r="C750" s="2">
        <v>39</v>
      </c>
      <c r="D750" s="2">
        <v>40</v>
      </c>
      <c r="E750" s="3">
        <v>0</v>
      </c>
    </row>
    <row r="751" spans="1:5" x14ac:dyDescent="0.2">
      <c r="A751">
        <v>10530</v>
      </c>
      <c r="B751">
        <v>43</v>
      </c>
      <c r="C751" s="2">
        <v>46</v>
      </c>
      <c r="D751" s="2">
        <v>25</v>
      </c>
      <c r="E751" s="3">
        <v>0</v>
      </c>
    </row>
    <row r="752" spans="1:5" x14ac:dyDescent="0.2">
      <c r="A752">
        <v>10530</v>
      </c>
      <c r="B752">
        <v>61</v>
      </c>
      <c r="C752" s="2">
        <v>28.5</v>
      </c>
      <c r="D752" s="2">
        <v>20</v>
      </c>
      <c r="E752" s="3">
        <v>0</v>
      </c>
    </row>
    <row r="753" spans="1:5" x14ac:dyDescent="0.2">
      <c r="A753">
        <v>10530</v>
      </c>
      <c r="B753">
        <v>76</v>
      </c>
      <c r="C753" s="2">
        <v>18</v>
      </c>
      <c r="D753" s="2">
        <v>50</v>
      </c>
      <c r="E753" s="3">
        <v>0</v>
      </c>
    </row>
    <row r="754" spans="1:5" x14ac:dyDescent="0.2">
      <c r="A754">
        <v>10531</v>
      </c>
      <c r="B754">
        <v>59</v>
      </c>
      <c r="C754" s="2">
        <v>55</v>
      </c>
      <c r="D754" s="2">
        <v>2</v>
      </c>
      <c r="E754" s="3">
        <v>0</v>
      </c>
    </row>
    <row r="755" spans="1:5" x14ac:dyDescent="0.2">
      <c r="A755">
        <v>10532</v>
      </c>
      <c r="B755">
        <v>30</v>
      </c>
      <c r="C755" s="2">
        <v>25.89</v>
      </c>
      <c r="D755" s="2">
        <v>15</v>
      </c>
      <c r="E755" s="3">
        <v>0</v>
      </c>
    </row>
    <row r="756" spans="1:5" x14ac:dyDescent="0.2">
      <c r="A756">
        <v>10532</v>
      </c>
      <c r="B756">
        <v>66</v>
      </c>
      <c r="C756" s="2">
        <v>17</v>
      </c>
      <c r="D756" s="2">
        <v>24</v>
      </c>
      <c r="E756" s="3">
        <v>0</v>
      </c>
    </row>
    <row r="757" spans="1:5" x14ac:dyDescent="0.2">
      <c r="A757">
        <v>10533</v>
      </c>
      <c r="B757">
        <v>4</v>
      </c>
      <c r="C757" s="2">
        <v>22</v>
      </c>
      <c r="D757" s="2">
        <v>50</v>
      </c>
      <c r="E757" s="3">
        <v>0.05</v>
      </c>
    </row>
    <row r="758" spans="1:5" x14ac:dyDescent="0.2">
      <c r="A758">
        <v>10533</v>
      </c>
      <c r="B758">
        <v>72</v>
      </c>
      <c r="C758" s="2">
        <v>34.799999999999997</v>
      </c>
      <c r="D758" s="2">
        <v>24</v>
      </c>
      <c r="E758" s="3">
        <v>0</v>
      </c>
    </row>
    <row r="759" spans="1:5" x14ac:dyDescent="0.2">
      <c r="A759">
        <v>10533</v>
      </c>
      <c r="B759">
        <v>73</v>
      </c>
      <c r="C759" s="2">
        <v>15</v>
      </c>
      <c r="D759" s="2">
        <v>24</v>
      </c>
      <c r="E759" s="3">
        <v>0.05</v>
      </c>
    </row>
    <row r="760" spans="1:5" x14ac:dyDescent="0.2">
      <c r="A760">
        <v>10534</v>
      </c>
      <c r="B760">
        <v>30</v>
      </c>
      <c r="C760" s="2">
        <v>25.89</v>
      </c>
      <c r="D760" s="2">
        <v>10</v>
      </c>
      <c r="E760" s="3">
        <v>0</v>
      </c>
    </row>
    <row r="761" spans="1:5" x14ac:dyDescent="0.2">
      <c r="A761">
        <v>10534</v>
      </c>
      <c r="B761">
        <v>40</v>
      </c>
      <c r="C761" s="2">
        <v>18.399999999999999</v>
      </c>
      <c r="D761" s="2">
        <v>10</v>
      </c>
      <c r="E761" s="3">
        <v>0.2</v>
      </c>
    </row>
    <row r="762" spans="1:5" x14ac:dyDescent="0.2">
      <c r="A762">
        <v>10534</v>
      </c>
      <c r="B762">
        <v>54</v>
      </c>
      <c r="C762" s="2">
        <v>7.45</v>
      </c>
      <c r="D762" s="2">
        <v>10</v>
      </c>
      <c r="E762" s="3">
        <v>0.2</v>
      </c>
    </row>
    <row r="763" spans="1:5" x14ac:dyDescent="0.2">
      <c r="A763">
        <v>10535</v>
      </c>
      <c r="B763">
        <v>11</v>
      </c>
      <c r="C763" s="2">
        <v>21</v>
      </c>
      <c r="D763" s="2">
        <v>50</v>
      </c>
      <c r="E763" s="3">
        <v>0.1</v>
      </c>
    </row>
    <row r="764" spans="1:5" x14ac:dyDescent="0.2">
      <c r="A764">
        <v>10535</v>
      </c>
      <c r="B764">
        <v>40</v>
      </c>
      <c r="C764" s="2">
        <v>18.399999999999999</v>
      </c>
      <c r="D764" s="2">
        <v>10</v>
      </c>
      <c r="E764" s="3">
        <v>0.1</v>
      </c>
    </row>
    <row r="765" spans="1:5" x14ac:dyDescent="0.2">
      <c r="A765">
        <v>10535</v>
      </c>
      <c r="B765">
        <v>57</v>
      </c>
      <c r="C765" s="2">
        <v>19.5</v>
      </c>
      <c r="D765" s="2">
        <v>5</v>
      </c>
      <c r="E765" s="3">
        <v>0.1</v>
      </c>
    </row>
    <row r="766" spans="1:5" x14ac:dyDescent="0.2">
      <c r="A766">
        <v>10535</v>
      </c>
      <c r="B766">
        <v>59</v>
      </c>
      <c r="C766" s="2">
        <v>55</v>
      </c>
      <c r="D766" s="2">
        <v>15</v>
      </c>
      <c r="E766" s="3">
        <v>0.1</v>
      </c>
    </row>
    <row r="767" spans="1:5" x14ac:dyDescent="0.2">
      <c r="A767">
        <v>10536</v>
      </c>
      <c r="B767">
        <v>12</v>
      </c>
      <c r="C767" s="2">
        <v>38</v>
      </c>
      <c r="D767" s="2">
        <v>15</v>
      </c>
      <c r="E767" s="3">
        <v>0.25</v>
      </c>
    </row>
    <row r="768" spans="1:5" x14ac:dyDescent="0.2">
      <c r="A768">
        <v>10536</v>
      </c>
      <c r="B768">
        <v>31</v>
      </c>
      <c r="C768" s="2">
        <v>12.5</v>
      </c>
      <c r="D768" s="2">
        <v>20</v>
      </c>
      <c r="E768" s="3">
        <v>0</v>
      </c>
    </row>
    <row r="769" spans="1:5" x14ac:dyDescent="0.2">
      <c r="A769">
        <v>10536</v>
      </c>
      <c r="B769">
        <v>33</v>
      </c>
      <c r="C769" s="2">
        <v>2.5</v>
      </c>
      <c r="D769" s="2">
        <v>30</v>
      </c>
      <c r="E769" s="3">
        <v>0</v>
      </c>
    </row>
    <row r="770" spans="1:5" x14ac:dyDescent="0.2">
      <c r="A770">
        <v>10536</v>
      </c>
      <c r="B770">
        <v>60</v>
      </c>
      <c r="C770" s="2">
        <v>34</v>
      </c>
      <c r="D770" s="2">
        <v>35</v>
      </c>
      <c r="E770" s="3">
        <v>0.25</v>
      </c>
    </row>
    <row r="771" spans="1:5" x14ac:dyDescent="0.2">
      <c r="A771">
        <v>10537</v>
      </c>
      <c r="B771">
        <v>31</v>
      </c>
      <c r="C771" s="2">
        <v>12.5</v>
      </c>
      <c r="D771" s="2">
        <v>30</v>
      </c>
      <c r="E771" s="3">
        <v>0</v>
      </c>
    </row>
    <row r="772" spans="1:5" x14ac:dyDescent="0.2">
      <c r="A772">
        <v>10537</v>
      </c>
      <c r="B772">
        <v>51</v>
      </c>
      <c r="C772" s="2">
        <v>53</v>
      </c>
      <c r="D772" s="2">
        <v>6</v>
      </c>
      <c r="E772" s="3">
        <v>0</v>
      </c>
    </row>
    <row r="773" spans="1:5" x14ac:dyDescent="0.2">
      <c r="A773">
        <v>10537</v>
      </c>
      <c r="B773">
        <v>58</v>
      </c>
      <c r="C773" s="2">
        <v>13.25</v>
      </c>
      <c r="D773" s="2">
        <v>20</v>
      </c>
      <c r="E773" s="3">
        <v>0</v>
      </c>
    </row>
    <row r="774" spans="1:5" x14ac:dyDescent="0.2">
      <c r="A774">
        <v>10537</v>
      </c>
      <c r="B774">
        <v>72</v>
      </c>
      <c r="C774" s="2">
        <v>34.799999999999997</v>
      </c>
      <c r="D774" s="2">
        <v>21</v>
      </c>
      <c r="E774" s="3">
        <v>0</v>
      </c>
    </row>
    <row r="775" spans="1:5" x14ac:dyDescent="0.2">
      <c r="A775">
        <v>10537</v>
      </c>
      <c r="B775">
        <v>73</v>
      </c>
      <c r="C775" s="2">
        <v>15</v>
      </c>
      <c r="D775" s="2">
        <v>9</v>
      </c>
      <c r="E775" s="3">
        <v>0</v>
      </c>
    </row>
    <row r="776" spans="1:5" x14ac:dyDescent="0.2">
      <c r="A776">
        <v>10538</v>
      </c>
      <c r="B776">
        <v>70</v>
      </c>
      <c r="C776" s="2">
        <v>15</v>
      </c>
      <c r="D776" s="2">
        <v>7</v>
      </c>
      <c r="E776" s="3">
        <v>0</v>
      </c>
    </row>
    <row r="777" spans="1:5" x14ac:dyDescent="0.2">
      <c r="A777">
        <v>10538</v>
      </c>
      <c r="B777">
        <v>72</v>
      </c>
      <c r="C777" s="2">
        <v>34.799999999999997</v>
      </c>
      <c r="D777" s="2">
        <v>1</v>
      </c>
      <c r="E777" s="3">
        <v>0</v>
      </c>
    </row>
    <row r="778" spans="1:5" x14ac:dyDescent="0.2">
      <c r="A778">
        <v>10539</v>
      </c>
      <c r="B778">
        <v>13</v>
      </c>
      <c r="C778" s="2">
        <v>6</v>
      </c>
      <c r="D778" s="2">
        <v>8</v>
      </c>
      <c r="E778" s="3">
        <v>0</v>
      </c>
    </row>
    <row r="779" spans="1:5" x14ac:dyDescent="0.2">
      <c r="A779">
        <v>10539</v>
      </c>
      <c r="B779">
        <v>21</v>
      </c>
      <c r="C779" s="2">
        <v>10</v>
      </c>
      <c r="D779" s="2">
        <v>15</v>
      </c>
      <c r="E779" s="3">
        <v>0</v>
      </c>
    </row>
    <row r="780" spans="1:5" x14ac:dyDescent="0.2">
      <c r="A780">
        <v>10539</v>
      </c>
      <c r="B780">
        <v>33</v>
      </c>
      <c r="C780" s="2">
        <v>2.5</v>
      </c>
      <c r="D780" s="2">
        <v>15</v>
      </c>
      <c r="E780" s="3">
        <v>0</v>
      </c>
    </row>
    <row r="781" spans="1:5" x14ac:dyDescent="0.2">
      <c r="A781">
        <v>10539</v>
      </c>
      <c r="B781">
        <v>49</v>
      </c>
      <c r="C781" s="2">
        <v>20</v>
      </c>
      <c r="D781" s="2">
        <v>6</v>
      </c>
      <c r="E781" s="3">
        <v>0</v>
      </c>
    </row>
    <row r="782" spans="1:5" x14ac:dyDescent="0.2">
      <c r="A782">
        <v>10540</v>
      </c>
      <c r="B782">
        <v>3</v>
      </c>
      <c r="C782" s="2">
        <v>10</v>
      </c>
      <c r="D782" s="2">
        <v>60</v>
      </c>
      <c r="E782" s="3">
        <v>0</v>
      </c>
    </row>
    <row r="783" spans="1:5" x14ac:dyDescent="0.2">
      <c r="A783">
        <v>10540</v>
      </c>
      <c r="B783">
        <v>26</v>
      </c>
      <c r="C783" s="2">
        <v>31.23</v>
      </c>
      <c r="D783" s="2">
        <v>40</v>
      </c>
      <c r="E783" s="3">
        <v>0</v>
      </c>
    </row>
    <row r="784" spans="1:5" x14ac:dyDescent="0.2">
      <c r="A784">
        <v>10540</v>
      </c>
      <c r="B784">
        <v>38</v>
      </c>
      <c r="C784" s="2">
        <v>263.5</v>
      </c>
      <c r="D784" s="2">
        <v>30</v>
      </c>
      <c r="E784" s="3">
        <v>0</v>
      </c>
    </row>
    <row r="785" spans="1:5" x14ac:dyDescent="0.2">
      <c r="A785">
        <v>10540</v>
      </c>
      <c r="B785">
        <v>68</v>
      </c>
      <c r="C785" s="2">
        <v>12.5</v>
      </c>
      <c r="D785" s="2">
        <v>35</v>
      </c>
      <c r="E785" s="3">
        <v>0</v>
      </c>
    </row>
    <row r="786" spans="1:5" x14ac:dyDescent="0.2">
      <c r="A786">
        <v>10541</v>
      </c>
      <c r="B786">
        <v>24</v>
      </c>
      <c r="C786" s="2">
        <v>4.5</v>
      </c>
      <c r="D786" s="2">
        <v>35</v>
      </c>
      <c r="E786" s="3">
        <v>0.1</v>
      </c>
    </row>
    <row r="787" spans="1:5" x14ac:dyDescent="0.2">
      <c r="A787">
        <v>10541</v>
      </c>
      <c r="B787">
        <v>38</v>
      </c>
      <c r="C787" s="2">
        <v>263.5</v>
      </c>
      <c r="D787" s="2">
        <v>4</v>
      </c>
      <c r="E787" s="3">
        <v>0.1</v>
      </c>
    </row>
    <row r="788" spans="1:5" x14ac:dyDescent="0.2">
      <c r="A788">
        <v>10541</v>
      </c>
      <c r="B788">
        <v>65</v>
      </c>
      <c r="C788" s="2">
        <v>21.05</v>
      </c>
      <c r="D788" s="2">
        <v>36</v>
      </c>
      <c r="E788" s="3">
        <v>0.1</v>
      </c>
    </row>
    <row r="789" spans="1:5" x14ac:dyDescent="0.2">
      <c r="A789">
        <v>10541</v>
      </c>
      <c r="B789">
        <v>71</v>
      </c>
      <c r="C789" s="2">
        <v>21.5</v>
      </c>
      <c r="D789" s="2">
        <v>9</v>
      </c>
      <c r="E789" s="3">
        <v>0.1</v>
      </c>
    </row>
    <row r="790" spans="1:5" x14ac:dyDescent="0.2">
      <c r="A790">
        <v>10542</v>
      </c>
      <c r="B790">
        <v>11</v>
      </c>
      <c r="C790" s="2">
        <v>21</v>
      </c>
      <c r="D790" s="2">
        <v>15</v>
      </c>
      <c r="E790" s="3">
        <v>0.05</v>
      </c>
    </row>
    <row r="791" spans="1:5" x14ac:dyDescent="0.2">
      <c r="A791">
        <v>10542</v>
      </c>
      <c r="B791">
        <v>54</v>
      </c>
      <c r="C791" s="2">
        <v>7.45</v>
      </c>
      <c r="D791" s="2">
        <v>24</v>
      </c>
      <c r="E791" s="3">
        <v>0.05</v>
      </c>
    </row>
    <row r="792" spans="1:5" x14ac:dyDescent="0.2">
      <c r="A792">
        <v>10543</v>
      </c>
      <c r="B792">
        <v>12</v>
      </c>
      <c r="C792" s="2">
        <v>38</v>
      </c>
      <c r="D792" s="2">
        <v>30</v>
      </c>
      <c r="E792" s="3">
        <v>0.15</v>
      </c>
    </row>
    <row r="793" spans="1:5" x14ac:dyDescent="0.2">
      <c r="A793">
        <v>10543</v>
      </c>
      <c r="B793">
        <v>23</v>
      </c>
      <c r="C793" s="2">
        <v>9</v>
      </c>
      <c r="D793" s="2">
        <v>70</v>
      </c>
      <c r="E793" s="3">
        <v>0.15</v>
      </c>
    </row>
    <row r="794" spans="1:5" x14ac:dyDescent="0.2">
      <c r="A794">
        <v>10544</v>
      </c>
      <c r="B794">
        <v>28</v>
      </c>
      <c r="C794" s="2">
        <v>45.6</v>
      </c>
      <c r="D794" s="2">
        <v>7</v>
      </c>
      <c r="E794" s="3">
        <v>0</v>
      </c>
    </row>
    <row r="795" spans="1:5" x14ac:dyDescent="0.2">
      <c r="A795">
        <v>10544</v>
      </c>
      <c r="B795">
        <v>67</v>
      </c>
      <c r="C795" s="2">
        <v>14</v>
      </c>
      <c r="D795" s="2">
        <v>7</v>
      </c>
      <c r="E795" s="3">
        <v>0</v>
      </c>
    </row>
    <row r="796" spans="1:5" x14ac:dyDescent="0.2">
      <c r="A796">
        <v>10545</v>
      </c>
      <c r="B796">
        <v>11</v>
      </c>
      <c r="C796" s="2">
        <v>21</v>
      </c>
      <c r="D796" s="2">
        <v>10</v>
      </c>
      <c r="E796" s="3">
        <v>0</v>
      </c>
    </row>
    <row r="797" spans="1:5" x14ac:dyDescent="0.2">
      <c r="A797">
        <v>10546</v>
      </c>
      <c r="B797">
        <v>7</v>
      </c>
      <c r="C797" s="2">
        <v>30</v>
      </c>
      <c r="D797" s="2">
        <v>10</v>
      </c>
      <c r="E797" s="3">
        <v>0</v>
      </c>
    </row>
    <row r="798" spans="1:5" x14ac:dyDescent="0.2">
      <c r="A798">
        <v>10546</v>
      </c>
      <c r="B798">
        <v>35</v>
      </c>
      <c r="C798" s="2">
        <v>18</v>
      </c>
      <c r="D798" s="2">
        <v>30</v>
      </c>
      <c r="E798" s="3">
        <v>0</v>
      </c>
    </row>
    <row r="799" spans="1:5" x14ac:dyDescent="0.2">
      <c r="A799">
        <v>10546</v>
      </c>
      <c r="B799">
        <v>62</v>
      </c>
      <c r="C799" s="2">
        <v>49.3</v>
      </c>
      <c r="D799" s="2">
        <v>40</v>
      </c>
      <c r="E799" s="3">
        <v>0</v>
      </c>
    </row>
    <row r="800" spans="1:5" x14ac:dyDescent="0.2">
      <c r="A800">
        <v>10547</v>
      </c>
      <c r="B800">
        <v>32</v>
      </c>
      <c r="C800" s="2">
        <v>32</v>
      </c>
      <c r="D800" s="2">
        <v>24</v>
      </c>
      <c r="E800" s="3">
        <v>0.15</v>
      </c>
    </row>
    <row r="801" spans="1:5" x14ac:dyDescent="0.2">
      <c r="A801">
        <v>10547</v>
      </c>
      <c r="B801">
        <v>36</v>
      </c>
      <c r="C801" s="2">
        <v>19</v>
      </c>
      <c r="D801" s="2">
        <v>60</v>
      </c>
      <c r="E801" s="3">
        <v>0</v>
      </c>
    </row>
    <row r="802" spans="1:5" x14ac:dyDescent="0.2">
      <c r="A802">
        <v>10548</v>
      </c>
      <c r="B802">
        <v>34</v>
      </c>
      <c r="C802" s="2">
        <v>14</v>
      </c>
      <c r="D802" s="2">
        <v>10</v>
      </c>
      <c r="E802" s="3">
        <v>0.25</v>
      </c>
    </row>
    <row r="803" spans="1:5" x14ac:dyDescent="0.2">
      <c r="A803">
        <v>10548</v>
      </c>
      <c r="B803">
        <v>41</v>
      </c>
      <c r="C803" s="2">
        <v>9.65</v>
      </c>
      <c r="D803" s="2">
        <v>14</v>
      </c>
      <c r="E803" s="3">
        <v>0</v>
      </c>
    </row>
    <row r="804" spans="1:5" x14ac:dyDescent="0.2">
      <c r="A804">
        <v>10549</v>
      </c>
      <c r="B804">
        <v>31</v>
      </c>
      <c r="C804" s="2">
        <v>12.5</v>
      </c>
      <c r="D804" s="2">
        <v>55</v>
      </c>
      <c r="E804" s="3">
        <v>0.15</v>
      </c>
    </row>
    <row r="805" spans="1:5" x14ac:dyDescent="0.2">
      <c r="A805">
        <v>10549</v>
      </c>
      <c r="B805">
        <v>45</v>
      </c>
      <c r="C805" s="2">
        <v>9.5</v>
      </c>
      <c r="D805" s="2">
        <v>100</v>
      </c>
      <c r="E805" s="3">
        <v>0.15</v>
      </c>
    </row>
    <row r="806" spans="1:5" x14ac:dyDescent="0.2">
      <c r="A806">
        <v>10549</v>
      </c>
      <c r="B806">
        <v>51</v>
      </c>
      <c r="C806" s="2">
        <v>53</v>
      </c>
      <c r="D806" s="2">
        <v>48</v>
      </c>
      <c r="E806" s="3">
        <v>0.15</v>
      </c>
    </row>
    <row r="807" spans="1:5" x14ac:dyDescent="0.2">
      <c r="A807">
        <v>10550</v>
      </c>
      <c r="B807">
        <v>17</v>
      </c>
      <c r="C807" s="2">
        <v>39</v>
      </c>
      <c r="D807" s="2">
        <v>8</v>
      </c>
      <c r="E807" s="3">
        <v>0.1</v>
      </c>
    </row>
    <row r="808" spans="1:5" x14ac:dyDescent="0.2">
      <c r="A808">
        <v>10550</v>
      </c>
      <c r="B808">
        <v>19</v>
      </c>
      <c r="C808" s="2">
        <v>9.1999999999999993</v>
      </c>
      <c r="D808" s="2">
        <v>10</v>
      </c>
      <c r="E808" s="3">
        <v>0</v>
      </c>
    </row>
    <row r="809" spans="1:5" x14ac:dyDescent="0.2">
      <c r="A809">
        <v>10550</v>
      </c>
      <c r="B809">
        <v>21</v>
      </c>
      <c r="C809" s="2">
        <v>10</v>
      </c>
      <c r="D809" s="2">
        <v>6</v>
      </c>
      <c r="E809" s="3">
        <v>0.1</v>
      </c>
    </row>
    <row r="810" spans="1:5" x14ac:dyDescent="0.2">
      <c r="A810">
        <v>10550</v>
      </c>
      <c r="B810">
        <v>61</v>
      </c>
      <c r="C810" s="2">
        <v>28.5</v>
      </c>
      <c r="D810" s="2">
        <v>10</v>
      </c>
      <c r="E810" s="3">
        <v>0.1</v>
      </c>
    </row>
    <row r="811" spans="1:5" x14ac:dyDescent="0.2">
      <c r="A811">
        <v>10551</v>
      </c>
      <c r="B811">
        <v>16</v>
      </c>
      <c r="C811" s="2">
        <v>17.45</v>
      </c>
      <c r="D811" s="2">
        <v>40</v>
      </c>
      <c r="E811" s="3">
        <v>0.15</v>
      </c>
    </row>
    <row r="812" spans="1:5" x14ac:dyDescent="0.2">
      <c r="A812">
        <v>10551</v>
      </c>
      <c r="B812">
        <v>35</v>
      </c>
      <c r="C812" s="2">
        <v>18</v>
      </c>
      <c r="D812" s="2">
        <v>20</v>
      </c>
      <c r="E812" s="3">
        <v>0.15</v>
      </c>
    </row>
    <row r="813" spans="1:5" x14ac:dyDescent="0.2">
      <c r="A813">
        <v>10551</v>
      </c>
      <c r="B813">
        <v>44</v>
      </c>
      <c r="C813" s="2">
        <v>19.45</v>
      </c>
      <c r="D813" s="2">
        <v>40</v>
      </c>
      <c r="E813" s="3">
        <v>0</v>
      </c>
    </row>
    <row r="814" spans="1:5" x14ac:dyDescent="0.2">
      <c r="A814">
        <v>10552</v>
      </c>
      <c r="B814">
        <v>69</v>
      </c>
      <c r="C814" s="2">
        <v>36</v>
      </c>
      <c r="D814" s="2">
        <v>18</v>
      </c>
      <c r="E814" s="3">
        <v>0</v>
      </c>
    </row>
    <row r="815" spans="1:5" x14ac:dyDescent="0.2">
      <c r="A815">
        <v>10552</v>
      </c>
      <c r="B815">
        <v>75</v>
      </c>
      <c r="C815" s="2">
        <v>7.75</v>
      </c>
      <c r="D815" s="2">
        <v>30</v>
      </c>
      <c r="E815" s="3">
        <v>0</v>
      </c>
    </row>
    <row r="816" spans="1:5" x14ac:dyDescent="0.2">
      <c r="A816">
        <v>10553</v>
      </c>
      <c r="B816">
        <v>11</v>
      </c>
      <c r="C816" s="2">
        <v>21</v>
      </c>
      <c r="D816" s="2">
        <v>15</v>
      </c>
      <c r="E816" s="3">
        <v>0</v>
      </c>
    </row>
    <row r="817" spans="1:5" x14ac:dyDescent="0.2">
      <c r="A817">
        <v>10553</v>
      </c>
      <c r="B817">
        <v>16</v>
      </c>
      <c r="C817" s="2">
        <v>17.45</v>
      </c>
      <c r="D817" s="2">
        <v>14</v>
      </c>
      <c r="E817" s="3">
        <v>0</v>
      </c>
    </row>
    <row r="818" spans="1:5" x14ac:dyDescent="0.2">
      <c r="A818">
        <v>10553</v>
      </c>
      <c r="B818">
        <v>22</v>
      </c>
      <c r="C818" s="2">
        <v>21</v>
      </c>
      <c r="D818" s="2">
        <v>24</v>
      </c>
      <c r="E818" s="3">
        <v>0</v>
      </c>
    </row>
    <row r="819" spans="1:5" x14ac:dyDescent="0.2">
      <c r="A819">
        <v>10553</v>
      </c>
      <c r="B819">
        <v>31</v>
      </c>
      <c r="C819" s="2">
        <v>12.5</v>
      </c>
      <c r="D819" s="2">
        <v>30</v>
      </c>
      <c r="E819" s="3">
        <v>0</v>
      </c>
    </row>
    <row r="820" spans="1:5" x14ac:dyDescent="0.2">
      <c r="A820">
        <v>10553</v>
      </c>
      <c r="B820">
        <v>35</v>
      </c>
      <c r="C820" s="2">
        <v>18</v>
      </c>
      <c r="D820" s="2">
        <v>6</v>
      </c>
      <c r="E820" s="3">
        <v>0</v>
      </c>
    </row>
    <row r="821" spans="1:5" x14ac:dyDescent="0.2">
      <c r="A821">
        <v>10554</v>
      </c>
      <c r="B821">
        <v>16</v>
      </c>
      <c r="C821" s="2">
        <v>17.45</v>
      </c>
      <c r="D821" s="2">
        <v>30</v>
      </c>
      <c r="E821" s="3">
        <v>0.05</v>
      </c>
    </row>
    <row r="822" spans="1:5" x14ac:dyDescent="0.2">
      <c r="A822">
        <v>10554</v>
      </c>
      <c r="B822">
        <v>23</v>
      </c>
      <c r="C822" s="2">
        <v>9</v>
      </c>
      <c r="D822" s="2">
        <v>20</v>
      </c>
      <c r="E822" s="3">
        <v>0.05</v>
      </c>
    </row>
    <row r="823" spans="1:5" x14ac:dyDescent="0.2">
      <c r="A823">
        <v>10554</v>
      </c>
      <c r="B823">
        <v>62</v>
      </c>
      <c r="C823" s="2">
        <v>49.3</v>
      </c>
      <c r="D823" s="2">
        <v>20</v>
      </c>
      <c r="E823" s="3">
        <v>0.05</v>
      </c>
    </row>
    <row r="824" spans="1:5" x14ac:dyDescent="0.2">
      <c r="A824">
        <v>10554</v>
      </c>
      <c r="B824">
        <v>77</v>
      </c>
      <c r="C824" s="2">
        <v>13</v>
      </c>
      <c r="D824" s="2">
        <v>10</v>
      </c>
      <c r="E824" s="3">
        <v>0.05</v>
      </c>
    </row>
    <row r="825" spans="1:5" x14ac:dyDescent="0.2">
      <c r="A825">
        <v>10555</v>
      </c>
      <c r="B825">
        <v>14</v>
      </c>
      <c r="C825" s="2">
        <v>23.25</v>
      </c>
      <c r="D825" s="2">
        <v>30</v>
      </c>
      <c r="E825" s="3">
        <v>0.2</v>
      </c>
    </row>
    <row r="826" spans="1:5" x14ac:dyDescent="0.2">
      <c r="A826">
        <v>10555</v>
      </c>
      <c r="B826">
        <v>19</v>
      </c>
      <c r="C826" s="2">
        <v>9.1999999999999993</v>
      </c>
      <c r="D826" s="2">
        <v>35</v>
      </c>
      <c r="E826" s="3">
        <v>0.2</v>
      </c>
    </row>
    <row r="827" spans="1:5" x14ac:dyDescent="0.2">
      <c r="A827">
        <v>10555</v>
      </c>
      <c r="B827">
        <v>24</v>
      </c>
      <c r="C827" s="2">
        <v>4.5</v>
      </c>
      <c r="D827" s="2">
        <v>18</v>
      </c>
      <c r="E827" s="3">
        <v>0.2</v>
      </c>
    </row>
    <row r="828" spans="1:5" x14ac:dyDescent="0.2">
      <c r="A828">
        <v>10555</v>
      </c>
      <c r="B828">
        <v>51</v>
      </c>
      <c r="C828" s="2">
        <v>53</v>
      </c>
      <c r="D828" s="2">
        <v>20</v>
      </c>
      <c r="E828" s="3">
        <v>0.2</v>
      </c>
    </row>
    <row r="829" spans="1:5" x14ac:dyDescent="0.2">
      <c r="A829">
        <v>10555</v>
      </c>
      <c r="B829">
        <v>56</v>
      </c>
      <c r="C829" s="2">
        <v>38</v>
      </c>
      <c r="D829" s="2">
        <v>40</v>
      </c>
      <c r="E829" s="3">
        <v>0.2</v>
      </c>
    </row>
    <row r="830" spans="1:5" x14ac:dyDescent="0.2">
      <c r="A830">
        <v>10556</v>
      </c>
      <c r="B830">
        <v>72</v>
      </c>
      <c r="C830" s="2">
        <v>34.799999999999997</v>
      </c>
      <c r="D830" s="2">
        <v>24</v>
      </c>
      <c r="E830" s="3">
        <v>0</v>
      </c>
    </row>
    <row r="831" spans="1:5" x14ac:dyDescent="0.2">
      <c r="A831">
        <v>10557</v>
      </c>
      <c r="B831">
        <v>64</v>
      </c>
      <c r="C831" s="2">
        <v>33.25</v>
      </c>
      <c r="D831" s="2">
        <v>30</v>
      </c>
      <c r="E831" s="3">
        <v>0</v>
      </c>
    </row>
    <row r="832" spans="1:5" x14ac:dyDescent="0.2">
      <c r="A832">
        <v>10557</v>
      </c>
      <c r="B832">
        <v>75</v>
      </c>
      <c r="C832" s="2">
        <v>7.75</v>
      </c>
      <c r="D832" s="2">
        <v>20</v>
      </c>
      <c r="E832" s="3">
        <v>0</v>
      </c>
    </row>
    <row r="833" spans="1:5" x14ac:dyDescent="0.2">
      <c r="A833">
        <v>10558</v>
      </c>
      <c r="B833">
        <v>47</v>
      </c>
      <c r="C833" s="2">
        <v>9.5</v>
      </c>
      <c r="D833" s="2">
        <v>25</v>
      </c>
      <c r="E833" s="3">
        <v>0</v>
      </c>
    </row>
    <row r="834" spans="1:5" x14ac:dyDescent="0.2">
      <c r="A834">
        <v>10558</v>
      </c>
      <c r="B834">
        <v>51</v>
      </c>
      <c r="C834" s="2">
        <v>53</v>
      </c>
      <c r="D834" s="2">
        <v>20</v>
      </c>
      <c r="E834" s="3">
        <v>0</v>
      </c>
    </row>
    <row r="835" spans="1:5" x14ac:dyDescent="0.2">
      <c r="A835">
        <v>10558</v>
      </c>
      <c r="B835">
        <v>52</v>
      </c>
      <c r="C835" s="2">
        <v>7</v>
      </c>
      <c r="D835" s="2">
        <v>30</v>
      </c>
      <c r="E835" s="3">
        <v>0</v>
      </c>
    </row>
    <row r="836" spans="1:5" x14ac:dyDescent="0.2">
      <c r="A836">
        <v>10558</v>
      </c>
      <c r="B836">
        <v>53</v>
      </c>
      <c r="C836" s="2">
        <v>32.799999999999997</v>
      </c>
      <c r="D836" s="2">
        <v>18</v>
      </c>
      <c r="E836" s="3">
        <v>0</v>
      </c>
    </row>
    <row r="837" spans="1:5" x14ac:dyDescent="0.2">
      <c r="A837">
        <v>10558</v>
      </c>
      <c r="B837">
        <v>73</v>
      </c>
      <c r="C837" s="2">
        <v>15</v>
      </c>
      <c r="D837" s="2">
        <v>3</v>
      </c>
      <c r="E837" s="3">
        <v>0</v>
      </c>
    </row>
    <row r="838" spans="1:5" x14ac:dyDescent="0.2">
      <c r="A838">
        <v>10559</v>
      </c>
      <c r="B838">
        <v>41</v>
      </c>
      <c r="C838" s="2">
        <v>9.65</v>
      </c>
      <c r="D838" s="2">
        <v>12</v>
      </c>
      <c r="E838" s="3">
        <v>0.05</v>
      </c>
    </row>
    <row r="839" spans="1:5" x14ac:dyDescent="0.2">
      <c r="A839">
        <v>10559</v>
      </c>
      <c r="B839">
        <v>55</v>
      </c>
      <c r="C839" s="2">
        <v>24</v>
      </c>
      <c r="D839" s="2">
        <v>18</v>
      </c>
      <c r="E839" s="3">
        <v>0.05</v>
      </c>
    </row>
    <row r="840" spans="1:5" x14ac:dyDescent="0.2">
      <c r="A840">
        <v>10560</v>
      </c>
      <c r="B840">
        <v>30</v>
      </c>
      <c r="C840" s="2">
        <v>25.89</v>
      </c>
      <c r="D840" s="2">
        <v>20</v>
      </c>
      <c r="E840" s="3">
        <v>0</v>
      </c>
    </row>
    <row r="841" spans="1:5" x14ac:dyDescent="0.2">
      <c r="A841">
        <v>10560</v>
      </c>
      <c r="B841">
        <v>62</v>
      </c>
      <c r="C841" s="2">
        <v>49.3</v>
      </c>
      <c r="D841" s="2">
        <v>15</v>
      </c>
      <c r="E841" s="3">
        <v>0.25</v>
      </c>
    </row>
    <row r="842" spans="1:5" x14ac:dyDescent="0.2">
      <c r="A842">
        <v>10561</v>
      </c>
      <c r="B842">
        <v>44</v>
      </c>
      <c r="C842" s="2">
        <v>19.45</v>
      </c>
      <c r="D842" s="2">
        <v>10</v>
      </c>
      <c r="E842" s="3">
        <v>0</v>
      </c>
    </row>
    <row r="843" spans="1:5" x14ac:dyDescent="0.2">
      <c r="A843">
        <v>10561</v>
      </c>
      <c r="B843">
        <v>51</v>
      </c>
      <c r="C843" s="2">
        <v>53</v>
      </c>
      <c r="D843" s="2">
        <v>50</v>
      </c>
      <c r="E843" s="3">
        <v>0</v>
      </c>
    </row>
    <row r="844" spans="1:5" x14ac:dyDescent="0.2">
      <c r="A844">
        <v>10562</v>
      </c>
      <c r="B844">
        <v>33</v>
      </c>
      <c r="C844" s="2">
        <v>2.5</v>
      </c>
      <c r="D844" s="2">
        <v>20</v>
      </c>
      <c r="E844" s="3">
        <v>0.1</v>
      </c>
    </row>
    <row r="845" spans="1:5" x14ac:dyDescent="0.2">
      <c r="A845">
        <v>10562</v>
      </c>
      <c r="B845">
        <v>62</v>
      </c>
      <c r="C845" s="2">
        <v>49.3</v>
      </c>
      <c r="D845" s="2">
        <v>10</v>
      </c>
      <c r="E845" s="3">
        <v>0.1</v>
      </c>
    </row>
    <row r="846" spans="1:5" x14ac:dyDescent="0.2">
      <c r="A846">
        <v>10563</v>
      </c>
      <c r="B846">
        <v>36</v>
      </c>
      <c r="C846" s="2">
        <v>19</v>
      </c>
      <c r="D846" s="2">
        <v>25</v>
      </c>
      <c r="E846" s="3">
        <v>0</v>
      </c>
    </row>
    <row r="847" spans="1:5" x14ac:dyDescent="0.2">
      <c r="A847">
        <v>10563</v>
      </c>
      <c r="B847">
        <v>52</v>
      </c>
      <c r="C847" s="2">
        <v>7</v>
      </c>
      <c r="D847" s="2">
        <v>70</v>
      </c>
      <c r="E847" s="3">
        <v>0</v>
      </c>
    </row>
    <row r="848" spans="1:5" x14ac:dyDescent="0.2">
      <c r="A848">
        <v>10564</v>
      </c>
      <c r="B848">
        <v>17</v>
      </c>
      <c r="C848" s="2">
        <v>39</v>
      </c>
      <c r="D848" s="2">
        <v>16</v>
      </c>
      <c r="E848" s="3">
        <v>0.05</v>
      </c>
    </row>
    <row r="849" spans="1:5" x14ac:dyDescent="0.2">
      <c r="A849">
        <v>10564</v>
      </c>
      <c r="B849">
        <v>31</v>
      </c>
      <c r="C849" s="2">
        <v>12.5</v>
      </c>
      <c r="D849" s="2">
        <v>6</v>
      </c>
      <c r="E849" s="3">
        <v>0.05</v>
      </c>
    </row>
    <row r="850" spans="1:5" x14ac:dyDescent="0.2">
      <c r="A850">
        <v>10564</v>
      </c>
      <c r="B850">
        <v>55</v>
      </c>
      <c r="C850" s="2">
        <v>24</v>
      </c>
      <c r="D850" s="2">
        <v>25</v>
      </c>
      <c r="E850" s="3">
        <v>0.05</v>
      </c>
    </row>
    <row r="851" spans="1:5" x14ac:dyDescent="0.2">
      <c r="A851">
        <v>10565</v>
      </c>
      <c r="B851">
        <v>24</v>
      </c>
      <c r="C851" s="2">
        <v>4.5</v>
      </c>
      <c r="D851" s="2">
        <v>25</v>
      </c>
      <c r="E851" s="3">
        <v>0.1</v>
      </c>
    </row>
    <row r="852" spans="1:5" x14ac:dyDescent="0.2">
      <c r="A852">
        <v>10565</v>
      </c>
      <c r="B852">
        <v>64</v>
      </c>
      <c r="C852" s="2">
        <v>33.25</v>
      </c>
      <c r="D852" s="2">
        <v>18</v>
      </c>
      <c r="E852" s="3">
        <v>0.1</v>
      </c>
    </row>
    <row r="853" spans="1:5" x14ac:dyDescent="0.2">
      <c r="A853">
        <v>10566</v>
      </c>
      <c r="B853">
        <v>11</v>
      </c>
      <c r="C853" s="2">
        <v>21</v>
      </c>
      <c r="D853" s="2">
        <v>35</v>
      </c>
      <c r="E853" s="3">
        <v>0.15</v>
      </c>
    </row>
    <row r="854" spans="1:5" x14ac:dyDescent="0.2">
      <c r="A854">
        <v>10566</v>
      </c>
      <c r="B854">
        <v>18</v>
      </c>
      <c r="C854" s="2">
        <v>62.5</v>
      </c>
      <c r="D854" s="2">
        <v>18</v>
      </c>
      <c r="E854" s="3">
        <v>0.15</v>
      </c>
    </row>
    <row r="855" spans="1:5" x14ac:dyDescent="0.2">
      <c r="A855">
        <v>10566</v>
      </c>
      <c r="B855">
        <v>76</v>
      </c>
      <c r="C855" s="2">
        <v>18</v>
      </c>
      <c r="D855" s="2">
        <v>10</v>
      </c>
      <c r="E855" s="3">
        <v>0</v>
      </c>
    </row>
    <row r="856" spans="1:5" x14ac:dyDescent="0.2">
      <c r="A856">
        <v>10567</v>
      </c>
      <c r="B856">
        <v>31</v>
      </c>
      <c r="C856" s="2">
        <v>12.5</v>
      </c>
      <c r="D856" s="2">
        <v>60</v>
      </c>
      <c r="E856" s="3">
        <v>0.2</v>
      </c>
    </row>
    <row r="857" spans="1:5" x14ac:dyDescent="0.2">
      <c r="A857">
        <v>10567</v>
      </c>
      <c r="B857">
        <v>51</v>
      </c>
      <c r="C857" s="2">
        <v>53</v>
      </c>
      <c r="D857" s="2">
        <v>3</v>
      </c>
      <c r="E857" s="3">
        <v>0</v>
      </c>
    </row>
    <row r="858" spans="1:5" x14ac:dyDescent="0.2">
      <c r="A858">
        <v>10567</v>
      </c>
      <c r="B858">
        <v>59</v>
      </c>
      <c r="C858" s="2">
        <v>55</v>
      </c>
      <c r="D858" s="2">
        <v>40</v>
      </c>
      <c r="E858" s="3">
        <v>0.2</v>
      </c>
    </row>
    <row r="859" spans="1:5" x14ac:dyDescent="0.2">
      <c r="A859">
        <v>10568</v>
      </c>
      <c r="B859">
        <v>10</v>
      </c>
      <c r="C859" s="2">
        <v>31</v>
      </c>
      <c r="D859" s="2">
        <v>5</v>
      </c>
      <c r="E859" s="3">
        <v>0</v>
      </c>
    </row>
    <row r="860" spans="1:5" x14ac:dyDescent="0.2">
      <c r="A860">
        <v>10569</v>
      </c>
      <c r="B860">
        <v>31</v>
      </c>
      <c r="C860" s="2">
        <v>12.5</v>
      </c>
      <c r="D860" s="2">
        <v>35</v>
      </c>
      <c r="E860" s="3">
        <v>0.2</v>
      </c>
    </row>
    <row r="861" spans="1:5" x14ac:dyDescent="0.2">
      <c r="A861">
        <v>10569</v>
      </c>
      <c r="B861">
        <v>76</v>
      </c>
      <c r="C861" s="2">
        <v>18</v>
      </c>
      <c r="D861" s="2">
        <v>30</v>
      </c>
      <c r="E861" s="3">
        <v>0</v>
      </c>
    </row>
    <row r="862" spans="1:5" x14ac:dyDescent="0.2">
      <c r="A862">
        <v>10570</v>
      </c>
      <c r="B862">
        <v>11</v>
      </c>
      <c r="C862" s="2">
        <v>21</v>
      </c>
      <c r="D862" s="2">
        <v>15</v>
      </c>
      <c r="E862" s="3">
        <v>0.05</v>
      </c>
    </row>
    <row r="863" spans="1:5" x14ac:dyDescent="0.2">
      <c r="A863">
        <v>10570</v>
      </c>
      <c r="B863">
        <v>56</v>
      </c>
      <c r="C863" s="2">
        <v>38</v>
      </c>
      <c r="D863" s="2">
        <v>60</v>
      </c>
      <c r="E863" s="3">
        <v>0.05</v>
      </c>
    </row>
    <row r="864" spans="1:5" x14ac:dyDescent="0.2">
      <c r="A864">
        <v>10571</v>
      </c>
      <c r="B864">
        <v>14</v>
      </c>
      <c r="C864" s="2">
        <v>23.25</v>
      </c>
      <c r="D864" s="2">
        <v>11</v>
      </c>
      <c r="E864" s="3">
        <v>0.15</v>
      </c>
    </row>
    <row r="865" spans="1:5" x14ac:dyDescent="0.2">
      <c r="A865">
        <v>10571</v>
      </c>
      <c r="B865">
        <v>42</v>
      </c>
      <c r="C865" s="2">
        <v>14</v>
      </c>
      <c r="D865" s="2">
        <v>28</v>
      </c>
      <c r="E865" s="3">
        <v>0.15</v>
      </c>
    </row>
    <row r="866" spans="1:5" x14ac:dyDescent="0.2">
      <c r="A866">
        <v>10572</v>
      </c>
      <c r="B866">
        <v>16</v>
      </c>
      <c r="C866" s="2">
        <v>17.45</v>
      </c>
      <c r="D866" s="2">
        <v>12</v>
      </c>
      <c r="E866" s="3">
        <v>0.1</v>
      </c>
    </row>
    <row r="867" spans="1:5" x14ac:dyDescent="0.2">
      <c r="A867">
        <v>10572</v>
      </c>
      <c r="B867">
        <v>32</v>
      </c>
      <c r="C867" s="2">
        <v>32</v>
      </c>
      <c r="D867" s="2">
        <v>10</v>
      </c>
      <c r="E867" s="3">
        <v>0.1</v>
      </c>
    </row>
    <row r="868" spans="1:5" x14ac:dyDescent="0.2">
      <c r="A868">
        <v>10572</v>
      </c>
      <c r="B868">
        <v>40</v>
      </c>
      <c r="C868" s="2">
        <v>18.399999999999999</v>
      </c>
      <c r="D868" s="2">
        <v>50</v>
      </c>
      <c r="E868" s="3">
        <v>0</v>
      </c>
    </row>
    <row r="869" spans="1:5" x14ac:dyDescent="0.2">
      <c r="A869">
        <v>10572</v>
      </c>
      <c r="B869">
        <v>75</v>
      </c>
      <c r="C869" s="2">
        <v>7.75</v>
      </c>
      <c r="D869" s="2">
        <v>15</v>
      </c>
      <c r="E869" s="3">
        <v>0.1</v>
      </c>
    </row>
    <row r="870" spans="1:5" x14ac:dyDescent="0.2">
      <c r="A870">
        <v>10573</v>
      </c>
      <c r="B870">
        <v>17</v>
      </c>
      <c r="C870" s="2">
        <v>39</v>
      </c>
      <c r="D870" s="2">
        <v>18</v>
      </c>
      <c r="E870" s="3">
        <v>0</v>
      </c>
    </row>
    <row r="871" spans="1:5" x14ac:dyDescent="0.2">
      <c r="A871">
        <v>10573</v>
      </c>
      <c r="B871">
        <v>34</v>
      </c>
      <c r="C871" s="2">
        <v>14</v>
      </c>
      <c r="D871" s="2">
        <v>40</v>
      </c>
      <c r="E871" s="3">
        <v>0</v>
      </c>
    </row>
    <row r="872" spans="1:5" x14ac:dyDescent="0.2">
      <c r="A872">
        <v>10573</v>
      </c>
      <c r="B872">
        <v>53</v>
      </c>
      <c r="C872" s="2">
        <v>32.799999999999997</v>
      </c>
      <c r="D872" s="2">
        <v>25</v>
      </c>
      <c r="E872" s="3">
        <v>0</v>
      </c>
    </row>
    <row r="873" spans="1:5" x14ac:dyDescent="0.2">
      <c r="A873">
        <v>10574</v>
      </c>
      <c r="B873">
        <v>33</v>
      </c>
      <c r="C873" s="2">
        <v>2.5</v>
      </c>
      <c r="D873" s="2">
        <v>14</v>
      </c>
      <c r="E873" s="3">
        <v>0</v>
      </c>
    </row>
    <row r="874" spans="1:5" x14ac:dyDescent="0.2">
      <c r="A874">
        <v>10574</v>
      </c>
      <c r="B874">
        <v>40</v>
      </c>
      <c r="C874" s="2">
        <v>18.399999999999999</v>
      </c>
      <c r="D874" s="2">
        <v>2</v>
      </c>
      <c r="E874" s="3">
        <v>0</v>
      </c>
    </row>
    <row r="875" spans="1:5" x14ac:dyDescent="0.2">
      <c r="A875">
        <v>10574</v>
      </c>
      <c r="B875">
        <v>62</v>
      </c>
      <c r="C875" s="2">
        <v>49.3</v>
      </c>
      <c r="D875" s="2">
        <v>10</v>
      </c>
      <c r="E875" s="3">
        <v>0</v>
      </c>
    </row>
    <row r="876" spans="1:5" x14ac:dyDescent="0.2">
      <c r="A876">
        <v>10574</v>
      </c>
      <c r="B876">
        <v>64</v>
      </c>
      <c r="C876" s="2">
        <v>33.25</v>
      </c>
      <c r="D876" s="2">
        <v>6</v>
      </c>
      <c r="E876" s="3">
        <v>0</v>
      </c>
    </row>
    <row r="877" spans="1:5" x14ac:dyDescent="0.2">
      <c r="A877">
        <v>10575</v>
      </c>
      <c r="B877">
        <v>59</v>
      </c>
      <c r="C877" s="2">
        <v>55</v>
      </c>
      <c r="D877" s="2">
        <v>12</v>
      </c>
      <c r="E877" s="3">
        <v>0</v>
      </c>
    </row>
    <row r="878" spans="1:5" x14ac:dyDescent="0.2">
      <c r="A878">
        <v>10575</v>
      </c>
      <c r="B878">
        <v>63</v>
      </c>
      <c r="C878" s="2">
        <v>43.9</v>
      </c>
      <c r="D878" s="2">
        <v>6</v>
      </c>
      <c r="E878" s="3">
        <v>0</v>
      </c>
    </row>
    <row r="879" spans="1:5" x14ac:dyDescent="0.2">
      <c r="A879">
        <v>10575</v>
      </c>
      <c r="B879">
        <v>72</v>
      </c>
      <c r="C879" s="2">
        <v>34.799999999999997</v>
      </c>
      <c r="D879" s="2">
        <v>30</v>
      </c>
      <c r="E879" s="3">
        <v>0</v>
      </c>
    </row>
    <row r="880" spans="1:5" x14ac:dyDescent="0.2">
      <c r="A880">
        <v>10575</v>
      </c>
      <c r="B880">
        <v>76</v>
      </c>
      <c r="C880" s="2">
        <v>18</v>
      </c>
      <c r="D880" s="2">
        <v>10</v>
      </c>
      <c r="E880" s="3">
        <v>0</v>
      </c>
    </row>
    <row r="881" spans="1:5" x14ac:dyDescent="0.2">
      <c r="A881">
        <v>10576</v>
      </c>
      <c r="B881">
        <v>1</v>
      </c>
      <c r="C881" s="2">
        <v>18</v>
      </c>
      <c r="D881" s="2">
        <v>10</v>
      </c>
      <c r="E881" s="3">
        <v>0</v>
      </c>
    </row>
    <row r="882" spans="1:5" x14ac:dyDescent="0.2">
      <c r="A882">
        <v>10576</v>
      </c>
      <c r="B882">
        <v>31</v>
      </c>
      <c r="C882" s="2">
        <v>12.5</v>
      </c>
      <c r="D882" s="2">
        <v>20</v>
      </c>
      <c r="E882" s="3">
        <v>0</v>
      </c>
    </row>
    <row r="883" spans="1:5" x14ac:dyDescent="0.2">
      <c r="A883">
        <v>10576</v>
      </c>
      <c r="B883">
        <v>44</v>
      </c>
      <c r="C883" s="2">
        <v>19.45</v>
      </c>
      <c r="D883" s="2">
        <v>21</v>
      </c>
      <c r="E883" s="3">
        <v>0</v>
      </c>
    </row>
    <row r="884" spans="1:5" x14ac:dyDescent="0.2">
      <c r="A884">
        <v>10577</v>
      </c>
      <c r="B884">
        <v>39</v>
      </c>
      <c r="C884" s="2">
        <v>18</v>
      </c>
      <c r="D884" s="2">
        <v>10</v>
      </c>
      <c r="E884" s="3">
        <v>0</v>
      </c>
    </row>
    <row r="885" spans="1:5" x14ac:dyDescent="0.2">
      <c r="A885">
        <v>10577</v>
      </c>
      <c r="B885">
        <v>75</v>
      </c>
      <c r="C885" s="2">
        <v>7.75</v>
      </c>
      <c r="D885" s="2">
        <v>20</v>
      </c>
      <c r="E885" s="3">
        <v>0</v>
      </c>
    </row>
    <row r="886" spans="1:5" x14ac:dyDescent="0.2">
      <c r="A886">
        <v>10577</v>
      </c>
      <c r="B886">
        <v>77</v>
      </c>
      <c r="C886" s="2">
        <v>13</v>
      </c>
      <c r="D886" s="2">
        <v>18</v>
      </c>
      <c r="E886" s="3">
        <v>0</v>
      </c>
    </row>
    <row r="887" spans="1:5" x14ac:dyDescent="0.2">
      <c r="A887">
        <v>10578</v>
      </c>
      <c r="B887">
        <v>35</v>
      </c>
      <c r="C887" s="2">
        <v>18</v>
      </c>
      <c r="D887" s="2">
        <v>20</v>
      </c>
      <c r="E887" s="3">
        <v>0</v>
      </c>
    </row>
    <row r="888" spans="1:5" x14ac:dyDescent="0.2">
      <c r="A888">
        <v>10578</v>
      </c>
      <c r="B888">
        <v>57</v>
      </c>
      <c r="C888" s="2">
        <v>19.5</v>
      </c>
      <c r="D888" s="2">
        <v>6</v>
      </c>
      <c r="E888" s="3">
        <v>0</v>
      </c>
    </row>
    <row r="889" spans="1:5" x14ac:dyDescent="0.2">
      <c r="A889">
        <v>10579</v>
      </c>
      <c r="B889">
        <v>15</v>
      </c>
      <c r="C889" s="2">
        <v>15.5</v>
      </c>
      <c r="D889" s="2">
        <v>10</v>
      </c>
      <c r="E889" s="3">
        <v>0</v>
      </c>
    </row>
    <row r="890" spans="1:5" x14ac:dyDescent="0.2">
      <c r="A890">
        <v>10579</v>
      </c>
      <c r="B890">
        <v>75</v>
      </c>
      <c r="C890" s="2">
        <v>7.75</v>
      </c>
      <c r="D890" s="2">
        <v>21</v>
      </c>
      <c r="E890" s="3">
        <v>0</v>
      </c>
    </row>
    <row r="891" spans="1:5" x14ac:dyDescent="0.2">
      <c r="A891">
        <v>10580</v>
      </c>
      <c r="B891">
        <v>14</v>
      </c>
      <c r="C891" s="2">
        <v>23.25</v>
      </c>
      <c r="D891" s="2">
        <v>15</v>
      </c>
      <c r="E891" s="3">
        <v>0.05</v>
      </c>
    </row>
    <row r="892" spans="1:5" x14ac:dyDescent="0.2">
      <c r="A892">
        <v>10580</v>
      </c>
      <c r="B892">
        <v>41</v>
      </c>
      <c r="C892" s="2">
        <v>9.65</v>
      </c>
      <c r="D892" s="2">
        <v>9</v>
      </c>
      <c r="E892" s="3">
        <v>0.05</v>
      </c>
    </row>
    <row r="893" spans="1:5" x14ac:dyDescent="0.2">
      <c r="A893">
        <v>10580</v>
      </c>
      <c r="B893">
        <v>65</v>
      </c>
      <c r="C893" s="2">
        <v>21.05</v>
      </c>
      <c r="D893" s="2">
        <v>30</v>
      </c>
      <c r="E893" s="3">
        <v>0.05</v>
      </c>
    </row>
    <row r="894" spans="1:5" x14ac:dyDescent="0.2">
      <c r="A894">
        <v>10581</v>
      </c>
      <c r="B894">
        <v>75</v>
      </c>
      <c r="C894" s="2">
        <v>7.75</v>
      </c>
      <c r="D894" s="2">
        <v>50</v>
      </c>
      <c r="E894" s="3">
        <v>0.2</v>
      </c>
    </row>
    <row r="895" spans="1:5" x14ac:dyDescent="0.2">
      <c r="A895">
        <v>10582</v>
      </c>
      <c r="B895">
        <v>57</v>
      </c>
      <c r="C895" s="2">
        <v>19.5</v>
      </c>
      <c r="D895" s="2">
        <v>4</v>
      </c>
      <c r="E895" s="3">
        <v>0</v>
      </c>
    </row>
    <row r="896" spans="1:5" x14ac:dyDescent="0.2">
      <c r="A896">
        <v>10582</v>
      </c>
      <c r="B896">
        <v>76</v>
      </c>
      <c r="C896" s="2">
        <v>18</v>
      </c>
      <c r="D896" s="2">
        <v>14</v>
      </c>
      <c r="E896" s="3">
        <v>0</v>
      </c>
    </row>
    <row r="897" spans="1:5" x14ac:dyDescent="0.2">
      <c r="A897">
        <v>10583</v>
      </c>
      <c r="B897">
        <v>29</v>
      </c>
      <c r="C897" s="2">
        <v>123.79</v>
      </c>
      <c r="D897" s="2">
        <v>10</v>
      </c>
      <c r="E897" s="3">
        <v>0</v>
      </c>
    </row>
    <row r="898" spans="1:5" x14ac:dyDescent="0.2">
      <c r="A898">
        <v>10583</v>
      </c>
      <c r="B898">
        <v>60</v>
      </c>
      <c r="C898" s="2">
        <v>34</v>
      </c>
      <c r="D898" s="2">
        <v>24</v>
      </c>
      <c r="E898" s="3">
        <v>0.15</v>
      </c>
    </row>
    <row r="899" spans="1:5" x14ac:dyDescent="0.2">
      <c r="A899">
        <v>10583</v>
      </c>
      <c r="B899">
        <v>69</v>
      </c>
      <c r="C899" s="2">
        <v>36</v>
      </c>
      <c r="D899" s="2">
        <v>10</v>
      </c>
      <c r="E899" s="3">
        <v>0.15</v>
      </c>
    </row>
    <row r="900" spans="1:5" x14ac:dyDescent="0.2">
      <c r="A900">
        <v>10584</v>
      </c>
      <c r="B900">
        <v>31</v>
      </c>
      <c r="C900" s="2">
        <v>12.5</v>
      </c>
      <c r="D900" s="2">
        <v>50</v>
      </c>
      <c r="E900" s="3">
        <v>0.05</v>
      </c>
    </row>
    <row r="901" spans="1:5" x14ac:dyDescent="0.2">
      <c r="A901">
        <v>10585</v>
      </c>
      <c r="B901">
        <v>47</v>
      </c>
      <c r="C901" s="2">
        <v>9.5</v>
      </c>
      <c r="D901" s="2">
        <v>15</v>
      </c>
      <c r="E901" s="3">
        <v>0</v>
      </c>
    </row>
    <row r="902" spans="1:5" x14ac:dyDescent="0.2">
      <c r="A902">
        <v>10586</v>
      </c>
      <c r="B902">
        <v>52</v>
      </c>
      <c r="C902" s="2">
        <v>7</v>
      </c>
      <c r="D902" s="2">
        <v>4</v>
      </c>
      <c r="E902" s="3">
        <v>0.15</v>
      </c>
    </row>
    <row r="903" spans="1:5" x14ac:dyDescent="0.2">
      <c r="A903">
        <v>10587</v>
      </c>
      <c r="B903">
        <v>26</v>
      </c>
      <c r="C903" s="2">
        <v>31.23</v>
      </c>
      <c r="D903" s="2">
        <v>6</v>
      </c>
      <c r="E903" s="3">
        <v>0</v>
      </c>
    </row>
    <row r="904" spans="1:5" x14ac:dyDescent="0.2">
      <c r="A904">
        <v>10587</v>
      </c>
      <c r="B904">
        <v>35</v>
      </c>
      <c r="C904" s="2">
        <v>18</v>
      </c>
      <c r="D904" s="2">
        <v>20</v>
      </c>
      <c r="E904" s="3">
        <v>0</v>
      </c>
    </row>
    <row r="905" spans="1:5" x14ac:dyDescent="0.2">
      <c r="A905">
        <v>10587</v>
      </c>
      <c r="B905">
        <v>77</v>
      </c>
      <c r="C905" s="2">
        <v>13</v>
      </c>
      <c r="D905" s="2">
        <v>20</v>
      </c>
      <c r="E905" s="3">
        <v>0</v>
      </c>
    </row>
    <row r="906" spans="1:5" x14ac:dyDescent="0.2">
      <c r="A906">
        <v>10588</v>
      </c>
      <c r="B906">
        <v>18</v>
      </c>
      <c r="C906" s="2">
        <v>62.5</v>
      </c>
      <c r="D906" s="2">
        <v>40</v>
      </c>
      <c r="E906" s="3">
        <v>0.2</v>
      </c>
    </row>
    <row r="907" spans="1:5" x14ac:dyDescent="0.2">
      <c r="A907">
        <v>10588</v>
      </c>
      <c r="B907">
        <v>42</v>
      </c>
      <c r="C907" s="2">
        <v>14</v>
      </c>
      <c r="D907" s="2">
        <v>100</v>
      </c>
      <c r="E907" s="3">
        <v>0.2</v>
      </c>
    </row>
    <row r="908" spans="1:5" x14ac:dyDescent="0.2">
      <c r="A908">
        <v>10589</v>
      </c>
      <c r="B908">
        <v>35</v>
      </c>
      <c r="C908" s="2">
        <v>18</v>
      </c>
      <c r="D908" s="2">
        <v>4</v>
      </c>
      <c r="E908" s="3">
        <v>0</v>
      </c>
    </row>
    <row r="909" spans="1:5" x14ac:dyDescent="0.2">
      <c r="A909">
        <v>10590</v>
      </c>
      <c r="B909">
        <v>1</v>
      </c>
      <c r="C909" s="2">
        <v>18</v>
      </c>
      <c r="D909" s="2">
        <v>20</v>
      </c>
      <c r="E909" s="3">
        <v>0</v>
      </c>
    </row>
    <row r="910" spans="1:5" x14ac:dyDescent="0.2">
      <c r="A910">
        <v>10590</v>
      </c>
      <c r="B910">
        <v>77</v>
      </c>
      <c r="C910" s="2">
        <v>13</v>
      </c>
      <c r="D910" s="2">
        <v>60</v>
      </c>
      <c r="E910" s="3">
        <v>0.05</v>
      </c>
    </row>
    <row r="911" spans="1:5" x14ac:dyDescent="0.2">
      <c r="A911">
        <v>10591</v>
      </c>
      <c r="B911">
        <v>3</v>
      </c>
      <c r="C911" s="2">
        <v>10</v>
      </c>
      <c r="D911" s="2">
        <v>14</v>
      </c>
      <c r="E911" s="3">
        <v>0</v>
      </c>
    </row>
    <row r="912" spans="1:5" x14ac:dyDescent="0.2">
      <c r="A912">
        <v>10591</v>
      </c>
      <c r="B912">
        <v>7</v>
      </c>
      <c r="C912" s="2">
        <v>30</v>
      </c>
      <c r="D912" s="2">
        <v>10</v>
      </c>
      <c r="E912" s="3">
        <v>0</v>
      </c>
    </row>
    <row r="913" spans="1:5" x14ac:dyDescent="0.2">
      <c r="A913">
        <v>10591</v>
      </c>
      <c r="B913">
        <v>54</v>
      </c>
      <c r="C913" s="2">
        <v>7.45</v>
      </c>
      <c r="D913" s="2">
        <v>50</v>
      </c>
      <c r="E913" s="3">
        <v>0</v>
      </c>
    </row>
    <row r="914" spans="1:5" x14ac:dyDescent="0.2">
      <c r="A914">
        <v>10592</v>
      </c>
      <c r="B914">
        <v>15</v>
      </c>
      <c r="C914" s="2">
        <v>15.5</v>
      </c>
      <c r="D914" s="2">
        <v>25</v>
      </c>
      <c r="E914" s="3">
        <v>0.05</v>
      </c>
    </row>
    <row r="915" spans="1:5" x14ac:dyDescent="0.2">
      <c r="A915">
        <v>10592</v>
      </c>
      <c r="B915">
        <v>26</v>
      </c>
      <c r="C915" s="2">
        <v>31.23</v>
      </c>
      <c r="D915" s="2">
        <v>5</v>
      </c>
      <c r="E915" s="3">
        <v>0.05</v>
      </c>
    </row>
    <row r="916" spans="1:5" x14ac:dyDescent="0.2">
      <c r="A916">
        <v>10593</v>
      </c>
      <c r="B916">
        <v>20</v>
      </c>
      <c r="C916" s="2">
        <v>81</v>
      </c>
      <c r="D916" s="2">
        <v>21</v>
      </c>
      <c r="E916" s="3">
        <v>0.2</v>
      </c>
    </row>
    <row r="917" spans="1:5" x14ac:dyDescent="0.2">
      <c r="A917">
        <v>10593</v>
      </c>
      <c r="B917">
        <v>69</v>
      </c>
      <c r="C917" s="2">
        <v>36</v>
      </c>
      <c r="D917" s="2">
        <v>20</v>
      </c>
      <c r="E917" s="3">
        <v>0.2</v>
      </c>
    </row>
    <row r="918" spans="1:5" x14ac:dyDescent="0.2">
      <c r="A918">
        <v>10593</v>
      </c>
      <c r="B918">
        <v>76</v>
      </c>
      <c r="C918" s="2">
        <v>18</v>
      </c>
      <c r="D918" s="2">
        <v>4</v>
      </c>
      <c r="E918" s="3">
        <v>0.2</v>
      </c>
    </row>
    <row r="919" spans="1:5" x14ac:dyDescent="0.2">
      <c r="A919">
        <v>10594</v>
      </c>
      <c r="B919">
        <v>52</v>
      </c>
      <c r="C919" s="2">
        <v>7</v>
      </c>
      <c r="D919" s="2">
        <v>24</v>
      </c>
      <c r="E919" s="3">
        <v>0</v>
      </c>
    </row>
    <row r="920" spans="1:5" x14ac:dyDescent="0.2">
      <c r="A920">
        <v>10594</v>
      </c>
      <c r="B920">
        <v>58</v>
      </c>
      <c r="C920" s="2">
        <v>13.25</v>
      </c>
      <c r="D920" s="2">
        <v>30</v>
      </c>
      <c r="E920" s="3">
        <v>0</v>
      </c>
    </row>
    <row r="921" spans="1:5" x14ac:dyDescent="0.2">
      <c r="A921">
        <v>10595</v>
      </c>
      <c r="B921">
        <v>35</v>
      </c>
      <c r="C921" s="2">
        <v>18</v>
      </c>
      <c r="D921" s="2">
        <v>30</v>
      </c>
      <c r="E921" s="3">
        <v>0.25</v>
      </c>
    </row>
    <row r="922" spans="1:5" x14ac:dyDescent="0.2">
      <c r="A922">
        <v>10595</v>
      </c>
      <c r="B922">
        <v>61</v>
      </c>
      <c r="C922" s="2">
        <v>28.5</v>
      </c>
      <c r="D922" s="2">
        <v>120</v>
      </c>
      <c r="E922" s="3">
        <v>0.25</v>
      </c>
    </row>
    <row r="923" spans="1:5" x14ac:dyDescent="0.2">
      <c r="A923">
        <v>10595</v>
      </c>
      <c r="B923">
        <v>69</v>
      </c>
      <c r="C923" s="2">
        <v>36</v>
      </c>
      <c r="D923" s="2">
        <v>65</v>
      </c>
      <c r="E923" s="3">
        <v>0.25</v>
      </c>
    </row>
    <row r="924" spans="1:5" x14ac:dyDescent="0.2">
      <c r="A924">
        <v>10596</v>
      </c>
      <c r="B924">
        <v>56</v>
      </c>
      <c r="C924" s="2">
        <v>38</v>
      </c>
      <c r="D924" s="2">
        <v>5</v>
      </c>
      <c r="E924" s="3">
        <v>0.2</v>
      </c>
    </row>
    <row r="925" spans="1:5" x14ac:dyDescent="0.2">
      <c r="A925">
        <v>10596</v>
      </c>
      <c r="B925">
        <v>63</v>
      </c>
      <c r="C925" s="2">
        <v>43.9</v>
      </c>
      <c r="D925" s="2">
        <v>24</v>
      </c>
      <c r="E925" s="3">
        <v>0.2</v>
      </c>
    </row>
    <row r="926" spans="1:5" x14ac:dyDescent="0.2">
      <c r="A926">
        <v>10596</v>
      </c>
      <c r="B926">
        <v>75</v>
      </c>
      <c r="C926" s="2">
        <v>7.75</v>
      </c>
      <c r="D926" s="2">
        <v>30</v>
      </c>
      <c r="E926" s="3">
        <v>0.2</v>
      </c>
    </row>
    <row r="927" spans="1:5" x14ac:dyDescent="0.2">
      <c r="A927">
        <v>10597</v>
      </c>
      <c r="B927">
        <v>24</v>
      </c>
      <c r="C927" s="2">
        <v>4.5</v>
      </c>
      <c r="D927" s="2">
        <v>35</v>
      </c>
      <c r="E927" s="3">
        <v>0.2</v>
      </c>
    </row>
    <row r="928" spans="1:5" x14ac:dyDescent="0.2">
      <c r="A928">
        <v>10597</v>
      </c>
      <c r="B928">
        <v>57</v>
      </c>
      <c r="C928" s="2">
        <v>19.5</v>
      </c>
      <c r="D928" s="2">
        <v>20</v>
      </c>
      <c r="E928" s="3">
        <v>0</v>
      </c>
    </row>
    <row r="929" spans="1:5" x14ac:dyDescent="0.2">
      <c r="A929">
        <v>10597</v>
      </c>
      <c r="B929">
        <v>65</v>
      </c>
      <c r="C929" s="2">
        <v>21.05</v>
      </c>
      <c r="D929" s="2">
        <v>12</v>
      </c>
      <c r="E929" s="3">
        <v>0.2</v>
      </c>
    </row>
    <row r="930" spans="1:5" x14ac:dyDescent="0.2">
      <c r="A930">
        <v>10598</v>
      </c>
      <c r="B930">
        <v>27</v>
      </c>
      <c r="C930" s="2">
        <v>43.9</v>
      </c>
      <c r="D930" s="2">
        <v>50</v>
      </c>
      <c r="E930" s="3">
        <v>0</v>
      </c>
    </row>
    <row r="931" spans="1:5" x14ac:dyDescent="0.2">
      <c r="A931">
        <v>10598</v>
      </c>
      <c r="B931">
        <v>71</v>
      </c>
      <c r="C931" s="2">
        <v>21.5</v>
      </c>
      <c r="D931" s="2">
        <v>9</v>
      </c>
      <c r="E931" s="3">
        <v>0</v>
      </c>
    </row>
    <row r="932" spans="1:5" x14ac:dyDescent="0.2">
      <c r="A932">
        <v>10599</v>
      </c>
      <c r="B932">
        <v>62</v>
      </c>
      <c r="C932" s="2">
        <v>49.3</v>
      </c>
      <c r="D932" s="2">
        <v>10</v>
      </c>
      <c r="E932" s="3">
        <v>0</v>
      </c>
    </row>
    <row r="933" spans="1:5" x14ac:dyDescent="0.2">
      <c r="A933">
        <v>10600</v>
      </c>
      <c r="B933">
        <v>54</v>
      </c>
      <c r="C933" s="2">
        <v>7.45</v>
      </c>
      <c r="D933" s="2">
        <v>4</v>
      </c>
      <c r="E933" s="3">
        <v>0</v>
      </c>
    </row>
    <row r="934" spans="1:5" x14ac:dyDescent="0.2">
      <c r="A934">
        <v>10600</v>
      </c>
      <c r="B934">
        <v>73</v>
      </c>
      <c r="C934" s="2">
        <v>15</v>
      </c>
      <c r="D934" s="2">
        <v>30</v>
      </c>
      <c r="E934" s="3">
        <v>0</v>
      </c>
    </row>
    <row r="935" spans="1:5" x14ac:dyDescent="0.2">
      <c r="A935">
        <v>10601</v>
      </c>
      <c r="B935">
        <v>13</v>
      </c>
      <c r="C935" s="2">
        <v>6</v>
      </c>
      <c r="D935" s="2">
        <v>60</v>
      </c>
      <c r="E935" s="3">
        <v>0</v>
      </c>
    </row>
    <row r="936" spans="1:5" x14ac:dyDescent="0.2">
      <c r="A936">
        <v>10601</v>
      </c>
      <c r="B936">
        <v>59</v>
      </c>
      <c r="C936" s="2">
        <v>55</v>
      </c>
      <c r="D936" s="2">
        <v>35</v>
      </c>
      <c r="E936" s="3">
        <v>0</v>
      </c>
    </row>
    <row r="937" spans="1:5" x14ac:dyDescent="0.2">
      <c r="A937">
        <v>10602</v>
      </c>
      <c r="B937">
        <v>77</v>
      </c>
      <c r="C937" s="2">
        <v>13</v>
      </c>
      <c r="D937" s="2">
        <v>5</v>
      </c>
      <c r="E937" s="3">
        <v>0.25</v>
      </c>
    </row>
    <row r="938" spans="1:5" x14ac:dyDescent="0.2">
      <c r="A938">
        <v>10603</v>
      </c>
      <c r="B938">
        <v>22</v>
      </c>
      <c r="C938" s="2">
        <v>21</v>
      </c>
      <c r="D938" s="2">
        <v>48</v>
      </c>
      <c r="E938" s="3">
        <v>0</v>
      </c>
    </row>
    <row r="939" spans="1:5" x14ac:dyDescent="0.2">
      <c r="A939">
        <v>10603</v>
      </c>
      <c r="B939">
        <v>49</v>
      </c>
      <c r="C939" s="2">
        <v>20</v>
      </c>
      <c r="D939" s="2">
        <v>25</v>
      </c>
      <c r="E939" s="3">
        <v>0.05</v>
      </c>
    </row>
    <row r="940" spans="1:5" x14ac:dyDescent="0.2">
      <c r="A940">
        <v>10604</v>
      </c>
      <c r="B940">
        <v>48</v>
      </c>
      <c r="C940" s="2">
        <v>12.75</v>
      </c>
      <c r="D940" s="2">
        <v>6</v>
      </c>
      <c r="E940" s="3">
        <v>0.1</v>
      </c>
    </row>
    <row r="941" spans="1:5" x14ac:dyDescent="0.2">
      <c r="A941">
        <v>10604</v>
      </c>
      <c r="B941">
        <v>76</v>
      </c>
      <c r="C941" s="2">
        <v>18</v>
      </c>
      <c r="D941" s="2">
        <v>10</v>
      </c>
      <c r="E941" s="3">
        <v>0.1</v>
      </c>
    </row>
    <row r="942" spans="1:5" x14ac:dyDescent="0.2">
      <c r="A942">
        <v>10605</v>
      </c>
      <c r="B942">
        <v>16</v>
      </c>
      <c r="C942" s="2">
        <v>17.45</v>
      </c>
      <c r="D942" s="2">
        <v>30</v>
      </c>
      <c r="E942" s="3">
        <v>0.05</v>
      </c>
    </row>
    <row r="943" spans="1:5" x14ac:dyDescent="0.2">
      <c r="A943">
        <v>10605</v>
      </c>
      <c r="B943">
        <v>59</v>
      </c>
      <c r="C943" s="2">
        <v>55</v>
      </c>
      <c r="D943" s="2">
        <v>20</v>
      </c>
      <c r="E943" s="3">
        <v>0.05</v>
      </c>
    </row>
    <row r="944" spans="1:5" x14ac:dyDescent="0.2">
      <c r="A944">
        <v>10605</v>
      </c>
      <c r="B944">
        <v>60</v>
      </c>
      <c r="C944" s="2">
        <v>34</v>
      </c>
      <c r="D944" s="2">
        <v>70</v>
      </c>
      <c r="E944" s="3">
        <v>0.05</v>
      </c>
    </row>
    <row r="945" spans="1:5" x14ac:dyDescent="0.2">
      <c r="A945">
        <v>10605</v>
      </c>
      <c r="B945">
        <v>71</v>
      </c>
      <c r="C945" s="2">
        <v>21.5</v>
      </c>
      <c r="D945" s="2">
        <v>15</v>
      </c>
      <c r="E945" s="3">
        <v>0.05</v>
      </c>
    </row>
    <row r="946" spans="1:5" x14ac:dyDescent="0.2">
      <c r="A946">
        <v>10606</v>
      </c>
      <c r="B946">
        <v>4</v>
      </c>
      <c r="C946" s="2">
        <v>22</v>
      </c>
      <c r="D946" s="2">
        <v>20</v>
      </c>
      <c r="E946" s="3">
        <v>0.2</v>
      </c>
    </row>
    <row r="947" spans="1:5" x14ac:dyDescent="0.2">
      <c r="A947">
        <v>10606</v>
      </c>
      <c r="B947">
        <v>55</v>
      </c>
      <c r="C947" s="2">
        <v>24</v>
      </c>
      <c r="D947" s="2">
        <v>20</v>
      </c>
      <c r="E947" s="3">
        <v>0.2</v>
      </c>
    </row>
    <row r="948" spans="1:5" x14ac:dyDescent="0.2">
      <c r="A948">
        <v>10606</v>
      </c>
      <c r="B948">
        <v>62</v>
      </c>
      <c r="C948" s="2">
        <v>49.3</v>
      </c>
      <c r="D948" s="2">
        <v>10</v>
      </c>
      <c r="E948" s="3">
        <v>0.2</v>
      </c>
    </row>
    <row r="949" spans="1:5" x14ac:dyDescent="0.2">
      <c r="A949">
        <v>10607</v>
      </c>
      <c r="B949">
        <v>7</v>
      </c>
      <c r="C949" s="2">
        <v>30</v>
      </c>
      <c r="D949" s="2">
        <v>45</v>
      </c>
      <c r="E949" s="3">
        <v>0</v>
      </c>
    </row>
    <row r="950" spans="1:5" x14ac:dyDescent="0.2">
      <c r="A950">
        <v>10607</v>
      </c>
      <c r="B950">
        <v>17</v>
      </c>
      <c r="C950" s="2">
        <v>39</v>
      </c>
      <c r="D950" s="2">
        <v>100</v>
      </c>
      <c r="E950" s="3">
        <v>0</v>
      </c>
    </row>
    <row r="951" spans="1:5" x14ac:dyDescent="0.2">
      <c r="A951">
        <v>10607</v>
      </c>
      <c r="B951">
        <v>33</v>
      </c>
      <c r="C951" s="2">
        <v>2.5</v>
      </c>
      <c r="D951" s="2">
        <v>14</v>
      </c>
      <c r="E951" s="3">
        <v>0</v>
      </c>
    </row>
    <row r="952" spans="1:5" x14ac:dyDescent="0.2">
      <c r="A952">
        <v>10607</v>
      </c>
      <c r="B952">
        <v>40</v>
      </c>
      <c r="C952" s="2">
        <v>18.399999999999999</v>
      </c>
      <c r="D952" s="2">
        <v>42</v>
      </c>
      <c r="E952" s="3">
        <v>0</v>
      </c>
    </row>
    <row r="953" spans="1:5" x14ac:dyDescent="0.2">
      <c r="A953">
        <v>10607</v>
      </c>
      <c r="B953">
        <v>72</v>
      </c>
      <c r="C953" s="2">
        <v>34.799999999999997</v>
      </c>
      <c r="D953" s="2">
        <v>12</v>
      </c>
      <c r="E953" s="3">
        <v>0</v>
      </c>
    </row>
    <row r="954" spans="1:5" x14ac:dyDescent="0.2">
      <c r="A954">
        <v>10608</v>
      </c>
      <c r="B954">
        <v>56</v>
      </c>
      <c r="C954" s="2">
        <v>38</v>
      </c>
      <c r="D954" s="2">
        <v>28</v>
      </c>
      <c r="E954" s="3">
        <v>0</v>
      </c>
    </row>
    <row r="955" spans="1:5" x14ac:dyDescent="0.2">
      <c r="A955">
        <v>10609</v>
      </c>
      <c r="B955">
        <v>1</v>
      </c>
      <c r="C955" s="2">
        <v>18</v>
      </c>
      <c r="D955" s="2">
        <v>3</v>
      </c>
      <c r="E955" s="3">
        <v>0</v>
      </c>
    </row>
    <row r="956" spans="1:5" x14ac:dyDescent="0.2">
      <c r="A956">
        <v>10609</v>
      </c>
      <c r="B956">
        <v>10</v>
      </c>
      <c r="C956" s="2">
        <v>31</v>
      </c>
      <c r="D956" s="2">
        <v>10</v>
      </c>
      <c r="E956" s="3">
        <v>0</v>
      </c>
    </row>
    <row r="957" spans="1:5" x14ac:dyDescent="0.2">
      <c r="A957">
        <v>10609</v>
      </c>
      <c r="B957">
        <v>21</v>
      </c>
      <c r="C957" s="2">
        <v>10</v>
      </c>
      <c r="D957" s="2">
        <v>6</v>
      </c>
      <c r="E957" s="3">
        <v>0</v>
      </c>
    </row>
    <row r="958" spans="1:5" x14ac:dyDescent="0.2">
      <c r="A958">
        <v>10610</v>
      </c>
      <c r="B958">
        <v>36</v>
      </c>
      <c r="C958" s="2">
        <v>19</v>
      </c>
      <c r="D958" s="2">
        <v>21</v>
      </c>
      <c r="E958" s="3">
        <v>0.25</v>
      </c>
    </row>
    <row r="959" spans="1:5" x14ac:dyDescent="0.2">
      <c r="A959">
        <v>10611</v>
      </c>
      <c r="B959">
        <v>1</v>
      </c>
      <c r="C959" s="2">
        <v>18</v>
      </c>
      <c r="D959" s="2">
        <v>6</v>
      </c>
      <c r="E959" s="3">
        <v>0</v>
      </c>
    </row>
    <row r="960" spans="1:5" x14ac:dyDescent="0.2">
      <c r="A960">
        <v>10611</v>
      </c>
      <c r="B960">
        <v>2</v>
      </c>
      <c r="C960" s="2">
        <v>19</v>
      </c>
      <c r="D960" s="2">
        <v>10</v>
      </c>
      <c r="E960" s="3">
        <v>0</v>
      </c>
    </row>
    <row r="961" spans="1:5" x14ac:dyDescent="0.2">
      <c r="A961">
        <v>10611</v>
      </c>
      <c r="B961">
        <v>60</v>
      </c>
      <c r="C961" s="2">
        <v>34</v>
      </c>
      <c r="D961" s="2">
        <v>15</v>
      </c>
      <c r="E961" s="3">
        <v>0</v>
      </c>
    </row>
    <row r="962" spans="1:5" x14ac:dyDescent="0.2">
      <c r="A962">
        <v>10612</v>
      </c>
      <c r="B962">
        <v>10</v>
      </c>
      <c r="C962" s="2">
        <v>31</v>
      </c>
      <c r="D962" s="2">
        <v>70</v>
      </c>
      <c r="E962" s="3">
        <v>0</v>
      </c>
    </row>
    <row r="963" spans="1:5" x14ac:dyDescent="0.2">
      <c r="A963">
        <v>10612</v>
      </c>
      <c r="B963">
        <v>36</v>
      </c>
      <c r="C963" s="2">
        <v>19</v>
      </c>
      <c r="D963" s="2">
        <v>55</v>
      </c>
      <c r="E963" s="3">
        <v>0</v>
      </c>
    </row>
    <row r="964" spans="1:5" x14ac:dyDescent="0.2">
      <c r="A964">
        <v>10612</v>
      </c>
      <c r="B964">
        <v>49</v>
      </c>
      <c r="C964" s="2">
        <v>20</v>
      </c>
      <c r="D964" s="2">
        <v>18</v>
      </c>
      <c r="E964" s="3">
        <v>0</v>
      </c>
    </row>
    <row r="965" spans="1:5" x14ac:dyDescent="0.2">
      <c r="A965">
        <v>10612</v>
      </c>
      <c r="B965">
        <v>60</v>
      </c>
      <c r="C965" s="2">
        <v>34</v>
      </c>
      <c r="D965" s="2">
        <v>40</v>
      </c>
      <c r="E965" s="3">
        <v>0</v>
      </c>
    </row>
    <row r="966" spans="1:5" x14ac:dyDescent="0.2">
      <c r="A966">
        <v>10612</v>
      </c>
      <c r="B966">
        <v>76</v>
      </c>
      <c r="C966" s="2">
        <v>18</v>
      </c>
      <c r="D966" s="2">
        <v>80</v>
      </c>
      <c r="E966" s="3">
        <v>0</v>
      </c>
    </row>
    <row r="967" spans="1:5" x14ac:dyDescent="0.2">
      <c r="A967">
        <v>10613</v>
      </c>
      <c r="B967">
        <v>13</v>
      </c>
      <c r="C967" s="2">
        <v>6</v>
      </c>
      <c r="D967" s="2">
        <v>8</v>
      </c>
      <c r="E967" s="3">
        <v>0.1</v>
      </c>
    </row>
    <row r="968" spans="1:5" x14ac:dyDescent="0.2">
      <c r="A968">
        <v>10613</v>
      </c>
      <c r="B968">
        <v>75</v>
      </c>
      <c r="C968" s="2">
        <v>7.75</v>
      </c>
      <c r="D968" s="2">
        <v>40</v>
      </c>
      <c r="E968" s="3">
        <v>0</v>
      </c>
    </row>
    <row r="969" spans="1:5" x14ac:dyDescent="0.2">
      <c r="A969">
        <v>10614</v>
      </c>
      <c r="B969">
        <v>11</v>
      </c>
      <c r="C969" s="2">
        <v>21</v>
      </c>
      <c r="D969" s="2">
        <v>14</v>
      </c>
      <c r="E969" s="3">
        <v>0</v>
      </c>
    </row>
    <row r="970" spans="1:5" x14ac:dyDescent="0.2">
      <c r="A970">
        <v>10614</v>
      </c>
      <c r="B970">
        <v>21</v>
      </c>
      <c r="C970" s="2">
        <v>10</v>
      </c>
      <c r="D970" s="2">
        <v>8</v>
      </c>
      <c r="E970" s="3">
        <v>0</v>
      </c>
    </row>
    <row r="971" spans="1:5" x14ac:dyDescent="0.2">
      <c r="A971">
        <v>10614</v>
      </c>
      <c r="B971">
        <v>39</v>
      </c>
      <c r="C971" s="2">
        <v>18</v>
      </c>
      <c r="D971" s="2">
        <v>5</v>
      </c>
      <c r="E971" s="3">
        <v>0</v>
      </c>
    </row>
    <row r="972" spans="1:5" x14ac:dyDescent="0.2">
      <c r="A972">
        <v>10615</v>
      </c>
      <c r="B972">
        <v>55</v>
      </c>
      <c r="C972" s="2">
        <v>24</v>
      </c>
      <c r="D972" s="2">
        <v>5</v>
      </c>
      <c r="E972" s="3">
        <v>0</v>
      </c>
    </row>
    <row r="973" spans="1:5" x14ac:dyDescent="0.2">
      <c r="A973">
        <v>10616</v>
      </c>
      <c r="B973">
        <v>38</v>
      </c>
      <c r="C973" s="2">
        <v>263.5</v>
      </c>
      <c r="D973" s="2">
        <v>15</v>
      </c>
      <c r="E973" s="3">
        <v>0.05</v>
      </c>
    </row>
    <row r="974" spans="1:5" x14ac:dyDescent="0.2">
      <c r="A974">
        <v>10616</v>
      </c>
      <c r="B974">
        <v>56</v>
      </c>
      <c r="C974" s="2">
        <v>38</v>
      </c>
      <c r="D974" s="2">
        <v>14</v>
      </c>
      <c r="E974" s="3">
        <v>0</v>
      </c>
    </row>
    <row r="975" spans="1:5" x14ac:dyDescent="0.2">
      <c r="A975">
        <v>10616</v>
      </c>
      <c r="B975">
        <v>70</v>
      </c>
      <c r="C975" s="2">
        <v>15</v>
      </c>
      <c r="D975" s="2">
        <v>15</v>
      </c>
      <c r="E975" s="3">
        <v>0.05</v>
      </c>
    </row>
    <row r="976" spans="1:5" x14ac:dyDescent="0.2">
      <c r="A976">
        <v>10616</v>
      </c>
      <c r="B976">
        <v>71</v>
      </c>
      <c r="C976" s="2">
        <v>21.5</v>
      </c>
      <c r="D976" s="2">
        <v>15</v>
      </c>
      <c r="E976" s="3">
        <v>0.05</v>
      </c>
    </row>
    <row r="977" spans="1:5" x14ac:dyDescent="0.2">
      <c r="A977">
        <v>10617</v>
      </c>
      <c r="B977">
        <v>59</v>
      </c>
      <c r="C977" s="2">
        <v>55</v>
      </c>
      <c r="D977" s="2">
        <v>30</v>
      </c>
      <c r="E977" s="3">
        <v>0.15</v>
      </c>
    </row>
    <row r="978" spans="1:5" x14ac:dyDescent="0.2">
      <c r="A978">
        <v>10618</v>
      </c>
      <c r="B978">
        <v>6</v>
      </c>
      <c r="C978" s="2">
        <v>25</v>
      </c>
      <c r="D978" s="2">
        <v>70</v>
      </c>
      <c r="E978" s="3">
        <v>0</v>
      </c>
    </row>
    <row r="979" spans="1:5" x14ac:dyDescent="0.2">
      <c r="A979">
        <v>10618</v>
      </c>
      <c r="B979">
        <v>56</v>
      </c>
      <c r="C979" s="2">
        <v>38</v>
      </c>
      <c r="D979" s="2">
        <v>20</v>
      </c>
      <c r="E979" s="3">
        <v>0</v>
      </c>
    </row>
    <row r="980" spans="1:5" x14ac:dyDescent="0.2">
      <c r="A980">
        <v>10618</v>
      </c>
      <c r="B980">
        <v>68</v>
      </c>
      <c r="C980" s="2">
        <v>12.5</v>
      </c>
      <c r="D980" s="2">
        <v>15</v>
      </c>
      <c r="E980" s="3">
        <v>0</v>
      </c>
    </row>
    <row r="981" spans="1:5" x14ac:dyDescent="0.2">
      <c r="A981">
        <v>10619</v>
      </c>
      <c r="B981">
        <v>21</v>
      </c>
      <c r="C981" s="2">
        <v>10</v>
      </c>
      <c r="D981" s="2">
        <v>42</v>
      </c>
      <c r="E981" s="3">
        <v>0</v>
      </c>
    </row>
    <row r="982" spans="1:5" x14ac:dyDescent="0.2">
      <c r="A982">
        <v>10619</v>
      </c>
      <c r="B982">
        <v>22</v>
      </c>
      <c r="C982" s="2">
        <v>21</v>
      </c>
      <c r="D982" s="2">
        <v>40</v>
      </c>
      <c r="E982" s="3">
        <v>0</v>
      </c>
    </row>
    <row r="983" spans="1:5" x14ac:dyDescent="0.2">
      <c r="A983">
        <v>10620</v>
      </c>
      <c r="B983">
        <v>24</v>
      </c>
      <c r="C983" s="2">
        <v>4.5</v>
      </c>
      <c r="D983" s="2">
        <v>5</v>
      </c>
      <c r="E983" s="3">
        <v>0</v>
      </c>
    </row>
    <row r="984" spans="1:5" x14ac:dyDescent="0.2">
      <c r="A984">
        <v>10620</v>
      </c>
      <c r="B984">
        <v>52</v>
      </c>
      <c r="C984" s="2">
        <v>7</v>
      </c>
      <c r="D984" s="2">
        <v>5</v>
      </c>
      <c r="E984" s="3">
        <v>0</v>
      </c>
    </row>
    <row r="985" spans="1:5" x14ac:dyDescent="0.2">
      <c r="A985">
        <v>10621</v>
      </c>
      <c r="B985">
        <v>19</v>
      </c>
      <c r="C985" s="2">
        <v>9.1999999999999993</v>
      </c>
      <c r="D985" s="2">
        <v>5</v>
      </c>
      <c r="E985" s="3">
        <v>0</v>
      </c>
    </row>
    <row r="986" spans="1:5" x14ac:dyDescent="0.2">
      <c r="A986">
        <v>10621</v>
      </c>
      <c r="B986">
        <v>23</v>
      </c>
      <c r="C986" s="2">
        <v>9</v>
      </c>
      <c r="D986" s="2">
        <v>10</v>
      </c>
      <c r="E986" s="3">
        <v>0</v>
      </c>
    </row>
    <row r="987" spans="1:5" x14ac:dyDescent="0.2">
      <c r="A987">
        <v>10621</v>
      </c>
      <c r="B987">
        <v>70</v>
      </c>
      <c r="C987" s="2">
        <v>15</v>
      </c>
      <c r="D987" s="2">
        <v>20</v>
      </c>
      <c r="E987" s="3">
        <v>0</v>
      </c>
    </row>
    <row r="988" spans="1:5" x14ac:dyDescent="0.2">
      <c r="A988">
        <v>10621</v>
      </c>
      <c r="B988">
        <v>71</v>
      </c>
      <c r="C988" s="2">
        <v>21.5</v>
      </c>
      <c r="D988" s="2">
        <v>15</v>
      </c>
      <c r="E988" s="3">
        <v>0</v>
      </c>
    </row>
    <row r="989" spans="1:5" x14ac:dyDescent="0.2">
      <c r="A989">
        <v>10622</v>
      </c>
      <c r="B989">
        <v>2</v>
      </c>
      <c r="C989" s="2">
        <v>19</v>
      </c>
      <c r="D989" s="2">
        <v>20</v>
      </c>
      <c r="E989" s="3">
        <v>0</v>
      </c>
    </row>
    <row r="990" spans="1:5" x14ac:dyDescent="0.2">
      <c r="A990">
        <v>10622</v>
      </c>
      <c r="B990">
        <v>68</v>
      </c>
      <c r="C990" s="2">
        <v>12.5</v>
      </c>
      <c r="D990" s="2">
        <v>18</v>
      </c>
      <c r="E990" s="3">
        <v>0.2</v>
      </c>
    </row>
    <row r="991" spans="1:5" x14ac:dyDescent="0.2">
      <c r="A991">
        <v>10623</v>
      </c>
      <c r="B991">
        <v>14</v>
      </c>
      <c r="C991" s="2">
        <v>23.25</v>
      </c>
      <c r="D991" s="2">
        <v>21</v>
      </c>
      <c r="E991" s="3">
        <v>0</v>
      </c>
    </row>
    <row r="992" spans="1:5" x14ac:dyDescent="0.2">
      <c r="A992">
        <v>10623</v>
      </c>
      <c r="B992">
        <v>19</v>
      </c>
      <c r="C992" s="2">
        <v>9.1999999999999993</v>
      </c>
      <c r="D992" s="2">
        <v>15</v>
      </c>
      <c r="E992" s="3">
        <v>0.1</v>
      </c>
    </row>
    <row r="993" spans="1:5" x14ac:dyDescent="0.2">
      <c r="A993">
        <v>10623</v>
      </c>
      <c r="B993">
        <v>21</v>
      </c>
      <c r="C993" s="2">
        <v>10</v>
      </c>
      <c r="D993" s="2">
        <v>25</v>
      </c>
      <c r="E993" s="3">
        <v>0.1</v>
      </c>
    </row>
    <row r="994" spans="1:5" x14ac:dyDescent="0.2">
      <c r="A994">
        <v>10623</v>
      </c>
      <c r="B994">
        <v>24</v>
      </c>
      <c r="C994" s="2">
        <v>4.5</v>
      </c>
      <c r="D994" s="2">
        <v>3</v>
      </c>
      <c r="E994" s="3">
        <v>0</v>
      </c>
    </row>
    <row r="995" spans="1:5" x14ac:dyDescent="0.2">
      <c r="A995">
        <v>10623</v>
      </c>
      <c r="B995">
        <v>35</v>
      </c>
      <c r="C995" s="2">
        <v>18</v>
      </c>
      <c r="D995" s="2">
        <v>30</v>
      </c>
      <c r="E995" s="3">
        <v>0.1</v>
      </c>
    </row>
    <row r="996" spans="1:5" x14ac:dyDescent="0.2">
      <c r="A996">
        <v>10624</v>
      </c>
      <c r="B996">
        <v>28</v>
      </c>
      <c r="C996" s="2">
        <v>45.6</v>
      </c>
      <c r="D996" s="2">
        <v>10</v>
      </c>
      <c r="E996" s="3">
        <v>0</v>
      </c>
    </row>
    <row r="997" spans="1:5" x14ac:dyDescent="0.2">
      <c r="A997">
        <v>10624</v>
      </c>
      <c r="B997">
        <v>29</v>
      </c>
      <c r="C997" s="2">
        <v>123.79</v>
      </c>
      <c r="D997" s="2">
        <v>6</v>
      </c>
      <c r="E997" s="3">
        <v>0</v>
      </c>
    </row>
    <row r="998" spans="1:5" x14ac:dyDescent="0.2">
      <c r="A998">
        <v>10624</v>
      </c>
      <c r="B998">
        <v>44</v>
      </c>
      <c r="C998" s="2">
        <v>19.45</v>
      </c>
      <c r="D998" s="2">
        <v>10</v>
      </c>
      <c r="E998" s="3">
        <v>0</v>
      </c>
    </row>
    <row r="999" spans="1:5" x14ac:dyDescent="0.2">
      <c r="A999">
        <v>10625</v>
      </c>
      <c r="B999">
        <v>14</v>
      </c>
      <c r="C999" s="2">
        <v>23.25</v>
      </c>
      <c r="D999" s="2">
        <v>3</v>
      </c>
      <c r="E999" s="3">
        <v>0</v>
      </c>
    </row>
    <row r="1000" spans="1:5" x14ac:dyDescent="0.2">
      <c r="A1000">
        <v>10625</v>
      </c>
      <c r="B1000">
        <v>42</v>
      </c>
      <c r="C1000" s="2">
        <v>14</v>
      </c>
      <c r="D1000" s="2">
        <v>5</v>
      </c>
      <c r="E1000" s="3">
        <v>0</v>
      </c>
    </row>
    <row r="1001" spans="1:5" x14ac:dyDescent="0.2">
      <c r="A1001">
        <v>10625</v>
      </c>
      <c r="B1001">
        <v>60</v>
      </c>
      <c r="C1001" s="2">
        <v>34</v>
      </c>
      <c r="D1001" s="2">
        <v>10</v>
      </c>
      <c r="E1001" s="3">
        <v>0</v>
      </c>
    </row>
    <row r="1002" spans="1:5" x14ac:dyDescent="0.2">
      <c r="A1002">
        <v>10626</v>
      </c>
      <c r="B1002">
        <v>53</v>
      </c>
      <c r="C1002" s="2">
        <v>32.799999999999997</v>
      </c>
      <c r="D1002" s="2">
        <v>12</v>
      </c>
      <c r="E1002" s="3">
        <v>0</v>
      </c>
    </row>
    <row r="1003" spans="1:5" x14ac:dyDescent="0.2">
      <c r="A1003">
        <v>10626</v>
      </c>
      <c r="B1003">
        <v>60</v>
      </c>
      <c r="C1003" s="2">
        <v>34</v>
      </c>
      <c r="D1003" s="2">
        <v>20</v>
      </c>
      <c r="E1003" s="3">
        <v>0</v>
      </c>
    </row>
    <row r="1004" spans="1:5" x14ac:dyDescent="0.2">
      <c r="A1004">
        <v>10626</v>
      </c>
      <c r="B1004">
        <v>71</v>
      </c>
      <c r="C1004" s="2">
        <v>21.5</v>
      </c>
      <c r="D1004" s="2">
        <v>20</v>
      </c>
      <c r="E1004" s="3">
        <v>0</v>
      </c>
    </row>
    <row r="1005" spans="1:5" x14ac:dyDescent="0.2">
      <c r="A1005">
        <v>10627</v>
      </c>
      <c r="B1005">
        <v>62</v>
      </c>
      <c r="C1005" s="2">
        <v>49.3</v>
      </c>
      <c r="D1005" s="2">
        <v>15</v>
      </c>
      <c r="E1005" s="3">
        <v>0</v>
      </c>
    </row>
    <row r="1006" spans="1:5" x14ac:dyDescent="0.2">
      <c r="A1006">
        <v>10627</v>
      </c>
      <c r="B1006">
        <v>73</v>
      </c>
      <c r="C1006" s="2">
        <v>15</v>
      </c>
      <c r="D1006" s="2">
        <v>35</v>
      </c>
      <c r="E1006" s="3">
        <v>0.15</v>
      </c>
    </row>
    <row r="1007" spans="1:5" x14ac:dyDescent="0.2">
      <c r="A1007">
        <v>10628</v>
      </c>
      <c r="B1007">
        <v>1</v>
      </c>
      <c r="C1007" s="2">
        <v>18</v>
      </c>
      <c r="D1007" s="2">
        <v>25</v>
      </c>
      <c r="E1007" s="3">
        <v>0</v>
      </c>
    </row>
    <row r="1008" spans="1:5" x14ac:dyDescent="0.2">
      <c r="A1008">
        <v>10629</v>
      </c>
      <c r="B1008">
        <v>29</v>
      </c>
      <c r="C1008" s="2">
        <v>123.79</v>
      </c>
      <c r="D1008" s="2">
        <v>20</v>
      </c>
      <c r="E1008" s="3">
        <v>0</v>
      </c>
    </row>
    <row r="1009" spans="1:5" x14ac:dyDescent="0.2">
      <c r="A1009">
        <v>10629</v>
      </c>
      <c r="B1009">
        <v>64</v>
      </c>
      <c r="C1009" s="2">
        <v>33.25</v>
      </c>
      <c r="D1009" s="2">
        <v>9</v>
      </c>
      <c r="E1009" s="3">
        <v>0</v>
      </c>
    </row>
    <row r="1010" spans="1:5" x14ac:dyDescent="0.2">
      <c r="A1010">
        <v>10630</v>
      </c>
      <c r="B1010">
        <v>55</v>
      </c>
      <c r="C1010" s="2">
        <v>24</v>
      </c>
      <c r="D1010" s="2">
        <v>12</v>
      </c>
      <c r="E1010" s="3">
        <v>0.05</v>
      </c>
    </row>
    <row r="1011" spans="1:5" x14ac:dyDescent="0.2">
      <c r="A1011">
        <v>10630</v>
      </c>
      <c r="B1011">
        <v>76</v>
      </c>
      <c r="C1011" s="2">
        <v>18</v>
      </c>
      <c r="D1011" s="2">
        <v>35</v>
      </c>
      <c r="E1011" s="3">
        <v>0</v>
      </c>
    </row>
    <row r="1012" spans="1:5" x14ac:dyDescent="0.2">
      <c r="A1012">
        <v>10631</v>
      </c>
      <c r="B1012">
        <v>75</v>
      </c>
      <c r="C1012" s="2">
        <v>7.75</v>
      </c>
      <c r="D1012" s="2">
        <v>8</v>
      </c>
      <c r="E1012" s="3">
        <v>0.1</v>
      </c>
    </row>
    <row r="1013" spans="1:5" x14ac:dyDescent="0.2">
      <c r="A1013">
        <v>10632</v>
      </c>
      <c r="B1013">
        <v>2</v>
      </c>
      <c r="C1013" s="2">
        <v>19</v>
      </c>
      <c r="D1013" s="2">
        <v>30</v>
      </c>
      <c r="E1013" s="3">
        <v>0.05</v>
      </c>
    </row>
    <row r="1014" spans="1:5" x14ac:dyDescent="0.2">
      <c r="A1014">
        <v>10632</v>
      </c>
      <c r="B1014">
        <v>33</v>
      </c>
      <c r="C1014" s="2">
        <v>2.5</v>
      </c>
      <c r="D1014" s="2">
        <v>20</v>
      </c>
      <c r="E1014" s="3">
        <v>0.05</v>
      </c>
    </row>
    <row r="1015" spans="1:5" x14ac:dyDescent="0.2">
      <c r="A1015">
        <v>10633</v>
      </c>
      <c r="B1015">
        <v>12</v>
      </c>
      <c r="C1015" s="2">
        <v>38</v>
      </c>
      <c r="D1015" s="2">
        <v>36</v>
      </c>
      <c r="E1015" s="3">
        <v>0.15</v>
      </c>
    </row>
    <row r="1016" spans="1:5" x14ac:dyDescent="0.2">
      <c r="A1016">
        <v>10633</v>
      </c>
      <c r="B1016">
        <v>13</v>
      </c>
      <c r="C1016" s="2">
        <v>6</v>
      </c>
      <c r="D1016" s="2">
        <v>13</v>
      </c>
      <c r="E1016" s="3">
        <v>0.15</v>
      </c>
    </row>
    <row r="1017" spans="1:5" x14ac:dyDescent="0.2">
      <c r="A1017">
        <v>10633</v>
      </c>
      <c r="B1017">
        <v>26</v>
      </c>
      <c r="C1017" s="2">
        <v>31.23</v>
      </c>
      <c r="D1017" s="2">
        <v>35</v>
      </c>
      <c r="E1017" s="3">
        <v>0.15</v>
      </c>
    </row>
    <row r="1018" spans="1:5" x14ac:dyDescent="0.2">
      <c r="A1018">
        <v>10633</v>
      </c>
      <c r="B1018">
        <v>62</v>
      </c>
      <c r="C1018" s="2">
        <v>49.3</v>
      </c>
      <c r="D1018" s="2">
        <v>80</v>
      </c>
      <c r="E1018" s="3">
        <v>0.15</v>
      </c>
    </row>
    <row r="1019" spans="1:5" x14ac:dyDescent="0.2">
      <c r="A1019">
        <v>10634</v>
      </c>
      <c r="B1019">
        <v>7</v>
      </c>
      <c r="C1019" s="2">
        <v>30</v>
      </c>
      <c r="D1019" s="2">
        <v>35</v>
      </c>
      <c r="E1019" s="3">
        <v>0</v>
      </c>
    </row>
    <row r="1020" spans="1:5" x14ac:dyDescent="0.2">
      <c r="A1020">
        <v>10634</v>
      </c>
      <c r="B1020">
        <v>18</v>
      </c>
      <c r="C1020" s="2">
        <v>62.5</v>
      </c>
      <c r="D1020" s="2">
        <v>50</v>
      </c>
      <c r="E1020" s="3">
        <v>0</v>
      </c>
    </row>
    <row r="1021" spans="1:5" x14ac:dyDescent="0.2">
      <c r="A1021">
        <v>10634</v>
      </c>
      <c r="B1021">
        <v>51</v>
      </c>
      <c r="C1021" s="2">
        <v>53</v>
      </c>
      <c r="D1021" s="2">
        <v>15</v>
      </c>
      <c r="E1021" s="3">
        <v>0</v>
      </c>
    </row>
    <row r="1022" spans="1:5" x14ac:dyDescent="0.2">
      <c r="A1022">
        <v>10634</v>
      </c>
      <c r="B1022">
        <v>75</v>
      </c>
      <c r="C1022" s="2">
        <v>7.75</v>
      </c>
      <c r="D1022" s="2">
        <v>2</v>
      </c>
      <c r="E1022" s="3">
        <v>0</v>
      </c>
    </row>
    <row r="1023" spans="1:5" x14ac:dyDescent="0.2">
      <c r="A1023">
        <v>10635</v>
      </c>
      <c r="B1023">
        <v>4</v>
      </c>
      <c r="C1023" s="2">
        <v>22</v>
      </c>
      <c r="D1023" s="2">
        <v>10</v>
      </c>
      <c r="E1023" s="3">
        <v>0.1</v>
      </c>
    </row>
    <row r="1024" spans="1:5" x14ac:dyDescent="0.2">
      <c r="A1024">
        <v>10635</v>
      </c>
      <c r="B1024">
        <v>5</v>
      </c>
      <c r="C1024" s="2">
        <v>21.35</v>
      </c>
      <c r="D1024" s="2">
        <v>15</v>
      </c>
      <c r="E1024" s="3">
        <v>0.1</v>
      </c>
    </row>
    <row r="1025" spans="1:5" x14ac:dyDescent="0.2">
      <c r="A1025">
        <v>10635</v>
      </c>
      <c r="B1025">
        <v>22</v>
      </c>
      <c r="C1025" s="2">
        <v>21</v>
      </c>
      <c r="D1025" s="2">
        <v>40</v>
      </c>
      <c r="E1025" s="3">
        <v>0</v>
      </c>
    </row>
    <row r="1026" spans="1:5" x14ac:dyDescent="0.2">
      <c r="A1026">
        <v>10636</v>
      </c>
      <c r="B1026">
        <v>4</v>
      </c>
      <c r="C1026" s="2">
        <v>22</v>
      </c>
      <c r="D1026" s="2">
        <v>25</v>
      </c>
      <c r="E1026" s="3">
        <v>0</v>
      </c>
    </row>
    <row r="1027" spans="1:5" x14ac:dyDescent="0.2">
      <c r="A1027">
        <v>10636</v>
      </c>
      <c r="B1027">
        <v>58</v>
      </c>
      <c r="C1027" s="2">
        <v>13.25</v>
      </c>
      <c r="D1027" s="2">
        <v>6</v>
      </c>
      <c r="E1027" s="3">
        <v>0</v>
      </c>
    </row>
    <row r="1028" spans="1:5" x14ac:dyDescent="0.2">
      <c r="A1028">
        <v>10637</v>
      </c>
      <c r="B1028">
        <v>11</v>
      </c>
      <c r="C1028" s="2">
        <v>21</v>
      </c>
      <c r="D1028" s="2">
        <v>10</v>
      </c>
      <c r="E1028" s="3">
        <v>0</v>
      </c>
    </row>
    <row r="1029" spans="1:5" x14ac:dyDescent="0.2">
      <c r="A1029">
        <v>10637</v>
      </c>
      <c r="B1029">
        <v>50</v>
      </c>
      <c r="C1029" s="2">
        <v>16.25</v>
      </c>
      <c r="D1029" s="2">
        <v>25</v>
      </c>
      <c r="E1029" s="3">
        <v>0.05</v>
      </c>
    </row>
    <row r="1030" spans="1:5" x14ac:dyDescent="0.2">
      <c r="A1030">
        <v>10637</v>
      </c>
      <c r="B1030">
        <v>56</v>
      </c>
      <c r="C1030" s="2">
        <v>38</v>
      </c>
      <c r="D1030" s="2">
        <v>60</v>
      </c>
      <c r="E1030" s="3">
        <v>0.05</v>
      </c>
    </row>
    <row r="1031" spans="1:5" x14ac:dyDescent="0.2">
      <c r="A1031">
        <v>10638</v>
      </c>
      <c r="B1031">
        <v>45</v>
      </c>
      <c r="C1031" s="2">
        <v>9.5</v>
      </c>
      <c r="D1031" s="2">
        <v>20</v>
      </c>
      <c r="E1031" s="3">
        <v>0</v>
      </c>
    </row>
    <row r="1032" spans="1:5" x14ac:dyDescent="0.2">
      <c r="A1032">
        <v>10638</v>
      </c>
      <c r="B1032">
        <v>65</v>
      </c>
      <c r="C1032" s="2">
        <v>21.05</v>
      </c>
      <c r="D1032" s="2">
        <v>21</v>
      </c>
      <c r="E1032" s="3">
        <v>0</v>
      </c>
    </row>
    <row r="1033" spans="1:5" x14ac:dyDescent="0.2">
      <c r="A1033">
        <v>10638</v>
      </c>
      <c r="B1033">
        <v>72</v>
      </c>
      <c r="C1033" s="2">
        <v>34.799999999999997</v>
      </c>
      <c r="D1033" s="2">
        <v>60</v>
      </c>
      <c r="E1033" s="3">
        <v>0</v>
      </c>
    </row>
    <row r="1034" spans="1:5" x14ac:dyDescent="0.2">
      <c r="A1034">
        <v>10639</v>
      </c>
      <c r="B1034">
        <v>18</v>
      </c>
      <c r="C1034" s="2">
        <v>62.5</v>
      </c>
      <c r="D1034" s="2">
        <v>8</v>
      </c>
      <c r="E1034" s="3">
        <v>0</v>
      </c>
    </row>
    <row r="1035" spans="1:5" x14ac:dyDescent="0.2">
      <c r="A1035">
        <v>10640</v>
      </c>
      <c r="B1035">
        <v>69</v>
      </c>
      <c r="C1035" s="2">
        <v>36</v>
      </c>
      <c r="D1035" s="2">
        <v>20</v>
      </c>
      <c r="E1035" s="3">
        <v>0.25</v>
      </c>
    </row>
    <row r="1036" spans="1:5" x14ac:dyDescent="0.2">
      <c r="A1036">
        <v>10640</v>
      </c>
      <c r="B1036">
        <v>70</v>
      </c>
      <c r="C1036" s="2">
        <v>15</v>
      </c>
      <c r="D1036" s="2">
        <v>15</v>
      </c>
      <c r="E1036" s="3">
        <v>0.25</v>
      </c>
    </row>
    <row r="1037" spans="1:5" x14ac:dyDescent="0.2">
      <c r="A1037">
        <v>10641</v>
      </c>
      <c r="B1037">
        <v>2</v>
      </c>
      <c r="C1037" s="2">
        <v>19</v>
      </c>
      <c r="D1037" s="2">
        <v>50</v>
      </c>
      <c r="E1037" s="3">
        <v>0</v>
      </c>
    </row>
    <row r="1038" spans="1:5" x14ac:dyDescent="0.2">
      <c r="A1038">
        <v>10641</v>
      </c>
      <c r="B1038">
        <v>40</v>
      </c>
      <c r="C1038" s="2">
        <v>18.399999999999999</v>
      </c>
      <c r="D1038" s="2">
        <v>60</v>
      </c>
      <c r="E1038" s="3">
        <v>0</v>
      </c>
    </row>
    <row r="1039" spans="1:5" x14ac:dyDescent="0.2">
      <c r="A1039">
        <v>10642</v>
      </c>
      <c r="B1039">
        <v>21</v>
      </c>
      <c r="C1039" s="2">
        <v>10</v>
      </c>
      <c r="D1039" s="2">
        <v>30</v>
      </c>
      <c r="E1039" s="3">
        <v>0.2</v>
      </c>
    </row>
    <row r="1040" spans="1:5" x14ac:dyDescent="0.2">
      <c r="A1040">
        <v>10642</v>
      </c>
      <c r="B1040">
        <v>61</v>
      </c>
      <c r="C1040" s="2">
        <v>28.5</v>
      </c>
      <c r="D1040" s="2">
        <v>20</v>
      </c>
      <c r="E1040" s="3">
        <v>0.2</v>
      </c>
    </row>
    <row r="1041" spans="1:5" x14ac:dyDescent="0.2">
      <c r="A1041">
        <v>10643</v>
      </c>
      <c r="B1041">
        <v>28</v>
      </c>
      <c r="C1041" s="2">
        <v>45.6</v>
      </c>
      <c r="D1041" s="2">
        <v>15</v>
      </c>
      <c r="E1041" s="3">
        <v>0.25</v>
      </c>
    </row>
    <row r="1042" spans="1:5" x14ac:dyDescent="0.2">
      <c r="A1042">
        <v>10643</v>
      </c>
      <c r="B1042">
        <v>39</v>
      </c>
      <c r="C1042" s="2">
        <v>18</v>
      </c>
      <c r="D1042" s="2">
        <v>21</v>
      </c>
      <c r="E1042" s="3">
        <v>0.25</v>
      </c>
    </row>
    <row r="1043" spans="1:5" x14ac:dyDescent="0.2">
      <c r="A1043">
        <v>10643</v>
      </c>
      <c r="B1043">
        <v>46</v>
      </c>
      <c r="C1043" s="2">
        <v>12</v>
      </c>
      <c r="D1043" s="2">
        <v>2</v>
      </c>
      <c r="E1043" s="3">
        <v>0.25</v>
      </c>
    </row>
    <row r="1044" spans="1:5" x14ac:dyDescent="0.2">
      <c r="A1044">
        <v>10644</v>
      </c>
      <c r="B1044">
        <v>18</v>
      </c>
      <c r="C1044" s="2">
        <v>62.5</v>
      </c>
      <c r="D1044" s="2">
        <v>4</v>
      </c>
      <c r="E1044" s="3">
        <v>0.1</v>
      </c>
    </row>
    <row r="1045" spans="1:5" x14ac:dyDescent="0.2">
      <c r="A1045">
        <v>10644</v>
      </c>
      <c r="B1045">
        <v>43</v>
      </c>
      <c r="C1045" s="2">
        <v>46</v>
      </c>
      <c r="D1045" s="2">
        <v>20</v>
      </c>
      <c r="E1045" s="3">
        <v>0</v>
      </c>
    </row>
    <row r="1046" spans="1:5" x14ac:dyDescent="0.2">
      <c r="A1046">
        <v>10644</v>
      </c>
      <c r="B1046">
        <v>46</v>
      </c>
      <c r="C1046" s="2">
        <v>12</v>
      </c>
      <c r="D1046" s="2">
        <v>21</v>
      </c>
      <c r="E1046" s="3">
        <v>0.1</v>
      </c>
    </row>
    <row r="1047" spans="1:5" x14ac:dyDescent="0.2">
      <c r="A1047">
        <v>10645</v>
      </c>
      <c r="B1047">
        <v>18</v>
      </c>
      <c r="C1047" s="2">
        <v>62.5</v>
      </c>
      <c r="D1047" s="2">
        <v>20</v>
      </c>
      <c r="E1047" s="3">
        <v>0</v>
      </c>
    </row>
    <row r="1048" spans="1:5" x14ac:dyDescent="0.2">
      <c r="A1048">
        <v>10645</v>
      </c>
      <c r="B1048">
        <v>36</v>
      </c>
      <c r="C1048" s="2">
        <v>19</v>
      </c>
      <c r="D1048" s="2">
        <v>15</v>
      </c>
      <c r="E1048" s="3">
        <v>0</v>
      </c>
    </row>
    <row r="1049" spans="1:5" x14ac:dyDescent="0.2">
      <c r="A1049">
        <v>10646</v>
      </c>
      <c r="B1049">
        <v>1</v>
      </c>
      <c r="C1049" s="2">
        <v>18</v>
      </c>
      <c r="D1049" s="2">
        <v>15</v>
      </c>
      <c r="E1049" s="3">
        <v>0.25</v>
      </c>
    </row>
    <row r="1050" spans="1:5" x14ac:dyDescent="0.2">
      <c r="A1050">
        <v>10646</v>
      </c>
      <c r="B1050">
        <v>10</v>
      </c>
      <c r="C1050" s="2">
        <v>31</v>
      </c>
      <c r="D1050" s="2">
        <v>18</v>
      </c>
      <c r="E1050" s="3">
        <v>0.25</v>
      </c>
    </row>
    <row r="1051" spans="1:5" x14ac:dyDescent="0.2">
      <c r="A1051">
        <v>10646</v>
      </c>
      <c r="B1051">
        <v>71</v>
      </c>
      <c r="C1051" s="2">
        <v>21.5</v>
      </c>
      <c r="D1051" s="2">
        <v>30</v>
      </c>
      <c r="E1051" s="3">
        <v>0.25</v>
      </c>
    </row>
    <row r="1052" spans="1:5" x14ac:dyDescent="0.2">
      <c r="A1052">
        <v>10646</v>
      </c>
      <c r="B1052">
        <v>77</v>
      </c>
      <c r="C1052" s="2">
        <v>13</v>
      </c>
      <c r="D1052" s="2">
        <v>35</v>
      </c>
      <c r="E1052" s="3">
        <v>0.25</v>
      </c>
    </row>
    <row r="1053" spans="1:5" x14ac:dyDescent="0.2">
      <c r="A1053">
        <v>10647</v>
      </c>
      <c r="B1053">
        <v>19</v>
      </c>
      <c r="C1053" s="2">
        <v>9.1999999999999993</v>
      </c>
      <c r="D1053" s="2">
        <v>30</v>
      </c>
      <c r="E1053" s="3">
        <v>0</v>
      </c>
    </row>
    <row r="1054" spans="1:5" x14ac:dyDescent="0.2">
      <c r="A1054">
        <v>10647</v>
      </c>
      <c r="B1054">
        <v>39</v>
      </c>
      <c r="C1054" s="2">
        <v>18</v>
      </c>
      <c r="D1054" s="2">
        <v>20</v>
      </c>
      <c r="E1054" s="3">
        <v>0</v>
      </c>
    </row>
    <row r="1055" spans="1:5" x14ac:dyDescent="0.2">
      <c r="A1055">
        <v>10648</v>
      </c>
      <c r="B1055">
        <v>22</v>
      </c>
      <c r="C1055" s="2">
        <v>21</v>
      </c>
      <c r="D1055" s="2">
        <v>15</v>
      </c>
      <c r="E1055" s="3">
        <v>0</v>
      </c>
    </row>
    <row r="1056" spans="1:5" x14ac:dyDescent="0.2">
      <c r="A1056">
        <v>10648</v>
      </c>
      <c r="B1056">
        <v>24</v>
      </c>
      <c r="C1056" s="2">
        <v>4.5</v>
      </c>
      <c r="D1056" s="2">
        <v>15</v>
      </c>
      <c r="E1056" s="3">
        <v>0.15</v>
      </c>
    </row>
    <row r="1057" spans="1:5" x14ac:dyDescent="0.2">
      <c r="A1057">
        <v>10649</v>
      </c>
      <c r="B1057">
        <v>28</v>
      </c>
      <c r="C1057" s="2">
        <v>45.6</v>
      </c>
      <c r="D1057" s="2">
        <v>20</v>
      </c>
      <c r="E1057" s="3">
        <v>0</v>
      </c>
    </row>
    <row r="1058" spans="1:5" x14ac:dyDescent="0.2">
      <c r="A1058">
        <v>10649</v>
      </c>
      <c r="B1058">
        <v>72</v>
      </c>
      <c r="C1058" s="2">
        <v>34.799999999999997</v>
      </c>
      <c r="D1058" s="2">
        <v>15</v>
      </c>
      <c r="E1058" s="3">
        <v>0</v>
      </c>
    </row>
    <row r="1059" spans="1:5" x14ac:dyDescent="0.2">
      <c r="A1059">
        <v>10650</v>
      </c>
      <c r="B1059">
        <v>30</v>
      </c>
      <c r="C1059" s="2">
        <v>25.89</v>
      </c>
      <c r="D1059" s="2">
        <v>30</v>
      </c>
      <c r="E1059" s="3">
        <v>0</v>
      </c>
    </row>
    <row r="1060" spans="1:5" x14ac:dyDescent="0.2">
      <c r="A1060">
        <v>10650</v>
      </c>
      <c r="B1060">
        <v>53</v>
      </c>
      <c r="C1060" s="2">
        <v>32.799999999999997</v>
      </c>
      <c r="D1060" s="2">
        <v>25</v>
      </c>
      <c r="E1060" s="3">
        <v>0.05</v>
      </c>
    </row>
    <row r="1061" spans="1:5" x14ac:dyDescent="0.2">
      <c r="A1061">
        <v>10650</v>
      </c>
      <c r="B1061">
        <v>54</v>
      </c>
      <c r="C1061" s="2">
        <v>7.45</v>
      </c>
      <c r="D1061" s="2">
        <v>30</v>
      </c>
      <c r="E1061" s="3">
        <v>0</v>
      </c>
    </row>
    <row r="1062" spans="1:5" x14ac:dyDescent="0.2">
      <c r="A1062">
        <v>10651</v>
      </c>
      <c r="B1062">
        <v>19</v>
      </c>
      <c r="C1062" s="2">
        <v>9.1999999999999993</v>
      </c>
      <c r="D1062" s="2">
        <v>12</v>
      </c>
      <c r="E1062" s="3">
        <v>0.25</v>
      </c>
    </row>
    <row r="1063" spans="1:5" x14ac:dyDescent="0.2">
      <c r="A1063">
        <v>10651</v>
      </c>
      <c r="B1063">
        <v>22</v>
      </c>
      <c r="C1063" s="2">
        <v>21</v>
      </c>
      <c r="D1063" s="2">
        <v>20</v>
      </c>
      <c r="E1063" s="3">
        <v>0.25</v>
      </c>
    </row>
    <row r="1064" spans="1:5" x14ac:dyDescent="0.2">
      <c r="A1064">
        <v>10652</v>
      </c>
      <c r="B1064">
        <v>30</v>
      </c>
      <c r="C1064" s="2">
        <v>25.89</v>
      </c>
      <c r="D1064" s="2">
        <v>2</v>
      </c>
      <c r="E1064" s="3">
        <v>0.25</v>
      </c>
    </row>
    <row r="1065" spans="1:5" x14ac:dyDescent="0.2">
      <c r="A1065">
        <v>10652</v>
      </c>
      <c r="B1065">
        <v>42</v>
      </c>
      <c r="C1065" s="2">
        <v>14</v>
      </c>
      <c r="D1065" s="2">
        <v>20</v>
      </c>
      <c r="E1065" s="3">
        <v>0</v>
      </c>
    </row>
    <row r="1066" spans="1:5" x14ac:dyDescent="0.2">
      <c r="A1066">
        <v>10653</v>
      </c>
      <c r="B1066">
        <v>16</v>
      </c>
      <c r="C1066" s="2">
        <v>17.45</v>
      </c>
      <c r="D1066" s="2">
        <v>30</v>
      </c>
      <c r="E1066" s="3">
        <v>0.1</v>
      </c>
    </row>
    <row r="1067" spans="1:5" x14ac:dyDescent="0.2">
      <c r="A1067">
        <v>10653</v>
      </c>
      <c r="B1067">
        <v>60</v>
      </c>
      <c r="C1067" s="2">
        <v>34</v>
      </c>
      <c r="D1067" s="2">
        <v>20</v>
      </c>
      <c r="E1067" s="3">
        <v>0.1</v>
      </c>
    </row>
    <row r="1068" spans="1:5" x14ac:dyDescent="0.2">
      <c r="A1068">
        <v>10654</v>
      </c>
      <c r="B1068">
        <v>4</v>
      </c>
      <c r="C1068" s="2">
        <v>22</v>
      </c>
      <c r="D1068" s="2">
        <v>12</v>
      </c>
      <c r="E1068" s="3">
        <v>0.1</v>
      </c>
    </row>
    <row r="1069" spans="1:5" x14ac:dyDescent="0.2">
      <c r="A1069">
        <v>10654</v>
      </c>
      <c r="B1069">
        <v>39</v>
      </c>
      <c r="C1069" s="2">
        <v>18</v>
      </c>
      <c r="D1069" s="2">
        <v>20</v>
      </c>
      <c r="E1069" s="3">
        <v>0.1</v>
      </c>
    </row>
    <row r="1070" spans="1:5" x14ac:dyDescent="0.2">
      <c r="A1070">
        <v>10654</v>
      </c>
      <c r="B1070">
        <v>54</v>
      </c>
      <c r="C1070" s="2">
        <v>7.45</v>
      </c>
      <c r="D1070" s="2">
        <v>6</v>
      </c>
      <c r="E1070" s="3">
        <v>0.1</v>
      </c>
    </row>
    <row r="1071" spans="1:5" x14ac:dyDescent="0.2">
      <c r="A1071">
        <v>10655</v>
      </c>
      <c r="B1071">
        <v>41</v>
      </c>
      <c r="C1071" s="2">
        <v>9.65</v>
      </c>
      <c r="D1071" s="2">
        <v>20</v>
      </c>
      <c r="E1071" s="3">
        <v>0.2</v>
      </c>
    </row>
    <row r="1072" spans="1:5" x14ac:dyDescent="0.2">
      <c r="A1072">
        <v>10656</v>
      </c>
      <c r="B1072">
        <v>14</v>
      </c>
      <c r="C1072" s="2">
        <v>23.25</v>
      </c>
      <c r="D1072" s="2">
        <v>3</v>
      </c>
      <c r="E1072" s="3">
        <v>0.1</v>
      </c>
    </row>
    <row r="1073" spans="1:5" x14ac:dyDescent="0.2">
      <c r="A1073">
        <v>10656</v>
      </c>
      <c r="B1073">
        <v>44</v>
      </c>
      <c r="C1073" s="2">
        <v>19.45</v>
      </c>
      <c r="D1073" s="2">
        <v>28</v>
      </c>
      <c r="E1073" s="3">
        <v>0.1</v>
      </c>
    </row>
    <row r="1074" spans="1:5" x14ac:dyDescent="0.2">
      <c r="A1074">
        <v>10656</v>
      </c>
      <c r="B1074">
        <v>47</v>
      </c>
      <c r="C1074" s="2">
        <v>9.5</v>
      </c>
      <c r="D1074" s="2">
        <v>6</v>
      </c>
      <c r="E1074" s="3">
        <v>0.1</v>
      </c>
    </row>
    <row r="1075" spans="1:5" x14ac:dyDescent="0.2">
      <c r="A1075">
        <v>10657</v>
      </c>
      <c r="B1075">
        <v>15</v>
      </c>
      <c r="C1075" s="2">
        <v>15.5</v>
      </c>
      <c r="D1075" s="2">
        <v>50</v>
      </c>
      <c r="E1075" s="3">
        <v>0</v>
      </c>
    </row>
    <row r="1076" spans="1:5" x14ac:dyDescent="0.2">
      <c r="A1076">
        <v>10657</v>
      </c>
      <c r="B1076">
        <v>41</v>
      </c>
      <c r="C1076" s="2">
        <v>9.65</v>
      </c>
      <c r="D1076" s="2">
        <v>24</v>
      </c>
      <c r="E1076" s="3">
        <v>0</v>
      </c>
    </row>
    <row r="1077" spans="1:5" x14ac:dyDescent="0.2">
      <c r="A1077">
        <v>10657</v>
      </c>
      <c r="B1077">
        <v>46</v>
      </c>
      <c r="C1077" s="2">
        <v>12</v>
      </c>
      <c r="D1077" s="2">
        <v>45</v>
      </c>
      <c r="E1077" s="3">
        <v>0</v>
      </c>
    </row>
    <row r="1078" spans="1:5" x14ac:dyDescent="0.2">
      <c r="A1078">
        <v>10657</v>
      </c>
      <c r="B1078">
        <v>47</v>
      </c>
      <c r="C1078" s="2">
        <v>9.5</v>
      </c>
      <c r="D1078" s="2">
        <v>10</v>
      </c>
      <c r="E1078" s="3">
        <v>0</v>
      </c>
    </row>
    <row r="1079" spans="1:5" x14ac:dyDescent="0.2">
      <c r="A1079">
        <v>10657</v>
      </c>
      <c r="B1079">
        <v>56</v>
      </c>
      <c r="C1079" s="2">
        <v>38</v>
      </c>
      <c r="D1079" s="2">
        <v>45</v>
      </c>
      <c r="E1079" s="3">
        <v>0</v>
      </c>
    </row>
    <row r="1080" spans="1:5" x14ac:dyDescent="0.2">
      <c r="A1080">
        <v>10657</v>
      </c>
      <c r="B1080">
        <v>60</v>
      </c>
      <c r="C1080" s="2">
        <v>34</v>
      </c>
      <c r="D1080" s="2">
        <v>30</v>
      </c>
      <c r="E1080" s="3">
        <v>0</v>
      </c>
    </row>
    <row r="1081" spans="1:5" x14ac:dyDescent="0.2">
      <c r="A1081">
        <v>10658</v>
      </c>
      <c r="B1081">
        <v>21</v>
      </c>
      <c r="C1081" s="2">
        <v>10</v>
      </c>
      <c r="D1081" s="2">
        <v>60</v>
      </c>
      <c r="E1081" s="3">
        <v>0</v>
      </c>
    </row>
    <row r="1082" spans="1:5" x14ac:dyDescent="0.2">
      <c r="A1082">
        <v>10658</v>
      </c>
      <c r="B1082">
        <v>40</v>
      </c>
      <c r="C1082" s="2">
        <v>18.399999999999999</v>
      </c>
      <c r="D1082" s="2">
        <v>70</v>
      </c>
      <c r="E1082" s="3">
        <v>0.05</v>
      </c>
    </row>
    <row r="1083" spans="1:5" x14ac:dyDescent="0.2">
      <c r="A1083">
        <v>10658</v>
      </c>
      <c r="B1083">
        <v>60</v>
      </c>
      <c r="C1083" s="2">
        <v>34</v>
      </c>
      <c r="D1083" s="2">
        <v>55</v>
      </c>
      <c r="E1083" s="3">
        <v>0.05</v>
      </c>
    </row>
    <row r="1084" spans="1:5" x14ac:dyDescent="0.2">
      <c r="A1084">
        <v>10658</v>
      </c>
      <c r="B1084">
        <v>77</v>
      </c>
      <c r="C1084" s="2">
        <v>13</v>
      </c>
      <c r="D1084" s="2">
        <v>70</v>
      </c>
      <c r="E1084" s="3">
        <v>0.05</v>
      </c>
    </row>
    <row r="1085" spans="1:5" x14ac:dyDescent="0.2">
      <c r="A1085">
        <v>10659</v>
      </c>
      <c r="B1085">
        <v>31</v>
      </c>
      <c r="C1085" s="2">
        <v>12.5</v>
      </c>
      <c r="D1085" s="2">
        <v>20</v>
      </c>
      <c r="E1085" s="3">
        <v>0.05</v>
      </c>
    </row>
    <row r="1086" spans="1:5" x14ac:dyDescent="0.2">
      <c r="A1086">
        <v>10659</v>
      </c>
      <c r="B1086">
        <v>40</v>
      </c>
      <c r="C1086" s="2">
        <v>18.399999999999999</v>
      </c>
      <c r="D1086" s="2">
        <v>24</v>
      </c>
      <c r="E1086" s="3">
        <v>0.05</v>
      </c>
    </row>
    <row r="1087" spans="1:5" x14ac:dyDescent="0.2">
      <c r="A1087">
        <v>10659</v>
      </c>
      <c r="B1087">
        <v>70</v>
      </c>
      <c r="C1087" s="2">
        <v>15</v>
      </c>
      <c r="D1087" s="2">
        <v>40</v>
      </c>
      <c r="E1087" s="3">
        <v>0.05</v>
      </c>
    </row>
    <row r="1088" spans="1:5" x14ac:dyDescent="0.2">
      <c r="A1088">
        <v>10660</v>
      </c>
      <c r="B1088">
        <v>20</v>
      </c>
      <c r="C1088" s="2">
        <v>81</v>
      </c>
      <c r="D1088" s="2">
        <v>21</v>
      </c>
      <c r="E1088" s="3">
        <v>0</v>
      </c>
    </row>
    <row r="1089" spans="1:5" x14ac:dyDescent="0.2">
      <c r="A1089">
        <v>10661</v>
      </c>
      <c r="B1089">
        <v>39</v>
      </c>
      <c r="C1089" s="2">
        <v>18</v>
      </c>
      <c r="D1089" s="2">
        <v>3</v>
      </c>
      <c r="E1089" s="3">
        <v>0.2</v>
      </c>
    </row>
    <row r="1090" spans="1:5" x14ac:dyDescent="0.2">
      <c r="A1090">
        <v>10661</v>
      </c>
      <c r="B1090">
        <v>58</v>
      </c>
      <c r="C1090" s="2">
        <v>13.25</v>
      </c>
      <c r="D1090" s="2">
        <v>49</v>
      </c>
      <c r="E1090" s="3">
        <v>0.2</v>
      </c>
    </row>
    <row r="1091" spans="1:5" x14ac:dyDescent="0.2">
      <c r="A1091">
        <v>10662</v>
      </c>
      <c r="B1091">
        <v>68</v>
      </c>
      <c r="C1091" s="2">
        <v>12.5</v>
      </c>
      <c r="D1091" s="2">
        <v>10</v>
      </c>
      <c r="E1091" s="3">
        <v>0</v>
      </c>
    </row>
    <row r="1092" spans="1:5" x14ac:dyDescent="0.2">
      <c r="A1092">
        <v>10663</v>
      </c>
      <c r="B1092">
        <v>40</v>
      </c>
      <c r="C1092" s="2">
        <v>18.399999999999999</v>
      </c>
      <c r="D1092" s="2">
        <v>30</v>
      </c>
      <c r="E1092" s="3">
        <v>0.05</v>
      </c>
    </row>
    <row r="1093" spans="1:5" x14ac:dyDescent="0.2">
      <c r="A1093">
        <v>10663</v>
      </c>
      <c r="B1093">
        <v>42</v>
      </c>
      <c r="C1093" s="2">
        <v>14</v>
      </c>
      <c r="D1093" s="2">
        <v>30</v>
      </c>
      <c r="E1093" s="3">
        <v>0.05</v>
      </c>
    </row>
    <row r="1094" spans="1:5" x14ac:dyDescent="0.2">
      <c r="A1094">
        <v>10663</v>
      </c>
      <c r="B1094">
        <v>51</v>
      </c>
      <c r="C1094" s="2">
        <v>53</v>
      </c>
      <c r="D1094" s="2">
        <v>20</v>
      </c>
      <c r="E1094" s="3">
        <v>0.05</v>
      </c>
    </row>
    <row r="1095" spans="1:5" x14ac:dyDescent="0.2">
      <c r="A1095">
        <v>10664</v>
      </c>
      <c r="B1095">
        <v>10</v>
      </c>
      <c r="C1095" s="2">
        <v>31</v>
      </c>
      <c r="D1095" s="2">
        <v>24</v>
      </c>
      <c r="E1095" s="3">
        <v>0.15</v>
      </c>
    </row>
    <row r="1096" spans="1:5" x14ac:dyDescent="0.2">
      <c r="A1096">
        <v>10664</v>
      </c>
      <c r="B1096">
        <v>56</v>
      </c>
      <c r="C1096" s="2">
        <v>38</v>
      </c>
      <c r="D1096" s="2">
        <v>12</v>
      </c>
      <c r="E1096" s="3">
        <v>0.15</v>
      </c>
    </row>
    <row r="1097" spans="1:5" x14ac:dyDescent="0.2">
      <c r="A1097">
        <v>10664</v>
      </c>
      <c r="B1097">
        <v>65</v>
      </c>
      <c r="C1097" s="2">
        <v>21.05</v>
      </c>
      <c r="D1097" s="2">
        <v>15</v>
      </c>
      <c r="E1097" s="3">
        <v>0.15</v>
      </c>
    </row>
    <row r="1098" spans="1:5" x14ac:dyDescent="0.2">
      <c r="A1098">
        <v>10665</v>
      </c>
      <c r="B1098">
        <v>51</v>
      </c>
      <c r="C1098" s="2">
        <v>53</v>
      </c>
      <c r="D1098" s="2">
        <v>20</v>
      </c>
      <c r="E1098" s="3">
        <v>0</v>
      </c>
    </row>
    <row r="1099" spans="1:5" x14ac:dyDescent="0.2">
      <c r="A1099">
        <v>10665</v>
      </c>
      <c r="B1099">
        <v>59</v>
      </c>
      <c r="C1099" s="2">
        <v>55</v>
      </c>
      <c r="D1099" s="2">
        <v>1</v>
      </c>
      <c r="E1099" s="3">
        <v>0</v>
      </c>
    </row>
    <row r="1100" spans="1:5" x14ac:dyDescent="0.2">
      <c r="A1100">
        <v>10665</v>
      </c>
      <c r="B1100">
        <v>76</v>
      </c>
      <c r="C1100" s="2">
        <v>18</v>
      </c>
      <c r="D1100" s="2">
        <v>10</v>
      </c>
      <c r="E1100" s="3">
        <v>0</v>
      </c>
    </row>
    <row r="1101" spans="1:5" x14ac:dyDescent="0.2">
      <c r="A1101">
        <v>10666</v>
      </c>
      <c r="B1101">
        <v>29</v>
      </c>
      <c r="C1101" s="2">
        <v>123.79</v>
      </c>
      <c r="D1101" s="2">
        <v>36</v>
      </c>
      <c r="E1101" s="3">
        <v>0</v>
      </c>
    </row>
    <row r="1102" spans="1:5" x14ac:dyDescent="0.2">
      <c r="A1102">
        <v>10666</v>
      </c>
      <c r="B1102">
        <v>65</v>
      </c>
      <c r="C1102" s="2">
        <v>21.05</v>
      </c>
      <c r="D1102" s="2">
        <v>10</v>
      </c>
      <c r="E1102" s="3">
        <v>0</v>
      </c>
    </row>
    <row r="1103" spans="1:5" x14ac:dyDescent="0.2">
      <c r="A1103">
        <v>10667</v>
      </c>
      <c r="B1103">
        <v>69</v>
      </c>
      <c r="C1103" s="2">
        <v>36</v>
      </c>
      <c r="D1103" s="2">
        <v>45</v>
      </c>
      <c r="E1103" s="3">
        <v>0.2</v>
      </c>
    </row>
    <row r="1104" spans="1:5" x14ac:dyDescent="0.2">
      <c r="A1104">
        <v>10667</v>
      </c>
      <c r="B1104">
        <v>71</v>
      </c>
      <c r="C1104" s="2">
        <v>21.5</v>
      </c>
      <c r="D1104" s="2">
        <v>14</v>
      </c>
      <c r="E1104" s="3">
        <v>0.2</v>
      </c>
    </row>
    <row r="1105" spans="1:5" x14ac:dyDescent="0.2">
      <c r="A1105">
        <v>10668</v>
      </c>
      <c r="B1105">
        <v>31</v>
      </c>
      <c r="C1105" s="2">
        <v>12.5</v>
      </c>
      <c r="D1105" s="2">
        <v>8</v>
      </c>
      <c r="E1105" s="3">
        <v>0.1</v>
      </c>
    </row>
    <row r="1106" spans="1:5" x14ac:dyDescent="0.2">
      <c r="A1106">
        <v>10668</v>
      </c>
      <c r="B1106">
        <v>55</v>
      </c>
      <c r="C1106" s="2">
        <v>24</v>
      </c>
      <c r="D1106" s="2">
        <v>4</v>
      </c>
      <c r="E1106" s="3">
        <v>0.1</v>
      </c>
    </row>
    <row r="1107" spans="1:5" x14ac:dyDescent="0.2">
      <c r="A1107">
        <v>10668</v>
      </c>
      <c r="B1107">
        <v>64</v>
      </c>
      <c r="C1107" s="2">
        <v>33.25</v>
      </c>
      <c r="D1107" s="2">
        <v>15</v>
      </c>
      <c r="E1107" s="3">
        <v>0.1</v>
      </c>
    </row>
    <row r="1108" spans="1:5" x14ac:dyDescent="0.2">
      <c r="A1108">
        <v>10669</v>
      </c>
      <c r="B1108">
        <v>36</v>
      </c>
      <c r="C1108" s="2">
        <v>19</v>
      </c>
      <c r="D1108" s="2">
        <v>30</v>
      </c>
      <c r="E1108" s="3">
        <v>0</v>
      </c>
    </row>
    <row r="1109" spans="1:5" x14ac:dyDescent="0.2">
      <c r="A1109">
        <v>10670</v>
      </c>
      <c r="B1109">
        <v>23</v>
      </c>
      <c r="C1109" s="2">
        <v>9</v>
      </c>
      <c r="D1109" s="2">
        <v>32</v>
      </c>
      <c r="E1109" s="3">
        <v>0</v>
      </c>
    </row>
    <row r="1110" spans="1:5" x14ac:dyDescent="0.2">
      <c r="A1110">
        <v>10670</v>
      </c>
      <c r="B1110">
        <v>46</v>
      </c>
      <c r="C1110" s="2">
        <v>12</v>
      </c>
      <c r="D1110" s="2">
        <v>60</v>
      </c>
      <c r="E1110" s="3">
        <v>0</v>
      </c>
    </row>
    <row r="1111" spans="1:5" x14ac:dyDescent="0.2">
      <c r="A1111">
        <v>10670</v>
      </c>
      <c r="B1111">
        <v>67</v>
      </c>
      <c r="C1111" s="2">
        <v>14</v>
      </c>
      <c r="D1111" s="2">
        <v>25</v>
      </c>
      <c r="E1111" s="3">
        <v>0</v>
      </c>
    </row>
    <row r="1112" spans="1:5" x14ac:dyDescent="0.2">
      <c r="A1112">
        <v>10670</v>
      </c>
      <c r="B1112">
        <v>73</v>
      </c>
      <c r="C1112" s="2">
        <v>15</v>
      </c>
      <c r="D1112" s="2">
        <v>50</v>
      </c>
      <c r="E1112" s="3">
        <v>0</v>
      </c>
    </row>
    <row r="1113" spans="1:5" x14ac:dyDescent="0.2">
      <c r="A1113">
        <v>10670</v>
      </c>
      <c r="B1113">
        <v>75</v>
      </c>
      <c r="C1113" s="2">
        <v>7.75</v>
      </c>
      <c r="D1113" s="2">
        <v>25</v>
      </c>
      <c r="E1113" s="3">
        <v>0</v>
      </c>
    </row>
    <row r="1114" spans="1:5" x14ac:dyDescent="0.2">
      <c r="A1114">
        <v>10671</v>
      </c>
      <c r="B1114">
        <v>16</v>
      </c>
      <c r="C1114" s="2">
        <v>17.45</v>
      </c>
      <c r="D1114" s="2">
        <v>10</v>
      </c>
      <c r="E1114" s="3">
        <v>0</v>
      </c>
    </row>
    <row r="1115" spans="1:5" x14ac:dyDescent="0.2">
      <c r="A1115">
        <v>10671</v>
      </c>
      <c r="B1115">
        <v>62</v>
      </c>
      <c r="C1115" s="2">
        <v>49.3</v>
      </c>
      <c r="D1115" s="2">
        <v>10</v>
      </c>
      <c r="E1115" s="3">
        <v>0</v>
      </c>
    </row>
    <row r="1116" spans="1:5" x14ac:dyDescent="0.2">
      <c r="A1116">
        <v>10671</v>
      </c>
      <c r="B1116">
        <v>65</v>
      </c>
      <c r="C1116" s="2">
        <v>21.05</v>
      </c>
      <c r="D1116" s="2">
        <v>12</v>
      </c>
      <c r="E1116" s="3">
        <v>0</v>
      </c>
    </row>
    <row r="1117" spans="1:5" x14ac:dyDescent="0.2">
      <c r="A1117">
        <v>10672</v>
      </c>
      <c r="B1117">
        <v>38</v>
      </c>
      <c r="C1117" s="2">
        <v>263.5</v>
      </c>
      <c r="D1117" s="2">
        <v>15</v>
      </c>
      <c r="E1117" s="3">
        <v>0.1</v>
      </c>
    </row>
    <row r="1118" spans="1:5" x14ac:dyDescent="0.2">
      <c r="A1118">
        <v>10672</v>
      </c>
      <c r="B1118">
        <v>71</v>
      </c>
      <c r="C1118" s="2">
        <v>21.5</v>
      </c>
      <c r="D1118" s="2">
        <v>12</v>
      </c>
      <c r="E1118" s="3">
        <v>0</v>
      </c>
    </row>
    <row r="1119" spans="1:5" x14ac:dyDescent="0.2">
      <c r="A1119">
        <v>10673</v>
      </c>
      <c r="B1119">
        <v>16</v>
      </c>
      <c r="C1119" s="2">
        <v>17.45</v>
      </c>
      <c r="D1119" s="2">
        <v>3</v>
      </c>
      <c r="E1119" s="3">
        <v>0</v>
      </c>
    </row>
    <row r="1120" spans="1:5" x14ac:dyDescent="0.2">
      <c r="A1120">
        <v>10673</v>
      </c>
      <c r="B1120">
        <v>42</v>
      </c>
      <c r="C1120" s="2">
        <v>14</v>
      </c>
      <c r="D1120" s="2">
        <v>6</v>
      </c>
      <c r="E1120" s="3">
        <v>0</v>
      </c>
    </row>
    <row r="1121" spans="1:5" x14ac:dyDescent="0.2">
      <c r="A1121">
        <v>10673</v>
      </c>
      <c r="B1121">
        <v>43</v>
      </c>
      <c r="C1121" s="2">
        <v>46</v>
      </c>
      <c r="D1121" s="2">
        <v>6</v>
      </c>
      <c r="E1121" s="3">
        <v>0</v>
      </c>
    </row>
    <row r="1122" spans="1:5" x14ac:dyDescent="0.2">
      <c r="A1122">
        <v>10674</v>
      </c>
      <c r="B1122">
        <v>23</v>
      </c>
      <c r="C1122" s="2">
        <v>9</v>
      </c>
      <c r="D1122" s="2">
        <v>5</v>
      </c>
      <c r="E1122" s="3">
        <v>0</v>
      </c>
    </row>
    <row r="1123" spans="1:5" x14ac:dyDescent="0.2">
      <c r="A1123">
        <v>10675</v>
      </c>
      <c r="B1123">
        <v>14</v>
      </c>
      <c r="C1123" s="2">
        <v>23.25</v>
      </c>
      <c r="D1123" s="2">
        <v>30</v>
      </c>
      <c r="E1123" s="3">
        <v>0</v>
      </c>
    </row>
    <row r="1124" spans="1:5" x14ac:dyDescent="0.2">
      <c r="A1124">
        <v>10675</v>
      </c>
      <c r="B1124">
        <v>53</v>
      </c>
      <c r="C1124" s="2">
        <v>32.799999999999997</v>
      </c>
      <c r="D1124" s="2">
        <v>10</v>
      </c>
      <c r="E1124" s="3">
        <v>0</v>
      </c>
    </row>
    <row r="1125" spans="1:5" x14ac:dyDescent="0.2">
      <c r="A1125">
        <v>10675</v>
      </c>
      <c r="B1125">
        <v>58</v>
      </c>
      <c r="C1125" s="2">
        <v>13.25</v>
      </c>
      <c r="D1125" s="2">
        <v>30</v>
      </c>
      <c r="E1125" s="3">
        <v>0</v>
      </c>
    </row>
    <row r="1126" spans="1:5" x14ac:dyDescent="0.2">
      <c r="A1126">
        <v>10676</v>
      </c>
      <c r="B1126">
        <v>10</v>
      </c>
      <c r="C1126" s="2">
        <v>31</v>
      </c>
      <c r="D1126" s="2">
        <v>2</v>
      </c>
      <c r="E1126" s="3">
        <v>0</v>
      </c>
    </row>
    <row r="1127" spans="1:5" x14ac:dyDescent="0.2">
      <c r="A1127">
        <v>10676</v>
      </c>
      <c r="B1127">
        <v>19</v>
      </c>
      <c r="C1127" s="2">
        <v>9.1999999999999993</v>
      </c>
      <c r="D1127" s="2">
        <v>7</v>
      </c>
      <c r="E1127" s="3">
        <v>0</v>
      </c>
    </row>
    <row r="1128" spans="1:5" x14ac:dyDescent="0.2">
      <c r="A1128">
        <v>10676</v>
      </c>
      <c r="B1128">
        <v>44</v>
      </c>
      <c r="C1128" s="2">
        <v>19.45</v>
      </c>
      <c r="D1128" s="2">
        <v>21</v>
      </c>
      <c r="E1128" s="3">
        <v>0</v>
      </c>
    </row>
    <row r="1129" spans="1:5" x14ac:dyDescent="0.2">
      <c r="A1129">
        <v>10677</v>
      </c>
      <c r="B1129">
        <v>26</v>
      </c>
      <c r="C1129" s="2">
        <v>31.23</v>
      </c>
      <c r="D1129" s="2">
        <v>30</v>
      </c>
      <c r="E1129" s="3">
        <v>0.15</v>
      </c>
    </row>
    <row r="1130" spans="1:5" x14ac:dyDescent="0.2">
      <c r="A1130">
        <v>10677</v>
      </c>
      <c r="B1130">
        <v>33</v>
      </c>
      <c r="C1130" s="2">
        <v>2.5</v>
      </c>
      <c r="D1130" s="2">
        <v>8</v>
      </c>
      <c r="E1130" s="3">
        <v>0.15</v>
      </c>
    </row>
    <row r="1131" spans="1:5" x14ac:dyDescent="0.2">
      <c r="A1131">
        <v>10678</v>
      </c>
      <c r="B1131">
        <v>12</v>
      </c>
      <c r="C1131" s="2">
        <v>38</v>
      </c>
      <c r="D1131" s="2">
        <v>100</v>
      </c>
      <c r="E1131" s="3">
        <v>0</v>
      </c>
    </row>
    <row r="1132" spans="1:5" x14ac:dyDescent="0.2">
      <c r="A1132">
        <v>10678</v>
      </c>
      <c r="B1132">
        <v>33</v>
      </c>
      <c r="C1132" s="2">
        <v>2.5</v>
      </c>
      <c r="D1132" s="2">
        <v>30</v>
      </c>
      <c r="E1132" s="3">
        <v>0</v>
      </c>
    </row>
    <row r="1133" spans="1:5" x14ac:dyDescent="0.2">
      <c r="A1133">
        <v>10678</v>
      </c>
      <c r="B1133">
        <v>41</v>
      </c>
      <c r="C1133" s="2">
        <v>9.65</v>
      </c>
      <c r="D1133" s="2">
        <v>120</v>
      </c>
      <c r="E1133" s="3">
        <v>0</v>
      </c>
    </row>
    <row r="1134" spans="1:5" x14ac:dyDescent="0.2">
      <c r="A1134">
        <v>10678</v>
      </c>
      <c r="B1134">
        <v>54</v>
      </c>
      <c r="C1134" s="2">
        <v>7.45</v>
      </c>
      <c r="D1134" s="2">
        <v>30</v>
      </c>
      <c r="E1134" s="3">
        <v>0</v>
      </c>
    </row>
    <row r="1135" spans="1:5" x14ac:dyDescent="0.2">
      <c r="A1135">
        <v>10679</v>
      </c>
      <c r="B1135">
        <v>59</v>
      </c>
      <c r="C1135" s="2">
        <v>55</v>
      </c>
      <c r="D1135" s="2">
        <v>12</v>
      </c>
      <c r="E1135" s="3">
        <v>0</v>
      </c>
    </row>
    <row r="1136" spans="1:5" x14ac:dyDescent="0.2">
      <c r="A1136">
        <v>10680</v>
      </c>
      <c r="B1136">
        <v>16</v>
      </c>
      <c r="C1136" s="2">
        <v>17.45</v>
      </c>
      <c r="D1136" s="2">
        <v>50</v>
      </c>
      <c r="E1136" s="3">
        <v>0.25</v>
      </c>
    </row>
    <row r="1137" spans="1:5" x14ac:dyDescent="0.2">
      <c r="A1137">
        <v>10680</v>
      </c>
      <c r="B1137">
        <v>31</v>
      </c>
      <c r="C1137" s="2">
        <v>12.5</v>
      </c>
      <c r="D1137" s="2">
        <v>20</v>
      </c>
      <c r="E1137" s="3">
        <v>0.25</v>
      </c>
    </row>
    <row r="1138" spans="1:5" x14ac:dyDescent="0.2">
      <c r="A1138">
        <v>10680</v>
      </c>
      <c r="B1138">
        <v>42</v>
      </c>
      <c r="C1138" s="2">
        <v>14</v>
      </c>
      <c r="D1138" s="2">
        <v>40</v>
      </c>
      <c r="E1138" s="3">
        <v>0.25</v>
      </c>
    </row>
    <row r="1139" spans="1:5" x14ac:dyDescent="0.2">
      <c r="A1139">
        <v>10681</v>
      </c>
      <c r="B1139">
        <v>19</v>
      </c>
      <c r="C1139" s="2">
        <v>9.1999999999999993</v>
      </c>
      <c r="D1139" s="2">
        <v>30</v>
      </c>
      <c r="E1139" s="3">
        <v>0.1</v>
      </c>
    </row>
    <row r="1140" spans="1:5" x14ac:dyDescent="0.2">
      <c r="A1140">
        <v>10681</v>
      </c>
      <c r="B1140">
        <v>21</v>
      </c>
      <c r="C1140" s="2">
        <v>10</v>
      </c>
      <c r="D1140" s="2">
        <v>12</v>
      </c>
      <c r="E1140" s="3">
        <v>0.1</v>
      </c>
    </row>
    <row r="1141" spans="1:5" x14ac:dyDescent="0.2">
      <c r="A1141">
        <v>10681</v>
      </c>
      <c r="B1141">
        <v>64</v>
      </c>
      <c r="C1141" s="2">
        <v>33.25</v>
      </c>
      <c r="D1141" s="2">
        <v>28</v>
      </c>
      <c r="E1141" s="3">
        <v>0</v>
      </c>
    </row>
    <row r="1142" spans="1:5" x14ac:dyDescent="0.2">
      <c r="A1142">
        <v>10682</v>
      </c>
      <c r="B1142">
        <v>33</v>
      </c>
      <c r="C1142" s="2">
        <v>2.5</v>
      </c>
      <c r="D1142" s="2">
        <v>30</v>
      </c>
      <c r="E1142" s="3">
        <v>0</v>
      </c>
    </row>
    <row r="1143" spans="1:5" x14ac:dyDescent="0.2">
      <c r="A1143">
        <v>10682</v>
      </c>
      <c r="B1143">
        <v>66</v>
      </c>
      <c r="C1143" s="2">
        <v>17</v>
      </c>
      <c r="D1143" s="2">
        <v>4</v>
      </c>
      <c r="E1143" s="3">
        <v>0</v>
      </c>
    </row>
    <row r="1144" spans="1:5" x14ac:dyDescent="0.2">
      <c r="A1144">
        <v>10682</v>
      </c>
      <c r="B1144">
        <v>75</v>
      </c>
      <c r="C1144" s="2">
        <v>7.75</v>
      </c>
      <c r="D1144" s="2">
        <v>30</v>
      </c>
      <c r="E1144" s="3">
        <v>0</v>
      </c>
    </row>
    <row r="1145" spans="1:5" x14ac:dyDescent="0.2">
      <c r="A1145">
        <v>10683</v>
      </c>
      <c r="B1145">
        <v>52</v>
      </c>
      <c r="C1145" s="2">
        <v>7</v>
      </c>
      <c r="D1145" s="2">
        <v>9</v>
      </c>
      <c r="E1145" s="3">
        <v>0</v>
      </c>
    </row>
    <row r="1146" spans="1:5" x14ac:dyDescent="0.2">
      <c r="A1146">
        <v>10684</v>
      </c>
      <c r="B1146">
        <v>40</v>
      </c>
      <c r="C1146" s="2">
        <v>18.399999999999999</v>
      </c>
      <c r="D1146" s="2">
        <v>20</v>
      </c>
      <c r="E1146" s="3">
        <v>0</v>
      </c>
    </row>
    <row r="1147" spans="1:5" x14ac:dyDescent="0.2">
      <c r="A1147">
        <v>10684</v>
      </c>
      <c r="B1147">
        <v>47</v>
      </c>
      <c r="C1147" s="2">
        <v>9.5</v>
      </c>
      <c r="D1147" s="2">
        <v>40</v>
      </c>
      <c r="E1147" s="3">
        <v>0</v>
      </c>
    </row>
    <row r="1148" spans="1:5" x14ac:dyDescent="0.2">
      <c r="A1148">
        <v>10684</v>
      </c>
      <c r="B1148">
        <v>60</v>
      </c>
      <c r="C1148" s="2">
        <v>34</v>
      </c>
      <c r="D1148" s="2">
        <v>30</v>
      </c>
      <c r="E1148" s="3">
        <v>0</v>
      </c>
    </row>
    <row r="1149" spans="1:5" x14ac:dyDescent="0.2">
      <c r="A1149">
        <v>10685</v>
      </c>
      <c r="B1149">
        <v>10</v>
      </c>
      <c r="C1149" s="2">
        <v>31</v>
      </c>
      <c r="D1149" s="2">
        <v>20</v>
      </c>
      <c r="E1149" s="3">
        <v>0</v>
      </c>
    </row>
    <row r="1150" spans="1:5" x14ac:dyDescent="0.2">
      <c r="A1150">
        <v>10685</v>
      </c>
      <c r="B1150">
        <v>41</v>
      </c>
      <c r="C1150" s="2">
        <v>9.65</v>
      </c>
      <c r="D1150" s="2">
        <v>4</v>
      </c>
      <c r="E1150" s="3">
        <v>0</v>
      </c>
    </row>
    <row r="1151" spans="1:5" x14ac:dyDescent="0.2">
      <c r="A1151">
        <v>10685</v>
      </c>
      <c r="B1151">
        <v>47</v>
      </c>
      <c r="C1151" s="2">
        <v>9.5</v>
      </c>
      <c r="D1151" s="2">
        <v>15</v>
      </c>
      <c r="E1151" s="3">
        <v>0</v>
      </c>
    </row>
    <row r="1152" spans="1:5" x14ac:dyDescent="0.2">
      <c r="A1152">
        <v>10686</v>
      </c>
      <c r="B1152">
        <v>17</v>
      </c>
      <c r="C1152" s="2">
        <v>39</v>
      </c>
      <c r="D1152" s="2">
        <v>30</v>
      </c>
      <c r="E1152" s="3">
        <v>0.2</v>
      </c>
    </row>
    <row r="1153" spans="1:5" x14ac:dyDescent="0.2">
      <c r="A1153">
        <v>10686</v>
      </c>
      <c r="B1153">
        <v>26</v>
      </c>
      <c r="C1153" s="2">
        <v>31.23</v>
      </c>
      <c r="D1153" s="2">
        <v>15</v>
      </c>
      <c r="E1153" s="3">
        <v>0</v>
      </c>
    </row>
    <row r="1154" spans="1:5" x14ac:dyDescent="0.2">
      <c r="A1154">
        <v>10687</v>
      </c>
      <c r="B1154">
        <v>9</v>
      </c>
      <c r="C1154" s="2">
        <v>97</v>
      </c>
      <c r="D1154" s="2">
        <v>50</v>
      </c>
      <c r="E1154" s="3">
        <v>0.25</v>
      </c>
    </row>
    <row r="1155" spans="1:5" x14ac:dyDescent="0.2">
      <c r="A1155">
        <v>10687</v>
      </c>
      <c r="B1155">
        <v>29</v>
      </c>
      <c r="C1155" s="2">
        <v>123.79</v>
      </c>
      <c r="D1155" s="2">
        <v>10</v>
      </c>
      <c r="E1155" s="3">
        <v>0</v>
      </c>
    </row>
    <row r="1156" spans="1:5" x14ac:dyDescent="0.2">
      <c r="A1156">
        <v>10687</v>
      </c>
      <c r="B1156">
        <v>36</v>
      </c>
      <c r="C1156" s="2">
        <v>19</v>
      </c>
      <c r="D1156" s="2">
        <v>6</v>
      </c>
      <c r="E1156" s="3">
        <v>0.25</v>
      </c>
    </row>
    <row r="1157" spans="1:5" x14ac:dyDescent="0.2">
      <c r="A1157">
        <v>10688</v>
      </c>
      <c r="B1157">
        <v>10</v>
      </c>
      <c r="C1157" s="2">
        <v>31</v>
      </c>
      <c r="D1157" s="2">
        <v>18</v>
      </c>
      <c r="E1157" s="3">
        <v>0.1</v>
      </c>
    </row>
    <row r="1158" spans="1:5" x14ac:dyDescent="0.2">
      <c r="A1158">
        <v>10688</v>
      </c>
      <c r="B1158">
        <v>28</v>
      </c>
      <c r="C1158" s="2">
        <v>45.6</v>
      </c>
      <c r="D1158" s="2">
        <v>60</v>
      </c>
      <c r="E1158" s="3">
        <v>0.1</v>
      </c>
    </row>
    <row r="1159" spans="1:5" x14ac:dyDescent="0.2">
      <c r="A1159">
        <v>10688</v>
      </c>
      <c r="B1159">
        <v>34</v>
      </c>
      <c r="C1159" s="2">
        <v>14</v>
      </c>
      <c r="D1159" s="2">
        <v>14</v>
      </c>
      <c r="E1159" s="3">
        <v>0</v>
      </c>
    </row>
    <row r="1160" spans="1:5" x14ac:dyDescent="0.2">
      <c r="A1160">
        <v>10689</v>
      </c>
      <c r="B1160">
        <v>1</v>
      </c>
      <c r="C1160" s="2">
        <v>18</v>
      </c>
      <c r="D1160" s="2">
        <v>35</v>
      </c>
      <c r="E1160" s="3">
        <v>0.25</v>
      </c>
    </row>
    <row r="1161" spans="1:5" x14ac:dyDescent="0.2">
      <c r="A1161">
        <v>10690</v>
      </c>
      <c r="B1161">
        <v>56</v>
      </c>
      <c r="C1161" s="2">
        <v>38</v>
      </c>
      <c r="D1161" s="2">
        <v>20</v>
      </c>
      <c r="E1161" s="3">
        <v>0.25</v>
      </c>
    </row>
    <row r="1162" spans="1:5" x14ac:dyDescent="0.2">
      <c r="A1162">
        <v>10690</v>
      </c>
      <c r="B1162">
        <v>77</v>
      </c>
      <c r="C1162" s="2">
        <v>13</v>
      </c>
      <c r="D1162" s="2">
        <v>30</v>
      </c>
      <c r="E1162" s="3">
        <v>0.25</v>
      </c>
    </row>
    <row r="1163" spans="1:5" x14ac:dyDescent="0.2">
      <c r="A1163">
        <v>10691</v>
      </c>
      <c r="B1163">
        <v>1</v>
      </c>
      <c r="C1163" s="2">
        <v>18</v>
      </c>
      <c r="D1163" s="2">
        <v>30</v>
      </c>
      <c r="E1163" s="3">
        <v>0</v>
      </c>
    </row>
    <row r="1164" spans="1:5" x14ac:dyDescent="0.2">
      <c r="A1164">
        <v>10691</v>
      </c>
      <c r="B1164">
        <v>29</v>
      </c>
      <c r="C1164" s="2">
        <v>123.79</v>
      </c>
      <c r="D1164" s="2">
        <v>40</v>
      </c>
      <c r="E1164" s="3">
        <v>0</v>
      </c>
    </row>
    <row r="1165" spans="1:5" x14ac:dyDescent="0.2">
      <c r="A1165">
        <v>10691</v>
      </c>
      <c r="B1165">
        <v>43</v>
      </c>
      <c r="C1165" s="2">
        <v>46</v>
      </c>
      <c r="D1165" s="2">
        <v>40</v>
      </c>
      <c r="E1165" s="3">
        <v>0</v>
      </c>
    </row>
    <row r="1166" spans="1:5" x14ac:dyDescent="0.2">
      <c r="A1166">
        <v>10691</v>
      </c>
      <c r="B1166">
        <v>44</v>
      </c>
      <c r="C1166" s="2">
        <v>19.45</v>
      </c>
      <c r="D1166" s="2">
        <v>24</v>
      </c>
      <c r="E1166" s="3">
        <v>0</v>
      </c>
    </row>
    <row r="1167" spans="1:5" x14ac:dyDescent="0.2">
      <c r="A1167">
        <v>10691</v>
      </c>
      <c r="B1167">
        <v>62</v>
      </c>
      <c r="C1167" s="2">
        <v>49.3</v>
      </c>
      <c r="D1167" s="2">
        <v>48</v>
      </c>
      <c r="E1167" s="3">
        <v>0</v>
      </c>
    </row>
    <row r="1168" spans="1:5" x14ac:dyDescent="0.2">
      <c r="A1168">
        <v>10692</v>
      </c>
      <c r="B1168">
        <v>63</v>
      </c>
      <c r="C1168" s="2">
        <v>43.9</v>
      </c>
      <c r="D1168" s="2">
        <v>20</v>
      </c>
      <c r="E1168" s="3">
        <v>0</v>
      </c>
    </row>
    <row r="1169" spans="1:5" x14ac:dyDescent="0.2">
      <c r="A1169">
        <v>10693</v>
      </c>
      <c r="B1169">
        <v>9</v>
      </c>
      <c r="C1169" s="2">
        <v>97</v>
      </c>
      <c r="D1169" s="2">
        <v>6</v>
      </c>
      <c r="E1169" s="3">
        <v>0</v>
      </c>
    </row>
    <row r="1170" spans="1:5" x14ac:dyDescent="0.2">
      <c r="A1170">
        <v>10693</v>
      </c>
      <c r="B1170">
        <v>54</v>
      </c>
      <c r="C1170" s="2">
        <v>7.45</v>
      </c>
      <c r="D1170" s="2">
        <v>60</v>
      </c>
      <c r="E1170" s="3">
        <v>0.15</v>
      </c>
    </row>
    <row r="1171" spans="1:5" x14ac:dyDescent="0.2">
      <c r="A1171">
        <v>10693</v>
      </c>
      <c r="B1171">
        <v>69</v>
      </c>
      <c r="C1171" s="2">
        <v>36</v>
      </c>
      <c r="D1171" s="2">
        <v>30</v>
      </c>
      <c r="E1171" s="3">
        <v>0.15</v>
      </c>
    </row>
    <row r="1172" spans="1:5" x14ac:dyDescent="0.2">
      <c r="A1172">
        <v>10693</v>
      </c>
      <c r="B1172">
        <v>73</v>
      </c>
      <c r="C1172" s="2">
        <v>15</v>
      </c>
      <c r="D1172" s="2">
        <v>15</v>
      </c>
      <c r="E1172" s="3">
        <v>0.15</v>
      </c>
    </row>
    <row r="1173" spans="1:5" x14ac:dyDescent="0.2">
      <c r="A1173">
        <v>10694</v>
      </c>
      <c r="B1173">
        <v>7</v>
      </c>
      <c r="C1173" s="2">
        <v>30</v>
      </c>
      <c r="D1173" s="2">
        <v>90</v>
      </c>
      <c r="E1173" s="3">
        <v>0</v>
      </c>
    </row>
    <row r="1174" spans="1:5" x14ac:dyDescent="0.2">
      <c r="A1174">
        <v>10694</v>
      </c>
      <c r="B1174">
        <v>59</v>
      </c>
      <c r="C1174" s="2">
        <v>55</v>
      </c>
      <c r="D1174" s="2">
        <v>25</v>
      </c>
      <c r="E1174" s="3">
        <v>0</v>
      </c>
    </row>
    <row r="1175" spans="1:5" x14ac:dyDescent="0.2">
      <c r="A1175">
        <v>10694</v>
      </c>
      <c r="B1175">
        <v>70</v>
      </c>
      <c r="C1175" s="2">
        <v>15</v>
      </c>
      <c r="D1175" s="2">
        <v>50</v>
      </c>
      <c r="E1175" s="3">
        <v>0</v>
      </c>
    </row>
    <row r="1176" spans="1:5" x14ac:dyDescent="0.2">
      <c r="A1176">
        <v>10695</v>
      </c>
      <c r="B1176">
        <v>8</v>
      </c>
      <c r="C1176" s="2">
        <v>40</v>
      </c>
      <c r="D1176" s="2">
        <v>10</v>
      </c>
      <c r="E1176" s="3">
        <v>0</v>
      </c>
    </row>
    <row r="1177" spans="1:5" x14ac:dyDescent="0.2">
      <c r="A1177">
        <v>10695</v>
      </c>
      <c r="B1177">
        <v>12</v>
      </c>
      <c r="C1177" s="2">
        <v>38</v>
      </c>
      <c r="D1177" s="2">
        <v>4</v>
      </c>
      <c r="E1177" s="3">
        <v>0</v>
      </c>
    </row>
    <row r="1178" spans="1:5" x14ac:dyDescent="0.2">
      <c r="A1178">
        <v>10695</v>
      </c>
      <c r="B1178">
        <v>24</v>
      </c>
      <c r="C1178" s="2">
        <v>4.5</v>
      </c>
      <c r="D1178" s="2">
        <v>20</v>
      </c>
      <c r="E1178" s="3">
        <v>0</v>
      </c>
    </row>
    <row r="1179" spans="1:5" x14ac:dyDescent="0.2">
      <c r="A1179">
        <v>10696</v>
      </c>
      <c r="B1179">
        <v>17</v>
      </c>
      <c r="C1179" s="2">
        <v>39</v>
      </c>
      <c r="D1179" s="2">
        <v>20</v>
      </c>
      <c r="E1179" s="3">
        <v>0</v>
      </c>
    </row>
    <row r="1180" spans="1:5" x14ac:dyDescent="0.2">
      <c r="A1180">
        <v>10696</v>
      </c>
      <c r="B1180">
        <v>46</v>
      </c>
      <c r="C1180" s="2">
        <v>12</v>
      </c>
      <c r="D1180" s="2">
        <v>18</v>
      </c>
      <c r="E1180" s="3">
        <v>0</v>
      </c>
    </row>
    <row r="1181" spans="1:5" x14ac:dyDescent="0.2">
      <c r="A1181">
        <v>10697</v>
      </c>
      <c r="B1181">
        <v>19</v>
      </c>
      <c r="C1181" s="2">
        <v>9.1999999999999993</v>
      </c>
      <c r="D1181" s="2">
        <v>7</v>
      </c>
      <c r="E1181" s="3">
        <v>0.25</v>
      </c>
    </row>
    <row r="1182" spans="1:5" x14ac:dyDescent="0.2">
      <c r="A1182">
        <v>10697</v>
      </c>
      <c r="B1182">
        <v>35</v>
      </c>
      <c r="C1182" s="2">
        <v>18</v>
      </c>
      <c r="D1182" s="2">
        <v>9</v>
      </c>
      <c r="E1182" s="3">
        <v>0.25</v>
      </c>
    </row>
    <row r="1183" spans="1:5" x14ac:dyDescent="0.2">
      <c r="A1183">
        <v>10697</v>
      </c>
      <c r="B1183">
        <v>58</v>
      </c>
      <c r="C1183" s="2">
        <v>13.25</v>
      </c>
      <c r="D1183" s="2">
        <v>30</v>
      </c>
      <c r="E1183" s="3">
        <v>0.25</v>
      </c>
    </row>
    <row r="1184" spans="1:5" x14ac:dyDescent="0.2">
      <c r="A1184">
        <v>10697</v>
      </c>
      <c r="B1184">
        <v>70</v>
      </c>
      <c r="C1184" s="2">
        <v>15</v>
      </c>
      <c r="D1184" s="2">
        <v>30</v>
      </c>
      <c r="E1184" s="3">
        <v>0.25</v>
      </c>
    </row>
    <row r="1185" spans="1:5" x14ac:dyDescent="0.2">
      <c r="A1185">
        <v>10698</v>
      </c>
      <c r="B1185">
        <v>11</v>
      </c>
      <c r="C1185" s="2">
        <v>21</v>
      </c>
      <c r="D1185" s="2">
        <v>15</v>
      </c>
      <c r="E1185" s="3">
        <v>0</v>
      </c>
    </row>
    <row r="1186" spans="1:5" x14ac:dyDescent="0.2">
      <c r="A1186">
        <v>10698</v>
      </c>
      <c r="B1186">
        <v>17</v>
      </c>
      <c r="C1186" s="2">
        <v>39</v>
      </c>
      <c r="D1186" s="2">
        <v>8</v>
      </c>
      <c r="E1186" s="3">
        <v>0.05</v>
      </c>
    </row>
    <row r="1187" spans="1:5" x14ac:dyDescent="0.2">
      <c r="A1187">
        <v>10698</v>
      </c>
      <c r="B1187">
        <v>29</v>
      </c>
      <c r="C1187" s="2">
        <v>123.79</v>
      </c>
      <c r="D1187" s="2">
        <v>12</v>
      </c>
      <c r="E1187" s="3">
        <v>0.05</v>
      </c>
    </row>
    <row r="1188" spans="1:5" x14ac:dyDescent="0.2">
      <c r="A1188">
        <v>10698</v>
      </c>
      <c r="B1188">
        <v>65</v>
      </c>
      <c r="C1188" s="2">
        <v>21.05</v>
      </c>
      <c r="D1188" s="2">
        <v>65</v>
      </c>
      <c r="E1188" s="3">
        <v>0.05</v>
      </c>
    </row>
    <row r="1189" spans="1:5" x14ac:dyDescent="0.2">
      <c r="A1189">
        <v>10698</v>
      </c>
      <c r="B1189">
        <v>70</v>
      </c>
      <c r="C1189" s="2">
        <v>15</v>
      </c>
      <c r="D1189" s="2">
        <v>8</v>
      </c>
      <c r="E1189" s="3">
        <v>0.05</v>
      </c>
    </row>
    <row r="1190" spans="1:5" x14ac:dyDescent="0.2">
      <c r="A1190">
        <v>10699</v>
      </c>
      <c r="B1190">
        <v>47</v>
      </c>
      <c r="C1190" s="2">
        <v>9.5</v>
      </c>
      <c r="D1190" s="2">
        <v>12</v>
      </c>
      <c r="E1190" s="3">
        <v>0</v>
      </c>
    </row>
    <row r="1191" spans="1:5" x14ac:dyDescent="0.2">
      <c r="A1191">
        <v>10700</v>
      </c>
      <c r="B1191">
        <v>1</v>
      </c>
      <c r="C1191" s="2">
        <v>18</v>
      </c>
      <c r="D1191" s="2">
        <v>5</v>
      </c>
      <c r="E1191" s="3">
        <v>0.2</v>
      </c>
    </row>
    <row r="1192" spans="1:5" x14ac:dyDescent="0.2">
      <c r="A1192">
        <v>10700</v>
      </c>
      <c r="B1192">
        <v>34</v>
      </c>
      <c r="C1192" s="2">
        <v>14</v>
      </c>
      <c r="D1192" s="2">
        <v>12</v>
      </c>
      <c r="E1192" s="3">
        <v>0.2</v>
      </c>
    </row>
    <row r="1193" spans="1:5" x14ac:dyDescent="0.2">
      <c r="A1193">
        <v>10700</v>
      </c>
      <c r="B1193">
        <v>68</v>
      </c>
      <c r="C1193" s="2">
        <v>12.5</v>
      </c>
      <c r="D1193" s="2">
        <v>40</v>
      </c>
      <c r="E1193" s="3">
        <v>0.2</v>
      </c>
    </row>
    <row r="1194" spans="1:5" x14ac:dyDescent="0.2">
      <c r="A1194">
        <v>10700</v>
      </c>
      <c r="B1194">
        <v>71</v>
      </c>
      <c r="C1194" s="2">
        <v>21.5</v>
      </c>
      <c r="D1194" s="2">
        <v>60</v>
      </c>
      <c r="E1194" s="3">
        <v>0.2</v>
      </c>
    </row>
    <row r="1195" spans="1:5" x14ac:dyDescent="0.2">
      <c r="A1195">
        <v>10701</v>
      </c>
      <c r="B1195">
        <v>59</v>
      </c>
      <c r="C1195" s="2">
        <v>55</v>
      </c>
      <c r="D1195" s="2">
        <v>42</v>
      </c>
      <c r="E1195" s="3">
        <v>0.15</v>
      </c>
    </row>
    <row r="1196" spans="1:5" x14ac:dyDescent="0.2">
      <c r="A1196">
        <v>10701</v>
      </c>
      <c r="B1196">
        <v>71</v>
      </c>
      <c r="C1196" s="2">
        <v>21.5</v>
      </c>
      <c r="D1196" s="2">
        <v>20</v>
      </c>
      <c r="E1196" s="3">
        <v>0.15</v>
      </c>
    </row>
    <row r="1197" spans="1:5" x14ac:dyDescent="0.2">
      <c r="A1197">
        <v>10701</v>
      </c>
      <c r="B1197">
        <v>76</v>
      </c>
      <c r="C1197" s="2">
        <v>18</v>
      </c>
      <c r="D1197" s="2">
        <v>35</v>
      </c>
      <c r="E1197" s="3">
        <v>0.15</v>
      </c>
    </row>
    <row r="1198" spans="1:5" x14ac:dyDescent="0.2">
      <c r="A1198">
        <v>10702</v>
      </c>
      <c r="B1198">
        <v>3</v>
      </c>
      <c r="C1198" s="2">
        <v>10</v>
      </c>
      <c r="D1198" s="2">
        <v>6</v>
      </c>
      <c r="E1198" s="3">
        <v>0</v>
      </c>
    </row>
    <row r="1199" spans="1:5" x14ac:dyDescent="0.2">
      <c r="A1199">
        <v>10702</v>
      </c>
      <c r="B1199">
        <v>76</v>
      </c>
      <c r="C1199" s="2">
        <v>18</v>
      </c>
      <c r="D1199" s="2">
        <v>15</v>
      </c>
      <c r="E1199" s="3">
        <v>0</v>
      </c>
    </row>
    <row r="1200" spans="1:5" x14ac:dyDescent="0.2">
      <c r="A1200">
        <v>10703</v>
      </c>
      <c r="B1200">
        <v>2</v>
      </c>
      <c r="C1200" s="2">
        <v>19</v>
      </c>
      <c r="D1200" s="2">
        <v>5</v>
      </c>
      <c r="E1200" s="3">
        <v>0</v>
      </c>
    </row>
    <row r="1201" spans="1:5" x14ac:dyDescent="0.2">
      <c r="A1201">
        <v>10703</v>
      </c>
      <c r="B1201">
        <v>59</v>
      </c>
      <c r="C1201" s="2">
        <v>55</v>
      </c>
      <c r="D1201" s="2">
        <v>35</v>
      </c>
      <c r="E1201" s="3">
        <v>0</v>
      </c>
    </row>
    <row r="1202" spans="1:5" x14ac:dyDescent="0.2">
      <c r="A1202">
        <v>10703</v>
      </c>
      <c r="B1202">
        <v>73</v>
      </c>
      <c r="C1202" s="2">
        <v>15</v>
      </c>
      <c r="D1202" s="2">
        <v>35</v>
      </c>
      <c r="E1202" s="3">
        <v>0</v>
      </c>
    </row>
    <row r="1203" spans="1:5" x14ac:dyDescent="0.2">
      <c r="A1203">
        <v>10704</v>
      </c>
      <c r="B1203">
        <v>4</v>
      </c>
      <c r="C1203" s="2">
        <v>22</v>
      </c>
      <c r="D1203" s="2">
        <v>6</v>
      </c>
      <c r="E1203" s="3">
        <v>0</v>
      </c>
    </row>
    <row r="1204" spans="1:5" x14ac:dyDescent="0.2">
      <c r="A1204">
        <v>10704</v>
      </c>
      <c r="B1204">
        <v>24</v>
      </c>
      <c r="C1204" s="2">
        <v>4.5</v>
      </c>
      <c r="D1204" s="2">
        <v>35</v>
      </c>
      <c r="E1204" s="3">
        <v>0</v>
      </c>
    </row>
    <row r="1205" spans="1:5" x14ac:dyDescent="0.2">
      <c r="A1205">
        <v>10704</v>
      </c>
      <c r="B1205">
        <v>48</v>
      </c>
      <c r="C1205" s="2">
        <v>12.75</v>
      </c>
      <c r="D1205" s="2">
        <v>24</v>
      </c>
      <c r="E1205" s="3">
        <v>0</v>
      </c>
    </row>
    <row r="1206" spans="1:5" x14ac:dyDescent="0.2">
      <c r="A1206">
        <v>10705</v>
      </c>
      <c r="B1206">
        <v>31</v>
      </c>
      <c r="C1206" s="2">
        <v>12.5</v>
      </c>
      <c r="D1206" s="2">
        <v>20</v>
      </c>
      <c r="E1206" s="3">
        <v>0</v>
      </c>
    </row>
    <row r="1207" spans="1:5" x14ac:dyDescent="0.2">
      <c r="A1207">
        <v>10705</v>
      </c>
      <c r="B1207">
        <v>32</v>
      </c>
      <c r="C1207" s="2">
        <v>32</v>
      </c>
      <c r="D1207" s="2">
        <v>4</v>
      </c>
      <c r="E1207" s="3">
        <v>0</v>
      </c>
    </row>
    <row r="1208" spans="1:5" x14ac:dyDescent="0.2">
      <c r="A1208">
        <v>10706</v>
      </c>
      <c r="B1208">
        <v>16</v>
      </c>
      <c r="C1208" s="2">
        <v>17.45</v>
      </c>
      <c r="D1208" s="2">
        <v>20</v>
      </c>
      <c r="E1208" s="3">
        <v>0</v>
      </c>
    </row>
    <row r="1209" spans="1:5" x14ac:dyDescent="0.2">
      <c r="A1209">
        <v>10706</v>
      </c>
      <c r="B1209">
        <v>43</v>
      </c>
      <c r="C1209" s="2">
        <v>46</v>
      </c>
      <c r="D1209" s="2">
        <v>24</v>
      </c>
      <c r="E1209" s="3">
        <v>0</v>
      </c>
    </row>
    <row r="1210" spans="1:5" x14ac:dyDescent="0.2">
      <c r="A1210">
        <v>10706</v>
      </c>
      <c r="B1210">
        <v>59</v>
      </c>
      <c r="C1210" s="2">
        <v>55</v>
      </c>
      <c r="D1210" s="2">
        <v>8</v>
      </c>
      <c r="E1210" s="3">
        <v>0</v>
      </c>
    </row>
    <row r="1211" spans="1:5" x14ac:dyDescent="0.2">
      <c r="A1211">
        <v>10707</v>
      </c>
      <c r="B1211">
        <v>55</v>
      </c>
      <c r="C1211" s="2">
        <v>24</v>
      </c>
      <c r="D1211" s="2">
        <v>21</v>
      </c>
      <c r="E1211" s="3">
        <v>0</v>
      </c>
    </row>
    <row r="1212" spans="1:5" x14ac:dyDescent="0.2">
      <c r="A1212">
        <v>10707</v>
      </c>
      <c r="B1212">
        <v>57</v>
      </c>
      <c r="C1212" s="2">
        <v>19.5</v>
      </c>
      <c r="D1212" s="2">
        <v>40</v>
      </c>
      <c r="E1212" s="3">
        <v>0</v>
      </c>
    </row>
    <row r="1213" spans="1:5" x14ac:dyDescent="0.2">
      <c r="A1213">
        <v>10707</v>
      </c>
      <c r="B1213">
        <v>70</v>
      </c>
      <c r="C1213" s="2">
        <v>15</v>
      </c>
      <c r="D1213" s="2">
        <v>28</v>
      </c>
      <c r="E1213" s="3">
        <v>0.15</v>
      </c>
    </row>
    <row r="1214" spans="1:5" x14ac:dyDescent="0.2">
      <c r="A1214">
        <v>10708</v>
      </c>
      <c r="B1214">
        <v>5</v>
      </c>
      <c r="C1214" s="2">
        <v>21.35</v>
      </c>
      <c r="D1214" s="2">
        <v>4</v>
      </c>
      <c r="E1214" s="3">
        <v>0</v>
      </c>
    </row>
    <row r="1215" spans="1:5" x14ac:dyDescent="0.2">
      <c r="A1215">
        <v>10708</v>
      </c>
      <c r="B1215">
        <v>36</v>
      </c>
      <c r="C1215" s="2">
        <v>19</v>
      </c>
      <c r="D1215" s="2">
        <v>5</v>
      </c>
      <c r="E1215" s="3">
        <v>0</v>
      </c>
    </row>
    <row r="1216" spans="1:5" x14ac:dyDescent="0.2">
      <c r="A1216">
        <v>10709</v>
      </c>
      <c r="B1216">
        <v>8</v>
      </c>
      <c r="C1216" s="2">
        <v>40</v>
      </c>
      <c r="D1216" s="2">
        <v>40</v>
      </c>
      <c r="E1216" s="3">
        <v>0</v>
      </c>
    </row>
    <row r="1217" spans="1:5" x14ac:dyDescent="0.2">
      <c r="A1217">
        <v>10709</v>
      </c>
      <c r="B1217">
        <v>51</v>
      </c>
      <c r="C1217" s="2">
        <v>53</v>
      </c>
      <c r="D1217" s="2">
        <v>28</v>
      </c>
      <c r="E1217" s="3">
        <v>0</v>
      </c>
    </row>
    <row r="1218" spans="1:5" x14ac:dyDescent="0.2">
      <c r="A1218">
        <v>10709</v>
      </c>
      <c r="B1218">
        <v>60</v>
      </c>
      <c r="C1218" s="2">
        <v>34</v>
      </c>
      <c r="D1218" s="2">
        <v>10</v>
      </c>
      <c r="E1218" s="3">
        <v>0</v>
      </c>
    </row>
    <row r="1219" spans="1:5" x14ac:dyDescent="0.2">
      <c r="A1219">
        <v>10710</v>
      </c>
      <c r="B1219">
        <v>19</v>
      </c>
      <c r="C1219" s="2">
        <v>9.1999999999999993</v>
      </c>
      <c r="D1219" s="2">
        <v>5</v>
      </c>
      <c r="E1219" s="3">
        <v>0</v>
      </c>
    </row>
    <row r="1220" spans="1:5" x14ac:dyDescent="0.2">
      <c r="A1220">
        <v>10710</v>
      </c>
      <c r="B1220">
        <v>47</v>
      </c>
      <c r="C1220" s="2">
        <v>9.5</v>
      </c>
      <c r="D1220" s="2">
        <v>5</v>
      </c>
      <c r="E1220" s="3">
        <v>0</v>
      </c>
    </row>
    <row r="1221" spans="1:5" x14ac:dyDescent="0.2">
      <c r="A1221">
        <v>10711</v>
      </c>
      <c r="B1221">
        <v>19</v>
      </c>
      <c r="C1221" s="2">
        <v>9.1999999999999993</v>
      </c>
      <c r="D1221" s="2">
        <v>12</v>
      </c>
      <c r="E1221" s="3">
        <v>0</v>
      </c>
    </row>
    <row r="1222" spans="1:5" x14ac:dyDescent="0.2">
      <c r="A1222">
        <v>10711</v>
      </c>
      <c r="B1222">
        <v>41</v>
      </c>
      <c r="C1222" s="2">
        <v>9.65</v>
      </c>
      <c r="D1222" s="2">
        <v>42</v>
      </c>
      <c r="E1222" s="3">
        <v>0</v>
      </c>
    </row>
    <row r="1223" spans="1:5" x14ac:dyDescent="0.2">
      <c r="A1223">
        <v>10711</v>
      </c>
      <c r="B1223">
        <v>53</v>
      </c>
      <c r="C1223" s="2">
        <v>32.799999999999997</v>
      </c>
      <c r="D1223" s="2">
        <v>120</v>
      </c>
      <c r="E1223" s="3">
        <v>0</v>
      </c>
    </row>
    <row r="1224" spans="1:5" x14ac:dyDescent="0.2">
      <c r="A1224">
        <v>10712</v>
      </c>
      <c r="B1224">
        <v>53</v>
      </c>
      <c r="C1224" s="2">
        <v>32.799999999999997</v>
      </c>
      <c r="D1224" s="2">
        <v>3</v>
      </c>
      <c r="E1224" s="3">
        <v>0.05</v>
      </c>
    </row>
    <row r="1225" spans="1:5" x14ac:dyDescent="0.2">
      <c r="A1225">
        <v>10712</v>
      </c>
      <c r="B1225">
        <v>56</v>
      </c>
      <c r="C1225" s="2">
        <v>38</v>
      </c>
      <c r="D1225" s="2">
        <v>30</v>
      </c>
      <c r="E1225" s="3">
        <v>0</v>
      </c>
    </row>
    <row r="1226" spans="1:5" x14ac:dyDescent="0.2">
      <c r="A1226">
        <v>10713</v>
      </c>
      <c r="B1226">
        <v>10</v>
      </c>
      <c r="C1226" s="2">
        <v>31</v>
      </c>
      <c r="D1226" s="2">
        <v>18</v>
      </c>
      <c r="E1226" s="3">
        <v>0</v>
      </c>
    </row>
    <row r="1227" spans="1:5" x14ac:dyDescent="0.2">
      <c r="A1227">
        <v>10713</v>
      </c>
      <c r="B1227">
        <v>26</v>
      </c>
      <c r="C1227" s="2">
        <v>31.23</v>
      </c>
      <c r="D1227" s="2">
        <v>30</v>
      </c>
      <c r="E1227" s="3">
        <v>0</v>
      </c>
    </row>
    <row r="1228" spans="1:5" x14ac:dyDescent="0.2">
      <c r="A1228">
        <v>10713</v>
      </c>
      <c r="B1228">
        <v>45</v>
      </c>
      <c r="C1228" s="2">
        <v>9.5</v>
      </c>
      <c r="D1228" s="2">
        <v>110</v>
      </c>
      <c r="E1228" s="3">
        <v>0</v>
      </c>
    </row>
    <row r="1229" spans="1:5" x14ac:dyDescent="0.2">
      <c r="A1229">
        <v>10713</v>
      </c>
      <c r="B1229">
        <v>46</v>
      </c>
      <c r="C1229" s="2">
        <v>12</v>
      </c>
      <c r="D1229" s="2">
        <v>24</v>
      </c>
      <c r="E1229" s="3">
        <v>0</v>
      </c>
    </row>
    <row r="1230" spans="1:5" x14ac:dyDescent="0.2">
      <c r="A1230">
        <v>10714</v>
      </c>
      <c r="B1230">
        <v>2</v>
      </c>
      <c r="C1230" s="2">
        <v>19</v>
      </c>
      <c r="D1230" s="2">
        <v>30</v>
      </c>
      <c r="E1230" s="3">
        <v>0.25</v>
      </c>
    </row>
    <row r="1231" spans="1:5" x14ac:dyDescent="0.2">
      <c r="A1231">
        <v>10714</v>
      </c>
      <c r="B1231">
        <v>17</v>
      </c>
      <c r="C1231" s="2">
        <v>39</v>
      </c>
      <c r="D1231" s="2">
        <v>27</v>
      </c>
      <c r="E1231" s="3">
        <v>0.25</v>
      </c>
    </row>
    <row r="1232" spans="1:5" x14ac:dyDescent="0.2">
      <c r="A1232">
        <v>10714</v>
      </c>
      <c r="B1232">
        <v>47</v>
      </c>
      <c r="C1232" s="2">
        <v>9.5</v>
      </c>
      <c r="D1232" s="2">
        <v>50</v>
      </c>
      <c r="E1232" s="3">
        <v>0.25</v>
      </c>
    </row>
    <row r="1233" spans="1:5" x14ac:dyDescent="0.2">
      <c r="A1233">
        <v>10714</v>
      </c>
      <c r="B1233">
        <v>56</v>
      </c>
      <c r="C1233" s="2">
        <v>38</v>
      </c>
      <c r="D1233" s="2">
        <v>18</v>
      </c>
      <c r="E1233" s="3">
        <v>0.25</v>
      </c>
    </row>
    <row r="1234" spans="1:5" x14ac:dyDescent="0.2">
      <c r="A1234">
        <v>10714</v>
      </c>
      <c r="B1234">
        <v>58</v>
      </c>
      <c r="C1234" s="2">
        <v>13.25</v>
      </c>
      <c r="D1234" s="2">
        <v>12</v>
      </c>
      <c r="E1234" s="3">
        <v>0.25</v>
      </c>
    </row>
    <row r="1235" spans="1:5" x14ac:dyDescent="0.2">
      <c r="A1235">
        <v>10715</v>
      </c>
      <c r="B1235">
        <v>10</v>
      </c>
      <c r="C1235" s="2">
        <v>31</v>
      </c>
      <c r="D1235" s="2">
        <v>21</v>
      </c>
      <c r="E1235" s="3">
        <v>0</v>
      </c>
    </row>
    <row r="1236" spans="1:5" x14ac:dyDescent="0.2">
      <c r="A1236">
        <v>10715</v>
      </c>
      <c r="B1236">
        <v>71</v>
      </c>
      <c r="C1236" s="2">
        <v>21.5</v>
      </c>
      <c r="D1236" s="2">
        <v>30</v>
      </c>
      <c r="E1236" s="3">
        <v>0</v>
      </c>
    </row>
    <row r="1237" spans="1:5" x14ac:dyDescent="0.2">
      <c r="A1237">
        <v>10716</v>
      </c>
      <c r="B1237">
        <v>21</v>
      </c>
      <c r="C1237" s="2">
        <v>10</v>
      </c>
      <c r="D1237" s="2">
        <v>5</v>
      </c>
      <c r="E1237" s="3">
        <v>0</v>
      </c>
    </row>
    <row r="1238" spans="1:5" x14ac:dyDescent="0.2">
      <c r="A1238">
        <v>10716</v>
      </c>
      <c r="B1238">
        <v>51</v>
      </c>
      <c r="C1238" s="2">
        <v>53</v>
      </c>
      <c r="D1238" s="2">
        <v>7</v>
      </c>
      <c r="E1238" s="3">
        <v>0</v>
      </c>
    </row>
    <row r="1239" spans="1:5" x14ac:dyDescent="0.2">
      <c r="A1239">
        <v>10716</v>
      </c>
      <c r="B1239">
        <v>61</v>
      </c>
      <c r="C1239" s="2">
        <v>28.5</v>
      </c>
      <c r="D1239" s="2">
        <v>10</v>
      </c>
      <c r="E1239" s="3">
        <v>0</v>
      </c>
    </row>
    <row r="1240" spans="1:5" x14ac:dyDescent="0.2">
      <c r="A1240">
        <v>10717</v>
      </c>
      <c r="B1240">
        <v>21</v>
      </c>
      <c r="C1240" s="2">
        <v>10</v>
      </c>
      <c r="D1240" s="2">
        <v>32</v>
      </c>
      <c r="E1240" s="3">
        <v>0.05</v>
      </c>
    </row>
    <row r="1241" spans="1:5" x14ac:dyDescent="0.2">
      <c r="A1241">
        <v>10717</v>
      </c>
      <c r="B1241">
        <v>54</v>
      </c>
      <c r="C1241" s="2">
        <v>7.45</v>
      </c>
      <c r="D1241" s="2">
        <v>15</v>
      </c>
      <c r="E1241" s="3">
        <v>0</v>
      </c>
    </row>
    <row r="1242" spans="1:5" x14ac:dyDescent="0.2">
      <c r="A1242">
        <v>10717</v>
      </c>
      <c r="B1242">
        <v>69</v>
      </c>
      <c r="C1242" s="2">
        <v>36</v>
      </c>
      <c r="D1242" s="2">
        <v>25</v>
      </c>
      <c r="E1242" s="3">
        <v>0.05</v>
      </c>
    </row>
    <row r="1243" spans="1:5" x14ac:dyDescent="0.2">
      <c r="A1243">
        <v>10718</v>
      </c>
      <c r="B1243">
        <v>12</v>
      </c>
      <c r="C1243" s="2">
        <v>38</v>
      </c>
      <c r="D1243" s="2">
        <v>36</v>
      </c>
      <c r="E1243" s="3">
        <v>0</v>
      </c>
    </row>
    <row r="1244" spans="1:5" x14ac:dyDescent="0.2">
      <c r="A1244">
        <v>10718</v>
      </c>
      <c r="B1244">
        <v>16</v>
      </c>
      <c r="C1244" s="2">
        <v>17.45</v>
      </c>
      <c r="D1244" s="2">
        <v>20</v>
      </c>
      <c r="E1244" s="3">
        <v>0</v>
      </c>
    </row>
    <row r="1245" spans="1:5" x14ac:dyDescent="0.2">
      <c r="A1245">
        <v>10718</v>
      </c>
      <c r="B1245">
        <v>36</v>
      </c>
      <c r="C1245" s="2">
        <v>19</v>
      </c>
      <c r="D1245" s="2">
        <v>40</v>
      </c>
      <c r="E1245" s="3">
        <v>0</v>
      </c>
    </row>
    <row r="1246" spans="1:5" x14ac:dyDescent="0.2">
      <c r="A1246">
        <v>10718</v>
      </c>
      <c r="B1246">
        <v>62</v>
      </c>
      <c r="C1246" s="2">
        <v>49.3</v>
      </c>
      <c r="D1246" s="2">
        <v>20</v>
      </c>
      <c r="E1246" s="3">
        <v>0</v>
      </c>
    </row>
    <row r="1247" spans="1:5" x14ac:dyDescent="0.2">
      <c r="A1247">
        <v>10719</v>
      </c>
      <c r="B1247">
        <v>18</v>
      </c>
      <c r="C1247" s="2">
        <v>62.5</v>
      </c>
      <c r="D1247" s="2">
        <v>12</v>
      </c>
      <c r="E1247" s="3">
        <v>0.25</v>
      </c>
    </row>
    <row r="1248" spans="1:5" x14ac:dyDescent="0.2">
      <c r="A1248">
        <v>10719</v>
      </c>
      <c r="B1248">
        <v>30</v>
      </c>
      <c r="C1248" s="2">
        <v>25.89</v>
      </c>
      <c r="D1248" s="2">
        <v>3</v>
      </c>
      <c r="E1248" s="3">
        <v>0.25</v>
      </c>
    </row>
    <row r="1249" spans="1:5" x14ac:dyDescent="0.2">
      <c r="A1249">
        <v>10719</v>
      </c>
      <c r="B1249">
        <v>54</v>
      </c>
      <c r="C1249" s="2">
        <v>7.45</v>
      </c>
      <c r="D1249" s="2">
        <v>40</v>
      </c>
      <c r="E1249" s="3">
        <v>0.25</v>
      </c>
    </row>
    <row r="1250" spans="1:5" x14ac:dyDescent="0.2">
      <c r="A1250">
        <v>10720</v>
      </c>
      <c r="B1250">
        <v>35</v>
      </c>
      <c r="C1250" s="2">
        <v>18</v>
      </c>
      <c r="D1250" s="2">
        <v>21</v>
      </c>
      <c r="E1250" s="3">
        <v>0</v>
      </c>
    </row>
    <row r="1251" spans="1:5" x14ac:dyDescent="0.2">
      <c r="A1251">
        <v>10720</v>
      </c>
      <c r="B1251">
        <v>71</v>
      </c>
      <c r="C1251" s="2">
        <v>21.5</v>
      </c>
      <c r="D1251" s="2">
        <v>8</v>
      </c>
      <c r="E1251" s="3">
        <v>0</v>
      </c>
    </row>
    <row r="1252" spans="1:5" x14ac:dyDescent="0.2">
      <c r="A1252">
        <v>10721</v>
      </c>
      <c r="B1252">
        <v>44</v>
      </c>
      <c r="C1252" s="2">
        <v>19.45</v>
      </c>
      <c r="D1252" s="2">
        <v>50</v>
      </c>
      <c r="E1252" s="3">
        <v>0.05</v>
      </c>
    </row>
    <row r="1253" spans="1:5" x14ac:dyDescent="0.2">
      <c r="A1253">
        <v>10722</v>
      </c>
      <c r="B1253">
        <v>2</v>
      </c>
      <c r="C1253" s="2">
        <v>19</v>
      </c>
      <c r="D1253" s="2">
        <v>3</v>
      </c>
      <c r="E1253" s="3">
        <v>0</v>
      </c>
    </row>
    <row r="1254" spans="1:5" x14ac:dyDescent="0.2">
      <c r="A1254">
        <v>10722</v>
      </c>
      <c r="B1254">
        <v>31</v>
      </c>
      <c r="C1254" s="2">
        <v>12.5</v>
      </c>
      <c r="D1254" s="2">
        <v>50</v>
      </c>
      <c r="E1254" s="3">
        <v>0</v>
      </c>
    </row>
    <row r="1255" spans="1:5" x14ac:dyDescent="0.2">
      <c r="A1255">
        <v>10722</v>
      </c>
      <c r="B1255">
        <v>68</v>
      </c>
      <c r="C1255" s="2">
        <v>12.5</v>
      </c>
      <c r="D1255" s="2">
        <v>45</v>
      </c>
      <c r="E1255" s="3">
        <v>0</v>
      </c>
    </row>
    <row r="1256" spans="1:5" x14ac:dyDescent="0.2">
      <c r="A1256">
        <v>10722</v>
      </c>
      <c r="B1256">
        <v>75</v>
      </c>
      <c r="C1256" s="2">
        <v>7.75</v>
      </c>
      <c r="D1256" s="2">
        <v>42</v>
      </c>
      <c r="E1256" s="3">
        <v>0</v>
      </c>
    </row>
    <row r="1257" spans="1:5" x14ac:dyDescent="0.2">
      <c r="A1257">
        <v>10723</v>
      </c>
      <c r="B1257">
        <v>26</v>
      </c>
      <c r="C1257" s="2">
        <v>31.23</v>
      </c>
      <c r="D1257" s="2">
        <v>15</v>
      </c>
      <c r="E1257" s="3">
        <v>0</v>
      </c>
    </row>
    <row r="1258" spans="1:5" x14ac:dyDescent="0.2">
      <c r="A1258">
        <v>10724</v>
      </c>
      <c r="B1258">
        <v>10</v>
      </c>
      <c r="C1258" s="2">
        <v>31</v>
      </c>
      <c r="D1258" s="2">
        <v>16</v>
      </c>
      <c r="E1258" s="3">
        <v>0</v>
      </c>
    </row>
    <row r="1259" spans="1:5" x14ac:dyDescent="0.2">
      <c r="A1259">
        <v>10724</v>
      </c>
      <c r="B1259">
        <v>61</v>
      </c>
      <c r="C1259" s="2">
        <v>28.5</v>
      </c>
      <c r="D1259" s="2">
        <v>5</v>
      </c>
      <c r="E1259" s="3">
        <v>0</v>
      </c>
    </row>
    <row r="1260" spans="1:5" x14ac:dyDescent="0.2">
      <c r="A1260">
        <v>10725</v>
      </c>
      <c r="B1260">
        <v>41</v>
      </c>
      <c r="C1260" s="2">
        <v>9.65</v>
      </c>
      <c r="D1260" s="2">
        <v>12</v>
      </c>
      <c r="E1260" s="3">
        <v>0</v>
      </c>
    </row>
    <row r="1261" spans="1:5" x14ac:dyDescent="0.2">
      <c r="A1261">
        <v>10725</v>
      </c>
      <c r="B1261">
        <v>52</v>
      </c>
      <c r="C1261" s="2">
        <v>7</v>
      </c>
      <c r="D1261" s="2">
        <v>4</v>
      </c>
      <c r="E1261" s="3">
        <v>0</v>
      </c>
    </row>
    <row r="1262" spans="1:5" x14ac:dyDescent="0.2">
      <c r="A1262">
        <v>10725</v>
      </c>
      <c r="B1262">
        <v>55</v>
      </c>
      <c r="C1262" s="2">
        <v>24</v>
      </c>
      <c r="D1262" s="2">
        <v>6</v>
      </c>
      <c r="E1262" s="3">
        <v>0</v>
      </c>
    </row>
    <row r="1263" spans="1:5" x14ac:dyDescent="0.2">
      <c r="A1263">
        <v>10726</v>
      </c>
      <c r="B1263">
        <v>4</v>
      </c>
      <c r="C1263" s="2">
        <v>22</v>
      </c>
      <c r="D1263" s="2">
        <v>25</v>
      </c>
      <c r="E1263" s="3">
        <v>0</v>
      </c>
    </row>
    <row r="1264" spans="1:5" x14ac:dyDescent="0.2">
      <c r="A1264">
        <v>10726</v>
      </c>
      <c r="B1264">
        <v>11</v>
      </c>
      <c r="C1264" s="2">
        <v>21</v>
      </c>
      <c r="D1264" s="2">
        <v>5</v>
      </c>
      <c r="E1264" s="3">
        <v>0</v>
      </c>
    </row>
    <row r="1265" spans="1:5" x14ac:dyDescent="0.2">
      <c r="A1265">
        <v>10727</v>
      </c>
      <c r="B1265">
        <v>17</v>
      </c>
      <c r="C1265" s="2">
        <v>39</v>
      </c>
      <c r="D1265" s="2">
        <v>20</v>
      </c>
      <c r="E1265" s="3">
        <v>0.05</v>
      </c>
    </row>
    <row r="1266" spans="1:5" x14ac:dyDescent="0.2">
      <c r="A1266">
        <v>10727</v>
      </c>
      <c r="B1266">
        <v>56</v>
      </c>
      <c r="C1266" s="2">
        <v>38</v>
      </c>
      <c r="D1266" s="2">
        <v>10</v>
      </c>
      <c r="E1266" s="3">
        <v>0.05</v>
      </c>
    </row>
    <row r="1267" spans="1:5" x14ac:dyDescent="0.2">
      <c r="A1267">
        <v>10727</v>
      </c>
      <c r="B1267">
        <v>59</v>
      </c>
      <c r="C1267" s="2">
        <v>55</v>
      </c>
      <c r="D1267" s="2">
        <v>10</v>
      </c>
      <c r="E1267" s="3">
        <v>0.05</v>
      </c>
    </row>
    <row r="1268" spans="1:5" x14ac:dyDescent="0.2">
      <c r="A1268">
        <v>10728</v>
      </c>
      <c r="B1268">
        <v>30</v>
      </c>
      <c r="C1268" s="2">
        <v>25.89</v>
      </c>
      <c r="D1268" s="2">
        <v>15</v>
      </c>
      <c r="E1268" s="3">
        <v>0</v>
      </c>
    </row>
    <row r="1269" spans="1:5" x14ac:dyDescent="0.2">
      <c r="A1269">
        <v>10728</v>
      </c>
      <c r="B1269">
        <v>40</v>
      </c>
      <c r="C1269" s="2">
        <v>18.399999999999999</v>
      </c>
      <c r="D1269" s="2">
        <v>6</v>
      </c>
      <c r="E1269" s="3">
        <v>0</v>
      </c>
    </row>
    <row r="1270" spans="1:5" x14ac:dyDescent="0.2">
      <c r="A1270">
        <v>10728</v>
      </c>
      <c r="B1270">
        <v>55</v>
      </c>
      <c r="C1270" s="2">
        <v>24</v>
      </c>
      <c r="D1270" s="2">
        <v>12</v>
      </c>
      <c r="E1270" s="3">
        <v>0</v>
      </c>
    </row>
    <row r="1271" spans="1:5" x14ac:dyDescent="0.2">
      <c r="A1271">
        <v>10728</v>
      </c>
      <c r="B1271">
        <v>60</v>
      </c>
      <c r="C1271" s="2">
        <v>34</v>
      </c>
      <c r="D1271" s="2">
        <v>15</v>
      </c>
      <c r="E1271" s="3">
        <v>0</v>
      </c>
    </row>
    <row r="1272" spans="1:5" x14ac:dyDescent="0.2">
      <c r="A1272">
        <v>10729</v>
      </c>
      <c r="B1272">
        <v>1</v>
      </c>
      <c r="C1272" s="2">
        <v>18</v>
      </c>
      <c r="D1272" s="2">
        <v>50</v>
      </c>
      <c r="E1272" s="3">
        <v>0</v>
      </c>
    </row>
    <row r="1273" spans="1:5" x14ac:dyDescent="0.2">
      <c r="A1273">
        <v>10729</v>
      </c>
      <c r="B1273">
        <v>21</v>
      </c>
      <c r="C1273" s="2">
        <v>10</v>
      </c>
      <c r="D1273" s="2">
        <v>30</v>
      </c>
      <c r="E1273" s="3">
        <v>0</v>
      </c>
    </row>
    <row r="1274" spans="1:5" x14ac:dyDescent="0.2">
      <c r="A1274">
        <v>10729</v>
      </c>
      <c r="B1274">
        <v>50</v>
      </c>
      <c r="C1274" s="2">
        <v>16.25</v>
      </c>
      <c r="D1274" s="2">
        <v>40</v>
      </c>
      <c r="E1274" s="3">
        <v>0</v>
      </c>
    </row>
    <row r="1275" spans="1:5" x14ac:dyDescent="0.2">
      <c r="A1275">
        <v>10730</v>
      </c>
      <c r="B1275">
        <v>16</v>
      </c>
      <c r="C1275" s="2">
        <v>17.45</v>
      </c>
      <c r="D1275" s="2">
        <v>15</v>
      </c>
      <c r="E1275" s="3">
        <v>0.05</v>
      </c>
    </row>
    <row r="1276" spans="1:5" x14ac:dyDescent="0.2">
      <c r="A1276">
        <v>10730</v>
      </c>
      <c r="B1276">
        <v>31</v>
      </c>
      <c r="C1276" s="2">
        <v>12.5</v>
      </c>
      <c r="D1276" s="2">
        <v>3</v>
      </c>
      <c r="E1276" s="3">
        <v>0.05</v>
      </c>
    </row>
    <row r="1277" spans="1:5" x14ac:dyDescent="0.2">
      <c r="A1277">
        <v>10730</v>
      </c>
      <c r="B1277">
        <v>65</v>
      </c>
      <c r="C1277" s="2">
        <v>21.05</v>
      </c>
      <c r="D1277" s="2">
        <v>10</v>
      </c>
      <c r="E1277" s="3">
        <v>0.05</v>
      </c>
    </row>
    <row r="1278" spans="1:5" x14ac:dyDescent="0.2">
      <c r="A1278">
        <v>10731</v>
      </c>
      <c r="B1278">
        <v>21</v>
      </c>
      <c r="C1278" s="2">
        <v>10</v>
      </c>
      <c r="D1278" s="2">
        <v>40</v>
      </c>
      <c r="E1278" s="3">
        <v>0.05</v>
      </c>
    </row>
    <row r="1279" spans="1:5" x14ac:dyDescent="0.2">
      <c r="A1279">
        <v>10731</v>
      </c>
      <c r="B1279">
        <v>51</v>
      </c>
      <c r="C1279" s="2">
        <v>53</v>
      </c>
      <c r="D1279" s="2">
        <v>30</v>
      </c>
      <c r="E1279" s="3">
        <v>0.05</v>
      </c>
    </row>
    <row r="1280" spans="1:5" x14ac:dyDescent="0.2">
      <c r="A1280">
        <v>10732</v>
      </c>
      <c r="B1280">
        <v>76</v>
      </c>
      <c r="C1280" s="2">
        <v>18</v>
      </c>
      <c r="D1280" s="2">
        <v>20</v>
      </c>
      <c r="E1280" s="3">
        <v>0</v>
      </c>
    </row>
    <row r="1281" spans="1:5" x14ac:dyDescent="0.2">
      <c r="A1281">
        <v>10733</v>
      </c>
      <c r="B1281">
        <v>14</v>
      </c>
      <c r="C1281" s="2">
        <v>23.25</v>
      </c>
      <c r="D1281" s="2">
        <v>16</v>
      </c>
      <c r="E1281" s="3">
        <v>0</v>
      </c>
    </row>
    <row r="1282" spans="1:5" x14ac:dyDescent="0.2">
      <c r="A1282">
        <v>10733</v>
      </c>
      <c r="B1282">
        <v>28</v>
      </c>
      <c r="C1282" s="2">
        <v>45.6</v>
      </c>
      <c r="D1282" s="2">
        <v>20</v>
      </c>
      <c r="E1282" s="3">
        <v>0</v>
      </c>
    </row>
    <row r="1283" spans="1:5" x14ac:dyDescent="0.2">
      <c r="A1283">
        <v>10733</v>
      </c>
      <c r="B1283">
        <v>52</v>
      </c>
      <c r="C1283" s="2">
        <v>7</v>
      </c>
      <c r="D1283" s="2">
        <v>25</v>
      </c>
      <c r="E1283" s="3">
        <v>0</v>
      </c>
    </row>
    <row r="1284" spans="1:5" x14ac:dyDescent="0.2">
      <c r="A1284">
        <v>10734</v>
      </c>
      <c r="B1284">
        <v>6</v>
      </c>
      <c r="C1284" s="2">
        <v>25</v>
      </c>
      <c r="D1284" s="2">
        <v>30</v>
      </c>
      <c r="E1284" s="3">
        <v>0</v>
      </c>
    </row>
    <row r="1285" spans="1:5" x14ac:dyDescent="0.2">
      <c r="A1285">
        <v>10734</v>
      </c>
      <c r="B1285">
        <v>30</v>
      </c>
      <c r="C1285" s="2">
        <v>25.89</v>
      </c>
      <c r="D1285" s="2">
        <v>15</v>
      </c>
      <c r="E1285" s="3">
        <v>0</v>
      </c>
    </row>
    <row r="1286" spans="1:5" x14ac:dyDescent="0.2">
      <c r="A1286">
        <v>10734</v>
      </c>
      <c r="B1286">
        <v>76</v>
      </c>
      <c r="C1286" s="2">
        <v>18</v>
      </c>
      <c r="D1286" s="2">
        <v>20</v>
      </c>
      <c r="E1286" s="3">
        <v>0</v>
      </c>
    </row>
    <row r="1287" spans="1:5" x14ac:dyDescent="0.2">
      <c r="A1287">
        <v>10735</v>
      </c>
      <c r="B1287">
        <v>61</v>
      </c>
      <c r="C1287" s="2">
        <v>28.5</v>
      </c>
      <c r="D1287" s="2">
        <v>20</v>
      </c>
      <c r="E1287" s="3">
        <v>0.1</v>
      </c>
    </row>
    <row r="1288" spans="1:5" x14ac:dyDescent="0.2">
      <c r="A1288">
        <v>10735</v>
      </c>
      <c r="B1288">
        <v>77</v>
      </c>
      <c r="C1288" s="2">
        <v>13</v>
      </c>
      <c r="D1288" s="2">
        <v>2</v>
      </c>
      <c r="E1288" s="3">
        <v>0.1</v>
      </c>
    </row>
    <row r="1289" spans="1:5" x14ac:dyDescent="0.2">
      <c r="A1289">
        <v>10736</v>
      </c>
      <c r="B1289">
        <v>65</v>
      </c>
      <c r="C1289" s="2">
        <v>21.05</v>
      </c>
      <c r="D1289" s="2">
        <v>40</v>
      </c>
      <c r="E1289" s="3">
        <v>0</v>
      </c>
    </row>
    <row r="1290" spans="1:5" x14ac:dyDescent="0.2">
      <c r="A1290">
        <v>10736</v>
      </c>
      <c r="B1290">
        <v>75</v>
      </c>
      <c r="C1290" s="2">
        <v>7.75</v>
      </c>
      <c r="D1290" s="2">
        <v>20</v>
      </c>
      <c r="E1290" s="3">
        <v>0</v>
      </c>
    </row>
    <row r="1291" spans="1:5" x14ac:dyDescent="0.2">
      <c r="A1291">
        <v>10737</v>
      </c>
      <c r="B1291">
        <v>13</v>
      </c>
      <c r="C1291" s="2">
        <v>6</v>
      </c>
      <c r="D1291" s="2">
        <v>4</v>
      </c>
      <c r="E1291" s="3">
        <v>0</v>
      </c>
    </row>
    <row r="1292" spans="1:5" x14ac:dyDescent="0.2">
      <c r="A1292">
        <v>10737</v>
      </c>
      <c r="B1292">
        <v>41</v>
      </c>
      <c r="C1292" s="2">
        <v>9.65</v>
      </c>
      <c r="D1292" s="2">
        <v>12</v>
      </c>
      <c r="E1292" s="3">
        <v>0</v>
      </c>
    </row>
    <row r="1293" spans="1:5" x14ac:dyDescent="0.2">
      <c r="A1293">
        <v>10738</v>
      </c>
      <c r="B1293">
        <v>16</v>
      </c>
      <c r="C1293" s="2">
        <v>17.45</v>
      </c>
      <c r="D1293" s="2">
        <v>3</v>
      </c>
      <c r="E1293" s="3">
        <v>0</v>
      </c>
    </row>
    <row r="1294" spans="1:5" x14ac:dyDescent="0.2">
      <c r="A1294">
        <v>10739</v>
      </c>
      <c r="B1294">
        <v>36</v>
      </c>
      <c r="C1294" s="2">
        <v>19</v>
      </c>
      <c r="D1294" s="2">
        <v>6</v>
      </c>
      <c r="E1294" s="3">
        <v>0</v>
      </c>
    </row>
    <row r="1295" spans="1:5" x14ac:dyDescent="0.2">
      <c r="A1295">
        <v>10739</v>
      </c>
      <c r="B1295">
        <v>52</v>
      </c>
      <c r="C1295" s="2">
        <v>7</v>
      </c>
      <c r="D1295" s="2">
        <v>18</v>
      </c>
      <c r="E1295" s="3">
        <v>0</v>
      </c>
    </row>
    <row r="1296" spans="1:5" x14ac:dyDescent="0.2">
      <c r="A1296">
        <v>10740</v>
      </c>
      <c r="B1296">
        <v>28</v>
      </c>
      <c r="C1296" s="2">
        <v>45.6</v>
      </c>
      <c r="D1296" s="2">
        <v>5</v>
      </c>
      <c r="E1296" s="3">
        <v>0.2</v>
      </c>
    </row>
    <row r="1297" spans="1:5" x14ac:dyDescent="0.2">
      <c r="A1297">
        <v>10740</v>
      </c>
      <c r="B1297">
        <v>35</v>
      </c>
      <c r="C1297" s="2">
        <v>18</v>
      </c>
      <c r="D1297" s="2">
        <v>35</v>
      </c>
      <c r="E1297" s="3">
        <v>0.2</v>
      </c>
    </row>
    <row r="1298" spans="1:5" x14ac:dyDescent="0.2">
      <c r="A1298">
        <v>10740</v>
      </c>
      <c r="B1298">
        <v>45</v>
      </c>
      <c r="C1298" s="2">
        <v>9.5</v>
      </c>
      <c r="D1298" s="2">
        <v>40</v>
      </c>
      <c r="E1298" s="3">
        <v>0.2</v>
      </c>
    </row>
    <row r="1299" spans="1:5" x14ac:dyDescent="0.2">
      <c r="A1299">
        <v>10740</v>
      </c>
      <c r="B1299">
        <v>56</v>
      </c>
      <c r="C1299" s="2">
        <v>38</v>
      </c>
      <c r="D1299" s="2">
        <v>14</v>
      </c>
      <c r="E1299" s="3">
        <v>0.2</v>
      </c>
    </row>
    <row r="1300" spans="1:5" x14ac:dyDescent="0.2">
      <c r="A1300">
        <v>10741</v>
      </c>
      <c r="B1300">
        <v>2</v>
      </c>
      <c r="C1300" s="2">
        <v>19</v>
      </c>
      <c r="D1300" s="2">
        <v>15</v>
      </c>
      <c r="E1300" s="3">
        <v>0.2</v>
      </c>
    </row>
    <row r="1301" spans="1:5" x14ac:dyDescent="0.2">
      <c r="A1301">
        <v>10742</v>
      </c>
      <c r="B1301">
        <v>3</v>
      </c>
      <c r="C1301" s="2">
        <v>10</v>
      </c>
      <c r="D1301" s="2">
        <v>20</v>
      </c>
      <c r="E1301" s="3">
        <v>0</v>
      </c>
    </row>
    <row r="1302" spans="1:5" x14ac:dyDescent="0.2">
      <c r="A1302">
        <v>10742</v>
      </c>
      <c r="B1302">
        <v>60</v>
      </c>
      <c r="C1302" s="2">
        <v>34</v>
      </c>
      <c r="D1302" s="2">
        <v>50</v>
      </c>
      <c r="E1302" s="3">
        <v>0</v>
      </c>
    </row>
    <row r="1303" spans="1:5" x14ac:dyDescent="0.2">
      <c r="A1303">
        <v>10742</v>
      </c>
      <c r="B1303">
        <v>72</v>
      </c>
      <c r="C1303" s="2">
        <v>34.799999999999997</v>
      </c>
      <c r="D1303" s="2">
        <v>35</v>
      </c>
      <c r="E1303" s="3">
        <v>0</v>
      </c>
    </row>
    <row r="1304" spans="1:5" x14ac:dyDescent="0.2">
      <c r="A1304">
        <v>10743</v>
      </c>
      <c r="B1304">
        <v>46</v>
      </c>
      <c r="C1304" s="2">
        <v>12</v>
      </c>
      <c r="D1304" s="2">
        <v>28</v>
      </c>
      <c r="E1304" s="3">
        <v>0.05</v>
      </c>
    </row>
    <row r="1305" spans="1:5" x14ac:dyDescent="0.2">
      <c r="A1305">
        <v>10744</v>
      </c>
      <c r="B1305">
        <v>40</v>
      </c>
      <c r="C1305" s="2">
        <v>18.399999999999999</v>
      </c>
      <c r="D1305" s="2">
        <v>50</v>
      </c>
      <c r="E1305" s="3">
        <v>0.2</v>
      </c>
    </row>
    <row r="1306" spans="1:5" x14ac:dyDescent="0.2">
      <c r="A1306">
        <v>10745</v>
      </c>
      <c r="B1306">
        <v>18</v>
      </c>
      <c r="C1306" s="2">
        <v>62.5</v>
      </c>
      <c r="D1306" s="2">
        <v>24</v>
      </c>
      <c r="E1306" s="3">
        <v>0</v>
      </c>
    </row>
    <row r="1307" spans="1:5" x14ac:dyDescent="0.2">
      <c r="A1307">
        <v>10745</v>
      </c>
      <c r="B1307">
        <v>44</v>
      </c>
      <c r="C1307" s="2">
        <v>19.45</v>
      </c>
      <c r="D1307" s="2">
        <v>16</v>
      </c>
      <c r="E1307" s="3">
        <v>0</v>
      </c>
    </row>
    <row r="1308" spans="1:5" x14ac:dyDescent="0.2">
      <c r="A1308">
        <v>10745</v>
      </c>
      <c r="B1308">
        <v>59</v>
      </c>
      <c r="C1308" s="2">
        <v>55</v>
      </c>
      <c r="D1308" s="2">
        <v>45</v>
      </c>
      <c r="E1308" s="3">
        <v>0</v>
      </c>
    </row>
    <row r="1309" spans="1:5" x14ac:dyDescent="0.2">
      <c r="A1309">
        <v>10745</v>
      </c>
      <c r="B1309">
        <v>72</v>
      </c>
      <c r="C1309" s="2">
        <v>34.799999999999997</v>
      </c>
      <c r="D1309" s="2">
        <v>7</v>
      </c>
      <c r="E1309" s="3">
        <v>0</v>
      </c>
    </row>
    <row r="1310" spans="1:5" x14ac:dyDescent="0.2">
      <c r="A1310">
        <v>10746</v>
      </c>
      <c r="B1310">
        <v>13</v>
      </c>
      <c r="C1310" s="2">
        <v>6</v>
      </c>
      <c r="D1310" s="2">
        <v>6</v>
      </c>
      <c r="E1310" s="3">
        <v>0</v>
      </c>
    </row>
    <row r="1311" spans="1:5" x14ac:dyDescent="0.2">
      <c r="A1311">
        <v>10746</v>
      </c>
      <c r="B1311">
        <v>42</v>
      </c>
      <c r="C1311" s="2">
        <v>14</v>
      </c>
      <c r="D1311" s="2">
        <v>28</v>
      </c>
      <c r="E1311" s="3">
        <v>0</v>
      </c>
    </row>
    <row r="1312" spans="1:5" x14ac:dyDescent="0.2">
      <c r="A1312">
        <v>10746</v>
      </c>
      <c r="B1312">
        <v>62</v>
      </c>
      <c r="C1312" s="2">
        <v>49.3</v>
      </c>
      <c r="D1312" s="2">
        <v>9</v>
      </c>
      <c r="E1312" s="3">
        <v>0</v>
      </c>
    </row>
    <row r="1313" spans="1:5" x14ac:dyDescent="0.2">
      <c r="A1313">
        <v>10746</v>
      </c>
      <c r="B1313">
        <v>69</v>
      </c>
      <c r="C1313" s="2">
        <v>36</v>
      </c>
      <c r="D1313" s="2">
        <v>40</v>
      </c>
      <c r="E1313" s="3">
        <v>0</v>
      </c>
    </row>
    <row r="1314" spans="1:5" x14ac:dyDescent="0.2">
      <c r="A1314">
        <v>10747</v>
      </c>
      <c r="B1314">
        <v>31</v>
      </c>
      <c r="C1314" s="2">
        <v>12.5</v>
      </c>
      <c r="D1314" s="2">
        <v>8</v>
      </c>
      <c r="E1314" s="3">
        <v>0</v>
      </c>
    </row>
    <row r="1315" spans="1:5" x14ac:dyDescent="0.2">
      <c r="A1315">
        <v>10747</v>
      </c>
      <c r="B1315">
        <v>41</v>
      </c>
      <c r="C1315" s="2">
        <v>9.65</v>
      </c>
      <c r="D1315" s="2">
        <v>35</v>
      </c>
      <c r="E1315" s="3">
        <v>0</v>
      </c>
    </row>
    <row r="1316" spans="1:5" x14ac:dyDescent="0.2">
      <c r="A1316">
        <v>10747</v>
      </c>
      <c r="B1316">
        <v>63</v>
      </c>
      <c r="C1316" s="2">
        <v>43.9</v>
      </c>
      <c r="D1316" s="2">
        <v>9</v>
      </c>
      <c r="E1316" s="3">
        <v>0</v>
      </c>
    </row>
    <row r="1317" spans="1:5" x14ac:dyDescent="0.2">
      <c r="A1317">
        <v>10747</v>
      </c>
      <c r="B1317">
        <v>69</v>
      </c>
      <c r="C1317" s="2">
        <v>36</v>
      </c>
      <c r="D1317" s="2">
        <v>30</v>
      </c>
      <c r="E1317" s="3">
        <v>0</v>
      </c>
    </row>
    <row r="1318" spans="1:5" x14ac:dyDescent="0.2">
      <c r="A1318">
        <v>10748</v>
      </c>
      <c r="B1318">
        <v>23</v>
      </c>
      <c r="C1318" s="2">
        <v>9</v>
      </c>
      <c r="D1318" s="2">
        <v>44</v>
      </c>
      <c r="E1318" s="3">
        <v>0</v>
      </c>
    </row>
    <row r="1319" spans="1:5" x14ac:dyDescent="0.2">
      <c r="A1319">
        <v>10748</v>
      </c>
      <c r="B1319">
        <v>40</v>
      </c>
      <c r="C1319" s="2">
        <v>18.399999999999999</v>
      </c>
      <c r="D1319" s="2">
        <v>40</v>
      </c>
      <c r="E1319" s="3">
        <v>0</v>
      </c>
    </row>
    <row r="1320" spans="1:5" x14ac:dyDescent="0.2">
      <c r="A1320">
        <v>10748</v>
      </c>
      <c r="B1320">
        <v>56</v>
      </c>
      <c r="C1320" s="2">
        <v>38</v>
      </c>
      <c r="D1320" s="2">
        <v>28</v>
      </c>
      <c r="E1320" s="3">
        <v>0</v>
      </c>
    </row>
    <row r="1321" spans="1:5" x14ac:dyDescent="0.2">
      <c r="A1321">
        <v>10749</v>
      </c>
      <c r="B1321">
        <v>56</v>
      </c>
      <c r="C1321" s="2">
        <v>38</v>
      </c>
      <c r="D1321" s="2">
        <v>15</v>
      </c>
      <c r="E1321" s="3">
        <v>0</v>
      </c>
    </row>
    <row r="1322" spans="1:5" x14ac:dyDescent="0.2">
      <c r="A1322">
        <v>10749</v>
      </c>
      <c r="B1322">
        <v>59</v>
      </c>
      <c r="C1322" s="2">
        <v>55</v>
      </c>
      <c r="D1322" s="2">
        <v>6</v>
      </c>
      <c r="E1322" s="3">
        <v>0</v>
      </c>
    </row>
    <row r="1323" spans="1:5" x14ac:dyDescent="0.2">
      <c r="A1323">
        <v>10749</v>
      </c>
      <c r="B1323">
        <v>76</v>
      </c>
      <c r="C1323" s="2">
        <v>18</v>
      </c>
      <c r="D1323" s="2">
        <v>10</v>
      </c>
      <c r="E1323" s="3">
        <v>0</v>
      </c>
    </row>
    <row r="1324" spans="1:5" x14ac:dyDescent="0.2">
      <c r="A1324">
        <v>10750</v>
      </c>
      <c r="B1324">
        <v>14</v>
      </c>
      <c r="C1324" s="2">
        <v>23.25</v>
      </c>
      <c r="D1324" s="2">
        <v>5</v>
      </c>
      <c r="E1324" s="3">
        <v>0.15</v>
      </c>
    </row>
    <row r="1325" spans="1:5" x14ac:dyDescent="0.2">
      <c r="A1325">
        <v>10750</v>
      </c>
      <c r="B1325">
        <v>45</v>
      </c>
      <c r="C1325" s="2">
        <v>9.5</v>
      </c>
      <c r="D1325" s="2">
        <v>40</v>
      </c>
      <c r="E1325" s="3">
        <v>0.15</v>
      </c>
    </row>
    <row r="1326" spans="1:5" x14ac:dyDescent="0.2">
      <c r="A1326">
        <v>10750</v>
      </c>
      <c r="B1326">
        <v>59</v>
      </c>
      <c r="C1326" s="2">
        <v>55</v>
      </c>
      <c r="D1326" s="2">
        <v>25</v>
      </c>
      <c r="E1326" s="3">
        <v>0.15</v>
      </c>
    </row>
    <row r="1327" spans="1:5" x14ac:dyDescent="0.2">
      <c r="A1327">
        <v>10751</v>
      </c>
      <c r="B1327">
        <v>26</v>
      </c>
      <c r="C1327" s="2">
        <v>31.23</v>
      </c>
      <c r="D1327" s="2">
        <v>12</v>
      </c>
      <c r="E1327" s="3">
        <v>0.1</v>
      </c>
    </row>
    <row r="1328" spans="1:5" x14ac:dyDescent="0.2">
      <c r="A1328">
        <v>10751</v>
      </c>
      <c r="B1328">
        <v>30</v>
      </c>
      <c r="C1328" s="2">
        <v>25.89</v>
      </c>
      <c r="D1328" s="2">
        <v>30</v>
      </c>
      <c r="E1328" s="3">
        <v>0</v>
      </c>
    </row>
    <row r="1329" spans="1:5" x14ac:dyDescent="0.2">
      <c r="A1329">
        <v>10751</v>
      </c>
      <c r="B1329">
        <v>50</v>
      </c>
      <c r="C1329" s="2">
        <v>16.25</v>
      </c>
      <c r="D1329" s="2">
        <v>20</v>
      </c>
      <c r="E1329" s="3">
        <v>0.1</v>
      </c>
    </row>
    <row r="1330" spans="1:5" x14ac:dyDescent="0.2">
      <c r="A1330">
        <v>10751</v>
      </c>
      <c r="B1330">
        <v>73</v>
      </c>
      <c r="C1330" s="2">
        <v>15</v>
      </c>
      <c r="D1330" s="2">
        <v>15</v>
      </c>
      <c r="E1330" s="3">
        <v>0</v>
      </c>
    </row>
    <row r="1331" spans="1:5" x14ac:dyDescent="0.2">
      <c r="A1331">
        <v>10752</v>
      </c>
      <c r="B1331">
        <v>1</v>
      </c>
      <c r="C1331" s="2">
        <v>18</v>
      </c>
      <c r="D1331" s="2">
        <v>8</v>
      </c>
      <c r="E1331" s="3">
        <v>0</v>
      </c>
    </row>
    <row r="1332" spans="1:5" x14ac:dyDescent="0.2">
      <c r="A1332">
        <v>10752</v>
      </c>
      <c r="B1332">
        <v>69</v>
      </c>
      <c r="C1332" s="2">
        <v>36</v>
      </c>
      <c r="D1332" s="2">
        <v>3</v>
      </c>
      <c r="E1332" s="3">
        <v>0</v>
      </c>
    </row>
    <row r="1333" spans="1:5" x14ac:dyDescent="0.2">
      <c r="A1333">
        <v>10753</v>
      </c>
      <c r="B1333">
        <v>45</v>
      </c>
      <c r="C1333" s="2">
        <v>9.5</v>
      </c>
      <c r="D1333" s="2">
        <v>4</v>
      </c>
      <c r="E1333" s="3">
        <v>0</v>
      </c>
    </row>
    <row r="1334" spans="1:5" x14ac:dyDescent="0.2">
      <c r="A1334">
        <v>10753</v>
      </c>
      <c r="B1334">
        <v>74</v>
      </c>
      <c r="C1334" s="2">
        <v>10</v>
      </c>
      <c r="D1334" s="2">
        <v>5</v>
      </c>
      <c r="E1334" s="3">
        <v>0</v>
      </c>
    </row>
    <row r="1335" spans="1:5" x14ac:dyDescent="0.2">
      <c r="A1335">
        <v>10754</v>
      </c>
      <c r="B1335">
        <v>40</v>
      </c>
      <c r="C1335" s="2">
        <v>18.399999999999999</v>
      </c>
      <c r="D1335" s="2">
        <v>3</v>
      </c>
      <c r="E1335" s="3">
        <v>0</v>
      </c>
    </row>
    <row r="1336" spans="1:5" x14ac:dyDescent="0.2">
      <c r="A1336">
        <v>10755</v>
      </c>
      <c r="B1336">
        <v>47</v>
      </c>
      <c r="C1336" s="2">
        <v>9.5</v>
      </c>
      <c r="D1336" s="2">
        <v>30</v>
      </c>
      <c r="E1336" s="3">
        <v>0.25</v>
      </c>
    </row>
    <row r="1337" spans="1:5" x14ac:dyDescent="0.2">
      <c r="A1337">
        <v>10755</v>
      </c>
      <c r="B1337">
        <v>56</v>
      </c>
      <c r="C1337" s="2">
        <v>38</v>
      </c>
      <c r="D1337" s="2">
        <v>30</v>
      </c>
      <c r="E1337" s="3">
        <v>0.25</v>
      </c>
    </row>
    <row r="1338" spans="1:5" x14ac:dyDescent="0.2">
      <c r="A1338">
        <v>10755</v>
      </c>
      <c r="B1338">
        <v>57</v>
      </c>
      <c r="C1338" s="2">
        <v>19.5</v>
      </c>
      <c r="D1338" s="2">
        <v>14</v>
      </c>
      <c r="E1338" s="3">
        <v>0.25</v>
      </c>
    </row>
    <row r="1339" spans="1:5" x14ac:dyDescent="0.2">
      <c r="A1339">
        <v>10755</v>
      </c>
      <c r="B1339">
        <v>69</v>
      </c>
      <c r="C1339" s="2">
        <v>36</v>
      </c>
      <c r="D1339" s="2">
        <v>25</v>
      </c>
      <c r="E1339" s="3">
        <v>0.25</v>
      </c>
    </row>
    <row r="1340" spans="1:5" x14ac:dyDescent="0.2">
      <c r="A1340">
        <v>10756</v>
      </c>
      <c r="B1340">
        <v>18</v>
      </c>
      <c r="C1340" s="2">
        <v>62.5</v>
      </c>
      <c r="D1340" s="2">
        <v>21</v>
      </c>
      <c r="E1340" s="3">
        <v>0.2</v>
      </c>
    </row>
    <row r="1341" spans="1:5" x14ac:dyDescent="0.2">
      <c r="A1341">
        <v>10756</v>
      </c>
      <c r="B1341">
        <v>36</v>
      </c>
      <c r="C1341" s="2">
        <v>19</v>
      </c>
      <c r="D1341" s="2">
        <v>20</v>
      </c>
      <c r="E1341" s="3">
        <v>0.2</v>
      </c>
    </row>
    <row r="1342" spans="1:5" x14ac:dyDescent="0.2">
      <c r="A1342">
        <v>10756</v>
      </c>
      <c r="B1342">
        <v>68</v>
      </c>
      <c r="C1342" s="2">
        <v>12.5</v>
      </c>
      <c r="D1342" s="2">
        <v>6</v>
      </c>
      <c r="E1342" s="3">
        <v>0.2</v>
      </c>
    </row>
    <row r="1343" spans="1:5" x14ac:dyDescent="0.2">
      <c r="A1343">
        <v>10756</v>
      </c>
      <c r="B1343">
        <v>69</v>
      </c>
      <c r="C1343" s="2">
        <v>36</v>
      </c>
      <c r="D1343" s="2">
        <v>20</v>
      </c>
      <c r="E1343" s="3">
        <v>0.2</v>
      </c>
    </row>
    <row r="1344" spans="1:5" x14ac:dyDescent="0.2">
      <c r="A1344">
        <v>10757</v>
      </c>
      <c r="B1344">
        <v>34</v>
      </c>
      <c r="C1344" s="2">
        <v>14</v>
      </c>
      <c r="D1344" s="2">
        <v>30</v>
      </c>
      <c r="E1344" s="3">
        <v>0</v>
      </c>
    </row>
    <row r="1345" spans="1:5" x14ac:dyDescent="0.2">
      <c r="A1345">
        <v>10757</v>
      </c>
      <c r="B1345">
        <v>59</v>
      </c>
      <c r="C1345" s="2">
        <v>55</v>
      </c>
      <c r="D1345" s="2">
        <v>7</v>
      </c>
      <c r="E1345" s="3">
        <v>0</v>
      </c>
    </row>
    <row r="1346" spans="1:5" x14ac:dyDescent="0.2">
      <c r="A1346">
        <v>10757</v>
      </c>
      <c r="B1346">
        <v>62</v>
      </c>
      <c r="C1346" s="2">
        <v>49.3</v>
      </c>
      <c r="D1346" s="2">
        <v>30</v>
      </c>
      <c r="E1346" s="3">
        <v>0</v>
      </c>
    </row>
    <row r="1347" spans="1:5" x14ac:dyDescent="0.2">
      <c r="A1347">
        <v>10757</v>
      </c>
      <c r="B1347">
        <v>64</v>
      </c>
      <c r="C1347" s="2">
        <v>33.25</v>
      </c>
      <c r="D1347" s="2">
        <v>24</v>
      </c>
      <c r="E1347" s="3">
        <v>0</v>
      </c>
    </row>
    <row r="1348" spans="1:5" x14ac:dyDescent="0.2">
      <c r="A1348">
        <v>10758</v>
      </c>
      <c r="B1348">
        <v>26</v>
      </c>
      <c r="C1348" s="2">
        <v>31.23</v>
      </c>
      <c r="D1348" s="2">
        <v>20</v>
      </c>
      <c r="E1348" s="3">
        <v>0</v>
      </c>
    </row>
    <row r="1349" spans="1:5" x14ac:dyDescent="0.2">
      <c r="A1349">
        <v>10758</v>
      </c>
      <c r="B1349">
        <v>52</v>
      </c>
      <c r="C1349" s="2">
        <v>7</v>
      </c>
      <c r="D1349" s="2">
        <v>60</v>
      </c>
      <c r="E1349" s="3">
        <v>0</v>
      </c>
    </row>
    <row r="1350" spans="1:5" x14ac:dyDescent="0.2">
      <c r="A1350">
        <v>10758</v>
      </c>
      <c r="B1350">
        <v>70</v>
      </c>
      <c r="C1350" s="2">
        <v>15</v>
      </c>
      <c r="D1350" s="2">
        <v>40</v>
      </c>
      <c r="E1350" s="3">
        <v>0</v>
      </c>
    </row>
    <row r="1351" spans="1:5" x14ac:dyDescent="0.2">
      <c r="A1351">
        <v>10759</v>
      </c>
      <c r="B1351">
        <v>32</v>
      </c>
      <c r="C1351" s="2">
        <v>32</v>
      </c>
      <c r="D1351" s="2">
        <v>10</v>
      </c>
      <c r="E1351" s="3">
        <v>0</v>
      </c>
    </row>
    <row r="1352" spans="1:5" x14ac:dyDescent="0.2">
      <c r="A1352">
        <v>10760</v>
      </c>
      <c r="B1352">
        <v>25</v>
      </c>
      <c r="C1352" s="2">
        <v>14</v>
      </c>
      <c r="D1352" s="2">
        <v>12</v>
      </c>
      <c r="E1352" s="3">
        <v>0.25</v>
      </c>
    </row>
    <row r="1353" spans="1:5" x14ac:dyDescent="0.2">
      <c r="A1353">
        <v>10760</v>
      </c>
      <c r="B1353">
        <v>27</v>
      </c>
      <c r="C1353" s="2">
        <v>43.9</v>
      </c>
      <c r="D1353" s="2">
        <v>40</v>
      </c>
      <c r="E1353" s="3">
        <v>0</v>
      </c>
    </row>
    <row r="1354" spans="1:5" x14ac:dyDescent="0.2">
      <c r="A1354">
        <v>10760</v>
      </c>
      <c r="B1354">
        <v>43</v>
      </c>
      <c r="C1354" s="2">
        <v>46</v>
      </c>
      <c r="D1354" s="2">
        <v>30</v>
      </c>
      <c r="E1354" s="3">
        <v>0.25</v>
      </c>
    </row>
    <row r="1355" spans="1:5" x14ac:dyDescent="0.2">
      <c r="A1355">
        <v>10761</v>
      </c>
      <c r="B1355">
        <v>25</v>
      </c>
      <c r="C1355" s="2">
        <v>14</v>
      </c>
      <c r="D1355" s="2">
        <v>35</v>
      </c>
      <c r="E1355" s="3">
        <v>0.25</v>
      </c>
    </row>
    <row r="1356" spans="1:5" x14ac:dyDescent="0.2">
      <c r="A1356">
        <v>10761</v>
      </c>
      <c r="B1356">
        <v>75</v>
      </c>
      <c r="C1356" s="2">
        <v>7.75</v>
      </c>
      <c r="D1356" s="2">
        <v>18</v>
      </c>
      <c r="E1356" s="3">
        <v>0</v>
      </c>
    </row>
    <row r="1357" spans="1:5" x14ac:dyDescent="0.2">
      <c r="A1357">
        <v>10762</v>
      </c>
      <c r="B1357">
        <v>39</v>
      </c>
      <c r="C1357" s="2">
        <v>18</v>
      </c>
      <c r="D1357" s="2">
        <v>16</v>
      </c>
      <c r="E1357" s="3">
        <v>0</v>
      </c>
    </row>
    <row r="1358" spans="1:5" x14ac:dyDescent="0.2">
      <c r="A1358">
        <v>10762</v>
      </c>
      <c r="B1358">
        <v>47</v>
      </c>
      <c r="C1358" s="2">
        <v>9.5</v>
      </c>
      <c r="D1358" s="2">
        <v>30</v>
      </c>
      <c r="E1358" s="3">
        <v>0</v>
      </c>
    </row>
    <row r="1359" spans="1:5" x14ac:dyDescent="0.2">
      <c r="A1359">
        <v>10762</v>
      </c>
      <c r="B1359">
        <v>51</v>
      </c>
      <c r="C1359" s="2">
        <v>53</v>
      </c>
      <c r="D1359" s="2">
        <v>28</v>
      </c>
      <c r="E1359" s="3">
        <v>0</v>
      </c>
    </row>
    <row r="1360" spans="1:5" x14ac:dyDescent="0.2">
      <c r="A1360">
        <v>10762</v>
      </c>
      <c r="B1360">
        <v>56</v>
      </c>
      <c r="C1360" s="2">
        <v>38</v>
      </c>
      <c r="D1360" s="2">
        <v>60</v>
      </c>
      <c r="E1360" s="3">
        <v>0</v>
      </c>
    </row>
    <row r="1361" spans="1:5" x14ac:dyDescent="0.2">
      <c r="A1361">
        <v>10763</v>
      </c>
      <c r="B1361">
        <v>21</v>
      </c>
      <c r="C1361" s="2">
        <v>10</v>
      </c>
      <c r="D1361" s="2">
        <v>40</v>
      </c>
      <c r="E1361" s="3">
        <v>0</v>
      </c>
    </row>
    <row r="1362" spans="1:5" x14ac:dyDescent="0.2">
      <c r="A1362">
        <v>10763</v>
      </c>
      <c r="B1362">
        <v>22</v>
      </c>
      <c r="C1362" s="2">
        <v>21</v>
      </c>
      <c r="D1362" s="2">
        <v>6</v>
      </c>
      <c r="E1362" s="3">
        <v>0</v>
      </c>
    </row>
    <row r="1363" spans="1:5" x14ac:dyDescent="0.2">
      <c r="A1363">
        <v>10763</v>
      </c>
      <c r="B1363">
        <v>24</v>
      </c>
      <c r="C1363" s="2">
        <v>4.5</v>
      </c>
      <c r="D1363" s="2">
        <v>20</v>
      </c>
      <c r="E1363" s="3">
        <v>0</v>
      </c>
    </row>
    <row r="1364" spans="1:5" x14ac:dyDescent="0.2">
      <c r="A1364">
        <v>10764</v>
      </c>
      <c r="B1364">
        <v>3</v>
      </c>
      <c r="C1364" s="2">
        <v>10</v>
      </c>
      <c r="D1364" s="2">
        <v>20</v>
      </c>
      <c r="E1364" s="3">
        <v>0.1</v>
      </c>
    </row>
    <row r="1365" spans="1:5" x14ac:dyDescent="0.2">
      <c r="A1365">
        <v>10764</v>
      </c>
      <c r="B1365">
        <v>39</v>
      </c>
      <c r="C1365" s="2">
        <v>18</v>
      </c>
      <c r="D1365" s="2">
        <v>130</v>
      </c>
      <c r="E1365" s="3">
        <v>0.1</v>
      </c>
    </row>
    <row r="1366" spans="1:5" x14ac:dyDescent="0.2">
      <c r="A1366">
        <v>10765</v>
      </c>
      <c r="B1366">
        <v>65</v>
      </c>
      <c r="C1366" s="2">
        <v>21.05</v>
      </c>
      <c r="D1366" s="2">
        <v>80</v>
      </c>
      <c r="E1366" s="3">
        <v>0.1</v>
      </c>
    </row>
    <row r="1367" spans="1:5" x14ac:dyDescent="0.2">
      <c r="A1367">
        <v>10766</v>
      </c>
      <c r="B1367">
        <v>2</v>
      </c>
      <c r="C1367" s="2">
        <v>19</v>
      </c>
      <c r="D1367" s="2">
        <v>40</v>
      </c>
      <c r="E1367" s="3">
        <v>0</v>
      </c>
    </row>
    <row r="1368" spans="1:5" x14ac:dyDescent="0.2">
      <c r="A1368">
        <v>10766</v>
      </c>
      <c r="B1368">
        <v>7</v>
      </c>
      <c r="C1368" s="2">
        <v>30</v>
      </c>
      <c r="D1368" s="2">
        <v>35</v>
      </c>
      <c r="E1368" s="3">
        <v>0</v>
      </c>
    </row>
    <row r="1369" spans="1:5" x14ac:dyDescent="0.2">
      <c r="A1369">
        <v>10766</v>
      </c>
      <c r="B1369">
        <v>68</v>
      </c>
      <c r="C1369" s="2">
        <v>12.5</v>
      </c>
      <c r="D1369" s="2">
        <v>40</v>
      </c>
      <c r="E1369" s="3">
        <v>0</v>
      </c>
    </row>
    <row r="1370" spans="1:5" x14ac:dyDescent="0.2">
      <c r="A1370">
        <v>10767</v>
      </c>
      <c r="B1370">
        <v>42</v>
      </c>
      <c r="C1370" s="2">
        <v>14</v>
      </c>
      <c r="D1370" s="2">
        <v>2</v>
      </c>
      <c r="E1370" s="3">
        <v>0</v>
      </c>
    </row>
    <row r="1371" spans="1:5" x14ac:dyDescent="0.2">
      <c r="A1371">
        <v>10768</v>
      </c>
      <c r="B1371">
        <v>22</v>
      </c>
      <c r="C1371" s="2">
        <v>21</v>
      </c>
      <c r="D1371" s="2">
        <v>4</v>
      </c>
      <c r="E1371" s="3">
        <v>0</v>
      </c>
    </row>
    <row r="1372" spans="1:5" x14ac:dyDescent="0.2">
      <c r="A1372">
        <v>10768</v>
      </c>
      <c r="B1372">
        <v>31</v>
      </c>
      <c r="C1372" s="2">
        <v>12.5</v>
      </c>
      <c r="D1372" s="2">
        <v>50</v>
      </c>
      <c r="E1372" s="3">
        <v>0</v>
      </c>
    </row>
    <row r="1373" spans="1:5" x14ac:dyDescent="0.2">
      <c r="A1373">
        <v>10768</v>
      </c>
      <c r="B1373">
        <v>60</v>
      </c>
      <c r="C1373" s="2">
        <v>34</v>
      </c>
      <c r="D1373" s="2">
        <v>15</v>
      </c>
      <c r="E1373" s="3">
        <v>0</v>
      </c>
    </row>
    <row r="1374" spans="1:5" x14ac:dyDescent="0.2">
      <c r="A1374">
        <v>10768</v>
      </c>
      <c r="B1374">
        <v>71</v>
      </c>
      <c r="C1374" s="2">
        <v>21.5</v>
      </c>
      <c r="D1374" s="2">
        <v>12</v>
      </c>
      <c r="E1374" s="3">
        <v>0</v>
      </c>
    </row>
    <row r="1375" spans="1:5" x14ac:dyDescent="0.2">
      <c r="A1375">
        <v>10769</v>
      </c>
      <c r="B1375">
        <v>41</v>
      </c>
      <c r="C1375" s="2">
        <v>9.65</v>
      </c>
      <c r="D1375" s="2">
        <v>30</v>
      </c>
      <c r="E1375" s="3">
        <v>0.05</v>
      </c>
    </row>
    <row r="1376" spans="1:5" x14ac:dyDescent="0.2">
      <c r="A1376">
        <v>10769</v>
      </c>
      <c r="B1376">
        <v>52</v>
      </c>
      <c r="C1376" s="2">
        <v>7</v>
      </c>
      <c r="D1376" s="2">
        <v>15</v>
      </c>
      <c r="E1376" s="3">
        <v>0.05</v>
      </c>
    </row>
    <row r="1377" spans="1:5" x14ac:dyDescent="0.2">
      <c r="A1377">
        <v>10769</v>
      </c>
      <c r="B1377">
        <v>61</v>
      </c>
      <c r="C1377" s="2">
        <v>28.5</v>
      </c>
      <c r="D1377" s="2">
        <v>20</v>
      </c>
      <c r="E1377" s="3">
        <v>0</v>
      </c>
    </row>
    <row r="1378" spans="1:5" x14ac:dyDescent="0.2">
      <c r="A1378">
        <v>10769</v>
      </c>
      <c r="B1378">
        <v>62</v>
      </c>
      <c r="C1378" s="2">
        <v>49.3</v>
      </c>
      <c r="D1378" s="2">
        <v>15</v>
      </c>
      <c r="E1378" s="3">
        <v>0</v>
      </c>
    </row>
    <row r="1379" spans="1:5" x14ac:dyDescent="0.2">
      <c r="A1379">
        <v>10770</v>
      </c>
      <c r="B1379">
        <v>11</v>
      </c>
      <c r="C1379" s="2">
        <v>21</v>
      </c>
      <c r="D1379" s="2">
        <v>15</v>
      </c>
      <c r="E1379" s="3">
        <v>0.25</v>
      </c>
    </row>
    <row r="1380" spans="1:5" x14ac:dyDescent="0.2">
      <c r="A1380">
        <v>10771</v>
      </c>
      <c r="B1380">
        <v>71</v>
      </c>
      <c r="C1380" s="2">
        <v>21.5</v>
      </c>
      <c r="D1380" s="2">
        <v>16</v>
      </c>
      <c r="E1380" s="3">
        <v>0</v>
      </c>
    </row>
    <row r="1381" spans="1:5" x14ac:dyDescent="0.2">
      <c r="A1381">
        <v>10772</v>
      </c>
      <c r="B1381">
        <v>29</v>
      </c>
      <c r="C1381" s="2">
        <v>123.79</v>
      </c>
      <c r="D1381" s="2">
        <v>18</v>
      </c>
      <c r="E1381" s="3">
        <v>0</v>
      </c>
    </row>
    <row r="1382" spans="1:5" x14ac:dyDescent="0.2">
      <c r="A1382">
        <v>10772</v>
      </c>
      <c r="B1382">
        <v>59</v>
      </c>
      <c r="C1382" s="2">
        <v>55</v>
      </c>
      <c r="D1382" s="2">
        <v>25</v>
      </c>
      <c r="E1382" s="3">
        <v>0</v>
      </c>
    </row>
    <row r="1383" spans="1:5" x14ac:dyDescent="0.2">
      <c r="A1383">
        <v>10773</v>
      </c>
      <c r="B1383">
        <v>17</v>
      </c>
      <c r="C1383" s="2">
        <v>39</v>
      </c>
      <c r="D1383" s="2">
        <v>33</v>
      </c>
      <c r="E1383" s="3">
        <v>0</v>
      </c>
    </row>
    <row r="1384" spans="1:5" x14ac:dyDescent="0.2">
      <c r="A1384">
        <v>10773</v>
      </c>
      <c r="B1384">
        <v>31</v>
      </c>
      <c r="C1384" s="2">
        <v>12.5</v>
      </c>
      <c r="D1384" s="2">
        <v>70</v>
      </c>
      <c r="E1384" s="3">
        <v>0.2</v>
      </c>
    </row>
    <row r="1385" spans="1:5" x14ac:dyDescent="0.2">
      <c r="A1385">
        <v>10773</v>
      </c>
      <c r="B1385">
        <v>75</v>
      </c>
      <c r="C1385" s="2">
        <v>7.75</v>
      </c>
      <c r="D1385" s="2">
        <v>7</v>
      </c>
      <c r="E1385" s="3">
        <v>0.2</v>
      </c>
    </row>
    <row r="1386" spans="1:5" x14ac:dyDescent="0.2">
      <c r="A1386">
        <v>10774</v>
      </c>
      <c r="B1386">
        <v>31</v>
      </c>
      <c r="C1386" s="2">
        <v>12.5</v>
      </c>
      <c r="D1386" s="2">
        <v>2</v>
      </c>
      <c r="E1386" s="3">
        <v>0.25</v>
      </c>
    </row>
    <row r="1387" spans="1:5" x14ac:dyDescent="0.2">
      <c r="A1387">
        <v>10774</v>
      </c>
      <c r="B1387">
        <v>66</v>
      </c>
      <c r="C1387" s="2">
        <v>17</v>
      </c>
      <c r="D1387" s="2">
        <v>50</v>
      </c>
      <c r="E1387" s="3">
        <v>0</v>
      </c>
    </row>
    <row r="1388" spans="1:5" x14ac:dyDescent="0.2">
      <c r="A1388">
        <v>10775</v>
      </c>
      <c r="B1388">
        <v>10</v>
      </c>
      <c r="C1388" s="2">
        <v>31</v>
      </c>
      <c r="D1388" s="2">
        <v>6</v>
      </c>
      <c r="E1388" s="3">
        <v>0</v>
      </c>
    </row>
    <row r="1389" spans="1:5" x14ac:dyDescent="0.2">
      <c r="A1389">
        <v>10775</v>
      </c>
      <c r="B1389">
        <v>67</v>
      </c>
      <c r="C1389" s="2">
        <v>14</v>
      </c>
      <c r="D1389" s="2">
        <v>3</v>
      </c>
      <c r="E1389" s="3">
        <v>0</v>
      </c>
    </row>
    <row r="1390" spans="1:5" x14ac:dyDescent="0.2">
      <c r="A1390">
        <v>10776</v>
      </c>
      <c r="B1390">
        <v>31</v>
      </c>
      <c r="C1390" s="2">
        <v>12.5</v>
      </c>
      <c r="D1390" s="2">
        <v>16</v>
      </c>
      <c r="E1390" s="3">
        <v>0.05</v>
      </c>
    </row>
    <row r="1391" spans="1:5" x14ac:dyDescent="0.2">
      <c r="A1391">
        <v>10776</v>
      </c>
      <c r="B1391">
        <v>42</v>
      </c>
      <c r="C1391" s="2">
        <v>14</v>
      </c>
      <c r="D1391" s="2">
        <v>12</v>
      </c>
      <c r="E1391" s="3">
        <v>0.05</v>
      </c>
    </row>
    <row r="1392" spans="1:5" x14ac:dyDescent="0.2">
      <c r="A1392">
        <v>10776</v>
      </c>
      <c r="B1392">
        <v>45</v>
      </c>
      <c r="C1392" s="2">
        <v>9.5</v>
      </c>
      <c r="D1392" s="2">
        <v>27</v>
      </c>
      <c r="E1392" s="3">
        <v>0.05</v>
      </c>
    </row>
    <row r="1393" spans="1:5" x14ac:dyDescent="0.2">
      <c r="A1393">
        <v>10776</v>
      </c>
      <c r="B1393">
        <v>51</v>
      </c>
      <c r="C1393" s="2">
        <v>53</v>
      </c>
      <c r="D1393" s="2">
        <v>120</v>
      </c>
      <c r="E1393" s="3">
        <v>0.05</v>
      </c>
    </row>
    <row r="1394" spans="1:5" x14ac:dyDescent="0.2">
      <c r="A1394">
        <v>10777</v>
      </c>
      <c r="B1394">
        <v>42</v>
      </c>
      <c r="C1394" s="2">
        <v>14</v>
      </c>
      <c r="D1394" s="2">
        <v>20</v>
      </c>
      <c r="E1394" s="3">
        <v>0.2</v>
      </c>
    </row>
    <row r="1395" spans="1:5" x14ac:dyDescent="0.2">
      <c r="A1395">
        <v>10778</v>
      </c>
      <c r="B1395">
        <v>41</v>
      </c>
      <c r="C1395" s="2">
        <v>9.65</v>
      </c>
      <c r="D1395" s="2">
        <v>10</v>
      </c>
      <c r="E1395" s="3">
        <v>0</v>
      </c>
    </row>
    <row r="1396" spans="1:5" x14ac:dyDescent="0.2">
      <c r="A1396">
        <v>10779</v>
      </c>
      <c r="B1396">
        <v>16</v>
      </c>
      <c r="C1396" s="2">
        <v>17.45</v>
      </c>
      <c r="D1396" s="2">
        <v>20</v>
      </c>
      <c r="E1396" s="3">
        <v>0</v>
      </c>
    </row>
    <row r="1397" spans="1:5" x14ac:dyDescent="0.2">
      <c r="A1397">
        <v>10779</v>
      </c>
      <c r="B1397">
        <v>62</v>
      </c>
      <c r="C1397" s="2">
        <v>49.3</v>
      </c>
      <c r="D1397" s="2">
        <v>20</v>
      </c>
      <c r="E1397" s="3">
        <v>0</v>
      </c>
    </row>
    <row r="1398" spans="1:5" x14ac:dyDescent="0.2">
      <c r="A1398">
        <v>10780</v>
      </c>
      <c r="B1398">
        <v>70</v>
      </c>
      <c r="C1398" s="2">
        <v>15</v>
      </c>
      <c r="D1398" s="2">
        <v>35</v>
      </c>
      <c r="E1398" s="3">
        <v>0</v>
      </c>
    </row>
    <row r="1399" spans="1:5" x14ac:dyDescent="0.2">
      <c r="A1399">
        <v>10780</v>
      </c>
      <c r="B1399">
        <v>77</v>
      </c>
      <c r="C1399" s="2">
        <v>13</v>
      </c>
      <c r="D1399" s="2">
        <v>15</v>
      </c>
      <c r="E1399" s="3">
        <v>0</v>
      </c>
    </row>
    <row r="1400" spans="1:5" x14ac:dyDescent="0.2">
      <c r="A1400">
        <v>10781</v>
      </c>
      <c r="B1400">
        <v>54</v>
      </c>
      <c r="C1400" s="2">
        <v>7.45</v>
      </c>
      <c r="D1400" s="2">
        <v>3</v>
      </c>
      <c r="E1400" s="3">
        <v>0.2</v>
      </c>
    </row>
    <row r="1401" spans="1:5" x14ac:dyDescent="0.2">
      <c r="A1401">
        <v>10781</v>
      </c>
      <c r="B1401">
        <v>56</v>
      </c>
      <c r="C1401" s="2">
        <v>38</v>
      </c>
      <c r="D1401" s="2">
        <v>20</v>
      </c>
      <c r="E1401" s="3">
        <v>0.2</v>
      </c>
    </row>
    <row r="1402" spans="1:5" x14ac:dyDescent="0.2">
      <c r="A1402">
        <v>10781</v>
      </c>
      <c r="B1402">
        <v>74</v>
      </c>
      <c r="C1402" s="2">
        <v>10</v>
      </c>
      <c r="D1402" s="2">
        <v>35</v>
      </c>
      <c r="E1402" s="3">
        <v>0</v>
      </c>
    </row>
    <row r="1403" spans="1:5" x14ac:dyDescent="0.2">
      <c r="A1403">
        <v>10782</v>
      </c>
      <c r="B1403">
        <v>31</v>
      </c>
      <c r="C1403" s="2">
        <v>12.5</v>
      </c>
      <c r="D1403" s="2">
        <v>1</v>
      </c>
      <c r="E1403" s="3">
        <v>0</v>
      </c>
    </row>
    <row r="1404" spans="1:5" x14ac:dyDescent="0.2">
      <c r="A1404">
        <v>10783</v>
      </c>
      <c r="B1404">
        <v>31</v>
      </c>
      <c r="C1404" s="2">
        <v>12.5</v>
      </c>
      <c r="D1404" s="2">
        <v>10</v>
      </c>
      <c r="E1404" s="3">
        <v>0</v>
      </c>
    </row>
    <row r="1405" spans="1:5" x14ac:dyDescent="0.2">
      <c r="A1405">
        <v>10783</v>
      </c>
      <c r="B1405">
        <v>38</v>
      </c>
      <c r="C1405" s="2">
        <v>263.5</v>
      </c>
      <c r="D1405" s="2">
        <v>5</v>
      </c>
      <c r="E1405" s="3">
        <v>0</v>
      </c>
    </row>
    <row r="1406" spans="1:5" x14ac:dyDescent="0.2">
      <c r="A1406">
        <v>10784</v>
      </c>
      <c r="B1406">
        <v>36</v>
      </c>
      <c r="C1406" s="2">
        <v>19</v>
      </c>
      <c r="D1406" s="2">
        <v>30</v>
      </c>
      <c r="E1406" s="3">
        <v>0</v>
      </c>
    </row>
    <row r="1407" spans="1:5" x14ac:dyDescent="0.2">
      <c r="A1407">
        <v>10784</v>
      </c>
      <c r="B1407">
        <v>39</v>
      </c>
      <c r="C1407" s="2">
        <v>18</v>
      </c>
      <c r="D1407" s="2">
        <v>2</v>
      </c>
      <c r="E1407" s="3">
        <v>0.15</v>
      </c>
    </row>
    <row r="1408" spans="1:5" x14ac:dyDescent="0.2">
      <c r="A1408">
        <v>10784</v>
      </c>
      <c r="B1408">
        <v>72</v>
      </c>
      <c r="C1408" s="2">
        <v>34.799999999999997</v>
      </c>
      <c r="D1408" s="2">
        <v>30</v>
      </c>
      <c r="E1408" s="3">
        <v>0.15</v>
      </c>
    </row>
    <row r="1409" spans="1:5" x14ac:dyDescent="0.2">
      <c r="A1409">
        <v>10785</v>
      </c>
      <c r="B1409">
        <v>10</v>
      </c>
      <c r="C1409" s="2">
        <v>31</v>
      </c>
      <c r="D1409" s="2">
        <v>10</v>
      </c>
      <c r="E1409" s="3">
        <v>0</v>
      </c>
    </row>
    <row r="1410" spans="1:5" x14ac:dyDescent="0.2">
      <c r="A1410">
        <v>10785</v>
      </c>
      <c r="B1410">
        <v>75</v>
      </c>
      <c r="C1410" s="2">
        <v>7.75</v>
      </c>
      <c r="D1410" s="2">
        <v>10</v>
      </c>
      <c r="E1410" s="3">
        <v>0</v>
      </c>
    </row>
    <row r="1411" spans="1:5" x14ac:dyDescent="0.2">
      <c r="A1411">
        <v>10786</v>
      </c>
      <c r="B1411">
        <v>8</v>
      </c>
      <c r="C1411" s="2">
        <v>40</v>
      </c>
      <c r="D1411" s="2">
        <v>30</v>
      </c>
      <c r="E1411" s="3">
        <v>0.2</v>
      </c>
    </row>
    <row r="1412" spans="1:5" x14ac:dyDescent="0.2">
      <c r="A1412">
        <v>10786</v>
      </c>
      <c r="B1412">
        <v>30</v>
      </c>
      <c r="C1412" s="2">
        <v>25.89</v>
      </c>
      <c r="D1412" s="2">
        <v>15</v>
      </c>
      <c r="E1412" s="3">
        <v>0.2</v>
      </c>
    </row>
    <row r="1413" spans="1:5" x14ac:dyDescent="0.2">
      <c r="A1413">
        <v>10786</v>
      </c>
      <c r="B1413">
        <v>75</v>
      </c>
      <c r="C1413" s="2">
        <v>7.75</v>
      </c>
      <c r="D1413" s="2">
        <v>42</v>
      </c>
      <c r="E1413" s="3">
        <v>0.2</v>
      </c>
    </row>
    <row r="1414" spans="1:5" x14ac:dyDescent="0.2">
      <c r="A1414">
        <v>10787</v>
      </c>
      <c r="B1414">
        <v>2</v>
      </c>
      <c r="C1414" s="2">
        <v>19</v>
      </c>
      <c r="D1414" s="2">
        <v>15</v>
      </c>
      <c r="E1414" s="3">
        <v>0.05</v>
      </c>
    </row>
    <row r="1415" spans="1:5" x14ac:dyDescent="0.2">
      <c r="A1415">
        <v>10787</v>
      </c>
      <c r="B1415">
        <v>29</v>
      </c>
      <c r="C1415" s="2">
        <v>123.79</v>
      </c>
      <c r="D1415" s="2">
        <v>20</v>
      </c>
      <c r="E1415" s="3">
        <v>0.05</v>
      </c>
    </row>
    <row r="1416" spans="1:5" x14ac:dyDescent="0.2">
      <c r="A1416">
        <v>10788</v>
      </c>
      <c r="B1416">
        <v>19</v>
      </c>
      <c r="C1416" s="2">
        <v>9.1999999999999993</v>
      </c>
      <c r="D1416" s="2">
        <v>50</v>
      </c>
      <c r="E1416" s="3">
        <v>0.05</v>
      </c>
    </row>
    <row r="1417" spans="1:5" x14ac:dyDescent="0.2">
      <c r="A1417">
        <v>10788</v>
      </c>
      <c r="B1417">
        <v>75</v>
      </c>
      <c r="C1417" s="2">
        <v>7.75</v>
      </c>
      <c r="D1417" s="2">
        <v>40</v>
      </c>
      <c r="E1417" s="3">
        <v>0.05</v>
      </c>
    </row>
    <row r="1418" spans="1:5" x14ac:dyDescent="0.2">
      <c r="A1418">
        <v>10789</v>
      </c>
      <c r="B1418">
        <v>18</v>
      </c>
      <c r="C1418" s="2">
        <v>62.5</v>
      </c>
      <c r="D1418" s="2">
        <v>30</v>
      </c>
      <c r="E1418" s="3">
        <v>0</v>
      </c>
    </row>
    <row r="1419" spans="1:5" x14ac:dyDescent="0.2">
      <c r="A1419">
        <v>10789</v>
      </c>
      <c r="B1419">
        <v>35</v>
      </c>
      <c r="C1419" s="2">
        <v>18</v>
      </c>
      <c r="D1419" s="2">
        <v>15</v>
      </c>
      <c r="E1419" s="3">
        <v>0</v>
      </c>
    </row>
    <row r="1420" spans="1:5" x14ac:dyDescent="0.2">
      <c r="A1420">
        <v>10789</v>
      </c>
      <c r="B1420">
        <v>63</v>
      </c>
      <c r="C1420" s="2">
        <v>43.9</v>
      </c>
      <c r="D1420" s="2">
        <v>30</v>
      </c>
      <c r="E1420" s="3">
        <v>0</v>
      </c>
    </row>
    <row r="1421" spans="1:5" x14ac:dyDescent="0.2">
      <c r="A1421">
        <v>10789</v>
      </c>
      <c r="B1421">
        <v>68</v>
      </c>
      <c r="C1421" s="2">
        <v>12.5</v>
      </c>
      <c r="D1421" s="2">
        <v>18</v>
      </c>
      <c r="E1421" s="3">
        <v>0</v>
      </c>
    </row>
    <row r="1422" spans="1:5" x14ac:dyDescent="0.2">
      <c r="A1422">
        <v>10790</v>
      </c>
      <c r="B1422">
        <v>7</v>
      </c>
      <c r="C1422" s="2">
        <v>30</v>
      </c>
      <c r="D1422" s="2">
        <v>3</v>
      </c>
      <c r="E1422" s="3">
        <v>0.15</v>
      </c>
    </row>
    <row r="1423" spans="1:5" x14ac:dyDescent="0.2">
      <c r="A1423">
        <v>10790</v>
      </c>
      <c r="B1423">
        <v>56</v>
      </c>
      <c r="C1423" s="2">
        <v>38</v>
      </c>
      <c r="D1423" s="2">
        <v>20</v>
      </c>
      <c r="E1423" s="3">
        <v>0.15</v>
      </c>
    </row>
    <row r="1424" spans="1:5" x14ac:dyDescent="0.2">
      <c r="A1424">
        <v>10791</v>
      </c>
      <c r="B1424">
        <v>29</v>
      </c>
      <c r="C1424" s="2">
        <v>123.79</v>
      </c>
      <c r="D1424" s="2">
        <v>14</v>
      </c>
      <c r="E1424" s="3">
        <v>0.05</v>
      </c>
    </row>
    <row r="1425" spans="1:5" x14ac:dyDescent="0.2">
      <c r="A1425">
        <v>10791</v>
      </c>
      <c r="B1425">
        <v>41</v>
      </c>
      <c r="C1425" s="2">
        <v>9.65</v>
      </c>
      <c r="D1425" s="2">
        <v>20</v>
      </c>
      <c r="E1425" s="3">
        <v>0.05</v>
      </c>
    </row>
    <row r="1426" spans="1:5" x14ac:dyDescent="0.2">
      <c r="A1426">
        <v>10792</v>
      </c>
      <c r="B1426">
        <v>2</v>
      </c>
      <c r="C1426" s="2">
        <v>19</v>
      </c>
      <c r="D1426" s="2">
        <v>10</v>
      </c>
      <c r="E1426" s="3">
        <v>0</v>
      </c>
    </row>
    <row r="1427" spans="1:5" x14ac:dyDescent="0.2">
      <c r="A1427">
        <v>10792</v>
      </c>
      <c r="B1427">
        <v>54</v>
      </c>
      <c r="C1427" s="2">
        <v>7.45</v>
      </c>
      <c r="D1427" s="2">
        <v>3</v>
      </c>
      <c r="E1427" s="3">
        <v>0</v>
      </c>
    </row>
    <row r="1428" spans="1:5" x14ac:dyDescent="0.2">
      <c r="A1428">
        <v>10792</v>
      </c>
      <c r="B1428">
        <v>68</v>
      </c>
      <c r="C1428" s="2">
        <v>12.5</v>
      </c>
      <c r="D1428" s="2">
        <v>15</v>
      </c>
      <c r="E1428" s="3">
        <v>0</v>
      </c>
    </row>
    <row r="1429" spans="1:5" x14ac:dyDescent="0.2">
      <c r="A1429">
        <v>10793</v>
      </c>
      <c r="B1429">
        <v>41</v>
      </c>
      <c r="C1429" s="2">
        <v>9.65</v>
      </c>
      <c r="D1429" s="2">
        <v>14</v>
      </c>
      <c r="E1429" s="3">
        <v>0</v>
      </c>
    </row>
    <row r="1430" spans="1:5" x14ac:dyDescent="0.2">
      <c r="A1430">
        <v>10793</v>
      </c>
      <c r="B1430">
        <v>52</v>
      </c>
      <c r="C1430" s="2">
        <v>7</v>
      </c>
      <c r="D1430" s="2">
        <v>8</v>
      </c>
      <c r="E1430" s="3">
        <v>0</v>
      </c>
    </row>
    <row r="1431" spans="1:5" x14ac:dyDescent="0.2">
      <c r="A1431">
        <v>10794</v>
      </c>
      <c r="B1431">
        <v>14</v>
      </c>
      <c r="C1431" s="2">
        <v>23.25</v>
      </c>
      <c r="D1431" s="2">
        <v>15</v>
      </c>
      <c r="E1431" s="3">
        <v>0.2</v>
      </c>
    </row>
    <row r="1432" spans="1:5" x14ac:dyDescent="0.2">
      <c r="A1432">
        <v>10794</v>
      </c>
      <c r="B1432">
        <v>54</v>
      </c>
      <c r="C1432" s="2">
        <v>7.45</v>
      </c>
      <c r="D1432" s="2">
        <v>6</v>
      </c>
      <c r="E1432" s="3">
        <v>0.2</v>
      </c>
    </row>
    <row r="1433" spans="1:5" x14ac:dyDescent="0.2">
      <c r="A1433">
        <v>10795</v>
      </c>
      <c r="B1433">
        <v>16</v>
      </c>
      <c r="C1433" s="2">
        <v>17.45</v>
      </c>
      <c r="D1433" s="2">
        <v>65</v>
      </c>
      <c r="E1433" s="3">
        <v>0</v>
      </c>
    </row>
    <row r="1434" spans="1:5" x14ac:dyDescent="0.2">
      <c r="A1434">
        <v>10795</v>
      </c>
      <c r="B1434">
        <v>17</v>
      </c>
      <c r="C1434" s="2">
        <v>39</v>
      </c>
      <c r="D1434" s="2">
        <v>35</v>
      </c>
      <c r="E1434" s="3">
        <v>0.25</v>
      </c>
    </row>
    <row r="1435" spans="1:5" x14ac:dyDescent="0.2">
      <c r="A1435">
        <v>10796</v>
      </c>
      <c r="B1435">
        <v>26</v>
      </c>
      <c r="C1435" s="2">
        <v>31.23</v>
      </c>
      <c r="D1435" s="2">
        <v>21</v>
      </c>
      <c r="E1435" s="3">
        <v>0.2</v>
      </c>
    </row>
    <row r="1436" spans="1:5" x14ac:dyDescent="0.2">
      <c r="A1436">
        <v>10796</v>
      </c>
      <c r="B1436">
        <v>44</v>
      </c>
      <c r="C1436" s="2">
        <v>19.45</v>
      </c>
      <c r="D1436" s="2">
        <v>10</v>
      </c>
      <c r="E1436" s="3">
        <v>0</v>
      </c>
    </row>
    <row r="1437" spans="1:5" x14ac:dyDescent="0.2">
      <c r="A1437">
        <v>10796</v>
      </c>
      <c r="B1437">
        <v>64</v>
      </c>
      <c r="C1437" s="2">
        <v>33.25</v>
      </c>
      <c r="D1437" s="2">
        <v>35</v>
      </c>
      <c r="E1437" s="3">
        <v>0.2</v>
      </c>
    </row>
    <row r="1438" spans="1:5" x14ac:dyDescent="0.2">
      <c r="A1438">
        <v>10796</v>
      </c>
      <c r="B1438">
        <v>69</v>
      </c>
      <c r="C1438" s="2">
        <v>36</v>
      </c>
      <c r="D1438" s="2">
        <v>24</v>
      </c>
      <c r="E1438" s="3">
        <v>0.2</v>
      </c>
    </row>
    <row r="1439" spans="1:5" x14ac:dyDescent="0.2">
      <c r="A1439">
        <v>10797</v>
      </c>
      <c r="B1439">
        <v>11</v>
      </c>
      <c r="C1439" s="2">
        <v>21</v>
      </c>
      <c r="D1439" s="2">
        <v>20</v>
      </c>
      <c r="E1439" s="3">
        <v>0</v>
      </c>
    </row>
    <row r="1440" spans="1:5" x14ac:dyDescent="0.2">
      <c r="A1440">
        <v>10798</v>
      </c>
      <c r="B1440">
        <v>62</v>
      </c>
      <c r="C1440" s="2">
        <v>49.3</v>
      </c>
      <c r="D1440" s="2">
        <v>2</v>
      </c>
      <c r="E1440" s="3">
        <v>0</v>
      </c>
    </row>
    <row r="1441" spans="1:5" x14ac:dyDescent="0.2">
      <c r="A1441">
        <v>10798</v>
      </c>
      <c r="B1441">
        <v>72</v>
      </c>
      <c r="C1441" s="2">
        <v>34.799999999999997</v>
      </c>
      <c r="D1441" s="2">
        <v>10</v>
      </c>
      <c r="E1441" s="3">
        <v>0</v>
      </c>
    </row>
    <row r="1442" spans="1:5" x14ac:dyDescent="0.2">
      <c r="A1442">
        <v>10799</v>
      </c>
      <c r="B1442">
        <v>13</v>
      </c>
      <c r="C1442" s="2">
        <v>6</v>
      </c>
      <c r="D1442" s="2">
        <v>20</v>
      </c>
      <c r="E1442" s="3">
        <v>0.15</v>
      </c>
    </row>
    <row r="1443" spans="1:5" x14ac:dyDescent="0.2">
      <c r="A1443">
        <v>10799</v>
      </c>
      <c r="B1443">
        <v>24</v>
      </c>
      <c r="C1443" s="2">
        <v>4.5</v>
      </c>
      <c r="D1443" s="2">
        <v>20</v>
      </c>
      <c r="E1443" s="3">
        <v>0.15</v>
      </c>
    </row>
    <row r="1444" spans="1:5" x14ac:dyDescent="0.2">
      <c r="A1444">
        <v>10799</v>
      </c>
      <c r="B1444">
        <v>59</v>
      </c>
      <c r="C1444" s="2">
        <v>55</v>
      </c>
      <c r="D1444" s="2">
        <v>25</v>
      </c>
      <c r="E1444" s="3">
        <v>0</v>
      </c>
    </row>
    <row r="1445" spans="1:5" x14ac:dyDescent="0.2">
      <c r="A1445">
        <v>10800</v>
      </c>
      <c r="B1445">
        <v>11</v>
      </c>
      <c r="C1445" s="2">
        <v>21</v>
      </c>
      <c r="D1445" s="2">
        <v>50</v>
      </c>
      <c r="E1445" s="3">
        <v>0.1</v>
      </c>
    </row>
    <row r="1446" spans="1:5" x14ac:dyDescent="0.2">
      <c r="A1446">
        <v>10800</v>
      </c>
      <c r="B1446">
        <v>51</v>
      </c>
      <c r="C1446" s="2">
        <v>53</v>
      </c>
      <c r="D1446" s="2">
        <v>10</v>
      </c>
      <c r="E1446" s="3">
        <v>0.1</v>
      </c>
    </row>
    <row r="1447" spans="1:5" x14ac:dyDescent="0.2">
      <c r="A1447">
        <v>10800</v>
      </c>
      <c r="B1447">
        <v>54</v>
      </c>
      <c r="C1447" s="2">
        <v>7.45</v>
      </c>
      <c r="D1447" s="2">
        <v>7</v>
      </c>
      <c r="E1447" s="3">
        <v>0.1</v>
      </c>
    </row>
    <row r="1448" spans="1:5" x14ac:dyDescent="0.2">
      <c r="A1448">
        <v>10801</v>
      </c>
      <c r="B1448">
        <v>17</v>
      </c>
      <c r="C1448" s="2">
        <v>39</v>
      </c>
      <c r="D1448" s="2">
        <v>40</v>
      </c>
      <c r="E1448" s="3">
        <v>0.25</v>
      </c>
    </row>
    <row r="1449" spans="1:5" x14ac:dyDescent="0.2">
      <c r="A1449">
        <v>10801</v>
      </c>
      <c r="B1449">
        <v>29</v>
      </c>
      <c r="C1449" s="2">
        <v>123.79</v>
      </c>
      <c r="D1449" s="2">
        <v>20</v>
      </c>
      <c r="E1449" s="3">
        <v>0.25</v>
      </c>
    </row>
    <row r="1450" spans="1:5" x14ac:dyDescent="0.2">
      <c r="A1450">
        <v>10802</v>
      </c>
      <c r="B1450">
        <v>30</v>
      </c>
      <c r="C1450" s="2">
        <v>25.89</v>
      </c>
      <c r="D1450" s="2">
        <v>25</v>
      </c>
      <c r="E1450" s="3">
        <v>0.25</v>
      </c>
    </row>
    <row r="1451" spans="1:5" x14ac:dyDescent="0.2">
      <c r="A1451">
        <v>10802</v>
      </c>
      <c r="B1451">
        <v>51</v>
      </c>
      <c r="C1451" s="2">
        <v>53</v>
      </c>
      <c r="D1451" s="2">
        <v>30</v>
      </c>
      <c r="E1451" s="3">
        <v>0.25</v>
      </c>
    </row>
    <row r="1452" spans="1:5" x14ac:dyDescent="0.2">
      <c r="A1452">
        <v>10802</v>
      </c>
      <c r="B1452">
        <v>55</v>
      </c>
      <c r="C1452" s="2">
        <v>24</v>
      </c>
      <c r="D1452" s="2">
        <v>60</v>
      </c>
      <c r="E1452" s="3">
        <v>0.25</v>
      </c>
    </row>
    <row r="1453" spans="1:5" x14ac:dyDescent="0.2">
      <c r="A1453">
        <v>10802</v>
      </c>
      <c r="B1453">
        <v>62</v>
      </c>
      <c r="C1453" s="2">
        <v>49.3</v>
      </c>
      <c r="D1453" s="2">
        <v>5</v>
      </c>
      <c r="E1453" s="3">
        <v>0.25</v>
      </c>
    </row>
    <row r="1454" spans="1:5" x14ac:dyDescent="0.2">
      <c r="A1454">
        <v>10803</v>
      </c>
      <c r="B1454">
        <v>19</v>
      </c>
      <c r="C1454" s="2">
        <v>9.1999999999999993</v>
      </c>
      <c r="D1454" s="2">
        <v>24</v>
      </c>
      <c r="E1454" s="3">
        <v>0.05</v>
      </c>
    </row>
    <row r="1455" spans="1:5" x14ac:dyDescent="0.2">
      <c r="A1455">
        <v>10803</v>
      </c>
      <c r="B1455">
        <v>25</v>
      </c>
      <c r="C1455" s="2">
        <v>14</v>
      </c>
      <c r="D1455" s="2">
        <v>15</v>
      </c>
      <c r="E1455" s="3">
        <v>0.05</v>
      </c>
    </row>
    <row r="1456" spans="1:5" x14ac:dyDescent="0.2">
      <c r="A1456">
        <v>10803</v>
      </c>
      <c r="B1456">
        <v>59</v>
      </c>
      <c r="C1456" s="2">
        <v>55</v>
      </c>
      <c r="D1456" s="2">
        <v>15</v>
      </c>
      <c r="E1456" s="3">
        <v>0.05</v>
      </c>
    </row>
    <row r="1457" spans="1:5" x14ac:dyDescent="0.2">
      <c r="A1457">
        <v>10804</v>
      </c>
      <c r="B1457">
        <v>10</v>
      </c>
      <c r="C1457" s="2">
        <v>31</v>
      </c>
      <c r="D1457" s="2">
        <v>36</v>
      </c>
      <c r="E1457" s="3">
        <v>0</v>
      </c>
    </row>
    <row r="1458" spans="1:5" x14ac:dyDescent="0.2">
      <c r="A1458">
        <v>10804</v>
      </c>
      <c r="B1458">
        <v>28</v>
      </c>
      <c r="C1458" s="2">
        <v>45.6</v>
      </c>
      <c r="D1458" s="2">
        <v>24</v>
      </c>
      <c r="E1458" s="3">
        <v>0</v>
      </c>
    </row>
    <row r="1459" spans="1:5" x14ac:dyDescent="0.2">
      <c r="A1459">
        <v>10804</v>
      </c>
      <c r="B1459">
        <v>49</v>
      </c>
      <c r="C1459" s="2">
        <v>20</v>
      </c>
      <c r="D1459" s="2">
        <v>4</v>
      </c>
      <c r="E1459" s="3">
        <v>0.15</v>
      </c>
    </row>
    <row r="1460" spans="1:5" x14ac:dyDescent="0.2">
      <c r="A1460">
        <v>10805</v>
      </c>
      <c r="B1460">
        <v>34</v>
      </c>
      <c r="C1460" s="2">
        <v>14</v>
      </c>
      <c r="D1460" s="2">
        <v>10</v>
      </c>
      <c r="E1460" s="3">
        <v>0</v>
      </c>
    </row>
    <row r="1461" spans="1:5" x14ac:dyDescent="0.2">
      <c r="A1461">
        <v>10805</v>
      </c>
      <c r="B1461">
        <v>38</v>
      </c>
      <c r="C1461" s="2">
        <v>263.5</v>
      </c>
      <c r="D1461" s="2">
        <v>10</v>
      </c>
      <c r="E1461" s="3">
        <v>0</v>
      </c>
    </row>
    <row r="1462" spans="1:5" x14ac:dyDescent="0.2">
      <c r="A1462">
        <v>10806</v>
      </c>
      <c r="B1462">
        <v>2</v>
      </c>
      <c r="C1462" s="2">
        <v>19</v>
      </c>
      <c r="D1462" s="2">
        <v>20</v>
      </c>
      <c r="E1462" s="3">
        <v>0.25</v>
      </c>
    </row>
    <row r="1463" spans="1:5" x14ac:dyDescent="0.2">
      <c r="A1463">
        <v>10806</v>
      </c>
      <c r="B1463">
        <v>65</v>
      </c>
      <c r="C1463" s="2">
        <v>21.05</v>
      </c>
      <c r="D1463" s="2">
        <v>2</v>
      </c>
      <c r="E1463" s="3">
        <v>0</v>
      </c>
    </row>
    <row r="1464" spans="1:5" x14ac:dyDescent="0.2">
      <c r="A1464">
        <v>10806</v>
      </c>
      <c r="B1464">
        <v>74</v>
      </c>
      <c r="C1464" s="2">
        <v>10</v>
      </c>
      <c r="D1464" s="2">
        <v>15</v>
      </c>
      <c r="E1464" s="3">
        <v>0.25</v>
      </c>
    </row>
    <row r="1465" spans="1:5" x14ac:dyDescent="0.2">
      <c r="A1465">
        <v>10807</v>
      </c>
      <c r="B1465">
        <v>40</v>
      </c>
      <c r="C1465" s="2">
        <v>18.399999999999999</v>
      </c>
      <c r="D1465" s="2">
        <v>1</v>
      </c>
      <c r="E1465" s="3">
        <v>0</v>
      </c>
    </row>
    <row r="1466" spans="1:5" x14ac:dyDescent="0.2">
      <c r="A1466">
        <v>10808</v>
      </c>
      <c r="B1466">
        <v>56</v>
      </c>
      <c r="C1466" s="2">
        <v>38</v>
      </c>
      <c r="D1466" s="2">
        <v>20</v>
      </c>
      <c r="E1466" s="3">
        <v>0.15</v>
      </c>
    </row>
    <row r="1467" spans="1:5" x14ac:dyDescent="0.2">
      <c r="A1467">
        <v>10808</v>
      </c>
      <c r="B1467">
        <v>76</v>
      </c>
      <c r="C1467" s="2">
        <v>18</v>
      </c>
      <c r="D1467" s="2">
        <v>50</v>
      </c>
      <c r="E1467" s="3">
        <v>0.15</v>
      </c>
    </row>
    <row r="1468" spans="1:5" x14ac:dyDescent="0.2">
      <c r="A1468">
        <v>10809</v>
      </c>
      <c r="B1468">
        <v>52</v>
      </c>
      <c r="C1468" s="2">
        <v>7</v>
      </c>
      <c r="D1468" s="2">
        <v>20</v>
      </c>
      <c r="E1468" s="3">
        <v>0</v>
      </c>
    </row>
    <row r="1469" spans="1:5" x14ac:dyDescent="0.2">
      <c r="A1469">
        <v>10810</v>
      </c>
      <c r="B1469">
        <v>13</v>
      </c>
      <c r="C1469" s="2">
        <v>6</v>
      </c>
      <c r="D1469" s="2">
        <v>7</v>
      </c>
      <c r="E1469" s="3">
        <v>0</v>
      </c>
    </row>
    <row r="1470" spans="1:5" x14ac:dyDescent="0.2">
      <c r="A1470">
        <v>10810</v>
      </c>
      <c r="B1470">
        <v>25</v>
      </c>
      <c r="C1470" s="2">
        <v>14</v>
      </c>
      <c r="D1470" s="2">
        <v>5</v>
      </c>
      <c r="E1470" s="3">
        <v>0</v>
      </c>
    </row>
    <row r="1471" spans="1:5" x14ac:dyDescent="0.2">
      <c r="A1471">
        <v>10810</v>
      </c>
      <c r="B1471">
        <v>70</v>
      </c>
      <c r="C1471" s="2">
        <v>15</v>
      </c>
      <c r="D1471" s="2">
        <v>5</v>
      </c>
      <c r="E1471" s="3">
        <v>0</v>
      </c>
    </row>
    <row r="1472" spans="1:5" x14ac:dyDescent="0.2">
      <c r="A1472">
        <v>10811</v>
      </c>
      <c r="B1472">
        <v>19</v>
      </c>
      <c r="C1472" s="2">
        <v>9.1999999999999993</v>
      </c>
      <c r="D1472" s="2">
        <v>15</v>
      </c>
      <c r="E1472" s="3">
        <v>0</v>
      </c>
    </row>
    <row r="1473" spans="1:5" x14ac:dyDescent="0.2">
      <c r="A1473">
        <v>10811</v>
      </c>
      <c r="B1473">
        <v>23</v>
      </c>
      <c r="C1473" s="2">
        <v>9</v>
      </c>
      <c r="D1473" s="2">
        <v>18</v>
      </c>
      <c r="E1473" s="3">
        <v>0</v>
      </c>
    </row>
    <row r="1474" spans="1:5" x14ac:dyDescent="0.2">
      <c r="A1474">
        <v>10811</v>
      </c>
      <c r="B1474">
        <v>40</v>
      </c>
      <c r="C1474" s="2">
        <v>18.399999999999999</v>
      </c>
      <c r="D1474" s="2">
        <v>30</v>
      </c>
      <c r="E1474" s="3">
        <v>0</v>
      </c>
    </row>
    <row r="1475" spans="1:5" x14ac:dyDescent="0.2">
      <c r="A1475">
        <v>10812</v>
      </c>
      <c r="B1475">
        <v>31</v>
      </c>
      <c r="C1475" s="2">
        <v>12.5</v>
      </c>
      <c r="D1475" s="2">
        <v>16</v>
      </c>
      <c r="E1475" s="3">
        <v>0.1</v>
      </c>
    </row>
    <row r="1476" spans="1:5" x14ac:dyDescent="0.2">
      <c r="A1476">
        <v>10812</v>
      </c>
      <c r="B1476">
        <v>72</v>
      </c>
      <c r="C1476" s="2">
        <v>34.799999999999997</v>
      </c>
      <c r="D1476" s="2">
        <v>40</v>
      </c>
      <c r="E1476" s="3">
        <v>0.1</v>
      </c>
    </row>
    <row r="1477" spans="1:5" x14ac:dyDescent="0.2">
      <c r="A1477">
        <v>10812</v>
      </c>
      <c r="B1477">
        <v>77</v>
      </c>
      <c r="C1477" s="2">
        <v>13</v>
      </c>
      <c r="D1477" s="2">
        <v>20</v>
      </c>
      <c r="E1477" s="3">
        <v>0</v>
      </c>
    </row>
    <row r="1478" spans="1:5" x14ac:dyDescent="0.2">
      <c r="A1478">
        <v>10813</v>
      </c>
      <c r="B1478">
        <v>2</v>
      </c>
      <c r="C1478" s="2">
        <v>19</v>
      </c>
      <c r="D1478" s="2">
        <v>12</v>
      </c>
      <c r="E1478" s="3">
        <v>0.2</v>
      </c>
    </row>
    <row r="1479" spans="1:5" x14ac:dyDescent="0.2">
      <c r="A1479">
        <v>10813</v>
      </c>
      <c r="B1479">
        <v>46</v>
      </c>
      <c r="C1479" s="2">
        <v>12</v>
      </c>
      <c r="D1479" s="2">
        <v>35</v>
      </c>
      <c r="E1479" s="3">
        <v>0</v>
      </c>
    </row>
    <row r="1480" spans="1:5" x14ac:dyDescent="0.2">
      <c r="A1480">
        <v>10814</v>
      </c>
      <c r="B1480">
        <v>41</v>
      </c>
      <c r="C1480" s="2">
        <v>9.65</v>
      </c>
      <c r="D1480" s="2">
        <v>20</v>
      </c>
      <c r="E1480" s="3">
        <v>0</v>
      </c>
    </row>
    <row r="1481" spans="1:5" x14ac:dyDescent="0.2">
      <c r="A1481">
        <v>10814</v>
      </c>
      <c r="B1481">
        <v>43</v>
      </c>
      <c r="C1481" s="2">
        <v>46</v>
      </c>
      <c r="D1481" s="2">
        <v>20</v>
      </c>
      <c r="E1481" s="3">
        <v>0.15</v>
      </c>
    </row>
    <row r="1482" spans="1:5" x14ac:dyDescent="0.2">
      <c r="A1482">
        <v>10814</v>
      </c>
      <c r="B1482">
        <v>48</v>
      </c>
      <c r="C1482" s="2">
        <v>12.75</v>
      </c>
      <c r="D1482" s="2">
        <v>8</v>
      </c>
      <c r="E1482" s="3">
        <v>0.15</v>
      </c>
    </row>
    <row r="1483" spans="1:5" x14ac:dyDescent="0.2">
      <c r="A1483">
        <v>10814</v>
      </c>
      <c r="B1483">
        <v>61</v>
      </c>
      <c r="C1483" s="2">
        <v>28.5</v>
      </c>
      <c r="D1483" s="2">
        <v>30</v>
      </c>
      <c r="E1483" s="3">
        <v>0.15</v>
      </c>
    </row>
    <row r="1484" spans="1:5" x14ac:dyDescent="0.2">
      <c r="A1484">
        <v>10815</v>
      </c>
      <c r="B1484">
        <v>33</v>
      </c>
      <c r="C1484" s="2">
        <v>2.5</v>
      </c>
      <c r="D1484" s="2">
        <v>16</v>
      </c>
      <c r="E1484" s="3">
        <v>0</v>
      </c>
    </row>
    <row r="1485" spans="1:5" x14ac:dyDescent="0.2">
      <c r="A1485">
        <v>10816</v>
      </c>
      <c r="B1485">
        <v>38</v>
      </c>
      <c r="C1485" s="2">
        <v>263.5</v>
      </c>
      <c r="D1485" s="2">
        <v>30</v>
      </c>
      <c r="E1485" s="3">
        <v>0.05</v>
      </c>
    </row>
    <row r="1486" spans="1:5" x14ac:dyDescent="0.2">
      <c r="A1486">
        <v>10816</v>
      </c>
      <c r="B1486">
        <v>62</v>
      </c>
      <c r="C1486" s="2">
        <v>49.3</v>
      </c>
      <c r="D1486" s="2">
        <v>20</v>
      </c>
      <c r="E1486" s="3">
        <v>0.05</v>
      </c>
    </row>
    <row r="1487" spans="1:5" x14ac:dyDescent="0.2">
      <c r="A1487">
        <v>10817</v>
      </c>
      <c r="B1487">
        <v>26</v>
      </c>
      <c r="C1487" s="2">
        <v>31.23</v>
      </c>
      <c r="D1487" s="2">
        <v>40</v>
      </c>
      <c r="E1487" s="3">
        <v>0.15</v>
      </c>
    </row>
    <row r="1488" spans="1:5" x14ac:dyDescent="0.2">
      <c r="A1488">
        <v>10817</v>
      </c>
      <c r="B1488">
        <v>38</v>
      </c>
      <c r="C1488" s="2">
        <v>263.5</v>
      </c>
      <c r="D1488" s="2">
        <v>30</v>
      </c>
      <c r="E1488" s="3">
        <v>0</v>
      </c>
    </row>
    <row r="1489" spans="1:5" x14ac:dyDescent="0.2">
      <c r="A1489">
        <v>10817</v>
      </c>
      <c r="B1489">
        <v>40</v>
      </c>
      <c r="C1489" s="2">
        <v>18.399999999999999</v>
      </c>
      <c r="D1489" s="2">
        <v>60</v>
      </c>
      <c r="E1489" s="3">
        <v>0.15</v>
      </c>
    </row>
    <row r="1490" spans="1:5" x14ac:dyDescent="0.2">
      <c r="A1490">
        <v>10817</v>
      </c>
      <c r="B1490">
        <v>62</v>
      </c>
      <c r="C1490" s="2">
        <v>49.3</v>
      </c>
      <c r="D1490" s="2">
        <v>25</v>
      </c>
      <c r="E1490" s="3">
        <v>0.15</v>
      </c>
    </row>
    <row r="1491" spans="1:5" x14ac:dyDescent="0.2">
      <c r="A1491">
        <v>10818</v>
      </c>
      <c r="B1491">
        <v>32</v>
      </c>
      <c r="C1491" s="2">
        <v>32</v>
      </c>
      <c r="D1491" s="2">
        <v>20</v>
      </c>
      <c r="E1491" s="3">
        <v>0</v>
      </c>
    </row>
    <row r="1492" spans="1:5" x14ac:dyDescent="0.2">
      <c r="A1492">
        <v>10818</v>
      </c>
      <c r="B1492">
        <v>41</v>
      </c>
      <c r="C1492" s="2">
        <v>9.65</v>
      </c>
      <c r="D1492" s="2">
        <v>20</v>
      </c>
      <c r="E1492" s="3">
        <v>0</v>
      </c>
    </row>
    <row r="1493" spans="1:5" x14ac:dyDescent="0.2">
      <c r="A1493">
        <v>10819</v>
      </c>
      <c r="B1493">
        <v>43</v>
      </c>
      <c r="C1493" s="2">
        <v>46</v>
      </c>
      <c r="D1493" s="2">
        <v>7</v>
      </c>
      <c r="E1493" s="3">
        <v>0</v>
      </c>
    </row>
    <row r="1494" spans="1:5" x14ac:dyDescent="0.2">
      <c r="A1494">
        <v>10819</v>
      </c>
      <c r="B1494">
        <v>75</v>
      </c>
      <c r="C1494" s="2">
        <v>7.75</v>
      </c>
      <c r="D1494" s="2">
        <v>20</v>
      </c>
      <c r="E1494" s="3">
        <v>0</v>
      </c>
    </row>
    <row r="1495" spans="1:5" x14ac:dyDescent="0.2">
      <c r="A1495">
        <v>10820</v>
      </c>
      <c r="B1495">
        <v>56</v>
      </c>
      <c r="C1495" s="2">
        <v>38</v>
      </c>
      <c r="D1495" s="2">
        <v>30</v>
      </c>
      <c r="E1495" s="3">
        <v>0</v>
      </c>
    </row>
    <row r="1496" spans="1:5" x14ac:dyDescent="0.2">
      <c r="A1496">
        <v>10821</v>
      </c>
      <c r="B1496">
        <v>35</v>
      </c>
      <c r="C1496" s="2">
        <v>18</v>
      </c>
      <c r="D1496" s="2">
        <v>20</v>
      </c>
      <c r="E1496" s="3">
        <v>0</v>
      </c>
    </row>
    <row r="1497" spans="1:5" x14ac:dyDescent="0.2">
      <c r="A1497">
        <v>10821</v>
      </c>
      <c r="B1497">
        <v>51</v>
      </c>
      <c r="C1497" s="2">
        <v>53</v>
      </c>
      <c r="D1497" s="2">
        <v>6</v>
      </c>
      <c r="E1497" s="3">
        <v>0</v>
      </c>
    </row>
    <row r="1498" spans="1:5" x14ac:dyDescent="0.2">
      <c r="A1498">
        <v>10822</v>
      </c>
      <c r="B1498">
        <v>62</v>
      </c>
      <c r="C1498" s="2">
        <v>49.3</v>
      </c>
      <c r="D1498" s="2">
        <v>3</v>
      </c>
      <c r="E1498" s="3">
        <v>0</v>
      </c>
    </row>
    <row r="1499" spans="1:5" x14ac:dyDescent="0.2">
      <c r="A1499">
        <v>10822</v>
      </c>
      <c r="B1499">
        <v>70</v>
      </c>
      <c r="C1499" s="2">
        <v>15</v>
      </c>
      <c r="D1499" s="2">
        <v>6</v>
      </c>
      <c r="E1499" s="3">
        <v>0</v>
      </c>
    </row>
    <row r="1500" spans="1:5" x14ac:dyDescent="0.2">
      <c r="A1500">
        <v>10823</v>
      </c>
      <c r="B1500">
        <v>11</v>
      </c>
      <c r="C1500" s="2">
        <v>21</v>
      </c>
      <c r="D1500" s="2">
        <v>20</v>
      </c>
      <c r="E1500" s="3">
        <v>0.1</v>
      </c>
    </row>
    <row r="1501" spans="1:5" x14ac:dyDescent="0.2">
      <c r="A1501">
        <v>10823</v>
      </c>
      <c r="B1501">
        <v>57</v>
      </c>
      <c r="C1501" s="2">
        <v>19.5</v>
      </c>
      <c r="D1501" s="2">
        <v>15</v>
      </c>
      <c r="E1501" s="3">
        <v>0</v>
      </c>
    </row>
    <row r="1502" spans="1:5" x14ac:dyDescent="0.2">
      <c r="A1502">
        <v>10823</v>
      </c>
      <c r="B1502">
        <v>59</v>
      </c>
      <c r="C1502" s="2">
        <v>55</v>
      </c>
      <c r="D1502" s="2">
        <v>40</v>
      </c>
      <c r="E1502" s="3">
        <v>0.1</v>
      </c>
    </row>
    <row r="1503" spans="1:5" x14ac:dyDescent="0.2">
      <c r="A1503">
        <v>10823</v>
      </c>
      <c r="B1503">
        <v>77</v>
      </c>
      <c r="C1503" s="2">
        <v>13</v>
      </c>
      <c r="D1503" s="2">
        <v>15</v>
      </c>
      <c r="E1503" s="3">
        <v>0.1</v>
      </c>
    </row>
    <row r="1504" spans="1:5" x14ac:dyDescent="0.2">
      <c r="A1504">
        <v>10824</v>
      </c>
      <c r="B1504">
        <v>41</v>
      </c>
      <c r="C1504" s="2">
        <v>9.65</v>
      </c>
      <c r="D1504" s="2">
        <v>12</v>
      </c>
      <c r="E1504" s="3">
        <v>0</v>
      </c>
    </row>
    <row r="1505" spans="1:5" x14ac:dyDescent="0.2">
      <c r="A1505">
        <v>10824</v>
      </c>
      <c r="B1505">
        <v>70</v>
      </c>
      <c r="C1505" s="2">
        <v>15</v>
      </c>
      <c r="D1505" s="2">
        <v>9</v>
      </c>
      <c r="E1505" s="3">
        <v>0</v>
      </c>
    </row>
    <row r="1506" spans="1:5" x14ac:dyDescent="0.2">
      <c r="A1506">
        <v>10825</v>
      </c>
      <c r="B1506">
        <v>26</v>
      </c>
      <c r="C1506" s="2">
        <v>31.23</v>
      </c>
      <c r="D1506" s="2">
        <v>12</v>
      </c>
      <c r="E1506" s="3">
        <v>0</v>
      </c>
    </row>
    <row r="1507" spans="1:5" x14ac:dyDescent="0.2">
      <c r="A1507">
        <v>10825</v>
      </c>
      <c r="B1507">
        <v>53</v>
      </c>
      <c r="C1507" s="2">
        <v>32.799999999999997</v>
      </c>
      <c r="D1507" s="2">
        <v>20</v>
      </c>
      <c r="E1507" s="3">
        <v>0</v>
      </c>
    </row>
    <row r="1508" spans="1:5" x14ac:dyDescent="0.2">
      <c r="A1508">
        <v>10826</v>
      </c>
      <c r="B1508">
        <v>31</v>
      </c>
      <c r="C1508" s="2">
        <v>12.5</v>
      </c>
      <c r="D1508" s="2">
        <v>35</v>
      </c>
      <c r="E1508" s="3">
        <v>0</v>
      </c>
    </row>
    <row r="1509" spans="1:5" x14ac:dyDescent="0.2">
      <c r="A1509">
        <v>10826</v>
      </c>
      <c r="B1509">
        <v>57</v>
      </c>
      <c r="C1509" s="2">
        <v>19.5</v>
      </c>
      <c r="D1509" s="2">
        <v>15</v>
      </c>
      <c r="E1509" s="3">
        <v>0</v>
      </c>
    </row>
    <row r="1510" spans="1:5" x14ac:dyDescent="0.2">
      <c r="A1510">
        <v>10827</v>
      </c>
      <c r="B1510">
        <v>10</v>
      </c>
      <c r="C1510" s="2">
        <v>31</v>
      </c>
      <c r="D1510" s="2">
        <v>15</v>
      </c>
      <c r="E1510" s="3">
        <v>0</v>
      </c>
    </row>
    <row r="1511" spans="1:5" x14ac:dyDescent="0.2">
      <c r="A1511">
        <v>10827</v>
      </c>
      <c r="B1511">
        <v>39</v>
      </c>
      <c r="C1511" s="2">
        <v>18</v>
      </c>
      <c r="D1511" s="2">
        <v>21</v>
      </c>
      <c r="E1511" s="3">
        <v>0</v>
      </c>
    </row>
    <row r="1512" spans="1:5" x14ac:dyDescent="0.2">
      <c r="A1512">
        <v>10828</v>
      </c>
      <c r="B1512">
        <v>20</v>
      </c>
      <c r="C1512" s="2">
        <v>81</v>
      </c>
      <c r="D1512" s="2">
        <v>5</v>
      </c>
      <c r="E1512" s="3">
        <v>0</v>
      </c>
    </row>
    <row r="1513" spans="1:5" x14ac:dyDescent="0.2">
      <c r="A1513">
        <v>10828</v>
      </c>
      <c r="B1513">
        <v>38</v>
      </c>
      <c r="C1513" s="2">
        <v>263.5</v>
      </c>
      <c r="D1513" s="2">
        <v>2</v>
      </c>
      <c r="E1513" s="3">
        <v>0</v>
      </c>
    </row>
    <row r="1514" spans="1:5" x14ac:dyDescent="0.2">
      <c r="A1514">
        <v>10829</v>
      </c>
      <c r="B1514">
        <v>2</v>
      </c>
      <c r="C1514" s="2">
        <v>19</v>
      </c>
      <c r="D1514" s="2">
        <v>10</v>
      </c>
      <c r="E1514" s="3">
        <v>0</v>
      </c>
    </row>
    <row r="1515" spans="1:5" x14ac:dyDescent="0.2">
      <c r="A1515">
        <v>10829</v>
      </c>
      <c r="B1515">
        <v>8</v>
      </c>
      <c r="C1515" s="2">
        <v>40</v>
      </c>
      <c r="D1515" s="2">
        <v>20</v>
      </c>
      <c r="E1515" s="3">
        <v>0</v>
      </c>
    </row>
    <row r="1516" spans="1:5" x14ac:dyDescent="0.2">
      <c r="A1516">
        <v>10829</v>
      </c>
      <c r="B1516">
        <v>13</v>
      </c>
      <c r="C1516" s="2">
        <v>6</v>
      </c>
      <c r="D1516" s="2">
        <v>10</v>
      </c>
      <c r="E1516" s="3">
        <v>0</v>
      </c>
    </row>
    <row r="1517" spans="1:5" x14ac:dyDescent="0.2">
      <c r="A1517">
        <v>10829</v>
      </c>
      <c r="B1517">
        <v>60</v>
      </c>
      <c r="C1517" s="2">
        <v>34</v>
      </c>
      <c r="D1517" s="2">
        <v>21</v>
      </c>
      <c r="E1517" s="3">
        <v>0</v>
      </c>
    </row>
    <row r="1518" spans="1:5" x14ac:dyDescent="0.2">
      <c r="A1518">
        <v>10830</v>
      </c>
      <c r="B1518">
        <v>6</v>
      </c>
      <c r="C1518" s="2">
        <v>25</v>
      </c>
      <c r="D1518" s="2">
        <v>6</v>
      </c>
      <c r="E1518" s="3">
        <v>0</v>
      </c>
    </row>
    <row r="1519" spans="1:5" x14ac:dyDescent="0.2">
      <c r="A1519">
        <v>10830</v>
      </c>
      <c r="B1519">
        <v>39</v>
      </c>
      <c r="C1519" s="2">
        <v>18</v>
      </c>
      <c r="D1519" s="2">
        <v>28</v>
      </c>
      <c r="E1519" s="3">
        <v>0</v>
      </c>
    </row>
    <row r="1520" spans="1:5" x14ac:dyDescent="0.2">
      <c r="A1520">
        <v>10830</v>
      </c>
      <c r="B1520">
        <v>60</v>
      </c>
      <c r="C1520" s="2">
        <v>34</v>
      </c>
      <c r="D1520" s="2">
        <v>30</v>
      </c>
      <c r="E1520" s="3">
        <v>0</v>
      </c>
    </row>
    <row r="1521" spans="1:5" x14ac:dyDescent="0.2">
      <c r="A1521">
        <v>10830</v>
      </c>
      <c r="B1521">
        <v>68</v>
      </c>
      <c r="C1521" s="2">
        <v>12.5</v>
      </c>
      <c r="D1521" s="2">
        <v>24</v>
      </c>
      <c r="E1521" s="3">
        <v>0</v>
      </c>
    </row>
    <row r="1522" spans="1:5" x14ac:dyDescent="0.2">
      <c r="A1522">
        <v>10831</v>
      </c>
      <c r="B1522">
        <v>19</v>
      </c>
      <c r="C1522" s="2">
        <v>9.1999999999999993</v>
      </c>
      <c r="D1522" s="2">
        <v>2</v>
      </c>
      <c r="E1522" s="3">
        <v>0</v>
      </c>
    </row>
    <row r="1523" spans="1:5" x14ac:dyDescent="0.2">
      <c r="A1523">
        <v>10831</v>
      </c>
      <c r="B1523">
        <v>35</v>
      </c>
      <c r="C1523" s="2">
        <v>18</v>
      </c>
      <c r="D1523" s="2">
        <v>8</v>
      </c>
      <c r="E1523" s="3">
        <v>0</v>
      </c>
    </row>
    <row r="1524" spans="1:5" x14ac:dyDescent="0.2">
      <c r="A1524">
        <v>10831</v>
      </c>
      <c r="B1524">
        <v>38</v>
      </c>
      <c r="C1524" s="2">
        <v>263.5</v>
      </c>
      <c r="D1524" s="2">
        <v>8</v>
      </c>
      <c r="E1524" s="3">
        <v>0</v>
      </c>
    </row>
    <row r="1525" spans="1:5" x14ac:dyDescent="0.2">
      <c r="A1525">
        <v>10831</v>
      </c>
      <c r="B1525">
        <v>43</v>
      </c>
      <c r="C1525" s="2">
        <v>46</v>
      </c>
      <c r="D1525" s="2">
        <v>9</v>
      </c>
      <c r="E1525" s="3">
        <v>0</v>
      </c>
    </row>
    <row r="1526" spans="1:5" x14ac:dyDescent="0.2">
      <c r="A1526">
        <v>10832</v>
      </c>
      <c r="B1526">
        <v>13</v>
      </c>
      <c r="C1526" s="2">
        <v>6</v>
      </c>
      <c r="D1526" s="2">
        <v>3</v>
      </c>
      <c r="E1526" s="3">
        <v>0.2</v>
      </c>
    </row>
    <row r="1527" spans="1:5" x14ac:dyDescent="0.2">
      <c r="A1527">
        <v>10832</v>
      </c>
      <c r="B1527">
        <v>25</v>
      </c>
      <c r="C1527" s="2">
        <v>14</v>
      </c>
      <c r="D1527" s="2">
        <v>10</v>
      </c>
      <c r="E1527" s="3">
        <v>0.2</v>
      </c>
    </row>
    <row r="1528" spans="1:5" x14ac:dyDescent="0.2">
      <c r="A1528">
        <v>10832</v>
      </c>
      <c r="B1528">
        <v>44</v>
      </c>
      <c r="C1528" s="2">
        <v>19.45</v>
      </c>
      <c r="D1528" s="2">
        <v>16</v>
      </c>
      <c r="E1528" s="3">
        <v>0.2</v>
      </c>
    </row>
    <row r="1529" spans="1:5" x14ac:dyDescent="0.2">
      <c r="A1529">
        <v>10832</v>
      </c>
      <c r="B1529">
        <v>64</v>
      </c>
      <c r="C1529" s="2">
        <v>33.25</v>
      </c>
      <c r="D1529" s="2">
        <v>3</v>
      </c>
      <c r="E1529" s="3">
        <v>0</v>
      </c>
    </row>
    <row r="1530" spans="1:5" x14ac:dyDescent="0.2">
      <c r="A1530">
        <v>10833</v>
      </c>
      <c r="B1530">
        <v>7</v>
      </c>
      <c r="C1530" s="2">
        <v>30</v>
      </c>
      <c r="D1530" s="2">
        <v>20</v>
      </c>
      <c r="E1530" s="3">
        <v>0.1</v>
      </c>
    </row>
    <row r="1531" spans="1:5" x14ac:dyDescent="0.2">
      <c r="A1531">
        <v>10833</v>
      </c>
      <c r="B1531">
        <v>31</v>
      </c>
      <c r="C1531" s="2">
        <v>12.5</v>
      </c>
      <c r="D1531" s="2">
        <v>9</v>
      </c>
      <c r="E1531" s="3">
        <v>0.1</v>
      </c>
    </row>
    <row r="1532" spans="1:5" x14ac:dyDescent="0.2">
      <c r="A1532">
        <v>10833</v>
      </c>
      <c r="B1532">
        <v>53</v>
      </c>
      <c r="C1532" s="2">
        <v>32.799999999999997</v>
      </c>
      <c r="D1532" s="2">
        <v>9</v>
      </c>
      <c r="E1532" s="3">
        <v>0.1</v>
      </c>
    </row>
    <row r="1533" spans="1:5" x14ac:dyDescent="0.2">
      <c r="A1533">
        <v>10834</v>
      </c>
      <c r="B1533">
        <v>29</v>
      </c>
      <c r="C1533" s="2">
        <v>123.79</v>
      </c>
      <c r="D1533" s="2">
        <v>8</v>
      </c>
      <c r="E1533" s="3">
        <v>0.05</v>
      </c>
    </row>
    <row r="1534" spans="1:5" x14ac:dyDescent="0.2">
      <c r="A1534">
        <v>10834</v>
      </c>
      <c r="B1534">
        <v>30</v>
      </c>
      <c r="C1534" s="2">
        <v>25.89</v>
      </c>
      <c r="D1534" s="2">
        <v>20</v>
      </c>
      <c r="E1534" s="3">
        <v>0.05</v>
      </c>
    </row>
    <row r="1535" spans="1:5" x14ac:dyDescent="0.2">
      <c r="A1535">
        <v>10835</v>
      </c>
      <c r="B1535">
        <v>59</v>
      </c>
      <c r="C1535" s="2">
        <v>55</v>
      </c>
      <c r="D1535" s="2">
        <v>15</v>
      </c>
      <c r="E1535" s="3">
        <v>0</v>
      </c>
    </row>
    <row r="1536" spans="1:5" x14ac:dyDescent="0.2">
      <c r="A1536">
        <v>10835</v>
      </c>
      <c r="B1536">
        <v>77</v>
      </c>
      <c r="C1536" s="2">
        <v>13</v>
      </c>
      <c r="D1536" s="2">
        <v>2</v>
      </c>
      <c r="E1536" s="3">
        <v>0.2</v>
      </c>
    </row>
    <row r="1537" spans="1:5" x14ac:dyDescent="0.2">
      <c r="A1537">
        <v>10836</v>
      </c>
      <c r="B1537">
        <v>22</v>
      </c>
      <c r="C1537" s="2">
        <v>21</v>
      </c>
      <c r="D1537" s="2">
        <v>52</v>
      </c>
      <c r="E1537" s="3">
        <v>0</v>
      </c>
    </row>
    <row r="1538" spans="1:5" x14ac:dyDescent="0.2">
      <c r="A1538">
        <v>10836</v>
      </c>
      <c r="B1538">
        <v>35</v>
      </c>
      <c r="C1538" s="2">
        <v>18</v>
      </c>
      <c r="D1538" s="2">
        <v>6</v>
      </c>
      <c r="E1538" s="3">
        <v>0</v>
      </c>
    </row>
    <row r="1539" spans="1:5" x14ac:dyDescent="0.2">
      <c r="A1539">
        <v>10836</v>
      </c>
      <c r="B1539">
        <v>57</v>
      </c>
      <c r="C1539" s="2">
        <v>19.5</v>
      </c>
      <c r="D1539" s="2">
        <v>24</v>
      </c>
      <c r="E1539" s="3">
        <v>0</v>
      </c>
    </row>
    <row r="1540" spans="1:5" x14ac:dyDescent="0.2">
      <c r="A1540">
        <v>10836</v>
      </c>
      <c r="B1540">
        <v>60</v>
      </c>
      <c r="C1540" s="2">
        <v>34</v>
      </c>
      <c r="D1540" s="2">
        <v>60</v>
      </c>
      <c r="E1540" s="3">
        <v>0</v>
      </c>
    </row>
    <row r="1541" spans="1:5" x14ac:dyDescent="0.2">
      <c r="A1541">
        <v>10836</v>
      </c>
      <c r="B1541">
        <v>64</v>
      </c>
      <c r="C1541" s="2">
        <v>33.25</v>
      </c>
      <c r="D1541" s="2">
        <v>30</v>
      </c>
      <c r="E1541" s="3">
        <v>0</v>
      </c>
    </row>
    <row r="1542" spans="1:5" x14ac:dyDescent="0.2">
      <c r="A1542">
        <v>10837</v>
      </c>
      <c r="B1542">
        <v>13</v>
      </c>
      <c r="C1542" s="2">
        <v>6</v>
      </c>
      <c r="D1542" s="2">
        <v>6</v>
      </c>
      <c r="E1542" s="3">
        <v>0</v>
      </c>
    </row>
    <row r="1543" spans="1:5" x14ac:dyDescent="0.2">
      <c r="A1543">
        <v>10837</v>
      </c>
      <c r="B1543">
        <v>40</v>
      </c>
      <c r="C1543" s="2">
        <v>18.399999999999999</v>
      </c>
      <c r="D1543" s="2">
        <v>25</v>
      </c>
      <c r="E1543" s="3">
        <v>0</v>
      </c>
    </row>
    <row r="1544" spans="1:5" x14ac:dyDescent="0.2">
      <c r="A1544">
        <v>10837</v>
      </c>
      <c r="B1544">
        <v>47</v>
      </c>
      <c r="C1544" s="2">
        <v>9.5</v>
      </c>
      <c r="D1544" s="2">
        <v>40</v>
      </c>
      <c r="E1544" s="3">
        <v>0.25</v>
      </c>
    </row>
    <row r="1545" spans="1:5" x14ac:dyDescent="0.2">
      <c r="A1545">
        <v>10837</v>
      </c>
      <c r="B1545">
        <v>76</v>
      </c>
      <c r="C1545" s="2">
        <v>18</v>
      </c>
      <c r="D1545" s="2">
        <v>21</v>
      </c>
      <c r="E1545" s="3">
        <v>0.25</v>
      </c>
    </row>
    <row r="1546" spans="1:5" x14ac:dyDescent="0.2">
      <c r="A1546">
        <v>10838</v>
      </c>
      <c r="B1546">
        <v>1</v>
      </c>
      <c r="C1546" s="2">
        <v>18</v>
      </c>
      <c r="D1546" s="2">
        <v>4</v>
      </c>
      <c r="E1546" s="3">
        <v>0.25</v>
      </c>
    </row>
    <row r="1547" spans="1:5" x14ac:dyDescent="0.2">
      <c r="A1547">
        <v>10838</v>
      </c>
      <c r="B1547">
        <v>18</v>
      </c>
      <c r="C1547" s="2">
        <v>62.5</v>
      </c>
      <c r="D1547" s="2">
        <v>25</v>
      </c>
      <c r="E1547" s="3">
        <v>0.25</v>
      </c>
    </row>
    <row r="1548" spans="1:5" x14ac:dyDescent="0.2">
      <c r="A1548">
        <v>10838</v>
      </c>
      <c r="B1548">
        <v>36</v>
      </c>
      <c r="C1548" s="2">
        <v>19</v>
      </c>
      <c r="D1548" s="2">
        <v>50</v>
      </c>
      <c r="E1548" s="3">
        <v>0.25</v>
      </c>
    </row>
    <row r="1549" spans="1:5" x14ac:dyDescent="0.2">
      <c r="A1549">
        <v>10839</v>
      </c>
      <c r="B1549">
        <v>58</v>
      </c>
      <c r="C1549" s="2">
        <v>13.25</v>
      </c>
      <c r="D1549" s="2">
        <v>30</v>
      </c>
      <c r="E1549" s="3">
        <v>0.1</v>
      </c>
    </row>
    <row r="1550" spans="1:5" x14ac:dyDescent="0.2">
      <c r="A1550">
        <v>10839</v>
      </c>
      <c r="B1550">
        <v>72</v>
      </c>
      <c r="C1550" s="2">
        <v>34.799999999999997</v>
      </c>
      <c r="D1550" s="2">
        <v>15</v>
      </c>
      <c r="E1550" s="3">
        <v>0.1</v>
      </c>
    </row>
    <row r="1551" spans="1:5" x14ac:dyDescent="0.2">
      <c r="A1551">
        <v>10840</v>
      </c>
      <c r="B1551">
        <v>25</v>
      </c>
      <c r="C1551" s="2">
        <v>14</v>
      </c>
      <c r="D1551" s="2">
        <v>6</v>
      </c>
      <c r="E1551" s="3">
        <v>0.2</v>
      </c>
    </row>
    <row r="1552" spans="1:5" x14ac:dyDescent="0.2">
      <c r="A1552">
        <v>10840</v>
      </c>
      <c r="B1552">
        <v>39</v>
      </c>
      <c r="C1552" s="2">
        <v>18</v>
      </c>
      <c r="D1552" s="2">
        <v>10</v>
      </c>
      <c r="E1552" s="3">
        <v>0.2</v>
      </c>
    </row>
    <row r="1553" spans="1:5" x14ac:dyDescent="0.2">
      <c r="A1553">
        <v>10841</v>
      </c>
      <c r="B1553">
        <v>10</v>
      </c>
      <c r="C1553" s="2">
        <v>31</v>
      </c>
      <c r="D1553" s="2">
        <v>16</v>
      </c>
      <c r="E1553" s="3">
        <v>0</v>
      </c>
    </row>
    <row r="1554" spans="1:5" x14ac:dyDescent="0.2">
      <c r="A1554">
        <v>10841</v>
      </c>
      <c r="B1554">
        <v>56</v>
      </c>
      <c r="C1554" s="2">
        <v>38</v>
      </c>
      <c r="D1554" s="2">
        <v>30</v>
      </c>
      <c r="E1554" s="3">
        <v>0</v>
      </c>
    </row>
    <row r="1555" spans="1:5" x14ac:dyDescent="0.2">
      <c r="A1555">
        <v>10841</v>
      </c>
      <c r="B1555">
        <v>59</v>
      </c>
      <c r="C1555" s="2">
        <v>55</v>
      </c>
      <c r="D1555" s="2">
        <v>50</v>
      </c>
      <c r="E1555" s="3">
        <v>0</v>
      </c>
    </row>
    <row r="1556" spans="1:5" x14ac:dyDescent="0.2">
      <c r="A1556">
        <v>10841</v>
      </c>
      <c r="B1556">
        <v>77</v>
      </c>
      <c r="C1556" s="2">
        <v>13</v>
      </c>
      <c r="D1556" s="2">
        <v>15</v>
      </c>
      <c r="E1556" s="3">
        <v>0</v>
      </c>
    </row>
    <row r="1557" spans="1:5" x14ac:dyDescent="0.2">
      <c r="A1557">
        <v>10842</v>
      </c>
      <c r="B1557">
        <v>11</v>
      </c>
      <c r="C1557" s="2">
        <v>21</v>
      </c>
      <c r="D1557" s="2">
        <v>15</v>
      </c>
      <c r="E1557" s="3">
        <v>0</v>
      </c>
    </row>
    <row r="1558" spans="1:5" x14ac:dyDescent="0.2">
      <c r="A1558">
        <v>10842</v>
      </c>
      <c r="B1558">
        <v>43</v>
      </c>
      <c r="C1558" s="2">
        <v>46</v>
      </c>
      <c r="D1558" s="2">
        <v>5</v>
      </c>
      <c r="E1558" s="3">
        <v>0</v>
      </c>
    </row>
    <row r="1559" spans="1:5" x14ac:dyDescent="0.2">
      <c r="A1559">
        <v>10842</v>
      </c>
      <c r="B1559">
        <v>68</v>
      </c>
      <c r="C1559" s="2">
        <v>12.5</v>
      </c>
      <c r="D1559" s="2">
        <v>20</v>
      </c>
      <c r="E1559" s="3">
        <v>0</v>
      </c>
    </row>
    <row r="1560" spans="1:5" x14ac:dyDescent="0.2">
      <c r="A1560">
        <v>10842</v>
      </c>
      <c r="B1560">
        <v>70</v>
      </c>
      <c r="C1560" s="2">
        <v>15</v>
      </c>
      <c r="D1560" s="2">
        <v>12</v>
      </c>
      <c r="E1560" s="3">
        <v>0</v>
      </c>
    </row>
    <row r="1561" spans="1:5" x14ac:dyDescent="0.2">
      <c r="A1561">
        <v>10843</v>
      </c>
      <c r="B1561">
        <v>51</v>
      </c>
      <c r="C1561" s="2">
        <v>53</v>
      </c>
      <c r="D1561" s="2">
        <v>4</v>
      </c>
      <c r="E1561" s="3">
        <v>0.25</v>
      </c>
    </row>
    <row r="1562" spans="1:5" x14ac:dyDescent="0.2">
      <c r="A1562">
        <v>10844</v>
      </c>
      <c r="B1562">
        <v>22</v>
      </c>
      <c r="C1562" s="2">
        <v>21</v>
      </c>
      <c r="D1562" s="2">
        <v>35</v>
      </c>
      <c r="E1562" s="3">
        <v>0</v>
      </c>
    </row>
    <row r="1563" spans="1:5" x14ac:dyDescent="0.2">
      <c r="A1563">
        <v>10845</v>
      </c>
      <c r="B1563">
        <v>23</v>
      </c>
      <c r="C1563" s="2">
        <v>9</v>
      </c>
      <c r="D1563" s="2">
        <v>70</v>
      </c>
      <c r="E1563" s="3">
        <v>0.1</v>
      </c>
    </row>
    <row r="1564" spans="1:5" x14ac:dyDescent="0.2">
      <c r="A1564">
        <v>10845</v>
      </c>
      <c r="B1564">
        <v>35</v>
      </c>
      <c r="C1564" s="2">
        <v>18</v>
      </c>
      <c r="D1564" s="2">
        <v>25</v>
      </c>
      <c r="E1564" s="3">
        <v>0.1</v>
      </c>
    </row>
    <row r="1565" spans="1:5" x14ac:dyDescent="0.2">
      <c r="A1565">
        <v>10845</v>
      </c>
      <c r="B1565">
        <v>42</v>
      </c>
      <c r="C1565" s="2">
        <v>14</v>
      </c>
      <c r="D1565" s="2">
        <v>42</v>
      </c>
      <c r="E1565" s="3">
        <v>0.1</v>
      </c>
    </row>
    <row r="1566" spans="1:5" x14ac:dyDescent="0.2">
      <c r="A1566">
        <v>10845</v>
      </c>
      <c r="B1566">
        <v>58</v>
      </c>
      <c r="C1566" s="2">
        <v>13.25</v>
      </c>
      <c r="D1566" s="2">
        <v>60</v>
      </c>
      <c r="E1566" s="3">
        <v>0.1</v>
      </c>
    </row>
    <row r="1567" spans="1:5" x14ac:dyDescent="0.2">
      <c r="A1567">
        <v>10845</v>
      </c>
      <c r="B1567">
        <v>64</v>
      </c>
      <c r="C1567" s="2">
        <v>33.25</v>
      </c>
      <c r="D1567" s="2">
        <v>48</v>
      </c>
      <c r="E1567" s="3">
        <v>0</v>
      </c>
    </row>
    <row r="1568" spans="1:5" x14ac:dyDescent="0.2">
      <c r="A1568">
        <v>10846</v>
      </c>
      <c r="B1568">
        <v>4</v>
      </c>
      <c r="C1568" s="2">
        <v>22</v>
      </c>
      <c r="D1568" s="2">
        <v>21</v>
      </c>
      <c r="E1568" s="3">
        <v>0</v>
      </c>
    </row>
    <row r="1569" spans="1:5" x14ac:dyDescent="0.2">
      <c r="A1569">
        <v>10846</v>
      </c>
      <c r="B1569">
        <v>70</v>
      </c>
      <c r="C1569" s="2">
        <v>15</v>
      </c>
      <c r="D1569" s="2">
        <v>30</v>
      </c>
      <c r="E1569" s="3">
        <v>0</v>
      </c>
    </row>
    <row r="1570" spans="1:5" x14ac:dyDescent="0.2">
      <c r="A1570">
        <v>10846</v>
      </c>
      <c r="B1570">
        <v>74</v>
      </c>
      <c r="C1570" s="2">
        <v>10</v>
      </c>
      <c r="D1570" s="2">
        <v>20</v>
      </c>
      <c r="E1570" s="3">
        <v>0</v>
      </c>
    </row>
    <row r="1571" spans="1:5" x14ac:dyDescent="0.2">
      <c r="A1571">
        <v>10847</v>
      </c>
      <c r="B1571">
        <v>1</v>
      </c>
      <c r="C1571" s="2">
        <v>18</v>
      </c>
      <c r="D1571" s="2">
        <v>80</v>
      </c>
      <c r="E1571" s="3">
        <v>0.2</v>
      </c>
    </row>
    <row r="1572" spans="1:5" x14ac:dyDescent="0.2">
      <c r="A1572">
        <v>10847</v>
      </c>
      <c r="B1572">
        <v>19</v>
      </c>
      <c r="C1572" s="2">
        <v>9.1999999999999993</v>
      </c>
      <c r="D1572" s="2">
        <v>12</v>
      </c>
      <c r="E1572" s="3">
        <v>0.2</v>
      </c>
    </row>
    <row r="1573" spans="1:5" x14ac:dyDescent="0.2">
      <c r="A1573">
        <v>10847</v>
      </c>
      <c r="B1573">
        <v>37</v>
      </c>
      <c r="C1573" s="2">
        <v>26</v>
      </c>
      <c r="D1573" s="2">
        <v>60</v>
      </c>
      <c r="E1573" s="3">
        <v>0.2</v>
      </c>
    </row>
    <row r="1574" spans="1:5" x14ac:dyDescent="0.2">
      <c r="A1574">
        <v>10847</v>
      </c>
      <c r="B1574">
        <v>45</v>
      </c>
      <c r="C1574" s="2">
        <v>9.5</v>
      </c>
      <c r="D1574" s="2">
        <v>36</v>
      </c>
      <c r="E1574" s="3">
        <v>0.2</v>
      </c>
    </row>
    <row r="1575" spans="1:5" x14ac:dyDescent="0.2">
      <c r="A1575">
        <v>10847</v>
      </c>
      <c r="B1575">
        <v>60</v>
      </c>
      <c r="C1575" s="2">
        <v>34</v>
      </c>
      <c r="D1575" s="2">
        <v>45</v>
      </c>
      <c r="E1575" s="3">
        <v>0.2</v>
      </c>
    </row>
    <row r="1576" spans="1:5" x14ac:dyDescent="0.2">
      <c r="A1576">
        <v>10847</v>
      </c>
      <c r="B1576">
        <v>71</v>
      </c>
      <c r="C1576" s="2">
        <v>21.5</v>
      </c>
      <c r="D1576" s="2">
        <v>55</v>
      </c>
      <c r="E1576" s="3">
        <v>0.2</v>
      </c>
    </row>
    <row r="1577" spans="1:5" x14ac:dyDescent="0.2">
      <c r="A1577">
        <v>10848</v>
      </c>
      <c r="B1577">
        <v>5</v>
      </c>
      <c r="C1577" s="2">
        <v>21.35</v>
      </c>
      <c r="D1577" s="2">
        <v>30</v>
      </c>
      <c r="E1577" s="3">
        <v>0</v>
      </c>
    </row>
    <row r="1578" spans="1:5" x14ac:dyDescent="0.2">
      <c r="A1578">
        <v>10848</v>
      </c>
      <c r="B1578">
        <v>9</v>
      </c>
      <c r="C1578" s="2">
        <v>97</v>
      </c>
      <c r="D1578" s="2">
        <v>3</v>
      </c>
      <c r="E1578" s="3">
        <v>0</v>
      </c>
    </row>
    <row r="1579" spans="1:5" x14ac:dyDescent="0.2">
      <c r="A1579">
        <v>10849</v>
      </c>
      <c r="B1579">
        <v>3</v>
      </c>
      <c r="C1579" s="2">
        <v>10</v>
      </c>
      <c r="D1579" s="2">
        <v>49</v>
      </c>
      <c r="E1579" s="3">
        <v>0</v>
      </c>
    </row>
    <row r="1580" spans="1:5" x14ac:dyDescent="0.2">
      <c r="A1580">
        <v>10849</v>
      </c>
      <c r="B1580">
        <v>26</v>
      </c>
      <c r="C1580" s="2">
        <v>31.23</v>
      </c>
      <c r="D1580" s="2">
        <v>18</v>
      </c>
      <c r="E1580" s="3">
        <v>0.15</v>
      </c>
    </row>
    <row r="1581" spans="1:5" x14ac:dyDescent="0.2">
      <c r="A1581">
        <v>10850</v>
      </c>
      <c r="B1581">
        <v>25</v>
      </c>
      <c r="C1581" s="2">
        <v>14</v>
      </c>
      <c r="D1581" s="2">
        <v>20</v>
      </c>
      <c r="E1581" s="3">
        <v>0.15</v>
      </c>
    </row>
    <row r="1582" spans="1:5" x14ac:dyDescent="0.2">
      <c r="A1582">
        <v>10850</v>
      </c>
      <c r="B1582">
        <v>33</v>
      </c>
      <c r="C1582" s="2">
        <v>2.5</v>
      </c>
      <c r="D1582" s="2">
        <v>4</v>
      </c>
      <c r="E1582" s="3">
        <v>0.15</v>
      </c>
    </row>
    <row r="1583" spans="1:5" x14ac:dyDescent="0.2">
      <c r="A1583">
        <v>10850</v>
      </c>
      <c r="B1583">
        <v>70</v>
      </c>
      <c r="C1583" s="2">
        <v>15</v>
      </c>
      <c r="D1583" s="2">
        <v>30</v>
      </c>
      <c r="E1583" s="3">
        <v>0.15</v>
      </c>
    </row>
    <row r="1584" spans="1:5" x14ac:dyDescent="0.2">
      <c r="A1584">
        <v>10851</v>
      </c>
      <c r="B1584">
        <v>2</v>
      </c>
      <c r="C1584" s="2">
        <v>19</v>
      </c>
      <c r="D1584" s="2">
        <v>5</v>
      </c>
      <c r="E1584" s="3">
        <v>0.05</v>
      </c>
    </row>
    <row r="1585" spans="1:5" x14ac:dyDescent="0.2">
      <c r="A1585">
        <v>10851</v>
      </c>
      <c r="B1585">
        <v>25</v>
      </c>
      <c r="C1585" s="2">
        <v>14</v>
      </c>
      <c r="D1585" s="2">
        <v>10</v>
      </c>
      <c r="E1585" s="3">
        <v>0.05</v>
      </c>
    </row>
    <row r="1586" spans="1:5" x14ac:dyDescent="0.2">
      <c r="A1586">
        <v>10851</v>
      </c>
      <c r="B1586">
        <v>57</v>
      </c>
      <c r="C1586" s="2">
        <v>19.5</v>
      </c>
      <c r="D1586" s="2">
        <v>10</v>
      </c>
      <c r="E1586" s="3">
        <v>0.05</v>
      </c>
    </row>
    <row r="1587" spans="1:5" x14ac:dyDescent="0.2">
      <c r="A1587">
        <v>10851</v>
      </c>
      <c r="B1587">
        <v>59</v>
      </c>
      <c r="C1587" s="2">
        <v>55</v>
      </c>
      <c r="D1587" s="2">
        <v>42</v>
      </c>
      <c r="E1587" s="3">
        <v>0.05</v>
      </c>
    </row>
    <row r="1588" spans="1:5" x14ac:dyDescent="0.2">
      <c r="A1588">
        <v>10852</v>
      </c>
      <c r="B1588">
        <v>2</v>
      </c>
      <c r="C1588" s="2">
        <v>19</v>
      </c>
      <c r="D1588" s="2">
        <v>15</v>
      </c>
      <c r="E1588" s="3">
        <v>0</v>
      </c>
    </row>
    <row r="1589" spans="1:5" x14ac:dyDescent="0.2">
      <c r="A1589">
        <v>10852</v>
      </c>
      <c r="B1589">
        <v>17</v>
      </c>
      <c r="C1589" s="2">
        <v>39</v>
      </c>
      <c r="D1589" s="2">
        <v>6</v>
      </c>
      <c r="E1589" s="3">
        <v>0</v>
      </c>
    </row>
    <row r="1590" spans="1:5" x14ac:dyDescent="0.2">
      <c r="A1590">
        <v>10852</v>
      </c>
      <c r="B1590">
        <v>62</v>
      </c>
      <c r="C1590" s="2">
        <v>49.3</v>
      </c>
      <c r="D1590" s="2">
        <v>50</v>
      </c>
      <c r="E1590" s="3">
        <v>0</v>
      </c>
    </row>
    <row r="1591" spans="1:5" x14ac:dyDescent="0.2">
      <c r="A1591">
        <v>10853</v>
      </c>
      <c r="B1591">
        <v>18</v>
      </c>
      <c r="C1591" s="2">
        <v>62.5</v>
      </c>
      <c r="D1591" s="2">
        <v>10</v>
      </c>
      <c r="E1591" s="3">
        <v>0</v>
      </c>
    </row>
    <row r="1592" spans="1:5" x14ac:dyDescent="0.2">
      <c r="A1592">
        <v>10854</v>
      </c>
      <c r="B1592">
        <v>10</v>
      </c>
      <c r="C1592" s="2">
        <v>31</v>
      </c>
      <c r="D1592" s="2">
        <v>100</v>
      </c>
      <c r="E1592" s="3">
        <v>0.15</v>
      </c>
    </row>
    <row r="1593" spans="1:5" x14ac:dyDescent="0.2">
      <c r="A1593">
        <v>10854</v>
      </c>
      <c r="B1593">
        <v>13</v>
      </c>
      <c r="C1593" s="2">
        <v>6</v>
      </c>
      <c r="D1593" s="2">
        <v>65</v>
      </c>
      <c r="E1593" s="3">
        <v>0.15</v>
      </c>
    </row>
    <row r="1594" spans="1:5" x14ac:dyDescent="0.2">
      <c r="A1594">
        <v>10855</v>
      </c>
      <c r="B1594">
        <v>16</v>
      </c>
      <c r="C1594" s="2">
        <v>17.45</v>
      </c>
      <c r="D1594" s="2">
        <v>50</v>
      </c>
      <c r="E1594" s="3">
        <v>0</v>
      </c>
    </row>
    <row r="1595" spans="1:5" x14ac:dyDescent="0.2">
      <c r="A1595">
        <v>10855</v>
      </c>
      <c r="B1595">
        <v>31</v>
      </c>
      <c r="C1595" s="2">
        <v>12.5</v>
      </c>
      <c r="D1595" s="2">
        <v>14</v>
      </c>
      <c r="E1595" s="3">
        <v>0</v>
      </c>
    </row>
    <row r="1596" spans="1:5" x14ac:dyDescent="0.2">
      <c r="A1596">
        <v>10855</v>
      </c>
      <c r="B1596">
        <v>56</v>
      </c>
      <c r="C1596" s="2">
        <v>38</v>
      </c>
      <c r="D1596" s="2">
        <v>24</v>
      </c>
      <c r="E1596" s="3">
        <v>0</v>
      </c>
    </row>
    <row r="1597" spans="1:5" x14ac:dyDescent="0.2">
      <c r="A1597">
        <v>10855</v>
      </c>
      <c r="B1597">
        <v>65</v>
      </c>
      <c r="C1597" s="2">
        <v>21.05</v>
      </c>
      <c r="D1597" s="2">
        <v>15</v>
      </c>
      <c r="E1597" s="3">
        <v>0.15</v>
      </c>
    </row>
    <row r="1598" spans="1:5" x14ac:dyDescent="0.2">
      <c r="A1598">
        <v>10856</v>
      </c>
      <c r="B1598">
        <v>2</v>
      </c>
      <c r="C1598" s="2">
        <v>19</v>
      </c>
      <c r="D1598" s="2">
        <v>20</v>
      </c>
      <c r="E1598" s="3">
        <v>0</v>
      </c>
    </row>
    <row r="1599" spans="1:5" x14ac:dyDescent="0.2">
      <c r="A1599">
        <v>10856</v>
      </c>
      <c r="B1599">
        <v>42</v>
      </c>
      <c r="C1599" s="2">
        <v>14</v>
      </c>
      <c r="D1599" s="2">
        <v>20</v>
      </c>
      <c r="E1599" s="3">
        <v>0</v>
      </c>
    </row>
    <row r="1600" spans="1:5" x14ac:dyDescent="0.2">
      <c r="A1600">
        <v>10857</v>
      </c>
      <c r="B1600">
        <v>3</v>
      </c>
      <c r="C1600" s="2">
        <v>10</v>
      </c>
      <c r="D1600" s="2">
        <v>30</v>
      </c>
      <c r="E1600" s="3">
        <v>0</v>
      </c>
    </row>
    <row r="1601" spans="1:5" x14ac:dyDescent="0.2">
      <c r="A1601">
        <v>10857</v>
      </c>
      <c r="B1601">
        <v>26</v>
      </c>
      <c r="C1601" s="2">
        <v>31.23</v>
      </c>
      <c r="D1601" s="2">
        <v>35</v>
      </c>
      <c r="E1601" s="3">
        <v>0.25</v>
      </c>
    </row>
    <row r="1602" spans="1:5" x14ac:dyDescent="0.2">
      <c r="A1602">
        <v>10857</v>
      </c>
      <c r="B1602">
        <v>29</v>
      </c>
      <c r="C1602" s="2">
        <v>123.79</v>
      </c>
      <c r="D1602" s="2">
        <v>10</v>
      </c>
      <c r="E1602" s="3">
        <v>0.25</v>
      </c>
    </row>
    <row r="1603" spans="1:5" x14ac:dyDescent="0.2">
      <c r="A1603">
        <v>10858</v>
      </c>
      <c r="B1603">
        <v>7</v>
      </c>
      <c r="C1603" s="2">
        <v>30</v>
      </c>
      <c r="D1603" s="2">
        <v>5</v>
      </c>
      <c r="E1603" s="3">
        <v>0</v>
      </c>
    </row>
    <row r="1604" spans="1:5" x14ac:dyDescent="0.2">
      <c r="A1604">
        <v>10858</v>
      </c>
      <c r="B1604">
        <v>27</v>
      </c>
      <c r="C1604" s="2">
        <v>43.9</v>
      </c>
      <c r="D1604" s="2">
        <v>10</v>
      </c>
      <c r="E1604" s="3">
        <v>0</v>
      </c>
    </row>
    <row r="1605" spans="1:5" x14ac:dyDescent="0.2">
      <c r="A1605">
        <v>10858</v>
      </c>
      <c r="B1605">
        <v>70</v>
      </c>
      <c r="C1605" s="2">
        <v>15</v>
      </c>
      <c r="D1605" s="2">
        <v>4</v>
      </c>
      <c r="E1605" s="3">
        <v>0</v>
      </c>
    </row>
    <row r="1606" spans="1:5" x14ac:dyDescent="0.2">
      <c r="A1606">
        <v>10859</v>
      </c>
      <c r="B1606">
        <v>24</v>
      </c>
      <c r="C1606" s="2">
        <v>4.5</v>
      </c>
      <c r="D1606" s="2">
        <v>40</v>
      </c>
      <c r="E1606" s="3">
        <v>0.25</v>
      </c>
    </row>
    <row r="1607" spans="1:5" x14ac:dyDescent="0.2">
      <c r="A1607">
        <v>10859</v>
      </c>
      <c r="B1607">
        <v>54</v>
      </c>
      <c r="C1607" s="2">
        <v>7.45</v>
      </c>
      <c r="D1607" s="2">
        <v>35</v>
      </c>
      <c r="E1607" s="3">
        <v>0.25</v>
      </c>
    </row>
    <row r="1608" spans="1:5" x14ac:dyDescent="0.2">
      <c r="A1608">
        <v>10859</v>
      </c>
      <c r="B1608">
        <v>64</v>
      </c>
      <c r="C1608" s="2">
        <v>33.25</v>
      </c>
      <c r="D1608" s="2">
        <v>30</v>
      </c>
      <c r="E1608" s="3">
        <v>0.25</v>
      </c>
    </row>
    <row r="1609" spans="1:5" x14ac:dyDescent="0.2">
      <c r="A1609">
        <v>10860</v>
      </c>
      <c r="B1609">
        <v>51</v>
      </c>
      <c r="C1609" s="2">
        <v>53</v>
      </c>
      <c r="D1609" s="2">
        <v>3</v>
      </c>
      <c r="E1609" s="3">
        <v>0</v>
      </c>
    </row>
    <row r="1610" spans="1:5" x14ac:dyDescent="0.2">
      <c r="A1610">
        <v>10860</v>
      </c>
      <c r="B1610">
        <v>76</v>
      </c>
      <c r="C1610" s="2">
        <v>18</v>
      </c>
      <c r="D1610" s="2">
        <v>20</v>
      </c>
      <c r="E1610" s="3">
        <v>0</v>
      </c>
    </row>
    <row r="1611" spans="1:5" x14ac:dyDescent="0.2">
      <c r="A1611">
        <v>10861</v>
      </c>
      <c r="B1611">
        <v>17</v>
      </c>
      <c r="C1611" s="2">
        <v>39</v>
      </c>
      <c r="D1611" s="2">
        <v>42</v>
      </c>
      <c r="E1611" s="3">
        <v>0</v>
      </c>
    </row>
    <row r="1612" spans="1:5" x14ac:dyDescent="0.2">
      <c r="A1612">
        <v>10861</v>
      </c>
      <c r="B1612">
        <v>18</v>
      </c>
      <c r="C1612" s="2">
        <v>62.5</v>
      </c>
      <c r="D1612" s="2">
        <v>20</v>
      </c>
      <c r="E1612" s="3">
        <v>0</v>
      </c>
    </row>
    <row r="1613" spans="1:5" x14ac:dyDescent="0.2">
      <c r="A1613">
        <v>10861</v>
      </c>
      <c r="B1613">
        <v>21</v>
      </c>
      <c r="C1613" s="2">
        <v>10</v>
      </c>
      <c r="D1613" s="2">
        <v>40</v>
      </c>
      <c r="E1613" s="3">
        <v>0</v>
      </c>
    </row>
    <row r="1614" spans="1:5" x14ac:dyDescent="0.2">
      <c r="A1614">
        <v>10861</v>
      </c>
      <c r="B1614">
        <v>33</v>
      </c>
      <c r="C1614" s="2">
        <v>2.5</v>
      </c>
      <c r="D1614" s="2">
        <v>35</v>
      </c>
      <c r="E1614" s="3">
        <v>0</v>
      </c>
    </row>
    <row r="1615" spans="1:5" x14ac:dyDescent="0.2">
      <c r="A1615">
        <v>10861</v>
      </c>
      <c r="B1615">
        <v>62</v>
      </c>
      <c r="C1615" s="2">
        <v>49.3</v>
      </c>
      <c r="D1615" s="2">
        <v>3</v>
      </c>
      <c r="E1615" s="3">
        <v>0</v>
      </c>
    </row>
    <row r="1616" spans="1:5" x14ac:dyDescent="0.2">
      <c r="A1616">
        <v>10862</v>
      </c>
      <c r="B1616">
        <v>11</v>
      </c>
      <c r="C1616" s="2">
        <v>21</v>
      </c>
      <c r="D1616" s="2">
        <v>25</v>
      </c>
      <c r="E1616" s="3">
        <v>0</v>
      </c>
    </row>
    <row r="1617" spans="1:5" x14ac:dyDescent="0.2">
      <c r="A1617">
        <v>10862</v>
      </c>
      <c r="B1617">
        <v>52</v>
      </c>
      <c r="C1617" s="2">
        <v>7</v>
      </c>
      <c r="D1617" s="2">
        <v>8</v>
      </c>
      <c r="E1617" s="3">
        <v>0</v>
      </c>
    </row>
    <row r="1618" spans="1:5" x14ac:dyDescent="0.2">
      <c r="A1618">
        <v>10863</v>
      </c>
      <c r="B1618">
        <v>1</v>
      </c>
      <c r="C1618" s="2">
        <v>18</v>
      </c>
      <c r="D1618" s="2">
        <v>20</v>
      </c>
      <c r="E1618" s="3">
        <v>0.15</v>
      </c>
    </row>
    <row r="1619" spans="1:5" x14ac:dyDescent="0.2">
      <c r="A1619">
        <v>10863</v>
      </c>
      <c r="B1619">
        <v>58</v>
      </c>
      <c r="C1619" s="2">
        <v>13.25</v>
      </c>
      <c r="D1619" s="2">
        <v>12</v>
      </c>
      <c r="E1619" s="3">
        <v>0.15</v>
      </c>
    </row>
    <row r="1620" spans="1:5" x14ac:dyDescent="0.2">
      <c r="A1620">
        <v>10864</v>
      </c>
      <c r="B1620">
        <v>35</v>
      </c>
      <c r="C1620" s="2">
        <v>18</v>
      </c>
      <c r="D1620" s="2">
        <v>4</v>
      </c>
      <c r="E1620" s="3">
        <v>0</v>
      </c>
    </row>
    <row r="1621" spans="1:5" x14ac:dyDescent="0.2">
      <c r="A1621">
        <v>10864</v>
      </c>
      <c r="B1621">
        <v>67</v>
      </c>
      <c r="C1621" s="2">
        <v>14</v>
      </c>
      <c r="D1621" s="2">
        <v>15</v>
      </c>
      <c r="E1621" s="3">
        <v>0</v>
      </c>
    </row>
    <row r="1622" spans="1:5" x14ac:dyDescent="0.2">
      <c r="A1622">
        <v>10865</v>
      </c>
      <c r="B1622">
        <v>38</v>
      </c>
      <c r="C1622" s="2">
        <v>263.5</v>
      </c>
      <c r="D1622" s="2">
        <v>60</v>
      </c>
      <c r="E1622" s="3">
        <v>0.05</v>
      </c>
    </row>
    <row r="1623" spans="1:5" x14ac:dyDescent="0.2">
      <c r="A1623">
        <v>10865</v>
      </c>
      <c r="B1623">
        <v>39</v>
      </c>
      <c r="C1623" s="2">
        <v>18</v>
      </c>
      <c r="D1623" s="2">
        <v>80</v>
      </c>
      <c r="E1623" s="3">
        <v>0.05</v>
      </c>
    </row>
    <row r="1624" spans="1:5" x14ac:dyDescent="0.2">
      <c r="A1624">
        <v>10866</v>
      </c>
      <c r="B1624">
        <v>2</v>
      </c>
      <c r="C1624" s="2">
        <v>19</v>
      </c>
      <c r="D1624" s="2">
        <v>21</v>
      </c>
      <c r="E1624" s="3">
        <v>0.25</v>
      </c>
    </row>
    <row r="1625" spans="1:5" x14ac:dyDescent="0.2">
      <c r="A1625">
        <v>10866</v>
      </c>
      <c r="B1625">
        <v>24</v>
      </c>
      <c r="C1625" s="2">
        <v>4.5</v>
      </c>
      <c r="D1625" s="2">
        <v>6</v>
      </c>
      <c r="E1625" s="3">
        <v>0.25</v>
      </c>
    </row>
    <row r="1626" spans="1:5" x14ac:dyDescent="0.2">
      <c r="A1626">
        <v>10866</v>
      </c>
      <c r="B1626">
        <v>30</v>
      </c>
      <c r="C1626" s="2">
        <v>25.89</v>
      </c>
      <c r="D1626" s="2">
        <v>40</v>
      </c>
      <c r="E1626" s="3">
        <v>0.25</v>
      </c>
    </row>
    <row r="1627" spans="1:5" x14ac:dyDescent="0.2">
      <c r="A1627">
        <v>10867</v>
      </c>
      <c r="B1627">
        <v>53</v>
      </c>
      <c r="C1627" s="2">
        <v>32.799999999999997</v>
      </c>
      <c r="D1627" s="2">
        <v>3</v>
      </c>
      <c r="E1627" s="3">
        <v>0</v>
      </c>
    </row>
    <row r="1628" spans="1:5" x14ac:dyDescent="0.2">
      <c r="A1628">
        <v>10868</v>
      </c>
      <c r="B1628">
        <v>26</v>
      </c>
      <c r="C1628" s="2">
        <v>31.23</v>
      </c>
      <c r="D1628" s="2">
        <v>20</v>
      </c>
      <c r="E1628" s="3">
        <v>0</v>
      </c>
    </row>
    <row r="1629" spans="1:5" x14ac:dyDescent="0.2">
      <c r="A1629">
        <v>10868</v>
      </c>
      <c r="B1629">
        <v>35</v>
      </c>
      <c r="C1629" s="2">
        <v>18</v>
      </c>
      <c r="D1629" s="2">
        <v>30</v>
      </c>
      <c r="E1629" s="3">
        <v>0</v>
      </c>
    </row>
    <row r="1630" spans="1:5" x14ac:dyDescent="0.2">
      <c r="A1630">
        <v>10868</v>
      </c>
      <c r="B1630">
        <v>49</v>
      </c>
      <c r="C1630" s="2">
        <v>20</v>
      </c>
      <c r="D1630" s="2">
        <v>42</v>
      </c>
      <c r="E1630" s="3">
        <v>0.1</v>
      </c>
    </row>
    <row r="1631" spans="1:5" x14ac:dyDescent="0.2">
      <c r="A1631">
        <v>10869</v>
      </c>
      <c r="B1631">
        <v>1</v>
      </c>
      <c r="C1631" s="2">
        <v>18</v>
      </c>
      <c r="D1631" s="2">
        <v>40</v>
      </c>
      <c r="E1631" s="3">
        <v>0</v>
      </c>
    </row>
    <row r="1632" spans="1:5" x14ac:dyDescent="0.2">
      <c r="A1632">
        <v>10869</v>
      </c>
      <c r="B1632">
        <v>11</v>
      </c>
      <c r="C1632" s="2">
        <v>21</v>
      </c>
      <c r="D1632" s="2">
        <v>10</v>
      </c>
      <c r="E1632" s="3">
        <v>0</v>
      </c>
    </row>
    <row r="1633" spans="1:5" x14ac:dyDescent="0.2">
      <c r="A1633">
        <v>10869</v>
      </c>
      <c r="B1633">
        <v>23</v>
      </c>
      <c r="C1633" s="2">
        <v>9</v>
      </c>
      <c r="D1633" s="2">
        <v>50</v>
      </c>
      <c r="E1633" s="3">
        <v>0</v>
      </c>
    </row>
    <row r="1634" spans="1:5" x14ac:dyDescent="0.2">
      <c r="A1634">
        <v>10869</v>
      </c>
      <c r="B1634">
        <v>68</v>
      </c>
      <c r="C1634" s="2">
        <v>12.5</v>
      </c>
      <c r="D1634" s="2">
        <v>20</v>
      </c>
      <c r="E1634" s="3">
        <v>0</v>
      </c>
    </row>
    <row r="1635" spans="1:5" x14ac:dyDescent="0.2">
      <c r="A1635">
        <v>10870</v>
      </c>
      <c r="B1635">
        <v>35</v>
      </c>
      <c r="C1635" s="2">
        <v>18</v>
      </c>
      <c r="D1635" s="2">
        <v>3</v>
      </c>
      <c r="E1635" s="3">
        <v>0</v>
      </c>
    </row>
    <row r="1636" spans="1:5" x14ac:dyDescent="0.2">
      <c r="A1636">
        <v>10870</v>
      </c>
      <c r="B1636">
        <v>51</v>
      </c>
      <c r="C1636" s="2">
        <v>53</v>
      </c>
      <c r="D1636" s="2">
        <v>2</v>
      </c>
      <c r="E1636" s="3">
        <v>0</v>
      </c>
    </row>
    <row r="1637" spans="1:5" x14ac:dyDescent="0.2">
      <c r="A1637">
        <v>10871</v>
      </c>
      <c r="B1637">
        <v>6</v>
      </c>
      <c r="C1637" s="2">
        <v>25</v>
      </c>
      <c r="D1637" s="2">
        <v>50</v>
      </c>
      <c r="E1637" s="3">
        <v>0.05</v>
      </c>
    </row>
    <row r="1638" spans="1:5" x14ac:dyDescent="0.2">
      <c r="A1638">
        <v>10871</v>
      </c>
      <c r="B1638">
        <v>16</v>
      </c>
      <c r="C1638" s="2">
        <v>17.45</v>
      </c>
      <c r="D1638" s="2">
        <v>12</v>
      </c>
      <c r="E1638" s="3">
        <v>0.05</v>
      </c>
    </row>
    <row r="1639" spans="1:5" x14ac:dyDescent="0.2">
      <c r="A1639">
        <v>10871</v>
      </c>
      <c r="B1639">
        <v>17</v>
      </c>
      <c r="C1639" s="2">
        <v>39</v>
      </c>
      <c r="D1639" s="2">
        <v>16</v>
      </c>
      <c r="E1639" s="3">
        <v>0.05</v>
      </c>
    </row>
    <row r="1640" spans="1:5" x14ac:dyDescent="0.2">
      <c r="A1640">
        <v>10872</v>
      </c>
      <c r="B1640">
        <v>55</v>
      </c>
      <c r="C1640" s="2">
        <v>24</v>
      </c>
      <c r="D1640" s="2">
        <v>10</v>
      </c>
      <c r="E1640" s="3">
        <v>0.05</v>
      </c>
    </row>
    <row r="1641" spans="1:5" x14ac:dyDescent="0.2">
      <c r="A1641">
        <v>10872</v>
      </c>
      <c r="B1641">
        <v>62</v>
      </c>
      <c r="C1641" s="2">
        <v>49.3</v>
      </c>
      <c r="D1641" s="2">
        <v>20</v>
      </c>
      <c r="E1641" s="3">
        <v>0.05</v>
      </c>
    </row>
    <row r="1642" spans="1:5" x14ac:dyDescent="0.2">
      <c r="A1642">
        <v>10872</v>
      </c>
      <c r="B1642">
        <v>64</v>
      </c>
      <c r="C1642" s="2">
        <v>33.25</v>
      </c>
      <c r="D1642" s="2">
        <v>15</v>
      </c>
      <c r="E1642" s="3">
        <v>0.05</v>
      </c>
    </row>
    <row r="1643" spans="1:5" x14ac:dyDescent="0.2">
      <c r="A1643">
        <v>10872</v>
      </c>
      <c r="B1643">
        <v>65</v>
      </c>
      <c r="C1643" s="2">
        <v>21.05</v>
      </c>
      <c r="D1643" s="2">
        <v>21</v>
      </c>
      <c r="E1643" s="3">
        <v>0.05</v>
      </c>
    </row>
    <row r="1644" spans="1:5" x14ac:dyDescent="0.2">
      <c r="A1644">
        <v>10873</v>
      </c>
      <c r="B1644">
        <v>21</v>
      </c>
      <c r="C1644" s="2">
        <v>10</v>
      </c>
      <c r="D1644" s="2">
        <v>20</v>
      </c>
      <c r="E1644" s="3">
        <v>0</v>
      </c>
    </row>
    <row r="1645" spans="1:5" x14ac:dyDescent="0.2">
      <c r="A1645">
        <v>10873</v>
      </c>
      <c r="B1645">
        <v>28</v>
      </c>
      <c r="C1645" s="2">
        <v>45.6</v>
      </c>
      <c r="D1645" s="2">
        <v>3</v>
      </c>
      <c r="E1645" s="3">
        <v>0</v>
      </c>
    </row>
    <row r="1646" spans="1:5" x14ac:dyDescent="0.2">
      <c r="A1646">
        <v>10874</v>
      </c>
      <c r="B1646">
        <v>10</v>
      </c>
      <c r="C1646" s="2">
        <v>31</v>
      </c>
      <c r="D1646" s="2">
        <v>10</v>
      </c>
      <c r="E1646" s="3">
        <v>0</v>
      </c>
    </row>
    <row r="1647" spans="1:5" x14ac:dyDescent="0.2">
      <c r="A1647">
        <v>10875</v>
      </c>
      <c r="B1647">
        <v>19</v>
      </c>
      <c r="C1647" s="2">
        <v>9.1999999999999993</v>
      </c>
      <c r="D1647" s="2">
        <v>25</v>
      </c>
      <c r="E1647" s="3">
        <v>0</v>
      </c>
    </row>
    <row r="1648" spans="1:5" x14ac:dyDescent="0.2">
      <c r="A1648">
        <v>10875</v>
      </c>
      <c r="B1648">
        <v>47</v>
      </c>
      <c r="C1648" s="2">
        <v>9.5</v>
      </c>
      <c r="D1648" s="2">
        <v>21</v>
      </c>
      <c r="E1648" s="3">
        <v>0.1</v>
      </c>
    </row>
    <row r="1649" spans="1:5" x14ac:dyDescent="0.2">
      <c r="A1649">
        <v>10875</v>
      </c>
      <c r="B1649">
        <v>49</v>
      </c>
      <c r="C1649" s="2">
        <v>20</v>
      </c>
      <c r="D1649" s="2">
        <v>15</v>
      </c>
      <c r="E1649" s="3">
        <v>0</v>
      </c>
    </row>
    <row r="1650" spans="1:5" x14ac:dyDescent="0.2">
      <c r="A1650">
        <v>10876</v>
      </c>
      <c r="B1650">
        <v>46</v>
      </c>
      <c r="C1650" s="2">
        <v>12</v>
      </c>
      <c r="D1650" s="2">
        <v>21</v>
      </c>
      <c r="E1650" s="3">
        <v>0</v>
      </c>
    </row>
    <row r="1651" spans="1:5" x14ac:dyDescent="0.2">
      <c r="A1651">
        <v>10876</v>
      </c>
      <c r="B1651">
        <v>64</v>
      </c>
      <c r="C1651" s="2">
        <v>33.25</v>
      </c>
      <c r="D1651" s="2">
        <v>20</v>
      </c>
      <c r="E1651" s="3">
        <v>0</v>
      </c>
    </row>
    <row r="1652" spans="1:5" x14ac:dyDescent="0.2">
      <c r="A1652">
        <v>10877</v>
      </c>
      <c r="B1652">
        <v>16</v>
      </c>
      <c r="C1652" s="2">
        <v>17.45</v>
      </c>
      <c r="D1652" s="2">
        <v>30</v>
      </c>
      <c r="E1652" s="3">
        <v>0.25</v>
      </c>
    </row>
    <row r="1653" spans="1:5" x14ac:dyDescent="0.2">
      <c r="A1653">
        <v>10877</v>
      </c>
      <c r="B1653">
        <v>18</v>
      </c>
      <c r="C1653" s="2">
        <v>62.5</v>
      </c>
      <c r="D1653" s="2">
        <v>25</v>
      </c>
      <c r="E1653" s="3">
        <v>0</v>
      </c>
    </row>
    <row r="1654" spans="1:5" x14ac:dyDescent="0.2">
      <c r="A1654">
        <v>10878</v>
      </c>
      <c r="B1654">
        <v>20</v>
      </c>
      <c r="C1654" s="2">
        <v>81</v>
      </c>
      <c r="D1654" s="2">
        <v>20</v>
      </c>
      <c r="E1654" s="3">
        <v>0.05</v>
      </c>
    </row>
    <row r="1655" spans="1:5" x14ac:dyDescent="0.2">
      <c r="A1655">
        <v>10879</v>
      </c>
      <c r="B1655">
        <v>40</v>
      </c>
      <c r="C1655" s="2">
        <v>18.399999999999999</v>
      </c>
      <c r="D1655" s="2">
        <v>12</v>
      </c>
      <c r="E1655" s="3">
        <v>0</v>
      </c>
    </row>
    <row r="1656" spans="1:5" x14ac:dyDescent="0.2">
      <c r="A1656">
        <v>10879</v>
      </c>
      <c r="B1656">
        <v>65</v>
      </c>
      <c r="C1656" s="2">
        <v>21.05</v>
      </c>
      <c r="D1656" s="2">
        <v>10</v>
      </c>
      <c r="E1656" s="3">
        <v>0</v>
      </c>
    </row>
    <row r="1657" spans="1:5" x14ac:dyDescent="0.2">
      <c r="A1657">
        <v>10879</v>
      </c>
      <c r="B1657">
        <v>76</v>
      </c>
      <c r="C1657" s="2">
        <v>18</v>
      </c>
      <c r="D1657" s="2">
        <v>10</v>
      </c>
      <c r="E1657" s="3">
        <v>0</v>
      </c>
    </row>
    <row r="1658" spans="1:5" x14ac:dyDescent="0.2">
      <c r="A1658">
        <v>10880</v>
      </c>
      <c r="B1658">
        <v>23</v>
      </c>
      <c r="C1658" s="2">
        <v>9</v>
      </c>
      <c r="D1658" s="2">
        <v>30</v>
      </c>
      <c r="E1658" s="3">
        <v>0.2</v>
      </c>
    </row>
    <row r="1659" spans="1:5" x14ac:dyDescent="0.2">
      <c r="A1659">
        <v>10880</v>
      </c>
      <c r="B1659">
        <v>61</v>
      </c>
      <c r="C1659" s="2">
        <v>28.5</v>
      </c>
      <c r="D1659" s="2">
        <v>30</v>
      </c>
      <c r="E1659" s="3">
        <v>0.2</v>
      </c>
    </row>
    <row r="1660" spans="1:5" x14ac:dyDescent="0.2">
      <c r="A1660">
        <v>10880</v>
      </c>
      <c r="B1660">
        <v>70</v>
      </c>
      <c r="C1660" s="2">
        <v>15</v>
      </c>
      <c r="D1660" s="2">
        <v>50</v>
      </c>
      <c r="E1660" s="3">
        <v>0.2</v>
      </c>
    </row>
    <row r="1661" spans="1:5" x14ac:dyDescent="0.2">
      <c r="A1661">
        <v>10881</v>
      </c>
      <c r="B1661">
        <v>73</v>
      </c>
      <c r="C1661" s="2">
        <v>15</v>
      </c>
      <c r="D1661" s="2">
        <v>10</v>
      </c>
      <c r="E1661" s="3">
        <v>0</v>
      </c>
    </row>
    <row r="1662" spans="1:5" x14ac:dyDescent="0.2">
      <c r="A1662">
        <v>10882</v>
      </c>
      <c r="B1662">
        <v>42</v>
      </c>
      <c r="C1662" s="2">
        <v>14</v>
      </c>
      <c r="D1662" s="2">
        <v>25</v>
      </c>
      <c r="E1662" s="3">
        <v>0</v>
      </c>
    </row>
    <row r="1663" spans="1:5" x14ac:dyDescent="0.2">
      <c r="A1663">
        <v>10882</v>
      </c>
      <c r="B1663">
        <v>49</v>
      </c>
      <c r="C1663" s="2">
        <v>20</v>
      </c>
      <c r="D1663" s="2">
        <v>20</v>
      </c>
      <c r="E1663" s="3">
        <v>0.15</v>
      </c>
    </row>
    <row r="1664" spans="1:5" x14ac:dyDescent="0.2">
      <c r="A1664">
        <v>10882</v>
      </c>
      <c r="B1664">
        <v>54</v>
      </c>
      <c r="C1664" s="2">
        <v>7.45</v>
      </c>
      <c r="D1664" s="2">
        <v>32</v>
      </c>
      <c r="E1664" s="3">
        <v>0.15</v>
      </c>
    </row>
    <row r="1665" spans="1:5" x14ac:dyDescent="0.2">
      <c r="A1665">
        <v>10883</v>
      </c>
      <c r="B1665">
        <v>24</v>
      </c>
      <c r="C1665" s="2">
        <v>4.5</v>
      </c>
      <c r="D1665" s="2">
        <v>8</v>
      </c>
      <c r="E1665" s="3">
        <v>0</v>
      </c>
    </row>
    <row r="1666" spans="1:5" x14ac:dyDescent="0.2">
      <c r="A1666">
        <v>10884</v>
      </c>
      <c r="B1666">
        <v>21</v>
      </c>
      <c r="C1666" s="2">
        <v>10</v>
      </c>
      <c r="D1666" s="2">
        <v>40</v>
      </c>
      <c r="E1666" s="3">
        <v>0.05</v>
      </c>
    </row>
    <row r="1667" spans="1:5" x14ac:dyDescent="0.2">
      <c r="A1667">
        <v>10884</v>
      </c>
      <c r="B1667">
        <v>56</v>
      </c>
      <c r="C1667" s="2">
        <v>38</v>
      </c>
      <c r="D1667" s="2">
        <v>21</v>
      </c>
      <c r="E1667" s="3">
        <v>0.05</v>
      </c>
    </row>
    <row r="1668" spans="1:5" x14ac:dyDescent="0.2">
      <c r="A1668">
        <v>10884</v>
      </c>
      <c r="B1668">
        <v>65</v>
      </c>
      <c r="C1668" s="2">
        <v>21.05</v>
      </c>
      <c r="D1668" s="2">
        <v>12</v>
      </c>
      <c r="E1668" s="3">
        <v>0.05</v>
      </c>
    </row>
    <row r="1669" spans="1:5" x14ac:dyDescent="0.2">
      <c r="A1669">
        <v>10885</v>
      </c>
      <c r="B1669">
        <v>2</v>
      </c>
      <c r="C1669" s="2">
        <v>19</v>
      </c>
      <c r="D1669" s="2">
        <v>20</v>
      </c>
      <c r="E1669" s="3">
        <v>0</v>
      </c>
    </row>
    <row r="1670" spans="1:5" x14ac:dyDescent="0.2">
      <c r="A1670">
        <v>10885</v>
      </c>
      <c r="B1670">
        <v>24</v>
      </c>
      <c r="C1670" s="2">
        <v>4.5</v>
      </c>
      <c r="D1670" s="2">
        <v>12</v>
      </c>
      <c r="E1670" s="3">
        <v>0</v>
      </c>
    </row>
    <row r="1671" spans="1:5" x14ac:dyDescent="0.2">
      <c r="A1671">
        <v>10885</v>
      </c>
      <c r="B1671">
        <v>70</v>
      </c>
      <c r="C1671" s="2">
        <v>15</v>
      </c>
      <c r="D1671" s="2">
        <v>30</v>
      </c>
      <c r="E1671" s="3">
        <v>0</v>
      </c>
    </row>
    <row r="1672" spans="1:5" x14ac:dyDescent="0.2">
      <c r="A1672">
        <v>10885</v>
      </c>
      <c r="B1672">
        <v>77</v>
      </c>
      <c r="C1672" s="2">
        <v>13</v>
      </c>
      <c r="D1672" s="2">
        <v>25</v>
      </c>
      <c r="E1672" s="3">
        <v>0</v>
      </c>
    </row>
    <row r="1673" spans="1:5" x14ac:dyDescent="0.2">
      <c r="A1673">
        <v>10886</v>
      </c>
      <c r="B1673">
        <v>10</v>
      </c>
      <c r="C1673" s="2">
        <v>31</v>
      </c>
      <c r="D1673" s="2">
        <v>70</v>
      </c>
      <c r="E1673" s="3">
        <v>0</v>
      </c>
    </row>
    <row r="1674" spans="1:5" x14ac:dyDescent="0.2">
      <c r="A1674">
        <v>10886</v>
      </c>
      <c r="B1674">
        <v>31</v>
      </c>
      <c r="C1674" s="2">
        <v>12.5</v>
      </c>
      <c r="D1674" s="2">
        <v>35</v>
      </c>
      <c r="E1674" s="3">
        <v>0</v>
      </c>
    </row>
    <row r="1675" spans="1:5" x14ac:dyDescent="0.2">
      <c r="A1675">
        <v>10886</v>
      </c>
      <c r="B1675">
        <v>77</v>
      </c>
      <c r="C1675" s="2">
        <v>13</v>
      </c>
      <c r="D1675" s="2">
        <v>40</v>
      </c>
      <c r="E1675" s="3">
        <v>0</v>
      </c>
    </row>
    <row r="1676" spans="1:5" x14ac:dyDescent="0.2">
      <c r="A1676">
        <v>10887</v>
      </c>
      <c r="B1676">
        <v>25</v>
      </c>
      <c r="C1676" s="2">
        <v>14</v>
      </c>
      <c r="D1676" s="2">
        <v>5</v>
      </c>
      <c r="E1676" s="3">
        <v>0</v>
      </c>
    </row>
    <row r="1677" spans="1:5" x14ac:dyDescent="0.2">
      <c r="A1677">
        <v>10888</v>
      </c>
      <c r="B1677">
        <v>2</v>
      </c>
      <c r="C1677" s="2">
        <v>19</v>
      </c>
      <c r="D1677" s="2">
        <v>20</v>
      </c>
      <c r="E1677" s="3">
        <v>0</v>
      </c>
    </row>
    <row r="1678" spans="1:5" x14ac:dyDescent="0.2">
      <c r="A1678">
        <v>10888</v>
      </c>
      <c r="B1678">
        <v>68</v>
      </c>
      <c r="C1678" s="2">
        <v>12.5</v>
      </c>
      <c r="D1678" s="2">
        <v>18</v>
      </c>
      <c r="E1678" s="3">
        <v>0</v>
      </c>
    </row>
    <row r="1679" spans="1:5" x14ac:dyDescent="0.2">
      <c r="A1679">
        <v>10889</v>
      </c>
      <c r="B1679">
        <v>11</v>
      </c>
      <c r="C1679" s="2">
        <v>21</v>
      </c>
      <c r="D1679" s="2">
        <v>40</v>
      </c>
      <c r="E1679" s="3">
        <v>0</v>
      </c>
    </row>
    <row r="1680" spans="1:5" x14ac:dyDescent="0.2">
      <c r="A1680">
        <v>10889</v>
      </c>
      <c r="B1680">
        <v>38</v>
      </c>
      <c r="C1680" s="2">
        <v>263.5</v>
      </c>
      <c r="D1680" s="2">
        <v>40</v>
      </c>
      <c r="E1680" s="3">
        <v>0</v>
      </c>
    </row>
    <row r="1681" spans="1:5" x14ac:dyDescent="0.2">
      <c r="A1681">
        <v>10890</v>
      </c>
      <c r="B1681">
        <v>17</v>
      </c>
      <c r="C1681" s="2">
        <v>39</v>
      </c>
      <c r="D1681" s="2">
        <v>15</v>
      </c>
      <c r="E1681" s="3">
        <v>0</v>
      </c>
    </row>
    <row r="1682" spans="1:5" x14ac:dyDescent="0.2">
      <c r="A1682">
        <v>10890</v>
      </c>
      <c r="B1682">
        <v>34</v>
      </c>
      <c r="C1682" s="2">
        <v>14</v>
      </c>
      <c r="D1682" s="2">
        <v>10</v>
      </c>
      <c r="E1682" s="3">
        <v>0</v>
      </c>
    </row>
    <row r="1683" spans="1:5" x14ac:dyDescent="0.2">
      <c r="A1683">
        <v>10890</v>
      </c>
      <c r="B1683">
        <v>41</v>
      </c>
      <c r="C1683" s="2">
        <v>9.65</v>
      </c>
      <c r="D1683" s="2">
        <v>14</v>
      </c>
      <c r="E1683" s="3">
        <v>0</v>
      </c>
    </row>
    <row r="1684" spans="1:5" x14ac:dyDescent="0.2">
      <c r="A1684">
        <v>10891</v>
      </c>
      <c r="B1684">
        <v>30</v>
      </c>
      <c r="C1684" s="2">
        <v>25.89</v>
      </c>
      <c r="D1684" s="2">
        <v>15</v>
      </c>
      <c r="E1684" s="3">
        <v>0.05</v>
      </c>
    </row>
    <row r="1685" spans="1:5" x14ac:dyDescent="0.2">
      <c r="A1685">
        <v>10892</v>
      </c>
      <c r="B1685">
        <v>59</v>
      </c>
      <c r="C1685" s="2">
        <v>55</v>
      </c>
      <c r="D1685" s="2">
        <v>40</v>
      </c>
      <c r="E1685" s="3">
        <v>0.05</v>
      </c>
    </row>
    <row r="1686" spans="1:5" x14ac:dyDescent="0.2">
      <c r="A1686">
        <v>10893</v>
      </c>
      <c r="B1686">
        <v>8</v>
      </c>
      <c r="C1686" s="2">
        <v>40</v>
      </c>
      <c r="D1686" s="2">
        <v>30</v>
      </c>
      <c r="E1686" s="3">
        <v>0</v>
      </c>
    </row>
    <row r="1687" spans="1:5" x14ac:dyDescent="0.2">
      <c r="A1687">
        <v>10893</v>
      </c>
      <c r="B1687">
        <v>24</v>
      </c>
      <c r="C1687" s="2">
        <v>4.5</v>
      </c>
      <c r="D1687" s="2">
        <v>10</v>
      </c>
      <c r="E1687" s="3">
        <v>0</v>
      </c>
    </row>
    <row r="1688" spans="1:5" x14ac:dyDescent="0.2">
      <c r="A1688">
        <v>10893</v>
      </c>
      <c r="B1688">
        <v>29</v>
      </c>
      <c r="C1688" s="2">
        <v>123.79</v>
      </c>
      <c r="D1688" s="2">
        <v>24</v>
      </c>
      <c r="E1688" s="3">
        <v>0</v>
      </c>
    </row>
    <row r="1689" spans="1:5" x14ac:dyDescent="0.2">
      <c r="A1689">
        <v>10893</v>
      </c>
      <c r="B1689">
        <v>30</v>
      </c>
      <c r="C1689" s="2">
        <v>25.89</v>
      </c>
      <c r="D1689" s="2">
        <v>35</v>
      </c>
      <c r="E1689" s="3">
        <v>0</v>
      </c>
    </row>
    <row r="1690" spans="1:5" x14ac:dyDescent="0.2">
      <c r="A1690">
        <v>10893</v>
      </c>
      <c r="B1690">
        <v>36</v>
      </c>
      <c r="C1690" s="2">
        <v>19</v>
      </c>
      <c r="D1690" s="2">
        <v>20</v>
      </c>
      <c r="E1690" s="3">
        <v>0</v>
      </c>
    </row>
    <row r="1691" spans="1:5" x14ac:dyDescent="0.2">
      <c r="A1691">
        <v>10894</v>
      </c>
      <c r="B1691">
        <v>13</v>
      </c>
      <c r="C1691" s="2">
        <v>6</v>
      </c>
      <c r="D1691" s="2">
        <v>28</v>
      </c>
      <c r="E1691" s="3">
        <v>0.05</v>
      </c>
    </row>
    <row r="1692" spans="1:5" x14ac:dyDescent="0.2">
      <c r="A1692">
        <v>10894</v>
      </c>
      <c r="B1692">
        <v>69</v>
      </c>
      <c r="C1692" s="2">
        <v>36</v>
      </c>
      <c r="D1692" s="2">
        <v>50</v>
      </c>
      <c r="E1692" s="3">
        <v>0.05</v>
      </c>
    </row>
    <row r="1693" spans="1:5" x14ac:dyDescent="0.2">
      <c r="A1693">
        <v>10894</v>
      </c>
      <c r="B1693">
        <v>75</v>
      </c>
      <c r="C1693" s="2">
        <v>7.75</v>
      </c>
      <c r="D1693" s="2">
        <v>120</v>
      </c>
      <c r="E1693" s="3">
        <v>0.05</v>
      </c>
    </row>
    <row r="1694" spans="1:5" x14ac:dyDescent="0.2">
      <c r="A1694">
        <v>10895</v>
      </c>
      <c r="B1694">
        <v>24</v>
      </c>
      <c r="C1694" s="2">
        <v>4.5</v>
      </c>
      <c r="D1694" s="2">
        <v>110</v>
      </c>
      <c r="E1694" s="3">
        <v>0</v>
      </c>
    </row>
    <row r="1695" spans="1:5" x14ac:dyDescent="0.2">
      <c r="A1695">
        <v>10895</v>
      </c>
      <c r="B1695">
        <v>39</v>
      </c>
      <c r="C1695" s="2">
        <v>18</v>
      </c>
      <c r="D1695" s="2">
        <v>45</v>
      </c>
      <c r="E1695" s="3">
        <v>0</v>
      </c>
    </row>
    <row r="1696" spans="1:5" x14ac:dyDescent="0.2">
      <c r="A1696">
        <v>10895</v>
      </c>
      <c r="B1696">
        <v>40</v>
      </c>
      <c r="C1696" s="2">
        <v>18.399999999999999</v>
      </c>
      <c r="D1696" s="2">
        <v>91</v>
      </c>
      <c r="E1696" s="3">
        <v>0</v>
      </c>
    </row>
    <row r="1697" spans="1:5" x14ac:dyDescent="0.2">
      <c r="A1697">
        <v>10895</v>
      </c>
      <c r="B1697">
        <v>60</v>
      </c>
      <c r="C1697" s="2">
        <v>34</v>
      </c>
      <c r="D1697" s="2">
        <v>100</v>
      </c>
      <c r="E1697" s="3">
        <v>0</v>
      </c>
    </row>
    <row r="1698" spans="1:5" x14ac:dyDescent="0.2">
      <c r="A1698">
        <v>10896</v>
      </c>
      <c r="B1698">
        <v>45</v>
      </c>
      <c r="C1698" s="2">
        <v>9.5</v>
      </c>
      <c r="D1698" s="2">
        <v>15</v>
      </c>
      <c r="E1698" s="3">
        <v>0</v>
      </c>
    </row>
    <row r="1699" spans="1:5" x14ac:dyDescent="0.2">
      <c r="A1699">
        <v>10896</v>
      </c>
      <c r="B1699">
        <v>56</v>
      </c>
      <c r="C1699" s="2">
        <v>38</v>
      </c>
      <c r="D1699" s="2">
        <v>16</v>
      </c>
      <c r="E1699" s="3">
        <v>0</v>
      </c>
    </row>
    <row r="1700" spans="1:5" x14ac:dyDescent="0.2">
      <c r="A1700">
        <v>10897</v>
      </c>
      <c r="B1700">
        <v>29</v>
      </c>
      <c r="C1700" s="2">
        <v>123.79</v>
      </c>
      <c r="D1700" s="2">
        <v>80</v>
      </c>
      <c r="E1700" s="3">
        <v>0</v>
      </c>
    </row>
    <row r="1701" spans="1:5" x14ac:dyDescent="0.2">
      <c r="A1701">
        <v>10897</v>
      </c>
      <c r="B1701">
        <v>30</v>
      </c>
      <c r="C1701" s="2">
        <v>25.89</v>
      </c>
      <c r="D1701" s="2">
        <v>36</v>
      </c>
      <c r="E1701" s="3">
        <v>0</v>
      </c>
    </row>
    <row r="1702" spans="1:5" x14ac:dyDescent="0.2">
      <c r="A1702">
        <v>10898</v>
      </c>
      <c r="B1702">
        <v>13</v>
      </c>
      <c r="C1702" s="2">
        <v>6</v>
      </c>
      <c r="D1702" s="2">
        <v>5</v>
      </c>
      <c r="E1702" s="3">
        <v>0</v>
      </c>
    </row>
    <row r="1703" spans="1:5" x14ac:dyDescent="0.2">
      <c r="A1703">
        <v>10899</v>
      </c>
      <c r="B1703">
        <v>39</v>
      </c>
      <c r="C1703" s="2">
        <v>18</v>
      </c>
      <c r="D1703" s="2">
        <v>8</v>
      </c>
      <c r="E1703" s="3">
        <v>0.15</v>
      </c>
    </row>
    <row r="1704" spans="1:5" x14ac:dyDescent="0.2">
      <c r="A1704">
        <v>10900</v>
      </c>
      <c r="B1704">
        <v>70</v>
      </c>
      <c r="C1704" s="2">
        <v>15</v>
      </c>
      <c r="D1704" s="2">
        <v>3</v>
      </c>
      <c r="E1704" s="3">
        <v>0.25</v>
      </c>
    </row>
    <row r="1705" spans="1:5" x14ac:dyDescent="0.2">
      <c r="A1705">
        <v>10901</v>
      </c>
      <c r="B1705">
        <v>41</v>
      </c>
      <c r="C1705" s="2">
        <v>9.65</v>
      </c>
      <c r="D1705" s="2">
        <v>30</v>
      </c>
      <c r="E1705" s="3">
        <v>0</v>
      </c>
    </row>
    <row r="1706" spans="1:5" x14ac:dyDescent="0.2">
      <c r="A1706">
        <v>10901</v>
      </c>
      <c r="B1706">
        <v>71</v>
      </c>
      <c r="C1706" s="2">
        <v>21.5</v>
      </c>
      <c r="D1706" s="2">
        <v>30</v>
      </c>
      <c r="E1706" s="3">
        <v>0</v>
      </c>
    </row>
    <row r="1707" spans="1:5" x14ac:dyDescent="0.2">
      <c r="A1707">
        <v>10902</v>
      </c>
      <c r="B1707">
        <v>55</v>
      </c>
      <c r="C1707" s="2">
        <v>24</v>
      </c>
      <c r="D1707" s="2">
        <v>30</v>
      </c>
      <c r="E1707" s="3">
        <v>0.15</v>
      </c>
    </row>
    <row r="1708" spans="1:5" x14ac:dyDescent="0.2">
      <c r="A1708">
        <v>10902</v>
      </c>
      <c r="B1708">
        <v>62</v>
      </c>
      <c r="C1708" s="2">
        <v>49.3</v>
      </c>
      <c r="D1708" s="2">
        <v>6</v>
      </c>
      <c r="E1708" s="3">
        <v>0.15</v>
      </c>
    </row>
    <row r="1709" spans="1:5" x14ac:dyDescent="0.2">
      <c r="A1709">
        <v>10903</v>
      </c>
      <c r="B1709">
        <v>13</v>
      </c>
      <c r="C1709" s="2">
        <v>6</v>
      </c>
      <c r="D1709" s="2">
        <v>40</v>
      </c>
      <c r="E1709" s="3">
        <v>0</v>
      </c>
    </row>
    <row r="1710" spans="1:5" x14ac:dyDescent="0.2">
      <c r="A1710">
        <v>10903</v>
      </c>
      <c r="B1710">
        <v>65</v>
      </c>
      <c r="C1710" s="2">
        <v>21.05</v>
      </c>
      <c r="D1710" s="2">
        <v>21</v>
      </c>
      <c r="E1710" s="3">
        <v>0</v>
      </c>
    </row>
    <row r="1711" spans="1:5" x14ac:dyDescent="0.2">
      <c r="A1711">
        <v>10903</v>
      </c>
      <c r="B1711">
        <v>68</v>
      </c>
      <c r="C1711" s="2">
        <v>12.5</v>
      </c>
      <c r="D1711" s="2">
        <v>20</v>
      </c>
      <c r="E1711" s="3">
        <v>0</v>
      </c>
    </row>
    <row r="1712" spans="1:5" x14ac:dyDescent="0.2">
      <c r="A1712">
        <v>10904</v>
      </c>
      <c r="B1712">
        <v>58</v>
      </c>
      <c r="C1712" s="2">
        <v>13.25</v>
      </c>
      <c r="D1712" s="2">
        <v>15</v>
      </c>
      <c r="E1712" s="3">
        <v>0</v>
      </c>
    </row>
    <row r="1713" spans="1:5" x14ac:dyDescent="0.2">
      <c r="A1713">
        <v>10904</v>
      </c>
      <c r="B1713">
        <v>62</v>
      </c>
      <c r="C1713" s="2">
        <v>49.3</v>
      </c>
      <c r="D1713" s="2">
        <v>35</v>
      </c>
      <c r="E1713" s="3">
        <v>0</v>
      </c>
    </row>
    <row r="1714" spans="1:5" x14ac:dyDescent="0.2">
      <c r="A1714">
        <v>10905</v>
      </c>
      <c r="B1714">
        <v>1</v>
      </c>
      <c r="C1714" s="2">
        <v>18</v>
      </c>
      <c r="D1714" s="2">
        <v>20</v>
      </c>
      <c r="E1714" s="3">
        <v>0.05</v>
      </c>
    </row>
    <row r="1715" spans="1:5" x14ac:dyDescent="0.2">
      <c r="A1715">
        <v>10906</v>
      </c>
      <c r="B1715">
        <v>61</v>
      </c>
      <c r="C1715" s="2">
        <v>28.5</v>
      </c>
      <c r="D1715" s="2">
        <v>15</v>
      </c>
      <c r="E1715" s="3">
        <v>0</v>
      </c>
    </row>
    <row r="1716" spans="1:5" x14ac:dyDescent="0.2">
      <c r="A1716">
        <v>10907</v>
      </c>
      <c r="B1716">
        <v>75</v>
      </c>
      <c r="C1716" s="2">
        <v>7.75</v>
      </c>
      <c r="D1716" s="2">
        <v>14</v>
      </c>
      <c r="E1716" s="3">
        <v>0</v>
      </c>
    </row>
    <row r="1717" spans="1:5" x14ac:dyDescent="0.2">
      <c r="A1717">
        <v>10908</v>
      </c>
      <c r="B1717">
        <v>7</v>
      </c>
      <c r="C1717" s="2">
        <v>30</v>
      </c>
      <c r="D1717" s="2">
        <v>20</v>
      </c>
      <c r="E1717" s="3">
        <v>0.05</v>
      </c>
    </row>
    <row r="1718" spans="1:5" x14ac:dyDescent="0.2">
      <c r="A1718">
        <v>10908</v>
      </c>
      <c r="B1718">
        <v>52</v>
      </c>
      <c r="C1718" s="2">
        <v>7</v>
      </c>
      <c r="D1718" s="2">
        <v>14</v>
      </c>
      <c r="E1718" s="3">
        <v>0.05</v>
      </c>
    </row>
    <row r="1719" spans="1:5" x14ac:dyDescent="0.2">
      <c r="A1719">
        <v>10909</v>
      </c>
      <c r="B1719">
        <v>7</v>
      </c>
      <c r="C1719" s="2">
        <v>30</v>
      </c>
      <c r="D1719" s="2">
        <v>12</v>
      </c>
      <c r="E1719" s="3">
        <v>0</v>
      </c>
    </row>
    <row r="1720" spans="1:5" x14ac:dyDescent="0.2">
      <c r="A1720">
        <v>10909</v>
      </c>
      <c r="B1720">
        <v>16</v>
      </c>
      <c r="C1720" s="2">
        <v>17.45</v>
      </c>
      <c r="D1720" s="2">
        <v>15</v>
      </c>
      <c r="E1720" s="3">
        <v>0</v>
      </c>
    </row>
    <row r="1721" spans="1:5" x14ac:dyDescent="0.2">
      <c r="A1721">
        <v>10909</v>
      </c>
      <c r="B1721">
        <v>41</v>
      </c>
      <c r="C1721" s="2">
        <v>9.65</v>
      </c>
      <c r="D1721" s="2">
        <v>5</v>
      </c>
      <c r="E1721" s="3">
        <v>0</v>
      </c>
    </row>
    <row r="1722" spans="1:5" x14ac:dyDescent="0.2">
      <c r="A1722">
        <v>10910</v>
      </c>
      <c r="B1722">
        <v>19</v>
      </c>
      <c r="C1722" s="2">
        <v>9.1999999999999993</v>
      </c>
      <c r="D1722" s="2">
        <v>12</v>
      </c>
      <c r="E1722" s="3">
        <v>0</v>
      </c>
    </row>
    <row r="1723" spans="1:5" x14ac:dyDescent="0.2">
      <c r="A1723">
        <v>10910</v>
      </c>
      <c r="B1723">
        <v>49</v>
      </c>
      <c r="C1723" s="2">
        <v>20</v>
      </c>
      <c r="D1723" s="2">
        <v>10</v>
      </c>
      <c r="E1723" s="3">
        <v>0</v>
      </c>
    </row>
    <row r="1724" spans="1:5" x14ac:dyDescent="0.2">
      <c r="A1724">
        <v>10910</v>
      </c>
      <c r="B1724">
        <v>61</v>
      </c>
      <c r="C1724" s="2">
        <v>28.5</v>
      </c>
      <c r="D1724" s="2">
        <v>5</v>
      </c>
      <c r="E1724" s="3">
        <v>0</v>
      </c>
    </row>
    <row r="1725" spans="1:5" x14ac:dyDescent="0.2">
      <c r="A1725">
        <v>10911</v>
      </c>
      <c r="B1725">
        <v>1</v>
      </c>
      <c r="C1725" s="2">
        <v>18</v>
      </c>
      <c r="D1725" s="2">
        <v>10</v>
      </c>
      <c r="E1725" s="3">
        <v>0</v>
      </c>
    </row>
    <row r="1726" spans="1:5" x14ac:dyDescent="0.2">
      <c r="A1726">
        <v>10911</v>
      </c>
      <c r="B1726">
        <v>17</v>
      </c>
      <c r="C1726" s="2">
        <v>39</v>
      </c>
      <c r="D1726" s="2">
        <v>12</v>
      </c>
      <c r="E1726" s="3">
        <v>0</v>
      </c>
    </row>
    <row r="1727" spans="1:5" x14ac:dyDescent="0.2">
      <c r="A1727">
        <v>10911</v>
      </c>
      <c r="B1727">
        <v>67</v>
      </c>
      <c r="C1727" s="2">
        <v>14</v>
      </c>
      <c r="D1727" s="2">
        <v>15</v>
      </c>
      <c r="E1727" s="3">
        <v>0</v>
      </c>
    </row>
    <row r="1728" spans="1:5" x14ac:dyDescent="0.2">
      <c r="A1728">
        <v>10912</v>
      </c>
      <c r="B1728">
        <v>11</v>
      </c>
      <c r="C1728" s="2">
        <v>21</v>
      </c>
      <c r="D1728" s="2">
        <v>40</v>
      </c>
      <c r="E1728" s="3">
        <v>0.25</v>
      </c>
    </row>
    <row r="1729" spans="1:5" x14ac:dyDescent="0.2">
      <c r="A1729">
        <v>10912</v>
      </c>
      <c r="B1729">
        <v>29</v>
      </c>
      <c r="C1729" s="2">
        <v>123.79</v>
      </c>
      <c r="D1729" s="2">
        <v>60</v>
      </c>
      <c r="E1729" s="3">
        <v>0.25</v>
      </c>
    </row>
    <row r="1730" spans="1:5" x14ac:dyDescent="0.2">
      <c r="A1730">
        <v>10913</v>
      </c>
      <c r="B1730">
        <v>4</v>
      </c>
      <c r="C1730" s="2">
        <v>22</v>
      </c>
      <c r="D1730" s="2">
        <v>30</v>
      </c>
      <c r="E1730" s="3">
        <v>0.25</v>
      </c>
    </row>
    <row r="1731" spans="1:5" x14ac:dyDescent="0.2">
      <c r="A1731">
        <v>10913</v>
      </c>
      <c r="B1731">
        <v>33</v>
      </c>
      <c r="C1731" s="2">
        <v>2.5</v>
      </c>
      <c r="D1731" s="2">
        <v>40</v>
      </c>
      <c r="E1731" s="3">
        <v>0.25</v>
      </c>
    </row>
    <row r="1732" spans="1:5" x14ac:dyDescent="0.2">
      <c r="A1732">
        <v>10913</v>
      </c>
      <c r="B1732">
        <v>58</v>
      </c>
      <c r="C1732" s="2">
        <v>13.25</v>
      </c>
      <c r="D1732" s="2">
        <v>15</v>
      </c>
      <c r="E1732" s="3">
        <v>0</v>
      </c>
    </row>
    <row r="1733" spans="1:5" x14ac:dyDescent="0.2">
      <c r="A1733">
        <v>10914</v>
      </c>
      <c r="B1733">
        <v>71</v>
      </c>
      <c r="C1733" s="2">
        <v>21.5</v>
      </c>
      <c r="D1733" s="2">
        <v>25</v>
      </c>
      <c r="E1733" s="3">
        <v>0</v>
      </c>
    </row>
    <row r="1734" spans="1:5" x14ac:dyDescent="0.2">
      <c r="A1734">
        <v>10915</v>
      </c>
      <c r="B1734">
        <v>17</v>
      </c>
      <c r="C1734" s="2">
        <v>39</v>
      </c>
      <c r="D1734" s="2">
        <v>10</v>
      </c>
      <c r="E1734" s="3">
        <v>0</v>
      </c>
    </row>
    <row r="1735" spans="1:5" x14ac:dyDescent="0.2">
      <c r="A1735">
        <v>10915</v>
      </c>
      <c r="B1735">
        <v>33</v>
      </c>
      <c r="C1735" s="2">
        <v>2.5</v>
      </c>
      <c r="D1735" s="2">
        <v>30</v>
      </c>
      <c r="E1735" s="3">
        <v>0</v>
      </c>
    </row>
    <row r="1736" spans="1:5" x14ac:dyDescent="0.2">
      <c r="A1736">
        <v>10915</v>
      </c>
      <c r="B1736">
        <v>54</v>
      </c>
      <c r="C1736" s="2">
        <v>7.45</v>
      </c>
      <c r="D1736" s="2">
        <v>10</v>
      </c>
      <c r="E1736" s="3">
        <v>0</v>
      </c>
    </row>
    <row r="1737" spans="1:5" x14ac:dyDescent="0.2">
      <c r="A1737">
        <v>10916</v>
      </c>
      <c r="B1737">
        <v>16</v>
      </c>
      <c r="C1737" s="2">
        <v>17.45</v>
      </c>
      <c r="D1737" s="2">
        <v>6</v>
      </c>
      <c r="E1737" s="3">
        <v>0</v>
      </c>
    </row>
    <row r="1738" spans="1:5" x14ac:dyDescent="0.2">
      <c r="A1738">
        <v>10916</v>
      </c>
      <c r="B1738">
        <v>32</v>
      </c>
      <c r="C1738" s="2">
        <v>32</v>
      </c>
      <c r="D1738" s="2">
        <v>6</v>
      </c>
      <c r="E1738" s="3">
        <v>0</v>
      </c>
    </row>
    <row r="1739" spans="1:5" x14ac:dyDescent="0.2">
      <c r="A1739">
        <v>10916</v>
      </c>
      <c r="B1739">
        <v>57</v>
      </c>
      <c r="C1739" s="2">
        <v>19.5</v>
      </c>
      <c r="D1739" s="2">
        <v>20</v>
      </c>
      <c r="E1739" s="3">
        <v>0</v>
      </c>
    </row>
    <row r="1740" spans="1:5" x14ac:dyDescent="0.2">
      <c r="A1740">
        <v>10917</v>
      </c>
      <c r="B1740">
        <v>30</v>
      </c>
      <c r="C1740" s="2">
        <v>25.89</v>
      </c>
      <c r="D1740" s="2">
        <v>1</v>
      </c>
      <c r="E1740" s="3">
        <v>0</v>
      </c>
    </row>
    <row r="1741" spans="1:5" x14ac:dyDescent="0.2">
      <c r="A1741">
        <v>10917</v>
      </c>
      <c r="B1741">
        <v>60</v>
      </c>
      <c r="C1741" s="2">
        <v>34</v>
      </c>
      <c r="D1741" s="2">
        <v>10</v>
      </c>
      <c r="E1741" s="3">
        <v>0</v>
      </c>
    </row>
    <row r="1742" spans="1:5" x14ac:dyDescent="0.2">
      <c r="A1742">
        <v>10918</v>
      </c>
      <c r="B1742">
        <v>1</v>
      </c>
      <c r="C1742" s="2">
        <v>18</v>
      </c>
      <c r="D1742" s="2">
        <v>60</v>
      </c>
      <c r="E1742" s="3">
        <v>0.25</v>
      </c>
    </row>
    <row r="1743" spans="1:5" x14ac:dyDescent="0.2">
      <c r="A1743">
        <v>10918</v>
      </c>
      <c r="B1743">
        <v>60</v>
      </c>
      <c r="C1743" s="2">
        <v>34</v>
      </c>
      <c r="D1743" s="2">
        <v>25</v>
      </c>
      <c r="E1743" s="3">
        <v>0.25</v>
      </c>
    </row>
    <row r="1744" spans="1:5" x14ac:dyDescent="0.2">
      <c r="A1744">
        <v>10919</v>
      </c>
      <c r="B1744">
        <v>16</v>
      </c>
      <c r="C1744" s="2">
        <v>17.45</v>
      </c>
      <c r="D1744" s="2">
        <v>24</v>
      </c>
      <c r="E1744" s="3">
        <v>0</v>
      </c>
    </row>
    <row r="1745" spans="1:5" x14ac:dyDescent="0.2">
      <c r="A1745">
        <v>10919</v>
      </c>
      <c r="B1745">
        <v>25</v>
      </c>
      <c r="C1745" s="2">
        <v>14</v>
      </c>
      <c r="D1745" s="2">
        <v>24</v>
      </c>
      <c r="E1745" s="3">
        <v>0</v>
      </c>
    </row>
    <row r="1746" spans="1:5" x14ac:dyDescent="0.2">
      <c r="A1746">
        <v>10919</v>
      </c>
      <c r="B1746">
        <v>40</v>
      </c>
      <c r="C1746" s="2">
        <v>18.399999999999999</v>
      </c>
      <c r="D1746" s="2">
        <v>20</v>
      </c>
      <c r="E1746" s="3">
        <v>0</v>
      </c>
    </row>
    <row r="1747" spans="1:5" x14ac:dyDescent="0.2">
      <c r="A1747">
        <v>10920</v>
      </c>
      <c r="B1747">
        <v>50</v>
      </c>
      <c r="C1747" s="2">
        <v>16.25</v>
      </c>
      <c r="D1747" s="2">
        <v>24</v>
      </c>
      <c r="E1747" s="3">
        <v>0</v>
      </c>
    </row>
    <row r="1748" spans="1:5" x14ac:dyDescent="0.2">
      <c r="A1748">
        <v>10921</v>
      </c>
      <c r="B1748">
        <v>35</v>
      </c>
      <c r="C1748" s="2">
        <v>18</v>
      </c>
      <c r="D1748" s="2">
        <v>10</v>
      </c>
      <c r="E1748" s="3">
        <v>0</v>
      </c>
    </row>
    <row r="1749" spans="1:5" x14ac:dyDescent="0.2">
      <c r="A1749">
        <v>10921</v>
      </c>
      <c r="B1749">
        <v>63</v>
      </c>
      <c r="C1749" s="2">
        <v>43.9</v>
      </c>
      <c r="D1749" s="2">
        <v>40</v>
      </c>
      <c r="E1749" s="3">
        <v>0</v>
      </c>
    </row>
    <row r="1750" spans="1:5" x14ac:dyDescent="0.2">
      <c r="A1750">
        <v>10922</v>
      </c>
      <c r="B1750">
        <v>17</v>
      </c>
      <c r="C1750" s="2">
        <v>39</v>
      </c>
      <c r="D1750" s="2">
        <v>15</v>
      </c>
      <c r="E1750" s="3">
        <v>0</v>
      </c>
    </row>
    <row r="1751" spans="1:5" x14ac:dyDescent="0.2">
      <c r="A1751">
        <v>10922</v>
      </c>
      <c r="B1751">
        <v>24</v>
      </c>
      <c r="C1751" s="2">
        <v>4.5</v>
      </c>
      <c r="D1751" s="2">
        <v>35</v>
      </c>
      <c r="E1751" s="3">
        <v>0</v>
      </c>
    </row>
    <row r="1752" spans="1:5" x14ac:dyDescent="0.2">
      <c r="A1752">
        <v>10923</v>
      </c>
      <c r="B1752">
        <v>42</v>
      </c>
      <c r="C1752" s="2">
        <v>14</v>
      </c>
      <c r="D1752" s="2">
        <v>10</v>
      </c>
      <c r="E1752" s="3">
        <v>0.2</v>
      </c>
    </row>
    <row r="1753" spans="1:5" x14ac:dyDescent="0.2">
      <c r="A1753">
        <v>10923</v>
      </c>
      <c r="B1753">
        <v>43</v>
      </c>
      <c r="C1753" s="2">
        <v>46</v>
      </c>
      <c r="D1753" s="2">
        <v>10</v>
      </c>
      <c r="E1753" s="3">
        <v>0.2</v>
      </c>
    </row>
    <row r="1754" spans="1:5" x14ac:dyDescent="0.2">
      <c r="A1754">
        <v>10923</v>
      </c>
      <c r="B1754">
        <v>67</v>
      </c>
      <c r="C1754" s="2">
        <v>14</v>
      </c>
      <c r="D1754" s="2">
        <v>24</v>
      </c>
      <c r="E1754" s="3">
        <v>0.2</v>
      </c>
    </row>
    <row r="1755" spans="1:5" x14ac:dyDescent="0.2">
      <c r="A1755">
        <v>10924</v>
      </c>
      <c r="B1755">
        <v>10</v>
      </c>
      <c r="C1755" s="2">
        <v>31</v>
      </c>
      <c r="D1755" s="2">
        <v>20</v>
      </c>
      <c r="E1755" s="3">
        <v>0.1</v>
      </c>
    </row>
    <row r="1756" spans="1:5" x14ac:dyDescent="0.2">
      <c r="A1756">
        <v>10924</v>
      </c>
      <c r="B1756">
        <v>28</v>
      </c>
      <c r="C1756" s="2">
        <v>45.6</v>
      </c>
      <c r="D1756" s="2">
        <v>30</v>
      </c>
      <c r="E1756" s="3">
        <v>0.1</v>
      </c>
    </row>
    <row r="1757" spans="1:5" x14ac:dyDescent="0.2">
      <c r="A1757">
        <v>10924</v>
      </c>
      <c r="B1757">
        <v>75</v>
      </c>
      <c r="C1757" s="2">
        <v>7.75</v>
      </c>
      <c r="D1757" s="2">
        <v>6</v>
      </c>
      <c r="E1757" s="3">
        <v>0</v>
      </c>
    </row>
    <row r="1758" spans="1:5" x14ac:dyDescent="0.2">
      <c r="A1758">
        <v>10925</v>
      </c>
      <c r="B1758">
        <v>36</v>
      </c>
      <c r="C1758" s="2">
        <v>19</v>
      </c>
      <c r="D1758" s="2">
        <v>25</v>
      </c>
      <c r="E1758" s="3">
        <v>0.15</v>
      </c>
    </row>
    <row r="1759" spans="1:5" x14ac:dyDescent="0.2">
      <c r="A1759">
        <v>10925</v>
      </c>
      <c r="B1759">
        <v>52</v>
      </c>
      <c r="C1759" s="2">
        <v>7</v>
      </c>
      <c r="D1759" s="2">
        <v>12</v>
      </c>
      <c r="E1759" s="3">
        <v>0.15</v>
      </c>
    </row>
    <row r="1760" spans="1:5" x14ac:dyDescent="0.2">
      <c r="A1760">
        <v>10926</v>
      </c>
      <c r="B1760">
        <v>11</v>
      </c>
      <c r="C1760" s="2">
        <v>21</v>
      </c>
      <c r="D1760" s="2">
        <v>2</v>
      </c>
      <c r="E1760" s="3">
        <v>0</v>
      </c>
    </row>
    <row r="1761" spans="1:5" x14ac:dyDescent="0.2">
      <c r="A1761">
        <v>10926</v>
      </c>
      <c r="B1761">
        <v>13</v>
      </c>
      <c r="C1761" s="2">
        <v>6</v>
      </c>
      <c r="D1761" s="2">
        <v>10</v>
      </c>
      <c r="E1761" s="3">
        <v>0</v>
      </c>
    </row>
    <row r="1762" spans="1:5" x14ac:dyDescent="0.2">
      <c r="A1762">
        <v>10926</v>
      </c>
      <c r="B1762">
        <v>19</v>
      </c>
      <c r="C1762" s="2">
        <v>9.1999999999999993</v>
      </c>
      <c r="D1762" s="2">
        <v>7</v>
      </c>
      <c r="E1762" s="3">
        <v>0</v>
      </c>
    </row>
    <row r="1763" spans="1:5" x14ac:dyDescent="0.2">
      <c r="A1763">
        <v>10926</v>
      </c>
      <c r="B1763">
        <v>72</v>
      </c>
      <c r="C1763" s="2">
        <v>34.799999999999997</v>
      </c>
      <c r="D1763" s="2">
        <v>10</v>
      </c>
      <c r="E1763" s="3">
        <v>0</v>
      </c>
    </row>
    <row r="1764" spans="1:5" x14ac:dyDescent="0.2">
      <c r="A1764">
        <v>10927</v>
      </c>
      <c r="B1764">
        <v>20</v>
      </c>
      <c r="C1764" s="2">
        <v>81</v>
      </c>
      <c r="D1764" s="2">
        <v>5</v>
      </c>
      <c r="E1764" s="3">
        <v>0</v>
      </c>
    </row>
    <row r="1765" spans="1:5" x14ac:dyDescent="0.2">
      <c r="A1765">
        <v>10927</v>
      </c>
      <c r="B1765">
        <v>52</v>
      </c>
      <c r="C1765" s="2">
        <v>7</v>
      </c>
      <c r="D1765" s="2">
        <v>5</v>
      </c>
      <c r="E1765" s="3">
        <v>0</v>
      </c>
    </row>
    <row r="1766" spans="1:5" x14ac:dyDescent="0.2">
      <c r="A1766">
        <v>10927</v>
      </c>
      <c r="B1766">
        <v>76</v>
      </c>
      <c r="C1766" s="2">
        <v>18</v>
      </c>
      <c r="D1766" s="2">
        <v>20</v>
      </c>
      <c r="E1766" s="3">
        <v>0</v>
      </c>
    </row>
    <row r="1767" spans="1:5" x14ac:dyDescent="0.2">
      <c r="A1767">
        <v>10928</v>
      </c>
      <c r="B1767">
        <v>47</v>
      </c>
      <c r="C1767" s="2">
        <v>9.5</v>
      </c>
      <c r="D1767" s="2">
        <v>5</v>
      </c>
      <c r="E1767" s="3">
        <v>0</v>
      </c>
    </row>
    <row r="1768" spans="1:5" x14ac:dyDescent="0.2">
      <c r="A1768">
        <v>10928</v>
      </c>
      <c r="B1768">
        <v>76</v>
      </c>
      <c r="C1768" s="2">
        <v>18</v>
      </c>
      <c r="D1768" s="2">
        <v>5</v>
      </c>
      <c r="E1768" s="3">
        <v>0</v>
      </c>
    </row>
    <row r="1769" spans="1:5" x14ac:dyDescent="0.2">
      <c r="A1769">
        <v>10929</v>
      </c>
      <c r="B1769">
        <v>21</v>
      </c>
      <c r="C1769" s="2">
        <v>10</v>
      </c>
      <c r="D1769" s="2">
        <v>60</v>
      </c>
      <c r="E1769" s="3">
        <v>0</v>
      </c>
    </row>
    <row r="1770" spans="1:5" x14ac:dyDescent="0.2">
      <c r="A1770">
        <v>10929</v>
      </c>
      <c r="B1770">
        <v>75</v>
      </c>
      <c r="C1770" s="2">
        <v>7.75</v>
      </c>
      <c r="D1770" s="2">
        <v>49</v>
      </c>
      <c r="E1770" s="3">
        <v>0</v>
      </c>
    </row>
    <row r="1771" spans="1:5" x14ac:dyDescent="0.2">
      <c r="A1771">
        <v>10929</v>
      </c>
      <c r="B1771">
        <v>77</v>
      </c>
      <c r="C1771" s="2">
        <v>13</v>
      </c>
      <c r="D1771" s="2">
        <v>15</v>
      </c>
      <c r="E1771" s="3">
        <v>0</v>
      </c>
    </row>
    <row r="1772" spans="1:5" x14ac:dyDescent="0.2">
      <c r="A1772">
        <v>10930</v>
      </c>
      <c r="B1772">
        <v>21</v>
      </c>
      <c r="C1772" s="2">
        <v>10</v>
      </c>
      <c r="D1772" s="2">
        <v>36</v>
      </c>
      <c r="E1772" s="3">
        <v>0</v>
      </c>
    </row>
    <row r="1773" spans="1:5" x14ac:dyDescent="0.2">
      <c r="A1773">
        <v>10930</v>
      </c>
      <c r="B1773">
        <v>27</v>
      </c>
      <c r="C1773" s="2">
        <v>43.9</v>
      </c>
      <c r="D1773" s="2">
        <v>25</v>
      </c>
      <c r="E1773" s="3">
        <v>0</v>
      </c>
    </row>
    <row r="1774" spans="1:5" x14ac:dyDescent="0.2">
      <c r="A1774">
        <v>10930</v>
      </c>
      <c r="B1774">
        <v>55</v>
      </c>
      <c r="C1774" s="2">
        <v>24</v>
      </c>
      <c r="D1774" s="2">
        <v>25</v>
      </c>
      <c r="E1774" s="3">
        <v>0.2</v>
      </c>
    </row>
    <row r="1775" spans="1:5" x14ac:dyDescent="0.2">
      <c r="A1775">
        <v>10930</v>
      </c>
      <c r="B1775">
        <v>58</v>
      </c>
      <c r="C1775" s="2">
        <v>13.25</v>
      </c>
      <c r="D1775" s="2">
        <v>30</v>
      </c>
      <c r="E1775" s="3">
        <v>0.2</v>
      </c>
    </row>
    <row r="1776" spans="1:5" x14ac:dyDescent="0.2">
      <c r="A1776">
        <v>10931</v>
      </c>
      <c r="B1776">
        <v>13</v>
      </c>
      <c r="C1776" s="2">
        <v>6</v>
      </c>
      <c r="D1776" s="2">
        <v>42</v>
      </c>
      <c r="E1776" s="3">
        <v>0.15</v>
      </c>
    </row>
    <row r="1777" spans="1:5" x14ac:dyDescent="0.2">
      <c r="A1777">
        <v>10931</v>
      </c>
      <c r="B1777">
        <v>57</v>
      </c>
      <c r="C1777" s="2">
        <v>19.5</v>
      </c>
      <c r="D1777" s="2">
        <v>30</v>
      </c>
      <c r="E1777" s="3">
        <v>0</v>
      </c>
    </row>
    <row r="1778" spans="1:5" x14ac:dyDescent="0.2">
      <c r="A1778">
        <v>10932</v>
      </c>
      <c r="B1778">
        <v>16</v>
      </c>
      <c r="C1778" s="2">
        <v>17.45</v>
      </c>
      <c r="D1778" s="2">
        <v>30</v>
      </c>
      <c r="E1778" s="3">
        <v>0.1</v>
      </c>
    </row>
    <row r="1779" spans="1:5" x14ac:dyDescent="0.2">
      <c r="A1779">
        <v>10932</v>
      </c>
      <c r="B1779">
        <v>62</v>
      </c>
      <c r="C1779" s="2">
        <v>49.3</v>
      </c>
      <c r="D1779" s="2">
        <v>14</v>
      </c>
      <c r="E1779" s="3">
        <v>0.1</v>
      </c>
    </row>
    <row r="1780" spans="1:5" x14ac:dyDescent="0.2">
      <c r="A1780">
        <v>10932</v>
      </c>
      <c r="B1780">
        <v>72</v>
      </c>
      <c r="C1780" s="2">
        <v>34.799999999999997</v>
      </c>
      <c r="D1780" s="2">
        <v>16</v>
      </c>
      <c r="E1780" s="3">
        <v>0</v>
      </c>
    </row>
    <row r="1781" spans="1:5" x14ac:dyDescent="0.2">
      <c r="A1781">
        <v>10932</v>
      </c>
      <c r="B1781">
        <v>75</v>
      </c>
      <c r="C1781" s="2">
        <v>7.75</v>
      </c>
      <c r="D1781" s="2">
        <v>20</v>
      </c>
      <c r="E1781" s="3">
        <v>0.1</v>
      </c>
    </row>
    <row r="1782" spans="1:5" x14ac:dyDescent="0.2">
      <c r="A1782">
        <v>10933</v>
      </c>
      <c r="B1782">
        <v>53</v>
      </c>
      <c r="C1782" s="2">
        <v>32.799999999999997</v>
      </c>
      <c r="D1782" s="2">
        <v>2</v>
      </c>
      <c r="E1782" s="3">
        <v>0</v>
      </c>
    </row>
    <row r="1783" spans="1:5" x14ac:dyDescent="0.2">
      <c r="A1783">
        <v>10933</v>
      </c>
      <c r="B1783">
        <v>61</v>
      </c>
      <c r="C1783" s="2">
        <v>28.5</v>
      </c>
      <c r="D1783" s="2">
        <v>30</v>
      </c>
      <c r="E1783" s="3">
        <v>0</v>
      </c>
    </row>
    <row r="1784" spans="1:5" x14ac:dyDescent="0.2">
      <c r="A1784">
        <v>10934</v>
      </c>
      <c r="B1784">
        <v>6</v>
      </c>
      <c r="C1784" s="2">
        <v>25</v>
      </c>
      <c r="D1784" s="2">
        <v>20</v>
      </c>
      <c r="E1784" s="3">
        <v>0</v>
      </c>
    </row>
    <row r="1785" spans="1:5" x14ac:dyDescent="0.2">
      <c r="A1785">
        <v>10935</v>
      </c>
      <c r="B1785">
        <v>1</v>
      </c>
      <c r="C1785" s="2">
        <v>18</v>
      </c>
      <c r="D1785" s="2">
        <v>21</v>
      </c>
      <c r="E1785" s="3">
        <v>0</v>
      </c>
    </row>
    <row r="1786" spans="1:5" x14ac:dyDescent="0.2">
      <c r="A1786">
        <v>10935</v>
      </c>
      <c r="B1786">
        <v>18</v>
      </c>
      <c r="C1786" s="2">
        <v>62.5</v>
      </c>
      <c r="D1786" s="2">
        <v>4</v>
      </c>
      <c r="E1786" s="3">
        <v>0.25</v>
      </c>
    </row>
    <row r="1787" spans="1:5" x14ac:dyDescent="0.2">
      <c r="A1787">
        <v>10935</v>
      </c>
      <c r="B1787">
        <v>23</v>
      </c>
      <c r="C1787" s="2">
        <v>9</v>
      </c>
      <c r="D1787" s="2">
        <v>8</v>
      </c>
      <c r="E1787" s="3">
        <v>0.25</v>
      </c>
    </row>
    <row r="1788" spans="1:5" x14ac:dyDescent="0.2">
      <c r="A1788">
        <v>10936</v>
      </c>
      <c r="B1788">
        <v>36</v>
      </c>
      <c r="C1788" s="2">
        <v>19</v>
      </c>
      <c r="D1788" s="2">
        <v>30</v>
      </c>
      <c r="E1788" s="3">
        <v>0.2</v>
      </c>
    </row>
    <row r="1789" spans="1:5" x14ac:dyDescent="0.2">
      <c r="A1789">
        <v>10937</v>
      </c>
      <c r="B1789">
        <v>28</v>
      </c>
      <c r="C1789" s="2">
        <v>45.6</v>
      </c>
      <c r="D1789" s="2">
        <v>8</v>
      </c>
      <c r="E1789" s="3">
        <v>0</v>
      </c>
    </row>
    <row r="1790" spans="1:5" x14ac:dyDescent="0.2">
      <c r="A1790">
        <v>10937</v>
      </c>
      <c r="B1790">
        <v>34</v>
      </c>
      <c r="C1790" s="2">
        <v>14</v>
      </c>
      <c r="D1790" s="2">
        <v>20</v>
      </c>
      <c r="E1790" s="3">
        <v>0</v>
      </c>
    </row>
    <row r="1791" spans="1:5" x14ac:dyDescent="0.2">
      <c r="A1791">
        <v>10938</v>
      </c>
      <c r="B1791">
        <v>13</v>
      </c>
      <c r="C1791" s="2">
        <v>6</v>
      </c>
      <c r="D1791" s="2">
        <v>20</v>
      </c>
      <c r="E1791" s="3">
        <v>0.25</v>
      </c>
    </row>
    <row r="1792" spans="1:5" x14ac:dyDescent="0.2">
      <c r="A1792">
        <v>10938</v>
      </c>
      <c r="B1792">
        <v>43</v>
      </c>
      <c r="C1792" s="2">
        <v>46</v>
      </c>
      <c r="D1792" s="2">
        <v>24</v>
      </c>
      <c r="E1792" s="3">
        <v>0.25</v>
      </c>
    </row>
    <row r="1793" spans="1:5" x14ac:dyDescent="0.2">
      <c r="A1793">
        <v>10938</v>
      </c>
      <c r="B1793">
        <v>60</v>
      </c>
      <c r="C1793" s="2">
        <v>34</v>
      </c>
      <c r="D1793" s="2">
        <v>49</v>
      </c>
      <c r="E1793" s="3">
        <v>0.25</v>
      </c>
    </row>
    <row r="1794" spans="1:5" x14ac:dyDescent="0.2">
      <c r="A1794">
        <v>10938</v>
      </c>
      <c r="B1794">
        <v>71</v>
      </c>
      <c r="C1794" s="2">
        <v>21.5</v>
      </c>
      <c r="D1794" s="2">
        <v>35</v>
      </c>
      <c r="E1794" s="3">
        <v>0.25</v>
      </c>
    </row>
    <row r="1795" spans="1:5" x14ac:dyDescent="0.2">
      <c r="A1795">
        <v>10939</v>
      </c>
      <c r="B1795">
        <v>2</v>
      </c>
      <c r="C1795" s="2">
        <v>19</v>
      </c>
      <c r="D1795" s="2">
        <v>10</v>
      </c>
      <c r="E1795" s="3">
        <v>0.15</v>
      </c>
    </row>
    <row r="1796" spans="1:5" x14ac:dyDescent="0.2">
      <c r="A1796">
        <v>10939</v>
      </c>
      <c r="B1796">
        <v>67</v>
      </c>
      <c r="C1796" s="2">
        <v>14</v>
      </c>
      <c r="D1796" s="2">
        <v>40</v>
      </c>
      <c r="E1796" s="3">
        <v>0.15</v>
      </c>
    </row>
    <row r="1797" spans="1:5" x14ac:dyDescent="0.2">
      <c r="A1797">
        <v>10940</v>
      </c>
      <c r="B1797">
        <v>7</v>
      </c>
      <c r="C1797" s="2">
        <v>30</v>
      </c>
      <c r="D1797" s="2">
        <v>8</v>
      </c>
      <c r="E1797" s="3">
        <v>0</v>
      </c>
    </row>
    <row r="1798" spans="1:5" x14ac:dyDescent="0.2">
      <c r="A1798">
        <v>10940</v>
      </c>
      <c r="B1798">
        <v>13</v>
      </c>
      <c r="C1798" s="2">
        <v>6</v>
      </c>
      <c r="D1798" s="2">
        <v>20</v>
      </c>
      <c r="E1798" s="3">
        <v>0</v>
      </c>
    </row>
    <row r="1799" spans="1:5" x14ac:dyDescent="0.2">
      <c r="A1799">
        <v>10941</v>
      </c>
      <c r="B1799">
        <v>31</v>
      </c>
      <c r="C1799" s="2">
        <v>12.5</v>
      </c>
      <c r="D1799" s="2">
        <v>44</v>
      </c>
      <c r="E1799" s="3">
        <v>0.25</v>
      </c>
    </row>
    <row r="1800" spans="1:5" x14ac:dyDescent="0.2">
      <c r="A1800">
        <v>10941</v>
      </c>
      <c r="B1800">
        <v>62</v>
      </c>
      <c r="C1800" s="2">
        <v>49.3</v>
      </c>
      <c r="D1800" s="2">
        <v>30</v>
      </c>
      <c r="E1800" s="3">
        <v>0.25</v>
      </c>
    </row>
    <row r="1801" spans="1:5" x14ac:dyDescent="0.2">
      <c r="A1801">
        <v>10941</v>
      </c>
      <c r="B1801">
        <v>68</v>
      </c>
      <c r="C1801" s="2">
        <v>12.5</v>
      </c>
      <c r="D1801" s="2">
        <v>80</v>
      </c>
      <c r="E1801" s="3">
        <v>0.25</v>
      </c>
    </row>
    <row r="1802" spans="1:5" x14ac:dyDescent="0.2">
      <c r="A1802">
        <v>10941</v>
      </c>
      <c r="B1802">
        <v>72</v>
      </c>
      <c r="C1802" s="2">
        <v>34.799999999999997</v>
      </c>
      <c r="D1802" s="2">
        <v>50</v>
      </c>
      <c r="E1802" s="3">
        <v>0</v>
      </c>
    </row>
    <row r="1803" spans="1:5" x14ac:dyDescent="0.2">
      <c r="A1803">
        <v>10942</v>
      </c>
      <c r="B1803">
        <v>49</v>
      </c>
      <c r="C1803" s="2">
        <v>20</v>
      </c>
      <c r="D1803" s="2">
        <v>28</v>
      </c>
      <c r="E1803" s="3">
        <v>0</v>
      </c>
    </row>
    <row r="1804" spans="1:5" x14ac:dyDescent="0.2">
      <c r="A1804">
        <v>10943</v>
      </c>
      <c r="B1804">
        <v>13</v>
      </c>
      <c r="C1804" s="2">
        <v>6</v>
      </c>
      <c r="D1804" s="2">
        <v>15</v>
      </c>
      <c r="E1804" s="3">
        <v>0</v>
      </c>
    </row>
    <row r="1805" spans="1:5" x14ac:dyDescent="0.2">
      <c r="A1805">
        <v>10943</v>
      </c>
      <c r="B1805">
        <v>22</v>
      </c>
      <c r="C1805" s="2">
        <v>21</v>
      </c>
      <c r="D1805" s="2">
        <v>21</v>
      </c>
      <c r="E1805" s="3">
        <v>0</v>
      </c>
    </row>
    <row r="1806" spans="1:5" x14ac:dyDescent="0.2">
      <c r="A1806">
        <v>10943</v>
      </c>
      <c r="B1806">
        <v>46</v>
      </c>
      <c r="C1806" s="2">
        <v>12</v>
      </c>
      <c r="D1806" s="2">
        <v>15</v>
      </c>
      <c r="E1806" s="3">
        <v>0</v>
      </c>
    </row>
    <row r="1807" spans="1:5" x14ac:dyDescent="0.2">
      <c r="A1807">
        <v>10944</v>
      </c>
      <c r="B1807">
        <v>11</v>
      </c>
      <c r="C1807" s="2">
        <v>21</v>
      </c>
      <c r="D1807" s="2">
        <v>5</v>
      </c>
      <c r="E1807" s="3">
        <v>0.25</v>
      </c>
    </row>
    <row r="1808" spans="1:5" x14ac:dyDescent="0.2">
      <c r="A1808">
        <v>10944</v>
      </c>
      <c r="B1808">
        <v>44</v>
      </c>
      <c r="C1808" s="2">
        <v>19.45</v>
      </c>
      <c r="D1808" s="2">
        <v>18</v>
      </c>
      <c r="E1808" s="3">
        <v>0.25</v>
      </c>
    </row>
    <row r="1809" spans="1:5" x14ac:dyDescent="0.2">
      <c r="A1809">
        <v>10944</v>
      </c>
      <c r="B1809">
        <v>56</v>
      </c>
      <c r="C1809" s="2">
        <v>38</v>
      </c>
      <c r="D1809" s="2">
        <v>18</v>
      </c>
      <c r="E1809" s="3">
        <v>0</v>
      </c>
    </row>
    <row r="1810" spans="1:5" x14ac:dyDescent="0.2">
      <c r="A1810">
        <v>10945</v>
      </c>
      <c r="B1810">
        <v>13</v>
      </c>
      <c r="C1810" s="2">
        <v>6</v>
      </c>
      <c r="D1810" s="2">
        <v>20</v>
      </c>
      <c r="E1810" s="3">
        <v>0</v>
      </c>
    </row>
    <row r="1811" spans="1:5" x14ac:dyDescent="0.2">
      <c r="A1811">
        <v>10945</v>
      </c>
      <c r="B1811">
        <v>31</v>
      </c>
      <c r="C1811" s="2">
        <v>12.5</v>
      </c>
      <c r="D1811" s="2">
        <v>10</v>
      </c>
      <c r="E1811" s="3">
        <v>0</v>
      </c>
    </row>
    <row r="1812" spans="1:5" x14ac:dyDescent="0.2">
      <c r="A1812">
        <v>10946</v>
      </c>
      <c r="B1812">
        <v>10</v>
      </c>
      <c r="C1812" s="2">
        <v>31</v>
      </c>
      <c r="D1812" s="2">
        <v>25</v>
      </c>
      <c r="E1812" s="3">
        <v>0</v>
      </c>
    </row>
    <row r="1813" spans="1:5" x14ac:dyDescent="0.2">
      <c r="A1813">
        <v>10946</v>
      </c>
      <c r="B1813">
        <v>24</v>
      </c>
      <c r="C1813" s="2">
        <v>4.5</v>
      </c>
      <c r="D1813" s="2">
        <v>25</v>
      </c>
      <c r="E1813" s="3">
        <v>0</v>
      </c>
    </row>
    <row r="1814" spans="1:5" x14ac:dyDescent="0.2">
      <c r="A1814">
        <v>10946</v>
      </c>
      <c r="B1814">
        <v>77</v>
      </c>
      <c r="C1814" s="2">
        <v>13</v>
      </c>
      <c r="D1814" s="2">
        <v>40</v>
      </c>
      <c r="E1814" s="3">
        <v>0</v>
      </c>
    </row>
    <row r="1815" spans="1:5" x14ac:dyDescent="0.2">
      <c r="A1815">
        <v>10947</v>
      </c>
      <c r="B1815">
        <v>59</v>
      </c>
      <c r="C1815" s="2">
        <v>55</v>
      </c>
      <c r="D1815" s="2">
        <v>4</v>
      </c>
      <c r="E1815" s="3">
        <v>0</v>
      </c>
    </row>
    <row r="1816" spans="1:5" x14ac:dyDescent="0.2">
      <c r="A1816">
        <v>10948</v>
      </c>
      <c r="B1816">
        <v>50</v>
      </c>
      <c r="C1816" s="2">
        <v>16.25</v>
      </c>
      <c r="D1816" s="2">
        <v>9</v>
      </c>
      <c r="E1816" s="3">
        <v>0</v>
      </c>
    </row>
    <row r="1817" spans="1:5" x14ac:dyDescent="0.2">
      <c r="A1817">
        <v>10948</v>
      </c>
      <c r="B1817">
        <v>51</v>
      </c>
      <c r="C1817" s="2">
        <v>53</v>
      </c>
      <c r="D1817" s="2">
        <v>40</v>
      </c>
      <c r="E1817" s="3">
        <v>0</v>
      </c>
    </row>
    <row r="1818" spans="1:5" x14ac:dyDescent="0.2">
      <c r="A1818">
        <v>10948</v>
      </c>
      <c r="B1818">
        <v>55</v>
      </c>
      <c r="C1818" s="2">
        <v>24</v>
      </c>
      <c r="D1818" s="2">
        <v>4</v>
      </c>
      <c r="E1818" s="3">
        <v>0</v>
      </c>
    </row>
    <row r="1819" spans="1:5" x14ac:dyDescent="0.2">
      <c r="A1819">
        <v>10949</v>
      </c>
      <c r="B1819">
        <v>6</v>
      </c>
      <c r="C1819" s="2">
        <v>25</v>
      </c>
      <c r="D1819" s="2">
        <v>12</v>
      </c>
      <c r="E1819" s="3">
        <v>0</v>
      </c>
    </row>
    <row r="1820" spans="1:5" x14ac:dyDescent="0.2">
      <c r="A1820">
        <v>10949</v>
      </c>
      <c r="B1820">
        <v>10</v>
      </c>
      <c r="C1820" s="2">
        <v>31</v>
      </c>
      <c r="D1820" s="2">
        <v>30</v>
      </c>
      <c r="E1820" s="3">
        <v>0</v>
      </c>
    </row>
    <row r="1821" spans="1:5" x14ac:dyDescent="0.2">
      <c r="A1821">
        <v>10949</v>
      </c>
      <c r="B1821">
        <v>17</v>
      </c>
      <c r="C1821" s="2">
        <v>39</v>
      </c>
      <c r="D1821" s="2">
        <v>6</v>
      </c>
      <c r="E1821" s="3">
        <v>0</v>
      </c>
    </row>
    <row r="1822" spans="1:5" x14ac:dyDescent="0.2">
      <c r="A1822">
        <v>10949</v>
      </c>
      <c r="B1822">
        <v>62</v>
      </c>
      <c r="C1822" s="2">
        <v>49.3</v>
      </c>
      <c r="D1822" s="2">
        <v>60</v>
      </c>
      <c r="E1822" s="3">
        <v>0</v>
      </c>
    </row>
    <row r="1823" spans="1:5" x14ac:dyDescent="0.2">
      <c r="A1823">
        <v>10950</v>
      </c>
      <c r="B1823">
        <v>4</v>
      </c>
      <c r="C1823" s="2">
        <v>22</v>
      </c>
      <c r="D1823" s="2">
        <v>5</v>
      </c>
      <c r="E1823" s="3">
        <v>0</v>
      </c>
    </row>
    <row r="1824" spans="1:5" x14ac:dyDescent="0.2">
      <c r="A1824">
        <v>10951</v>
      </c>
      <c r="B1824">
        <v>33</v>
      </c>
      <c r="C1824" s="2">
        <v>2.5</v>
      </c>
      <c r="D1824" s="2">
        <v>15</v>
      </c>
      <c r="E1824" s="3">
        <v>0.05</v>
      </c>
    </row>
    <row r="1825" spans="1:5" x14ac:dyDescent="0.2">
      <c r="A1825">
        <v>10951</v>
      </c>
      <c r="B1825">
        <v>41</v>
      </c>
      <c r="C1825" s="2">
        <v>9.65</v>
      </c>
      <c r="D1825" s="2">
        <v>6</v>
      </c>
      <c r="E1825" s="3">
        <v>0.05</v>
      </c>
    </row>
    <row r="1826" spans="1:5" x14ac:dyDescent="0.2">
      <c r="A1826">
        <v>10951</v>
      </c>
      <c r="B1826">
        <v>75</v>
      </c>
      <c r="C1826" s="2">
        <v>7.75</v>
      </c>
      <c r="D1826" s="2">
        <v>50</v>
      </c>
      <c r="E1826" s="3">
        <v>0.05</v>
      </c>
    </row>
    <row r="1827" spans="1:5" x14ac:dyDescent="0.2">
      <c r="A1827">
        <v>10952</v>
      </c>
      <c r="B1827">
        <v>6</v>
      </c>
      <c r="C1827" s="2">
        <v>25</v>
      </c>
      <c r="D1827" s="2">
        <v>16</v>
      </c>
      <c r="E1827" s="3">
        <v>0.05</v>
      </c>
    </row>
    <row r="1828" spans="1:5" x14ac:dyDescent="0.2">
      <c r="A1828">
        <v>10952</v>
      </c>
      <c r="B1828">
        <v>28</v>
      </c>
      <c r="C1828" s="2">
        <v>45.6</v>
      </c>
      <c r="D1828" s="2">
        <v>2</v>
      </c>
      <c r="E1828" s="3">
        <v>0</v>
      </c>
    </row>
    <row r="1829" spans="1:5" x14ac:dyDescent="0.2">
      <c r="A1829">
        <v>10953</v>
      </c>
      <c r="B1829">
        <v>20</v>
      </c>
      <c r="C1829" s="2">
        <v>81</v>
      </c>
      <c r="D1829" s="2">
        <v>50</v>
      </c>
      <c r="E1829" s="3">
        <v>0.05</v>
      </c>
    </row>
    <row r="1830" spans="1:5" x14ac:dyDescent="0.2">
      <c r="A1830">
        <v>10953</v>
      </c>
      <c r="B1830">
        <v>31</v>
      </c>
      <c r="C1830" s="2">
        <v>12.5</v>
      </c>
      <c r="D1830" s="2">
        <v>50</v>
      </c>
      <c r="E1830" s="3">
        <v>0.05</v>
      </c>
    </row>
    <row r="1831" spans="1:5" x14ac:dyDescent="0.2">
      <c r="A1831">
        <v>10954</v>
      </c>
      <c r="B1831">
        <v>16</v>
      </c>
      <c r="C1831" s="2">
        <v>17.45</v>
      </c>
      <c r="D1831" s="2">
        <v>28</v>
      </c>
      <c r="E1831" s="3">
        <v>0.15</v>
      </c>
    </row>
    <row r="1832" spans="1:5" x14ac:dyDescent="0.2">
      <c r="A1832">
        <v>10954</v>
      </c>
      <c r="B1832">
        <v>31</v>
      </c>
      <c r="C1832" s="2">
        <v>12.5</v>
      </c>
      <c r="D1832" s="2">
        <v>25</v>
      </c>
      <c r="E1832" s="3">
        <v>0.15</v>
      </c>
    </row>
    <row r="1833" spans="1:5" x14ac:dyDescent="0.2">
      <c r="A1833">
        <v>10954</v>
      </c>
      <c r="B1833">
        <v>45</v>
      </c>
      <c r="C1833" s="2">
        <v>9.5</v>
      </c>
      <c r="D1833" s="2">
        <v>30</v>
      </c>
      <c r="E1833" s="3">
        <v>0</v>
      </c>
    </row>
    <row r="1834" spans="1:5" x14ac:dyDescent="0.2">
      <c r="A1834">
        <v>10954</v>
      </c>
      <c r="B1834">
        <v>60</v>
      </c>
      <c r="C1834" s="2">
        <v>34</v>
      </c>
      <c r="D1834" s="2">
        <v>24</v>
      </c>
      <c r="E1834" s="3">
        <v>0.15</v>
      </c>
    </row>
    <row r="1835" spans="1:5" x14ac:dyDescent="0.2">
      <c r="A1835">
        <v>10955</v>
      </c>
      <c r="B1835">
        <v>75</v>
      </c>
      <c r="C1835" s="2">
        <v>7.75</v>
      </c>
      <c r="D1835" s="2">
        <v>12</v>
      </c>
      <c r="E1835" s="3">
        <v>0.2</v>
      </c>
    </row>
    <row r="1836" spans="1:5" x14ac:dyDescent="0.2">
      <c r="A1836">
        <v>10956</v>
      </c>
      <c r="B1836">
        <v>21</v>
      </c>
      <c r="C1836" s="2">
        <v>10</v>
      </c>
      <c r="D1836" s="2">
        <v>12</v>
      </c>
      <c r="E1836" s="3">
        <v>0</v>
      </c>
    </row>
    <row r="1837" spans="1:5" x14ac:dyDescent="0.2">
      <c r="A1837">
        <v>10956</v>
      </c>
      <c r="B1837">
        <v>47</v>
      </c>
      <c r="C1837" s="2">
        <v>9.5</v>
      </c>
      <c r="D1837" s="2">
        <v>14</v>
      </c>
      <c r="E1837" s="3">
        <v>0</v>
      </c>
    </row>
    <row r="1838" spans="1:5" x14ac:dyDescent="0.2">
      <c r="A1838">
        <v>10956</v>
      </c>
      <c r="B1838">
        <v>51</v>
      </c>
      <c r="C1838" s="2">
        <v>53</v>
      </c>
      <c r="D1838" s="2">
        <v>8</v>
      </c>
      <c r="E1838" s="3">
        <v>0</v>
      </c>
    </row>
    <row r="1839" spans="1:5" x14ac:dyDescent="0.2">
      <c r="A1839">
        <v>10957</v>
      </c>
      <c r="B1839">
        <v>30</v>
      </c>
      <c r="C1839" s="2">
        <v>25.89</v>
      </c>
      <c r="D1839" s="2">
        <v>30</v>
      </c>
      <c r="E1839" s="3">
        <v>0</v>
      </c>
    </row>
    <row r="1840" spans="1:5" x14ac:dyDescent="0.2">
      <c r="A1840">
        <v>10957</v>
      </c>
      <c r="B1840">
        <v>35</v>
      </c>
      <c r="C1840" s="2">
        <v>18</v>
      </c>
      <c r="D1840" s="2">
        <v>40</v>
      </c>
      <c r="E1840" s="3">
        <v>0</v>
      </c>
    </row>
    <row r="1841" spans="1:5" x14ac:dyDescent="0.2">
      <c r="A1841">
        <v>10957</v>
      </c>
      <c r="B1841">
        <v>64</v>
      </c>
      <c r="C1841" s="2">
        <v>33.25</v>
      </c>
      <c r="D1841" s="2">
        <v>8</v>
      </c>
      <c r="E1841" s="3">
        <v>0</v>
      </c>
    </row>
    <row r="1842" spans="1:5" x14ac:dyDescent="0.2">
      <c r="A1842">
        <v>10958</v>
      </c>
      <c r="B1842">
        <v>5</v>
      </c>
      <c r="C1842" s="2">
        <v>21.35</v>
      </c>
      <c r="D1842" s="2">
        <v>20</v>
      </c>
      <c r="E1842" s="3">
        <v>0</v>
      </c>
    </row>
    <row r="1843" spans="1:5" x14ac:dyDescent="0.2">
      <c r="A1843">
        <v>10958</v>
      </c>
      <c r="B1843">
        <v>7</v>
      </c>
      <c r="C1843" s="2">
        <v>30</v>
      </c>
      <c r="D1843" s="2">
        <v>6</v>
      </c>
      <c r="E1843" s="3">
        <v>0</v>
      </c>
    </row>
    <row r="1844" spans="1:5" x14ac:dyDescent="0.2">
      <c r="A1844">
        <v>10958</v>
      </c>
      <c r="B1844">
        <v>72</v>
      </c>
      <c r="C1844" s="2">
        <v>34.799999999999997</v>
      </c>
      <c r="D1844" s="2">
        <v>5</v>
      </c>
      <c r="E1844" s="3">
        <v>0</v>
      </c>
    </row>
    <row r="1845" spans="1:5" x14ac:dyDescent="0.2">
      <c r="A1845">
        <v>10959</v>
      </c>
      <c r="B1845">
        <v>75</v>
      </c>
      <c r="C1845" s="2">
        <v>7.75</v>
      </c>
      <c r="D1845" s="2">
        <v>20</v>
      </c>
      <c r="E1845" s="3">
        <v>0.15</v>
      </c>
    </row>
    <row r="1846" spans="1:5" x14ac:dyDescent="0.2">
      <c r="A1846">
        <v>10960</v>
      </c>
      <c r="B1846">
        <v>24</v>
      </c>
      <c r="C1846" s="2">
        <v>4.5</v>
      </c>
      <c r="D1846" s="2">
        <v>10</v>
      </c>
      <c r="E1846" s="3">
        <v>0.25</v>
      </c>
    </row>
    <row r="1847" spans="1:5" x14ac:dyDescent="0.2">
      <c r="A1847">
        <v>10960</v>
      </c>
      <c r="B1847">
        <v>41</v>
      </c>
      <c r="C1847" s="2">
        <v>9.65</v>
      </c>
      <c r="D1847" s="2">
        <v>24</v>
      </c>
      <c r="E1847" s="3">
        <v>0</v>
      </c>
    </row>
    <row r="1848" spans="1:5" x14ac:dyDescent="0.2">
      <c r="A1848">
        <v>10961</v>
      </c>
      <c r="B1848">
        <v>52</v>
      </c>
      <c r="C1848" s="2">
        <v>7</v>
      </c>
      <c r="D1848" s="2">
        <v>6</v>
      </c>
      <c r="E1848" s="3">
        <v>0.05</v>
      </c>
    </row>
    <row r="1849" spans="1:5" x14ac:dyDescent="0.2">
      <c r="A1849">
        <v>10961</v>
      </c>
      <c r="B1849">
        <v>76</v>
      </c>
      <c r="C1849" s="2">
        <v>18</v>
      </c>
      <c r="D1849" s="2">
        <v>60</v>
      </c>
      <c r="E1849" s="3">
        <v>0</v>
      </c>
    </row>
    <row r="1850" spans="1:5" x14ac:dyDescent="0.2">
      <c r="A1850">
        <v>10962</v>
      </c>
      <c r="B1850">
        <v>7</v>
      </c>
      <c r="C1850" s="2">
        <v>30</v>
      </c>
      <c r="D1850" s="2">
        <v>45</v>
      </c>
      <c r="E1850" s="3">
        <v>0</v>
      </c>
    </row>
    <row r="1851" spans="1:5" x14ac:dyDescent="0.2">
      <c r="A1851">
        <v>10962</v>
      </c>
      <c r="B1851">
        <v>13</v>
      </c>
      <c r="C1851" s="2">
        <v>6</v>
      </c>
      <c r="D1851" s="2">
        <v>77</v>
      </c>
      <c r="E1851" s="3">
        <v>0</v>
      </c>
    </row>
    <row r="1852" spans="1:5" x14ac:dyDescent="0.2">
      <c r="A1852">
        <v>10962</v>
      </c>
      <c r="B1852">
        <v>53</v>
      </c>
      <c r="C1852" s="2">
        <v>32.799999999999997</v>
      </c>
      <c r="D1852" s="2">
        <v>20</v>
      </c>
      <c r="E1852" s="3">
        <v>0</v>
      </c>
    </row>
    <row r="1853" spans="1:5" x14ac:dyDescent="0.2">
      <c r="A1853">
        <v>10962</v>
      </c>
      <c r="B1853">
        <v>69</v>
      </c>
      <c r="C1853" s="2">
        <v>36</v>
      </c>
      <c r="D1853" s="2">
        <v>9</v>
      </c>
      <c r="E1853" s="3">
        <v>0</v>
      </c>
    </row>
    <row r="1854" spans="1:5" x14ac:dyDescent="0.2">
      <c r="A1854">
        <v>10962</v>
      </c>
      <c r="B1854">
        <v>76</v>
      </c>
      <c r="C1854" s="2">
        <v>18</v>
      </c>
      <c r="D1854" s="2">
        <v>44</v>
      </c>
      <c r="E1854" s="3">
        <v>0</v>
      </c>
    </row>
    <row r="1855" spans="1:5" x14ac:dyDescent="0.2">
      <c r="A1855">
        <v>10963</v>
      </c>
      <c r="B1855">
        <v>60</v>
      </c>
      <c r="C1855" s="2">
        <v>34</v>
      </c>
      <c r="D1855" s="2">
        <v>2</v>
      </c>
      <c r="E1855" s="3">
        <v>0.15</v>
      </c>
    </row>
    <row r="1856" spans="1:5" x14ac:dyDescent="0.2">
      <c r="A1856">
        <v>10964</v>
      </c>
      <c r="B1856">
        <v>18</v>
      </c>
      <c r="C1856" s="2">
        <v>62.5</v>
      </c>
      <c r="D1856" s="2">
        <v>6</v>
      </c>
      <c r="E1856" s="3">
        <v>0</v>
      </c>
    </row>
    <row r="1857" spans="1:5" x14ac:dyDescent="0.2">
      <c r="A1857">
        <v>10964</v>
      </c>
      <c r="B1857">
        <v>38</v>
      </c>
      <c r="C1857" s="2">
        <v>263.5</v>
      </c>
      <c r="D1857" s="2">
        <v>5</v>
      </c>
      <c r="E1857" s="3">
        <v>0</v>
      </c>
    </row>
    <row r="1858" spans="1:5" x14ac:dyDescent="0.2">
      <c r="A1858">
        <v>10964</v>
      </c>
      <c r="B1858">
        <v>69</v>
      </c>
      <c r="C1858" s="2">
        <v>36</v>
      </c>
      <c r="D1858" s="2">
        <v>10</v>
      </c>
      <c r="E1858" s="3">
        <v>0</v>
      </c>
    </row>
    <row r="1859" spans="1:5" x14ac:dyDescent="0.2">
      <c r="A1859">
        <v>10965</v>
      </c>
      <c r="B1859">
        <v>51</v>
      </c>
      <c r="C1859" s="2">
        <v>53</v>
      </c>
      <c r="D1859" s="2">
        <v>16</v>
      </c>
      <c r="E1859" s="3">
        <v>0</v>
      </c>
    </row>
    <row r="1860" spans="1:5" x14ac:dyDescent="0.2">
      <c r="A1860">
        <v>10966</v>
      </c>
      <c r="B1860">
        <v>37</v>
      </c>
      <c r="C1860" s="2">
        <v>26</v>
      </c>
      <c r="D1860" s="2">
        <v>8</v>
      </c>
      <c r="E1860" s="3">
        <v>0</v>
      </c>
    </row>
    <row r="1861" spans="1:5" x14ac:dyDescent="0.2">
      <c r="A1861">
        <v>10966</v>
      </c>
      <c r="B1861">
        <v>56</v>
      </c>
      <c r="C1861" s="2">
        <v>38</v>
      </c>
      <c r="D1861" s="2">
        <v>12</v>
      </c>
      <c r="E1861" s="3">
        <v>0.15</v>
      </c>
    </row>
    <row r="1862" spans="1:5" x14ac:dyDescent="0.2">
      <c r="A1862">
        <v>10966</v>
      </c>
      <c r="B1862">
        <v>62</v>
      </c>
      <c r="C1862" s="2">
        <v>49.3</v>
      </c>
      <c r="D1862" s="2">
        <v>12</v>
      </c>
      <c r="E1862" s="3">
        <v>0.15</v>
      </c>
    </row>
    <row r="1863" spans="1:5" x14ac:dyDescent="0.2">
      <c r="A1863">
        <v>10967</v>
      </c>
      <c r="B1863">
        <v>19</v>
      </c>
      <c r="C1863" s="2">
        <v>9.1999999999999993</v>
      </c>
      <c r="D1863" s="2">
        <v>12</v>
      </c>
      <c r="E1863" s="3">
        <v>0</v>
      </c>
    </row>
    <row r="1864" spans="1:5" x14ac:dyDescent="0.2">
      <c r="A1864">
        <v>10967</v>
      </c>
      <c r="B1864">
        <v>49</v>
      </c>
      <c r="C1864" s="2">
        <v>20</v>
      </c>
      <c r="D1864" s="2">
        <v>40</v>
      </c>
      <c r="E1864" s="3">
        <v>0</v>
      </c>
    </row>
    <row r="1865" spans="1:5" x14ac:dyDescent="0.2">
      <c r="A1865">
        <v>10968</v>
      </c>
      <c r="B1865">
        <v>12</v>
      </c>
      <c r="C1865" s="2">
        <v>38</v>
      </c>
      <c r="D1865" s="2">
        <v>30</v>
      </c>
      <c r="E1865" s="3">
        <v>0</v>
      </c>
    </row>
    <row r="1866" spans="1:5" x14ac:dyDescent="0.2">
      <c r="A1866">
        <v>10968</v>
      </c>
      <c r="B1866">
        <v>24</v>
      </c>
      <c r="C1866" s="2">
        <v>4.5</v>
      </c>
      <c r="D1866" s="2">
        <v>30</v>
      </c>
      <c r="E1866" s="3">
        <v>0</v>
      </c>
    </row>
    <row r="1867" spans="1:5" x14ac:dyDescent="0.2">
      <c r="A1867">
        <v>10968</v>
      </c>
      <c r="B1867">
        <v>64</v>
      </c>
      <c r="C1867" s="2">
        <v>33.25</v>
      </c>
      <c r="D1867" s="2">
        <v>4</v>
      </c>
      <c r="E1867" s="3">
        <v>0</v>
      </c>
    </row>
    <row r="1868" spans="1:5" x14ac:dyDescent="0.2">
      <c r="A1868">
        <v>10969</v>
      </c>
      <c r="B1868">
        <v>46</v>
      </c>
      <c r="C1868" s="2">
        <v>12</v>
      </c>
      <c r="D1868" s="2">
        <v>9</v>
      </c>
      <c r="E1868" s="3">
        <v>0</v>
      </c>
    </row>
    <row r="1869" spans="1:5" x14ac:dyDescent="0.2">
      <c r="A1869">
        <v>10970</v>
      </c>
      <c r="B1869">
        <v>52</v>
      </c>
      <c r="C1869" s="2">
        <v>7</v>
      </c>
      <c r="D1869" s="2">
        <v>40</v>
      </c>
      <c r="E1869" s="3">
        <v>0.2</v>
      </c>
    </row>
    <row r="1870" spans="1:5" x14ac:dyDescent="0.2">
      <c r="A1870">
        <v>10971</v>
      </c>
      <c r="B1870">
        <v>29</v>
      </c>
      <c r="C1870" s="2">
        <v>123.79</v>
      </c>
      <c r="D1870" s="2">
        <v>14</v>
      </c>
      <c r="E1870" s="3">
        <v>0</v>
      </c>
    </row>
    <row r="1871" spans="1:5" x14ac:dyDescent="0.2">
      <c r="A1871">
        <v>10972</v>
      </c>
      <c r="B1871">
        <v>17</v>
      </c>
      <c r="C1871" s="2">
        <v>39</v>
      </c>
      <c r="D1871" s="2">
        <v>6</v>
      </c>
      <c r="E1871" s="3">
        <v>0</v>
      </c>
    </row>
    <row r="1872" spans="1:5" x14ac:dyDescent="0.2">
      <c r="A1872">
        <v>10972</v>
      </c>
      <c r="B1872">
        <v>33</v>
      </c>
      <c r="C1872" s="2">
        <v>2.5</v>
      </c>
      <c r="D1872" s="2">
        <v>7</v>
      </c>
      <c r="E1872" s="3">
        <v>0</v>
      </c>
    </row>
    <row r="1873" spans="1:5" x14ac:dyDescent="0.2">
      <c r="A1873">
        <v>10973</v>
      </c>
      <c r="B1873">
        <v>26</v>
      </c>
      <c r="C1873" s="2">
        <v>31.23</v>
      </c>
      <c r="D1873" s="2">
        <v>5</v>
      </c>
      <c r="E1873" s="3">
        <v>0</v>
      </c>
    </row>
    <row r="1874" spans="1:5" x14ac:dyDescent="0.2">
      <c r="A1874">
        <v>10973</v>
      </c>
      <c r="B1874">
        <v>41</v>
      </c>
      <c r="C1874" s="2">
        <v>9.65</v>
      </c>
      <c r="D1874" s="2">
        <v>6</v>
      </c>
      <c r="E1874" s="3">
        <v>0</v>
      </c>
    </row>
    <row r="1875" spans="1:5" x14ac:dyDescent="0.2">
      <c r="A1875">
        <v>10973</v>
      </c>
      <c r="B1875">
        <v>75</v>
      </c>
      <c r="C1875" s="2">
        <v>7.75</v>
      </c>
      <c r="D1875" s="2">
        <v>10</v>
      </c>
      <c r="E1875" s="3">
        <v>0</v>
      </c>
    </row>
    <row r="1876" spans="1:5" x14ac:dyDescent="0.2">
      <c r="A1876">
        <v>10974</v>
      </c>
      <c r="B1876">
        <v>63</v>
      </c>
      <c r="C1876" s="2">
        <v>43.9</v>
      </c>
      <c r="D1876" s="2">
        <v>10</v>
      </c>
      <c r="E1876" s="3">
        <v>0</v>
      </c>
    </row>
    <row r="1877" spans="1:5" x14ac:dyDescent="0.2">
      <c r="A1877">
        <v>10975</v>
      </c>
      <c r="B1877">
        <v>8</v>
      </c>
      <c r="C1877" s="2">
        <v>40</v>
      </c>
      <c r="D1877" s="2">
        <v>16</v>
      </c>
      <c r="E1877" s="3">
        <v>0</v>
      </c>
    </row>
    <row r="1878" spans="1:5" x14ac:dyDescent="0.2">
      <c r="A1878">
        <v>10975</v>
      </c>
      <c r="B1878">
        <v>75</v>
      </c>
      <c r="C1878" s="2">
        <v>7.75</v>
      </c>
      <c r="D1878" s="2">
        <v>10</v>
      </c>
      <c r="E1878" s="3">
        <v>0</v>
      </c>
    </row>
    <row r="1879" spans="1:5" x14ac:dyDescent="0.2">
      <c r="A1879">
        <v>10976</v>
      </c>
      <c r="B1879">
        <v>28</v>
      </c>
      <c r="C1879" s="2">
        <v>45.6</v>
      </c>
      <c r="D1879" s="2">
        <v>20</v>
      </c>
      <c r="E1879" s="3">
        <v>0</v>
      </c>
    </row>
    <row r="1880" spans="1:5" x14ac:dyDescent="0.2">
      <c r="A1880">
        <v>10977</v>
      </c>
      <c r="B1880">
        <v>39</v>
      </c>
      <c r="C1880" s="2">
        <v>18</v>
      </c>
      <c r="D1880" s="2">
        <v>30</v>
      </c>
      <c r="E1880" s="3">
        <v>0</v>
      </c>
    </row>
    <row r="1881" spans="1:5" x14ac:dyDescent="0.2">
      <c r="A1881">
        <v>10977</v>
      </c>
      <c r="B1881">
        <v>47</v>
      </c>
      <c r="C1881" s="2">
        <v>9.5</v>
      </c>
      <c r="D1881" s="2">
        <v>30</v>
      </c>
      <c r="E1881" s="3">
        <v>0</v>
      </c>
    </row>
    <row r="1882" spans="1:5" x14ac:dyDescent="0.2">
      <c r="A1882">
        <v>10977</v>
      </c>
      <c r="B1882">
        <v>51</v>
      </c>
      <c r="C1882" s="2">
        <v>53</v>
      </c>
      <c r="D1882" s="2">
        <v>10</v>
      </c>
      <c r="E1882" s="3">
        <v>0</v>
      </c>
    </row>
    <row r="1883" spans="1:5" x14ac:dyDescent="0.2">
      <c r="A1883">
        <v>10977</v>
      </c>
      <c r="B1883">
        <v>63</v>
      </c>
      <c r="C1883" s="2">
        <v>43.9</v>
      </c>
      <c r="D1883" s="2">
        <v>20</v>
      </c>
      <c r="E1883" s="3">
        <v>0</v>
      </c>
    </row>
    <row r="1884" spans="1:5" x14ac:dyDescent="0.2">
      <c r="A1884">
        <v>10978</v>
      </c>
      <c r="B1884">
        <v>8</v>
      </c>
      <c r="C1884" s="2">
        <v>40</v>
      </c>
      <c r="D1884" s="2">
        <v>20</v>
      </c>
      <c r="E1884" s="3">
        <v>0.15</v>
      </c>
    </row>
    <row r="1885" spans="1:5" x14ac:dyDescent="0.2">
      <c r="A1885">
        <v>10978</v>
      </c>
      <c r="B1885">
        <v>21</v>
      </c>
      <c r="C1885" s="2">
        <v>10</v>
      </c>
      <c r="D1885" s="2">
        <v>40</v>
      </c>
      <c r="E1885" s="3">
        <v>0.15</v>
      </c>
    </row>
    <row r="1886" spans="1:5" x14ac:dyDescent="0.2">
      <c r="A1886">
        <v>10978</v>
      </c>
      <c r="B1886">
        <v>40</v>
      </c>
      <c r="C1886" s="2">
        <v>18.399999999999999</v>
      </c>
      <c r="D1886" s="2">
        <v>10</v>
      </c>
      <c r="E1886" s="3">
        <v>0</v>
      </c>
    </row>
    <row r="1887" spans="1:5" x14ac:dyDescent="0.2">
      <c r="A1887">
        <v>10978</v>
      </c>
      <c r="B1887">
        <v>44</v>
      </c>
      <c r="C1887" s="2">
        <v>19.45</v>
      </c>
      <c r="D1887" s="2">
        <v>6</v>
      </c>
      <c r="E1887" s="3">
        <v>0.15</v>
      </c>
    </row>
    <row r="1888" spans="1:5" x14ac:dyDescent="0.2">
      <c r="A1888">
        <v>10979</v>
      </c>
      <c r="B1888">
        <v>7</v>
      </c>
      <c r="C1888" s="2">
        <v>30</v>
      </c>
      <c r="D1888" s="2">
        <v>18</v>
      </c>
      <c r="E1888" s="3">
        <v>0</v>
      </c>
    </row>
    <row r="1889" spans="1:5" x14ac:dyDescent="0.2">
      <c r="A1889">
        <v>10979</v>
      </c>
      <c r="B1889">
        <v>12</v>
      </c>
      <c r="C1889" s="2">
        <v>38</v>
      </c>
      <c r="D1889" s="2">
        <v>20</v>
      </c>
      <c r="E1889" s="3">
        <v>0</v>
      </c>
    </row>
    <row r="1890" spans="1:5" x14ac:dyDescent="0.2">
      <c r="A1890">
        <v>10979</v>
      </c>
      <c r="B1890">
        <v>24</v>
      </c>
      <c r="C1890" s="2">
        <v>4.5</v>
      </c>
      <c r="D1890" s="2">
        <v>80</v>
      </c>
      <c r="E1890" s="3">
        <v>0</v>
      </c>
    </row>
    <row r="1891" spans="1:5" x14ac:dyDescent="0.2">
      <c r="A1891">
        <v>10979</v>
      </c>
      <c r="B1891">
        <v>27</v>
      </c>
      <c r="C1891" s="2">
        <v>43.9</v>
      </c>
      <c r="D1891" s="2">
        <v>30</v>
      </c>
      <c r="E1891" s="3">
        <v>0</v>
      </c>
    </row>
    <row r="1892" spans="1:5" x14ac:dyDescent="0.2">
      <c r="A1892">
        <v>10979</v>
      </c>
      <c r="B1892">
        <v>31</v>
      </c>
      <c r="C1892" s="2">
        <v>12.5</v>
      </c>
      <c r="D1892" s="2">
        <v>24</v>
      </c>
      <c r="E1892" s="3">
        <v>0</v>
      </c>
    </row>
    <row r="1893" spans="1:5" x14ac:dyDescent="0.2">
      <c r="A1893">
        <v>10979</v>
      </c>
      <c r="B1893">
        <v>63</v>
      </c>
      <c r="C1893" s="2">
        <v>43.9</v>
      </c>
      <c r="D1893" s="2">
        <v>35</v>
      </c>
      <c r="E1893" s="3">
        <v>0</v>
      </c>
    </row>
    <row r="1894" spans="1:5" x14ac:dyDescent="0.2">
      <c r="A1894">
        <v>10980</v>
      </c>
      <c r="B1894">
        <v>75</v>
      </c>
      <c r="C1894" s="2">
        <v>7.75</v>
      </c>
      <c r="D1894" s="2">
        <v>40</v>
      </c>
      <c r="E1894" s="3">
        <v>0.2</v>
      </c>
    </row>
    <row r="1895" spans="1:5" x14ac:dyDescent="0.2">
      <c r="A1895">
        <v>10981</v>
      </c>
      <c r="B1895">
        <v>38</v>
      </c>
      <c r="C1895" s="2">
        <v>263.5</v>
      </c>
      <c r="D1895" s="2">
        <v>60</v>
      </c>
      <c r="E1895" s="3">
        <v>0</v>
      </c>
    </row>
    <row r="1896" spans="1:5" x14ac:dyDescent="0.2">
      <c r="A1896">
        <v>10982</v>
      </c>
      <c r="B1896">
        <v>7</v>
      </c>
      <c r="C1896" s="2">
        <v>30</v>
      </c>
      <c r="D1896" s="2">
        <v>20</v>
      </c>
      <c r="E1896" s="3">
        <v>0</v>
      </c>
    </row>
    <row r="1897" spans="1:5" x14ac:dyDescent="0.2">
      <c r="A1897">
        <v>10982</v>
      </c>
      <c r="B1897">
        <v>43</v>
      </c>
      <c r="C1897" s="2">
        <v>46</v>
      </c>
      <c r="D1897" s="2">
        <v>9</v>
      </c>
      <c r="E1897" s="3">
        <v>0</v>
      </c>
    </row>
    <row r="1898" spans="1:5" x14ac:dyDescent="0.2">
      <c r="A1898">
        <v>10983</v>
      </c>
      <c r="B1898">
        <v>13</v>
      </c>
      <c r="C1898" s="2">
        <v>6</v>
      </c>
      <c r="D1898" s="2">
        <v>84</v>
      </c>
      <c r="E1898" s="3">
        <v>0.15</v>
      </c>
    </row>
    <row r="1899" spans="1:5" x14ac:dyDescent="0.2">
      <c r="A1899">
        <v>10983</v>
      </c>
      <c r="B1899">
        <v>57</v>
      </c>
      <c r="C1899" s="2">
        <v>19.5</v>
      </c>
      <c r="D1899" s="2">
        <v>15</v>
      </c>
      <c r="E1899" s="3">
        <v>0</v>
      </c>
    </row>
    <row r="1900" spans="1:5" x14ac:dyDescent="0.2">
      <c r="A1900">
        <v>10984</v>
      </c>
      <c r="B1900">
        <v>16</v>
      </c>
      <c r="C1900" s="2">
        <v>17.45</v>
      </c>
      <c r="D1900" s="2">
        <v>55</v>
      </c>
      <c r="E1900" s="3">
        <v>0</v>
      </c>
    </row>
    <row r="1901" spans="1:5" x14ac:dyDescent="0.2">
      <c r="A1901">
        <v>10984</v>
      </c>
      <c r="B1901">
        <v>24</v>
      </c>
      <c r="C1901" s="2">
        <v>4.5</v>
      </c>
      <c r="D1901" s="2">
        <v>20</v>
      </c>
      <c r="E1901" s="3">
        <v>0</v>
      </c>
    </row>
    <row r="1902" spans="1:5" x14ac:dyDescent="0.2">
      <c r="A1902">
        <v>10984</v>
      </c>
      <c r="B1902">
        <v>36</v>
      </c>
      <c r="C1902" s="2">
        <v>19</v>
      </c>
      <c r="D1902" s="2">
        <v>40</v>
      </c>
      <c r="E1902" s="3">
        <v>0</v>
      </c>
    </row>
    <row r="1903" spans="1:5" x14ac:dyDescent="0.2">
      <c r="A1903">
        <v>10985</v>
      </c>
      <c r="B1903">
        <v>16</v>
      </c>
      <c r="C1903" s="2">
        <v>17.45</v>
      </c>
      <c r="D1903" s="2">
        <v>36</v>
      </c>
      <c r="E1903" s="3">
        <v>0.1</v>
      </c>
    </row>
    <row r="1904" spans="1:5" x14ac:dyDescent="0.2">
      <c r="A1904">
        <v>10985</v>
      </c>
      <c r="B1904">
        <v>18</v>
      </c>
      <c r="C1904" s="2">
        <v>62.5</v>
      </c>
      <c r="D1904" s="2">
        <v>8</v>
      </c>
      <c r="E1904" s="3">
        <v>0.1</v>
      </c>
    </row>
    <row r="1905" spans="1:5" x14ac:dyDescent="0.2">
      <c r="A1905">
        <v>10985</v>
      </c>
      <c r="B1905">
        <v>32</v>
      </c>
      <c r="C1905" s="2">
        <v>32</v>
      </c>
      <c r="D1905" s="2">
        <v>35</v>
      </c>
      <c r="E1905" s="3">
        <v>0.1</v>
      </c>
    </row>
    <row r="1906" spans="1:5" x14ac:dyDescent="0.2">
      <c r="A1906">
        <v>10986</v>
      </c>
      <c r="B1906">
        <v>11</v>
      </c>
      <c r="C1906" s="2">
        <v>21</v>
      </c>
      <c r="D1906" s="2">
        <v>30</v>
      </c>
      <c r="E1906" s="3">
        <v>0</v>
      </c>
    </row>
    <row r="1907" spans="1:5" x14ac:dyDescent="0.2">
      <c r="A1907">
        <v>10986</v>
      </c>
      <c r="B1907">
        <v>20</v>
      </c>
      <c r="C1907" s="2">
        <v>81</v>
      </c>
      <c r="D1907" s="2">
        <v>15</v>
      </c>
      <c r="E1907" s="3">
        <v>0</v>
      </c>
    </row>
    <row r="1908" spans="1:5" x14ac:dyDescent="0.2">
      <c r="A1908">
        <v>10986</v>
      </c>
      <c r="B1908">
        <v>76</v>
      </c>
      <c r="C1908" s="2">
        <v>18</v>
      </c>
      <c r="D1908" s="2">
        <v>10</v>
      </c>
      <c r="E1908" s="3">
        <v>0</v>
      </c>
    </row>
    <row r="1909" spans="1:5" x14ac:dyDescent="0.2">
      <c r="A1909">
        <v>10986</v>
      </c>
      <c r="B1909">
        <v>77</v>
      </c>
      <c r="C1909" s="2">
        <v>13</v>
      </c>
      <c r="D1909" s="2">
        <v>15</v>
      </c>
      <c r="E1909" s="3">
        <v>0</v>
      </c>
    </row>
    <row r="1910" spans="1:5" x14ac:dyDescent="0.2">
      <c r="A1910">
        <v>10987</v>
      </c>
      <c r="B1910">
        <v>7</v>
      </c>
      <c r="C1910" s="2">
        <v>30</v>
      </c>
      <c r="D1910" s="2">
        <v>60</v>
      </c>
      <c r="E1910" s="3">
        <v>0</v>
      </c>
    </row>
    <row r="1911" spans="1:5" x14ac:dyDescent="0.2">
      <c r="A1911">
        <v>10987</v>
      </c>
      <c r="B1911">
        <v>43</v>
      </c>
      <c r="C1911" s="2">
        <v>46</v>
      </c>
      <c r="D1911" s="2">
        <v>6</v>
      </c>
      <c r="E1911" s="3">
        <v>0</v>
      </c>
    </row>
    <row r="1912" spans="1:5" x14ac:dyDescent="0.2">
      <c r="A1912">
        <v>10987</v>
      </c>
      <c r="B1912">
        <v>72</v>
      </c>
      <c r="C1912" s="2">
        <v>34.799999999999997</v>
      </c>
      <c r="D1912" s="2">
        <v>20</v>
      </c>
      <c r="E1912" s="3">
        <v>0</v>
      </c>
    </row>
    <row r="1913" spans="1:5" x14ac:dyDescent="0.2">
      <c r="A1913">
        <v>10988</v>
      </c>
      <c r="B1913">
        <v>7</v>
      </c>
      <c r="C1913" s="2">
        <v>30</v>
      </c>
      <c r="D1913" s="2">
        <v>60</v>
      </c>
      <c r="E1913" s="3">
        <v>0</v>
      </c>
    </row>
    <row r="1914" spans="1:5" x14ac:dyDescent="0.2">
      <c r="A1914">
        <v>10988</v>
      </c>
      <c r="B1914">
        <v>62</v>
      </c>
      <c r="C1914" s="2">
        <v>49.3</v>
      </c>
      <c r="D1914" s="2">
        <v>40</v>
      </c>
      <c r="E1914" s="3">
        <v>0.1</v>
      </c>
    </row>
    <row r="1915" spans="1:5" x14ac:dyDescent="0.2">
      <c r="A1915">
        <v>10989</v>
      </c>
      <c r="B1915">
        <v>6</v>
      </c>
      <c r="C1915" s="2">
        <v>25</v>
      </c>
      <c r="D1915" s="2">
        <v>40</v>
      </c>
      <c r="E1915" s="3">
        <v>0</v>
      </c>
    </row>
    <row r="1916" spans="1:5" x14ac:dyDescent="0.2">
      <c r="A1916">
        <v>10989</v>
      </c>
      <c r="B1916">
        <v>11</v>
      </c>
      <c r="C1916" s="2">
        <v>21</v>
      </c>
      <c r="D1916" s="2">
        <v>15</v>
      </c>
      <c r="E1916" s="3">
        <v>0</v>
      </c>
    </row>
    <row r="1917" spans="1:5" x14ac:dyDescent="0.2">
      <c r="A1917">
        <v>10989</v>
      </c>
      <c r="B1917">
        <v>41</v>
      </c>
      <c r="C1917" s="2">
        <v>9.65</v>
      </c>
      <c r="D1917" s="2">
        <v>4</v>
      </c>
      <c r="E1917" s="3">
        <v>0</v>
      </c>
    </row>
    <row r="1918" spans="1:5" x14ac:dyDescent="0.2">
      <c r="A1918">
        <v>10990</v>
      </c>
      <c r="B1918">
        <v>21</v>
      </c>
      <c r="C1918" s="2">
        <v>10</v>
      </c>
      <c r="D1918" s="2">
        <v>65</v>
      </c>
      <c r="E1918" s="3">
        <v>0</v>
      </c>
    </row>
    <row r="1919" spans="1:5" x14ac:dyDescent="0.2">
      <c r="A1919">
        <v>10990</v>
      </c>
      <c r="B1919">
        <v>34</v>
      </c>
      <c r="C1919" s="2">
        <v>14</v>
      </c>
      <c r="D1919" s="2">
        <v>60</v>
      </c>
      <c r="E1919" s="3">
        <v>0.15</v>
      </c>
    </row>
    <row r="1920" spans="1:5" x14ac:dyDescent="0.2">
      <c r="A1920">
        <v>10990</v>
      </c>
      <c r="B1920">
        <v>55</v>
      </c>
      <c r="C1920" s="2">
        <v>24</v>
      </c>
      <c r="D1920" s="2">
        <v>65</v>
      </c>
      <c r="E1920" s="3">
        <v>0.15</v>
      </c>
    </row>
    <row r="1921" spans="1:5" x14ac:dyDescent="0.2">
      <c r="A1921">
        <v>10990</v>
      </c>
      <c r="B1921">
        <v>61</v>
      </c>
      <c r="C1921" s="2">
        <v>28.5</v>
      </c>
      <c r="D1921" s="2">
        <v>66</v>
      </c>
      <c r="E1921" s="3">
        <v>0.15</v>
      </c>
    </row>
    <row r="1922" spans="1:5" x14ac:dyDescent="0.2">
      <c r="A1922">
        <v>10991</v>
      </c>
      <c r="B1922">
        <v>2</v>
      </c>
      <c r="C1922" s="2">
        <v>19</v>
      </c>
      <c r="D1922" s="2">
        <v>50</v>
      </c>
      <c r="E1922" s="3">
        <v>0.2</v>
      </c>
    </row>
    <row r="1923" spans="1:5" x14ac:dyDescent="0.2">
      <c r="A1923">
        <v>10991</v>
      </c>
      <c r="B1923">
        <v>70</v>
      </c>
      <c r="C1923" s="2">
        <v>15</v>
      </c>
      <c r="D1923" s="2">
        <v>20</v>
      </c>
      <c r="E1923" s="3">
        <v>0.2</v>
      </c>
    </row>
    <row r="1924" spans="1:5" x14ac:dyDescent="0.2">
      <c r="A1924">
        <v>10991</v>
      </c>
      <c r="B1924">
        <v>76</v>
      </c>
      <c r="C1924" s="2">
        <v>18</v>
      </c>
      <c r="D1924" s="2">
        <v>90</v>
      </c>
      <c r="E1924" s="3">
        <v>0.2</v>
      </c>
    </row>
    <row r="1925" spans="1:5" x14ac:dyDescent="0.2">
      <c r="A1925">
        <v>10992</v>
      </c>
      <c r="B1925">
        <v>72</v>
      </c>
      <c r="C1925" s="2">
        <v>34.799999999999997</v>
      </c>
      <c r="D1925" s="2">
        <v>2</v>
      </c>
      <c r="E1925" s="3">
        <v>0</v>
      </c>
    </row>
    <row r="1926" spans="1:5" x14ac:dyDescent="0.2">
      <c r="A1926">
        <v>10993</v>
      </c>
      <c r="B1926">
        <v>29</v>
      </c>
      <c r="C1926" s="2">
        <v>123.79</v>
      </c>
      <c r="D1926" s="2">
        <v>50</v>
      </c>
      <c r="E1926" s="3">
        <v>0.25</v>
      </c>
    </row>
    <row r="1927" spans="1:5" x14ac:dyDescent="0.2">
      <c r="A1927">
        <v>10993</v>
      </c>
      <c r="B1927">
        <v>41</v>
      </c>
      <c r="C1927" s="2">
        <v>9.65</v>
      </c>
      <c r="D1927" s="2">
        <v>35</v>
      </c>
      <c r="E1927" s="3">
        <v>0.25</v>
      </c>
    </row>
    <row r="1928" spans="1:5" x14ac:dyDescent="0.2">
      <c r="A1928">
        <v>10994</v>
      </c>
      <c r="B1928">
        <v>59</v>
      </c>
      <c r="C1928" s="2">
        <v>55</v>
      </c>
      <c r="D1928" s="2">
        <v>18</v>
      </c>
      <c r="E1928" s="3">
        <v>0.05</v>
      </c>
    </row>
    <row r="1929" spans="1:5" x14ac:dyDescent="0.2">
      <c r="A1929">
        <v>10995</v>
      </c>
      <c r="B1929">
        <v>51</v>
      </c>
      <c r="C1929" s="2">
        <v>53</v>
      </c>
      <c r="D1929" s="2">
        <v>20</v>
      </c>
      <c r="E1929" s="3">
        <v>0</v>
      </c>
    </row>
    <row r="1930" spans="1:5" x14ac:dyDescent="0.2">
      <c r="A1930">
        <v>10995</v>
      </c>
      <c r="B1930">
        <v>60</v>
      </c>
      <c r="C1930" s="2">
        <v>34</v>
      </c>
      <c r="D1930" s="2">
        <v>4</v>
      </c>
      <c r="E1930" s="3">
        <v>0</v>
      </c>
    </row>
    <row r="1931" spans="1:5" x14ac:dyDescent="0.2">
      <c r="A1931">
        <v>10996</v>
      </c>
      <c r="B1931">
        <v>42</v>
      </c>
      <c r="C1931" s="2">
        <v>14</v>
      </c>
      <c r="D1931" s="2">
        <v>40</v>
      </c>
      <c r="E1931" s="3">
        <v>0</v>
      </c>
    </row>
    <row r="1932" spans="1:5" x14ac:dyDescent="0.2">
      <c r="A1932">
        <v>10997</v>
      </c>
      <c r="B1932">
        <v>32</v>
      </c>
      <c r="C1932" s="2">
        <v>32</v>
      </c>
      <c r="D1932" s="2">
        <v>50</v>
      </c>
      <c r="E1932" s="3">
        <v>0</v>
      </c>
    </row>
    <row r="1933" spans="1:5" x14ac:dyDescent="0.2">
      <c r="A1933">
        <v>10997</v>
      </c>
      <c r="B1933">
        <v>46</v>
      </c>
      <c r="C1933" s="2">
        <v>12</v>
      </c>
      <c r="D1933" s="2">
        <v>20</v>
      </c>
      <c r="E1933" s="3">
        <v>0.25</v>
      </c>
    </row>
    <row r="1934" spans="1:5" x14ac:dyDescent="0.2">
      <c r="A1934">
        <v>10997</v>
      </c>
      <c r="B1934">
        <v>52</v>
      </c>
      <c r="C1934" s="2">
        <v>7</v>
      </c>
      <c r="D1934" s="2">
        <v>20</v>
      </c>
      <c r="E1934" s="3">
        <v>0.25</v>
      </c>
    </row>
    <row r="1935" spans="1:5" x14ac:dyDescent="0.2">
      <c r="A1935">
        <v>10998</v>
      </c>
      <c r="B1935">
        <v>24</v>
      </c>
      <c r="C1935" s="2">
        <v>4.5</v>
      </c>
      <c r="D1935" s="2">
        <v>12</v>
      </c>
      <c r="E1935" s="3">
        <v>0</v>
      </c>
    </row>
    <row r="1936" spans="1:5" x14ac:dyDescent="0.2">
      <c r="A1936">
        <v>10998</v>
      </c>
      <c r="B1936">
        <v>61</v>
      </c>
      <c r="C1936" s="2">
        <v>28.5</v>
      </c>
      <c r="D1936" s="2">
        <v>7</v>
      </c>
      <c r="E1936" s="3">
        <v>0</v>
      </c>
    </row>
    <row r="1937" spans="1:5" x14ac:dyDescent="0.2">
      <c r="A1937">
        <v>10998</v>
      </c>
      <c r="B1937">
        <v>74</v>
      </c>
      <c r="C1937" s="2">
        <v>10</v>
      </c>
      <c r="D1937" s="2">
        <v>20</v>
      </c>
      <c r="E1937" s="3">
        <v>0</v>
      </c>
    </row>
    <row r="1938" spans="1:5" x14ac:dyDescent="0.2">
      <c r="A1938">
        <v>10998</v>
      </c>
      <c r="B1938">
        <v>75</v>
      </c>
      <c r="C1938" s="2">
        <v>7.75</v>
      </c>
      <c r="D1938" s="2">
        <v>30</v>
      </c>
      <c r="E1938" s="3">
        <v>0</v>
      </c>
    </row>
    <row r="1939" spans="1:5" x14ac:dyDescent="0.2">
      <c r="A1939">
        <v>10999</v>
      </c>
      <c r="B1939">
        <v>41</v>
      </c>
      <c r="C1939" s="2">
        <v>9.65</v>
      </c>
      <c r="D1939" s="2">
        <v>20</v>
      </c>
      <c r="E1939" s="3">
        <v>0.05</v>
      </c>
    </row>
    <row r="1940" spans="1:5" x14ac:dyDescent="0.2">
      <c r="A1940">
        <v>10999</v>
      </c>
      <c r="B1940">
        <v>51</v>
      </c>
      <c r="C1940" s="2">
        <v>53</v>
      </c>
      <c r="D1940" s="2">
        <v>15</v>
      </c>
      <c r="E1940" s="3">
        <v>0.05</v>
      </c>
    </row>
    <row r="1941" spans="1:5" x14ac:dyDescent="0.2">
      <c r="A1941">
        <v>10999</v>
      </c>
      <c r="B1941">
        <v>77</v>
      </c>
      <c r="C1941" s="2">
        <v>13</v>
      </c>
      <c r="D1941" s="2">
        <v>21</v>
      </c>
      <c r="E1941" s="3">
        <v>0.05</v>
      </c>
    </row>
    <row r="1942" spans="1:5" x14ac:dyDescent="0.2">
      <c r="A1942">
        <v>11000</v>
      </c>
      <c r="B1942">
        <v>4</v>
      </c>
      <c r="C1942" s="2">
        <v>22</v>
      </c>
      <c r="D1942" s="2">
        <v>25</v>
      </c>
      <c r="E1942" s="3">
        <v>0.25</v>
      </c>
    </row>
    <row r="1943" spans="1:5" x14ac:dyDescent="0.2">
      <c r="A1943">
        <v>11000</v>
      </c>
      <c r="B1943">
        <v>24</v>
      </c>
      <c r="C1943" s="2">
        <v>4.5</v>
      </c>
      <c r="D1943" s="2">
        <v>30</v>
      </c>
      <c r="E1943" s="3">
        <v>0.25</v>
      </c>
    </row>
    <row r="1944" spans="1:5" x14ac:dyDescent="0.2">
      <c r="A1944">
        <v>11000</v>
      </c>
      <c r="B1944">
        <v>77</v>
      </c>
      <c r="C1944" s="2">
        <v>13</v>
      </c>
      <c r="D1944" s="2">
        <v>30</v>
      </c>
      <c r="E1944" s="3">
        <v>0</v>
      </c>
    </row>
    <row r="1945" spans="1:5" x14ac:dyDescent="0.2">
      <c r="A1945">
        <v>11001</v>
      </c>
      <c r="B1945">
        <v>7</v>
      </c>
      <c r="C1945" s="2">
        <v>30</v>
      </c>
      <c r="D1945" s="2">
        <v>60</v>
      </c>
      <c r="E1945" s="3">
        <v>0</v>
      </c>
    </row>
    <row r="1946" spans="1:5" x14ac:dyDescent="0.2">
      <c r="A1946">
        <v>11001</v>
      </c>
      <c r="B1946">
        <v>22</v>
      </c>
      <c r="C1946" s="2">
        <v>21</v>
      </c>
      <c r="D1946" s="2">
        <v>25</v>
      </c>
      <c r="E1946" s="3">
        <v>0</v>
      </c>
    </row>
    <row r="1947" spans="1:5" x14ac:dyDescent="0.2">
      <c r="A1947">
        <v>11001</v>
      </c>
      <c r="B1947">
        <v>46</v>
      </c>
      <c r="C1947" s="2">
        <v>12</v>
      </c>
      <c r="D1947" s="2">
        <v>25</v>
      </c>
      <c r="E1947" s="3">
        <v>0</v>
      </c>
    </row>
    <row r="1948" spans="1:5" x14ac:dyDescent="0.2">
      <c r="A1948">
        <v>11001</v>
      </c>
      <c r="B1948">
        <v>55</v>
      </c>
      <c r="C1948" s="2">
        <v>24</v>
      </c>
      <c r="D1948" s="2">
        <v>6</v>
      </c>
      <c r="E1948" s="3">
        <v>0</v>
      </c>
    </row>
    <row r="1949" spans="1:5" x14ac:dyDescent="0.2">
      <c r="A1949">
        <v>11002</v>
      </c>
      <c r="B1949">
        <v>13</v>
      </c>
      <c r="C1949" s="2">
        <v>6</v>
      </c>
      <c r="D1949" s="2">
        <v>56</v>
      </c>
      <c r="E1949" s="3">
        <v>0</v>
      </c>
    </row>
    <row r="1950" spans="1:5" x14ac:dyDescent="0.2">
      <c r="A1950">
        <v>11002</v>
      </c>
      <c r="B1950">
        <v>35</v>
      </c>
      <c r="C1950" s="2">
        <v>18</v>
      </c>
      <c r="D1950" s="2">
        <v>15</v>
      </c>
      <c r="E1950" s="3">
        <v>0.15</v>
      </c>
    </row>
    <row r="1951" spans="1:5" x14ac:dyDescent="0.2">
      <c r="A1951">
        <v>11002</v>
      </c>
      <c r="B1951">
        <v>42</v>
      </c>
      <c r="C1951" s="2">
        <v>14</v>
      </c>
      <c r="D1951" s="2">
        <v>24</v>
      </c>
      <c r="E1951" s="3">
        <v>0.15</v>
      </c>
    </row>
    <row r="1952" spans="1:5" x14ac:dyDescent="0.2">
      <c r="A1952">
        <v>11002</v>
      </c>
      <c r="B1952">
        <v>55</v>
      </c>
      <c r="C1952" s="2">
        <v>24</v>
      </c>
      <c r="D1952" s="2">
        <v>40</v>
      </c>
      <c r="E1952" s="3">
        <v>0</v>
      </c>
    </row>
    <row r="1953" spans="1:5" x14ac:dyDescent="0.2">
      <c r="A1953">
        <v>11003</v>
      </c>
      <c r="B1953">
        <v>1</v>
      </c>
      <c r="C1953" s="2">
        <v>18</v>
      </c>
      <c r="D1953" s="2">
        <v>4</v>
      </c>
      <c r="E1953" s="3">
        <v>0</v>
      </c>
    </row>
    <row r="1954" spans="1:5" x14ac:dyDescent="0.2">
      <c r="A1954">
        <v>11003</v>
      </c>
      <c r="B1954">
        <v>40</v>
      </c>
      <c r="C1954" s="2">
        <v>18.399999999999999</v>
      </c>
      <c r="D1954" s="2">
        <v>10</v>
      </c>
      <c r="E1954" s="3">
        <v>0</v>
      </c>
    </row>
    <row r="1955" spans="1:5" x14ac:dyDescent="0.2">
      <c r="A1955">
        <v>11003</v>
      </c>
      <c r="B1955">
        <v>52</v>
      </c>
      <c r="C1955" s="2">
        <v>7</v>
      </c>
      <c r="D1955" s="2">
        <v>10</v>
      </c>
      <c r="E1955" s="3">
        <v>0</v>
      </c>
    </row>
    <row r="1956" spans="1:5" x14ac:dyDescent="0.2">
      <c r="A1956">
        <v>11004</v>
      </c>
      <c r="B1956">
        <v>26</v>
      </c>
      <c r="C1956" s="2">
        <v>31.23</v>
      </c>
      <c r="D1956" s="2">
        <v>6</v>
      </c>
      <c r="E1956" s="3">
        <v>0</v>
      </c>
    </row>
    <row r="1957" spans="1:5" x14ac:dyDescent="0.2">
      <c r="A1957">
        <v>11004</v>
      </c>
      <c r="B1957">
        <v>76</v>
      </c>
      <c r="C1957" s="2">
        <v>18</v>
      </c>
      <c r="D1957" s="2">
        <v>6</v>
      </c>
      <c r="E1957" s="3">
        <v>0</v>
      </c>
    </row>
    <row r="1958" spans="1:5" x14ac:dyDescent="0.2">
      <c r="A1958">
        <v>11005</v>
      </c>
      <c r="B1958">
        <v>1</v>
      </c>
      <c r="C1958" s="2">
        <v>18</v>
      </c>
      <c r="D1958" s="2">
        <v>2</v>
      </c>
      <c r="E1958" s="3">
        <v>0</v>
      </c>
    </row>
    <row r="1959" spans="1:5" x14ac:dyDescent="0.2">
      <c r="A1959">
        <v>11005</v>
      </c>
      <c r="B1959">
        <v>59</v>
      </c>
      <c r="C1959" s="2">
        <v>55</v>
      </c>
      <c r="D1959" s="2">
        <v>10</v>
      </c>
      <c r="E1959" s="3">
        <v>0</v>
      </c>
    </row>
    <row r="1960" spans="1:5" x14ac:dyDescent="0.2">
      <c r="A1960">
        <v>11006</v>
      </c>
      <c r="B1960">
        <v>1</v>
      </c>
      <c r="C1960" s="2">
        <v>18</v>
      </c>
      <c r="D1960" s="2">
        <v>8</v>
      </c>
      <c r="E1960" s="3">
        <v>0</v>
      </c>
    </row>
    <row r="1961" spans="1:5" x14ac:dyDescent="0.2">
      <c r="A1961">
        <v>11006</v>
      </c>
      <c r="B1961">
        <v>29</v>
      </c>
      <c r="C1961" s="2">
        <v>123.79</v>
      </c>
      <c r="D1961" s="2">
        <v>2</v>
      </c>
      <c r="E1961" s="3">
        <v>0.25</v>
      </c>
    </row>
    <row r="1962" spans="1:5" x14ac:dyDescent="0.2">
      <c r="A1962">
        <v>11007</v>
      </c>
      <c r="B1962">
        <v>8</v>
      </c>
      <c r="C1962" s="2">
        <v>40</v>
      </c>
      <c r="D1962" s="2">
        <v>30</v>
      </c>
      <c r="E1962" s="3">
        <v>0</v>
      </c>
    </row>
    <row r="1963" spans="1:5" x14ac:dyDescent="0.2">
      <c r="A1963">
        <v>11007</v>
      </c>
      <c r="B1963">
        <v>29</v>
      </c>
      <c r="C1963" s="2">
        <v>123.79</v>
      </c>
      <c r="D1963" s="2">
        <v>10</v>
      </c>
      <c r="E1963" s="3">
        <v>0</v>
      </c>
    </row>
    <row r="1964" spans="1:5" x14ac:dyDescent="0.2">
      <c r="A1964">
        <v>11007</v>
      </c>
      <c r="B1964">
        <v>42</v>
      </c>
      <c r="C1964" s="2">
        <v>14</v>
      </c>
      <c r="D1964" s="2">
        <v>14</v>
      </c>
      <c r="E1964" s="3">
        <v>0</v>
      </c>
    </row>
    <row r="1965" spans="1:5" x14ac:dyDescent="0.2">
      <c r="A1965">
        <v>11008</v>
      </c>
      <c r="B1965">
        <v>28</v>
      </c>
      <c r="C1965" s="2">
        <v>45.6</v>
      </c>
      <c r="D1965" s="2">
        <v>70</v>
      </c>
      <c r="E1965" s="3">
        <v>0.05</v>
      </c>
    </row>
    <row r="1966" spans="1:5" x14ac:dyDescent="0.2">
      <c r="A1966">
        <v>11008</v>
      </c>
      <c r="B1966">
        <v>34</v>
      </c>
      <c r="C1966" s="2">
        <v>14</v>
      </c>
      <c r="D1966" s="2">
        <v>90</v>
      </c>
      <c r="E1966" s="3">
        <v>0.05</v>
      </c>
    </row>
    <row r="1967" spans="1:5" x14ac:dyDescent="0.2">
      <c r="A1967">
        <v>11008</v>
      </c>
      <c r="B1967">
        <v>71</v>
      </c>
      <c r="C1967" s="2">
        <v>21.5</v>
      </c>
      <c r="D1967" s="2">
        <v>21</v>
      </c>
      <c r="E1967" s="3">
        <v>0</v>
      </c>
    </row>
    <row r="1968" spans="1:5" x14ac:dyDescent="0.2">
      <c r="A1968">
        <v>11009</v>
      </c>
      <c r="B1968">
        <v>24</v>
      </c>
      <c r="C1968" s="2">
        <v>4.5</v>
      </c>
      <c r="D1968" s="2">
        <v>12</v>
      </c>
      <c r="E1968" s="3">
        <v>0</v>
      </c>
    </row>
    <row r="1969" spans="1:5" x14ac:dyDescent="0.2">
      <c r="A1969">
        <v>11009</v>
      </c>
      <c r="B1969">
        <v>36</v>
      </c>
      <c r="C1969" s="2">
        <v>19</v>
      </c>
      <c r="D1969" s="2">
        <v>18</v>
      </c>
      <c r="E1969" s="3">
        <v>0.25</v>
      </c>
    </row>
    <row r="1970" spans="1:5" x14ac:dyDescent="0.2">
      <c r="A1970">
        <v>11009</v>
      </c>
      <c r="B1970">
        <v>60</v>
      </c>
      <c r="C1970" s="2">
        <v>34</v>
      </c>
      <c r="D1970" s="2">
        <v>9</v>
      </c>
      <c r="E1970" s="3">
        <v>0</v>
      </c>
    </row>
    <row r="1971" spans="1:5" x14ac:dyDescent="0.2">
      <c r="A1971">
        <v>11010</v>
      </c>
      <c r="B1971">
        <v>7</v>
      </c>
      <c r="C1971" s="2">
        <v>30</v>
      </c>
      <c r="D1971" s="2">
        <v>20</v>
      </c>
      <c r="E1971" s="3">
        <v>0</v>
      </c>
    </row>
    <row r="1972" spans="1:5" x14ac:dyDescent="0.2">
      <c r="A1972">
        <v>11010</v>
      </c>
      <c r="B1972">
        <v>24</v>
      </c>
      <c r="C1972" s="2">
        <v>4.5</v>
      </c>
      <c r="D1972" s="2">
        <v>10</v>
      </c>
      <c r="E1972" s="3">
        <v>0</v>
      </c>
    </row>
    <row r="1973" spans="1:5" x14ac:dyDescent="0.2">
      <c r="A1973">
        <v>11011</v>
      </c>
      <c r="B1973">
        <v>58</v>
      </c>
      <c r="C1973" s="2">
        <v>13.25</v>
      </c>
      <c r="D1973" s="2">
        <v>40</v>
      </c>
      <c r="E1973" s="3">
        <v>0.05</v>
      </c>
    </row>
    <row r="1974" spans="1:5" x14ac:dyDescent="0.2">
      <c r="A1974">
        <v>11011</v>
      </c>
      <c r="B1974">
        <v>71</v>
      </c>
      <c r="C1974" s="2">
        <v>21.5</v>
      </c>
      <c r="D1974" s="2">
        <v>20</v>
      </c>
      <c r="E1974" s="3">
        <v>0</v>
      </c>
    </row>
    <row r="1975" spans="1:5" x14ac:dyDescent="0.2">
      <c r="A1975">
        <v>11012</v>
      </c>
      <c r="B1975">
        <v>19</v>
      </c>
      <c r="C1975" s="2">
        <v>9.1999999999999993</v>
      </c>
      <c r="D1975" s="2">
        <v>50</v>
      </c>
      <c r="E1975" s="3">
        <v>0.05</v>
      </c>
    </row>
    <row r="1976" spans="1:5" x14ac:dyDescent="0.2">
      <c r="A1976">
        <v>11012</v>
      </c>
      <c r="B1976">
        <v>60</v>
      </c>
      <c r="C1976" s="2">
        <v>34</v>
      </c>
      <c r="D1976" s="2">
        <v>36</v>
      </c>
      <c r="E1976" s="3">
        <v>0.05</v>
      </c>
    </row>
    <row r="1977" spans="1:5" x14ac:dyDescent="0.2">
      <c r="A1977">
        <v>11012</v>
      </c>
      <c r="B1977">
        <v>71</v>
      </c>
      <c r="C1977" s="2">
        <v>21.5</v>
      </c>
      <c r="D1977" s="2">
        <v>60</v>
      </c>
      <c r="E1977" s="3">
        <v>0.05</v>
      </c>
    </row>
    <row r="1978" spans="1:5" x14ac:dyDescent="0.2">
      <c r="A1978">
        <v>11013</v>
      </c>
      <c r="B1978">
        <v>23</v>
      </c>
      <c r="C1978" s="2">
        <v>9</v>
      </c>
      <c r="D1978" s="2">
        <v>10</v>
      </c>
      <c r="E1978" s="3">
        <v>0</v>
      </c>
    </row>
    <row r="1979" spans="1:5" x14ac:dyDescent="0.2">
      <c r="A1979">
        <v>11013</v>
      </c>
      <c r="B1979">
        <v>42</v>
      </c>
      <c r="C1979" s="2">
        <v>14</v>
      </c>
      <c r="D1979" s="2">
        <v>4</v>
      </c>
      <c r="E1979" s="3">
        <v>0</v>
      </c>
    </row>
    <row r="1980" spans="1:5" x14ac:dyDescent="0.2">
      <c r="A1980">
        <v>11013</v>
      </c>
      <c r="B1980">
        <v>45</v>
      </c>
      <c r="C1980" s="2">
        <v>9.5</v>
      </c>
      <c r="D1980" s="2">
        <v>20</v>
      </c>
      <c r="E1980" s="3">
        <v>0</v>
      </c>
    </row>
    <row r="1981" spans="1:5" x14ac:dyDescent="0.2">
      <c r="A1981">
        <v>11013</v>
      </c>
      <c r="B1981">
        <v>68</v>
      </c>
      <c r="C1981" s="2">
        <v>12.5</v>
      </c>
      <c r="D1981" s="2">
        <v>2</v>
      </c>
      <c r="E1981" s="3">
        <v>0</v>
      </c>
    </row>
    <row r="1982" spans="1:5" x14ac:dyDescent="0.2">
      <c r="A1982">
        <v>11014</v>
      </c>
      <c r="B1982">
        <v>41</v>
      </c>
      <c r="C1982" s="2">
        <v>9.65</v>
      </c>
      <c r="D1982" s="2">
        <v>28</v>
      </c>
      <c r="E1982" s="3">
        <v>0.1</v>
      </c>
    </row>
    <row r="1983" spans="1:5" x14ac:dyDescent="0.2">
      <c r="A1983">
        <v>11015</v>
      </c>
      <c r="B1983">
        <v>30</v>
      </c>
      <c r="C1983" s="2">
        <v>25.89</v>
      </c>
      <c r="D1983" s="2">
        <v>15</v>
      </c>
      <c r="E1983" s="3">
        <v>0</v>
      </c>
    </row>
    <row r="1984" spans="1:5" x14ac:dyDescent="0.2">
      <c r="A1984">
        <v>11015</v>
      </c>
      <c r="B1984">
        <v>77</v>
      </c>
      <c r="C1984" s="2">
        <v>13</v>
      </c>
      <c r="D1984" s="2">
        <v>18</v>
      </c>
      <c r="E1984" s="3">
        <v>0</v>
      </c>
    </row>
    <row r="1985" spans="1:5" x14ac:dyDescent="0.2">
      <c r="A1985">
        <v>11016</v>
      </c>
      <c r="B1985">
        <v>31</v>
      </c>
      <c r="C1985" s="2">
        <v>12.5</v>
      </c>
      <c r="D1985" s="2">
        <v>15</v>
      </c>
      <c r="E1985" s="3">
        <v>0</v>
      </c>
    </row>
    <row r="1986" spans="1:5" x14ac:dyDescent="0.2">
      <c r="A1986">
        <v>11016</v>
      </c>
      <c r="B1986">
        <v>36</v>
      </c>
      <c r="C1986" s="2">
        <v>19</v>
      </c>
      <c r="D1986" s="2">
        <v>16</v>
      </c>
      <c r="E1986" s="3">
        <v>0</v>
      </c>
    </row>
    <row r="1987" spans="1:5" x14ac:dyDescent="0.2">
      <c r="A1987">
        <v>11017</v>
      </c>
      <c r="B1987">
        <v>3</v>
      </c>
      <c r="C1987" s="2">
        <v>10</v>
      </c>
      <c r="D1987" s="2">
        <v>25</v>
      </c>
      <c r="E1987" s="3">
        <v>0</v>
      </c>
    </row>
    <row r="1988" spans="1:5" x14ac:dyDescent="0.2">
      <c r="A1988">
        <v>11017</v>
      </c>
      <c r="B1988">
        <v>59</v>
      </c>
      <c r="C1988" s="2">
        <v>55</v>
      </c>
      <c r="D1988" s="2">
        <v>110</v>
      </c>
      <c r="E1988" s="3">
        <v>0</v>
      </c>
    </row>
    <row r="1989" spans="1:5" x14ac:dyDescent="0.2">
      <c r="A1989">
        <v>11017</v>
      </c>
      <c r="B1989">
        <v>70</v>
      </c>
      <c r="C1989" s="2">
        <v>15</v>
      </c>
      <c r="D1989" s="2">
        <v>30</v>
      </c>
      <c r="E1989" s="3">
        <v>0</v>
      </c>
    </row>
    <row r="1990" spans="1:5" x14ac:dyDescent="0.2">
      <c r="A1990">
        <v>11018</v>
      </c>
      <c r="B1990">
        <v>12</v>
      </c>
      <c r="C1990" s="2">
        <v>38</v>
      </c>
      <c r="D1990" s="2">
        <v>20</v>
      </c>
      <c r="E1990" s="3">
        <v>0</v>
      </c>
    </row>
    <row r="1991" spans="1:5" x14ac:dyDescent="0.2">
      <c r="A1991">
        <v>11018</v>
      </c>
      <c r="B1991">
        <v>18</v>
      </c>
      <c r="C1991" s="2">
        <v>62.5</v>
      </c>
      <c r="D1991" s="2">
        <v>10</v>
      </c>
      <c r="E1991" s="3">
        <v>0</v>
      </c>
    </row>
    <row r="1992" spans="1:5" x14ac:dyDescent="0.2">
      <c r="A1992">
        <v>11018</v>
      </c>
      <c r="B1992">
        <v>56</v>
      </c>
      <c r="C1992" s="2">
        <v>38</v>
      </c>
      <c r="D1992" s="2">
        <v>5</v>
      </c>
      <c r="E1992" s="3">
        <v>0</v>
      </c>
    </row>
    <row r="1993" spans="1:5" x14ac:dyDescent="0.2">
      <c r="A1993">
        <v>11019</v>
      </c>
      <c r="B1993">
        <v>46</v>
      </c>
      <c r="C1993" s="2">
        <v>12</v>
      </c>
      <c r="D1993" s="2">
        <v>3</v>
      </c>
      <c r="E1993" s="3">
        <v>0</v>
      </c>
    </row>
    <row r="1994" spans="1:5" x14ac:dyDescent="0.2">
      <c r="A1994">
        <v>11019</v>
      </c>
      <c r="B1994">
        <v>49</v>
      </c>
      <c r="C1994" s="2">
        <v>20</v>
      </c>
      <c r="D1994" s="2">
        <v>2</v>
      </c>
      <c r="E1994" s="3">
        <v>0</v>
      </c>
    </row>
    <row r="1995" spans="1:5" x14ac:dyDescent="0.2">
      <c r="A1995">
        <v>11020</v>
      </c>
      <c r="B1995">
        <v>10</v>
      </c>
      <c r="C1995" s="2">
        <v>31</v>
      </c>
      <c r="D1995" s="2">
        <v>24</v>
      </c>
      <c r="E1995" s="3">
        <v>0.15</v>
      </c>
    </row>
    <row r="1996" spans="1:5" x14ac:dyDescent="0.2">
      <c r="A1996">
        <v>11021</v>
      </c>
      <c r="B1996">
        <v>2</v>
      </c>
      <c r="C1996" s="2">
        <v>19</v>
      </c>
      <c r="D1996" s="2">
        <v>11</v>
      </c>
      <c r="E1996" s="3">
        <v>0.25</v>
      </c>
    </row>
    <row r="1997" spans="1:5" x14ac:dyDescent="0.2">
      <c r="A1997">
        <v>11021</v>
      </c>
      <c r="B1997">
        <v>20</v>
      </c>
      <c r="C1997" s="2">
        <v>81</v>
      </c>
      <c r="D1997" s="2">
        <v>15</v>
      </c>
      <c r="E1997" s="3">
        <v>0</v>
      </c>
    </row>
    <row r="1998" spans="1:5" x14ac:dyDescent="0.2">
      <c r="A1998">
        <v>11021</v>
      </c>
      <c r="B1998">
        <v>26</v>
      </c>
      <c r="C1998" s="2">
        <v>31.23</v>
      </c>
      <c r="D1998" s="2">
        <v>63</v>
      </c>
      <c r="E1998" s="3">
        <v>0</v>
      </c>
    </row>
    <row r="1999" spans="1:5" x14ac:dyDescent="0.2">
      <c r="A1999">
        <v>11021</v>
      </c>
      <c r="B1999">
        <v>51</v>
      </c>
      <c r="C1999" s="2">
        <v>53</v>
      </c>
      <c r="D1999" s="2">
        <v>44</v>
      </c>
      <c r="E1999" s="3">
        <v>0.25</v>
      </c>
    </row>
    <row r="2000" spans="1:5" x14ac:dyDescent="0.2">
      <c r="A2000">
        <v>11021</v>
      </c>
      <c r="B2000">
        <v>72</v>
      </c>
      <c r="C2000" s="2">
        <v>34.799999999999997</v>
      </c>
      <c r="D2000" s="2">
        <v>35</v>
      </c>
      <c r="E2000" s="3">
        <v>0</v>
      </c>
    </row>
    <row r="2001" spans="1:5" x14ac:dyDescent="0.2">
      <c r="A2001">
        <v>11022</v>
      </c>
      <c r="B2001">
        <v>19</v>
      </c>
      <c r="C2001" s="2">
        <v>9.1999999999999993</v>
      </c>
      <c r="D2001" s="2">
        <v>35</v>
      </c>
      <c r="E2001" s="3">
        <v>0</v>
      </c>
    </row>
    <row r="2002" spans="1:5" x14ac:dyDescent="0.2">
      <c r="A2002">
        <v>11022</v>
      </c>
      <c r="B2002">
        <v>69</v>
      </c>
      <c r="C2002" s="2">
        <v>36</v>
      </c>
      <c r="D2002" s="2">
        <v>30</v>
      </c>
      <c r="E2002" s="3">
        <v>0</v>
      </c>
    </row>
    <row r="2003" spans="1:5" x14ac:dyDescent="0.2">
      <c r="A2003">
        <v>11023</v>
      </c>
      <c r="B2003">
        <v>7</v>
      </c>
      <c r="C2003" s="2">
        <v>30</v>
      </c>
      <c r="D2003" s="2">
        <v>4</v>
      </c>
      <c r="E2003" s="3">
        <v>0</v>
      </c>
    </row>
    <row r="2004" spans="1:5" x14ac:dyDescent="0.2">
      <c r="A2004">
        <v>11023</v>
      </c>
      <c r="B2004">
        <v>43</v>
      </c>
      <c r="C2004" s="2">
        <v>46</v>
      </c>
      <c r="D2004" s="2">
        <v>30</v>
      </c>
      <c r="E2004" s="3">
        <v>0</v>
      </c>
    </row>
    <row r="2005" spans="1:5" x14ac:dyDescent="0.2">
      <c r="A2005">
        <v>11024</v>
      </c>
      <c r="B2005">
        <v>26</v>
      </c>
      <c r="C2005" s="2">
        <v>31.23</v>
      </c>
      <c r="D2005" s="2">
        <v>12</v>
      </c>
      <c r="E2005" s="3">
        <v>0</v>
      </c>
    </row>
    <row r="2006" spans="1:5" x14ac:dyDescent="0.2">
      <c r="A2006">
        <v>11024</v>
      </c>
      <c r="B2006">
        <v>33</v>
      </c>
      <c r="C2006" s="2">
        <v>2.5</v>
      </c>
      <c r="D2006" s="2">
        <v>30</v>
      </c>
      <c r="E2006" s="3">
        <v>0</v>
      </c>
    </row>
    <row r="2007" spans="1:5" x14ac:dyDescent="0.2">
      <c r="A2007">
        <v>11024</v>
      </c>
      <c r="B2007">
        <v>65</v>
      </c>
      <c r="C2007" s="2">
        <v>21.05</v>
      </c>
      <c r="D2007" s="2">
        <v>21</v>
      </c>
      <c r="E2007" s="3">
        <v>0</v>
      </c>
    </row>
    <row r="2008" spans="1:5" x14ac:dyDescent="0.2">
      <c r="A2008">
        <v>11024</v>
      </c>
      <c r="B2008">
        <v>71</v>
      </c>
      <c r="C2008" s="2">
        <v>21.5</v>
      </c>
      <c r="D2008" s="2">
        <v>50</v>
      </c>
      <c r="E2008" s="3">
        <v>0</v>
      </c>
    </row>
    <row r="2009" spans="1:5" x14ac:dyDescent="0.2">
      <c r="A2009">
        <v>11025</v>
      </c>
      <c r="B2009">
        <v>1</v>
      </c>
      <c r="C2009" s="2">
        <v>18</v>
      </c>
      <c r="D2009" s="2">
        <v>10</v>
      </c>
      <c r="E2009" s="3">
        <v>0.1</v>
      </c>
    </row>
    <row r="2010" spans="1:5" x14ac:dyDescent="0.2">
      <c r="A2010">
        <v>11025</v>
      </c>
      <c r="B2010">
        <v>13</v>
      </c>
      <c r="C2010" s="2">
        <v>6</v>
      </c>
      <c r="D2010" s="2">
        <v>20</v>
      </c>
      <c r="E2010" s="3">
        <v>0.1</v>
      </c>
    </row>
    <row r="2011" spans="1:5" x14ac:dyDescent="0.2">
      <c r="A2011">
        <v>11026</v>
      </c>
      <c r="B2011">
        <v>18</v>
      </c>
      <c r="C2011" s="2">
        <v>62.5</v>
      </c>
      <c r="D2011" s="2">
        <v>8</v>
      </c>
      <c r="E2011" s="3">
        <v>0</v>
      </c>
    </row>
    <row r="2012" spans="1:5" x14ac:dyDescent="0.2">
      <c r="A2012">
        <v>11026</v>
      </c>
      <c r="B2012">
        <v>51</v>
      </c>
      <c r="C2012" s="2">
        <v>53</v>
      </c>
      <c r="D2012" s="2">
        <v>10</v>
      </c>
      <c r="E2012" s="3">
        <v>0</v>
      </c>
    </row>
    <row r="2013" spans="1:5" x14ac:dyDescent="0.2">
      <c r="A2013">
        <v>11027</v>
      </c>
      <c r="B2013">
        <v>24</v>
      </c>
      <c r="C2013" s="2">
        <v>4.5</v>
      </c>
      <c r="D2013" s="2">
        <v>30</v>
      </c>
      <c r="E2013" s="3">
        <v>0.25</v>
      </c>
    </row>
    <row r="2014" spans="1:5" x14ac:dyDescent="0.2">
      <c r="A2014">
        <v>11027</v>
      </c>
      <c r="B2014">
        <v>62</v>
      </c>
      <c r="C2014" s="2">
        <v>49.3</v>
      </c>
      <c r="D2014" s="2">
        <v>21</v>
      </c>
      <c r="E2014" s="3">
        <v>0.25</v>
      </c>
    </row>
    <row r="2015" spans="1:5" x14ac:dyDescent="0.2">
      <c r="A2015">
        <v>11028</v>
      </c>
      <c r="B2015">
        <v>55</v>
      </c>
      <c r="C2015" s="2">
        <v>24</v>
      </c>
      <c r="D2015" s="2">
        <v>35</v>
      </c>
      <c r="E2015" s="3">
        <v>0</v>
      </c>
    </row>
    <row r="2016" spans="1:5" x14ac:dyDescent="0.2">
      <c r="A2016">
        <v>11028</v>
      </c>
      <c r="B2016">
        <v>59</v>
      </c>
      <c r="C2016" s="2">
        <v>55</v>
      </c>
      <c r="D2016" s="2">
        <v>24</v>
      </c>
      <c r="E2016" s="3">
        <v>0</v>
      </c>
    </row>
    <row r="2017" spans="1:5" x14ac:dyDescent="0.2">
      <c r="A2017">
        <v>11029</v>
      </c>
      <c r="B2017">
        <v>56</v>
      </c>
      <c r="C2017" s="2">
        <v>38</v>
      </c>
      <c r="D2017" s="2">
        <v>20</v>
      </c>
      <c r="E2017" s="3">
        <v>0</v>
      </c>
    </row>
    <row r="2018" spans="1:5" x14ac:dyDescent="0.2">
      <c r="A2018">
        <v>11029</v>
      </c>
      <c r="B2018">
        <v>63</v>
      </c>
      <c r="C2018" s="2">
        <v>43.9</v>
      </c>
      <c r="D2018" s="2">
        <v>12</v>
      </c>
      <c r="E2018" s="3">
        <v>0</v>
      </c>
    </row>
    <row r="2019" spans="1:5" x14ac:dyDescent="0.2">
      <c r="A2019">
        <v>11030</v>
      </c>
      <c r="B2019">
        <v>2</v>
      </c>
      <c r="C2019" s="2">
        <v>19</v>
      </c>
      <c r="D2019" s="2">
        <v>100</v>
      </c>
      <c r="E2019" s="3">
        <v>0.25</v>
      </c>
    </row>
    <row r="2020" spans="1:5" x14ac:dyDescent="0.2">
      <c r="A2020">
        <v>11030</v>
      </c>
      <c r="B2020">
        <v>5</v>
      </c>
      <c r="C2020" s="2">
        <v>21.35</v>
      </c>
      <c r="D2020" s="2">
        <v>70</v>
      </c>
      <c r="E2020" s="3">
        <v>0</v>
      </c>
    </row>
    <row r="2021" spans="1:5" x14ac:dyDescent="0.2">
      <c r="A2021">
        <v>11030</v>
      </c>
      <c r="B2021">
        <v>29</v>
      </c>
      <c r="C2021" s="2">
        <v>123.79</v>
      </c>
      <c r="D2021" s="2">
        <v>60</v>
      </c>
      <c r="E2021" s="3">
        <v>0.25</v>
      </c>
    </row>
    <row r="2022" spans="1:5" x14ac:dyDescent="0.2">
      <c r="A2022">
        <v>11030</v>
      </c>
      <c r="B2022">
        <v>59</v>
      </c>
      <c r="C2022" s="2">
        <v>55</v>
      </c>
      <c r="D2022" s="2">
        <v>100</v>
      </c>
      <c r="E2022" s="3">
        <v>0.25</v>
      </c>
    </row>
    <row r="2023" spans="1:5" x14ac:dyDescent="0.2">
      <c r="A2023">
        <v>11031</v>
      </c>
      <c r="B2023">
        <v>1</v>
      </c>
      <c r="C2023" s="2">
        <v>18</v>
      </c>
      <c r="D2023" s="2">
        <v>45</v>
      </c>
      <c r="E2023" s="3">
        <v>0</v>
      </c>
    </row>
    <row r="2024" spans="1:5" x14ac:dyDescent="0.2">
      <c r="A2024">
        <v>11031</v>
      </c>
      <c r="B2024">
        <v>13</v>
      </c>
      <c r="C2024" s="2">
        <v>6</v>
      </c>
      <c r="D2024" s="2">
        <v>80</v>
      </c>
      <c r="E2024" s="3">
        <v>0</v>
      </c>
    </row>
    <row r="2025" spans="1:5" x14ac:dyDescent="0.2">
      <c r="A2025">
        <v>11031</v>
      </c>
      <c r="B2025">
        <v>24</v>
      </c>
      <c r="C2025" s="2">
        <v>4.5</v>
      </c>
      <c r="D2025" s="2">
        <v>21</v>
      </c>
      <c r="E2025" s="3">
        <v>0</v>
      </c>
    </row>
    <row r="2026" spans="1:5" x14ac:dyDescent="0.2">
      <c r="A2026">
        <v>11031</v>
      </c>
      <c r="B2026">
        <v>64</v>
      </c>
      <c r="C2026" s="2">
        <v>33.25</v>
      </c>
      <c r="D2026" s="2">
        <v>20</v>
      </c>
      <c r="E2026" s="3">
        <v>0</v>
      </c>
    </row>
    <row r="2027" spans="1:5" x14ac:dyDescent="0.2">
      <c r="A2027">
        <v>11031</v>
      </c>
      <c r="B2027">
        <v>71</v>
      </c>
      <c r="C2027" s="2">
        <v>21.5</v>
      </c>
      <c r="D2027" s="2">
        <v>16</v>
      </c>
      <c r="E2027" s="3">
        <v>0</v>
      </c>
    </row>
    <row r="2028" spans="1:5" x14ac:dyDescent="0.2">
      <c r="A2028">
        <v>11032</v>
      </c>
      <c r="B2028">
        <v>36</v>
      </c>
      <c r="C2028" s="2">
        <v>19</v>
      </c>
      <c r="D2028" s="2">
        <v>35</v>
      </c>
      <c r="E2028" s="3">
        <v>0</v>
      </c>
    </row>
    <row r="2029" spans="1:5" x14ac:dyDescent="0.2">
      <c r="A2029">
        <v>11032</v>
      </c>
      <c r="B2029">
        <v>38</v>
      </c>
      <c r="C2029" s="2">
        <v>263.5</v>
      </c>
      <c r="D2029" s="2">
        <v>25</v>
      </c>
      <c r="E2029" s="3">
        <v>0</v>
      </c>
    </row>
    <row r="2030" spans="1:5" x14ac:dyDescent="0.2">
      <c r="A2030">
        <v>11032</v>
      </c>
      <c r="B2030">
        <v>59</v>
      </c>
      <c r="C2030" s="2">
        <v>55</v>
      </c>
      <c r="D2030" s="2">
        <v>30</v>
      </c>
      <c r="E2030" s="3">
        <v>0</v>
      </c>
    </row>
    <row r="2031" spans="1:5" x14ac:dyDescent="0.2">
      <c r="A2031">
        <v>11033</v>
      </c>
      <c r="B2031">
        <v>53</v>
      </c>
      <c r="C2031" s="2">
        <v>32.799999999999997</v>
      </c>
      <c r="D2031" s="2">
        <v>70</v>
      </c>
      <c r="E2031" s="3">
        <v>0.1</v>
      </c>
    </row>
    <row r="2032" spans="1:5" x14ac:dyDescent="0.2">
      <c r="A2032">
        <v>11033</v>
      </c>
      <c r="B2032">
        <v>69</v>
      </c>
      <c r="C2032" s="2">
        <v>36</v>
      </c>
      <c r="D2032" s="2">
        <v>36</v>
      </c>
      <c r="E2032" s="3">
        <v>0.1</v>
      </c>
    </row>
    <row r="2033" spans="1:5" x14ac:dyDescent="0.2">
      <c r="A2033">
        <v>11034</v>
      </c>
      <c r="B2033">
        <v>21</v>
      </c>
      <c r="C2033" s="2">
        <v>10</v>
      </c>
      <c r="D2033" s="2">
        <v>15</v>
      </c>
      <c r="E2033" s="3">
        <v>0.1</v>
      </c>
    </row>
    <row r="2034" spans="1:5" x14ac:dyDescent="0.2">
      <c r="A2034">
        <v>11034</v>
      </c>
      <c r="B2034">
        <v>44</v>
      </c>
      <c r="C2034" s="2">
        <v>19.45</v>
      </c>
      <c r="D2034" s="2">
        <v>12</v>
      </c>
      <c r="E2034" s="3">
        <v>0</v>
      </c>
    </row>
    <row r="2035" spans="1:5" x14ac:dyDescent="0.2">
      <c r="A2035">
        <v>11034</v>
      </c>
      <c r="B2035">
        <v>61</v>
      </c>
      <c r="C2035" s="2">
        <v>28.5</v>
      </c>
      <c r="D2035" s="2">
        <v>6</v>
      </c>
      <c r="E2035" s="3">
        <v>0</v>
      </c>
    </row>
    <row r="2036" spans="1:5" x14ac:dyDescent="0.2">
      <c r="A2036">
        <v>11035</v>
      </c>
      <c r="B2036">
        <v>1</v>
      </c>
      <c r="C2036" s="2">
        <v>18</v>
      </c>
      <c r="D2036" s="2">
        <v>10</v>
      </c>
      <c r="E2036" s="3">
        <v>0</v>
      </c>
    </row>
    <row r="2037" spans="1:5" x14ac:dyDescent="0.2">
      <c r="A2037">
        <v>11035</v>
      </c>
      <c r="B2037">
        <v>35</v>
      </c>
      <c r="C2037" s="2">
        <v>18</v>
      </c>
      <c r="D2037" s="2">
        <v>60</v>
      </c>
      <c r="E2037" s="3">
        <v>0</v>
      </c>
    </row>
    <row r="2038" spans="1:5" x14ac:dyDescent="0.2">
      <c r="A2038">
        <v>11035</v>
      </c>
      <c r="B2038">
        <v>42</v>
      </c>
      <c r="C2038" s="2">
        <v>14</v>
      </c>
      <c r="D2038" s="2">
        <v>30</v>
      </c>
      <c r="E2038" s="3">
        <v>0</v>
      </c>
    </row>
    <row r="2039" spans="1:5" x14ac:dyDescent="0.2">
      <c r="A2039">
        <v>11035</v>
      </c>
      <c r="B2039">
        <v>54</v>
      </c>
      <c r="C2039" s="2">
        <v>7.45</v>
      </c>
      <c r="D2039" s="2">
        <v>10</v>
      </c>
      <c r="E2039" s="3">
        <v>0</v>
      </c>
    </row>
    <row r="2040" spans="1:5" x14ac:dyDescent="0.2">
      <c r="A2040">
        <v>11036</v>
      </c>
      <c r="B2040">
        <v>13</v>
      </c>
      <c r="C2040" s="2">
        <v>6</v>
      </c>
      <c r="D2040" s="2">
        <v>7</v>
      </c>
      <c r="E2040" s="3">
        <v>0</v>
      </c>
    </row>
    <row r="2041" spans="1:5" x14ac:dyDescent="0.2">
      <c r="A2041">
        <v>11036</v>
      </c>
      <c r="B2041">
        <v>59</v>
      </c>
      <c r="C2041" s="2">
        <v>55</v>
      </c>
      <c r="D2041" s="2">
        <v>30</v>
      </c>
      <c r="E2041" s="3">
        <v>0</v>
      </c>
    </row>
    <row r="2042" spans="1:5" x14ac:dyDescent="0.2">
      <c r="A2042">
        <v>11037</v>
      </c>
      <c r="B2042">
        <v>70</v>
      </c>
      <c r="C2042" s="2">
        <v>15</v>
      </c>
      <c r="D2042" s="2">
        <v>4</v>
      </c>
      <c r="E2042" s="3">
        <v>0</v>
      </c>
    </row>
    <row r="2043" spans="1:5" x14ac:dyDescent="0.2">
      <c r="A2043">
        <v>11038</v>
      </c>
      <c r="B2043">
        <v>40</v>
      </c>
      <c r="C2043" s="2">
        <v>18.399999999999999</v>
      </c>
      <c r="D2043" s="2">
        <v>5</v>
      </c>
      <c r="E2043" s="3">
        <v>0.2</v>
      </c>
    </row>
    <row r="2044" spans="1:5" x14ac:dyDescent="0.2">
      <c r="A2044">
        <v>11038</v>
      </c>
      <c r="B2044">
        <v>52</v>
      </c>
      <c r="C2044" s="2">
        <v>7</v>
      </c>
      <c r="D2044" s="2">
        <v>2</v>
      </c>
      <c r="E2044" s="3">
        <v>0</v>
      </c>
    </row>
    <row r="2045" spans="1:5" x14ac:dyDescent="0.2">
      <c r="A2045">
        <v>11038</v>
      </c>
      <c r="B2045">
        <v>71</v>
      </c>
      <c r="C2045" s="2">
        <v>21.5</v>
      </c>
      <c r="D2045" s="2">
        <v>30</v>
      </c>
      <c r="E2045" s="3">
        <v>0</v>
      </c>
    </row>
    <row r="2046" spans="1:5" x14ac:dyDescent="0.2">
      <c r="A2046">
        <v>11039</v>
      </c>
      <c r="B2046">
        <v>28</v>
      </c>
      <c r="C2046" s="2">
        <v>45.6</v>
      </c>
      <c r="D2046" s="2">
        <v>20</v>
      </c>
      <c r="E2046" s="3">
        <v>0</v>
      </c>
    </row>
    <row r="2047" spans="1:5" x14ac:dyDescent="0.2">
      <c r="A2047">
        <v>11039</v>
      </c>
      <c r="B2047">
        <v>35</v>
      </c>
      <c r="C2047" s="2">
        <v>18</v>
      </c>
      <c r="D2047" s="2">
        <v>24</v>
      </c>
      <c r="E2047" s="3">
        <v>0</v>
      </c>
    </row>
    <row r="2048" spans="1:5" x14ac:dyDescent="0.2">
      <c r="A2048">
        <v>11039</v>
      </c>
      <c r="B2048">
        <v>49</v>
      </c>
      <c r="C2048" s="2">
        <v>20</v>
      </c>
      <c r="D2048" s="2">
        <v>60</v>
      </c>
      <c r="E2048" s="3">
        <v>0</v>
      </c>
    </row>
    <row r="2049" spans="1:5" x14ac:dyDescent="0.2">
      <c r="A2049">
        <v>11039</v>
      </c>
      <c r="B2049">
        <v>57</v>
      </c>
      <c r="C2049" s="2">
        <v>19.5</v>
      </c>
      <c r="D2049" s="2">
        <v>28</v>
      </c>
      <c r="E2049" s="3">
        <v>0</v>
      </c>
    </row>
    <row r="2050" spans="1:5" x14ac:dyDescent="0.2">
      <c r="A2050">
        <v>11040</v>
      </c>
      <c r="B2050">
        <v>21</v>
      </c>
      <c r="C2050" s="2">
        <v>10</v>
      </c>
      <c r="D2050" s="2">
        <v>20</v>
      </c>
      <c r="E2050" s="3">
        <v>0</v>
      </c>
    </row>
    <row r="2051" spans="1:5" x14ac:dyDescent="0.2">
      <c r="A2051">
        <v>11041</v>
      </c>
      <c r="B2051">
        <v>2</v>
      </c>
      <c r="C2051" s="2">
        <v>19</v>
      </c>
      <c r="D2051" s="2">
        <v>30</v>
      </c>
      <c r="E2051" s="3">
        <v>0.2</v>
      </c>
    </row>
    <row r="2052" spans="1:5" x14ac:dyDescent="0.2">
      <c r="A2052">
        <v>11041</v>
      </c>
      <c r="B2052">
        <v>63</v>
      </c>
      <c r="C2052" s="2">
        <v>43.9</v>
      </c>
      <c r="D2052" s="2">
        <v>30</v>
      </c>
      <c r="E2052" s="3">
        <v>0</v>
      </c>
    </row>
    <row r="2053" spans="1:5" x14ac:dyDescent="0.2">
      <c r="A2053">
        <v>11042</v>
      </c>
      <c r="B2053">
        <v>44</v>
      </c>
      <c r="C2053" s="2">
        <v>19.45</v>
      </c>
      <c r="D2053" s="2">
        <v>15</v>
      </c>
      <c r="E2053" s="3">
        <v>0</v>
      </c>
    </row>
    <row r="2054" spans="1:5" x14ac:dyDescent="0.2">
      <c r="A2054">
        <v>11042</v>
      </c>
      <c r="B2054">
        <v>61</v>
      </c>
      <c r="C2054" s="2">
        <v>28.5</v>
      </c>
      <c r="D2054" s="2">
        <v>4</v>
      </c>
      <c r="E2054" s="3">
        <v>0</v>
      </c>
    </row>
    <row r="2055" spans="1:5" x14ac:dyDescent="0.2">
      <c r="A2055">
        <v>11043</v>
      </c>
      <c r="B2055">
        <v>11</v>
      </c>
      <c r="C2055" s="2">
        <v>21</v>
      </c>
      <c r="D2055" s="2">
        <v>10</v>
      </c>
      <c r="E2055" s="3">
        <v>0</v>
      </c>
    </row>
    <row r="2056" spans="1:5" x14ac:dyDescent="0.2">
      <c r="A2056">
        <v>11044</v>
      </c>
      <c r="B2056">
        <v>62</v>
      </c>
      <c r="C2056" s="2">
        <v>49.3</v>
      </c>
      <c r="D2056" s="2">
        <v>12</v>
      </c>
      <c r="E2056" s="3">
        <v>0</v>
      </c>
    </row>
    <row r="2057" spans="1:5" x14ac:dyDescent="0.2">
      <c r="A2057">
        <v>11045</v>
      </c>
      <c r="B2057">
        <v>33</v>
      </c>
      <c r="C2057" s="2">
        <v>2.5</v>
      </c>
      <c r="D2057" s="2">
        <v>15</v>
      </c>
      <c r="E2057" s="3">
        <v>0</v>
      </c>
    </row>
    <row r="2058" spans="1:5" x14ac:dyDescent="0.2">
      <c r="A2058">
        <v>11045</v>
      </c>
      <c r="B2058">
        <v>51</v>
      </c>
      <c r="C2058" s="2">
        <v>53</v>
      </c>
      <c r="D2058" s="2">
        <v>24</v>
      </c>
      <c r="E2058" s="3">
        <v>0</v>
      </c>
    </row>
    <row r="2059" spans="1:5" x14ac:dyDescent="0.2">
      <c r="A2059">
        <v>11046</v>
      </c>
      <c r="B2059">
        <v>12</v>
      </c>
      <c r="C2059" s="2">
        <v>38</v>
      </c>
      <c r="D2059" s="2">
        <v>20</v>
      </c>
      <c r="E2059" s="3">
        <v>0.05</v>
      </c>
    </row>
    <row r="2060" spans="1:5" x14ac:dyDescent="0.2">
      <c r="A2060">
        <v>11046</v>
      </c>
      <c r="B2060">
        <v>32</v>
      </c>
      <c r="C2060" s="2">
        <v>32</v>
      </c>
      <c r="D2060" s="2">
        <v>15</v>
      </c>
      <c r="E2060" s="3">
        <v>0.05</v>
      </c>
    </row>
    <row r="2061" spans="1:5" x14ac:dyDescent="0.2">
      <c r="A2061">
        <v>11046</v>
      </c>
      <c r="B2061">
        <v>35</v>
      </c>
      <c r="C2061" s="2">
        <v>18</v>
      </c>
      <c r="D2061" s="2">
        <v>18</v>
      </c>
      <c r="E2061" s="3">
        <v>0.05</v>
      </c>
    </row>
    <row r="2062" spans="1:5" x14ac:dyDescent="0.2">
      <c r="A2062">
        <v>11047</v>
      </c>
      <c r="B2062">
        <v>1</v>
      </c>
      <c r="C2062" s="2">
        <v>18</v>
      </c>
      <c r="D2062" s="2">
        <v>25</v>
      </c>
      <c r="E2062" s="3">
        <v>0.25</v>
      </c>
    </row>
    <row r="2063" spans="1:5" x14ac:dyDescent="0.2">
      <c r="A2063">
        <v>11047</v>
      </c>
      <c r="B2063">
        <v>5</v>
      </c>
      <c r="C2063" s="2">
        <v>21.35</v>
      </c>
      <c r="D2063" s="2">
        <v>30</v>
      </c>
      <c r="E2063" s="3">
        <v>0.25</v>
      </c>
    </row>
    <row r="2064" spans="1:5" x14ac:dyDescent="0.2">
      <c r="A2064">
        <v>11048</v>
      </c>
      <c r="B2064">
        <v>68</v>
      </c>
      <c r="C2064" s="2">
        <v>12.5</v>
      </c>
      <c r="D2064" s="2">
        <v>42</v>
      </c>
      <c r="E2064" s="3">
        <v>0</v>
      </c>
    </row>
    <row r="2065" spans="1:5" x14ac:dyDescent="0.2">
      <c r="A2065">
        <v>11049</v>
      </c>
      <c r="B2065">
        <v>2</v>
      </c>
      <c r="C2065" s="2">
        <v>19</v>
      </c>
      <c r="D2065" s="2">
        <v>10</v>
      </c>
      <c r="E2065" s="3">
        <v>0.2</v>
      </c>
    </row>
    <row r="2066" spans="1:5" x14ac:dyDescent="0.2">
      <c r="A2066">
        <v>11049</v>
      </c>
      <c r="B2066">
        <v>12</v>
      </c>
      <c r="C2066" s="2">
        <v>38</v>
      </c>
      <c r="D2066" s="2">
        <v>4</v>
      </c>
      <c r="E2066" s="3">
        <v>0.2</v>
      </c>
    </row>
    <row r="2067" spans="1:5" x14ac:dyDescent="0.2">
      <c r="A2067">
        <v>11050</v>
      </c>
      <c r="B2067">
        <v>76</v>
      </c>
      <c r="C2067" s="2">
        <v>18</v>
      </c>
      <c r="D2067" s="2">
        <v>50</v>
      </c>
      <c r="E2067" s="3">
        <v>0.1</v>
      </c>
    </row>
    <row r="2068" spans="1:5" x14ac:dyDescent="0.2">
      <c r="A2068">
        <v>11051</v>
      </c>
      <c r="B2068">
        <v>24</v>
      </c>
      <c r="C2068" s="2">
        <v>4.5</v>
      </c>
      <c r="D2068" s="2">
        <v>10</v>
      </c>
      <c r="E2068" s="3">
        <v>0.2</v>
      </c>
    </row>
    <row r="2069" spans="1:5" x14ac:dyDescent="0.2">
      <c r="A2069">
        <v>11052</v>
      </c>
      <c r="B2069">
        <v>43</v>
      </c>
      <c r="C2069" s="2">
        <v>46</v>
      </c>
      <c r="D2069" s="2">
        <v>30</v>
      </c>
      <c r="E2069" s="3">
        <v>0.2</v>
      </c>
    </row>
    <row r="2070" spans="1:5" x14ac:dyDescent="0.2">
      <c r="A2070">
        <v>11052</v>
      </c>
      <c r="B2070">
        <v>61</v>
      </c>
      <c r="C2070" s="2">
        <v>28.5</v>
      </c>
      <c r="D2070" s="2">
        <v>10</v>
      </c>
      <c r="E2070" s="3">
        <v>0.2</v>
      </c>
    </row>
    <row r="2071" spans="1:5" x14ac:dyDescent="0.2">
      <c r="A2071">
        <v>11053</v>
      </c>
      <c r="B2071">
        <v>18</v>
      </c>
      <c r="C2071" s="2">
        <v>62.5</v>
      </c>
      <c r="D2071" s="2">
        <v>35</v>
      </c>
      <c r="E2071" s="3">
        <v>0.2</v>
      </c>
    </row>
    <row r="2072" spans="1:5" x14ac:dyDescent="0.2">
      <c r="A2072">
        <v>11053</v>
      </c>
      <c r="B2072">
        <v>32</v>
      </c>
      <c r="C2072" s="2">
        <v>32</v>
      </c>
      <c r="D2072" s="2">
        <v>20</v>
      </c>
      <c r="E2072" s="3">
        <v>0</v>
      </c>
    </row>
    <row r="2073" spans="1:5" x14ac:dyDescent="0.2">
      <c r="A2073">
        <v>11053</v>
      </c>
      <c r="B2073">
        <v>64</v>
      </c>
      <c r="C2073" s="2">
        <v>33.25</v>
      </c>
      <c r="D2073" s="2">
        <v>25</v>
      </c>
      <c r="E2073" s="3">
        <v>0.2</v>
      </c>
    </row>
    <row r="2074" spans="1:5" x14ac:dyDescent="0.2">
      <c r="A2074">
        <v>11054</v>
      </c>
      <c r="B2074">
        <v>33</v>
      </c>
      <c r="C2074" s="2">
        <v>2.5</v>
      </c>
      <c r="D2074" s="2">
        <v>10</v>
      </c>
      <c r="E2074" s="3">
        <v>0</v>
      </c>
    </row>
    <row r="2075" spans="1:5" x14ac:dyDescent="0.2">
      <c r="A2075">
        <v>11054</v>
      </c>
      <c r="B2075">
        <v>67</v>
      </c>
      <c r="C2075" s="2">
        <v>14</v>
      </c>
      <c r="D2075" s="2">
        <v>20</v>
      </c>
      <c r="E2075" s="3">
        <v>0</v>
      </c>
    </row>
    <row r="2076" spans="1:5" x14ac:dyDescent="0.2">
      <c r="A2076">
        <v>11055</v>
      </c>
      <c r="B2076">
        <v>24</v>
      </c>
      <c r="C2076" s="2">
        <v>4.5</v>
      </c>
      <c r="D2076" s="2">
        <v>15</v>
      </c>
      <c r="E2076" s="3">
        <v>0</v>
      </c>
    </row>
    <row r="2077" spans="1:5" x14ac:dyDescent="0.2">
      <c r="A2077">
        <v>11055</v>
      </c>
      <c r="B2077">
        <v>25</v>
      </c>
      <c r="C2077" s="2">
        <v>14</v>
      </c>
      <c r="D2077" s="2">
        <v>15</v>
      </c>
      <c r="E2077" s="3">
        <v>0</v>
      </c>
    </row>
    <row r="2078" spans="1:5" x14ac:dyDescent="0.2">
      <c r="A2078">
        <v>11055</v>
      </c>
      <c r="B2078">
        <v>51</v>
      </c>
      <c r="C2078" s="2">
        <v>53</v>
      </c>
      <c r="D2078" s="2">
        <v>20</v>
      </c>
      <c r="E2078" s="3">
        <v>0</v>
      </c>
    </row>
    <row r="2079" spans="1:5" x14ac:dyDescent="0.2">
      <c r="A2079">
        <v>11055</v>
      </c>
      <c r="B2079">
        <v>57</v>
      </c>
      <c r="C2079" s="2">
        <v>19.5</v>
      </c>
      <c r="D2079" s="2">
        <v>20</v>
      </c>
      <c r="E2079" s="3">
        <v>0</v>
      </c>
    </row>
    <row r="2080" spans="1:5" x14ac:dyDescent="0.2">
      <c r="A2080">
        <v>11056</v>
      </c>
      <c r="B2080">
        <v>7</v>
      </c>
      <c r="C2080" s="2">
        <v>30</v>
      </c>
      <c r="D2080" s="2">
        <v>40</v>
      </c>
      <c r="E2080" s="3">
        <v>0</v>
      </c>
    </row>
    <row r="2081" spans="1:5" x14ac:dyDescent="0.2">
      <c r="A2081">
        <v>11056</v>
      </c>
      <c r="B2081">
        <v>55</v>
      </c>
      <c r="C2081" s="2">
        <v>24</v>
      </c>
      <c r="D2081" s="2">
        <v>35</v>
      </c>
      <c r="E2081" s="3">
        <v>0</v>
      </c>
    </row>
    <row r="2082" spans="1:5" x14ac:dyDescent="0.2">
      <c r="A2082">
        <v>11056</v>
      </c>
      <c r="B2082">
        <v>60</v>
      </c>
      <c r="C2082" s="2">
        <v>34</v>
      </c>
      <c r="D2082" s="2">
        <v>50</v>
      </c>
      <c r="E2082" s="3">
        <v>0</v>
      </c>
    </row>
    <row r="2083" spans="1:5" x14ac:dyDescent="0.2">
      <c r="A2083">
        <v>11057</v>
      </c>
      <c r="B2083">
        <v>70</v>
      </c>
      <c r="C2083" s="2">
        <v>15</v>
      </c>
      <c r="D2083" s="2">
        <v>3</v>
      </c>
      <c r="E2083" s="3">
        <v>0</v>
      </c>
    </row>
    <row r="2084" spans="1:5" x14ac:dyDescent="0.2">
      <c r="A2084">
        <v>11058</v>
      </c>
      <c r="B2084">
        <v>21</v>
      </c>
      <c r="C2084" s="2">
        <v>10</v>
      </c>
      <c r="D2084" s="2">
        <v>3</v>
      </c>
      <c r="E2084" s="3">
        <v>0</v>
      </c>
    </row>
    <row r="2085" spans="1:5" x14ac:dyDescent="0.2">
      <c r="A2085">
        <v>11058</v>
      </c>
      <c r="B2085">
        <v>60</v>
      </c>
      <c r="C2085" s="2">
        <v>34</v>
      </c>
      <c r="D2085" s="2">
        <v>21</v>
      </c>
      <c r="E2085" s="3">
        <v>0</v>
      </c>
    </row>
    <row r="2086" spans="1:5" x14ac:dyDescent="0.2">
      <c r="A2086">
        <v>11058</v>
      </c>
      <c r="B2086">
        <v>61</v>
      </c>
      <c r="C2086" s="2">
        <v>28.5</v>
      </c>
      <c r="D2086" s="2">
        <v>4</v>
      </c>
      <c r="E2086" s="3">
        <v>0</v>
      </c>
    </row>
    <row r="2087" spans="1:5" x14ac:dyDescent="0.2">
      <c r="A2087">
        <v>11059</v>
      </c>
      <c r="B2087">
        <v>13</v>
      </c>
      <c r="C2087" s="2">
        <v>6</v>
      </c>
      <c r="D2087" s="2">
        <v>30</v>
      </c>
      <c r="E2087" s="3">
        <v>0</v>
      </c>
    </row>
    <row r="2088" spans="1:5" x14ac:dyDescent="0.2">
      <c r="A2088">
        <v>11059</v>
      </c>
      <c r="B2088">
        <v>17</v>
      </c>
      <c r="C2088" s="2">
        <v>39</v>
      </c>
      <c r="D2088" s="2">
        <v>12</v>
      </c>
      <c r="E2088" s="3">
        <v>0</v>
      </c>
    </row>
    <row r="2089" spans="1:5" x14ac:dyDescent="0.2">
      <c r="A2089">
        <v>11059</v>
      </c>
      <c r="B2089">
        <v>60</v>
      </c>
      <c r="C2089" s="2">
        <v>34</v>
      </c>
      <c r="D2089" s="2">
        <v>35</v>
      </c>
      <c r="E2089" s="3">
        <v>0</v>
      </c>
    </row>
    <row r="2090" spans="1:5" x14ac:dyDescent="0.2">
      <c r="A2090">
        <v>11060</v>
      </c>
      <c r="B2090">
        <v>60</v>
      </c>
      <c r="C2090" s="2">
        <v>34</v>
      </c>
      <c r="D2090" s="2">
        <v>4</v>
      </c>
      <c r="E2090" s="3">
        <v>0</v>
      </c>
    </row>
    <row r="2091" spans="1:5" x14ac:dyDescent="0.2">
      <c r="A2091">
        <v>11060</v>
      </c>
      <c r="B2091">
        <v>77</v>
      </c>
      <c r="C2091" s="2">
        <v>13</v>
      </c>
      <c r="D2091" s="2">
        <v>10</v>
      </c>
      <c r="E2091" s="3">
        <v>0</v>
      </c>
    </row>
    <row r="2092" spans="1:5" x14ac:dyDescent="0.2">
      <c r="A2092">
        <v>11061</v>
      </c>
      <c r="B2092">
        <v>60</v>
      </c>
      <c r="C2092" s="2">
        <v>34</v>
      </c>
      <c r="D2092" s="2">
        <v>15</v>
      </c>
      <c r="E2092" s="3">
        <v>0</v>
      </c>
    </row>
    <row r="2093" spans="1:5" x14ac:dyDescent="0.2">
      <c r="A2093">
        <v>11062</v>
      </c>
      <c r="B2093">
        <v>53</v>
      </c>
      <c r="C2093" s="2">
        <v>32.799999999999997</v>
      </c>
      <c r="D2093" s="2">
        <v>10</v>
      </c>
      <c r="E2093" s="3">
        <v>0.2</v>
      </c>
    </row>
    <row r="2094" spans="1:5" x14ac:dyDescent="0.2">
      <c r="A2094">
        <v>11062</v>
      </c>
      <c r="B2094">
        <v>70</v>
      </c>
      <c r="C2094" s="2">
        <v>15</v>
      </c>
      <c r="D2094" s="2">
        <v>12</v>
      </c>
      <c r="E2094" s="3">
        <v>0.2</v>
      </c>
    </row>
    <row r="2095" spans="1:5" x14ac:dyDescent="0.2">
      <c r="A2095">
        <v>11063</v>
      </c>
      <c r="B2095">
        <v>34</v>
      </c>
      <c r="C2095" s="2">
        <v>14</v>
      </c>
      <c r="D2095" s="2">
        <v>30</v>
      </c>
      <c r="E2095" s="3">
        <v>0</v>
      </c>
    </row>
    <row r="2096" spans="1:5" x14ac:dyDescent="0.2">
      <c r="A2096">
        <v>11063</v>
      </c>
      <c r="B2096">
        <v>40</v>
      </c>
      <c r="C2096" s="2">
        <v>18.399999999999999</v>
      </c>
      <c r="D2096" s="2">
        <v>40</v>
      </c>
      <c r="E2096" s="3">
        <v>0.1</v>
      </c>
    </row>
    <row r="2097" spans="1:5" x14ac:dyDescent="0.2">
      <c r="A2097">
        <v>11063</v>
      </c>
      <c r="B2097">
        <v>41</v>
      </c>
      <c r="C2097" s="2">
        <v>9.65</v>
      </c>
      <c r="D2097" s="2">
        <v>30</v>
      </c>
      <c r="E2097" s="3">
        <v>0.1</v>
      </c>
    </row>
    <row r="2098" spans="1:5" x14ac:dyDescent="0.2">
      <c r="A2098">
        <v>11064</v>
      </c>
      <c r="B2098">
        <v>17</v>
      </c>
      <c r="C2098" s="2">
        <v>39</v>
      </c>
      <c r="D2098" s="2">
        <v>77</v>
      </c>
      <c r="E2098" s="3">
        <v>0.1</v>
      </c>
    </row>
    <row r="2099" spans="1:5" x14ac:dyDescent="0.2">
      <c r="A2099">
        <v>11064</v>
      </c>
      <c r="B2099">
        <v>41</v>
      </c>
      <c r="C2099" s="2">
        <v>9.65</v>
      </c>
      <c r="D2099" s="2">
        <v>12</v>
      </c>
      <c r="E2099" s="3">
        <v>0</v>
      </c>
    </row>
    <row r="2100" spans="1:5" x14ac:dyDescent="0.2">
      <c r="A2100">
        <v>11064</v>
      </c>
      <c r="B2100">
        <v>53</v>
      </c>
      <c r="C2100" s="2">
        <v>32.799999999999997</v>
      </c>
      <c r="D2100" s="2">
        <v>25</v>
      </c>
      <c r="E2100" s="3">
        <v>0.1</v>
      </c>
    </row>
    <row r="2101" spans="1:5" x14ac:dyDescent="0.2">
      <c r="A2101">
        <v>11064</v>
      </c>
      <c r="B2101">
        <v>55</v>
      </c>
      <c r="C2101" s="2">
        <v>24</v>
      </c>
      <c r="D2101" s="2">
        <v>4</v>
      </c>
      <c r="E2101" s="3">
        <v>0.1</v>
      </c>
    </row>
    <row r="2102" spans="1:5" x14ac:dyDescent="0.2">
      <c r="A2102">
        <v>11064</v>
      </c>
      <c r="B2102">
        <v>68</v>
      </c>
      <c r="C2102" s="2">
        <v>12.5</v>
      </c>
      <c r="D2102" s="2">
        <v>55</v>
      </c>
      <c r="E2102" s="3">
        <v>0</v>
      </c>
    </row>
    <row r="2103" spans="1:5" x14ac:dyDescent="0.2">
      <c r="A2103">
        <v>11065</v>
      </c>
      <c r="B2103">
        <v>30</v>
      </c>
      <c r="C2103" s="2">
        <v>25.89</v>
      </c>
      <c r="D2103" s="2">
        <v>4</v>
      </c>
      <c r="E2103" s="3">
        <v>0.25</v>
      </c>
    </row>
    <row r="2104" spans="1:5" x14ac:dyDescent="0.2">
      <c r="A2104">
        <v>11065</v>
      </c>
      <c r="B2104">
        <v>54</v>
      </c>
      <c r="C2104" s="2">
        <v>7.45</v>
      </c>
      <c r="D2104" s="2">
        <v>20</v>
      </c>
      <c r="E2104" s="3">
        <v>0.25</v>
      </c>
    </row>
    <row r="2105" spans="1:5" x14ac:dyDescent="0.2">
      <c r="A2105">
        <v>11066</v>
      </c>
      <c r="B2105">
        <v>16</v>
      </c>
      <c r="C2105" s="2">
        <v>17.45</v>
      </c>
      <c r="D2105" s="2">
        <v>3</v>
      </c>
      <c r="E2105" s="3">
        <v>0</v>
      </c>
    </row>
    <row r="2106" spans="1:5" x14ac:dyDescent="0.2">
      <c r="A2106">
        <v>11066</v>
      </c>
      <c r="B2106">
        <v>19</v>
      </c>
      <c r="C2106" s="2">
        <v>9.1999999999999993</v>
      </c>
      <c r="D2106" s="2">
        <v>42</v>
      </c>
      <c r="E2106" s="3">
        <v>0</v>
      </c>
    </row>
    <row r="2107" spans="1:5" x14ac:dyDescent="0.2">
      <c r="A2107">
        <v>11066</v>
      </c>
      <c r="B2107">
        <v>34</v>
      </c>
      <c r="C2107" s="2">
        <v>14</v>
      </c>
      <c r="D2107" s="2">
        <v>35</v>
      </c>
      <c r="E2107" s="3">
        <v>0</v>
      </c>
    </row>
    <row r="2108" spans="1:5" x14ac:dyDescent="0.2">
      <c r="A2108">
        <v>11067</v>
      </c>
      <c r="B2108">
        <v>41</v>
      </c>
      <c r="C2108" s="2">
        <v>9.65</v>
      </c>
      <c r="D2108" s="2">
        <v>9</v>
      </c>
      <c r="E2108" s="3">
        <v>0</v>
      </c>
    </row>
    <row r="2109" spans="1:5" x14ac:dyDescent="0.2">
      <c r="A2109">
        <v>11068</v>
      </c>
      <c r="B2109">
        <v>28</v>
      </c>
      <c r="C2109" s="2">
        <v>45.6</v>
      </c>
      <c r="D2109" s="2">
        <v>8</v>
      </c>
      <c r="E2109" s="3">
        <v>0.15</v>
      </c>
    </row>
    <row r="2110" spans="1:5" x14ac:dyDescent="0.2">
      <c r="A2110">
        <v>11068</v>
      </c>
      <c r="B2110">
        <v>43</v>
      </c>
      <c r="C2110" s="2">
        <v>46</v>
      </c>
      <c r="D2110" s="2">
        <v>36</v>
      </c>
      <c r="E2110" s="3">
        <v>0.15</v>
      </c>
    </row>
    <row r="2111" spans="1:5" x14ac:dyDescent="0.2">
      <c r="A2111">
        <v>11068</v>
      </c>
      <c r="B2111">
        <v>77</v>
      </c>
      <c r="C2111" s="2">
        <v>13</v>
      </c>
      <c r="D2111" s="2">
        <v>28</v>
      </c>
      <c r="E2111" s="3">
        <v>0.15</v>
      </c>
    </row>
    <row r="2112" spans="1:5" x14ac:dyDescent="0.2">
      <c r="A2112">
        <v>11069</v>
      </c>
      <c r="B2112">
        <v>39</v>
      </c>
      <c r="C2112" s="2">
        <v>18</v>
      </c>
      <c r="D2112" s="2">
        <v>20</v>
      </c>
      <c r="E2112" s="3">
        <v>0</v>
      </c>
    </row>
    <row r="2113" spans="1:5" x14ac:dyDescent="0.2">
      <c r="A2113">
        <v>11070</v>
      </c>
      <c r="B2113">
        <v>1</v>
      </c>
      <c r="C2113" s="2">
        <v>18</v>
      </c>
      <c r="D2113" s="2">
        <v>40</v>
      </c>
      <c r="E2113" s="3">
        <v>0.15</v>
      </c>
    </row>
    <row r="2114" spans="1:5" x14ac:dyDescent="0.2">
      <c r="A2114">
        <v>11070</v>
      </c>
      <c r="B2114">
        <v>2</v>
      </c>
      <c r="C2114" s="2">
        <v>19</v>
      </c>
      <c r="D2114" s="2">
        <v>20</v>
      </c>
      <c r="E2114" s="3">
        <v>0.15</v>
      </c>
    </row>
    <row r="2115" spans="1:5" x14ac:dyDescent="0.2">
      <c r="A2115">
        <v>11070</v>
      </c>
      <c r="B2115">
        <v>16</v>
      </c>
      <c r="C2115" s="2">
        <v>17.45</v>
      </c>
      <c r="D2115" s="2">
        <v>30</v>
      </c>
      <c r="E2115" s="3">
        <v>0.15</v>
      </c>
    </row>
    <row r="2116" spans="1:5" x14ac:dyDescent="0.2">
      <c r="A2116">
        <v>11070</v>
      </c>
      <c r="B2116">
        <v>31</v>
      </c>
      <c r="C2116" s="2">
        <v>12.5</v>
      </c>
      <c r="D2116" s="2">
        <v>20</v>
      </c>
      <c r="E2116" s="3">
        <v>0</v>
      </c>
    </row>
    <row r="2117" spans="1:5" x14ac:dyDescent="0.2">
      <c r="A2117">
        <v>11071</v>
      </c>
      <c r="B2117">
        <v>7</v>
      </c>
      <c r="C2117" s="2">
        <v>30</v>
      </c>
      <c r="D2117" s="2">
        <v>15</v>
      </c>
      <c r="E2117" s="3">
        <v>0.05</v>
      </c>
    </row>
    <row r="2118" spans="1:5" x14ac:dyDescent="0.2">
      <c r="A2118">
        <v>11071</v>
      </c>
      <c r="B2118">
        <v>13</v>
      </c>
      <c r="C2118" s="2">
        <v>6</v>
      </c>
      <c r="D2118" s="2">
        <v>10</v>
      </c>
      <c r="E2118" s="3">
        <v>0.05</v>
      </c>
    </row>
    <row r="2119" spans="1:5" x14ac:dyDescent="0.2">
      <c r="A2119">
        <v>11072</v>
      </c>
      <c r="B2119">
        <v>2</v>
      </c>
      <c r="C2119" s="2">
        <v>19</v>
      </c>
      <c r="D2119" s="2">
        <v>8</v>
      </c>
      <c r="E2119" s="3">
        <v>0</v>
      </c>
    </row>
    <row r="2120" spans="1:5" x14ac:dyDescent="0.2">
      <c r="A2120">
        <v>11072</v>
      </c>
      <c r="B2120">
        <v>41</v>
      </c>
      <c r="C2120" s="2">
        <v>9.65</v>
      </c>
      <c r="D2120" s="2">
        <v>40</v>
      </c>
      <c r="E2120" s="3">
        <v>0</v>
      </c>
    </row>
    <row r="2121" spans="1:5" x14ac:dyDescent="0.2">
      <c r="A2121">
        <v>11072</v>
      </c>
      <c r="B2121">
        <v>50</v>
      </c>
      <c r="C2121" s="2">
        <v>16.25</v>
      </c>
      <c r="D2121" s="2">
        <v>22</v>
      </c>
      <c r="E2121" s="3">
        <v>0</v>
      </c>
    </row>
    <row r="2122" spans="1:5" x14ac:dyDescent="0.2">
      <c r="A2122">
        <v>11072</v>
      </c>
      <c r="B2122">
        <v>64</v>
      </c>
      <c r="C2122" s="2">
        <v>33.25</v>
      </c>
      <c r="D2122" s="2">
        <v>130</v>
      </c>
      <c r="E2122" s="3">
        <v>0</v>
      </c>
    </row>
    <row r="2123" spans="1:5" x14ac:dyDescent="0.2">
      <c r="A2123">
        <v>11073</v>
      </c>
      <c r="B2123">
        <v>11</v>
      </c>
      <c r="C2123" s="2">
        <v>21</v>
      </c>
      <c r="D2123" s="2">
        <v>10</v>
      </c>
      <c r="E2123" s="3">
        <v>0</v>
      </c>
    </row>
    <row r="2124" spans="1:5" x14ac:dyDescent="0.2">
      <c r="A2124">
        <v>11073</v>
      </c>
      <c r="B2124">
        <v>24</v>
      </c>
      <c r="C2124" s="2">
        <v>4.5</v>
      </c>
      <c r="D2124" s="2">
        <v>20</v>
      </c>
      <c r="E2124" s="3">
        <v>0</v>
      </c>
    </row>
    <row r="2125" spans="1:5" x14ac:dyDescent="0.2">
      <c r="A2125">
        <v>11074</v>
      </c>
      <c r="B2125">
        <v>16</v>
      </c>
      <c r="C2125" s="2">
        <v>17.45</v>
      </c>
      <c r="D2125" s="2">
        <v>14</v>
      </c>
      <c r="E2125" s="3">
        <v>0.05</v>
      </c>
    </row>
    <row r="2126" spans="1:5" x14ac:dyDescent="0.2">
      <c r="A2126">
        <v>11075</v>
      </c>
      <c r="B2126">
        <v>2</v>
      </c>
      <c r="C2126" s="2">
        <v>19</v>
      </c>
      <c r="D2126" s="2">
        <v>10</v>
      </c>
      <c r="E2126" s="3">
        <v>0.15</v>
      </c>
    </row>
    <row r="2127" spans="1:5" x14ac:dyDescent="0.2">
      <c r="A2127">
        <v>11075</v>
      </c>
      <c r="B2127">
        <v>46</v>
      </c>
      <c r="C2127" s="2">
        <v>12</v>
      </c>
      <c r="D2127" s="2">
        <v>30</v>
      </c>
      <c r="E2127" s="3">
        <v>0.15</v>
      </c>
    </row>
    <row r="2128" spans="1:5" x14ac:dyDescent="0.2">
      <c r="A2128">
        <v>11075</v>
      </c>
      <c r="B2128">
        <v>76</v>
      </c>
      <c r="C2128" s="2">
        <v>18</v>
      </c>
      <c r="D2128" s="2">
        <v>2</v>
      </c>
      <c r="E2128" s="3">
        <v>0.15</v>
      </c>
    </row>
    <row r="2129" spans="1:5" x14ac:dyDescent="0.2">
      <c r="A2129">
        <v>11076</v>
      </c>
      <c r="B2129">
        <v>6</v>
      </c>
      <c r="C2129" s="2">
        <v>25</v>
      </c>
      <c r="D2129" s="2">
        <v>20</v>
      </c>
      <c r="E2129" s="3">
        <v>0.25</v>
      </c>
    </row>
    <row r="2130" spans="1:5" x14ac:dyDescent="0.2">
      <c r="A2130">
        <v>11076</v>
      </c>
      <c r="B2130">
        <v>14</v>
      </c>
      <c r="C2130" s="2">
        <v>23.25</v>
      </c>
      <c r="D2130" s="2">
        <v>20</v>
      </c>
      <c r="E2130" s="3">
        <v>0.25</v>
      </c>
    </row>
    <row r="2131" spans="1:5" x14ac:dyDescent="0.2">
      <c r="A2131">
        <v>11076</v>
      </c>
      <c r="B2131">
        <v>19</v>
      </c>
      <c r="C2131" s="2">
        <v>9.1999999999999993</v>
      </c>
      <c r="D2131" s="2">
        <v>10</v>
      </c>
      <c r="E2131" s="3">
        <v>0.25</v>
      </c>
    </row>
    <row r="2132" spans="1:5" x14ac:dyDescent="0.2">
      <c r="A2132">
        <v>11077</v>
      </c>
      <c r="B2132">
        <v>2</v>
      </c>
      <c r="C2132" s="2">
        <v>19</v>
      </c>
      <c r="D2132" s="2">
        <v>24</v>
      </c>
      <c r="E2132" s="3">
        <v>0.2</v>
      </c>
    </row>
    <row r="2133" spans="1:5" x14ac:dyDescent="0.2">
      <c r="A2133">
        <v>11077</v>
      </c>
      <c r="B2133">
        <v>3</v>
      </c>
      <c r="C2133" s="2">
        <v>10</v>
      </c>
      <c r="D2133" s="2">
        <v>4</v>
      </c>
      <c r="E2133" s="3">
        <v>0</v>
      </c>
    </row>
    <row r="2134" spans="1:5" x14ac:dyDescent="0.2">
      <c r="A2134">
        <v>11077</v>
      </c>
      <c r="B2134">
        <v>4</v>
      </c>
      <c r="C2134" s="2">
        <v>22</v>
      </c>
      <c r="D2134" s="2">
        <v>1</v>
      </c>
      <c r="E2134" s="3">
        <v>0</v>
      </c>
    </row>
    <row r="2135" spans="1:5" x14ac:dyDescent="0.2">
      <c r="A2135">
        <v>11077</v>
      </c>
      <c r="B2135">
        <v>6</v>
      </c>
      <c r="C2135" s="2">
        <v>25</v>
      </c>
      <c r="D2135" s="2">
        <v>1</v>
      </c>
      <c r="E2135" s="3">
        <v>0.02</v>
      </c>
    </row>
    <row r="2136" spans="1:5" x14ac:dyDescent="0.2">
      <c r="A2136">
        <v>11077</v>
      </c>
      <c r="B2136">
        <v>7</v>
      </c>
      <c r="C2136" s="2">
        <v>30</v>
      </c>
      <c r="D2136" s="2">
        <v>1</v>
      </c>
      <c r="E2136" s="3">
        <v>0.05</v>
      </c>
    </row>
    <row r="2137" spans="1:5" x14ac:dyDescent="0.2">
      <c r="A2137">
        <v>11077</v>
      </c>
      <c r="B2137">
        <v>8</v>
      </c>
      <c r="C2137" s="2">
        <v>40</v>
      </c>
      <c r="D2137" s="2">
        <v>2</v>
      </c>
      <c r="E2137" s="3">
        <v>0.1</v>
      </c>
    </row>
    <row r="2138" spans="1:5" x14ac:dyDescent="0.2">
      <c r="A2138">
        <v>11077</v>
      </c>
      <c r="B2138">
        <v>10</v>
      </c>
      <c r="C2138" s="2">
        <v>31</v>
      </c>
      <c r="D2138" s="2">
        <v>1</v>
      </c>
      <c r="E2138" s="3">
        <v>0</v>
      </c>
    </row>
    <row r="2139" spans="1:5" x14ac:dyDescent="0.2">
      <c r="A2139">
        <v>11077</v>
      </c>
      <c r="B2139">
        <v>12</v>
      </c>
      <c r="C2139" s="2">
        <v>38</v>
      </c>
      <c r="D2139" s="2">
        <v>2</v>
      </c>
      <c r="E2139" s="3">
        <v>0.05</v>
      </c>
    </row>
    <row r="2140" spans="1:5" x14ac:dyDescent="0.2">
      <c r="A2140">
        <v>11077</v>
      </c>
      <c r="B2140">
        <v>13</v>
      </c>
      <c r="C2140" s="2">
        <v>6</v>
      </c>
      <c r="D2140" s="2">
        <v>4</v>
      </c>
      <c r="E2140" s="3">
        <v>0</v>
      </c>
    </row>
    <row r="2141" spans="1:5" x14ac:dyDescent="0.2">
      <c r="A2141">
        <v>11077</v>
      </c>
      <c r="B2141">
        <v>14</v>
      </c>
      <c r="C2141" s="2">
        <v>23.25</v>
      </c>
      <c r="D2141" s="2">
        <v>1</v>
      </c>
      <c r="E2141" s="3">
        <v>0.03</v>
      </c>
    </row>
    <row r="2142" spans="1:5" x14ac:dyDescent="0.2">
      <c r="A2142">
        <v>11077</v>
      </c>
      <c r="B2142">
        <v>16</v>
      </c>
      <c r="C2142" s="2">
        <v>17.45</v>
      </c>
      <c r="D2142" s="2">
        <v>2</v>
      </c>
      <c r="E2142" s="3">
        <v>0.03</v>
      </c>
    </row>
    <row r="2143" spans="1:5" x14ac:dyDescent="0.2">
      <c r="A2143">
        <v>11077</v>
      </c>
      <c r="B2143">
        <v>20</v>
      </c>
      <c r="C2143" s="2">
        <v>81</v>
      </c>
      <c r="D2143" s="2">
        <v>1</v>
      </c>
      <c r="E2143" s="3">
        <v>0.04</v>
      </c>
    </row>
    <row r="2144" spans="1:5" x14ac:dyDescent="0.2">
      <c r="A2144">
        <v>11077</v>
      </c>
      <c r="B2144">
        <v>23</v>
      </c>
      <c r="C2144" s="2">
        <v>9</v>
      </c>
      <c r="D2144" s="2">
        <v>2</v>
      </c>
      <c r="E2144" s="3">
        <v>0</v>
      </c>
    </row>
    <row r="2145" spans="1:5" x14ac:dyDescent="0.2">
      <c r="A2145">
        <v>11077</v>
      </c>
      <c r="B2145">
        <v>32</v>
      </c>
      <c r="C2145" s="2">
        <v>32</v>
      </c>
      <c r="D2145" s="2">
        <v>1</v>
      </c>
      <c r="E2145" s="3">
        <v>0</v>
      </c>
    </row>
    <row r="2146" spans="1:5" x14ac:dyDescent="0.2">
      <c r="A2146">
        <v>11077</v>
      </c>
      <c r="B2146">
        <v>39</v>
      </c>
      <c r="C2146" s="2">
        <v>18</v>
      </c>
      <c r="D2146" s="2">
        <v>2</v>
      </c>
      <c r="E2146" s="3">
        <v>0.05</v>
      </c>
    </row>
    <row r="2147" spans="1:5" x14ac:dyDescent="0.2">
      <c r="A2147">
        <v>11077</v>
      </c>
      <c r="B2147">
        <v>41</v>
      </c>
      <c r="C2147" s="2">
        <v>9.65</v>
      </c>
      <c r="D2147" s="2">
        <v>3</v>
      </c>
      <c r="E2147" s="3">
        <v>0</v>
      </c>
    </row>
    <row r="2148" spans="1:5" x14ac:dyDescent="0.2">
      <c r="A2148">
        <v>11077</v>
      </c>
      <c r="B2148">
        <v>46</v>
      </c>
      <c r="C2148" s="2">
        <v>12</v>
      </c>
      <c r="D2148" s="2">
        <v>3</v>
      </c>
      <c r="E2148" s="3">
        <v>0.02</v>
      </c>
    </row>
    <row r="2149" spans="1:5" x14ac:dyDescent="0.2">
      <c r="A2149">
        <v>11077</v>
      </c>
      <c r="B2149">
        <v>52</v>
      </c>
      <c r="C2149" s="2">
        <v>7</v>
      </c>
      <c r="D2149" s="2">
        <v>2</v>
      </c>
      <c r="E2149" s="3">
        <v>0</v>
      </c>
    </row>
    <row r="2150" spans="1:5" x14ac:dyDescent="0.2">
      <c r="A2150">
        <v>11077</v>
      </c>
      <c r="B2150">
        <v>55</v>
      </c>
      <c r="C2150" s="2">
        <v>24</v>
      </c>
      <c r="D2150" s="2">
        <v>2</v>
      </c>
      <c r="E2150" s="3">
        <v>0</v>
      </c>
    </row>
    <row r="2151" spans="1:5" x14ac:dyDescent="0.2">
      <c r="A2151">
        <v>11077</v>
      </c>
      <c r="B2151">
        <v>60</v>
      </c>
      <c r="C2151" s="2">
        <v>34</v>
      </c>
      <c r="D2151" s="2">
        <v>2</v>
      </c>
      <c r="E2151" s="3">
        <v>0.06</v>
      </c>
    </row>
    <row r="2152" spans="1:5" x14ac:dyDescent="0.2">
      <c r="A2152">
        <v>11077</v>
      </c>
      <c r="B2152">
        <v>64</v>
      </c>
      <c r="C2152" s="2">
        <v>33.25</v>
      </c>
      <c r="D2152" s="2">
        <v>2</v>
      </c>
      <c r="E2152" s="3">
        <v>0.03</v>
      </c>
    </row>
    <row r="2153" spans="1:5" x14ac:dyDescent="0.2">
      <c r="A2153">
        <v>11077</v>
      </c>
      <c r="B2153">
        <v>66</v>
      </c>
      <c r="C2153" s="2">
        <v>17</v>
      </c>
      <c r="D2153" s="2">
        <v>1</v>
      </c>
      <c r="E2153" s="3">
        <v>0</v>
      </c>
    </row>
    <row r="2154" spans="1:5" x14ac:dyDescent="0.2">
      <c r="A2154">
        <v>11077</v>
      </c>
      <c r="B2154">
        <v>73</v>
      </c>
      <c r="C2154" s="2">
        <v>15</v>
      </c>
      <c r="D2154" s="2">
        <v>2</v>
      </c>
      <c r="E2154" s="3">
        <v>0.01</v>
      </c>
    </row>
    <row r="2155" spans="1:5" x14ac:dyDescent="0.2">
      <c r="A2155">
        <v>11077</v>
      </c>
      <c r="B2155">
        <v>75</v>
      </c>
      <c r="C2155" s="2">
        <v>7.75</v>
      </c>
      <c r="D2155" s="2">
        <v>4</v>
      </c>
      <c r="E2155" s="3">
        <v>0</v>
      </c>
    </row>
    <row r="2156" spans="1:5" x14ac:dyDescent="0.2">
      <c r="A2156">
        <v>11077</v>
      </c>
      <c r="B2156">
        <v>77</v>
      </c>
      <c r="C2156" s="2">
        <v>13</v>
      </c>
      <c r="D2156" s="2">
        <v>2</v>
      </c>
      <c r="E2156" s="3">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60080-BFE3-2846-B469-70303FAE9039}">
  <dimension ref="A1:J78"/>
  <sheetViews>
    <sheetView zoomScale="200" workbookViewId="0">
      <selection sqref="A1:J78"/>
    </sheetView>
  </sheetViews>
  <sheetFormatPr baseColWidth="10" defaultRowHeight="16" x14ac:dyDescent="0.2"/>
  <cols>
    <col min="1" max="1" width="10.1640625" customWidth="1"/>
    <col min="2" max="2" width="29.33203125" bestFit="1" customWidth="1"/>
    <col min="3" max="3" width="10.5" customWidth="1"/>
    <col min="5" max="5" width="15" customWidth="1"/>
    <col min="7" max="7" width="12.5" customWidth="1"/>
    <col min="8" max="8" width="13.1640625" customWidth="1"/>
    <col min="9" max="9" width="12.33203125" customWidth="1"/>
    <col min="10" max="10" width="12.83203125" customWidth="1"/>
  </cols>
  <sheetData>
    <row r="1" spans="1:10" x14ac:dyDescent="0.2">
      <c r="A1" t="s">
        <v>417</v>
      </c>
      <c r="B1" t="s">
        <v>815</v>
      </c>
      <c r="C1" t="s">
        <v>816</v>
      </c>
      <c r="D1" t="s">
        <v>817</v>
      </c>
      <c r="E1" t="s">
        <v>818</v>
      </c>
      <c r="F1" t="s">
        <v>418</v>
      </c>
      <c r="G1" t="s">
        <v>819</v>
      </c>
      <c r="H1" t="s">
        <v>820</v>
      </c>
      <c r="I1" t="s">
        <v>821</v>
      </c>
      <c r="J1" t="s">
        <v>822</v>
      </c>
    </row>
    <row r="2" spans="1:10" x14ac:dyDescent="0.2">
      <c r="A2">
        <v>1</v>
      </c>
      <c r="B2" t="s">
        <v>823</v>
      </c>
      <c r="C2">
        <v>1</v>
      </c>
      <c r="D2">
        <v>1</v>
      </c>
      <c r="E2" t="s">
        <v>824</v>
      </c>
      <c r="F2" s="2">
        <v>18</v>
      </c>
      <c r="G2">
        <v>39</v>
      </c>
      <c r="H2">
        <v>0</v>
      </c>
      <c r="I2">
        <v>10</v>
      </c>
      <c r="J2">
        <v>0</v>
      </c>
    </row>
    <row r="3" spans="1:10" x14ac:dyDescent="0.2">
      <c r="A3">
        <v>2</v>
      </c>
      <c r="B3" t="s">
        <v>825</v>
      </c>
      <c r="C3">
        <v>1</v>
      </c>
      <c r="D3">
        <v>1</v>
      </c>
      <c r="E3" t="s">
        <v>826</v>
      </c>
      <c r="F3" s="2">
        <v>19</v>
      </c>
      <c r="G3">
        <v>17</v>
      </c>
      <c r="H3">
        <v>40</v>
      </c>
      <c r="I3">
        <v>25</v>
      </c>
      <c r="J3">
        <v>0</v>
      </c>
    </row>
    <row r="4" spans="1:10" x14ac:dyDescent="0.2">
      <c r="A4">
        <v>3</v>
      </c>
      <c r="B4" t="s">
        <v>827</v>
      </c>
      <c r="C4">
        <v>1</v>
      </c>
      <c r="D4">
        <v>2</v>
      </c>
      <c r="E4" t="s">
        <v>828</v>
      </c>
      <c r="F4" s="2">
        <v>10</v>
      </c>
      <c r="G4">
        <v>13</v>
      </c>
      <c r="H4">
        <v>70</v>
      </c>
      <c r="I4">
        <v>25</v>
      </c>
      <c r="J4">
        <v>0</v>
      </c>
    </row>
    <row r="5" spans="1:10" x14ac:dyDescent="0.2">
      <c r="A5">
        <v>4</v>
      </c>
      <c r="B5" t="s">
        <v>829</v>
      </c>
      <c r="C5">
        <v>2</v>
      </c>
      <c r="D5">
        <v>2</v>
      </c>
      <c r="E5" t="s">
        <v>830</v>
      </c>
      <c r="F5" s="2">
        <v>22</v>
      </c>
      <c r="G5">
        <v>53</v>
      </c>
      <c r="H5">
        <v>0</v>
      </c>
      <c r="I5">
        <v>0</v>
      </c>
      <c r="J5">
        <v>0</v>
      </c>
    </row>
    <row r="6" spans="1:10" x14ac:dyDescent="0.2">
      <c r="A6">
        <v>5</v>
      </c>
      <c r="B6" t="s">
        <v>831</v>
      </c>
      <c r="C6">
        <v>2</v>
      </c>
      <c r="D6">
        <v>2</v>
      </c>
      <c r="E6" t="s">
        <v>832</v>
      </c>
      <c r="F6" s="2">
        <v>21.35</v>
      </c>
      <c r="G6">
        <v>0</v>
      </c>
      <c r="H6">
        <v>0</v>
      </c>
      <c r="I6">
        <v>0</v>
      </c>
      <c r="J6">
        <v>1</v>
      </c>
    </row>
    <row r="7" spans="1:10" x14ac:dyDescent="0.2">
      <c r="A7">
        <v>6</v>
      </c>
      <c r="B7" t="s">
        <v>833</v>
      </c>
      <c r="C7">
        <v>3</v>
      </c>
      <c r="D7">
        <v>2</v>
      </c>
      <c r="E7" t="s">
        <v>834</v>
      </c>
      <c r="F7" s="2">
        <v>25</v>
      </c>
      <c r="G7">
        <v>120</v>
      </c>
      <c r="H7">
        <v>0</v>
      </c>
      <c r="I7">
        <v>25</v>
      </c>
      <c r="J7">
        <v>0</v>
      </c>
    </row>
    <row r="8" spans="1:10" x14ac:dyDescent="0.2">
      <c r="A8">
        <v>7</v>
      </c>
      <c r="B8" t="s">
        <v>835</v>
      </c>
      <c r="C8">
        <v>3</v>
      </c>
      <c r="D8">
        <v>7</v>
      </c>
      <c r="E8" t="s">
        <v>836</v>
      </c>
      <c r="F8" s="2">
        <v>30</v>
      </c>
      <c r="G8">
        <v>15</v>
      </c>
      <c r="H8">
        <v>0</v>
      </c>
      <c r="I8">
        <v>10</v>
      </c>
      <c r="J8">
        <v>0</v>
      </c>
    </row>
    <row r="9" spans="1:10" x14ac:dyDescent="0.2">
      <c r="A9">
        <v>8</v>
      </c>
      <c r="B9" t="s">
        <v>837</v>
      </c>
      <c r="C9">
        <v>3</v>
      </c>
      <c r="D9">
        <v>2</v>
      </c>
      <c r="E9" t="s">
        <v>838</v>
      </c>
      <c r="F9" s="2">
        <v>40</v>
      </c>
      <c r="G9">
        <v>6</v>
      </c>
      <c r="H9">
        <v>0</v>
      </c>
      <c r="I9">
        <v>0</v>
      </c>
      <c r="J9">
        <v>0</v>
      </c>
    </row>
    <row r="10" spans="1:10" x14ac:dyDescent="0.2">
      <c r="A10">
        <v>9</v>
      </c>
      <c r="B10" t="s">
        <v>839</v>
      </c>
      <c r="C10">
        <v>4</v>
      </c>
      <c r="D10">
        <v>6</v>
      </c>
      <c r="E10" t="s">
        <v>840</v>
      </c>
      <c r="F10" s="2">
        <v>97</v>
      </c>
      <c r="G10">
        <v>29</v>
      </c>
      <c r="H10">
        <v>0</v>
      </c>
      <c r="I10">
        <v>0</v>
      </c>
      <c r="J10">
        <v>1</v>
      </c>
    </row>
    <row r="11" spans="1:10" x14ac:dyDescent="0.2">
      <c r="A11">
        <v>10</v>
      </c>
      <c r="B11" t="s">
        <v>841</v>
      </c>
      <c r="C11">
        <v>4</v>
      </c>
      <c r="D11">
        <v>8</v>
      </c>
      <c r="E11" t="s">
        <v>842</v>
      </c>
      <c r="F11" s="2">
        <v>31</v>
      </c>
      <c r="G11">
        <v>31</v>
      </c>
      <c r="H11">
        <v>0</v>
      </c>
      <c r="I11">
        <v>0</v>
      </c>
      <c r="J11">
        <v>0</v>
      </c>
    </row>
    <row r="12" spans="1:10" x14ac:dyDescent="0.2">
      <c r="A12">
        <v>11</v>
      </c>
      <c r="B12" t="s">
        <v>843</v>
      </c>
      <c r="C12">
        <v>5</v>
      </c>
      <c r="D12">
        <v>4</v>
      </c>
      <c r="E12" t="s">
        <v>844</v>
      </c>
      <c r="F12" s="2">
        <v>21</v>
      </c>
      <c r="G12">
        <v>22</v>
      </c>
      <c r="H12">
        <v>30</v>
      </c>
      <c r="I12">
        <v>30</v>
      </c>
      <c r="J12">
        <v>0</v>
      </c>
    </row>
    <row r="13" spans="1:10" x14ac:dyDescent="0.2">
      <c r="A13">
        <v>12</v>
      </c>
      <c r="B13" t="s">
        <v>845</v>
      </c>
      <c r="C13">
        <v>5</v>
      </c>
      <c r="D13">
        <v>4</v>
      </c>
      <c r="E13" t="s">
        <v>846</v>
      </c>
      <c r="F13" s="2">
        <v>38</v>
      </c>
      <c r="G13">
        <v>86</v>
      </c>
      <c r="H13">
        <v>0</v>
      </c>
      <c r="I13">
        <v>0</v>
      </c>
      <c r="J13">
        <v>0</v>
      </c>
    </row>
    <row r="14" spans="1:10" x14ac:dyDescent="0.2">
      <c r="A14">
        <v>13</v>
      </c>
      <c r="B14" t="s">
        <v>847</v>
      </c>
      <c r="C14">
        <v>6</v>
      </c>
      <c r="D14">
        <v>8</v>
      </c>
      <c r="E14" t="s">
        <v>848</v>
      </c>
      <c r="F14" s="2">
        <v>6</v>
      </c>
      <c r="G14">
        <v>24</v>
      </c>
      <c r="H14">
        <v>0</v>
      </c>
      <c r="I14">
        <v>5</v>
      </c>
      <c r="J14">
        <v>0</v>
      </c>
    </row>
    <row r="15" spans="1:10" x14ac:dyDescent="0.2">
      <c r="A15">
        <v>14</v>
      </c>
      <c r="B15" t="s">
        <v>849</v>
      </c>
      <c r="C15">
        <v>6</v>
      </c>
      <c r="D15">
        <v>7</v>
      </c>
      <c r="E15" t="s">
        <v>850</v>
      </c>
      <c r="F15" s="2">
        <v>23.25</v>
      </c>
      <c r="G15">
        <v>35</v>
      </c>
      <c r="H15">
        <v>0</v>
      </c>
      <c r="I15">
        <v>0</v>
      </c>
      <c r="J15">
        <v>0</v>
      </c>
    </row>
    <row r="16" spans="1:10" x14ac:dyDescent="0.2">
      <c r="A16">
        <v>15</v>
      </c>
      <c r="B16" t="s">
        <v>851</v>
      </c>
      <c r="C16">
        <v>6</v>
      </c>
      <c r="D16">
        <v>2</v>
      </c>
      <c r="E16" t="s">
        <v>852</v>
      </c>
      <c r="F16" s="2">
        <v>15.5</v>
      </c>
      <c r="G16">
        <v>39</v>
      </c>
      <c r="H16">
        <v>0</v>
      </c>
      <c r="I16">
        <v>5</v>
      </c>
      <c r="J16">
        <v>0</v>
      </c>
    </row>
    <row r="17" spans="1:10" x14ac:dyDescent="0.2">
      <c r="A17">
        <v>16</v>
      </c>
      <c r="B17" t="s">
        <v>853</v>
      </c>
      <c r="C17">
        <v>7</v>
      </c>
      <c r="D17">
        <v>3</v>
      </c>
      <c r="E17" t="s">
        <v>854</v>
      </c>
      <c r="F17" s="2">
        <v>17.45</v>
      </c>
      <c r="G17">
        <v>29</v>
      </c>
      <c r="H17">
        <v>0</v>
      </c>
      <c r="I17">
        <v>10</v>
      </c>
      <c r="J17">
        <v>0</v>
      </c>
    </row>
    <row r="18" spans="1:10" x14ac:dyDescent="0.2">
      <c r="A18">
        <v>17</v>
      </c>
      <c r="B18" t="s">
        <v>855</v>
      </c>
      <c r="C18">
        <v>7</v>
      </c>
      <c r="D18">
        <v>6</v>
      </c>
      <c r="E18" t="s">
        <v>856</v>
      </c>
      <c r="F18" s="2">
        <v>39</v>
      </c>
      <c r="G18">
        <v>0</v>
      </c>
      <c r="H18">
        <v>0</v>
      </c>
      <c r="I18">
        <v>0</v>
      </c>
      <c r="J18">
        <v>1</v>
      </c>
    </row>
    <row r="19" spans="1:10" x14ac:dyDescent="0.2">
      <c r="A19">
        <v>18</v>
      </c>
      <c r="B19" t="s">
        <v>857</v>
      </c>
      <c r="C19">
        <v>7</v>
      </c>
      <c r="D19">
        <v>8</v>
      </c>
      <c r="E19" t="s">
        <v>858</v>
      </c>
      <c r="F19" s="2">
        <v>62.5</v>
      </c>
      <c r="G19">
        <v>42</v>
      </c>
      <c r="H19">
        <v>0</v>
      </c>
      <c r="I19">
        <v>0</v>
      </c>
      <c r="J19">
        <v>0</v>
      </c>
    </row>
    <row r="20" spans="1:10" x14ac:dyDescent="0.2">
      <c r="A20">
        <v>19</v>
      </c>
      <c r="B20" t="s">
        <v>859</v>
      </c>
      <c r="C20">
        <v>8</v>
      </c>
      <c r="D20">
        <v>3</v>
      </c>
      <c r="E20" t="s">
        <v>860</v>
      </c>
      <c r="F20" s="2">
        <v>9.1999999999999993</v>
      </c>
      <c r="G20">
        <v>25</v>
      </c>
      <c r="H20">
        <v>0</v>
      </c>
      <c r="I20">
        <v>5</v>
      </c>
      <c r="J20">
        <v>0</v>
      </c>
    </row>
    <row r="21" spans="1:10" x14ac:dyDescent="0.2">
      <c r="A21">
        <v>20</v>
      </c>
      <c r="B21" t="s">
        <v>861</v>
      </c>
      <c r="C21">
        <v>8</v>
      </c>
      <c r="D21">
        <v>3</v>
      </c>
      <c r="E21" t="s">
        <v>862</v>
      </c>
      <c r="F21" s="2">
        <v>81</v>
      </c>
      <c r="G21">
        <v>40</v>
      </c>
      <c r="H21">
        <v>0</v>
      </c>
      <c r="I21">
        <v>0</v>
      </c>
      <c r="J21">
        <v>0</v>
      </c>
    </row>
    <row r="22" spans="1:10" x14ac:dyDescent="0.2">
      <c r="A22">
        <v>21</v>
      </c>
      <c r="B22" t="s">
        <v>863</v>
      </c>
      <c r="C22">
        <v>8</v>
      </c>
      <c r="D22">
        <v>3</v>
      </c>
      <c r="E22" t="s">
        <v>864</v>
      </c>
      <c r="F22" s="2">
        <v>10</v>
      </c>
      <c r="G22">
        <v>3</v>
      </c>
      <c r="H22">
        <v>40</v>
      </c>
      <c r="I22">
        <v>5</v>
      </c>
      <c r="J22">
        <v>0</v>
      </c>
    </row>
    <row r="23" spans="1:10" x14ac:dyDescent="0.2">
      <c r="A23">
        <v>22</v>
      </c>
      <c r="B23" t="s">
        <v>865</v>
      </c>
      <c r="C23">
        <v>9</v>
      </c>
      <c r="D23">
        <v>5</v>
      </c>
      <c r="E23" t="s">
        <v>866</v>
      </c>
      <c r="F23" s="2">
        <v>21</v>
      </c>
      <c r="G23">
        <v>104</v>
      </c>
      <c r="H23">
        <v>0</v>
      </c>
      <c r="I23">
        <v>25</v>
      </c>
      <c r="J23">
        <v>0</v>
      </c>
    </row>
    <row r="24" spans="1:10" x14ac:dyDescent="0.2">
      <c r="A24">
        <v>23</v>
      </c>
      <c r="B24" t="s">
        <v>867</v>
      </c>
      <c r="C24">
        <v>9</v>
      </c>
      <c r="D24">
        <v>5</v>
      </c>
      <c r="E24" t="s">
        <v>868</v>
      </c>
      <c r="F24" s="2">
        <v>9</v>
      </c>
      <c r="G24">
        <v>61</v>
      </c>
      <c r="H24">
        <v>0</v>
      </c>
      <c r="I24">
        <v>25</v>
      </c>
      <c r="J24">
        <v>0</v>
      </c>
    </row>
    <row r="25" spans="1:10" x14ac:dyDescent="0.2">
      <c r="A25">
        <v>24</v>
      </c>
      <c r="B25" t="s">
        <v>869</v>
      </c>
      <c r="C25">
        <v>10</v>
      </c>
      <c r="D25">
        <v>1</v>
      </c>
      <c r="E25" t="s">
        <v>870</v>
      </c>
      <c r="F25" s="2">
        <v>4.5</v>
      </c>
      <c r="G25">
        <v>20</v>
      </c>
      <c r="H25">
        <v>0</v>
      </c>
      <c r="I25">
        <v>0</v>
      </c>
      <c r="J25">
        <v>1</v>
      </c>
    </row>
    <row r="26" spans="1:10" x14ac:dyDescent="0.2">
      <c r="A26">
        <v>25</v>
      </c>
      <c r="B26" t="s">
        <v>871</v>
      </c>
      <c r="C26">
        <v>11</v>
      </c>
      <c r="D26">
        <v>3</v>
      </c>
      <c r="E26" t="s">
        <v>872</v>
      </c>
      <c r="F26" s="2">
        <v>14</v>
      </c>
      <c r="G26">
        <v>76</v>
      </c>
      <c r="H26">
        <v>0</v>
      </c>
      <c r="I26">
        <v>30</v>
      </c>
      <c r="J26">
        <v>0</v>
      </c>
    </row>
    <row r="27" spans="1:10" x14ac:dyDescent="0.2">
      <c r="A27">
        <v>26</v>
      </c>
      <c r="B27" t="s">
        <v>873</v>
      </c>
      <c r="C27">
        <v>11</v>
      </c>
      <c r="D27">
        <v>3</v>
      </c>
      <c r="E27" t="s">
        <v>874</v>
      </c>
      <c r="F27" s="2">
        <v>31.23</v>
      </c>
      <c r="G27">
        <v>15</v>
      </c>
      <c r="H27">
        <v>0</v>
      </c>
      <c r="I27">
        <v>0</v>
      </c>
      <c r="J27">
        <v>0</v>
      </c>
    </row>
    <row r="28" spans="1:10" x14ac:dyDescent="0.2">
      <c r="A28">
        <v>27</v>
      </c>
      <c r="B28" t="s">
        <v>875</v>
      </c>
      <c r="C28">
        <v>11</v>
      </c>
      <c r="D28">
        <v>3</v>
      </c>
      <c r="E28" t="s">
        <v>876</v>
      </c>
      <c r="F28" s="2">
        <v>43.9</v>
      </c>
      <c r="G28">
        <v>49</v>
      </c>
      <c r="H28">
        <v>0</v>
      </c>
      <c r="I28">
        <v>30</v>
      </c>
      <c r="J28">
        <v>0</v>
      </c>
    </row>
    <row r="29" spans="1:10" x14ac:dyDescent="0.2">
      <c r="A29">
        <v>28</v>
      </c>
      <c r="B29" t="s">
        <v>877</v>
      </c>
      <c r="C29">
        <v>12</v>
      </c>
      <c r="D29">
        <v>7</v>
      </c>
      <c r="E29" t="s">
        <v>878</v>
      </c>
      <c r="F29" s="2">
        <v>45.6</v>
      </c>
      <c r="G29">
        <v>26</v>
      </c>
      <c r="H29">
        <v>0</v>
      </c>
      <c r="I29">
        <v>0</v>
      </c>
      <c r="J29">
        <v>1</v>
      </c>
    </row>
    <row r="30" spans="1:10" x14ac:dyDescent="0.2">
      <c r="A30">
        <v>29</v>
      </c>
      <c r="B30" t="s">
        <v>879</v>
      </c>
      <c r="C30">
        <v>12</v>
      </c>
      <c r="D30">
        <v>6</v>
      </c>
      <c r="E30" t="s">
        <v>880</v>
      </c>
      <c r="F30" s="2">
        <v>123.79</v>
      </c>
      <c r="G30">
        <v>0</v>
      </c>
      <c r="H30">
        <v>0</v>
      </c>
      <c r="I30">
        <v>0</v>
      </c>
      <c r="J30">
        <v>1</v>
      </c>
    </row>
    <row r="31" spans="1:10" x14ac:dyDescent="0.2">
      <c r="A31">
        <v>30</v>
      </c>
      <c r="B31" t="s">
        <v>881</v>
      </c>
      <c r="C31">
        <v>13</v>
      </c>
      <c r="D31">
        <v>8</v>
      </c>
      <c r="E31" t="s">
        <v>882</v>
      </c>
      <c r="F31" s="2">
        <v>25.89</v>
      </c>
      <c r="G31">
        <v>10</v>
      </c>
      <c r="H31">
        <v>0</v>
      </c>
      <c r="I31">
        <v>15</v>
      </c>
      <c r="J31">
        <v>0</v>
      </c>
    </row>
    <row r="32" spans="1:10" x14ac:dyDescent="0.2">
      <c r="A32">
        <v>31</v>
      </c>
      <c r="B32" t="s">
        <v>883</v>
      </c>
      <c r="C32">
        <v>14</v>
      </c>
      <c r="D32">
        <v>4</v>
      </c>
      <c r="E32" t="s">
        <v>884</v>
      </c>
      <c r="F32" s="2">
        <v>12.5</v>
      </c>
      <c r="G32">
        <v>0</v>
      </c>
      <c r="H32">
        <v>70</v>
      </c>
      <c r="I32">
        <v>20</v>
      </c>
      <c r="J32">
        <v>0</v>
      </c>
    </row>
    <row r="33" spans="1:10" x14ac:dyDescent="0.2">
      <c r="A33">
        <v>32</v>
      </c>
      <c r="B33" t="s">
        <v>885</v>
      </c>
      <c r="C33">
        <v>14</v>
      </c>
      <c r="D33">
        <v>4</v>
      </c>
      <c r="E33" t="s">
        <v>886</v>
      </c>
      <c r="F33" s="2">
        <v>32</v>
      </c>
      <c r="G33">
        <v>9</v>
      </c>
      <c r="H33">
        <v>40</v>
      </c>
      <c r="I33">
        <v>25</v>
      </c>
      <c r="J33">
        <v>0</v>
      </c>
    </row>
    <row r="34" spans="1:10" x14ac:dyDescent="0.2">
      <c r="A34">
        <v>33</v>
      </c>
      <c r="B34" t="s">
        <v>887</v>
      </c>
      <c r="C34">
        <v>15</v>
      </c>
      <c r="D34">
        <v>4</v>
      </c>
      <c r="E34" t="s">
        <v>888</v>
      </c>
      <c r="F34" s="2">
        <v>2.5</v>
      </c>
      <c r="G34">
        <v>112</v>
      </c>
      <c r="H34">
        <v>0</v>
      </c>
      <c r="I34">
        <v>20</v>
      </c>
      <c r="J34">
        <v>0</v>
      </c>
    </row>
    <row r="35" spans="1:10" x14ac:dyDescent="0.2">
      <c r="A35">
        <v>34</v>
      </c>
      <c r="B35" t="s">
        <v>889</v>
      </c>
      <c r="C35">
        <v>16</v>
      </c>
      <c r="D35">
        <v>1</v>
      </c>
      <c r="E35" t="s">
        <v>826</v>
      </c>
      <c r="F35" s="2">
        <v>14</v>
      </c>
      <c r="G35">
        <v>111</v>
      </c>
      <c r="H35">
        <v>0</v>
      </c>
      <c r="I35">
        <v>15</v>
      </c>
      <c r="J35">
        <v>0</v>
      </c>
    </row>
    <row r="36" spans="1:10" x14ac:dyDescent="0.2">
      <c r="A36">
        <v>35</v>
      </c>
      <c r="B36" t="s">
        <v>890</v>
      </c>
      <c r="C36">
        <v>16</v>
      </c>
      <c r="D36">
        <v>1</v>
      </c>
      <c r="E36" t="s">
        <v>826</v>
      </c>
      <c r="F36" s="2">
        <v>18</v>
      </c>
      <c r="G36">
        <v>20</v>
      </c>
      <c r="H36">
        <v>0</v>
      </c>
      <c r="I36">
        <v>15</v>
      </c>
      <c r="J36">
        <v>0</v>
      </c>
    </row>
    <row r="37" spans="1:10" x14ac:dyDescent="0.2">
      <c r="A37">
        <v>36</v>
      </c>
      <c r="B37" t="s">
        <v>891</v>
      </c>
      <c r="C37">
        <v>17</v>
      </c>
      <c r="D37">
        <v>8</v>
      </c>
      <c r="E37" t="s">
        <v>892</v>
      </c>
      <c r="F37" s="2">
        <v>19</v>
      </c>
      <c r="G37">
        <v>112</v>
      </c>
      <c r="H37">
        <v>0</v>
      </c>
      <c r="I37">
        <v>20</v>
      </c>
      <c r="J37">
        <v>0</v>
      </c>
    </row>
    <row r="38" spans="1:10" x14ac:dyDescent="0.2">
      <c r="A38">
        <v>37</v>
      </c>
      <c r="B38" t="s">
        <v>893</v>
      </c>
      <c r="C38">
        <v>17</v>
      </c>
      <c r="D38">
        <v>8</v>
      </c>
      <c r="E38" t="s">
        <v>894</v>
      </c>
      <c r="F38" s="2">
        <v>26</v>
      </c>
      <c r="G38">
        <v>11</v>
      </c>
      <c r="H38">
        <v>50</v>
      </c>
      <c r="I38">
        <v>25</v>
      </c>
      <c r="J38">
        <v>0</v>
      </c>
    </row>
    <row r="39" spans="1:10" x14ac:dyDescent="0.2">
      <c r="A39">
        <v>38</v>
      </c>
      <c r="B39" t="s">
        <v>895</v>
      </c>
      <c r="C39">
        <v>18</v>
      </c>
      <c r="D39">
        <v>1</v>
      </c>
      <c r="E39" t="s">
        <v>896</v>
      </c>
      <c r="F39" s="2">
        <v>263.5</v>
      </c>
      <c r="G39">
        <v>17</v>
      </c>
      <c r="H39">
        <v>0</v>
      </c>
      <c r="I39">
        <v>15</v>
      </c>
      <c r="J39">
        <v>0</v>
      </c>
    </row>
    <row r="40" spans="1:10" x14ac:dyDescent="0.2">
      <c r="A40">
        <v>39</v>
      </c>
      <c r="B40" t="s">
        <v>897</v>
      </c>
      <c r="C40">
        <v>18</v>
      </c>
      <c r="D40">
        <v>1</v>
      </c>
      <c r="E40" t="s">
        <v>898</v>
      </c>
      <c r="F40" s="2">
        <v>18</v>
      </c>
      <c r="G40">
        <v>69</v>
      </c>
      <c r="H40">
        <v>0</v>
      </c>
      <c r="I40">
        <v>5</v>
      </c>
      <c r="J40">
        <v>0</v>
      </c>
    </row>
    <row r="41" spans="1:10" x14ac:dyDescent="0.2">
      <c r="A41">
        <v>40</v>
      </c>
      <c r="B41" t="s">
        <v>899</v>
      </c>
      <c r="C41">
        <v>19</v>
      </c>
      <c r="D41">
        <v>8</v>
      </c>
      <c r="E41" t="s">
        <v>900</v>
      </c>
      <c r="F41" s="2">
        <v>18.399999999999999</v>
      </c>
      <c r="G41">
        <v>123</v>
      </c>
      <c r="H41">
        <v>0</v>
      </c>
      <c r="I41">
        <v>30</v>
      </c>
      <c r="J41">
        <v>0</v>
      </c>
    </row>
    <row r="42" spans="1:10" x14ac:dyDescent="0.2">
      <c r="A42">
        <v>41</v>
      </c>
      <c r="B42" t="s">
        <v>901</v>
      </c>
      <c r="C42">
        <v>19</v>
      </c>
      <c r="D42">
        <v>8</v>
      </c>
      <c r="E42" t="s">
        <v>902</v>
      </c>
      <c r="F42" s="2">
        <v>9.65</v>
      </c>
      <c r="G42">
        <v>85</v>
      </c>
      <c r="H42">
        <v>0</v>
      </c>
      <c r="I42">
        <v>10</v>
      </c>
      <c r="J42">
        <v>0</v>
      </c>
    </row>
    <row r="43" spans="1:10" x14ac:dyDescent="0.2">
      <c r="A43">
        <v>42</v>
      </c>
      <c r="B43" t="s">
        <v>903</v>
      </c>
      <c r="C43">
        <v>20</v>
      </c>
      <c r="D43">
        <v>5</v>
      </c>
      <c r="E43" t="s">
        <v>904</v>
      </c>
      <c r="F43" s="2">
        <v>14</v>
      </c>
      <c r="G43">
        <v>26</v>
      </c>
      <c r="H43">
        <v>0</v>
      </c>
      <c r="I43">
        <v>0</v>
      </c>
      <c r="J43">
        <v>1</v>
      </c>
    </row>
    <row r="44" spans="1:10" x14ac:dyDescent="0.2">
      <c r="A44">
        <v>43</v>
      </c>
      <c r="B44" t="s">
        <v>905</v>
      </c>
      <c r="C44">
        <v>20</v>
      </c>
      <c r="D44">
        <v>1</v>
      </c>
      <c r="E44" t="s">
        <v>906</v>
      </c>
      <c r="F44" s="2">
        <v>46</v>
      </c>
      <c r="G44">
        <v>17</v>
      </c>
      <c r="H44">
        <v>10</v>
      </c>
      <c r="I44">
        <v>25</v>
      </c>
      <c r="J44">
        <v>0</v>
      </c>
    </row>
    <row r="45" spans="1:10" x14ac:dyDescent="0.2">
      <c r="A45">
        <v>44</v>
      </c>
      <c r="B45" t="s">
        <v>907</v>
      </c>
      <c r="C45">
        <v>20</v>
      </c>
      <c r="D45">
        <v>2</v>
      </c>
      <c r="E45" t="s">
        <v>908</v>
      </c>
      <c r="F45" s="2">
        <v>19.45</v>
      </c>
      <c r="G45">
        <v>27</v>
      </c>
      <c r="H45">
        <v>0</v>
      </c>
      <c r="I45">
        <v>15</v>
      </c>
      <c r="J45">
        <v>0</v>
      </c>
    </row>
    <row r="46" spans="1:10" x14ac:dyDescent="0.2">
      <c r="A46">
        <v>45</v>
      </c>
      <c r="B46" t="s">
        <v>909</v>
      </c>
      <c r="C46">
        <v>21</v>
      </c>
      <c r="D46">
        <v>8</v>
      </c>
      <c r="E46" t="s">
        <v>910</v>
      </c>
      <c r="F46" s="2">
        <v>9.5</v>
      </c>
      <c r="G46">
        <v>5</v>
      </c>
      <c r="H46">
        <v>70</v>
      </c>
      <c r="I46">
        <v>15</v>
      </c>
      <c r="J46">
        <v>0</v>
      </c>
    </row>
    <row r="47" spans="1:10" x14ac:dyDescent="0.2">
      <c r="A47">
        <v>46</v>
      </c>
      <c r="B47" t="s">
        <v>911</v>
      </c>
      <c r="C47">
        <v>21</v>
      </c>
      <c r="D47">
        <v>8</v>
      </c>
      <c r="E47" t="s">
        <v>912</v>
      </c>
      <c r="F47" s="2">
        <v>12</v>
      </c>
      <c r="G47">
        <v>95</v>
      </c>
      <c r="H47">
        <v>0</v>
      </c>
      <c r="I47">
        <v>0</v>
      </c>
      <c r="J47">
        <v>0</v>
      </c>
    </row>
    <row r="48" spans="1:10" x14ac:dyDescent="0.2">
      <c r="A48">
        <v>47</v>
      </c>
      <c r="B48" t="s">
        <v>913</v>
      </c>
      <c r="C48">
        <v>22</v>
      </c>
      <c r="D48">
        <v>3</v>
      </c>
      <c r="E48" t="s">
        <v>914</v>
      </c>
      <c r="F48" s="2">
        <v>9.5</v>
      </c>
      <c r="G48">
        <v>36</v>
      </c>
      <c r="H48">
        <v>0</v>
      </c>
      <c r="I48">
        <v>0</v>
      </c>
      <c r="J48">
        <v>0</v>
      </c>
    </row>
    <row r="49" spans="1:10" x14ac:dyDescent="0.2">
      <c r="A49">
        <v>48</v>
      </c>
      <c r="B49" t="s">
        <v>915</v>
      </c>
      <c r="C49">
        <v>22</v>
      </c>
      <c r="D49">
        <v>3</v>
      </c>
      <c r="E49" t="s">
        <v>916</v>
      </c>
      <c r="F49" s="2">
        <v>12.75</v>
      </c>
      <c r="G49">
        <v>15</v>
      </c>
      <c r="H49">
        <v>70</v>
      </c>
      <c r="I49">
        <v>25</v>
      </c>
      <c r="J49">
        <v>0</v>
      </c>
    </row>
    <row r="50" spans="1:10" x14ac:dyDescent="0.2">
      <c r="A50">
        <v>49</v>
      </c>
      <c r="B50" t="s">
        <v>917</v>
      </c>
      <c r="C50">
        <v>23</v>
      </c>
      <c r="D50">
        <v>3</v>
      </c>
      <c r="E50" t="s">
        <v>918</v>
      </c>
      <c r="F50" s="2">
        <v>20</v>
      </c>
      <c r="G50">
        <v>10</v>
      </c>
      <c r="H50">
        <v>60</v>
      </c>
      <c r="I50">
        <v>15</v>
      </c>
      <c r="J50">
        <v>0</v>
      </c>
    </row>
    <row r="51" spans="1:10" x14ac:dyDescent="0.2">
      <c r="A51">
        <v>50</v>
      </c>
      <c r="B51" t="s">
        <v>919</v>
      </c>
      <c r="C51">
        <v>23</v>
      </c>
      <c r="D51">
        <v>3</v>
      </c>
      <c r="E51" t="s">
        <v>920</v>
      </c>
      <c r="F51" s="2">
        <v>16.25</v>
      </c>
      <c r="G51">
        <v>65</v>
      </c>
      <c r="H51">
        <v>0</v>
      </c>
      <c r="I51">
        <v>30</v>
      </c>
      <c r="J51">
        <v>0</v>
      </c>
    </row>
    <row r="52" spans="1:10" x14ac:dyDescent="0.2">
      <c r="A52">
        <v>51</v>
      </c>
      <c r="B52" t="s">
        <v>921</v>
      </c>
      <c r="C52">
        <v>24</v>
      </c>
      <c r="D52">
        <v>7</v>
      </c>
      <c r="E52" t="s">
        <v>922</v>
      </c>
      <c r="F52" s="2">
        <v>53</v>
      </c>
      <c r="G52">
        <v>20</v>
      </c>
      <c r="H52">
        <v>0</v>
      </c>
      <c r="I52">
        <v>10</v>
      </c>
      <c r="J52">
        <v>0</v>
      </c>
    </row>
    <row r="53" spans="1:10" x14ac:dyDescent="0.2">
      <c r="A53">
        <v>52</v>
      </c>
      <c r="B53" t="s">
        <v>923</v>
      </c>
      <c r="C53">
        <v>24</v>
      </c>
      <c r="D53">
        <v>5</v>
      </c>
      <c r="E53" t="s">
        <v>924</v>
      </c>
      <c r="F53" s="2">
        <v>7</v>
      </c>
      <c r="G53">
        <v>38</v>
      </c>
      <c r="H53">
        <v>0</v>
      </c>
      <c r="I53">
        <v>25</v>
      </c>
      <c r="J53">
        <v>0</v>
      </c>
    </row>
    <row r="54" spans="1:10" x14ac:dyDescent="0.2">
      <c r="A54">
        <v>53</v>
      </c>
      <c r="B54" t="s">
        <v>925</v>
      </c>
      <c r="C54">
        <v>24</v>
      </c>
      <c r="D54">
        <v>6</v>
      </c>
      <c r="E54" t="s">
        <v>926</v>
      </c>
      <c r="F54" s="2">
        <v>32.799999999999997</v>
      </c>
      <c r="G54">
        <v>0</v>
      </c>
      <c r="H54">
        <v>0</v>
      </c>
      <c r="I54">
        <v>0</v>
      </c>
      <c r="J54">
        <v>1</v>
      </c>
    </row>
    <row r="55" spans="1:10" x14ac:dyDescent="0.2">
      <c r="A55">
        <v>54</v>
      </c>
      <c r="B55" t="s">
        <v>927</v>
      </c>
      <c r="C55">
        <v>25</v>
      </c>
      <c r="D55">
        <v>6</v>
      </c>
      <c r="E55" t="s">
        <v>928</v>
      </c>
      <c r="F55" s="2">
        <v>7.45</v>
      </c>
      <c r="G55">
        <v>21</v>
      </c>
      <c r="H55">
        <v>0</v>
      </c>
      <c r="I55">
        <v>10</v>
      </c>
      <c r="J55">
        <v>0</v>
      </c>
    </row>
    <row r="56" spans="1:10" x14ac:dyDescent="0.2">
      <c r="A56">
        <v>55</v>
      </c>
      <c r="B56" t="s">
        <v>929</v>
      </c>
      <c r="C56">
        <v>25</v>
      </c>
      <c r="D56">
        <v>6</v>
      </c>
      <c r="E56" t="s">
        <v>930</v>
      </c>
      <c r="F56" s="2">
        <v>24</v>
      </c>
      <c r="G56">
        <v>115</v>
      </c>
      <c r="H56">
        <v>0</v>
      </c>
      <c r="I56">
        <v>20</v>
      </c>
      <c r="J56">
        <v>0</v>
      </c>
    </row>
    <row r="57" spans="1:10" x14ac:dyDescent="0.2">
      <c r="A57">
        <v>56</v>
      </c>
      <c r="B57" t="s">
        <v>931</v>
      </c>
      <c r="C57">
        <v>26</v>
      </c>
      <c r="D57">
        <v>5</v>
      </c>
      <c r="E57" t="s">
        <v>932</v>
      </c>
      <c r="F57" s="2">
        <v>38</v>
      </c>
      <c r="G57">
        <v>21</v>
      </c>
      <c r="H57">
        <v>10</v>
      </c>
      <c r="I57">
        <v>30</v>
      </c>
      <c r="J57">
        <v>0</v>
      </c>
    </row>
    <row r="58" spans="1:10" x14ac:dyDescent="0.2">
      <c r="A58">
        <v>57</v>
      </c>
      <c r="B58" t="s">
        <v>933</v>
      </c>
      <c r="C58">
        <v>26</v>
      </c>
      <c r="D58">
        <v>5</v>
      </c>
      <c r="E58" t="s">
        <v>932</v>
      </c>
      <c r="F58" s="2">
        <v>19.5</v>
      </c>
      <c r="G58">
        <v>36</v>
      </c>
      <c r="H58">
        <v>0</v>
      </c>
      <c r="I58">
        <v>20</v>
      </c>
      <c r="J58">
        <v>0</v>
      </c>
    </row>
    <row r="59" spans="1:10" x14ac:dyDescent="0.2">
      <c r="A59">
        <v>58</v>
      </c>
      <c r="B59" t="s">
        <v>934</v>
      </c>
      <c r="C59">
        <v>27</v>
      </c>
      <c r="D59">
        <v>8</v>
      </c>
      <c r="E59" t="s">
        <v>935</v>
      </c>
      <c r="F59" s="2">
        <v>13.25</v>
      </c>
      <c r="G59">
        <v>62</v>
      </c>
      <c r="H59">
        <v>0</v>
      </c>
      <c r="I59">
        <v>20</v>
      </c>
      <c r="J59">
        <v>0</v>
      </c>
    </row>
    <row r="60" spans="1:10" x14ac:dyDescent="0.2">
      <c r="A60">
        <v>59</v>
      </c>
      <c r="B60" t="s">
        <v>936</v>
      </c>
      <c r="C60">
        <v>28</v>
      </c>
      <c r="D60">
        <v>4</v>
      </c>
      <c r="E60" t="s">
        <v>937</v>
      </c>
      <c r="F60" s="2">
        <v>55</v>
      </c>
      <c r="G60">
        <v>79</v>
      </c>
      <c r="H60">
        <v>0</v>
      </c>
      <c r="I60">
        <v>0</v>
      </c>
      <c r="J60">
        <v>0</v>
      </c>
    </row>
    <row r="61" spans="1:10" x14ac:dyDescent="0.2">
      <c r="A61">
        <v>60</v>
      </c>
      <c r="B61" t="s">
        <v>938</v>
      </c>
      <c r="C61">
        <v>28</v>
      </c>
      <c r="D61">
        <v>4</v>
      </c>
      <c r="E61" t="s">
        <v>939</v>
      </c>
      <c r="F61" s="2">
        <v>34</v>
      </c>
      <c r="G61">
        <v>19</v>
      </c>
      <c r="H61">
        <v>0</v>
      </c>
      <c r="I61">
        <v>0</v>
      </c>
      <c r="J61">
        <v>0</v>
      </c>
    </row>
    <row r="62" spans="1:10" x14ac:dyDescent="0.2">
      <c r="A62">
        <v>61</v>
      </c>
      <c r="B62" t="s">
        <v>940</v>
      </c>
      <c r="C62">
        <v>29</v>
      </c>
      <c r="D62">
        <v>2</v>
      </c>
      <c r="E62" t="s">
        <v>941</v>
      </c>
      <c r="F62" s="2">
        <v>28.5</v>
      </c>
      <c r="G62">
        <v>113</v>
      </c>
      <c r="H62">
        <v>0</v>
      </c>
      <c r="I62">
        <v>25</v>
      </c>
      <c r="J62">
        <v>0</v>
      </c>
    </row>
    <row r="63" spans="1:10" x14ac:dyDescent="0.2">
      <c r="A63">
        <v>62</v>
      </c>
      <c r="B63" t="s">
        <v>942</v>
      </c>
      <c r="C63">
        <v>29</v>
      </c>
      <c r="D63">
        <v>3</v>
      </c>
      <c r="E63" t="s">
        <v>943</v>
      </c>
      <c r="F63" s="2">
        <v>49.3</v>
      </c>
      <c r="G63">
        <v>17</v>
      </c>
      <c r="H63">
        <v>0</v>
      </c>
      <c r="I63">
        <v>0</v>
      </c>
      <c r="J63">
        <v>0</v>
      </c>
    </row>
    <row r="64" spans="1:10" x14ac:dyDescent="0.2">
      <c r="A64">
        <v>63</v>
      </c>
      <c r="B64" t="s">
        <v>944</v>
      </c>
      <c r="C64">
        <v>7</v>
      </c>
      <c r="D64">
        <v>2</v>
      </c>
      <c r="E64" t="s">
        <v>945</v>
      </c>
      <c r="F64" s="2">
        <v>43.9</v>
      </c>
      <c r="G64">
        <v>24</v>
      </c>
      <c r="H64">
        <v>0</v>
      </c>
      <c r="I64">
        <v>5</v>
      </c>
      <c r="J64">
        <v>0</v>
      </c>
    </row>
    <row r="65" spans="1:10" x14ac:dyDescent="0.2">
      <c r="A65">
        <v>64</v>
      </c>
      <c r="B65" t="s">
        <v>946</v>
      </c>
      <c r="C65">
        <v>12</v>
      </c>
      <c r="D65">
        <v>5</v>
      </c>
      <c r="E65" t="s">
        <v>947</v>
      </c>
      <c r="F65" s="2">
        <v>33.25</v>
      </c>
      <c r="G65">
        <v>22</v>
      </c>
      <c r="H65">
        <v>80</v>
      </c>
      <c r="I65">
        <v>30</v>
      </c>
      <c r="J65">
        <v>0</v>
      </c>
    </row>
    <row r="66" spans="1:10" x14ac:dyDescent="0.2">
      <c r="A66">
        <v>65</v>
      </c>
      <c r="B66" t="s">
        <v>948</v>
      </c>
      <c r="C66">
        <v>2</v>
      </c>
      <c r="D66">
        <v>2</v>
      </c>
      <c r="E66" t="s">
        <v>949</v>
      </c>
      <c r="F66" s="2">
        <v>21.05</v>
      </c>
      <c r="G66">
        <v>76</v>
      </c>
      <c r="H66">
        <v>0</v>
      </c>
      <c r="I66">
        <v>0</v>
      </c>
      <c r="J66">
        <v>0</v>
      </c>
    </row>
    <row r="67" spans="1:10" x14ac:dyDescent="0.2">
      <c r="A67">
        <v>66</v>
      </c>
      <c r="B67" t="s">
        <v>950</v>
      </c>
      <c r="C67">
        <v>2</v>
      </c>
      <c r="D67">
        <v>2</v>
      </c>
      <c r="E67" t="s">
        <v>951</v>
      </c>
      <c r="F67" s="2">
        <v>17</v>
      </c>
      <c r="G67">
        <v>4</v>
      </c>
      <c r="H67">
        <v>100</v>
      </c>
      <c r="I67">
        <v>20</v>
      </c>
      <c r="J67">
        <v>0</v>
      </c>
    </row>
    <row r="68" spans="1:10" x14ac:dyDescent="0.2">
      <c r="A68">
        <v>67</v>
      </c>
      <c r="B68" t="s">
        <v>952</v>
      </c>
      <c r="C68">
        <v>16</v>
      </c>
      <c r="D68">
        <v>1</v>
      </c>
      <c r="E68" t="s">
        <v>826</v>
      </c>
      <c r="F68" s="2">
        <v>14</v>
      </c>
      <c r="G68">
        <v>52</v>
      </c>
      <c r="H68">
        <v>0</v>
      </c>
      <c r="I68">
        <v>10</v>
      </c>
      <c r="J68">
        <v>0</v>
      </c>
    </row>
    <row r="69" spans="1:10" x14ac:dyDescent="0.2">
      <c r="A69">
        <v>68</v>
      </c>
      <c r="B69" t="s">
        <v>953</v>
      </c>
      <c r="C69">
        <v>8</v>
      </c>
      <c r="D69">
        <v>3</v>
      </c>
      <c r="E69" t="s">
        <v>954</v>
      </c>
      <c r="F69" s="2">
        <v>12.5</v>
      </c>
      <c r="G69">
        <v>6</v>
      </c>
      <c r="H69">
        <v>10</v>
      </c>
      <c r="I69">
        <v>15</v>
      </c>
      <c r="J69">
        <v>0</v>
      </c>
    </row>
    <row r="70" spans="1:10" x14ac:dyDescent="0.2">
      <c r="A70">
        <v>69</v>
      </c>
      <c r="B70" t="s">
        <v>955</v>
      </c>
      <c r="C70">
        <v>15</v>
      </c>
      <c r="D70">
        <v>4</v>
      </c>
      <c r="E70" t="s">
        <v>956</v>
      </c>
      <c r="F70" s="2">
        <v>36</v>
      </c>
      <c r="G70">
        <v>26</v>
      </c>
      <c r="H70">
        <v>0</v>
      </c>
      <c r="I70">
        <v>15</v>
      </c>
      <c r="J70">
        <v>0</v>
      </c>
    </row>
    <row r="71" spans="1:10" x14ac:dyDescent="0.2">
      <c r="A71">
        <v>70</v>
      </c>
      <c r="B71" t="s">
        <v>957</v>
      </c>
      <c r="C71">
        <v>7</v>
      </c>
      <c r="D71">
        <v>1</v>
      </c>
      <c r="E71" t="s">
        <v>958</v>
      </c>
      <c r="F71" s="2">
        <v>15</v>
      </c>
      <c r="G71">
        <v>15</v>
      </c>
      <c r="H71">
        <v>10</v>
      </c>
      <c r="I71">
        <v>30</v>
      </c>
      <c r="J71">
        <v>0</v>
      </c>
    </row>
    <row r="72" spans="1:10" x14ac:dyDescent="0.2">
      <c r="A72">
        <v>71</v>
      </c>
      <c r="B72" t="s">
        <v>959</v>
      </c>
      <c r="C72">
        <v>15</v>
      </c>
      <c r="D72">
        <v>4</v>
      </c>
      <c r="E72" t="s">
        <v>846</v>
      </c>
      <c r="F72" s="2">
        <v>21.5</v>
      </c>
      <c r="G72">
        <v>26</v>
      </c>
      <c r="H72">
        <v>0</v>
      </c>
      <c r="I72">
        <v>0</v>
      </c>
      <c r="J72">
        <v>0</v>
      </c>
    </row>
    <row r="73" spans="1:10" x14ac:dyDescent="0.2">
      <c r="A73">
        <v>72</v>
      </c>
      <c r="B73" t="s">
        <v>960</v>
      </c>
      <c r="C73">
        <v>14</v>
      </c>
      <c r="D73">
        <v>4</v>
      </c>
      <c r="E73" t="s">
        <v>886</v>
      </c>
      <c r="F73" s="2">
        <v>34.799999999999997</v>
      </c>
      <c r="G73">
        <v>14</v>
      </c>
      <c r="H73">
        <v>0</v>
      </c>
      <c r="I73">
        <v>0</v>
      </c>
      <c r="J73">
        <v>0</v>
      </c>
    </row>
    <row r="74" spans="1:10" x14ac:dyDescent="0.2">
      <c r="A74">
        <v>73</v>
      </c>
      <c r="B74" t="s">
        <v>961</v>
      </c>
      <c r="C74">
        <v>17</v>
      </c>
      <c r="D74">
        <v>8</v>
      </c>
      <c r="E74" t="s">
        <v>962</v>
      </c>
      <c r="F74" s="2">
        <v>15</v>
      </c>
      <c r="G74">
        <v>101</v>
      </c>
      <c r="H74">
        <v>0</v>
      </c>
      <c r="I74">
        <v>5</v>
      </c>
      <c r="J74">
        <v>0</v>
      </c>
    </row>
    <row r="75" spans="1:10" x14ac:dyDescent="0.2">
      <c r="A75">
        <v>74</v>
      </c>
      <c r="B75" t="s">
        <v>963</v>
      </c>
      <c r="C75">
        <v>4</v>
      </c>
      <c r="D75">
        <v>7</v>
      </c>
      <c r="E75" t="s">
        <v>937</v>
      </c>
      <c r="F75" s="2">
        <v>10</v>
      </c>
      <c r="G75">
        <v>4</v>
      </c>
      <c r="H75">
        <v>20</v>
      </c>
      <c r="I75">
        <v>5</v>
      </c>
      <c r="J75">
        <v>0</v>
      </c>
    </row>
    <row r="76" spans="1:10" x14ac:dyDescent="0.2">
      <c r="A76">
        <v>75</v>
      </c>
      <c r="B76" t="s">
        <v>964</v>
      </c>
      <c r="C76">
        <v>12</v>
      </c>
      <c r="D76">
        <v>1</v>
      </c>
      <c r="E76" t="s">
        <v>965</v>
      </c>
      <c r="F76" s="2">
        <v>7.75</v>
      </c>
      <c r="G76">
        <v>125</v>
      </c>
      <c r="H76">
        <v>0</v>
      </c>
      <c r="I76">
        <v>25</v>
      </c>
      <c r="J76">
        <v>0</v>
      </c>
    </row>
    <row r="77" spans="1:10" x14ac:dyDescent="0.2">
      <c r="A77">
        <v>76</v>
      </c>
      <c r="B77" t="s">
        <v>966</v>
      </c>
      <c r="C77">
        <v>23</v>
      </c>
      <c r="D77">
        <v>1</v>
      </c>
      <c r="E77" t="s">
        <v>967</v>
      </c>
      <c r="F77" s="2">
        <v>18</v>
      </c>
      <c r="G77">
        <v>57</v>
      </c>
      <c r="H77">
        <v>0</v>
      </c>
      <c r="I77">
        <v>20</v>
      </c>
      <c r="J77">
        <v>0</v>
      </c>
    </row>
    <row r="78" spans="1:10" x14ac:dyDescent="0.2">
      <c r="A78">
        <v>77</v>
      </c>
      <c r="B78" t="s">
        <v>968</v>
      </c>
      <c r="C78">
        <v>12</v>
      </c>
      <c r="D78">
        <v>2</v>
      </c>
      <c r="E78" t="s">
        <v>969</v>
      </c>
      <c r="F78" s="2">
        <v>13</v>
      </c>
      <c r="G78">
        <v>32</v>
      </c>
      <c r="H78">
        <v>0</v>
      </c>
      <c r="I78">
        <v>15</v>
      </c>
      <c r="J78">
        <v>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47F4A-3203-5646-B7DF-167E5309D2E4}">
  <dimension ref="A1:K92"/>
  <sheetViews>
    <sheetView zoomScale="180" workbookViewId="0">
      <selection sqref="A1:K92"/>
    </sheetView>
  </sheetViews>
  <sheetFormatPr baseColWidth="10" defaultRowHeight="16" x14ac:dyDescent="0.2"/>
  <cols>
    <col min="1" max="1" width="11.83203125" customWidth="1"/>
    <col min="2" max="2" width="29.83203125" bestFit="1" customWidth="1"/>
    <col min="3" max="3" width="20.6640625" bestFit="1" customWidth="1"/>
    <col min="4" max="4" width="26.1640625" bestFit="1" customWidth="1"/>
    <col min="5" max="5" width="39" bestFit="1" customWidth="1"/>
    <col min="6" max="6" width="12.6640625" bestFit="1" customWidth="1"/>
    <col min="7" max="7" width="12.83203125" bestFit="1" customWidth="1"/>
    <col min="8" max="8" width="11.6640625" customWidth="1"/>
    <col min="9" max="9" width="10.6640625" bestFit="1" customWidth="1"/>
    <col min="10" max="11" width="14.83203125" bestFit="1" customWidth="1"/>
  </cols>
  <sheetData>
    <row r="1" spans="1:11" x14ac:dyDescent="0.2">
      <c r="A1" t="s">
        <v>1</v>
      </c>
      <c r="B1" t="s">
        <v>421</v>
      </c>
      <c r="C1" t="s">
        <v>422</v>
      </c>
      <c r="D1" t="s">
        <v>423</v>
      </c>
      <c r="E1" t="s">
        <v>424</v>
      </c>
      <c r="F1" t="s">
        <v>425</v>
      </c>
      <c r="G1" t="s">
        <v>426</v>
      </c>
      <c r="H1" t="s">
        <v>427</v>
      </c>
      <c r="I1" t="s">
        <v>428</v>
      </c>
      <c r="J1" t="s">
        <v>429</v>
      </c>
      <c r="K1" t="s">
        <v>430</v>
      </c>
    </row>
    <row r="2" spans="1:11" x14ac:dyDescent="0.2">
      <c r="A2" t="s">
        <v>401</v>
      </c>
      <c r="B2" t="s">
        <v>402</v>
      </c>
      <c r="C2" t="s">
        <v>431</v>
      </c>
      <c r="D2" t="s">
        <v>432</v>
      </c>
      <c r="E2" t="s">
        <v>403</v>
      </c>
      <c r="F2" t="s">
        <v>404</v>
      </c>
      <c r="G2" t="s">
        <v>18</v>
      </c>
      <c r="H2">
        <v>12209</v>
      </c>
      <c r="I2" t="s">
        <v>24</v>
      </c>
      <c r="J2" t="s">
        <v>433</v>
      </c>
      <c r="K2" t="s">
        <v>434</v>
      </c>
    </row>
    <row r="3" spans="1:11" x14ac:dyDescent="0.2">
      <c r="A3" t="s">
        <v>203</v>
      </c>
      <c r="B3" t="s">
        <v>204</v>
      </c>
      <c r="C3" t="s">
        <v>435</v>
      </c>
      <c r="D3" t="s">
        <v>436</v>
      </c>
      <c r="E3" t="s">
        <v>205</v>
      </c>
      <c r="F3" t="s">
        <v>71</v>
      </c>
      <c r="G3" t="s">
        <v>18</v>
      </c>
      <c r="H3">
        <v>5021</v>
      </c>
      <c r="I3" t="s">
        <v>72</v>
      </c>
      <c r="J3" t="s">
        <v>437</v>
      </c>
      <c r="K3" t="s">
        <v>438</v>
      </c>
    </row>
    <row r="4" spans="1:11" x14ac:dyDescent="0.2">
      <c r="A4" t="s">
        <v>288</v>
      </c>
      <c r="B4" t="s">
        <v>289</v>
      </c>
      <c r="C4" t="s">
        <v>439</v>
      </c>
      <c r="D4" t="s">
        <v>436</v>
      </c>
      <c r="E4" t="s">
        <v>290</v>
      </c>
      <c r="F4" t="s">
        <v>71</v>
      </c>
      <c r="G4" t="s">
        <v>18</v>
      </c>
      <c r="H4">
        <v>5023</v>
      </c>
      <c r="I4" t="s">
        <v>72</v>
      </c>
      <c r="J4" t="s">
        <v>440</v>
      </c>
      <c r="K4" t="s">
        <v>18</v>
      </c>
    </row>
    <row r="5" spans="1:11" x14ac:dyDescent="0.2">
      <c r="A5" t="s">
        <v>270</v>
      </c>
      <c r="B5" t="s">
        <v>271</v>
      </c>
      <c r="C5" t="s">
        <v>441</v>
      </c>
      <c r="D5" t="s">
        <v>432</v>
      </c>
      <c r="E5" t="s">
        <v>442</v>
      </c>
      <c r="F5" t="s">
        <v>167</v>
      </c>
      <c r="G5" t="s">
        <v>18</v>
      </c>
      <c r="H5" t="s">
        <v>443</v>
      </c>
      <c r="I5" t="s">
        <v>169</v>
      </c>
      <c r="J5" t="s">
        <v>444</v>
      </c>
      <c r="K5" t="s">
        <v>445</v>
      </c>
    </row>
    <row r="6" spans="1:11" x14ac:dyDescent="0.2">
      <c r="A6" t="s">
        <v>137</v>
      </c>
      <c r="B6" t="s">
        <v>138</v>
      </c>
      <c r="C6" t="s">
        <v>446</v>
      </c>
      <c r="D6" t="s">
        <v>447</v>
      </c>
      <c r="E6" t="s">
        <v>139</v>
      </c>
      <c r="F6" t="s">
        <v>140</v>
      </c>
      <c r="G6" t="s">
        <v>18</v>
      </c>
      <c r="H6" t="s">
        <v>141</v>
      </c>
      <c r="I6" t="s">
        <v>92</v>
      </c>
      <c r="J6" t="s">
        <v>448</v>
      </c>
      <c r="K6" t="s">
        <v>449</v>
      </c>
    </row>
    <row r="7" spans="1:11" x14ac:dyDescent="0.2">
      <c r="A7" t="s">
        <v>363</v>
      </c>
      <c r="B7" t="s">
        <v>364</v>
      </c>
      <c r="C7" t="s">
        <v>450</v>
      </c>
      <c r="D7" t="s">
        <v>432</v>
      </c>
      <c r="E7" t="s">
        <v>365</v>
      </c>
      <c r="F7" t="s">
        <v>366</v>
      </c>
      <c r="G7" t="s">
        <v>18</v>
      </c>
      <c r="H7">
        <v>68306</v>
      </c>
      <c r="I7" t="s">
        <v>24</v>
      </c>
      <c r="J7" t="s">
        <v>451</v>
      </c>
      <c r="K7" t="s">
        <v>452</v>
      </c>
    </row>
    <row r="8" spans="1:11" x14ac:dyDescent="0.2">
      <c r="A8" t="s">
        <v>93</v>
      </c>
      <c r="B8" t="s">
        <v>453</v>
      </c>
      <c r="C8" t="s">
        <v>454</v>
      </c>
      <c r="D8" t="s">
        <v>455</v>
      </c>
      <c r="E8" t="s">
        <v>95</v>
      </c>
      <c r="F8" t="s">
        <v>96</v>
      </c>
      <c r="G8" t="s">
        <v>18</v>
      </c>
      <c r="H8">
        <v>67000</v>
      </c>
      <c r="I8" t="s">
        <v>19</v>
      </c>
      <c r="J8" t="s">
        <v>456</v>
      </c>
      <c r="K8" t="s">
        <v>457</v>
      </c>
    </row>
    <row r="9" spans="1:11" x14ac:dyDescent="0.2">
      <c r="A9" t="s">
        <v>231</v>
      </c>
      <c r="B9" t="s">
        <v>232</v>
      </c>
      <c r="C9" t="s">
        <v>458</v>
      </c>
      <c r="D9" t="s">
        <v>436</v>
      </c>
      <c r="E9" t="s">
        <v>233</v>
      </c>
      <c r="F9" t="s">
        <v>149</v>
      </c>
      <c r="G9" t="s">
        <v>18</v>
      </c>
      <c r="H9">
        <v>28023</v>
      </c>
      <c r="I9" t="s">
        <v>150</v>
      </c>
      <c r="J9" t="s">
        <v>459</v>
      </c>
      <c r="K9" t="s">
        <v>460</v>
      </c>
    </row>
    <row r="10" spans="1:11" x14ac:dyDescent="0.2">
      <c r="A10" t="s">
        <v>239</v>
      </c>
      <c r="B10" t="s">
        <v>240</v>
      </c>
      <c r="C10" t="s">
        <v>461</v>
      </c>
      <c r="D10" t="s">
        <v>436</v>
      </c>
      <c r="E10" t="s">
        <v>241</v>
      </c>
      <c r="F10" t="s">
        <v>242</v>
      </c>
      <c r="G10" t="s">
        <v>18</v>
      </c>
      <c r="H10">
        <v>13008</v>
      </c>
      <c r="I10" t="s">
        <v>19</v>
      </c>
      <c r="J10" t="s">
        <v>462</v>
      </c>
      <c r="K10" t="s">
        <v>463</v>
      </c>
    </row>
    <row r="11" spans="1:11" x14ac:dyDescent="0.2">
      <c r="A11" t="s">
        <v>318</v>
      </c>
      <c r="B11" t="s">
        <v>319</v>
      </c>
      <c r="C11" t="s">
        <v>464</v>
      </c>
      <c r="D11" t="s">
        <v>465</v>
      </c>
      <c r="E11" t="s">
        <v>320</v>
      </c>
      <c r="F11" t="s">
        <v>321</v>
      </c>
      <c r="G11" t="s">
        <v>322</v>
      </c>
      <c r="H11" t="s">
        <v>323</v>
      </c>
      <c r="I11" t="s">
        <v>249</v>
      </c>
      <c r="J11" t="s">
        <v>466</v>
      </c>
      <c r="K11" t="s">
        <v>467</v>
      </c>
    </row>
    <row r="12" spans="1:11" x14ac:dyDescent="0.2">
      <c r="A12" t="s">
        <v>164</v>
      </c>
      <c r="B12" t="s">
        <v>165</v>
      </c>
      <c r="C12" t="s">
        <v>468</v>
      </c>
      <c r="D12" t="s">
        <v>432</v>
      </c>
      <c r="E12" t="s">
        <v>166</v>
      </c>
      <c r="F12" t="s">
        <v>167</v>
      </c>
      <c r="G12" t="s">
        <v>18</v>
      </c>
      <c r="H12" t="s">
        <v>168</v>
      </c>
      <c r="I12" t="s">
        <v>169</v>
      </c>
      <c r="J12" t="s">
        <v>469</v>
      </c>
      <c r="K12" t="s">
        <v>18</v>
      </c>
    </row>
    <row r="13" spans="1:11" x14ac:dyDescent="0.2">
      <c r="A13" t="s">
        <v>371</v>
      </c>
      <c r="B13" t="s">
        <v>372</v>
      </c>
      <c r="C13" t="s">
        <v>470</v>
      </c>
      <c r="D13" t="s">
        <v>471</v>
      </c>
      <c r="E13" t="s">
        <v>373</v>
      </c>
      <c r="F13" t="s">
        <v>336</v>
      </c>
      <c r="G13" t="s">
        <v>18</v>
      </c>
      <c r="H13">
        <v>1010</v>
      </c>
      <c r="I13" t="s">
        <v>337</v>
      </c>
      <c r="J13" t="s">
        <v>472</v>
      </c>
      <c r="K13" t="s">
        <v>473</v>
      </c>
    </row>
    <row r="14" spans="1:11" x14ac:dyDescent="0.2">
      <c r="A14" t="s">
        <v>68</v>
      </c>
      <c r="B14" t="s">
        <v>69</v>
      </c>
      <c r="C14" t="s">
        <v>474</v>
      </c>
      <c r="D14" t="s">
        <v>455</v>
      </c>
      <c r="E14" t="s">
        <v>70</v>
      </c>
      <c r="F14" t="s">
        <v>71</v>
      </c>
      <c r="G14" t="s">
        <v>18</v>
      </c>
      <c r="H14">
        <v>5022</v>
      </c>
      <c r="I14" t="s">
        <v>72</v>
      </c>
      <c r="J14" t="s">
        <v>475</v>
      </c>
      <c r="K14" t="s">
        <v>476</v>
      </c>
    </row>
    <row r="15" spans="1:11" x14ac:dyDescent="0.2">
      <c r="A15" t="s">
        <v>42</v>
      </c>
      <c r="B15" t="s">
        <v>43</v>
      </c>
      <c r="C15" t="s">
        <v>477</v>
      </c>
      <c r="D15" t="s">
        <v>436</v>
      </c>
      <c r="E15" t="s">
        <v>478</v>
      </c>
      <c r="F15" t="s">
        <v>45</v>
      </c>
      <c r="G15" t="s">
        <v>18</v>
      </c>
      <c r="H15">
        <v>3012</v>
      </c>
      <c r="I15" t="s">
        <v>46</v>
      </c>
      <c r="J15" t="s">
        <v>479</v>
      </c>
      <c r="K15" t="s">
        <v>18</v>
      </c>
    </row>
    <row r="16" spans="1:11" x14ac:dyDescent="0.2">
      <c r="A16" t="s">
        <v>170</v>
      </c>
      <c r="B16" t="s">
        <v>171</v>
      </c>
      <c r="C16" t="s">
        <v>480</v>
      </c>
      <c r="D16" t="s">
        <v>481</v>
      </c>
      <c r="E16" t="s">
        <v>172</v>
      </c>
      <c r="F16" t="s">
        <v>173</v>
      </c>
      <c r="G16" t="s">
        <v>55</v>
      </c>
      <c r="H16" t="s">
        <v>174</v>
      </c>
      <c r="I16" t="s">
        <v>31</v>
      </c>
      <c r="J16" t="s">
        <v>482</v>
      </c>
      <c r="K16" t="s">
        <v>18</v>
      </c>
    </row>
    <row r="17" spans="1:11" x14ac:dyDescent="0.2">
      <c r="A17" t="s">
        <v>347</v>
      </c>
      <c r="B17" t="s">
        <v>348</v>
      </c>
      <c r="C17" t="s">
        <v>483</v>
      </c>
      <c r="D17" t="s">
        <v>432</v>
      </c>
      <c r="E17" t="s">
        <v>349</v>
      </c>
      <c r="F17" t="s">
        <v>167</v>
      </c>
      <c r="G17" t="s">
        <v>18</v>
      </c>
      <c r="H17" t="s">
        <v>350</v>
      </c>
      <c r="I17" t="s">
        <v>169</v>
      </c>
      <c r="J17" t="s">
        <v>484</v>
      </c>
      <c r="K17" t="s">
        <v>485</v>
      </c>
    </row>
    <row r="18" spans="1:11" x14ac:dyDescent="0.2">
      <c r="A18" t="s">
        <v>280</v>
      </c>
      <c r="B18" t="s">
        <v>281</v>
      </c>
      <c r="C18" t="s">
        <v>486</v>
      </c>
      <c r="D18" t="s">
        <v>447</v>
      </c>
      <c r="E18" t="s">
        <v>282</v>
      </c>
      <c r="F18" t="s">
        <v>283</v>
      </c>
      <c r="G18" t="s">
        <v>18</v>
      </c>
      <c r="H18">
        <v>52066</v>
      </c>
      <c r="I18" t="s">
        <v>24</v>
      </c>
      <c r="J18" t="s">
        <v>487</v>
      </c>
      <c r="K18" t="s">
        <v>488</v>
      </c>
    </row>
    <row r="19" spans="1:11" x14ac:dyDescent="0.2">
      <c r="A19" t="s">
        <v>209</v>
      </c>
      <c r="B19" t="s">
        <v>210</v>
      </c>
      <c r="C19" t="s">
        <v>489</v>
      </c>
      <c r="D19" t="s">
        <v>436</v>
      </c>
      <c r="E19" t="s">
        <v>211</v>
      </c>
      <c r="F19" t="s">
        <v>212</v>
      </c>
      <c r="G19" t="s">
        <v>18</v>
      </c>
      <c r="H19">
        <v>44000</v>
      </c>
      <c r="I19" t="s">
        <v>19</v>
      </c>
      <c r="J19" t="s">
        <v>490</v>
      </c>
      <c r="K19" t="s">
        <v>491</v>
      </c>
    </row>
    <row r="20" spans="1:11" x14ac:dyDescent="0.2">
      <c r="A20" t="s">
        <v>284</v>
      </c>
      <c r="B20" t="s">
        <v>285</v>
      </c>
      <c r="C20" t="s">
        <v>492</v>
      </c>
      <c r="D20" t="s">
        <v>471</v>
      </c>
      <c r="E20" t="s">
        <v>286</v>
      </c>
      <c r="F20" t="s">
        <v>167</v>
      </c>
      <c r="G20" t="s">
        <v>18</v>
      </c>
      <c r="H20" t="s">
        <v>287</v>
      </c>
      <c r="I20" t="s">
        <v>169</v>
      </c>
      <c r="J20" t="s">
        <v>493</v>
      </c>
      <c r="K20" t="s">
        <v>494</v>
      </c>
    </row>
    <row r="21" spans="1:11" x14ac:dyDescent="0.2">
      <c r="A21" t="s">
        <v>63</v>
      </c>
      <c r="B21" t="s">
        <v>64</v>
      </c>
      <c r="C21" t="s">
        <v>495</v>
      </c>
      <c r="D21" t="s">
        <v>496</v>
      </c>
      <c r="E21" t="s">
        <v>65</v>
      </c>
      <c r="F21" t="s">
        <v>66</v>
      </c>
      <c r="G21" t="s">
        <v>18</v>
      </c>
      <c r="H21">
        <v>8010</v>
      </c>
      <c r="I21" t="s">
        <v>67</v>
      </c>
      <c r="J21" t="s">
        <v>497</v>
      </c>
      <c r="K21" t="s">
        <v>498</v>
      </c>
    </row>
    <row r="22" spans="1:11" x14ac:dyDescent="0.2">
      <c r="A22" t="s">
        <v>258</v>
      </c>
      <c r="B22" t="s">
        <v>259</v>
      </c>
      <c r="C22" t="s">
        <v>499</v>
      </c>
      <c r="D22" t="s">
        <v>500</v>
      </c>
      <c r="E22" t="s">
        <v>260</v>
      </c>
      <c r="F22" t="s">
        <v>173</v>
      </c>
      <c r="G22" t="s">
        <v>55</v>
      </c>
      <c r="H22" t="s">
        <v>261</v>
      </c>
      <c r="I22" t="s">
        <v>31</v>
      </c>
      <c r="J22" t="s">
        <v>501</v>
      </c>
      <c r="K22" t="s">
        <v>18</v>
      </c>
    </row>
    <row r="23" spans="1:11" x14ac:dyDescent="0.2">
      <c r="A23" t="s">
        <v>502</v>
      </c>
      <c r="B23" t="s">
        <v>503</v>
      </c>
      <c r="C23" t="s">
        <v>504</v>
      </c>
      <c r="D23" t="s">
        <v>465</v>
      </c>
      <c r="E23" t="s">
        <v>505</v>
      </c>
      <c r="F23" t="s">
        <v>149</v>
      </c>
      <c r="G23" t="s">
        <v>18</v>
      </c>
      <c r="H23">
        <v>28034</v>
      </c>
      <c r="I23" t="s">
        <v>150</v>
      </c>
      <c r="J23" t="s">
        <v>506</v>
      </c>
      <c r="K23" t="s">
        <v>507</v>
      </c>
    </row>
    <row r="24" spans="1:11" x14ac:dyDescent="0.2">
      <c r="A24" t="s">
        <v>329</v>
      </c>
      <c r="B24" t="s">
        <v>330</v>
      </c>
      <c r="C24" t="s">
        <v>508</v>
      </c>
      <c r="D24" t="s">
        <v>509</v>
      </c>
      <c r="E24" t="s">
        <v>331</v>
      </c>
      <c r="F24" t="s">
        <v>332</v>
      </c>
      <c r="G24" t="s">
        <v>18</v>
      </c>
      <c r="H24">
        <v>59000</v>
      </c>
      <c r="I24" t="s">
        <v>19</v>
      </c>
      <c r="J24" t="s">
        <v>510</v>
      </c>
      <c r="K24" t="s">
        <v>511</v>
      </c>
    </row>
    <row r="25" spans="1:11" x14ac:dyDescent="0.2">
      <c r="A25" t="s">
        <v>87</v>
      </c>
      <c r="B25" t="s">
        <v>88</v>
      </c>
      <c r="C25" t="s">
        <v>512</v>
      </c>
      <c r="D25" t="s">
        <v>436</v>
      </c>
      <c r="E25" t="s">
        <v>89</v>
      </c>
      <c r="F25" t="s">
        <v>90</v>
      </c>
      <c r="G25" t="s">
        <v>18</v>
      </c>
      <c r="H25" t="s">
        <v>91</v>
      </c>
      <c r="I25" t="s">
        <v>92</v>
      </c>
      <c r="J25" t="s">
        <v>513</v>
      </c>
      <c r="K25" t="s">
        <v>18</v>
      </c>
    </row>
    <row r="26" spans="1:11" x14ac:dyDescent="0.2">
      <c r="A26" t="s">
        <v>102</v>
      </c>
      <c r="B26" t="s">
        <v>103</v>
      </c>
      <c r="C26" t="s">
        <v>514</v>
      </c>
      <c r="D26" t="s">
        <v>455</v>
      </c>
      <c r="E26" t="s">
        <v>104</v>
      </c>
      <c r="F26" t="s">
        <v>105</v>
      </c>
      <c r="G26" t="s">
        <v>18</v>
      </c>
      <c r="H26">
        <v>80805</v>
      </c>
      <c r="I26" t="s">
        <v>24</v>
      </c>
      <c r="J26" t="s">
        <v>515</v>
      </c>
      <c r="K26" t="s">
        <v>516</v>
      </c>
    </row>
    <row r="27" spans="1:11" x14ac:dyDescent="0.2">
      <c r="A27" t="s">
        <v>405</v>
      </c>
      <c r="B27" t="s">
        <v>406</v>
      </c>
      <c r="C27" t="s">
        <v>517</v>
      </c>
      <c r="D27" t="s">
        <v>455</v>
      </c>
      <c r="E27" t="s">
        <v>407</v>
      </c>
      <c r="F27" t="s">
        <v>212</v>
      </c>
      <c r="G27" t="s">
        <v>18</v>
      </c>
      <c r="H27">
        <v>44000</v>
      </c>
      <c r="I27" t="s">
        <v>19</v>
      </c>
      <c r="J27" t="s">
        <v>518</v>
      </c>
      <c r="K27" t="s">
        <v>519</v>
      </c>
    </row>
    <row r="28" spans="1:11" x14ac:dyDescent="0.2">
      <c r="A28" t="s">
        <v>338</v>
      </c>
      <c r="B28" t="s">
        <v>339</v>
      </c>
      <c r="C28" t="s">
        <v>520</v>
      </c>
      <c r="D28" t="s">
        <v>432</v>
      </c>
      <c r="E28" t="s">
        <v>340</v>
      </c>
      <c r="F28" t="s">
        <v>341</v>
      </c>
      <c r="G28" t="s">
        <v>18</v>
      </c>
      <c r="H28">
        <v>10100</v>
      </c>
      <c r="I28" t="s">
        <v>129</v>
      </c>
      <c r="J28" t="s">
        <v>521</v>
      </c>
      <c r="K28" t="s">
        <v>522</v>
      </c>
    </row>
    <row r="29" spans="1:11" x14ac:dyDescent="0.2">
      <c r="A29" t="s">
        <v>234</v>
      </c>
      <c r="B29" t="s">
        <v>235</v>
      </c>
      <c r="C29" t="s">
        <v>523</v>
      </c>
      <c r="D29" t="s">
        <v>496</v>
      </c>
      <c r="E29" t="s">
        <v>236</v>
      </c>
      <c r="F29" t="s">
        <v>237</v>
      </c>
      <c r="G29" t="s">
        <v>18</v>
      </c>
      <c r="H29">
        <v>1675</v>
      </c>
      <c r="I29" t="s">
        <v>238</v>
      </c>
      <c r="J29" t="s">
        <v>524</v>
      </c>
      <c r="K29" t="s">
        <v>525</v>
      </c>
    </row>
    <row r="30" spans="1:11" x14ac:dyDescent="0.2">
      <c r="A30" t="s">
        <v>291</v>
      </c>
      <c r="B30" t="s">
        <v>526</v>
      </c>
      <c r="C30" t="s">
        <v>527</v>
      </c>
      <c r="D30" t="s">
        <v>455</v>
      </c>
      <c r="E30" t="s">
        <v>293</v>
      </c>
      <c r="F30" t="s">
        <v>294</v>
      </c>
      <c r="G30" t="s">
        <v>18</v>
      </c>
      <c r="H30">
        <v>8022</v>
      </c>
      <c r="I30" t="s">
        <v>150</v>
      </c>
      <c r="J30" t="s">
        <v>528</v>
      </c>
      <c r="K30" t="s">
        <v>529</v>
      </c>
    </row>
    <row r="31" spans="1:11" x14ac:dyDescent="0.2">
      <c r="A31" t="s">
        <v>189</v>
      </c>
      <c r="B31" t="s">
        <v>190</v>
      </c>
      <c r="C31" t="s">
        <v>530</v>
      </c>
      <c r="D31" t="s">
        <v>496</v>
      </c>
      <c r="E31" t="s">
        <v>191</v>
      </c>
      <c r="F31" t="s">
        <v>192</v>
      </c>
      <c r="G31" t="s">
        <v>18</v>
      </c>
      <c r="H31">
        <v>41101</v>
      </c>
      <c r="I31" t="s">
        <v>150</v>
      </c>
      <c r="J31" t="s">
        <v>531</v>
      </c>
      <c r="K31" t="s">
        <v>18</v>
      </c>
    </row>
    <row r="32" spans="1:11" x14ac:dyDescent="0.2">
      <c r="A32" t="s">
        <v>342</v>
      </c>
      <c r="B32" t="s">
        <v>343</v>
      </c>
      <c r="C32" t="s">
        <v>532</v>
      </c>
      <c r="D32" t="s">
        <v>481</v>
      </c>
      <c r="E32" t="s">
        <v>344</v>
      </c>
      <c r="F32" t="s">
        <v>345</v>
      </c>
      <c r="G32" t="s">
        <v>55</v>
      </c>
      <c r="H32" t="s">
        <v>346</v>
      </c>
      <c r="I32" t="s">
        <v>31</v>
      </c>
      <c r="J32" t="s">
        <v>533</v>
      </c>
      <c r="K32" t="s">
        <v>18</v>
      </c>
    </row>
    <row r="33" spans="1:11" x14ac:dyDescent="0.2">
      <c r="A33" t="s">
        <v>374</v>
      </c>
      <c r="B33" t="s">
        <v>375</v>
      </c>
      <c r="C33" t="s">
        <v>534</v>
      </c>
      <c r="D33" t="s">
        <v>455</v>
      </c>
      <c r="E33" t="s">
        <v>376</v>
      </c>
      <c r="F33" t="s">
        <v>377</v>
      </c>
      <c r="G33" t="s">
        <v>202</v>
      </c>
      <c r="H33">
        <v>97403</v>
      </c>
      <c r="I33" t="s">
        <v>86</v>
      </c>
      <c r="J33" t="s">
        <v>535</v>
      </c>
      <c r="K33" t="s">
        <v>18</v>
      </c>
    </row>
    <row r="34" spans="1:11" x14ac:dyDescent="0.2">
      <c r="A34" t="s">
        <v>106</v>
      </c>
      <c r="B34" t="s">
        <v>107</v>
      </c>
      <c r="C34" t="s">
        <v>536</v>
      </c>
      <c r="D34" t="s">
        <v>436</v>
      </c>
      <c r="E34" t="s">
        <v>108</v>
      </c>
      <c r="F34" t="s">
        <v>109</v>
      </c>
      <c r="G34" t="s">
        <v>110</v>
      </c>
      <c r="H34">
        <v>1081</v>
      </c>
      <c r="I34" t="s">
        <v>62</v>
      </c>
      <c r="J34" t="s">
        <v>537</v>
      </c>
      <c r="K34" t="s">
        <v>538</v>
      </c>
    </row>
    <row r="35" spans="1:11" x14ac:dyDescent="0.2">
      <c r="A35" t="s">
        <v>25</v>
      </c>
      <c r="B35" t="s">
        <v>26</v>
      </c>
      <c r="C35" t="s">
        <v>539</v>
      </c>
      <c r="D35" t="s">
        <v>465</v>
      </c>
      <c r="E35" t="s">
        <v>27</v>
      </c>
      <c r="F35" t="s">
        <v>28</v>
      </c>
      <c r="G35" t="s">
        <v>29</v>
      </c>
      <c r="H35" t="s">
        <v>30</v>
      </c>
      <c r="I35" t="s">
        <v>31</v>
      </c>
      <c r="J35" t="s">
        <v>540</v>
      </c>
      <c r="K35" t="s">
        <v>541</v>
      </c>
    </row>
    <row r="36" spans="1:11" x14ac:dyDescent="0.2">
      <c r="A36" t="s">
        <v>57</v>
      </c>
      <c r="B36" t="s">
        <v>58</v>
      </c>
      <c r="C36" t="s">
        <v>542</v>
      </c>
      <c r="D36" t="s">
        <v>432</v>
      </c>
      <c r="E36" t="s">
        <v>59</v>
      </c>
      <c r="F36" t="s">
        <v>60</v>
      </c>
      <c r="G36" t="s">
        <v>61</v>
      </c>
      <c r="H36">
        <v>5022</v>
      </c>
      <c r="I36" t="s">
        <v>62</v>
      </c>
      <c r="J36" t="s">
        <v>543</v>
      </c>
      <c r="K36" t="s">
        <v>544</v>
      </c>
    </row>
    <row r="37" spans="1:11" x14ac:dyDescent="0.2">
      <c r="A37" t="s">
        <v>309</v>
      </c>
      <c r="B37" t="s">
        <v>310</v>
      </c>
      <c r="C37" t="s">
        <v>545</v>
      </c>
      <c r="D37" t="s">
        <v>432</v>
      </c>
      <c r="E37" t="s">
        <v>311</v>
      </c>
      <c r="F37" t="s">
        <v>312</v>
      </c>
      <c r="G37" t="s">
        <v>202</v>
      </c>
      <c r="H37">
        <v>97827</v>
      </c>
      <c r="I37" t="s">
        <v>86</v>
      </c>
      <c r="J37" t="s">
        <v>546</v>
      </c>
      <c r="K37" t="s">
        <v>547</v>
      </c>
    </row>
    <row r="38" spans="1:11" x14ac:dyDescent="0.2">
      <c r="A38" t="s">
        <v>179</v>
      </c>
      <c r="B38" t="s">
        <v>180</v>
      </c>
      <c r="C38" t="s">
        <v>548</v>
      </c>
      <c r="D38" t="s">
        <v>481</v>
      </c>
      <c r="E38" t="s">
        <v>181</v>
      </c>
      <c r="F38" t="s">
        <v>182</v>
      </c>
      <c r="G38" t="s">
        <v>183</v>
      </c>
      <c r="H38" t="s">
        <v>18</v>
      </c>
      <c r="I38" t="s">
        <v>184</v>
      </c>
      <c r="J38" t="s">
        <v>549</v>
      </c>
      <c r="K38" t="s">
        <v>550</v>
      </c>
    </row>
    <row r="39" spans="1:11" x14ac:dyDescent="0.2">
      <c r="A39" t="s">
        <v>213</v>
      </c>
      <c r="B39" t="s">
        <v>214</v>
      </c>
      <c r="C39" t="s">
        <v>551</v>
      </c>
      <c r="D39" t="s">
        <v>455</v>
      </c>
      <c r="E39" t="s">
        <v>215</v>
      </c>
      <c r="F39" t="s">
        <v>216</v>
      </c>
      <c r="G39" t="s">
        <v>217</v>
      </c>
      <c r="H39" t="s">
        <v>218</v>
      </c>
      <c r="I39" t="s">
        <v>169</v>
      </c>
      <c r="J39" t="s">
        <v>552</v>
      </c>
      <c r="K39" t="s">
        <v>18</v>
      </c>
    </row>
    <row r="40" spans="1:11" x14ac:dyDescent="0.2">
      <c r="A40" t="s">
        <v>222</v>
      </c>
      <c r="B40" t="s">
        <v>223</v>
      </c>
      <c r="C40" t="s">
        <v>553</v>
      </c>
      <c r="D40" t="s">
        <v>481</v>
      </c>
      <c r="E40" t="s">
        <v>224</v>
      </c>
      <c r="F40" t="s">
        <v>225</v>
      </c>
      <c r="G40" t="s">
        <v>18</v>
      </c>
      <c r="H40">
        <v>14776</v>
      </c>
      <c r="I40" t="s">
        <v>24</v>
      </c>
      <c r="J40" t="s">
        <v>554</v>
      </c>
      <c r="K40" t="s">
        <v>18</v>
      </c>
    </row>
    <row r="41" spans="1:11" x14ac:dyDescent="0.2">
      <c r="A41" t="s">
        <v>413</v>
      </c>
      <c r="B41" t="s">
        <v>414</v>
      </c>
      <c r="C41" t="s">
        <v>555</v>
      </c>
      <c r="D41" t="s">
        <v>432</v>
      </c>
      <c r="E41" t="s">
        <v>415</v>
      </c>
      <c r="F41" t="s">
        <v>416</v>
      </c>
      <c r="G41" t="s">
        <v>18</v>
      </c>
      <c r="H41">
        <v>78000</v>
      </c>
      <c r="I41" t="s">
        <v>19</v>
      </c>
      <c r="J41" t="s">
        <v>556</v>
      </c>
      <c r="K41" t="s">
        <v>557</v>
      </c>
    </row>
    <row r="42" spans="1:11" x14ac:dyDescent="0.2">
      <c r="A42" t="s">
        <v>262</v>
      </c>
      <c r="B42" t="s">
        <v>263</v>
      </c>
      <c r="C42" t="s">
        <v>558</v>
      </c>
      <c r="D42" t="s">
        <v>496</v>
      </c>
      <c r="E42" t="s">
        <v>264</v>
      </c>
      <c r="F42" t="s">
        <v>265</v>
      </c>
      <c r="G42" t="s">
        <v>18</v>
      </c>
      <c r="H42">
        <v>31000</v>
      </c>
      <c r="I42" t="s">
        <v>19</v>
      </c>
      <c r="J42" t="s">
        <v>559</v>
      </c>
      <c r="K42" t="s">
        <v>560</v>
      </c>
    </row>
    <row r="43" spans="1:11" x14ac:dyDescent="0.2">
      <c r="A43" t="s">
        <v>358</v>
      </c>
      <c r="B43" t="s">
        <v>359</v>
      </c>
      <c r="C43" t="s">
        <v>561</v>
      </c>
      <c r="D43" t="s">
        <v>500</v>
      </c>
      <c r="E43" t="s">
        <v>562</v>
      </c>
      <c r="F43" t="s">
        <v>361</v>
      </c>
      <c r="G43" t="s">
        <v>322</v>
      </c>
      <c r="H43" t="s">
        <v>362</v>
      </c>
      <c r="I43" t="s">
        <v>249</v>
      </c>
      <c r="J43" t="s">
        <v>563</v>
      </c>
      <c r="K43" t="s">
        <v>564</v>
      </c>
    </row>
    <row r="44" spans="1:11" x14ac:dyDescent="0.2">
      <c r="A44" t="s">
        <v>354</v>
      </c>
      <c r="B44" t="s">
        <v>355</v>
      </c>
      <c r="C44" t="s">
        <v>565</v>
      </c>
      <c r="D44" t="s">
        <v>455</v>
      </c>
      <c r="E44" t="s">
        <v>356</v>
      </c>
      <c r="F44" t="s">
        <v>357</v>
      </c>
      <c r="G44" t="s">
        <v>115</v>
      </c>
      <c r="H44">
        <v>99362</v>
      </c>
      <c r="I44" t="s">
        <v>86</v>
      </c>
      <c r="J44" t="s">
        <v>566</v>
      </c>
      <c r="K44" t="s">
        <v>567</v>
      </c>
    </row>
    <row r="45" spans="1:11" x14ac:dyDescent="0.2">
      <c r="A45" t="s">
        <v>142</v>
      </c>
      <c r="B45" t="s">
        <v>143</v>
      </c>
      <c r="C45" t="s">
        <v>568</v>
      </c>
      <c r="D45" t="s">
        <v>432</v>
      </c>
      <c r="E45" t="s">
        <v>144</v>
      </c>
      <c r="F45" t="s">
        <v>145</v>
      </c>
      <c r="G45" t="s">
        <v>18</v>
      </c>
      <c r="H45">
        <v>60528</v>
      </c>
      <c r="I45" t="s">
        <v>24</v>
      </c>
      <c r="J45" t="s">
        <v>569</v>
      </c>
      <c r="K45" t="s">
        <v>570</v>
      </c>
    </row>
    <row r="46" spans="1:11" x14ac:dyDescent="0.2">
      <c r="A46" t="s">
        <v>387</v>
      </c>
      <c r="B46" t="s">
        <v>388</v>
      </c>
      <c r="C46" t="s">
        <v>571</v>
      </c>
      <c r="D46" t="s">
        <v>436</v>
      </c>
      <c r="E46" t="s">
        <v>389</v>
      </c>
      <c r="F46" t="s">
        <v>390</v>
      </c>
      <c r="G46" t="s">
        <v>391</v>
      </c>
      <c r="H46">
        <v>94117</v>
      </c>
      <c r="I46" t="s">
        <v>86</v>
      </c>
      <c r="J46" t="s">
        <v>572</v>
      </c>
      <c r="K46" t="s">
        <v>18</v>
      </c>
    </row>
    <row r="47" spans="1:11" x14ac:dyDescent="0.2">
      <c r="A47" t="s">
        <v>151</v>
      </c>
      <c r="B47" t="s">
        <v>152</v>
      </c>
      <c r="C47" t="s">
        <v>573</v>
      </c>
      <c r="D47" t="s">
        <v>465</v>
      </c>
      <c r="E47" t="s">
        <v>153</v>
      </c>
      <c r="F47" t="s">
        <v>154</v>
      </c>
      <c r="G47" t="s">
        <v>155</v>
      </c>
      <c r="H47">
        <v>3508</v>
      </c>
      <c r="I47" t="s">
        <v>62</v>
      </c>
      <c r="J47" t="s">
        <v>574</v>
      </c>
      <c r="K47" t="s">
        <v>575</v>
      </c>
    </row>
    <row r="48" spans="1:11" x14ac:dyDescent="0.2">
      <c r="A48" t="s">
        <v>324</v>
      </c>
      <c r="B48" t="s">
        <v>325</v>
      </c>
      <c r="C48" t="s">
        <v>576</v>
      </c>
      <c r="D48" t="s">
        <v>436</v>
      </c>
      <c r="E48" t="s">
        <v>326</v>
      </c>
      <c r="F48" t="s">
        <v>327</v>
      </c>
      <c r="G48" t="s">
        <v>328</v>
      </c>
      <c r="H48">
        <v>4980</v>
      </c>
      <c r="I48" t="s">
        <v>62</v>
      </c>
      <c r="J48" t="s">
        <v>577</v>
      </c>
      <c r="K48" t="s">
        <v>578</v>
      </c>
    </row>
    <row r="49" spans="1:11" x14ac:dyDescent="0.2">
      <c r="A49" t="s">
        <v>198</v>
      </c>
      <c r="B49" t="s">
        <v>199</v>
      </c>
      <c r="C49" t="s">
        <v>579</v>
      </c>
      <c r="D49" t="s">
        <v>496</v>
      </c>
      <c r="E49" t="s">
        <v>200</v>
      </c>
      <c r="F49" t="s">
        <v>201</v>
      </c>
      <c r="G49" t="s">
        <v>202</v>
      </c>
      <c r="H49">
        <v>97219</v>
      </c>
      <c r="I49" t="s">
        <v>86</v>
      </c>
      <c r="J49" t="s">
        <v>580</v>
      </c>
      <c r="K49" t="s">
        <v>581</v>
      </c>
    </row>
    <row r="50" spans="1:11" x14ac:dyDescent="0.2">
      <c r="A50" t="s">
        <v>125</v>
      </c>
      <c r="B50" t="s">
        <v>126</v>
      </c>
      <c r="C50" t="s">
        <v>582</v>
      </c>
      <c r="D50" t="s">
        <v>455</v>
      </c>
      <c r="E50" t="s">
        <v>127</v>
      </c>
      <c r="F50" t="s">
        <v>128</v>
      </c>
      <c r="G50" t="s">
        <v>18</v>
      </c>
      <c r="H50">
        <v>24100</v>
      </c>
      <c r="I50" t="s">
        <v>129</v>
      </c>
      <c r="J50" t="s">
        <v>583</v>
      </c>
      <c r="K50" t="s">
        <v>584</v>
      </c>
    </row>
    <row r="51" spans="1:11" x14ac:dyDescent="0.2">
      <c r="A51" t="s">
        <v>378</v>
      </c>
      <c r="B51" t="s">
        <v>379</v>
      </c>
      <c r="C51" t="s">
        <v>585</v>
      </c>
      <c r="D51" t="s">
        <v>471</v>
      </c>
      <c r="E51" t="s">
        <v>380</v>
      </c>
      <c r="F51" t="s">
        <v>381</v>
      </c>
      <c r="G51" t="s">
        <v>18</v>
      </c>
      <c r="H51" t="s">
        <v>382</v>
      </c>
      <c r="I51" t="s">
        <v>41</v>
      </c>
      <c r="J51" t="s">
        <v>586</v>
      </c>
      <c r="K51" t="s">
        <v>587</v>
      </c>
    </row>
    <row r="52" spans="1:11" x14ac:dyDescent="0.2">
      <c r="A52" t="s">
        <v>243</v>
      </c>
      <c r="B52" t="s">
        <v>244</v>
      </c>
      <c r="C52" t="s">
        <v>588</v>
      </c>
      <c r="D52" t="s">
        <v>500</v>
      </c>
      <c r="E52" t="s">
        <v>245</v>
      </c>
      <c r="F52" t="s">
        <v>246</v>
      </c>
      <c r="G52" t="s">
        <v>247</v>
      </c>
      <c r="H52" t="s">
        <v>248</v>
      </c>
      <c r="I52" t="s">
        <v>249</v>
      </c>
      <c r="J52" t="s">
        <v>589</v>
      </c>
      <c r="K52" t="s">
        <v>590</v>
      </c>
    </row>
    <row r="53" spans="1:11" x14ac:dyDescent="0.2">
      <c r="A53" t="s">
        <v>133</v>
      </c>
      <c r="B53" t="s">
        <v>134</v>
      </c>
      <c r="C53" t="s">
        <v>591</v>
      </c>
      <c r="D53" t="s">
        <v>500</v>
      </c>
      <c r="E53" t="s">
        <v>135</v>
      </c>
      <c r="F53" t="s">
        <v>136</v>
      </c>
      <c r="G53" t="s">
        <v>18</v>
      </c>
      <c r="H53">
        <v>4179</v>
      </c>
      <c r="I53" t="s">
        <v>24</v>
      </c>
      <c r="J53" t="s">
        <v>592</v>
      </c>
      <c r="K53" t="s">
        <v>18</v>
      </c>
    </row>
    <row r="54" spans="1:11" x14ac:dyDescent="0.2">
      <c r="A54" t="s">
        <v>367</v>
      </c>
      <c r="B54" t="s">
        <v>368</v>
      </c>
      <c r="C54" t="s">
        <v>593</v>
      </c>
      <c r="D54" t="s">
        <v>481</v>
      </c>
      <c r="E54" t="s">
        <v>369</v>
      </c>
      <c r="F54" t="s">
        <v>167</v>
      </c>
      <c r="G54" t="s">
        <v>18</v>
      </c>
      <c r="H54" t="s">
        <v>370</v>
      </c>
      <c r="I54" t="s">
        <v>169</v>
      </c>
      <c r="J54" t="s">
        <v>594</v>
      </c>
      <c r="K54" t="s">
        <v>595</v>
      </c>
    </row>
    <row r="55" spans="1:11" x14ac:dyDescent="0.2">
      <c r="A55" t="s">
        <v>333</v>
      </c>
      <c r="B55" t="s">
        <v>334</v>
      </c>
      <c r="C55" t="s">
        <v>596</v>
      </c>
      <c r="D55" t="s">
        <v>471</v>
      </c>
      <c r="E55" t="s">
        <v>335</v>
      </c>
      <c r="F55" t="s">
        <v>336</v>
      </c>
      <c r="G55" t="s">
        <v>18</v>
      </c>
      <c r="H55">
        <v>1010</v>
      </c>
      <c r="I55" t="s">
        <v>337</v>
      </c>
      <c r="J55" t="s">
        <v>597</v>
      </c>
      <c r="K55" t="s">
        <v>598</v>
      </c>
    </row>
    <row r="56" spans="1:11" x14ac:dyDescent="0.2">
      <c r="A56" t="s">
        <v>193</v>
      </c>
      <c r="B56" t="s">
        <v>194</v>
      </c>
      <c r="C56" t="s">
        <v>599</v>
      </c>
      <c r="D56" t="s">
        <v>432</v>
      </c>
      <c r="E56" t="s">
        <v>195</v>
      </c>
      <c r="F56" t="s">
        <v>196</v>
      </c>
      <c r="G56" t="s">
        <v>197</v>
      </c>
      <c r="H56">
        <v>99508</v>
      </c>
      <c r="I56" t="s">
        <v>86</v>
      </c>
      <c r="J56" t="s">
        <v>600</v>
      </c>
      <c r="K56" t="s">
        <v>601</v>
      </c>
    </row>
    <row r="57" spans="1:11" x14ac:dyDescent="0.2">
      <c r="A57" t="s">
        <v>73</v>
      </c>
      <c r="B57" t="s">
        <v>74</v>
      </c>
      <c r="C57" t="s">
        <v>602</v>
      </c>
      <c r="D57" t="s">
        <v>436</v>
      </c>
      <c r="E57" t="s">
        <v>75</v>
      </c>
      <c r="F57" t="s">
        <v>76</v>
      </c>
      <c r="G57" t="s">
        <v>18</v>
      </c>
      <c r="H57">
        <v>50739</v>
      </c>
      <c r="I57" t="s">
        <v>24</v>
      </c>
      <c r="J57" t="s">
        <v>603</v>
      </c>
      <c r="K57" t="s">
        <v>604</v>
      </c>
    </row>
    <row r="58" spans="1:11" x14ac:dyDescent="0.2">
      <c r="A58" t="s">
        <v>605</v>
      </c>
      <c r="B58" t="s">
        <v>606</v>
      </c>
      <c r="C58" t="s">
        <v>607</v>
      </c>
      <c r="D58" t="s">
        <v>436</v>
      </c>
      <c r="E58" t="s">
        <v>608</v>
      </c>
      <c r="F58" t="s">
        <v>412</v>
      </c>
      <c r="G58" t="s">
        <v>18</v>
      </c>
      <c r="H58">
        <v>75012</v>
      </c>
      <c r="I58" t="s">
        <v>19</v>
      </c>
      <c r="J58" t="s">
        <v>609</v>
      </c>
      <c r="K58" t="s">
        <v>610</v>
      </c>
    </row>
    <row r="59" spans="1:11" x14ac:dyDescent="0.2">
      <c r="A59" t="s">
        <v>219</v>
      </c>
      <c r="B59" t="s">
        <v>220</v>
      </c>
      <c r="C59" t="s">
        <v>611</v>
      </c>
      <c r="D59" t="s">
        <v>432</v>
      </c>
      <c r="E59" t="s">
        <v>221</v>
      </c>
      <c r="F59" t="s">
        <v>71</v>
      </c>
      <c r="G59" t="s">
        <v>18</v>
      </c>
      <c r="H59">
        <v>5033</v>
      </c>
      <c r="I59" t="s">
        <v>72</v>
      </c>
      <c r="J59" t="s">
        <v>612</v>
      </c>
      <c r="K59" t="s">
        <v>613</v>
      </c>
    </row>
    <row r="60" spans="1:11" x14ac:dyDescent="0.2">
      <c r="A60" t="s">
        <v>266</v>
      </c>
      <c r="B60" t="s">
        <v>267</v>
      </c>
      <c r="C60" t="s">
        <v>614</v>
      </c>
      <c r="D60" t="s">
        <v>496</v>
      </c>
      <c r="E60" t="s">
        <v>268</v>
      </c>
      <c r="F60" t="s">
        <v>269</v>
      </c>
      <c r="G60" t="s">
        <v>18</v>
      </c>
      <c r="H60">
        <v>5020</v>
      </c>
      <c r="I60" t="s">
        <v>67</v>
      </c>
      <c r="J60" t="s">
        <v>615</v>
      </c>
      <c r="K60" t="s">
        <v>616</v>
      </c>
    </row>
    <row r="61" spans="1:11" x14ac:dyDescent="0.2">
      <c r="A61" t="s">
        <v>250</v>
      </c>
      <c r="B61" t="s">
        <v>251</v>
      </c>
      <c r="C61" t="s">
        <v>617</v>
      </c>
      <c r="D61" t="s">
        <v>432</v>
      </c>
      <c r="E61" t="s">
        <v>252</v>
      </c>
      <c r="F61" t="s">
        <v>237</v>
      </c>
      <c r="G61" t="s">
        <v>18</v>
      </c>
      <c r="H61">
        <v>1756</v>
      </c>
      <c r="I61" t="s">
        <v>238</v>
      </c>
      <c r="J61" t="s">
        <v>618</v>
      </c>
      <c r="K61" t="s">
        <v>18</v>
      </c>
    </row>
    <row r="62" spans="1:11" x14ac:dyDescent="0.2">
      <c r="A62" t="s">
        <v>77</v>
      </c>
      <c r="B62" t="s">
        <v>78</v>
      </c>
      <c r="C62" t="s">
        <v>619</v>
      </c>
      <c r="D62" t="s">
        <v>465</v>
      </c>
      <c r="E62" t="s">
        <v>79</v>
      </c>
      <c r="F62" t="s">
        <v>28</v>
      </c>
      <c r="G62" t="s">
        <v>29</v>
      </c>
      <c r="H62" t="s">
        <v>80</v>
      </c>
      <c r="I62" t="s">
        <v>31</v>
      </c>
      <c r="J62" t="s">
        <v>620</v>
      </c>
      <c r="K62" t="s">
        <v>621</v>
      </c>
    </row>
    <row r="63" spans="1:11" x14ac:dyDescent="0.2">
      <c r="A63" t="s">
        <v>299</v>
      </c>
      <c r="B63" t="s">
        <v>300</v>
      </c>
      <c r="C63" t="s">
        <v>622</v>
      </c>
      <c r="D63" t="s">
        <v>500</v>
      </c>
      <c r="E63" t="s">
        <v>301</v>
      </c>
      <c r="F63" t="s">
        <v>173</v>
      </c>
      <c r="G63" t="s">
        <v>55</v>
      </c>
      <c r="H63" t="s">
        <v>302</v>
      </c>
      <c r="I63" t="s">
        <v>31</v>
      </c>
      <c r="J63" t="s">
        <v>623</v>
      </c>
      <c r="K63" t="s">
        <v>18</v>
      </c>
    </row>
    <row r="64" spans="1:11" x14ac:dyDescent="0.2">
      <c r="A64" t="s">
        <v>121</v>
      </c>
      <c r="B64" t="s">
        <v>122</v>
      </c>
      <c r="C64" t="s">
        <v>624</v>
      </c>
      <c r="D64" t="s">
        <v>465</v>
      </c>
      <c r="E64" t="s">
        <v>123</v>
      </c>
      <c r="F64" t="s">
        <v>124</v>
      </c>
      <c r="G64" t="s">
        <v>18</v>
      </c>
      <c r="H64">
        <v>1307</v>
      </c>
      <c r="I64" t="s">
        <v>24</v>
      </c>
      <c r="J64" t="s">
        <v>625</v>
      </c>
      <c r="K64" t="s">
        <v>18</v>
      </c>
    </row>
    <row r="65" spans="1:11" x14ac:dyDescent="0.2">
      <c r="A65" t="s">
        <v>351</v>
      </c>
      <c r="B65" t="s">
        <v>352</v>
      </c>
      <c r="C65" t="s">
        <v>626</v>
      </c>
      <c r="D65" t="s">
        <v>432</v>
      </c>
      <c r="E65" t="s">
        <v>353</v>
      </c>
      <c r="F65" t="s">
        <v>336</v>
      </c>
      <c r="G65" t="s">
        <v>18</v>
      </c>
      <c r="H65">
        <v>1010</v>
      </c>
      <c r="I65" t="s">
        <v>337</v>
      </c>
      <c r="J65" t="s">
        <v>627</v>
      </c>
      <c r="K65" t="s">
        <v>628</v>
      </c>
    </row>
    <row r="66" spans="1:11" x14ac:dyDescent="0.2">
      <c r="A66" t="s">
        <v>81</v>
      </c>
      <c r="B66" t="s">
        <v>82</v>
      </c>
      <c r="C66" t="s">
        <v>629</v>
      </c>
      <c r="D66" t="s">
        <v>630</v>
      </c>
      <c r="E66" t="s">
        <v>83</v>
      </c>
      <c r="F66" t="s">
        <v>84</v>
      </c>
      <c r="G66" t="s">
        <v>85</v>
      </c>
      <c r="H66">
        <v>87110</v>
      </c>
      <c r="I66" t="s">
        <v>86</v>
      </c>
      <c r="J66" t="s">
        <v>631</v>
      </c>
      <c r="K66" t="s">
        <v>632</v>
      </c>
    </row>
    <row r="67" spans="1:11" x14ac:dyDescent="0.2">
      <c r="A67" t="s">
        <v>160</v>
      </c>
      <c r="B67" t="s">
        <v>161</v>
      </c>
      <c r="C67" t="s">
        <v>633</v>
      </c>
      <c r="D67" t="s">
        <v>481</v>
      </c>
      <c r="E67" t="s">
        <v>162</v>
      </c>
      <c r="F67" t="s">
        <v>163</v>
      </c>
      <c r="G67" t="s">
        <v>18</v>
      </c>
      <c r="H67">
        <v>42100</v>
      </c>
      <c r="I67" t="s">
        <v>129</v>
      </c>
      <c r="J67" t="s">
        <v>634</v>
      </c>
      <c r="K67" t="s">
        <v>635</v>
      </c>
    </row>
    <row r="68" spans="1:11" x14ac:dyDescent="0.2">
      <c r="A68" t="s">
        <v>156</v>
      </c>
      <c r="B68" t="s">
        <v>157</v>
      </c>
      <c r="C68" t="s">
        <v>636</v>
      </c>
      <c r="D68" t="s">
        <v>509</v>
      </c>
      <c r="E68" t="s">
        <v>158</v>
      </c>
      <c r="F68" t="s">
        <v>28</v>
      </c>
      <c r="G68" t="s">
        <v>29</v>
      </c>
      <c r="H68" t="s">
        <v>159</v>
      </c>
      <c r="I68" t="s">
        <v>31</v>
      </c>
      <c r="J68" t="s">
        <v>637</v>
      </c>
      <c r="K68" t="s">
        <v>18</v>
      </c>
    </row>
    <row r="69" spans="1:11" x14ac:dyDescent="0.2">
      <c r="A69" t="s">
        <v>47</v>
      </c>
      <c r="B69" t="s">
        <v>48</v>
      </c>
      <c r="C69" t="s">
        <v>638</v>
      </c>
      <c r="D69" t="s">
        <v>496</v>
      </c>
      <c r="E69" t="s">
        <v>639</v>
      </c>
      <c r="F69" t="s">
        <v>50</v>
      </c>
      <c r="G69" t="s">
        <v>18</v>
      </c>
      <c r="H69">
        <v>1203</v>
      </c>
      <c r="I69" t="s">
        <v>46</v>
      </c>
      <c r="J69" t="s">
        <v>640</v>
      </c>
      <c r="K69" t="s">
        <v>18</v>
      </c>
    </row>
    <row r="70" spans="1:11" x14ac:dyDescent="0.2">
      <c r="A70" t="s">
        <v>146</v>
      </c>
      <c r="B70" t="s">
        <v>147</v>
      </c>
      <c r="C70" t="s">
        <v>641</v>
      </c>
      <c r="D70" t="s">
        <v>465</v>
      </c>
      <c r="E70" t="s">
        <v>148</v>
      </c>
      <c r="F70" t="s">
        <v>149</v>
      </c>
      <c r="G70" t="s">
        <v>18</v>
      </c>
      <c r="H70">
        <v>28001</v>
      </c>
      <c r="I70" t="s">
        <v>150</v>
      </c>
      <c r="J70" t="s">
        <v>642</v>
      </c>
      <c r="K70" t="s">
        <v>643</v>
      </c>
    </row>
    <row r="71" spans="1:11" x14ac:dyDescent="0.2">
      <c r="A71" t="s">
        <v>313</v>
      </c>
      <c r="B71" t="s">
        <v>314</v>
      </c>
      <c r="C71" t="s">
        <v>644</v>
      </c>
      <c r="D71" t="s">
        <v>436</v>
      </c>
      <c r="E71" t="s">
        <v>315</v>
      </c>
      <c r="F71" t="s">
        <v>316</v>
      </c>
      <c r="G71" t="s">
        <v>18</v>
      </c>
      <c r="H71">
        <v>4110</v>
      </c>
      <c r="I71" t="s">
        <v>317</v>
      </c>
      <c r="J71" t="s">
        <v>645</v>
      </c>
      <c r="K71" t="s">
        <v>646</v>
      </c>
    </row>
    <row r="72" spans="1:11" x14ac:dyDescent="0.2">
      <c r="A72" t="s">
        <v>226</v>
      </c>
      <c r="B72" t="s">
        <v>227</v>
      </c>
      <c r="C72" t="s">
        <v>647</v>
      </c>
      <c r="D72" t="s">
        <v>432</v>
      </c>
      <c r="E72" t="s">
        <v>228</v>
      </c>
      <c r="F72" t="s">
        <v>229</v>
      </c>
      <c r="G72" t="s">
        <v>230</v>
      </c>
      <c r="H72">
        <v>83720</v>
      </c>
      <c r="I72" t="s">
        <v>86</v>
      </c>
      <c r="J72" t="s">
        <v>648</v>
      </c>
      <c r="K72" t="s">
        <v>18</v>
      </c>
    </row>
    <row r="73" spans="1:11" x14ac:dyDescent="0.2">
      <c r="A73" t="s">
        <v>276</v>
      </c>
      <c r="B73" t="s">
        <v>277</v>
      </c>
      <c r="C73" t="s">
        <v>649</v>
      </c>
      <c r="D73" t="s">
        <v>496</v>
      </c>
      <c r="E73" t="s">
        <v>278</v>
      </c>
      <c r="F73" t="s">
        <v>167</v>
      </c>
      <c r="G73" t="s">
        <v>18</v>
      </c>
      <c r="H73" t="s">
        <v>279</v>
      </c>
      <c r="I73" t="s">
        <v>169</v>
      </c>
      <c r="J73" t="s">
        <v>650</v>
      </c>
      <c r="K73" t="s">
        <v>651</v>
      </c>
    </row>
    <row r="74" spans="1:11" x14ac:dyDescent="0.2">
      <c r="A74" t="s">
        <v>253</v>
      </c>
      <c r="B74" t="s">
        <v>254</v>
      </c>
      <c r="C74" t="s">
        <v>652</v>
      </c>
      <c r="D74" t="s">
        <v>436</v>
      </c>
      <c r="E74" t="s">
        <v>255</v>
      </c>
      <c r="F74" t="s">
        <v>256</v>
      </c>
      <c r="G74" t="s">
        <v>18</v>
      </c>
      <c r="H74">
        <v>1734</v>
      </c>
      <c r="I74" t="s">
        <v>257</v>
      </c>
      <c r="J74" t="s">
        <v>653</v>
      </c>
      <c r="K74" t="s">
        <v>654</v>
      </c>
    </row>
    <row r="75" spans="1:11" x14ac:dyDescent="0.2">
      <c r="A75" t="s">
        <v>409</v>
      </c>
      <c r="B75" t="s">
        <v>410</v>
      </c>
      <c r="C75" t="s">
        <v>655</v>
      </c>
      <c r="D75" t="s">
        <v>455</v>
      </c>
      <c r="E75" t="s">
        <v>411</v>
      </c>
      <c r="F75" t="s">
        <v>412</v>
      </c>
      <c r="G75" t="s">
        <v>18</v>
      </c>
      <c r="H75">
        <v>75016</v>
      </c>
      <c r="I75" t="s">
        <v>19</v>
      </c>
      <c r="J75" t="s">
        <v>656</v>
      </c>
      <c r="K75" t="s">
        <v>657</v>
      </c>
    </row>
    <row r="76" spans="1:11" x14ac:dyDescent="0.2">
      <c r="A76" t="s">
        <v>116</v>
      </c>
      <c r="B76" t="s">
        <v>117</v>
      </c>
      <c r="C76" t="s">
        <v>658</v>
      </c>
      <c r="D76" t="s">
        <v>496</v>
      </c>
      <c r="E76" t="s">
        <v>118</v>
      </c>
      <c r="F76" t="s">
        <v>119</v>
      </c>
      <c r="G76" t="s">
        <v>120</v>
      </c>
      <c r="H76">
        <v>82520</v>
      </c>
      <c r="I76" t="s">
        <v>86</v>
      </c>
      <c r="J76" t="s">
        <v>659</v>
      </c>
      <c r="K76" t="s">
        <v>660</v>
      </c>
    </row>
    <row r="77" spans="1:11" x14ac:dyDescent="0.2">
      <c r="A77" t="s">
        <v>36</v>
      </c>
      <c r="B77" t="s">
        <v>37</v>
      </c>
      <c r="C77" t="s">
        <v>661</v>
      </c>
      <c r="D77" t="s">
        <v>465</v>
      </c>
      <c r="E77" t="s">
        <v>38</v>
      </c>
      <c r="F77" t="s">
        <v>39</v>
      </c>
      <c r="G77" t="s">
        <v>18</v>
      </c>
      <c r="H77" t="s">
        <v>40</v>
      </c>
      <c r="I77" t="s">
        <v>41</v>
      </c>
      <c r="J77" t="s">
        <v>662</v>
      </c>
      <c r="K77" t="s">
        <v>663</v>
      </c>
    </row>
    <row r="78" spans="1:11" x14ac:dyDescent="0.2">
      <c r="A78" t="s">
        <v>206</v>
      </c>
      <c r="B78" t="s">
        <v>207</v>
      </c>
      <c r="C78" t="s">
        <v>664</v>
      </c>
      <c r="D78" t="s">
        <v>455</v>
      </c>
      <c r="E78" t="s">
        <v>208</v>
      </c>
      <c r="F78" t="s">
        <v>201</v>
      </c>
      <c r="G78" t="s">
        <v>202</v>
      </c>
      <c r="H78">
        <v>97201</v>
      </c>
      <c r="I78" t="s">
        <v>86</v>
      </c>
      <c r="J78" t="s">
        <v>665</v>
      </c>
      <c r="K78" t="s">
        <v>18</v>
      </c>
    </row>
    <row r="79" spans="1:11" x14ac:dyDescent="0.2">
      <c r="A79" t="s">
        <v>396</v>
      </c>
      <c r="B79" t="s">
        <v>397</v>
      </c>
      <c r="C79" t="s">
        <v>666</v>
      </c>
      <c r="D79" t="s">
        <v>500</v>
      </c>
      <c r="E79" t="s">
        <v>398</v>
      </c>
      <c r="F79" t="s">
        <v>399</v>
      </c>
      <c r="G79" t="s">
        <v>400</v>
      </c>
      <c r="H79">
        <v>59801</v>
      </c>
      <c r="I79" t="s">
        <v>86</v>
      </c>
      <c r="J79" t="s">
        <v>667</v>
      </c>
      <c r="K79" t="s">
        <v>668</v>
      </c>
    </row>
    <row r="80" spans="1:11" x14ac:dyDescent="0.2">
      <c r="A80" t="s">
        <v>20</v>
      </c>
      <c r="B80" t="s">
        <v>21</v>
      </c>
      <c r="C80" t="s">
        <v>669</v>
      </c>
      <c r="D80" t="s">
        <v>455</v>
      </c>
      <c r="E80" t="s">
        <v>22</v>
      </c>
      <c r="F80" t="s">
        <v>23</v>
      </c>
      <c r="G80" t="s">
        <v>18</v>
      </c>
      <c r="H80">
        <v>44087</v>
      </c>
      <c r="I80" t="s">
        <v>24</v>
      </c>
      <c r="J80" t="s">
        <v>670</v>
      </c>
      <c r="K80" t="s">
        <v>671</v>
      </c>
    </row>
    <row r="81" spans="1:11" x14ac:dyDescent="0.2">
      <c r="A81" t="s">
        <v>130</v>
      </c>
      <c r="B81" t="s">
        <v>131</v>
      </c>
      <c r="C81" t="s">
        <v>672</v>
      </c>
      <c r="D81" t="s">
        <v>436</v>
      </c>
      <c r="E81" t="s">
        <v>132</v>
      </c>
      <c r="F81" t="s">
        <v>71</v>
      </c>
      <c r="G81" t="s">
        <v>18</v>
      </c>
      <c r="H81">
        <v>5033</v>
      </c>
      <c r="I81" t="s">
        <v>72</v>
      </c>
      <c r="J81" t="s">
        <v>673</v>
      </c>
      <c r="K81" t="s">
        <v>18</v>
      </c>
    </row>
    <row r="82" spans="1:11" x14ac:dyDescent="0.2">
      <c r="A82" t="s">
        <v>175</v>
      </c>
      <c r="B82" t="s">
        <v>674</v>
      </c>
      <c r="C82" t="s">
        <v>675</v>
      </c>
      <c r="D82" t="s">
        <v>432</v>
      </c>
      <c r="E82" t="s">
        <v>177</v>
      </c>
      <c r="F82" t="s">
        <v>173</v>
      </c>
      <c r="G82" t="s">
        <v>55</v>
      </c>
      <c r="H82" t="s">
        <v>178</v>
      </c>
      <c r="I82" t="s">
        <v>31</v>
      </c>
      <c r="J82" t="s">
        <v>676</v>
      </c>
      <c r="K82" t="s">
        <v>677</v>
      </c>
    </row>
    <row r="83" spans="1:11" x14ac:dyDescent="0.2">
      <c r="A83" t="s">
        <v>383</v>
      </c>
      <c r="B83" t="s">
        <v>384</v>
      </c>
      <c r="C83" t="s">
        <v>678</v>
      </c>
      <c r="D83" t="s">
        <v>481</v>
      </c>
      <c r="E83" t="s">
        <v>385</v>
      </c>
      <c r="F83" t="s">
        <v>386</v>
      </c>
      <c r="G83" t="s">
        <v>115</v>
      </c>
      <c r="H83">
        <v>98034</v>
      </c>
      <c r="I83" t="s">
        <v>86</v>
      </c>
      <c r="J83" t="s">
        <v>679</v>
      </c>
      <c r="K83" t="s">
        <v>680</v>
      </c>
    </row>
    <row r="84" spans="1:11" x14ac:dyDescent="0.2">
      <c r="A84" t="s">
        <v>295</v>
      </c>
      <c r="B84" t="s">
        <v>296</v>
      </c>
      <c r="C84" t="s">
        <v>681</v>
      </c>
      <c r="D84" t="s">
        <v>496</v>
      </c>
      <c r="E84" t="s">
        <v>297</v>
      </c>
      <c r="F84" t="s">
        <v>298</v>
      </c>
      <c r="G84" t="s">
        <v>18</v>
      </c>
      <c r="H84">
        <v>8200</v>
      </c>
      <c r="I84" t="s">
        <v>257</v>
      </c>
      <c r="J84" t="s">
        <v>682</v>
      </c>
      <c r="K84" t="s">
        <v>683</v>
      </c>
    </row>
    <row r="85" spans="1:11" x14ac:dyDescent="0.2">
      <c r="A85" t="s">
        <v>32</v>
      </c>
      <c r="B85" t="s">
        <v>33</v>
      </c>
      <c r="C85" t="s">
        <v>684</v>
      </c>
      <c r="D85" t="s">
        <v>471</v>
      </c>
      <c r="E85" t="s">
        <v>34</v>
      </c>
      <c r="F85" t="s">
        <v>35</v>
      </c>
      <c r="G85" t="s">
        <v>18</v>
      </c>
      <c r="H85">
        <v>69004</v>
      </c>
      <c r="I85" t="s">
        <v>19</v>
      </c>
      <c r="J85" t="s">
        <v>685</v>
      </c>
      <c r="K85" t="s">
        <v>686</v>
      </c>
    </row>
    <row r="86" spans="1:11" x14ac:dyDescent="0.2">
      <c r="A86" t="s">
        <v>14</v>
      </c>
      <c r="B86" t="s">
        <v>15</v>
      </c>
      <c r="C86" t="s">
        <v>687</v>
      </c>
      <c r="D86" t="s">
        <v>465</v>
      </c>
      <c r="E86" t="s">
        <v>16</v>
      </c>
      <c r="F86" t="s">
        <v>17</v>
      </c>
      <c r="G86" t="s">
        <v>18</v>
      </c>
      <c r="H86">
        <v>51100</v>
      </c>
      <c r="I86" t="s">
        <v>19</v>
      </c>
      <c r="J86" t="s">
        <v>688</v>
      </c>
      <c r="K86" t="s">
        <v>689</v>
      </c>
    </row>
    <row r="87" spans="1:11" x14ac:dyDescent="0.2">
      <c r="A87" t="s">
        <v>185</v>
      </c>
      <c r="B87" t="s">
        <v>186</v>
      </c>
      <c r="C87" t="s">
        <v>690</v>
      </c>
      <c r="D87" t="s">
        <v>432</v>
      </c>
      <c r="E87" t="s">
        <v>187</v>
      </c>
      <c r="F87" t="s">
        <v>188</v>
      </c>
      <c r="G87" t="s">
        <v>18</v>
      </c>
      <c r="H87">
        <v>70563</v>
      </c>
      <c r="I87" t="s">
        <v>24</v>
      </c>
      <c r="J87" t="s">
        <v>691</v>
      </c>
      <c r="K87" t="s">
        <v>692</v>
      </c>
    </row>
    <row r="88" spans="1:11" x14ac:dyDescent="0.2">
      <c r="A88" t="s">
        <v>97</v>
      </c>
      <c r="B88" t="s">
        <v>98</v>
      </c>
      <c r="C88" t="s">
        <v>693</v>
      </c>
      <c r="D88" t="s">
        <v>465</v>
      </c>
      <c r="E88" t="s">
        <v>99</v>
      </c>
      <c r="F88" t="s">
        <v>100</v>
      </c>
      <c r="G88" t="s">
        <v>18</v>
      </c>
      <c r="H88">
        <v>90110</v>
      </c>
      <c r="I88" t="s">
        <v>101</v>
      </c>
      <c r="J88" t="s">
        <v>694</v>
      </c>
      <c r="K88" t="s">
        <v>694</v>
      </c>
    </row>
    <row r="89" spans="1:11" x14ac:dyDescent="0.2">
      <c r="A89" t="s">
        <v>51</v>
      </c>
      <c r="B89" t="s">
        <v>52</v>
      </c>
      <c r="C89" t="s">
        <v>695</v>
      </c>
      <c r="D89" t="s">
        <v>496</v>
      </c>
      <c r="E89" t="s">
        <v>53</v>
      </c>
      <c r="F89" t="s">
        <v>54</v>
      </c>
      <c r="G89" t="s">
        <v>55</v>
      </c>
      <c r="H89" t="s">
        <v>56</v>
      </c>
      <c r="I89" t="s">
        <v>31</v>
      </c>
      <c r="J89" t="s">
        <v>696</v>
      </c>
      <c r="K89" t="s">
        <v>18</v>
      </c>
    </row>
    <row r="90" spans="1:11" x14ac:dyDescent="0.2">
      <c r="A90" t="s">
        <v>111</v>
      </c>
      <c r="B90" t="s">
        <v>112</v>
      </c>
      <c r="C90" t="s">
        <v>697</v>
      </c>
      <c r="D90" t="s">
        <v>436</v>
      </c>
      <c r="E90" t="s">
        <v>698</v>
      </c>
      <c r="F90" t="s">
        <v>114</v>
      </c>
      <c r="G90" t="s">
        <v>115</v>
      </c>
      <c r="H90">
        <v>98128</v>
      </c>
      <c r="I90" t="s">
        <v>86</v>
      </c>
      <c r="J90" t="s">
        <v>699</v>
      </c>
      <c r="K90" t="s">
        <v>700</v>
      </c>
    </row>
    <row r="91" spans="1:11" x14ac:dyDescent="0.2">
      <c r="A91" t="s">
        <v>392</v>
      </c>
      <c r="B91" t="s">
        <v>393</v>
      </c>
      <c r="C91" t="s">
        <v>701</v>
      </c>
      <c r="D91" t="s">
        <v>702</v>
      </c>
      <c r="E91" t="s">
        <v>394</v>
      </c>
      <c r="F91" t="s">
        <v>395</v>
      </c>
      <c r="G91" t="s">
        <v>18</v>
      </c>
      <c r="H91">
        <v>21240</v>
      </c>
      <c r="I91" t="s">
        <v>101</v>
      </c>
      <c r="J91" t="s">
        <v>703</v>
      </c>
      <c r="K91" t="s">
        <v>703</v>
      </c>
    </row>
    <row r="92" spans="1:11" x14ac:dyDescent="0.2">
      <c r="A92" t="s">
        <v>303</v>
      </c>
      <c r="B92" t="s">
        <v>704</v>
      </c>
      <c r="C92" t="s">
        <v>705</v>
      </c>
      <c r="D92" t="s">
        <v>436</v>
      </c>
      <c r="E92" t="s">
        <v>305</v>
      </c>
      <c r="F92" t="s">
        <v>306</v>
      </c>
      <c r="G92" t="s">
        <v>18</v>
      </c>
      <c r="H92" t="s">
        <v>307</v>
      </c>
      <c r="I92" t="s">
        <v>308</v>
      </c>
      <c r="J92" t="s">
        <v>706</v>
      </c>
      <c r="K92" t="s">
        <v>706</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A8BCF5-2D7F-A743-AC66-744024E09F6C}">
  <dimension ref="A1:AA10"/>
  <sheetViews>
    <sheetView zoomScale="189" workbookViewId="0">
      <selection sqref="A1:AA10"/>
    </sheetView>
  </sheetViews>
  <sheetFormatPr baseColWidth="10" defaultRowHeight="16" x14ac:dyDescent="0.2"/>
  <cols>
    <col min="1" max="1" width="12" customWidth="1"/>
    <col min="4" max="4" width="25" customWidth="1"/>
    <col min="5" max="5" width="14.83203125" customWidth="1"/>
    <col min="6" max="6" width="9.83203125" customWidth="1"/>
    <col min="7" max="7" width="9.1640625" customWidth="1"/>
    <col min="8" max="8" width="28.5" bestFit="1" customWidth="1"/>
    <col min="11" max="11" width="11.5" customWidth="1"/>
    <col min="13" max="13" width="12" customWidth="1"/>
    <col min="18" max="18" width="20.1640625" bestFit="1" customWidth="1"/>
    <col min="19" max="19" width="16.33203125" customWidth="1"/>
    <col min="20" max="20" width="14.83203125" customWidth="1"/>
    <col min="21" max="21" width="13.5" customWidth="1"/>
    <col min="22" max="22" width="14.1640625" customWidth="1"/>
    <col min="23" max="23" width="14.5" customWidth="1"/>
    <col min="26" max="26" width="12.6640625" customWidth="1"/>
    <col min="27" max="27" width="16" customWidth="1"/>
  </cols>
  <sheetData>
    <row r="1" spans="1:27" x14ac:dyDescent="0.2">
      <c r="A1" t="s">
        <v>2</v>
      </c>
      <c r="B1" t="s">
        <v>707</v>
      </c>
      <c r="C1" t="s">
        <v>708</v>
      </c>
      <c r="D1" t="s">
        <v>709</v>
      </c>
      <c r="E1" t="s">
        <v>710</v>
      </c>
      <c r="F1" t="s">
        <v>711</v>
      </c>
      <c r="G1" t="s">
        <v>712</v>
      </c>
      <c r="H1" t="s">
        <v>424</v>
      </c>
      <c r="I1" t="s">
        <v>425</v>
      </c>
      <c r="J1" t="s">
        <v>426</v>
      </c>
      <c r="K1" t="s">
        <v>427</v>
      </c>
      <c r="L1" t="s">
        <v>428</v>
      </c>
      <c r="M1" t="s">
        <v>713</v>
      </c>
      <c r="N1" t="s">
        <v>714</v>
      </c>
      <c r="O1" t="s">
        <v>715</v>
      </c>
      <c r="P1" t="s">
        <v>716</v>
      </c>
      <c r="Q1" t="s">
        <v>717</v>
      </c>
      <c r="R1" t="s">
        <v>718</v>
      </c>
      <c r="S1" t="s">
        <v>719</v>
      </c>
      <c r="T1" t="s">
        <v>720</v>
      </c>
      <c r="U1" t="s">
        <v>721</v>
      </c>
      <c r="V1" t="s">
        <v>722</v>
      </c>
      <c r="W1" t="s">
        <v>723</v>
      </c>
      <c r="X1" t="s">
        <v>724</v>
      </c>
      <c r="Y1" t="s">
        <v>725</v>
      </c>
      <c r="Z1" t="s">
        <v>726</v>
      </c>
      <c r="AA1" t="s">
        <v>727</v>
      </c>
    </row>
    <row r="2" spans="1:27" x14ac:dyDescent="0.2">
      <c r="A2">
        <v>1</v>
      </c>
      <c r="B2" t="s">
        <v>728</v>
      </c>
      <c r="C2" t="s">
        <v>729</v>
      </c>
      <c r="D2" t="s">
        <v>432</v>
      </c>
      <c r="E2" t="s">
        <v>730</v>
      </c>
      <c r="F2" s="1">
        <v>17875</v>
      </c>
      <c r="G2" s="1">
        <v>33725</v>
      </c>
      <c r="H2" t="s">
        <v>731</v>
      </c>
      <c r="I2" t="s">
        <v>114</v>
      </c>
      <c r="J2" t="s">
        <v>115</v>
      </c>
      <c r="K2">
        <v>98122</v>
      </c>
      <c r="L2" t="s">
        <v>86</v>
      </c>
      <c r="M2" t="s">
        <v>732</v>
      </c>
      <c r="N2">
        <v>5467</v>
      </c>
      <c r="O2" t="s">
        <v>733</v>
      </c>
      <c r="P2">
        <v>2</v>
      </c>
      <c r="Q2" t="s">
        <v>734</v>
      </c>
      <c r="R2" t="s">
        <v>735</v>
      </c>
      <c r="S2" t="s">
        <v>736</v>
      </c>
      <c r="T2" t="s">
        <v>737</v>
      </c>
      <c r="U2">
        <v>0</v>
      </c>
      <c r="V2" t="s">
        <v>735</v>
      </c>
      <c r="W2">
        <v>1</v>
      </c>
      <c r="X2">
        <v>0</v>
      </c>
      <c r="Y2">
        <v>0</v>
      </c>
      <c r="Z2">
        <v>0</v>
      </c>
      <c r="AA2">
        <v>0</v>
      </c>
    </row>
    <row r="3" spans="1:27" x14ac:dyDescent="0.2">
      <c r="A3">
        <v>2</v>
      </c>
      <c r="B3" t="s">
        <v>738</v>
      </c>
      <c r="C3" t="s">
        <v>739</v>
      </c>
      <c r="D3" t="s">
        <v>740</v>
      </c>
      <c r="E3" t="s">
        <v>741</v>
      </c>
      <c r="F3" s="1">
        <v>19043</v>
      </c>
      <c r="G3" s="1">
        <v>33830</v>
      </c>
      <c r="H3" t="s">
        <v>742</v>
      </c>
      <c r="I3" t="s">
        <v>743</v>
      </c>
      <c r="J3" t="s">
        <v>115</v>
      </c>
      <c r="K3">
        <v>98401</v>
      </c>
      <c r="L3" t="s">
        <v>86</v>
      </c>
      <c r="M3" t="s">
        <v>744</v>
      </c>
      <c r="N3">
        <v>3457</v>
      </c>
      <c r="O3" t="s">
        <v>745</v>
      </c>
      <c r="P3" t="s">
        <v>18</v>
      </c>
      <c r="Q3" t="s">
        <v>746</v>
      </c>
      <c r="R3" t="s">
        <v>747</v>
      </c>
      <c r="S3" t="s">
        <v>748</v>
      </c>
      <c r="T3" t="s">
        <v>749</v>
      </c>
      <c r="U3">
        <v>1</v>
      </c>
      <c r="V3" t="s">
        <v>750</v>
      </c>
      <c r="W3">
        <v>0</v>
      </c>
      <c r="X3">
        <v>1</v>
      </c>
      <c r="Y3">
        <v>1</v>
      </c>
      <c r="Z3">
        <v>1</v>
      </c>
      <c r="AA3">
        <v>1</v>
      </c>
    </row>
    <row r="4" spans="1:27" x14ac:dyDescent="0.2">
      <c r="A4">
        <v>3</v>
      </c>
      <c r="B4" t="s">
        <v>751</v>
      </c>
      <c r="C4" t="s">
        <v>752</v>
      </c>
      <c r="D4" t="s">
        <v>432</v>
      </c>
      <c r="E4" t="s">
        <v>730</v>
      </c>
      <c r="F4" s="1">
        <v>23253</v>
      </c>
      <c r="G4" s="1">
        <v>33695</v>
      </c>
      <c r="H4" t="s">
        <v>753</v>
      </c>
      <c r="I4" t="s">
        <v>386</v>
      </c>
      <c r="J4" t="s">
        <v>115</v>
      </c>
      <c r="K4">
        <v>98033</v>
      </c>
      <c r="L4" t="s">
        <v>86</v>
      </c>
      <c r="M4" t="s">
        <v>754</v>
      </c>
      <c r="N4">
        <v>3355</v>
      </c>
      <c r="O4" t="s">
        <v>755</v>
      </c>
      <c r="P4">
        <v>2</v>
      </c>
      <c r="Q4" t="s">
        <v>756</v>
      </c>
      <c r="R4" t="s">
        <v>757</v>
      </c>
      <c r="S4" t="s">
        <v>758</v>
      </c>
      <c r="T4" t="s">
        <v>749</v>
      </c>
      <c r="U4">
        <v>0</v>
      </c>
      <c r="V4" t="s">
        <v>759</v>
      </c>
      <c r="W4">
        <v>1</v>
      </c>
      <c r="X4">
        <v>0</v>
      </c>
      <c r="Y4">
        <v>0</v>
      </c>
      <c r="Z4">
        <v>0</v>
      </c>
      <c r="AA4">
        <v>0</v>
      </c>
    </row>
    <row r="5" spans="1:27" x14ac:dyDescent="0.2">
      <c r="A5">
        <v>4</v>
      </c>
      <c r="B5" t="s">
        <v>760</v>
      </c>
      <c r="C5" t="s">
        <v>761</v>
      </c>
      <c r="D5" t="s">
        <v>432</v>
      </c>
      <c r="E5" t="s">
        <v>762</v>
      </c>
      <c r="F5" s="1">
        <v>13777</v>
      </c>
      <c r="G5" s="1">
        <v>34092</v>
      </c>
      <c r="H5" t="s">
        <v>763</v>
      </c>
      <c r="I5" t="s">
        <v>764</v>
      </c>
      <c r="J5" t="s">
        <v>115</v>
      </c>
      <c r="K5">
        <v>98052</v>
      </c>
      <c r="L5" t="s">
        <v>86</v>
      </c>
      <c r="M5" t="s">
        <v>765</v>
      </c>
      <c r="N5">
        <v>5176</v>
      </c>
      <c r="O5" t="s">
        <v>766</v>
      </c>
      <c r="P5">
        <v>2</v>
      </c>
      <c r="Q5" t="s">
        <v>767</v>
      </c>
      <c r="R5" t="s">
        <v>768</v>
      </c>
      <c r="S5" t="s">
        <v>769</v>
      </c>
      <c r="T5" t="s">
        <v>737</v>
      </c>
      <c r="U5">
        <v>1</v>
      </c>
      <c r="V5" t="s">
        <v>770</v>
      </c>
      <c r="W5">
        <v>0</v>
      </c>
      <c r="X5">
        <v>0</v>
      </c>
      <c r="Y5">
        <v>0</v>
      </c>
      <c r="Z5">
        <v>1</v>
      </c>
      <c r="AA5">
        <v>0</v>
      </c>
    </row>
    <row r="6" spans="1:27" x14ac:dyDescent="0.2">
      <c r="A6">
        <v>5</v>
      </c>
      <c r="B6" t="s">
        <v>771</v>
      </c>
      <c r="C6" t="s">
        <v>772</v>
      </c>
      <c r="D6" t="s">
        <v>496</v>
      </c>
      <c r="E6" t="s">
        <v>773</v>
      </c>
      <c r="F6" s="1">
        <v>20152</v>
      </c>
      <c r="G6" s="1">
        <v>34259</v>
      </c>
      <c r="H6" t="s">
        <v>774</v>
      </c>
      <c r="I6" t="s">
        <v>167</v>
      </c>
      <c r="J6" t="s">
        <v>18</v>
      </c>
      <c r="K6" t="s">
        <v>775</v>
      </c>
      <c r="L6" t="s">
        <v>169</v>
      </c>
      <c r="M6" t="s">
        <v>776</v>
      </c>
      <c r="N6">
        <v>3453</v>
      </c>
      <c r="O6" t="s">
        <v>777</v>
      </c>
      <c r="P6">
        <v>2</v>
      </c>
      <c r="Q6" t="s">
        <v>778</v>
      </c>
      <c r="R6" t="s">
        <v>779</v>
      </c>
      <c r="S6" t="s">
        <v>780</v>
      </c>
      <c r="T6" t="s">
        <v>781</v>
      </c>
      <c r="U6">
        <v>0</v>
      </c>
      <c r="V6" t="s">
        <v>779</v>
      </c>
      <c r="W6">
        <v>0</v>
      </c>
      <c r="X6">
        <v>0</v>
      </c>
      <c r="Y6">
        <v>0</v>
      </c>
      <c r="Z6">
        <v>1</v>
      </c>
      <c r="AA6">
        <v>0</v>
      </c>
    </row>
    <row r="7" spans="1:27" x14ac:dyDescent="0.2">
      <c r="A7">
        <v>6</v>
      </c>
      <c r="B7" t="s">
        <v>782</v>
      </c>
      <c r="C7" t="s">
        <v>783</v>
      </c>
      <c r="D7" t="s">
        <v>432</v>
      </c>
      <c r="E7" t="s">
        <v>773</v>
      </c>
      <c r="F7" s="1">
        <v>23194</v>
      </c>
      <c r="G7" s="1">
        <v>34259</v>
      </c>
      <c r="H7" t="s">
        <v>784</v>
      </c>
      <c r="I7" t="s">
        <v>167</v>
      </c>
      <c r="J7" t="s">
        <v>18</v>
      </c>
      <c r="K7" t="s">
        <v>785</v>
      </c>
      <c r="L7" t="s">
        <v>169</v>
      </c>
      <c r="M7" t="s">
        <v>786</v>
      </c>
      <c r="N7">
        <v>428</v>
      </c>
      <c r="O7" t="s">
        <v>787</v>
      </c>
      <c r="P7">
        <v>5</v>
      </c>
      <c r="Q7" t="s">
        <v>734</v>
      </c>
      <c r="R7" t="s">
        <v>788</v>
      </c>
      <c r="S7" t="s">
        <v>789</v>
      </c>
      <c r="T7" t="s">
        <v>781</v>
      </c>
      <c r="U7">
        <v>1</v>
      </c>
      <c r="V7" t="s">
        <v>750</v>
      </c>
      <c r="W7">
        <v>1</v>
      </c>
      <c r="X7">
        <v>0</v>
      </c>
      <c r="Y7">
        <v>0</v>
      </c>
      <c r="Z7">
        <v>1</v>
      </c>
      <c r="AA7">
        <v>0</v>
      </c>
    </row>
    <row r="8" spans="1:27" x14ac:dyDescent="0.2">
      <c r="A8">
        <v>7</v>
      </c>
      <c r="B8" t="s">
        <v>790</v>
      </c>
      <c r="C8" t="s">
        <v>791</v>
      </c>
      <c r="D8" t="s">
        <v>432</v>
      </c>
      <c r="E8" t="s">
        <v>773</v>
      </c>
      <c r="F8" s="1">
        <v>22065</v>
      </c>
      <c r="G8" s="1">
        <v>34336</v>
      </c>
      <c r="H8" t="s">
        <v>792</v>
      </c>
      <c r="I8" t="s">
        <v>167</v>
      </c>
      <c r="J8" t="s">
        <v>18</v>
      </c>
      <c r="K8" t="s">
        <v>793</v>
      </c>
      <c r="L8" t="s">
        <v>169</v>
      </c>
      <c r="M8" t="s">
        <v>794</v>
      </c>
      <c r="N8">
        <v>465</v>
      </c>
      <c r="O8" t="s">
        <v>795</v>
      </c>
      <c r="P8">
        <v>5</v>
      </c>
      <c r="Q8" t="s">
        <v>734</v>
      </c>
      <c r="R8" t="s">
        <v>768</v>
      </c>
      <c r="S8" t="s">
        <v>736</v>
      </c>
      <c r="T8" t="s">
        <v>737</v>
      </c>
      <c r="U8">
        <v>0</v>
      </c>
      <c r="V8" t="s">
        <v>770</v>
      </c>
      <c r="W8">
        <v>1</v>
      </c>
      <c r="X8">
        <v>0</v>
      </c>
      <c r="Y8">
        <v>0</v>
      </c>
      <c r="Z8">
        <v>1</v>
      </c>
      <c r="AA8">
        <v>0</v>
      </c>
    </row>
    <row r="9" spans="1:27" x14ac:dyDescent="0.2">
      <c r="A9">
        <v>8</v>
      </c>
      <c r="B9" t="s">
        <v>796</v>
      </c>
      <c r="C9" t="s">
        <v>797</v>
      </c>
      <c r="D9" t="s">
        <v>798</v>
      </c>
      <c r="E9" t="s">
        <v>730</v>
      </c>
      <c r="F9" s="1">
        <v>21194</v>
      </c>
      <c r="G9" s="1">
        <v>34398</v>
      </c>
      <c r="H9" t="s">
        <v>799</v>
      </c>
      <c r="I9" t="s">
        <v>114</v>
      </c>
      <c r="J9" t="s">
        <v>115</v>
      </c>
      <c r="K9">
        <v>98105</v>
      </c>
      <c r="L9" t="s">
        <v>86</v>
      </c>
      <c r="M9" t="s">
        <v>800</v>
      </c>
      <c r="N9">
        <v>2344</v>
      </c>
      <c r="O9" t="s">
        <v>801</v>
      </c>
      <c r="P9">
        <v>2</v>
      </c>
      <c r="Q9" t="s">
        <v>734</v>
      </c>
      <c r="R9" t="s">
        <v>735</v>
      </c>
      <c r="S9" t="s">
        <v>736</v>
      </c>
      <c r="T9" t="s">
        <v>737</v>
      </c>
      <c r="U9">
        <v>0</v>
      </c>
      <c r="V9" t="s">
        <v>735</v>
      </c>
      <c r="W9">
        <v>1</v>
      </c>
      <c r="X9">
        <v>1</v>
      </c>
      <c r="Y9">
        <v>0</v>
      </c>
      <c r="Z9">
        <v>0</v>
      </c>
      <c r="AA9">
        <v>1</v>
      </c>
    </row>
    <row r="10" spans="1:27" x14ac:dyDescent="0.2">
      <c r="A10">
        <v>9</v>
      </c>
      <c r="B10" t="s">
        <v>802</v>
      </c>
      <c r="C10" t="s">
        <v>803</v>
      </c>
      <c r="D10" t="s">
        <v>432</v>
      </c>
      <c r="E10" t="s">
        <v>730</v>
      </c>
      <c r="F10" s="1">
        <v>24134</v>
      </c>
      <c r="G10" s="1">
        <v>34653</v>
      </c>
      <c r="H10" t="s">
        <v>804</v>
      </c>
      <c r="I10" t="s">
        <v>167</v>
      </c>
      <c r="J10" t="s">
        <v>18</v>
      </c>
      <c r="K10" t="s">
        <v>805</v>
      </c>
      <c r="L10" t="s">
        <v>169</v>
      </c>
      <c r="M10" t="s">
        <v>806</v>
      </c>
      <c r="N10">
        <v>452</v>
      </c>
      <c r="O10" t="s">
        <v>807</v>
      </c>
      <c r="P10">
        <v>5</v>
      </c>
      <c r="Q10" t="s">
        <v>734</v>
      </c>
      <c r="R10" t="s">
        <v>768</v>
      </c>
      <c r="S10" t="s">
        <v>736</v>
      </c>
      <c r="T10" t="s">
        <v>737</v>
      </c>
      <c r="U10">
        <v>0</v>
      </c>
      <c r="V10" t="s">
        <v>770</v>
      </c>
      <c r="W10">
        <v>0</v>
      </c>
      <c r="X10">
        <v>1</v>
      </c>
      <c r="Y10">
        <v>1</v>
      </c>
      <c r="Z10">
        <v>0</v>
      </c>
      <c r="AA10">
        <v>1</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39C89-0A19-D848-BB0C-52DF1678DB19}">
  <dimension ref="A1:C4"/>
  <sheetViews>
    <sheetView zoomScale="200" workbookViewId="0">
      <selection sqref="A1:C4"/>
    </sheetView>
  </sheetViews>
  <sheetFormatPr baseColWidth="10" defaultRowHeight="16" x14ac:dyDescent="0.2"/>
  <cols>
    <col min="2" max="2" width="15.5" customWidth="1"/>
    <col min="3" max="3" width="18.5" customWidth="1"/>
  </cols>
  <sheetData>
    <row r="1" spans="1:3" x14ac:dyDescent="0.2">
      <c r="A1" t="s">
        <v>808</v>
      </c>
      <c r="B1" t="s">
        <v>421</v>
      </c>
      <c r="C1" t="s">
        <v>429</v>
      </c>
    </row>
    <row r="2" spans="1:3" x14ac:dyDescent="0.2">
      <c r="A2">
        <v>1</v>
      </c>
      <c r="B2" t="s">
        <v>809</v>
      </c>
      <c r="C2" t="s">
        <v>810</v>
      </c>
    </row>
    <row r="3" spans="1:3" x14ac:dyDescent="0.2">
      <c r="A3">
        <v>2</v>
      </c>
      <c r="B3" t="s">
        <v>811</v>
      </c>
      <c r="C3" t="s">
        <v>812</v>
      </c>
    </row>
    <row r="4" spans="1:3" x14ac:dyDescent="0.2">
      <c r="A4">
        <v>3</v>
      </c>
      <c r="B4" t="s">
        <v>813</v>
      </c>
      <c r="C4" t="s">
        <v>814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4DBF1-3B6B-A44F-9E63-3A5FB9D3A6D2}">
  <dimension ref="A1:K30"/>
  <sheetViews>
    <sheetView workbookViewId="0">
      <selection sqref="A1:K30"/>
    </sheetView>
  </sheetViews>
  <sheetFormatPr baseColWidth="10" defaultRowHeight="16" x14ac:dyDescent="0.2"/>
  <cols>
    <col min="1" max="1" width="12" customWidth="1"/>
    <col min="2" max="2" width="35.1640625" bestFit="1" customWidth="1"/>
    <col min="3" max="3" width="22.6640625" bestFit="1" customWidth="1"/>
    <col min="4" max="4" width="24.5" bestFit="1" customWidth="1"/>
    <col min="5" max="5" width="50.83203125" bestFit="1" customWidth="1"/>
    <col min="6" max="6" width="12.83203125" bestFit="1" customWidth="1"/>
    <col min="7" max="7" width="8.6640625" customWidth="1"/>
    <col min="8" max="8" width="13" customWidth="1"/>
    <col min="9" max="9" width="11.1640625" bestFit="1" customWidth="1"/>
    <col min="10" max="11" width="13.5" bestFit="1" customWidth="1"/>
  </cols>
  <sheetData>
    <row r="1" spans="1:11" x14ac:dyDescent="0.2">
      <c r="A1" t="s">
        <v>816</v>
      </c>
      <c r="B1" t="s">
        <v>421</v>
      </c>
      <c r="C1" t="s">
        <v>422</v>
      </c>
      <c r="D1" t="s">
        <v>423</v>
      </c>
      <c r="E1" t="s">
        <v>424</v>
      </c>
      <c r="F1" t="s">
        <v>425</v>
      </c>
      <c r="G1" t="s">
        <v>426</v>
      </c>
      <c r="H1" t="s">
        <v>427</v>
      </c>
      <c r="I1" t="s">
        <v>428</v>
      </c>
      <c r="J1" t="s">
        <v>429</v>
      </c>
      <c r="K1" t="s">
        <v>430</v>
      </c>
    </row>
    <row r="2" spans="1:11" x14ac:dyDescent="0.2">
      <c r="A2">
        <v>1</v>
      </c>
      <c r="B2" t="s">
        <v>970</v>
      </c>
      <c r="C2" t="s">
        <v>971</v>
      </c>
      <c r="D2" t="s">
        <v>972</v>
      </c>
      <c r="E2" t="s">
        <v>973</v>
      </c>
      <c r="F2" t="s">
        <v>167</v>
      </c>
      <c r="G2" t="s">
        <v>18</v>
      </c>
      <c r="H2" t="s">
        <v>974</v>
      </c>
      <c r="I2" t="s">
        <v>169</v>
      </c>
      <c r="J2" t="s">
        <v>975</v>
      </c>
      <c r="K2" t="s">
        <v>18</v>
      </c>
    </row>
    <row r="3" spans="1:11" x14ac:dyDescent="0.2">
      <c r="A3">
        <v>2</v>
      </c>
      <c r="B3" t="s">
        <v>976</v>
      </c>
      <c r="C3" t="s">
        <v>977</v>
      </c>
      <c r="D3" t="s">
        <v>447</v>
      </c>
      <c r="E3" t="s">
        <v>978</v>
      </c>
      <c r="F3" t="s">
        <v>979</v>
      </c>
      <c r="G3" t="s">
        <v>980</v>
      </c>
      <c r="H3">
        <v>70117</v>
      </c>
      <c r="I3" t="s">
        <v>86</v>
      </c>
      <c r="J3" t="s">
        <v>981</v>
      </c>
      <c r="K3" t="s">
        <v>18</v>
      </c>
    </row>
    <row r="4" spans="1:11" x14ac:dyDescent="0.2">
      <c r="A4">
        <v>3</v>
      </c>
      <c r="B4" t="s">
        <v>982</v>
      </c>
      <c r="C4" t="s">
        <v>983</v>
      </c>
      <c r="D4" t="s">
        <v>432</v>
      </c>
      <c r="E4" t="s">
        <v>984</v>
      </c>
      <c r="F4" t="s">
        <v>985</v>
      </c>
      <c r="G4" t="s">
        <v>986</v>
      </c>
      <c r="H4">
        <v>48104</v>
      </c>
      <c r="I4" t="s">
        <v>86</v>
      </c>
      <c r="J4" t="s">
        <v>987</v>
      </c>
      <c r="K4" t="s">
        <v>988</v>
      </c>
    </row>
    <row r="5" spans="1:11" x14ac:dyDescent="0.2">
      <c r="A5">
        <v>4</v>
      </c>
      <c r="B5" t="s">
        <v>989</v>
      </c>
      <c r="C5" t="s">
        <v>990</v>
      </c>
      <c r="D5" t="s">
        <v>455</v>
      </c>
      <c r="E5" t="s">
        <v>991</v>
      </c>
      <c r="F5" t="s">
        <v>992</v>
      </c>
      <c r="G5" t="s">
        <v>18</v>
      </c>
      <c r="H5">
        <v>100</v>
      </c>
      <c r="I5" t="s">
        <v>993</v>
      </c>
      <c r="J5" t="s">
        <v>994</v>
      </c>
      <c r="K5" t="s">
        <v>18</v>
      </c>
    </row>
    <row r="6" spans="1:11" x14ac:dyDescent="0.2">
      <c r="A6">
        <v>5</v>
      </c>
      <c r="B6" t="s">
        <v>995</v>
      </c>
      <c r="C6" t="s">
        <v>996</v>
      </c>
      <c r="D6" t="s">
        <v>997</v>
      </c>
      <c r="E6" t="s">
        <v>998</v>
      </c>
      <c r="F6" t="s">
        <v>999</v>
      </c>
      <c r="G6" t="s">
        <v>1000</v>
      </c>
      <c r="H6">
        <v>33007</v>
      </c>
      <c r="I6" t="s">
        <v>150</v>
      </c>
      <c r="J6" t="s">
        <v>1001</v>
      </c>
      <c r="K6" t="s">
        <v>18</v>
      </c>
    </row>
    <row r="7" spans="1:11" x14ac:dyDescent="0.2">
      <c r="A7">
        <v>6</v>
      </c>
      <c r="B7" t="s">
        <v>1002</v>
      </c>
      <c r="C7" t="s">
        <v>1003</v>
      </c>
      <c r="D7" t="s">
        <v>1004</v>
      </c>
      <c r="E7" t="s">
        <v>1005</v>
      </c>
      <c r="F7" t="s">
        <v>1006</v>
      </c>
      <c r="G7" t="s">
        <v>18</v>
      </c>
      <c r="H7">
        <v>545</v>
      </c>
      <c r="I7" t="s">
        <v>993</v>
      </c>
      <c r="J7" t="s">
        <v>1007</v>
      </c>
      <c r="K7" t="s">
        <v>18</v>
      </c>
    </row>
    <row r="8" spans="1:11" x14ac:dyDescent="0.2">
      <c r="A8">
        <v>7</v>
      </c>
      <c r="B8" t="s">
        <v>853</v>
      </c>
      <c r="C8" t="s">
        <v>1008</v>
      </c>
      <c r="D8" t="s">
        <v>1009</v>
      </c>
      <c r="E8" t="s">
        <v>1010</v>
      </c>
      <c r="F8" t="s">
        <v>1011</v>
      </c>
      <c r="G8" t="s">
        <v>1012</v>
      </c>
      <c r="H8">
        <v>3058</v>
      </c>
      <c r="I8" t="s">
        <v>1013</v>
      </c>
      <c r="J8" t="s">
        <v>1014</v>
      </c>
      <c r="K8" t="s">
        <v>1015</v>
      </c>
    </row>
    <row r="9" spans="1:11" x14ac:dyDescent="0.2">
      <c r="A9">
        <v>8</v>
      </c>
      <c r="B9" t="s">
        <v>1016</v>
      </c>
      <c r="C9" t="s">
        <v>1008</v>
      </c>
      <c r="D9" t="s">
        <v>1017</v>
      </c>
      <c r="E9" t="s">
        <v>1018</v>
      </c>
      <c r="F9" t="s">
        <v>1019</v>
      </c>
      <c r="G9" t="s">
        <v>18</v>
      </c>
      <c r="H9" t="s">
        <v>1020</v>
      </c>
      <c r="I9" t="s">
        <v>169</v>
      </c>
      <c r="J9" t="s">
        <v>1021</v>
      </c>
      <c r="K9" t="s">
        <v>18</v>
      </c>
    </row>
    <row r="10" spans="1:11" x14ac:dyDescent="0.2">
      <c r="A10">
        <v>9</v>
      </c>
      <c r="B10" t="s">
        <v>1022</v>
      </c>
      <c r="C10" t="s">
        <v>1023</v>
      </c>
      <c r="D10" t="s">
        <v>471</v>
      </c>
      <c r="E10" t="s">
        <v>1024</v>
      </c>
      <c r="F10" t="s">
        <v>1025</v>
      </c>
      <c r="G10" t="s">
        <v>18</v>
      </c>
      <c r="H10" t="s">
        <v>1026</v>
      </c>
      <c r="I10" t="s">
        <v>92</v>
      </c>
      <c r="J10" t="s">
        <v>1027</v>
      </c>
      <c r="K10" t="s">
        <v>1028</v>
      </c>
    </row>
    <row r="11" spans="1:11" x14ac:dyDescent="0.2">
      <c r="A11">
        <v>10</v>
      </c>
      <c r="B11" t="s">
        <v>1029</v>
      </c>
      <c r="C11" t="s">
        <v>1030</v>
      </c>
      <c r="D11" t="s">
        <v>455</v>
      </c>
      <c r="E11" t="s">
        <v>1031</v>
      </c>
      <c r="F11" t="s">
        <v>173</v>
      </c>
      <c r="G11" t="s">
        <v>18</v>
      </c>
      <c r="H11">
        <v>5442</v>
      </c>
      <c r="I11" t="s">
        <v>31</v>
      </c>
      <c r="J11" t="s">
        <v>1032</v>
      </c>
      <c r="K11" t="s">
        <v>18</v>
      </c>
    </row>
    <row r="12" spans="1:11" x14ac:dyDescent="0.2">
      <c r="A12">
        <v>11</v>
      </c>
      <c r="B12" t="s">
        <v>1033</v>
      </c>
      <c r="C12" t="s">
        <v>1034</v>
      </c>
      <c r="D12" t="s">
        <v>496</v>
      </c>
      <c r="E12" t="s">
        <v>1035</v>
      </c>
      <c r="F12" t="s">
        <v>404</v>
      </c>
      <c r="G12" t="s">
        <v>18</v>
      </c>
      <c r="H12">
        <v>10785</v>
      </c>
      <c r="I12" t="s">
        <v>24</v>
      </c>
      <c r="J12" t="s">
        <v>1036</v>
      </c>
      <c r="K12" t="s">
        <v>18</v>
      </c>
    </row>
    <row r="13" spans="1:11" x14ac:dyDescent="0.2">
      <c r="A13">
        <v>12</v>
      </c>
      <c r="B13" t="s">
        <v>1037</v>
      </c>
      <c r="C13" t="s">
        <v>1038</v>
      </c>
      <c r="D13" t="s">
        <v>1039</v>
      </c>
      <c r="E13" t="s">
        <v>1040</v>
      </c>
      <c r="F13" t="s">
        <v>1041</v>
      </c>
      <c r="G13" t="s">
        <v>18</v>
      </c>
      <c r="H13">
        <v>60439</v>
      </c>
      <c r="I13" t="s">
        <v>24</v>
      </c>
      <c r="J13" t="s">
        <v>1042</v>
      </c>
      <c r="K13" t="s">
        <v>18</v>
      </c>
    </row>
    <row r="14" spans="1:11" x14ac:dyDescent="0.2">
      <c r="A14">
        <v>13</v>
      </c>
      <c r="B14" t="s">
        <v>1043</v>
      </c>
      <c r="C14" t="s">
        <v>1044</v>
      </c>
      <c r="D14" t="s">
        <v>1045</v>
      </c>
      <c r="E14" t="s">
        <v>1046</v>
      </c>
      <c r="F14" t="s">
        <v>1047</v>
      </c>
      <c r="G14" t="s">
        <v>18</v>
      </c>
      <c r="H14">
        <v>27478</v>
      </c>
      <c r="I14" t="s">
        <v>24</v>
      </c>
      <c r="J14" t="s">
        <v>1048</v>
      </c>
      <c r="K14" t="s">
        <v>1049</v>
      </c>
    </row>
    <row r="15" spans="1:11" x14ac:dyDescent="0.2">
      <c r="A15">
        <v>14</v>
      </c>
      <c r="B15" t="s">
        <v>1050</v>
      </c>
      <c r="C15" t="s">
        <v>1051</v>
      </c>
      <c r="D15" t="s">
        <v>432</v>
      </c>
      <c r="E15" t="s">
        <v>1052</v>
      </c>
      <c r="F15" t="s">
        <v>1053</v>
      </c>
      <c r="G15" t="s">
        <v>18</v>
      </c>
      <c r="H15">
        <v>48100</v>
      </c>
      <c r="I15" t="s">
        <v>129</v>
      </c>
      <c r="J15" t="s">
        <v>1054</v>
      </c>
      <c r="K15" t="s">
        <v>1055</v>
      </c>
    </row>
    <row r="16" spans="1:11" x14ac:dyDescent="0.2">
      <c r="A16">
        <v>15</v>
      </c>
      <c r="B16" t="s">
        <v>1056</v>
      </c>
      <c r="C16" t="s">
        <v>1057</v>
      </c>
      <c r="D16" t="s">
        <v>455</v>
      </c>
      <c r="E16" t="s">
        <v>1058</v>
      </c>
      <c r="F16" t="s">
        <v>1059</v>
      </c>
      <c r="G16" t="s">
        <v>18</v>
      </c>
      <c r="H16">
        <v>1320</v>
      </c>
      <c r="I16" t="s">
        <v>317</v>
      </c>
      <c r="J16" t="s">
        <v>1060</v>
      </c>
      <c r="K16" t="s">
        <v>18</v>
      </c>
    </row>
    <row r="17" spans="1:11" x14ac:dyDescent="0.2">
      <c r="A17">
        <v>16</v>
      </c>
      <c r="B17" t="s">
        <v>1061</v>
      </c>
      <c r="C17" t="s">
        <v>1062</v>
      </c>
      <c r="D17" t="s">
        <v>1063</v>
      </c>
      <c r="E17" t="s">
        <v>1064</v>
      </c>
      <c r="F17" t="s">
        <v>1065</v>
      </c>
      <c r="G17" t="s">
        <v>202</v>
      </c>
      <c r="H17">
        <v>97101</v>
      </c>
      <c r="I17" t="s">
        <v>86</v>
      </c>
      <c r="J17" t="s">
        <v>814</v>
      </c>
      <c r="K17" t="s">
        <v>18</v>
      </c>
    </row>
    <row r="18" spans="1:11" x14ac:dyDescent="0.2">
      <c r="A18">
        <v>17</v>
      </c>
      <c r="B18" t="s">
        <v>1066</v>
      </c>
      <c r="C18" t="s">
        <v>1067</v>
      </c>
      <c r="D18" t="s">
        <v>432</v>
      </c>
      <c r="E18" t="s">
        <v>1068</v>
      </c>
      <c r="F18" t="s">
        <v>1069</v>
      </c>
      <c r="G18" t="s">
        <v>18</v>
      </c>
      <c r="H18" t="s">
        <v>1070</v>
      </c>
      <c r="I18" t="s">
        <v>92</v>
      </c>
      <c r="J18" t="s">
        <v>1071</v>
      </c>
      <c r="K18" t="s">
        <v>18</v>
      </c>
    </row>
    <row r="19" spans="1:11" x14ac:dyDescent="0.2">
      <c r="A19">
        <v>18</v>
      </c>
      <c r="B19" t="s">
        <v>1072</v>
      </c>
      <c r="C19" t="s">
        <v>1073</v>
      </c>
      <c r="D19" t="s">
        <v>496</v>
      </c>
      <c r="E19" t="s">
        <v>1074</v>
      </c>
      <c r="F19" t="s">
        <v>412</v>
      </c>
      <c r="G19" t="s">
        <v>18</v>
      </c>
      <c r="H19">
        <v>75004</v>
      </c>
      <c r="I19" t="s">
        <v>19</v>
      </c>
      <c r="J19" t="s">
        <v>1075</v>
      </c>
      <c r="K19" t="s">
        <v>1076</v>
      </c>
    </row>
    <row r="20" spans="1:11" x14ac:dyDescent="0.2">
      <c r="A20">
        <v>19</v>
      </c>
      <c r="B20" t="s">
        <v>1077</v>
      </c>
      <c r="C20" t="s">
        <v>1078</v>
      </c>
      <c r="D20" t="s">
        <v>1079</v>
      </c>
      <c r="E20" t="s">
        <v>1080</v>
      </c>
      <c r="F20" t="s">
        <v>1081</v>
      </c>
      <c r="G20" t="s">
        <v>1082</v>
      </c>
      <c r="H20">
        <v>2134</v>
      </c>
      <c r="I20" t="s">
        <v>86</v>
      </c>
      <c r="J20" t="s">
        <v>1083</v>
      </c>
      <c r="K20" t="s">
        <v>1084</v>
      </c>
    </row>
    <row r="21" spans="1:11" x14ac:dyDescent="0.2">
      <c r="A21">
        <v>20</v>
      </c>
      <c r="B21" t="s">
        <v>1085</v>
      </c>
      <c r="C21" t="s">
        <v>1086</v>
      </c>
      <c r="D21" t="s">
        <v>436</v>
      </c>
      <c r="E21" t="s">
        <v>1087</v>
      </c>
      <c r="F21" t="s">
        <v>1088</v>
      </c>
      <c r="G21" t="s">
        <v>18</v>
      </c>
      <c r="H21">
        <v>512</v>
      </c>
      <c r="I21" t="s">
        <v>1088</v>
      </c>
      <c r="J21" t="s">
        <v>1089</v>
      </c>
      <c r="K21" t="s">
        <v>18</v>
      </c>
    </row>
    <row r="22" spans="1:11" x14ac:dyDescent="0.2">
      <c r="A22">
        <v>21</v>
      </c>
      <c r="B22" t="s">
        <v>1090</v>
      </c>
      <c r="C22" t="s">
        <v>1091</v>
      </c>
      <c r="D22" t="s">
        <v>496</v>
      </c>
      <c r="E22" t="s">
        <v>1092</v>
      </c>
      <c r="F22" t="s">
        <v>1093</v>
      </c>
      <c r="G22" t="s">
        <v>18</v>
      </c>
      <c r="H22">
        <v>2800</v>
      </c>
      <c r="I22" t="s">
        <v>257</v>
      </c>
      <c r="J22">
        <v>43844108</v>
      </c>
      <c r="K22">
        <v>43844115</v>
      </c>
    </row>
    <row r="23" spans="1:11" x14ac:dyDescent="0.2">
      <c r="A23">
        <v>22</v>
      </c>
      <c r="B23" t="s">
        <v>1094</v>
      </c>
      <c r="C23" t="s">
        <v>1095</v>
      </c>
      <c r="D23" t="s">
        <v>465</v>
      </c>
      <c r="E23" t="s">
        <v>1096</v>
      </c>
      <c r="F23" t="s">
        <v>1097</v>
      </c>
      <c r="G23" t="s">
        <v>18</v>
      </c>
      <c r="H23" t="s">
        <v>1098</v>
      </c>
      <c r="I23" t="s">
        <v>1099</v>
      </c>
      <c r="J23" t="s">
        <v>1100</v>
      </c>
      <c r="K23" t="s">
        <v>1101</v>
      </c>
    </row>
    <row r="24" spans="1:11" x14ac:dyDescent="0.2">
      <c r="A24">
        <v>23</v>
      </c>
      <c r="B24" t="s">
        <v>1102</v>
      </c>
      <c r="C24" t="s">
        <v>1103</v>
      </c>
      <c r="D24" t="s">
        <v>1104</v>
      </c>
      <c r="E24" t="s">
        <v>1105</v>
      </c>
      <c r="F24" t="s">
        <v>1106</v>
      </c>
      <c r="G24" t="s">
        <v>18</v>
      </c>
      <c r="H24">
        <v>53120</v>
      </c>
      <c r="I24" t="s">
        <v>101</v>
      </c>
      <c r="J24" t="s">
        <v>1107</v>
      </c>
      <c r="K24" t="s">
        <v>18</v>
      </c>
    </row>
    <row r="25" spans="1:11" x14ac:dyDescent="0.2">
      <c r="A25">
        <v>24</v>
      </c>
      <c r="B25" t="s">
        <v>1108</v>
      </c>
      <c r="C25" t="s">
        <v>1109</v>
      </c>
      <c r="D25" t="s">
        <v>1110</v>
      </c>
      <c r="E25" t="s">
        <v>1111</v>
      </c>
      <c r="F25" t="s">
        <v>1112</v>
      </c>
      <c r="G25" t="s">
        <v>1113</v>
      </c>
      <c r="H25">
        <v>2042</v>
      </c>
      <c r="I25" t="s">
        <v>1013</v>
      </c>
      <c r="J25" t="s">
        <v>1114</v>
      </c>
      <c r="K25" t="s">
        <v>1115</v>
      </c>
    </row>
    <row r="26" spans="1:11" x14ac:dyDescent="0.2">
      <c r="A26">
        <v>25</v>
      </c>
      <c r="B26" t="s">
        <v>1116</v>
      </c>
      <c r="C26" t="s">
        <v>1117</v>
      </c>
      <c r="D26" t="s">
        <v>455</v>
      </c>
      <c r="E26" t="s">
        <v>1118</v>
      </c>
      <c r="F26" t="s">
        <v>246</v>
      </c>
      <c r="G26" t="s">
        <v>247</v>
      </c>
      <c r="H26" t="s">
        <v>248</v>
      </c>
      <c r="I26" t="s">
        <v>249</v>
      </c>
      <c r="J26" t="s">
        <v>1119</v>
      </c>
      <c r="K26" t="s">
        <v>18</v>
      </c>
    </row>
    <row r="27" spans="1:11" x14ac:dyDescent="0.2">
      <c r="A27">
        <v>26</v>
      </c>
      <c r="B27" t="s">
        <v>1120</v>
      </c>
      <c r="C27" t="s">
        <v>1121</v>
      </c>
      <c r="D27" t="s">
        <v>447</v>
      </c>
      <c r="E27" t="s">
        <v>1122</v>
      </c>
      <c r="F27" t="s">
        <v>1123</v>
      </c>
      <c r="G27" t="s">
        <v>18</v>
      </c>
      <c r="H27">
        <v>84100</v>
      </c>
      <c r="I27" t="s">
        <v>129</v>
      </c>
      <c r="J27" t="s">
        <v>1124</v>
      </c>
      <c r="K27" t="s">
        <v>1125</v>
      </c>
    </row>
    <row r="28" spans="1:11" x14ac:dyDescent="0.2">
      <c r="A28">
        <v>27</v>
      </c>
      <c r="B28" t="s">
        <v>1126</v>
      </c>
      <c r="C28" t="s">
        <v>1127</v>
      </c>
      <c r="D28" t="s">
        <v>496</v>
      </c>
      <c r="E28" t="s">
        <v>1128</v>
      </c>
      <c r="F28" t="s">
        <v>1129</v>
      </c>
      <c r="G28" t="s">
        <v>18</v>
      </c>
      <c r="H28">
        <v>71300</v>
      </c>
      <c r="I28" t="s">
        <v>19</v>
      </c>
      <c r="J28" t="s">
        <v>1130</v>
      </c>
      <c r="K28" t="s">
        <v>18</v>
      </c>
    </row>
    <row r="29" spans="1:11" x14ac:dyDescent="0.2">
      <c r="A29">
        <v>28</v>
      </c>
      <c r="B29" t="s">
        <v>1131</v>
      </c>
      <c r="C29" t="s">
        <v>1132</v>
      </c>
      <c r="D29" t="s">
        <v>432</v>
      </c>
      <c r="E29" t="s">
        <v>1133</v>
      </c>
      <c r="F29" t="s">
        <v>1134</v>
      </c>
      <c r="G29" t="s">
        <v>18</v>
      </c>
      <c r="H29">
        <v>74000</v>
      </c>
      <c r="I29" t="s">
        <v>19</v>
      </c>
      <c r="J29" t="s">
        <v>1135</v>
      </c>
      <c r="K29" t="s">
        <v>1136</v>
      </c>
    </row>
    <row r="30" spans="1:11" x14ac:dyDescent="0.2">
      <c r="A30">
        <v>29</v>
      </c>
      <c r="B30" t="s">
        <v>1137</v>
      </c>
      <c r="C30" t="s">
        <v>1138</v>
      </c>
      <c r="D30" t="s">
        <v>465</v>
      </c>
      <c r="E30" t="s">
        <v>1139</v>
      </c>
      <c r="F30" t="s">
        <v>1140</v>
      </c>
      <c r="G30" t="s">
        <v>247</v>
      </c>
      <c r="H30" t="s">
        <v>1141</v>
      </c>
      <c r="I30" t="s">
        <v>249</v>
      </c>
      <c r="J30" t="s">
        <v>1142</v>
      </c>
      <c r="K30" t="s">
        <v>1143</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21962B-0AF2-724B-9C42-E7E5717FF59A}">
  <dimension ref="A1:C9"/>
  <sheetViews>
    <sheetView workbookViewId="0">
      <selection activeCell="C21" sqref="C21"/>
    </sheetView>
  </sheetViews>
  <sheetFormatPr baseColWidth="10" defaultRowHeight="16" x14ac:dyDescent="0.2"/>
  <cols>
    <col min="1" max="1" width="12.5" customWidth="1"/>
    <col min="2" max="2" width="15.6640625" customWidth="1"/>
    <col min="3" max="3" width="49.5" bestFit="1" customWidth="1"/>
  </cols>
  <sheetData>
    <row r="1" spans="1:3" x14ac:dyDescent="0.2">
      <c r="A1" t="s">
        <v>817</v>
      </c>
      <c r="B1" t="s">
        <v>1144</v>
      </c>
      <c r="C1" t="s">
        <v>1145</v>
      </c>
    </row>
    <row r="2" spans="1:3" x14ac:dyDescent="0.2">
      <c r="A2">
        <v>1</v>
      </c>
      <c r="B2" t="s">
        <v>1146</v>
      </c>
      <c r="C2" t="s">
        <v>1147</v>
      </c>
    </row>
    <row r="3" spans="1:3" x14ac:dyDescent="0.2">
      <c r="A3">
        <v>2</v>
      </c>
      <c r="B3" t="s">
        <v>1148</v>
      </c>
      <c r="C3" t="s">
        <v>1149</v>
      </c>
    </row>
    <row r="4" spans="1:3" x14ac:dyDescent="0.2">
      <c r="A4">
        <v>3</v>
      </c>
      <c r="B4" t="s">
        <v>1150</v>
      </c>
      <c r="C4" t="s">
        <v>1151</v>
      </c>
    </row>
    <row r="5" spans="1:3" x14ac:dyDescent="0.2">
      <c r="A5">
        <v>4</v>
      </c>
      <c r="B5" t="s">
        <v>1152</v>
      </c>
      <c r="C5" t="s">
        <v>1153</v>
      </c>
    </row>
    <row r="6" spans="1:3" x14ac:dyDescent="0.2">
      <c r="A6">
        <v>5</v>
      </c>
      <c r="B6" t="s">
        <v>1154</v>
      </c>
      <c r="C6" t="s">
        <v>1155</v>
      </c>
    </row>
    <row r="7" spans="1:3" x14ac:dyDescent="0.2">
      <c r="A7">
        <v>6</v>
      </c>
      <c r="B7" t="s">
        <v>1156</v>
      </c>
      <c r="C7" t="s">
        <v>1157</v>
      </c>
    </row>
    <row r="8" spans="1:3" x14ac:dyDescent="0.2">
      <c r="A8">
        <v>7</v>
      </c>
      <c r="B8" t="s">
        <v>1158</v>
      </c>
      <c r="C8" t="s">
        <v>1159</v>
      </c>
    </row>
    <row r="9" spans="1:3" x14ac:dyDescent="0.2">
      <c r="A9">
        <v>8</v>
      </c>
      <c r="B9" t="s">
        <v>1160</v>
      </c>
      <c r="C9" t="s">
        <v>1161</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13</vt:i4>
      </vt:variant>
    </vt:vector>
  </HeadingPairs>
  <TitlesOfParts>
    <vt:vector size="13" baseType="lpstr">
      <vt:lpstr>Schema</vt:lpstr>
      <vt:lpstr>Tablas</vt:lpstr>
      <vt:lpstr>TablasAnalisis</vt:lpstr>
      <vt:lpstr>KPI</vt:lpstr>
      <vt:lpstr>Dasboard-Orders</vt:lpstr>
      <vt:lpstr>Orders</vt:lpstr>
      <vt:lpstr>OrderDetails</vt:lpstr>
      <vt:lpstr>Products</vt:lpstr>
      <vt:lpstr>Customers</vt:lpstr>
      <vt:lpstr>Employees</vt:lpstr>
      <vt:lpstr>Shippers</vt:lpstr>
      <vt:lpstr>Suppliers</vt:lpstr>
      <vt:lpstr>Categories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Alan Badillo Salas</dc:creator>
  <cp:lastModifiedBy>Alan Badillo Salas</cp:lastModifiedBy>
  <dcterms:created xsi:type="dcterms:W3CDTF">2025-08-18T23:07:45Z</dcterms:created>
  <dcterms:modified xsi:type="dcterms:W3CDTF">2025-08-19T01:04:01Z</dcterms:modified>
</cp:coreProperties>
</file>