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sesion07/"/>
    </mc:Choice>
  </mc:AlternateContent>
  <xr:revisionPtr revIDLastSave="0" documentId="13_ncr:1_{6D00BD8D-A0A2-4947-BFF7-1B850331425F}" xr6:coauthVersionLast="47" xr6:coauthVersionMax="47" xr10:uidLastSave="{00000000-0000-0000-0000-000000000000}"/>
  <bookViews>
    <workbookView xWindow="-38240" yWindow="-3100" windowWidth="18920" windowHeight="19540" activeTab="6" xr2:uid="{9EB15379-1D3F-9342-8A47-2E94A1C462AB}"/>
  </bookViews>
  <sheets>
    <sheet name="Hoja1" sheetId="1" r:id="rId1"/>
    <sheet name="Hoja2" sheetId="2" r:id="rId2"/>
    <sheet name="Hoja3" sheetId="3" r:id="rId3"/>
    <sheet name="Hoja4" sheetId="4" r:id="rId4"/>
    <sheet name="Orders" sheetId="5" r:id="rId5"/>
    <sheet name="OrderDetails" sheetId="6" r:id="rId6"/>
    <sheet name="Hoja7" sheetId="7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 a="1"/>
  <c r="E17" i="7" s="1"/>
  <c r="E16" i="7" a="1"/>
  <c r="E16" i="7" s="1"/>
  <c r="E15" i="7" a="1"/>
  <c r="E15" i="7" s="1"/>
  <c r="E14" i="7" a="1"/>
  <c r="E14" i="7" s="1"/>
  <c r="E13" i="7" a="1"/>
  <c r="E13" i="7" s="1"/>
  <c r="E12" i="7" a="1"/>
  <c r="E12" i="7" s="1"/>
  <c r="E11" i="7" a="1"/>
  <c r="E11" i="7" s="1"/>
  <c r="E10" i="7" a="1"/>
  <c r="E10" i="7" s="1"/>
  <c r="E9" i="7" a="1"/>
  <c r="E9" i="7" s="1"/>
  <c r="E8" i="7" a="1"/>
  <c r="E8" i="7" s="1"/>
  <c r="E7" i="7" a="1"/>
  <c r="E7" i="7" s="1"/>
  <c r="E6" i="7" a="1"/>
  <c r="E6" i="7" s="1"/>
  <c r="D17" i="7" a="1"/>
  <c r="D17" i="7" s="1"/>
  <c r="D16" i="7" a="1"/>
  <c r="D16" i="7" s="1"/>
  <c r="D15" i="7" a="1"/>
  <c r="D15" i="7" s="1"/>
  <c r="D14" i="7" a="1"/>
  <c r="D14" i="7" s="1"/>
  <c r="D13" i="7" a="1"/>
  <c r="D13" i="7" s="1"/>
  <c r="D12" i="7" a="1"/>
  <c r="D12" i="7" s="1"/>
  <c r="D11" i="7" a="1"/>
  <c r="D11" i="7" s="1"/>
  <c r="D10" i="7" a="1"/>
  <c r="D10" i="7" s="1"/>
  <c r="D9" i="7" a="1"/>
  <c r="D9" i="7" s="1"/>
  <c r="D8" i="7" a="1"/>
  <c r="D8" i="7" s="1"/>
  <c r="D7" i="7" a="1"/>
  <c r="D7" i="7" s="1"/>
  <c r="D6" i="7" a="1"/>
  <c r="D6" i="7" s="1"/>
  <c r="C6" i="7" a="1"/>
  <c r="C6" i="7" s="1"/>
  <c r="C13" i="1"/>
  <c r="A2" i="1"/>
  <c r="C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<sst xmlns="http://schemas.openxmlformats.org/spreadsheetml/2006/main" count="58" uniqueCount="48">
  <si>
    <t>Hola mundo</t>
  </si>
  <si>
    <t>Hola A1</t>
  </si>
  <si>
    <t>Hola celda activa</t>
  </si>
  <si>
    <t>Hola</t>
  </si>
  <si>
    <t>ID</t>
  </si>
  <si>
    <t>Precio</t>
  </si>
  <si>
    <t>Cantidad</t>
  </si>
  <si>
    <t>Total</t>
  </si>
  <si>
    <t>Reporte de Precios</t>
  </si>
  <si>
    <t>Fila</t>
  </si>
  <si>
    <t>Columna</t>
  </si>
  <si>
    <t>Valor</t>
  </si>
  <si>
    <t>Pepe</t>
  </si>
  <si>
    <t>Daniel</t>
  </si>
  <si>
    <t>Saludar a</t>
  </si>
  <si>
    <t>Paco</t>
  </si>
  <si>
    <t>Ester</t>
  </si>
  <si>
    <t>Laura</t>
  </si>
  <si>
    <t>orderID</t>
  </si>
  <si>
    <t>customerID</t>
  </si>
  <si>
    <t>employeeID</t>
  </si>
  <si>
    <t>orderDate</t>
  </si>
  <si>
    <t>shipCountry</t>
  </si>
  <si>
    <t>VINET</t>
  </si>
  <si>
    <t>France</t>
  </si>
  <si>
    <t>TOMSP</t>
  </si>
  <si>
    <t>Germany</t>
  </si>
  <si>
    <t>CHOPS</t>
  </si>
  <si>
    <t>Switzerland</t>
  </si>
  <si>
    <t>RICSU</t>
  </si>
  <si>
    <t>HILAA</t>
  </si>
  <si>
    <t>Venezuela</t>
  </si>
  <si>
    <t>ERNSH</t>
  </si>
  <si>
    <t>Austria</t>
  </si>
  <si>
    <t>CENTC</t>
  </si>
  <si>
    <t>Mexico</t>
  </si>
  <si>
    <t>OTTIK</t>
  </si>
  <si>
    <t>RATTC</t>
  </si>
  <si>
    <t>USA</t>
  </si>
  <si>
    <t>FOLKO</t>
  </si>
  <si>
    <t>Sweden</t>
  </si>
  <si>
    <t>WARTH</t>
  </si>
  <si>
    <t>Finland</t>
  </si>
  <si>
    <t>productID</t>
  </si>
  <si>
    <t>unitPrice</t>
  </si>
  <si>
    <t>quantity</t>
  </si>
  <si>
    <t>discount</t>
  </si>
  <si>
    <t>Ordenes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</si>
</sst>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7" formatCode="&quot;$&quot;#,##0.0000"/>
    <numFmt numFmtId="168" formatCode="_-&quot;$&quot;* #,##0.00000000_-;\-&quot;$&quot;* #,##0.00000000_-;_-&quot;$&quot;* &quot;-&quot;????????_-;_-@_-"/>
  </numFmts>
  <fonts count="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b/>
      <sz val="10"/>
      <color theme="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7" fontId="0" fillId="0" borderId="0" xfId="0" applyNumberFormat="1"/>
    <xf numFmtId="168" fontId="0" fillId="0" borderId="0" xfId="1" applyNumberFormat="1" applyFont="1"/>
    <xf numFmtId="0" fontId="3" fillId="0" borderId="0" xfId="0" applyFont="1"/>
    <xf numFmtId="0" fontId="4" fillId="0" borderId="0" xfId="0" applyFont="1"/>
    <xf numFmtId="0" fontId="2" fillId="0" borderId="0" xfId="0" applyFont="1"/>
    <xf numFmtId="47" fontId="2" fillId="0" borderId="0" xfId="0" applyNumberFormat="1" applyFont="1"/>
    <xf numFmtId="0" fontId="5" fillId="0" borderId="0" xfId="0" applyFont="1"/>
  </cellXfs>
  <cellStyles count="2">
    <cellStyle name="Moneda" xfId="1" builtinId="4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Helvetica Neue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  <numFmt numFmtId="29" formatCode="mm:ss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E7BCE1-1C4F-4F4E-903F-F2D40808BD47}" name="Orders" displayName="Orders" ref="A1:E13" totalsRowShown="0" headerRowDxfId="0" dataDxfId="8">
  <autoFilter ref="A1:E13" xr:uid="{52E7BCE1-1C4F-4F4E-903F-F2D40808BD47}"/>
  <tableColumns count="5">
    <tableColumn id="1" xr3:uid="{F867C06E-58C1-4543-B9DE-68DEF631976F}" name="orderID" dataDxfId="13"/>
    <tableColumn id="2" xr3:uid="{31B28FA3-4D2B-354A-B82A-D7A60D34DFEF}" name="customerID" dataDxfId="12"/>
    <tableColumn id="3" xr3:uid="{9021F1D6-2157-354D-836A-C4D372261AE5}" name="employeeID" dataDxfId="11"/>
    <tableColumn id="4" xr3:uid="{0B24A455-2C90-784F-9AAB-C3FF5C5A8763}" name="orderDate" dataDxfId="10"/>
    <tableColumn id="5" xr3:uid="{BD6CEFB2-6061-CB4C-8E3E-80C5E1AFFB29}" name="shipCountry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69EAE5-11DE-9545-A31E-C332968FAC9B}" name="OrderDetails" displayName="OrderDetails" ref="A1:E53" totalsRowShown="0" headerRowDxfId="1" dataDxfId="2">
  <autoFilter ref="A1:E53" xr:uid="{5069EAE5-11DE-9545-A31E-C332968FAC9B}"/>
  <tableColumns count="5">
    <tableColumn id="1" xr3:uid="{DF69B20F-E5A0-DC41-82DC-9DEE59FC1091}" name="orderID" dataDxfId="7"/>
    <tableColumn id="2" xr3:uid="{008B3722-F2A8-7547-BF6E-E728F15877EE}" name="productID" dataDxfId="6"/>
    <tableColumn id="3" xr3:uid="{5F6CF5B8-CF4A-0243-BC84-0ECDA4C4E4F6}" name="unitPrice" dataDxfId="5"/>
    <tableColumn id="4" xr3:uid="{703B2705-CE45-F148-9999-5177BCC23404}" name="quantity" dataDxfId="4"/>
    <tableColumn id="5" xr3:uid="{A81E4D28-D765-8E47-A9D6-DA932EC3A8F4}" name="discount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6E32-5ECF-C14A-870D-4A29EB240595}">
  <sheetPr codeName="Hoja1"/>
  <dimension ref="A1:G18"/>
  <sheetViews>
    <sheetView zoomScale="144" workbookViewId="0">
      <selection activeCell="C16" sqref="C16"/>
    </sheetView>
  </sheetViews>
  <sheetFormatPr baseColWidth="10" defaultRowHeight="16" x14ac:dyDescent="0.2"/>
  <cols>
    <col min="1" max="12" width="11.1640625" customWidth="1"/>
  </cols>
  <sheetData>
    <row r="1" spans="1:7" x14ac:dyDescent="0.2">
      <c r="A1" t="s">
        <v>1</v>
      </c>
      <c r="B1">
        <v>1</v>
      </c>
      <c r="C1">
        <v>1</v>
      </c>
    </row>
    <row r="2" spans="1:7" x14ac:dyDescent="0.2">
      <c r="A2">
        <f>1 + 1</f>
        <v>2</v>
      </c>
      <c r="B2">
        <v>1</v>
      </c>
      <c r="C2">
        <v>1</v>
      </c>
    </row>
    <row r="3" spans="1:7" x14ac:dyDescent="0.2">
      <c r="B3">
        <v>1</v>
      </c>
      <c r="C3">
        <v>1</v>
      </c>
    </row>
    <row r="4" spans="1:7" x14ac:dyDescent="0.2">
      <c r="B4">
        <v>1</v>
      </c>
      <c r="C4">
        <v>1</v>
      </c>
      <c r="D4" t="s">
        <v>0</v>
      </c>
    </row>
    <row r="5" spans="1:7" x14ac:dyDescent="0.2">
      <c r="G5" t="s">
        <v>0</v>
      </c>
    </row>
    <row r="9" spans="1:7" x14ac:dyDescent="0.2">
      <c r="B9" t="s">
        <v>0</v>
      </c>
      <c r="F9" t="s">
        <v>0</v>
      </c>
    </row>
    <row r="11" spans="1:7" x14ac:dyDescent="0.2">
      <c r="E11" t="s">
        <v>0</v>
      </c>
    </row>
    <row r="12" spans="1:7" x14ac:dyDescent="0.2">
      <c r="C12">
        <f>SUM(B1:B4)</f>
        <v>4</v>
      </c>
    </row>
    <row r="13" spans="1:7" x14ac:dyDescent="0.2">
      <c r="C13">
        <f>SUM(C1:C4)</f>
        <v>4</v>
      </c>
    </row>
    <row r="14" spans="1:7" x14ac:dyDescent="0.2">
      <c r="E14" t="s">
        <v>2</v>
      </c>
    </row>
    <row r="18" spans="7:7" x14ac:dyDescent="0.2">
      <c r="G18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BB7CA-E4B3-EB47-9071-6BB16304DE06}">
  <sheetPr codeName="Hoja2"/>
  <dimension ref="A1:E16"/>
  <sheetViews>
    <sheetView zoomScale="193" workbookViewId="0">
      <selection activeCell="D7" sqref="D7"/>
    </sheetView>
  </sheetViews>
  <sheetFormatPr baseColWidth="10" defaultRowHeight="16" x14ac:dyDescent="0.2"/>
  <sheetData>
    <row r="1" spans="1:5" x14ac:dyDescent="0.2">
      <c r="A1" t="s">
        <v>8</v>
      </c>
    </row>
    <row r="3" spans="1:5" x14ac:dyDescent="0.2">
      <c r="B3" t="s">
        <v>4</v>
      </c>
      <c r="C3" t="s">
        <v>5</v>
      </c>
      <c r="D3" t="s">
        <v>6</v>
      </c>
      <c r="E3" t="s">
        <v>7</v>
      </c>
    </row>
    <row r="4" spans="1:5" x14ac:dyDescent="0.2">
      <c r="B4">
        <v>1</v>
      </c>
      <c r="C4">
        <v>999</v>
      </c>
      <c r="D4">
        <v>2</v>
      </c>
    </row>
    <row r="5" spans="1:5" x14ac:dyDescent="0.2">
      <c r="B5">
        <v>2</v>
      </c>
      <c r="C5">
        <v>45</v>
      </c>
      <c r="D5">
        <v>3</v>
      </c>
    </row>
    <row r="6" spans="1:5" x14ac:dyDescent="0.2">
      <c r="B6">
        <v>3</v>
      </c>
      <c r="C6">
        <v>87</v>
      </c>
      <c r="D6">
        <v>999</v>
      </c>
    </row>
    <row r="7" spans="1:5" x14ac:dyDescent="0.2">
      <c r="B7">
        <v>4</v>
      </c>
      <c r="C7">
        <v>92</v>
      </c>
      <c r="D7">
        <v>7</v>
      </c>
    </row>
    <row r="8" spans="1:5" x14ac:dyDescent="0.2">
      <c r="B8">
        <v>5</v>
      </c>
      <c r="C8">
        <v>100</v>
      </c>
      <c r="D8">
        <v>3</v>
      </c>
    </row>
    <row r="9" spans="1:5" x14ac:dyDescent="0.2">
      <c r="B9">
        <v>6</v>
      </c>
      <c r="C9">
        <v>34</v>
      </c>
      <c r="D9">
        <v>4</v>
      </c>
    </row>
    <row r="10" spans="1:5" x14ac:dyDescent="0.2">
      <c r="B10">
        <v>7</v>
      </c>
      <c r="C10">
        <v>5</v>
      </c>
      <c r="D10">
        <v>2</v>
      </c>
    </row>
    <row r="11" spans="1:5" x14ac:dyDescent="0.2">
      <c r="B11">
        <v>8</v>
      </c>
      <c r="C11">
        <v>19</v>
      </c>
      <c r="D11">
        <v>9</v>
      </c>
    </row>
    <row r="12" spans="1:5" x14ac:dyDescent="0.2">
      <c r="D12">
        <v>888</v>
      </c>
    </row>
    <row r="14" spans="1:5" x14ac:dyDescent="0.2">
      <c r="A14" t="s">
        <v>9</v>
      </c>
      <c r="B14">
        <v>12</v>
      </c>
    </row>
    <row r="15" spans="1:5" x14ac:dyDescent="0.2">
      <c r="A15" t="s">
        <v>10</v>
      </c>
      <c r="B15">
        <v>4</v>
      </c>
    </row>
    <row r="16" spans="1:5" x14ac:dyDescent="0.2">
      <c r="A16" t="s">
        <v>11</v>
      </c>
      <c r="B16">
        <v>888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2E687-178E-AB4A-BA30-1E331582ACEB}">
  <sheetPr codeName="Hoja3"/>
  <dimension ref="A1:C10"/>
  <sheetViews>
    <sheetView zoomScale="351" workbookViewId="0">
      <selection activeCell="C7" sqref="C7"/>
    </sheetView>
  </sheetViews>
  <sheetFormatPr baseColWidth="10" defaultRowHeight="16" x14ac:dyDescent="0.2"/>
  <cols>
    <col min="3" max="3" width="14" bestFit="1" customWidth="1"/>
  </cols>
  <sheetData>
    <row r="1" spans="1:3" x14ac:dyDescent="0.2">
      <c r="A1">
        <v>119</v>
      </c>
      <c r="C1">
        <v>123</v>
      </c>
    </row>
    <row r="2" spans="1:3" x14ac:dyDescent="0.2">
      <c r="A2" t="b">
        <v>0</v>
      </c>
      <c r="C2" s="1">
        <v>18.989999999999998</v>
      </c>
    </row>
    <row r="3" spans="1:3" x14ac:dyDescent="0.2">
      <c r="C3" s="2">
        <v>18.991234567799999</v>
      </c>
    </row>
    <row r="5" spans="1:3" x14ac:dyDescent="0.2">
      <c r="B5">
        <v>123</v>
      </c>
    </row>
    <row r="6" spans="1:3" x14ac:dyDescent="0.2">
      <c r="B6">
        <v>5</v>
      </c>
      <c r="C6">
        <v>0</v>
      </c>
    </row>
    <row r="7" spans="1:3" x14ac:dyDescent="0.2">
      <c r="B7">
        <v>12</v>
      </c>
    </row>
    <row r="8" spans="1:3" x14ac:dyDescent="0.2">
      <c r="B8">
        <v>65</v>
      </c>
    </row>
    <row r="9" spans="1:3" x14ac:dyDescent="0.2">
      <c r="B9">
        <v>990</v>
      </c>
      <c r="C9">
        <v>0</v>
      </c>
    </row>
    <row r="10" spans="1:3" x14ac:dyDescent="0.2">
      <c r="B10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AF00-F000-5643-987F-5C62EDAD5C1E}">
  <sheetPr codeName="Hoja4"/>
  <dimension ref="B3:F7"/>
  <sheetViews>
    <sheetView zoomScale="188" workbookViewId="0">
      <selection activeCell="C15" sqref="C15"/>
    </sheetView>
  </sheetViews>
  <sheetFormatPr baseColWidth="10" defaultRowHeight="16" x14ac:dyDescent="0.2"/>
  <sheetData>
    <row r="3" spans="2:6" x14ac:dyDescent="0.2">
      <c r="B3" t="s">
        <v>3</v>
      </c>
      <c r="C3" t="s">
        <v>12</v>
      </c>
      <c r="E3" t="s">
        <v>14</v>
      </c>
      <c r="F3">
        <v>5</v>
      </c>
    </row>
    <row r="4" spans="2:6" x14ac:dyDescent="0.2">
      <c r="C4" t="s">
        <v>13</v>
      </c>
    </row>
    <row r="5" spans="2:6" x14ac:dyDescent="0.2">
      <c r="C5" t="s">
        <v>15</v>
      </c>
    </row>
    <row r="6" spans="2:6" x14ac:dyDescent="0.2">
      <c r="C6" t="s">
        <v>16</v>
      </c>
    </row>
    <row r="7" spans="2:6" x14ac:dyDescent="0.2">
      <c r="C7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34D2-7730-1C46-812F-E2A24203596D}">
  <sheetPr codeName="Hoja5"/>
  <dimension ref="A1:F13"/>
  <sheetViews>
    <sheetView zoomScale="189" workbookViewId="0"/>
  </sheetViews>
  <sheetFormatPr baseColWidth="10" defaultRowHeight="16" x14ac:dyDescent="0.2"/>
  <cols>
    <col min="2" max="2" width="12.6640625" customWidth="1"/>
    <col min="3" max="3" width="13.6640625" customWidth="1"/>
    <col min="4" max="4" width="12.83203125" customWidth="1"/>
    <col min="5" max="5" width="11.5" customWidth="1"/>
  </cols>
  <sheetData>
    <row r="1" spans="1:6" x14ac:dyDescent="0.2">
      <c r="A1" s="7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4"/>
    </row>
    <row r="2" spans="1:6" x14ac:dyDescent="0.2">
      <c r="A2" s="3">
        <v>10248</v>
      </c>
      <c r="B2" s="5" t="s">
        <v>23</v>
      </c>
      <c r="C2" s="5">
        <v>5</v>
      </c>
      <c r="D2" s="6">
        <v>35250</v>
      </c>
      <c r="E2" s="5" t="s">
        <v>24</v>
      </c>
      <c r="F2" s="4"/>
    </row>
    <row r="3" spans="1:6" x14ac:dyDescent="0.2">
      <c r="A3" s="3">
        <v>10249</v>
      </c>
      <c r="B3" s="5" t="s">
        <v>25</v>
      </c>
      <c r="C3" s="5">
        <v>6</v>
      </c>
      <c r="D3" s="6">
        <v>35251</v>
      </c>
      <c r="E3" s="5" t="s">
        <v>26</v>
      </c>
      <c r="F3" s="4"/>
    </row>
    <row r="4" spans="1:6" x14ac:dyDescent="0.2">
      <c r="A4" s="3">
        <v>10254</v>
      </c>
      <c r="B4" s="5" t="s">
        <v>27</v>
      </c>
      <c r="C4" s="5">
        <v>5</v>
      </c>
      <c r="D4" s="6">
        <v>35257</v>
      </c>
      <c r="E4" s="5" t="s">
        <v>28</v>
      </c>
      <c r="F4" s="4"/>
    </row>
    <row r="5" spans="1:6" x14ac:dyDescent="0.2">
      <c r="A5" s="3">
        <v>10255</v>
      </c>
      <c r="B5" s="5" t="s">
        <v>29</v>
      </c>
      <c r="C5" s="5">
        <v>9</v>
      </c>
      <c r="D5" s="6">
        <v>35258</v>
      </c>
      <c r="E5" s="5" t="s">
        <v>28</v>
      </c>
      <c r="F5" s="4"/>
    </row>
    <row r="6" spans="1:6" x14ac:dyDescent="0.2">
      <c r="A6" s="3">
        <v>10257</v>
      </c>
      <c r="B6" s="5" t="s">
        <v>30</v>
      </c>
      <c r="C6" s="5">
        <v>4</v>
      </c>
      <c r="D6" s="6">
        <v>35262</v>
      </c>
      <c r="E6" s="5" t="s">
        <v>31</v>
      </c>
      <c r="F6" s="4"/>
    </row>
    <row r="7" spans="1:6" x14ac:dyDescent="0.2">
      <c r="A7" s="3">
        <v>10258</v>
      </c>
      <c r="B7" s="5" t="s">
        <v>32</v>
      </c>
      <c r="C7" s="5">
        <v>1</v>
      </c>
      <c r="D7" s="6">
        <v>35263</v>
      </c>
      <c r="E7" s="5" t="s">
        <v>33</v>
      </c>
      <c r="F7" s="4"/>
    </row>
    <row r="8" spans="1:6" x14ac:dyDescent="0.2">
      <c r="A8" s="3">
        <v>10259</v>
      </c>
      <c r="B8" s="5" t="s">
        <v>34</v>
      </c>
      <c r="C8" s="5">
        <v>4</v>
      </c>
      <c r="D8" s="6">
        <v>35264</v>
      </c>
      <c r="E8" s="5" t="s">
        <v>35</v>
      </c>
      <c r="F8" s="4"/>
    </row>
    <row r="9" spans="1:6" x14ac:dyDescent="0.2">
      <c r="A9" s="3">
        <v>10260</v>
      </c>
      <c r="B9" s="5" t="s">
        <v>36</v>
      </c>
      <c r="C9" s="5">
        <v>4</v>
      </c>
      <c r="D9" s="6">
        <v>35265</v>
      </c>
      <c r="E9" s="5" t="s">
        <v>26</v>
      </c>
      <c r="F9" s="4"/>
    </row>
    <row r="10" spans="1:6" x14ac:dyDescent="0.2">
      <c r="A10" s="3">
        <v>10262</v>
      </c>
      <c r="B10" s="5" t="s">
        <v>37</v>
      </c>
      <c r="C10" s="5">
        <v>8</v>
      </c>
      <c r="D10" s="6">
        <v>35268</v>
      </c>
      <c r="E10" s="5" t="s">
        <v>38</v>
      </c>
      <c r="F10" s="4"/>
    </row>
    <row r="11" spans="1:6" x14ac:dyDescent="0.2">
      <c r="A11" s="3">
        <v>10263</v>
      </c>
      <c r="B11" s="5" t="s">
        <v>32</v>
      </c>
      <c r="C11" s="5">
        <v>9</v>
      </c>
      <c r="D11" s="6">
        <v>35269</v>
      </c>
      <c r="E11" s="5" t="s">
        <v>33</v>
      </c>
      <c r="F11" s="4"/>
    </row>
    <row r="12" spans="1:6" x14ac:dyDescent="0.2">
      <c r="A12" s="3">
        <v>10264</v>
      </c>
      <c r="B12" s="5" t="s">
        <v>39</v>
      </c>
      <c r="C12" s="5">
        <v>6</v>
      </c>
      <c r="D12" s="6">
        <v>35270</v>
      </c>
      <c r="E12" s="5" t="s">
        <v>40</v>
      </c>
      <c r="F12" s="4"/>
    </row>
    <row r="13" spans="1:6" x14ac:dyDescent="0.2">
      <c r="A13" s="3">
        <v>10266</v>
      </c>
      <c r="B13" s="5" t="s">
        <v>41</v>
      </c>
      <c r="C13" s="5">
        <v>3</v>
      </c>
      <c r="D13" s="6">
        <v>35272</v>
      </c>
      <c r="E13" s="5" t="s">
        <v>42</v>
      </c>
      <c r="F13" s="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D0D59-2D0C-8145-8608-A777313D2C8B}">
  <sheetPr codeName="Hoja6"/>
  <dimension ref="A1:E53"/>
  <sheetViews>
    <sheetView zoomScale="200" workbookViewId="0">
      <selection activeCell="C1" sqref="C1"/>
    </sheetView>
  </sheetViews>
  <sheetFormatPr baseColWidth="10" defaultRowHeight="16" x14ac:dyDescent="0.2"/>
  <sheetData>
    <row r="1" spans="1:5" x14ac:dyDescent="0.2">
      <c r="A1" s="7" t="s">
        <v>18</v>
      </c>
      <c r="B1" s="7" t="s">
        <v>43</v>
      </c>
      <c r="C1" s="7" t="s">
        <v>44</v>
      </c>
      <c r="D1" s="7" t="s">
        <v>45</v>
      </c>
      <c r="E1" s="7" t="s">
        <v>46</v>
      </c>
    </row>
    <row r="2" spans="1:5" x14ac:dyDescent="0.2">
      <c r="A2" s="3">
        <v>10248</v>
      </c>
      <c r="B2" s="5">
        <v>11</v>
      </c>
      <c r="C2" s="5">
        <v>14</v>
      </c>
      <c r="D2" s="5">
        <v>12</v>
      </c>
      <c r="E2" s="5">
        <v>0</v>
      </c>
    </row>
    <row r="3" spans="1:5" x14ac:dyDescent="0.2">
      <c r="A3" s="3">
        <v>10248</v>
      </c>
      <c r="B3" s="5">
        <v>42</v>
      </c>
      <c r="C3" s="5">
        <v>9.8000000000000007</v>
      </c>
      <c r="D3" s="5">
        <v>10</v>
      </c>
      <c r="E3" s="5">
        <v>0</v>
      </c>
    </row>
    <row r="4" spans="1:5" x14ac:dyDescent="0.2">
      <c r="A4" s="3">
        <v>10248</v>
      </c>
      <c r="B4" s="5">
        <v>72</v>
      </c>
      <c r="C4" s="5">
        <v>34.799999999999997</v>
      </c>
      <c r="D4" s="5">
        <v>5</v>
      </c>
      <c r="E4" s="5">
        <v>0</v>
      </c>
    </row>
    <row r="5" spans="1:5" x14ac:dyDescent="0.2">
      <c r="A5" s="3">
        <v>10249</v>
      </c>
      <c r="B5" s="5">
        <v>14</v>
      </c>
      <c r="C5" s="5">
        <v>18.600000000000001</v>
      </c>
      <c r="D5" s="5">
        <v>9</v>
      </c>
      <c r="E5" s="5">
        <v>0</v>
      </c>
    </row>
    <row r="6" spans="1:5" x14ac:dyDescent="0.2">
      <c r="A6" s="3">
        <v>10249</v>
      </c>
      <c r="B6" s="5">
        <v>51</v>
      </c>
      <c r="C6" s="5">
        <v>42.4</v>
      </c>
      <c r="D6" s="5">
        <v>40</v>
      </c>
      <c r="E6" s="5">
        <v>0</v>
      </c>
    </row>
    <row r="7" spans="1:5" x14ac:dyDescent="0.2">
      <c r="A7" s="3">
        <v>10250</v>
      </c>
      <c r="B7" s="5">
        <v>41</v>
      </c>
      <c r="C7" s="5">
        <v>7.7</v>
      </c>
      <c r="D7" s="5">
        <v>10</v>
      </c>
      <c r="E7" s="5">
        <v>0</v>
      </c>
    </row>
    <row r="8" spans="1:5" x14ac:dyDescent="0.2">
      <c r="A8" s="3">
        <v>10250</v>
      </c>
      <c r="B8" s="5">
        <v>51</v>
      </c>
      <c r="C8" s="5">
        <v>42.4</v>
      </c>
      <c r="D8" s="5">
        <v>35</v>
      </c>
      <c r="E8" s="5">
        <v>0.15</v>
      </c>
    </row>
    <row r="9" spans="1:5" x14ac:dyDescent="0.2">
      <c r="A9" s="3">
        <v>10250</v>
      </c>
      <c r="B9" s="5">
        <v>65</v>
      </c>
      <c r="C9" s="5">
        <v>16.8</v>
      </c>
      <c r="D9" s="5">
        <v>15</v>
      </c>
      <c r="E9" s="5">
        <v>0.15</v>
      </c>
    </row>
    <row r="10" spans="1:5" x14ac:dyDescent="0.2">
      <c r="A10" s="3">
        <v>10251</v>
      </c>
      <c r="B10" s="5">
        <v>22</v>
      </c>
      <c r="C10" s="5">
        <v>16.8</v>
      </c>
      <c r="D10" s="5">
        <v>6</v>
      </c>
      <c r="E10" s="5">
        <v>0.05</v>
      </c>
    </row>
    <row r="11" spans="1:5" x14ac:dyDescent="0.2">
      <c r="A11" s="3">
        <v>10251</v>
      </c>
      <c r="B11" s="5">
        <v>57</v>
      </c>
      <c r="C11" s="5">
        <v>15.6</v>
      </c>
      <c r="D11" s="5">
        <v>15</v>
      </c>
      <c r="E11" s="5">
        <v>0.05</v>
      </c>
    </row>
    <row r="12" spans="1:5" x14ac:dyDescent="0.2">
      <c r="A12" s="3">
        <v>10251</v>
      </c>
      <c r="B12" s="5">
        <v>65</v>
      </c>
      <c r="C12" s="5">
        <v>16.8</v>
      </c>
      <c r="D12" s="5">
        <v>20</v>
      </c>
      <c r="E12" s="5">
        <v>0</v>
      </c>
    </row>
    <row r="13" spans="1:5" x14ac:dyDescent="0.2">
      <c r="A13" s="3">
        <v>10252</v>
      </c>
      <c r="B13" s="5">
        <v>20</v>
      </c>
      <c r="C13" s="5">
        <v>64.8</v>
      </c>
      <c r="D13" s="5">
        <v>40</v>
      </c>
      <c r="E13" s="5">
        <v>0.05</v>
      </c>
    </row>
    <row r="14" spans="1:5" x14ac:dyDescent="0.2">
      <c r="A14" s="3">
        <v>10252</v>
      </c>
      <c r="B14" s="5">
        <v>33</v>
      </c>
      <c r="C14" s="5">
        <v>2</v>
      </c>
      <c r="D14" s="5">
        <v>25</v>
      </c>
      <c r="E14" s="5">
        <v>0.05</v>
      </c>
    </row>
    <row r="15" spans="1:5" x14ac:dyDescent="0.2">
      <c r="A15" s="3">
        <v>10252</v>
      </c>
      <c r="B15" s="5">
        <v>60</v>
      </c>
      <c r="C15" s="5">
        <v>27.2</v>
      </c>
      <c r="D15" s="5">
        <v>40</v>
      </c>
      <c r="E15" s="5">
        <v>0</v>
      </c>
    </row>
    <row r="16" spans="1:5" x14ac:dyDescent="0.2">
      <c r="A16" s="3">
        <v>10253</v>
      </c>
      <c r="B16" s="5">
        <v>31</v>
      </c>
      <c r="C16" s="5">
        <v>10</v>
      </c>
      <c r="D16" s="5">
        <v>20</v>
      </c>
      <c r="E16" s="5">
        <v>0</v>
      </c>
    </row>
    <row r="17" spans="1:5" x14ac:dyDescent="0.2">
      <c r="A17" s="3">
        <v>10253</v>
      </c>
      <c r="B17" s="5">
        <v>39</v>
      </c>
      <c r="C17" s="5">
        <v>14.4</v>
      </c>
      <c r="D17" s="5">
        <v>42</v>
      </c>
      <c r="E17" s="5">
        <v>0</v>
      </c>
    </row>
    <row r="18" spans="1:5" x14ac:dyDescent="0.2">
      <c r="A18" s="3">
        <v>10253</v>
      </c>
      <c r="B18" s="5">
        <v>49</v>
      </c>
      <c r="C18" s="5">
        <v>16</v>
      </c>
      <c r="D18" s="5">
        <v>40</v>
      </c>
      <c r="E18" s="5">
        <v>0</v>
      </c>
    </row>
    <row r="19" spans="1:5" x14ac:dyDescent="0.2">
      <c r="A19" s="3">
        <v>10254</v>
      </c>
      <c r="B19" s="5">
        <v>24</v>
      </c>
      <c r="C19" s="5">
        <v>3.6</v>
      </c>
      <c r="D19" s="5">
        <v>15</v>
      </c>
      <c r="E19" s="5">
        <v>0.15</v>
      </c>
    </row>
    <row r="20" spans="1:5" x14ac:dyDescent="0.2">
      <c r="A20" s="3">
        <v>10254</v>
      </c>
      <c r="B20" s="5">
        <v>55</v>
      </c>
      <c r="C20" s="5">
        <v>19.2</v>
      </c>
      <c r="D20" s="5">
        <v>21</v>
      </c>
      <c r="E20" s="5">
        <v>0.15</v>
      </c>
    </row>
    <row r="21" spans="1:5" x14ac:dyDescent="0.2">
      <c r="A21" s="3">
        <v>10254</v>
      </c>
      <c r="B21" s="5">
        <v>74</v>
      </c>
      <c r="C21" s="5">
        <v>8</v>
      </c>
      <c r="D21" s="5">
        <v>21</v>
      </c>
      <c r="E21" s="5">
        <v>0</v>
      </c>
    </row>
    <row r="22" spans="1:5" x14ac:dyDescent="0.2">
      <c r="A22" s="3">
        <v>10255</v>
      </c>
      <c r="B22" s="5">
        <v>2</v>
      </c>
      <c r="C22" s="5">
        <v>15.2</v>
      </c>
      <c r="D22" s="5">
        <v>20</v>
      </c>
      <c r="E22" s="5">
        <v>0</v>
      </c>
    </row>
    <row r="23" spans="1:5" x14ac:dyDescent="0.2">
      <c r="A23" s="3">
        <v>10255</v>
      </c>
      <c r="B23" s="5">
        <v>16</v>
      </c>
      <c r="C23" s="5">
        <v>13.9</v>
      </c>
      <c r="D23" s="5">
        <v>35</v>
      </c>
      <c r="E23" s="5">
        <v>0</v>
      </c>
    </row>
    <row r="24" spans="1:5" x14ac:dyDescent="0.2">
      <c r="A24" s="3">
        <v>10255</v>
      </c>
      <c r="B24" s="5">
        <v>36</v>
      </c>
      <c r="C24" s="5">
        <v>15.2</v>
      </c>
      <c r="D24" s="5">
        <v>25</v>
      </c>
      <c r="E24" s="5">
        <v>0</v>
      </c>
    </row>
    <row r="25" spans="1:5" x14ac:dyDescent="0.2">
      <c r="A25" s="3">
        <v>10255</v>
      </c>
      <c r="B25" s="5">
        <v>59</v>
      </c>
      <c r="C25" s="5">
        <v>44</v>
      </c>
      <c r="D25" s="5">
        <v>30</v>
      </c>
      <c r="E25" s="5">
        <v>0</v>
      </c>
    </row>
    <row r="26" spans="1:5" x14ac:dyDescent="0.2">
      <c r="A26" s="3">
        <v>10256</v>
      </c>
      <c r="B26" s="5">
        <v>53</v>
      </c>
      <c r="C26" s="5">
        <v>26.2</v>
      </c>
      <c r="D26" s="5">
        <v>15</v>
      </c>
      <c r="E26" s="5">
        <v>0</v>
      </c>
    </row>
    <row r="27" spans="1:5" x14ac:dyDescent="0.2">
      <c r="A27" s="3">
        <v>10256</v>
      </c>
      <c r="B27" s="5">
        <v>77</v>
      </c>
      <c r="C27" s="5">
        <v>10.4</v>
      </c>
      <c r="D27" s="5">
        <v>12</v>
      </c>
      <c r="E27" s="5">
        <v>0</v>
      </c>
    </row>
    <row r="28" spans="1:5" x14ac:dyDescent="0.2">
      <c r="A28" s="3">
        <v>10257</v>
      </c>
      <c r="B28" s="5">
        <v>27</v>
      </c>
      <c r="C28" s="5">
        <v>35.1</v>
      </c>
      <c r="D28" s="5">
        <v>25</v>
      </c>
      <c r="E28" s="5">
        <v>0</v>
      </c>
    </row>
    <row r="29" spans="1:5" x14ac:dyDescent="0.2">
      <c r="A29" s="3">
        <v>10257</v>
      </c>
      <c r="B29" s="5">
        <v>39</v>
      </c>
      <c r="C29" s="5">
        <v>14.4</v>
      </c>
      <c r="D29" s="5">
        <v>6</v>
      </c>
      <c r="E29" s="5">
        <v>0</v>
      </c>
    </row>
    <row r="30" spans="1:5" x14ac:dyDescent="0.2">
      <c r="A30" s="3">
        <v>10257</v>
      </c>
      <c r="B30" s="5">
        <v>77</v>
      </c>
      <c r="C30" s="5">
        <v>10.4</v>
      </c>
      <c r="D30" s="5">
        <v>15</v>
      </c>
      <c r="E30" s="5">
        <v>0</v>
      </c>
    </row>
    <row r="31" spans="1:5" x14ac:dyDescent="0.2">
      <c r="A31" s="3">
        <v>10258</v>
      </c>
      <c r="B31" s="5">
        <v>2</v>
      </c>
      <c r="C31" s="5">
        <v>15.2</v>
      </c>
      <c r="D31" s="5">
        <v>50</v>
      </c>
      <c r="E31" s="5">
        <v>0.2</v>
      </c>
    </row>
    <row r="32" spans="1:5" x14ac:dyDescent="0.2">
      <c r="A32" s="3">
        <v>10258</v>
      </c>
      <c r="B32" s="5">
        <v>5</v>
      </c>
      <c r="C32" s="5">
        <v>17</v>
      </c>
      <c r="D32" s="5">
        <v>65</v>
      </c>
      <c r="E32" s="5">
        <v>0.2</v>
      </c>
    </row>
    <row r="33" spans="1:5" x14ac:dyDescent="0.2">
      <c r="A33" s="3">
        <v>10258</v>
      </c>
      <c r="B33" s="5">
        <v>32</v>
      </c>
      <c r="C33" s="5">
        <v>25.6</v>
      </c>
      <c r="D33" s="5">
        <v>6</v>
      </c>
      <c r="E33" s="5">
        <v>0.2</v>
      </c>
    </row>
    <row r="34" spans="1:5" x14ac:dyDescent="0.2">
      <c r="A34" s="3">
        <v>10259</v>
      </c>
      <c r="B34" s="5">
        <v>21</v>
      </c>
      <c r="C34" s="5">
        <v>8</v>
      </c>
      <c r="D34" s="5">
        <v>10</v>
      </c>
      <c r="E34" s="5">
        <v>0</v>
      </c>
    </row>
    <row r="35" spans="1:5" x14ac:dyDescent="0.2">
      <c r="A35" s="3">
        <v>10259</v>
      </c>
      <c r="B35" s="5">
        <v>37</v>
      </c>
      <c r="C35" s="5">
        <v>20.8</v>
      </c>
      <c r="D35" s="5">
        <v>1</v>
      </c>
      <c r="E35" s="5">
        <v>0</v>
      </c>
    </row>
    <row r="36" spans="1:5" x14ac:dyDescent="0.2">
      <c r="A36" s="3">
        <v>10260</v>
      </c>
      <c r="B36" s="5">
        <v>41</v>
      </c>
      <c r="C36" s="5">
        <v>7.7</v>
      </c>
      <c r="D36" s="5">
        <v>16</v>
      </c>
      <c r="E36" s="5">
        <v>0.25</v>
      </c>
    </row>
    <row r="37" spans="1:5" x14ac:dyDescent="0.2">
      <c r="A37" s="3">
        <v>10260</v>
      </c>
      <c r="B37" s="5">
        <v>57</v>
      </c>
      <c r="C37" s="5">
        <v>15.6</v>
      </c>
      <c r="D37" s="5">
        <v>50</v>
      </c>
      <c r="E37" s="5">
        <v>0</v>
      </c>
    </row>
    <row r="38" spans="1:5" x14ac:dyDescent="0.2">
      <c r="A38" s="3">
        <v>10260</v>
      </c>
      <c r="B38" s="5">
        <v>62</v>
      </c>
      <c r="C38" s="5">
        <v>39.4</v>
      </c>
      <c r="D38" s="5">
        <v>15</v>
      </c>
      <c r="E38" s="5">
        <v>0.25</v>
      </c>
    </row>
    <row r="39" spans="1:5" x14ac:dyDescent="0.2">
      <c r="A39" s="3">
        <v>10260</v>
      </c>
      <c r="B39" s="5">
        <v>70</v>
      </c>
      <c r="C39" s="5">
        <v>12</v>
      </c>
      <c r="D39" s="5">
        <v>21</v>
      </c>
      <c r="E39" s="5">
        <v>0.25</v>
      </c>
    </row>
    <row r="40" spans="1:5" x14ac:dyDescent="0.2">
      <c r="A40" s="3">
        <v>10261</v>
      </c>
      <c r="B40" s="5">
        <v>21</v>
      </c>
      <c r="C40" s="5">
        <v>8</v>
      </c>
      <c r="D40" s="5">
        <v>20</v>
      </c>
      <c r="E40" s="5">
        <v>0</v>
      </c>
    </row>
    <row r="41" spans="1:5" x14ac:dyDescent="0.2">
      <c r="A41" s="3">
        <v>10261</v>
      </c>
      <c r="B41" s="5">
        <v>35</v>
      </c>
      <c r="C41" s="5">
        <v>14.4</v>
      </c>
      <c r="D41" s="5">
        <v>20</v>
      </c>
      <c r="E41" s="5">
        <v>0</v>
      </c>
    </row>
    <row r="42" spans="1:5" x14ac:dyDescent="0.2">
      <c r="A42" s="3">
        <v>10262</v>
      </c>
      <c r="B42" s="5">
        <v>5</v>
      </c>
      <c r="C42" s="5">
        <v>17</v>
      </c>
      <c r="D42" s="5">
        <v>12</v>
      </c>
      <c r="E42" s="5">
        <v>0.2</v>
      </c>
    </row>
    <row r="43" spans="1:5" x14ac:dyDescent="0.2">
      <c r="A43" s="3">
        <v>10262</v>
      </c>
      <c r="B43" s="5">
        <v>7</v>
      </c>
      <c r="C43" s="5">
        <v>24</v>
      </c>
      <c r="D43" s="5">
        <v>15</v>
      </c>
      <c r="E43" s="5">
        <v>0</v>
      </c>
    </row>
    <row r="44" spans="1:5" x14ac:dyDescent="0.2">
      <c r="A44" s="3">
        <v>10262</v>
      </c>
      <c r="B44" s="5">
        <v>56</v>
      </c>
      <c r="C44" s="5">
        <v>30.4</v>
      </c>
      <c r="D44" s="5">
        <v>2</v>
      </c>
      <c r="E44" s="5">
        <v>0</v>
      </c>
    </row>
    <row r="45" spans="1:5" x14ac:dyDescent="0.2">
      <c r="A45" s="3">
        <v>10263</v>
      </c>
      <c r="B45" s="5">
        <v>16</v>
      </c>
      <c r="C45" s="5">
        <v>13.9</v>
      </c>
      <c r="D45" s="5">
        <v>60</v>
      </c>
      <c r="E45" s="5">
        <v>0.25</v>
      </c>
    </row>
    <row r="46" spans="1:5" x14ac:dyDescent="0.2">
      <c r="A46" s="3">
        <v>10263</v>
      </c>
      <c r="B46" s="5">
        <v>24</v>
      </c>
      <c r="C46" s="5">
        <v>3.6</v>
      </c>
      <c r="D46" s="5">
        <v>28</v>
      </c>
      <c r="E46" s="5">
        <v>0</v>
      </c>
    </row>
    <row r="47" spans="1:5" x14ac:dyDescent="0.2">
      <c r="A47" s="3">
        <v>10263</v>
      </c>
      <c r="B47" s="5">
        <v>30</v>
      </c>
      <c r="C47" s="5">
        <v>20.7</v>
      </c>
      <c r="D47" s="5">
        <v>60</v>
      </c>
      <c r="E47" s="5">
        <v>0.25</v>
      </c>
    </row>
    <row r="48" spans="1:5" x14ac:dyDescent="0.2">
      <c r="A48" s="3">
        <v>10263</v>
      </c>
      <c r="B48" s="5">
        <v>74</v>
      </c>
      <c r="C48" s="5">
        <v>8</v>
      </c>
      <c r="D48" s="5">
        <v>36</v>
      </c>
      <c r="E48" s="5">
        <v>0.25</v>
      </c>
    </row>
    <row r="49" spans="1:5" x14ac:dyDescent="0.2">
      <c r="A49" s="3">
        <v>10264</v>
      </c>
      <c r="B49" s="5">
        <v>2</v>
      </c>
      <c r="C49" s="5">
        <v>15.2</v>
      </c>
      <c r="D49" s="5">
        <v>35</v>
      </c>
      <c r="E49" s="5">
        <v>0</v>
      </c>
    </row>
    <row r="50" spans="1:5" x14ac:dyDescent="0.2">
      <c r="A50" s="3">
        <v>10264</v>
      </c>
      <c r="B50" s="5">
        <v>41</v>
      </c>
      <c r="C50" s="5">
        <v>7.7</v>
      </c>
      <c r="D50" s="5">
        <v>25</v>
      </c>
      <c r="E50" s="5">
        <v>0.15</v>
      </c>
    </row>
    <row r="51" spans="1:5" x14ac:dyDescent="0.2">
      <c r="A51" s="3">
        <v>10265</v>
      </c>
      <c r="B51" s="5">
        <v>17</v>
      </c>
      <c r="C51" s="5">
        <v>31.2</v>
      </c>
      <c r="D51" s="5">
        <v>30</v>
      </c>
      <c r="E51" s="5">
        <v>0</v>
      </c>
    </row>
    <row r="52" spans="1:5" x14ac:dyDescent="0.2">
      <c r="A52" s="3">
        <v>10265</v>
      </c>
      <c r="B52" s="5">
        <v>70</v>
      </c>
      <c r="C52" s="5">
        <v>12</v>
      </c>
      <c r="D52" s="5">
        <v>20</v>
      </c>
      <c r="E52" s="5">
        <v>0</v>
      </c>
    </row>
    <row r="53" spans="1:5" x14ac:dyDescent="0.2">
      <c r="A53" s="3">
        <v>10266</v>
      </c>
      <c r="B53" s="5">
        <v>12</v>
      </c>
      <c r="C53" s="5">
        <v>30.4</v>
      </c>
      <c r="D53" s="5">
        <v>12</v>
      </c>
      <c r="E53" s="5">
        <v>0.05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54D8-05C0-C044-8162-533407A3B3EA}">
  <sheetPr codeName="Hoja7"/>
  <dimension ref="C5:E17"/>
  <sheetViews>
    <sheetView tabSelected="1" zoomScale="150" workbookViewId="0">
      <selection activeCell="C6" sqref="C6:C17"/>
    </sheetView>
  </sheetViews>
  <sheetFormatPr baseColWidth="10" defaultRowHeight="16" x14ac:dyDescent="0.2"/>
  <cols>
    <col min="3" max="3" width="14.83203125" customWidth="1"/>
    <col min="4" max="4" width="19.33203125" bestFit="1" customWidth="1"/>
  </cols>
  <sheetData>
    <row r="5" spans="3:5" x14ac:dyDescent="0.2">
      <c r="C5" t="s">
        <v>47</v>
      </c>
    </row>
    <row r="6" spans="3:5" x14ac:dyDescent="0.2">
      <c r="C6" cm="1">
        <f t="array" ref="C6:C17">Orders[orderID]</f>
        <v>10248</v>
      </c>
      <c r="D6" cm="1">
        <f t="array" ref="D6">SUM(_xlfn._xlws.FILTER(OrderDetails[unitPrice] * OrderDetails[quantity], OrderDetails[orderID] = 10248))</f>
        <v>440</v>
      </c>
      <c r="E6" cm="1">
        <f t="array" ref="E6">SUM(_xlfn._xlws.FILTER(OrderDetails[unitPrice] * OrderDetails[quantity], OrderDetails[orderID] = 10248))</f>
        <v>440</v>
      </c>
    </row>
    <row r="7" spans="3:5" x14ac:dyDescent="0.2">
      <c r="C7">
        <v>10249</v>
      </c>
      <c r="D7" cm="1">
        <f t="array" ref="D7">SUM(_xlfn._xlws.FILTER(OrderDetails[unitPrice] * OrderDetails[quantity], OrderDetails[orderID] = 10249))</f>
        <v>1863.4</v>
      </c>
      <c r="E7" cm="1">
        <f t="array" ref="E7">SUM(_xlfn._xlws.FILTER(OrderDetails[unitPrice] * OrderDetails[quantity], OrderDetails[orderID] = 10249))</f>
        <v>1863.4</v>
      </c>
    </row>
    <row r="8" spans="3:5" x14ac:dyDescent="0.2">
      <c r="C8">
        <v>10254</v>
      </c>
      <c r="D8" cm="1">
        <f t="array" ref="D8">SUM(_xlfn._xlws.FILTER(OrderDetails[unitPrice] * OrderDetails[quantity], OrderDetails[orderID] = 10254))</f>
        <v>625.20000000000005</v>
      </c>
      <c r="E8" cm="1">
        <f t="array" ref="E8">SUM(_xlfn._xlws.FILTER(OrderDetails[unitPrice] * OrderDetails[quantity], OrderDetails[orderID] = 10254))</f>
        <v>625.20000000000005</v>
      </c>
    </row>
    <row r="9" spans="3:5" x14ac:dyDescent="0.2">
      <c r="C9">
        <v>10255</v>
      </c>
      <c r="D9" cm="1">
        <f t="array" ref="D9">SUM(_xlfn._xlws.FILTER(OrderDetails[unitPrice] * OrderDetails[quantity], OrderDetails[orderID] = 10255))</f>
        <v>2490.5</v>
      </c>
      <c r="E9" cm="1">
        <f t="array" ref="E9">SUM(_xlfn._xlws.FILTER(OrderDetails[unitPrice] * OrderDetails[quantity], OrderDetails[orderID] = 10255))</f>
        <v>2490.5</v>
      </c>
    </row>
    <row r="10" spans="3:5" x14ac:dyDescent="0.2">
      <c r="C10">
        <v>10257</v>
      </c>
      <c r="D10" cm="1">
        <f t="array" ref="D10">SUM(_xlfn._xlws.FILTER(OrderDetails[unitPrice] * OrderDetails[quantity], OrderDetails[orderID] = 10257))</f>
        <v>1119.9000000000001</v>
      </c>
      <c r="E10" cm="1">
        <f t="array" ref="E10">SUM(_xlfn._xlws.FILTER(OrderDetails[unitPrice] * OrderDetails[quantity], OrderDetails[orderID] = 10257))</f>
        <v>1119.9000000000001</v>
      </c>
    </row>
    <row r="11" spans="3:5" x14ac:dyDescent="0.2">
      <c r="C11">
        <v>10258</v>
      </c>
      <c r="D11" cm="1">
        <f t="array" ref="D11">SUM(_xlfn._xlws.FILTER(OrderDetails[unitPrice] * OrderDetails[quantity], OrderDetails[orderID] = 10258))</f>
        <v>2018.6</v>
      </c>
      <c r="E11" cm="1">
        <f t="array" ref="E11">SUM(_xlfn._xlws.FILTER(OrderDetails[unitPrice] * OrderDetails[quantity], OrderDetails[orderID] = 10258))</f>
        <v>2018.6</v>
      </c>
    </row>
    <row r="12" spans="3:5" x14ac:dyDescent="0.2">
      <c r="C12">
        <v>10259</v>
      </c>
      <c r="D12" cm="1">
        <f t="array" ref="D12">SUM(_xlfn._xlws.FILTER(OrderDetails[unitPrice] * OrderDetails[quantity], OrderDetails[orderID] = 10259))</f>
        <v>100.8</v>
      </c>
      <c r="E12" cm="1">
        <f t="array" ref="E12">SUM(_xlfn._xlws.FILTER(OrderDetails[unitPrice] * OrderDetails[quantity], OrderDetails[orderID] = 10259))</f>
        <v>100.8</v>
      </c>
    </row>
    <row r="13" spans="3:5" x14ac:dyDescent="0.2">
      <c r="C13">
        <v>10260</v>
      </c>
      <c r="D13" cm="1">
        <f t="array" ref="D13">SUM(_xlfn._xlws.FILTER(OrderDetails[unitPrice] * OrderDetails[quantity], OrderDetails[orderID] = 10260))</f>
        <v>1746.2</v>
      </c>
      <c r="E13" cm="1">
        <f t="array" ref="E13">SUM(_xlfn._xlws.FILTER(OrderDetails[unitPrice] * OrderDetails[quantity], OrderDetails[orderID] = 10260))</f>
        <v>1746.2</v>
      </c>
    </row>
    <row r="14" spans="3:5" x14ac:dyDescent="0.2">
      <c r="C14">
        <v>10262</v>
      </c>
      <c r="D14" cm="1">
        <f t="array" ref="D14">SUM(_xlfn._xlws.FILTER(OrderDetails[unitPrice] * OrderDetails[quantity], OrderDetails[orderID] = 10262))</f>
        <v>624.79999999999995</v>
      </c>
      <c r="E14" cm="1">
        <f t="array" ref="E14">SUM(_xlfn._xlws.FILTER(OrderDetails[unitPrice] * OrderDetails[quantity], OrderDetails[orderID] = 10262))</f>
        <v>624.79999999999995</v>
      </c>
    </row>
    <row r="15" spans="3:5" x14ac:dyDescent="0.2">
      <c r="C15">
        <v>10263</v>
      </c>
      <c r="D15" cm="1">
        <f t="array" ref="D15">SUM(_xlfn._xlws.FILTER(OrderDetails[unitPrice] * OrderDetails[quantity], OrderDetails[orderID] = 10263))</f>
        <v>2464.8000000000002</v>
      </c>
      <c r="E15" cm="1">
        <f t="array" ref="E15">SUM(_xlfn._xlws.FILTER(OrderDetails[unitPrice] * OrderDetails[quantity], OrderDetails[orderID] = 10263))</f>
        <v>2464.8000000000002</v>
      </c>
    </row>
    <row r="16" spans="3:5" x14ac:dyDescent="0.2">
      <c r="C16">
        <v>10264</v>
      </c>
      <c r="D16" cm="1">
        <f t="array" ref="D16">SUM(_xlfn._xlws.FILTER(OrderDetails[unitPrice] * OrderDetails[quantity], OrderDetails[orderID] = 10264))</f>
        <v>724.5</v>
      </c>
      <c r="E16" cm="1">
        <f t="array" ref="E16">SUM(_xlfn._xlws.FILTER(OrderDetails[unitPrice] * OrderDetails[quantity], OrderDetails[orderID] = 10264))</f>
        <v>724.5</v>
      </c>
    </row>
    <row r="17" spans="3:5" x14ac:dyDescent="0.2">
      <c r="C17">
        <v>10266</v>
      </c>
      <c r="D17" cm="1">
        <f t="array" ref="D17">SUM(_xlfn._xlws.FILTER(OrderDetails[unitPrice] * OrderDetails[quantity], OrderDetails[orderID] = 10266))</f>
        <v>364.79999999999995</v>
      </c>
      <c r="E17" cm="1">
        <f t="array" ref="E17">SUM(_xlfn._xlws.FILTER(OrderDetails[unitPrice] * OrderDetails[quantity], OrderDetails[orderID] = 10266))</f>
        <v>364.79999999999995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Hoja2</vt:lpstr>
      <vt:lpstr>Hoja3</vt:lpstr>
      <vt:lpstr>Hoja4</vt:lpstr>
      <vt:lpstr>Orders</vt:lpstr>
      <vt:lpstr>OrderDetails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2025-08-13T23:27:20Z</dcterms:created>
  <dcterms:modified xsi:type="dcterms:W3CDTF">2025-08-14T02:08:54Z</dcterms:modified>
</cp:coreProperties>
</file>